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Jouhayerk\Onyx.mx\app\public\"/>
    </mc:Choice>
  </mc:AlternateContent>
  <xr:revisionPtr revIDLastSave="0" documentId="13_ncr:1_{DD63DEC3-3FF8-4B44-9066-85011ACE1085}" xr6:coauthVersionLast="47" xr6:coauthVersionMax="47" xr10:uidLastSave="{00000000-0000-0000-0000-000000000000}"/>
  <bookViews>
    <workbookView xWindow="-120" yWindow="-120" windowWidth="29040" windowHeight="16440" tabRatio="846" activeTab="8" xr2:uid="{00000000-000D-0000-FFFF-FFFF00000000}"/>
  </bookViews>
  <sheets>
    <sheet name="-vPayment" sheetId="49" r:id="rId1"/>
    <sheet name="-vSupplies" sheetId="46" r:id="rId2"/>
    <sheet name="-vCrates" sheetId="45" r:id="rId3"/>
    <sheet name="-TRK1" sheetId="50" r:id="rId4"/>
    <sheet name="-TRK2" sheetId="53" r:id="rId5"/>
    <sheet name="-TRK3" sheetId="54" r:id="rId6"/>
    <sheet name="-TRK4" sheetId="47" r:id="rId7"/>
    <sheet name="EM" sheetId="3" r:id="rId8"/>
    <sheet name="JM" sheetId="35" r:id="rId9"/>
    <sheet name="TE" sheetId="8" r:id="rId10"/>
    <sheet name="DH" sheetId="7" r:id="rId11"/>
    <sheet name="ML" sheetId="36" r:id="rId12"/>
    <sheet name="GE" sheetId="34" r:id="rId13"/>
    <sheet name="FR" sheetId="30" r:id="rId14"/>
    <sheet name="ET" sheetId="44" r:id="rId15"/>
    <sheet name="AM" sheetId="41" r:id="rId16"/>
    <sheet name="BT" sheetId="33" r:id="rId17"/>
    <sheet name="RF" sheetId="43" r:id="rId18"/>
    <sheet name="GS" sheetId="6" r:id="rId19"/>
    <sheet name="CP" sheetId="40" r:id="rId20"/>
    <sheet name="AN" sheetId="39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15" hidden="1">AM!#REF!</definedName>
    <definedName name="_xlnm._FilterDatabase" localSheetId="20" hidden="1">AN!#REF!</definedName>
    <definedName name="_xlnm._FilterDatabase" localSheetId="16" hidden="1">BT!#REF!</definedName>
    <definedName name="_xlnm._FilterDatabase" localSheetId="19" hidden="1">CP!#REF!</definedName>
    <definedName name="_xlnm._FilterDatabase" localSheetId="10" hidden="1">DH!#REF!</definedName>
    <definedName name="_xlnm._FilterDatabase" localSheetId="7" hidden="1">EM!#REF!</definedName>
    <definedName name="_xlnm._FilterDatabase" localSheetId="14" hidden="1">ET!#REF!</definedName>
    <definedName name="_xlnm._FilterDatabase" localSheetId="13" hidden="1">FR!#REF!</definedName>
    <definedName name="_xlnm._FilterDatabase" localSheetId="12" hidden="1">GE!#REF!</definedName>
    <definedName name="_xlnm._FilterDatabase" localSheetId="18" hidden="1">GS!#REF!</definedName>
    <definedName name="_xlnm._FilterDatabase" localSheetId="8" hidden="1">JM!#REF!</definedName>
    <definedName name="_xlnm._FilterDatabase" localSheetId="11" hidden="1">ML!#REF!</definedName>
    <definedName name="_xlnm._FilterDatabase" localSheetId="17" hidden="1">RF!#REF!</definedName>
    <definedName name="_xlnm._FilterDatabase" localSheetId="9" hidden="1">TE!#REF!</definedName>
    <definedName name="Categories" localSheetId="20">OFFSET('[1]Admin &amp; Settings'!$C$10,1,,COUNTA('[1]Admin &amp; Settings'!$C$10:$C$33)-1,1)</definedName>
    <definedName name="Categories" localSheetId="19">OFFSET('[1]Admin &amp; Settings'!$C$10,1,,COUNTA('[1]Admin &amp; Settings'!$C$10:$C$33)-1,1)</definedName>
    <definedName name="Categories" localSheetId="8">OFFSET('[1]Admin &amp; Settings'!$C$10,1,,COUNTA('[1]Admin &amp; Settings'!$C$10:$C$33)-1,1)</definedName>
    <definedName name="Categories" localSheetId="11">OFFSET('[1]Admin &amp; Settings'!$C$10,1,,COUNTA('[1]Admin &amp; Settings'!$C$10:$C$33)-1,1)</definedName>
    <definedName name="Categories">OFFSET('[2]Admin &amp; Settings'!$C$10,1,,COUNTA('[2]Admin &amp; Settings'!$C$10:$C$33)-1,1)</definedName>
    <definedName name="Months">[3]Expenses!#REF!</definedName>
    <definedName name="_xlnm.Print_Titles" localSheetId="15">AM!$1:$3</definedName>
    <definedName name="_xlnm.Print_Titles" localSheetId="20">AN!$1:$3</definedName>
    <definedName name="_xlnm.Print_Titles" localSheetId="16">BT!$1:$3</definedName>
    <definedName name="_xlnm.Print_Titles" localSheetId="19">CP!$1:$3</definedName>
    <definedName name="_xlnm.Print_Titles" localSheetId="10">DH!$1:$3</definedName>
    <definedName name="_xlnm.Print_Titles" localSheetId="7">EM!$1:$3</definedName>
    <definedName name="_xlnm.Print_Titles" localSheetId="14">ET!$1:$3</definedName>
    <definedName name="_xlnm.Print_Titles" localSheetId="13">FR!$1:$3</definedName>
    <definedName name="_xlnm.Print_Titles" localSheetId="12">GE!$1:$3</definedName>
    <definedName name="_xlnm.Print_Titles" localSheetId="18">GS!$1:$3</definedName>
    <definedName name="_xlnm.Print_Titles" localSheetId="8">JM!$1:$3</definedName>
    <definedName name="_xlnm.Print_Titles" localSheetId="11">ML!$1:$3</definedName>
    <definedName name="_xlnm.Print_Titles" localSheetId="17">RF!$1:$3</definedName>
    <definedName name="_xlnm.Print_Titles" localSheetId="9">TE!$1:$3</definedName>
    <definedName name="Status" localSheetId="20">[4]TE!$AB$4:$AB$6</definedName>
    <definedName name="Status" localSheetId="19">[4]TE!$AB$4:$AB$6</definedName>
    <definedName name="Status" localSheetId="8">[4]TE!$AB$4:$AB$6</definedName>
    <definedName name="Status" localSheetId="11">[4]TE!$AB$4:$AB$6</definedName>
    <definedName name="Status" localSheetId="3">[5]TE!$AB$4:$AB$6</definedName>
    <definedName name="Status" localSheetId="6">[5]TE!$AB$4:$AB$6</definedName>
    <definedName name="Status" localSheetId="2">[6]TE!$AB$4:$AB$6</definedName>
    <definedName name="Status" localSheetId="0">[5]TE!$AB$4:$AB$6</definedName>
    <definedName name="Status" localSheetId="1">[6]TE!$AB$4:$AB$6</definedName>
    <definedName name="Status">TE!#REF!</definedName>
    <definedName name="valHighlight" localSheetId="15">IFERROR(IF(AM!#REF!="Yes", TRUE, FALSE),FALSE)</definedName>
    <definedName name="valHighlight" localSheetId="20">IFERROR(IF(AN!#REF!="Yes", TRUE, FALSE),FALSE)</definedName>
    <definedName name="valHighlight" localSheetId="16">IFERROR(IF(BT!#REF!="Yes", TRUE, FALSE),FALSE)</definedName>
    <definedName name="valHighlight" localSheetId="19">IFERROR(IF(CP!#REF!="Yes", TRUE, FALSE),FALSE)</definedName>
    <definedName name="valHighlight" localSheetId="10">IFERROR(IF(DH!#REF!="Yes", TRUE, FALSE),FALSE)</definedName>
    <definedName name="valHighlight" localSheetId="7">IFERROR(IF(EM!#REF!="Yes", TRUE, FALSE),FALSE)</definedName>
    <definedName name="valHighlight" localSheetId="14">IFERROR(IF(ET!#REF!="Yes", TRUE, FALSE),FALSE)</definedName>
    <definedName name="valHighlight" localSheetId="13">IFERROR(IF(FR!#REF!="Yes", TRUE, FALSE),FALSE)</definedName>
    <definedName name="valHighlight" localSheetId="12">IFERROR(IF(GE!#REF!="Yes", TRUE, FALSE),FALSE)</definedName>
    <definedName name="valHighlight" localSheetId="18">IFERROR(IF(GS!#REF!="Yes", TRUE, FALSE),FALSE)</definedName>
    <definedName name="valHighlight" localSheetId="8">IFERROR(IF(JM!#REF!="Yes", TRUE, FALSE),FALSE)</definedName>
    <definedName name="valHighlight" localSheetId="11">IFERROR(IF(ML!#REF!="Yes", TRUE, FALSE),FALSE)</definedName>
    <definedName name="valHighlight" localSheetId="17">IFERROR(IF(RF!#REF!="Yes", TRUE, FALSE),FALSE)</definedName>
    <definedName name="valHighlight" localSheetId="9">IFERROR(IF(TE!#REF!="Yes", TRUE, FALSE),FALSE)</definedName>
    <definedName name="valHighlight">IFERROR(IF(#REF!="Yes", TRUE, FALSE),FALSE)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4_dd2a1f7b-2283-4274-aa1e-b59c19bdd2d0" name="Page004" connection="Query - Page004"/>
          <x15:modelTable id="Table001  Page 1_afc22110-aa6e-4a56-b41a-7e0c7b9cbeef" name="Table001  Page 1" connection="Query - Table001 (Page 1)"/>
          <x15:modelTable id="Table002  Page 2_d58b31cc-4048-4d36-a39c-5360eabff941" name="Table002  Page 2" connection="Query - Table002 (Page 2)"/>
          <x15:modelTable id="Page001_abcd4fa0-4f33-4cdb-b9cd-7e683c203e3d" name="Page001" connection="Query - Page001"/>
          <x15:modelTable id="Page003_f071ef70-4739-43eb-b4e6-7e7f3d419e03" name="Page003" connection="Query - Page003"/>
          <x15:modelTable id="Page002_c0f01627-1c58-446f-b8d0-dfb3d9add719" name="Page002" connection="Query - Page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3" l="1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Y32" i="35"/>
  <c r="K32" i="35"/>
  <c r="L32" i="35"/>
  <c r="M32" i="35"/>
  <c r="N32" i="35"/>
  <c r="B32" i="35" s="1"/>
  <c r="O32" i="35"/>
  <c r="P32" i="35"/>
  <c r="Q32" i="35" s="1"/>
  <c r="R32" i="35" s="1"/>
  <c r="S32" i="35" s="1"/>
  <c r="T32" i="35" s="1"/>
  <c r="X32" i="35"/>
  <c r="X31" i="35"/>
  <c r="Y31" i="35" s="1"/>
  <c r="X4" i="35"/>
  <c r="Y4" i="35" s="1"/>
  <c r="K31" i="35"/>
  <c r="L31" i="35"/>
  <c r="M31" i="35"/>
  <c r="N31" i="35"/>
  <c r="B31" i="35" s="1"/>
  <c r="O31" i="35"/>
  <c r="P31" i="35"/>
  <c r="Q31" i="35" s="1"/>
  <c r="R31" i="35" s="1"/>
  <c r="S31" i="35" s="1"/>
  <c r="T31" i="35" s="1"/>
  <c r="L14" i="45"/>
  <c r="M14" i="45"/>
  <c r="N14" i="45"/>
  <c r="O14" i="45"/>
  <c r="P14" i="45"/>
  <c r="Q14" i="45"/>
  <c r="R14" i="45" s="1"/>
  <c r="U32" i="35" l="1"/>
  <c r="J33" i="35"/>
  <c r="U31" i="35"/>
  <c r="K1" i="33"/>
  <c r="L17" i="33"/>
  <c r="M17" i="33"/>
  <c r="N17" i="33"/>
  <c r="O17" i="33"/>
  <c r="L13" i="45"/>
  <c r="M13" i="45"/>
  <c r="N13" i="45"/>
  <c r="O13" i="45"/>
  <c r="P13" i="45"/>
  <c r="Q13" i="45"/>
  <c r="R13" i="45" s="1"/>
  <c r="S6" i="54"/>
  <c r="T6" i="54" s="1"/>
  <c r="S7" i="54"/>
  <c r="T7" i="54"/>
  <c r="S8" i="54"/>
  <c r="T8" i="54"/>
  <c r="S9" i="54"/>
  <c r="T9" i="54" s="1"/>
  <c r="S10" i="54"/>
  <c r="T10" i="54" s="1"/>
  <c r="S11" i="54"/>
  <c r="T11" i="54" s="1"/>
  <c r="S12" i="54"/>
  <c r="T12" i="54"/>
  <c r="S13" i="54"/>
  <c r="T13" i="54"/>
  <c r="S14" i="54"/>
  <c r="T14" i="54"/>
  <c r="S15" i="54"/>
  <c r="T15" i="54"/>
  <c r="S16" i="54"/>
  <c r="T16" i="54" s="1"/>
  <c r="S17" i="54"/>
  <c r="T17" i="54" s="1"/>
  <c r="S18" i="54"/>
  <c r="T18" i="54"/>
  <c r="S19" i="54"/>
  <c r="T19" i="54"/>
  <c r="S20" i="54"/>
  <c r="T20" i="54"/>
  <c r="S21" i="54"/>
  <c r="T21" i="54"/>
  <c r="S22" i="54"/>
  <c r="T22" i="54" s="1"/>
  <c r="S23" i="54"/>
  <c r="T23" i="54"/>
  <c r="S24" i="54"/>
  <c r="T24" i="54"/>
  <c r="S25" i="54"/>
  <c r="T25" i="54"/>
  <c r="S26" i="54"/>
  <c r="T26" i="54" s="1"/>
  <c r="S27" i="54"/>
  <c r="T27" i="54"/>
  <c r="S28" i="54"/>
  <c r="T28" i="54" s="1"/>
  <c r="S29" i="54"/>
  <c r="T29" i="54"/>
  <c r="S30" i="54"/>
  <c r="T30" i="54"/>
  <c r="S31" i="54"/>
  <c r="T31" i="54"/>
  <c r="S32" i="54"/>
  <c r="T32" i="54"/>
  <c r="S33" i="54"/>
  <c r="T33" i="54" s="1"/>
  <c r="S34" i="54"/>
  <c r="T34" i="54" s="1"/>
  <c r="S35" i="54"/>
  <c r="T35" i="54"/>
  <c r="S36" i="54"/>
  <c r="T36" i="54"/>
  <c r="S37" i="54"/>
  <c r="T37" i="54"/>
  <c r="S5" i="54"/>
  <c r="T5" i="54" s="1"/>
  <c r="Q5" i="54"/>
  <c r="R5" i="54"/>
  <c r="Q6" i="54"/>
  <c r="R6" i="54"/>
  <c r="Q7" i="54"/>
  <c r="R7" i="54"/>
  <c r="Q8" i="54"/>
  <c r="R8" i="54"/>
  <c r="Q9" i="54"/>
  <c r="R9" i="54"/>
  <c r="Q10" i="54"/>
  <c r="R10" i="54"/>
  <c r="Q11" i="54"/>
  <c r="R11" i="54"/>
  <c r="Q12" i="54"/>
  <c r="R12" i="54"/>
  <c r="Q13" i="54"/>
  <c r="R13" i="54"/>
  <c r="Q14" i="54"/>
  <c r="R14" i="54"/>
  <c r="Q15" i="54"/>
  <c r="R15" i="54"/>
  <c r="Q16" i="54"/>
  <c r="R16" i="54"/>
  <c r="Q17" i="54"/>
  <c r="R17" i="54"/>
  <c r="Q18" i="54"/>
  <c r="R18" i="54"/>
  <c r="Q19" i="54"/>
  <c r="R19" i="54"/>
  <c r="Q20" i="54"/>
  <c r="R20" i="54"/>
  <c r="Q21" i="54"/>
  <c r="R21" i="54"/>
  <c r="Q22" i="54"/>
  <c r="R22" i="54"/>
  <c r="Q23" i="54"/>
  <c r="R23" i="54"/>
  <c r="Q24" i="54"/>
  <c r="R24" i="54"/>
  <c r="Q25" i="54"/>
  <c r="R25" i="54"/>
  <c r="Q26" i="54"/>
  <c r="R26" i="54"/>
  <c r="Q27" i="54"/>
  <c r="R27" i="54"/>
  <c r="Q28" i="54"/>
  <c r="R28" i="54"/>
  <c r="Q29" i="54"/>
  <c r="R29" i="54"/>
  <c r="Q30" i="54"/>
  <c r="R30" i="54"/>
  <c r="Q31" i="54"/>
  <c r="R31" i="54"/>
  <c r="Q32" i="54"/>
  <c r="R32" i="54"/>
  <c r="Q33" i="54"/>
  <c r="R33" i="54"/>
  <c r="Q34" i="54"/>
  <c r="R34" i="54"/>
  <c r="Q35" i="54"/>
  <c r="R35" i="54"/>
  <c r="Q36" i="54"/>
  <c r="R36" i="54"/>
  <c r="Q37" i="54"/>
  <c r="R37" i="54"/>
  <c r="P6" i="54"/>
  <c r="P7" i="54"/>
  <c r="P8" i="54"/>
  <c r="P9" i="54"/>
  <c r="P10" i="54"/>
  <c r="P11" i="54"/>
  <c r="P12" i="54"/>
  <c r="P13" i="54"/>
  <c r="P14" i="54"/>
  <c r="P15" i="54"/>
  <c r="P16" i="54"/>
  <c r="P17" i="54"/>
  <c r="P18" i="54"/>
  <c r="P19" i="54"/>
  <c r="P20" i="54"/>
  <c r="P21" i="54"/>
  <c r="P22" i="54"/>
  <c r="P23" i="54"/>
  <c r="P24" i="54"/>
  <c r="P25" i="54"/>
  <c r="P26" i="54"/>
  <c r="P27" i="54"/>
  <c r="P28" i="54"/>
  <c r="P29" i="54"/>
  <c r="P30" i="54"/>
  <c r="P31" i="54"/>
  <c r="P32" i="54"/>
  <c r="P33" i="54"/>
  <c r="P34" i="54"/>
  <c r="P35" i="54"/>
  <c r="P36" i="54"/>
  <c r="P37" i="54"/>
  <c r="P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5" i="54"/>
  <c r="N37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5" i="54"/>
  <c r="P6" i="53"/>
  <c r="Q6" i="53"/>
  <c r="R6" i="53"/>
  <c r="P7" i="53"/>
  <c r="Q7" i="53"/>
  <c r="R7" i="53"/>
  <c r="P8" i="53"/>
  <c r="Q8" i="53"/>
  <c r="R8" i="53"/>
  <c r="P9" i="53"/>
  <c r="Q9" i="53"/>
  <c r="R9" i="53"/>
  <c r="P10" i="53"/>
  <c r="Q10" i="53"/>
  <c r="R10" i="53"/>
  <c r="P11" i="53"/>
  <c r="Q11" i="53"/>
  <c r="R11" i="53"/>
  <c r="P12" i="53"/>
  <c r="Q12" i="53"/>
  <c r="R12" i="53"/>
  <c r="P13" i="53"/>
  <c r="Q13" i="53"/>
  <c r="R13" i="53"/>
  <c r="P14" i="53"/>
  <c r="Q14" i="53"/>
  <c r="R14" i="53"/>
  <c r="P15" i="53"/>
  <c r="Q15" i="53"/>
  <c r="R15" i="53"/>
  <c r="P16" i="53"/>
  <c r="Q16" i="53"/>
  <c r="R16" i="53"/>
  <c r="P17" i="53"/>
  <c r="Q17" i="53"/>
  <c r="R17" i="53"/>
  <c r="P18" i="53"/>
  <c r="Q18" i="53"/>
  <c r="R18" i="53"/>
  <c r="P19" i="53"/>
  <c r="Q19" i="53"/>
  <c r="R19" i="53"/>
  <c r="P20" i="53"/>
  <c r="Q20" i="53"/>
  <c r="R20" i="53"/>
  <c r="P21" i="53"/>
  <c r="Q21" i="53"/>
  <c r="R21" i="53"/>
  <c r="P22" i="53"/>
  <c r="Q22" i="53"/>
  <c r="R22" i="53"/>
  <c r="P23" i="53"/>
  <c r="Q23" i="53"/>
  <c r="R23" i="53"/>
  <c r="P24" i="53"/>
  <c r="Q24" i="53"/>
  <c r="R24" i="53"/>
  <c r="P25" i="53"/>
  <c r="Q25" i="53"/>
  <c r="R25" i="53"/>
  <c r="P26" i="53"/>
  <c r="Q26" i="53"/>
  <c r="R26" i="53"/>
  <c r="P27" i="53"/>
  <c r="Q27" i="53"/>
  <c r="R27" i="53"/>
  <c r="P28" i="53"/>
  <c r="Q28" i="53"/>
  <c r="R28" i="53"/>
  <c r="P29" i="53"/>
  <c r="Q29" i="53"/>
  <c r="R29" i="53"/>
  <c r="P30" i="53"/>
  <c r="Q30" i="53"/>
  <c r="R30" i="53"/>
  <c r="P31" i="53"/>
  <c r="Q31" i="53"/>
  <c r="R31" i="53"/>
  <c r="P32" i="53"/>
  <c r="Q32" i="53"/>
  <c r="R32" i="53"/>
  <c r="P33" i="53"/>
  <c r="Q33" i="53"/>
  <c r="R33" i="53"/>
  <c r="P34" i="53"/>
  <c r="Q34" i="53"/>
  <c r="R34" i="53"/>
  <c r="P35" i="53"/>
  <c r="Q35" i="53"/>
  <c r="R35" i="53"/>
  <c r="P36" i="53"/>
  <c r="Q36" i="53"/>
  <c r="R36" i="53"/>
  <c r="P37" i="53"/>
  <c r="Q37" i="53"/>
  <c r="R37" i="53"/>
  <c r="P38" i="53"/>
  <c r="Q38" i="53"/>
  <c r="R38" i="53"/>
  <c r="P39" i="53"/>
  <c r="Q39" i="53"/>
  <c r="R39" i="53"/>
  <c r="P40" i="53"/>
  <c r="Q40" i="53"/>
  <c r="R40" i="53"/>
  <c r="P41" i="53"/>
  <c r="Q41" i="53"/>
  <c r="R41" i="53"/>
  <c r="P42" i="53"/>
  <c r="Q42" i="53"/>
  <c r="R42" i="53"/>
  <c r="P43" i="53"/>
  <c r="Q43" i="53"/>
  <c r="R43" i="53"/>
  <c r="P44" i="53"/>
  <c r="Q44" i="53"/>
  <c r="R44" i="53"/>
  <c r="P45" i="53"/>
  <c r="Q45" i="53"/>
  <c r="R45" i="53"/>
  <c r="P46" i="53"/>
  <c r="Q46" i="53"/>
  <c r="R46" i="53"/>
  <c r="P47" i="53"/>
  <c r="Q47" i="53"/>
  <c r="R47" i="53"/>
  <c r="P48" i="53"/>
  <c r="Q48" i="53"/>
  <c r="R48" i="53"/>
  <c r="P49" i="53"/>
  <c r="Q49" i="53"/>
  <c r="R49" i="53"/>
  <c r="P50" i="53"/>
  <c r="Q50" i="53"/>
  <c r="R50" i="53"/>
  <c r="P51" i="53"/>
  <c r="Q51" i="53"/>
  <c r="R51" i="53"/>
  <c r="P52" i="53"/>
  <c r="Q52" i="53"/>
  <c r="R52" i="53"/>
  <c r="P53" i="53"/>
  <c r="Q53" i="53"/>
  <c r="R53" i="53"/>
  <c r="P54" i="53"/>
  <c r="Q54" i="53"/>
  <c r="R54" i="53"/>
  <c r="P55" i="53"/>
  <c r="Q55" i="53"/>
  <c r="R55" i="53"/>
  <c r="P56" i="53"/>
  <c r="Q56" i="53"/>
  <c r="R56" i="53"/>
  <c r="P57" i="53"/>
  <c r="Q57" i="53"/>
  <c r="R57" i="53"/>
  <c r="P58" i="53"/>
  <c r="Q58" i="53"/>
  <c r="R58" i="53"/>
  <c r="P59" i="53"/>
  <c r="Q59" i="53"/>
  <c r="R59" i="53"/>
  <c r="P60" i="53"/>
  <c r="Q60" i="53"/>
  <c r="R60" i="53"/>
  <c r="P61" i="53"/>
  <c r="Q61" i="53"/>
  <c r="R61" i="53"/>
  <c r="P62" i="53"/>
  <c r="Q62" i="53"/>
  <c r="R62" i="53"/>
  <c r="P63" i="53"/>
  <c r="Q63" i="53"/>
  <c r="R63" i="53"/>
  <c r="P64" i="53"/>
  <c r="Q64" i="53"/>
  <c r="R64" i="53"/>
  <c r="P65" i="53"/>
  <c r="Q65" i="53"/>
  <c r="R65" i="53"/>
  <c r="R5" i="53"/>
  <c r="P5" i="53"/>
  <c r="Q5" i="53"/>
  <c r="O6" i="53"/>
  <c r="O7" i="53"/>
  <c r="O8" i="53"/>
  <c r="O9" i="53"/>
  <c r="O10" i="53"/>
  <c r="O11" i="53"/>
  <c r="O12" i="53"/>
  <c r="O13" i="53"/>
  <c r="O14" i="53"/>
  <c r="O15" i="53"/>
  <c r="O16" i="53"/>
  <c r="O17" i="53"/>
  <c r="O18" i="53"/>
  <c r="O19" i="53"/>
  <c r="O20" i="53"/>
  <c r="O21" i="53"/>
  <c r="O22" i="53"/>
  <c r="O23" i="53"/>
  <c r="O24" i="53"/>
  <c r="O25" i="53"/>
  <c r="O26" i="53"/>
  <c r="O27" i="53"/>
  <c r="O28" i="53"/>
  <c r="O29" i="53"/>
  <c r="O30" i="53"/>
  <c r="O31" i="53"/>
  <c r="O32" i="53"/>
  <c r="O33" i="53"/>
  <c r="O34" i="53"/>
  <c r="O35" i="53"/>
  <c r="O36" i="53"/>
  <c r="O37" i="53"/>
  <c r="O38" i="53"/>
  <c r="O39" i="53"/>
  <c r="O40" i="53"/>
  <c r="O41" i="53"/>
  <c r="O42" i="53"/>
  <c r="O43" i="53"/>
  <c r="O44" i="53"/>
  <c r="O45" i="53"/>
  <c r="O46" i="53"/>
  <c r="O47" i="53"/>
  <c r="O48" i="53"/>
  <c r="O49" i="53"/>
  <c r="O50" i="53"/>
  <c r="O51" i="53"/>
  <c r="O52" i="53"/>
  <c r="O53" i="53"/>
  <c r="O54" i="53"/>
  <c r="O55" i="53"/>
  <c r="O56" i="53"/>
  <c r="O57" i="53"/>
  <c r="O58" i="53"/>
  <c r="O59" i="53"/>
  <c r="O60" i="53"/>
  <c r="O61" i="53"/>
  <c r="O62" i="53"/>
  <c r="O63" i="53"/>
  <c r="O64" i="53"/>
  <c r="O65" i="53"/>
  <c r="O5" i="53"/>
  <c r="M4" i="3"/>
  <c r="L44" i="3"/>
  <c r="S6" i="53"/>
  <c r="T6" i="53" s="1"/>
  <c r="S7" i="53"/>
  <c r="T7" i="53" s="1"/>
  <c r="S8" i="53"/>
  <c r="T8" i="53" s="1"/>
  <c r="S9" i="53"/>
  <c r="T9" i="53"/>
  <c r="S10" i="53"/>
  <c r="T10" i="53"/>
  <c r="S11" i="53"/>
  <c r="T11" i="53"/>
  <c r="S12" i="53"/>
  <c r="T12" i="53" s="1"/>
  <c r="S13" i="53"/>
  <c r="T13" i="53"/>
  <c r="S14" i="53"/>
  <c r="T14" i="53"/>
  <c r="S15" i="53"/>
  <c r="T15" i="53"/>
  <c r="S16" i="53"/>
  <c r="T16" i="53" s="1"/>
  <c r="S17" i="53"/>
  <c r="T17" i="53" s="1"/>
  <c r="S18" i="53"/>
  <c r="T18" i="53" s="1"/>
  <c r="S19" i="53"/>
  <c r="T19" i="53"/>
  <c r="S20" i="53"/>
  <c r="T20" i="53" s="1"/>
  <c r="S21" i="53"/>
  <c r="T21" i="53"/>
  <c r="S22" i="53"/>
  <c r="T22" i="53"/>
  <c r="S23" i="53"/>
  <c r="T23" i="53" s="1"/>
  <c r="S24" i="53"/>
  <c r="T24" i="53" s="1"/>
  <c r="S25" i="53"/>
  <c r="T25" i="53"/>
  <c r="S26" i="53"/>
  <c r="T26" i="53"/>
  <c r="S27" i="53"/>
  <c r="T27" i="53"/>
  <c r="S28" i="53"/>
  <c r="T28" i="53"/>
  <c r="S29" i="53"/>
  <c r="T29" i="53" s="1"/>
  <c r="S30" i="53"/>
  <c r="T30" i="53" s="1"/>
  <c r="S31" i="53"/>
  <c r="T31" i="53" s="1"/>
  <c r="S32" i="53"/>
  <c r="T32" i="53"/>
  <c r="S33" i="53"/>
  <c r="T33" i="53" s="1"/>
  <c r="S34" i="53"/>
  <c r="T34" i="53"/>
  <c r="S35" i="53"/>
  <c r="T35" i="53"/>
  <c r="S36" i="53"/>
  <c r="T36" i="53" s="1"/>
  <c r="S37" i="53"/>
  <c r="T37" i="53"/>
  <c r="S38" i="53"/>
  <c r="T38" i="53" s="1"/>
  <c r="S39" i="53"/>
  <c r="T39" i="53"/>
  <c r="S40" i="53"/>
  <c r="T40" i="53"/>
  <c r="S41" i="53"/>
  <c r="T41" i="53"/>
  <c r="S42" i="53"/>
  <c r="T42" i="53" s="1"/>
  <c r="S43" i="53"/>
  <c r="T43" i="53" s="1"/>
  <c r="S44" i="53"/>
  <c r="T44" i="53" s="1"/>
  <c r="S45" i="53"/>
  <c r="T45" i="53"/>
  <c r="S46" i="53"/>
  <c r="T46" i="53" s="1"/>
  <c r="S47" i="53"/>
  <c r="T47" i="53"/>
  <c r="S48" i="53"/>
  <c r="T48" i="53" s="1"/>
  <c r="S49" i="53"/>
  <c r="T49" i="53" s="1"/>
  <c r="S50" i="53"/>
  <c r="T50" i="53" s="1"/>
  <c r="S51" i="53"/>
  <c r="T51" i="53"/>
  <c r="S52" i="53"/>
  <c r="T52" i="53"/>
  <c r="S53" i="53"/>
  <c r="T53" i="53"/>
  <c r="S54" i="53"/>
  <c r="T54" i="53" s="1"/>
  <c r="S55" i="53"/>
  <c r="T55" i="53"/>
  <c r="S56" i="53"/>
  <c r="T56" i="53" s="1"/>
  <c r="S57" i="53"/>
  <c r="T57" i="53" s="1"/>
  <c r="S58" i="53"/>
  <c r="T58" i="53"/>
  <c r="S59" i="53"/>
  <c r="T59" i="53" s="1"/>
  <c r="S60" i="53"/>
  <c r="T60" i="53" s="1"/>
  <c r="S61" i="53"/>
  <c r="T61" i="53"/>
  <c r="S62" i="53"/>
  <c r="T62" i="53" s="1"/>
  <c r="S63" i="53"/>
  <c r="T63" i="53" s="1"/>
  <c r="S64" i="53"/>
  <c r="T64" i="53"/>
  <c r="S65" i="53"/>
  <c r="T65" i="53"/>
  <c r="S5" i="53"/>
  <c r="T5" i="53" s="1"/>
  <c r="N6" i="53"/>
  <c r="N7" i="53"/>
  <c r="N8" i="53"/>
  <c r="N9" i="53"/>
  <c r="N10" i="53"/>
  <c r="N11" i="53"/>
  <c r="N12" i="53"/>
  <c r="N13" i="53"/>
  <c r="N14" i="53"/>
  <c r="N15" i="53"/>
  <c r="N16" i="53"/>
  <c r="N17" i="53"/>
  <c r="N18" i="53"/>
  <c r="N19" i="53"/>
  <c r="N20" i="53"/>
  <c r="N21" i="53"/>
  <c r="N22" i="53"/>
  <c r="N23" i="53"/>
  <c r="N24" i="53"/>
  <c r="N25" i="53"/>
  <c r="N26" i="53"/>
  <c r="N27" i="53"/>
  <c r="N28" i="53"/>
  <c r="N29" i="53"/>
  <c r="N30" i="53"/>
  <c r="N31" i="53"/>
  <c r="N32" i="53"/>
  <c r="N33" i="53"/>
  <c r="N34" i="53"/>
  <c r="N35" i="53"/>
  <c r="N36" i="53"/>
  <c r="N37" i="53"/>
  <c r="N38" i="53"/>
  <c r="N39" i="53"/>
  <c r="N40" i="53"/>
  <c r="N41" i="53"/>
  <c r="N42" i="53"/>
  <c r="N43" i="53"/>
  <c r="N44" i="53"/>
  <c r="N45" i="53"/>
  <c r="N46" i="53"/>
  <c r="N47" i="53"/>
  <c r="N48" i="53"/>
  <c r="N49" i="53"/>
  <c r="N50" i="53"/>
  <c r="N51" i="53"/>
  <c r="N52" i="53"/>
  <c r="N53" i="53"/>
  <c r="N54" i="53"/>
  <c r="N55" i="53"/>
  <c r="N56" i="53"/>
  <c r="N57" i="53"/>
  <c r="N58" i="53"/>
  <c r="N59" i="53"/>
  <c r="N60" i="53"/>
  <c r="N61" i="53"/>
  <c r="N62" i="53"/>
  <c r="N63" i="53"/>
  <c r="N64" i="53"/>
  <c r="N65" i="53"/>
  <c r="N5" i="53"/>
  <c r="N2" i="50"/>
  <c r="N2" i="54" l="1"/>
  <c r="N2" i="53"/>
  <c r="S54" i="47" l="1"/>
  <c r="S55" i="47"/>
  <c r="S56" i="47"/>
  <c r="S57" i="47"/>
  <c r="S58" i="47"/>
  <c r="S59" i="47"/>
  <c r="S60" i="47"/>
  <c r="S61" i="47"/>
  <c r="S62" i="47"/>
  <c r="S63" i="47"/>
  <c r="S64" i="47"/>
  <c r="S65" i="47"/>
  <c r="S66" i="47"/>
  <c r="S67" i="47"/>
  <c r="S68" i="47"/>
  <c r="S69" i="47"/>
  <c r="S70" i="47"/>
  <c r="S52" i="47"/>
  <c r="S53" i="47"/>
  <c r="A8" i="49"/>
  <c r="AF4" i="49"/>
  <c r="AF1" i="49" s="1"/>
  <c r="AD4" i="49"/>
  <c r="AD5" i="49" s="1"/>
  <c r="AD6" i="49" s="1"/>
  <c r="AD7" i="49" s="1"/>
  <c r="AD8" i="49" s="1"/>
  <c r="AD9" i="49" s="1"/>
  <c r="AD10" i="49" s="1"/>
  <c r="AD11" i="49" s="1"/>
  <c r="AD12" i="49" s="1"/>
  <c r="AD13" i="49" s="1"/>
  <c r="AD14" i="49" s="1"/>
  <c r="AD15" i="49" s="1"/>
  <c r="AD16" i="49" s="1"/>
  <c r="AD17" i="49" s="1"/>
  <c r="AD18" i="49" s="1"/>
  <c r="AD19" i="49" s="1"/>
  <c r="AD20" i="49" s="1"/>
  <c r="AD21" i="49" s="1"/>
  <c r="AD22" i="49" s="1"/>
  <c r="AD23" i="49" s="1"/>
  <c r="AD24" i="49" s="1"/>
  <c r="AD25" i="49" s="1"/>
  <c r="AD26" i="49" s="1"/>
  <c r="AD27" i="49" s="1"/>
  <c r="AD28" i="49" s="1"/>
  <c r="AD29" i="49" s="1"/>
  <c r="AB4" i="49"/>
  <c r="AB5" i="49" s="1"/>
  <c r="AB6" i="49" s="1"/>
  <c r="AB7" i="49" s="1"/>
  <c r="AB8" i="49" s="1"/>
  <c r="AB9" i="49" s="1"/>
  <c r="AB10" i="49" s="1"/>
  <c r="AB11" i="49" s="1"/>
  <c r="AB12" i="49" s="1"/>
  <c r="AB13" i="49" s="1"/>
  <c r="AB14" i="49" s="1"/>
  <c r="AB15" i="49" s="1"/>
  <c r="AB16" i="49" s="1"/>
  <c r="AB17" i="49" s="1"/>
  <c r="AB18" i="49" s="1"/>
  <c r="AB19" i="49" s="1"/>
  <c r="AB20" i="49" s="1"/>
  <c r="AB21" i="49" s="1"/>
  <c r="AB22" i="49" s="1"/>
  <c r="AB23" i="49" s="1"/>
  <c r="AB24" i="49" s="1"/>
  <c r="AB25" i="49" s="1"/>
  <c r="AB26" i="49" s="1"/>
  <c r="AB27" i="49" s="1"/>
  <c r="AB28" i="49" s="1"/>
  <c r="AB29" i="49" s="1"/>
  <c r="Z4" i="49"/>
  <c r="Z5" i="49" s="1"/>
  <c r="Z6" i="49" s="1"/>
  <c r="Z7" i="49" s="1"/>
  <c r="Z8" i="49" s="1"/>
  <c r="Z9" i="49" s="1"/>
  <c r="Z10" i="49" s="1"/>
  <c r="Z11" i="49" s="1"/>
  <c r="Z12" i="49" s="1"/>
  <c r="Z13" i="49" s="1"/>
  <c r="Z14" i="49" s="1"/>
  <c r="Z15" i="49" s="1"/>
  <c r="Z16" i="49" s="1"/>
  <c r="Z17" i="49" s="1"/>
  <c r="Z18" i="49" s="1"/>
  <c r="Z19" i="49" s="1"/>
  <c r="Z20" i="49" s="1"/>
  <c r="Z21" i="49" s="1"/>
  <c r="Z22" i="49" s="1"/>
  <c r="Z23" i="49" s="1"/>
  <c r="Z24" i="49" s="1"/>
  <c r="Z25" i="49" s="1"/>
  <c r="Z26" i="49" s="1"/>
  <c r="Z27" i="49" s="1"/>
  <c r="Z28" i="49" s="1"/>
  <c r="Z29" i="49" s="1"/>
  <c r="X4" i="49"/>
  <c r="X1" i="49" s="1"/>
  <c r="H4" i="49"/>
  <c r="F4" i="49"/>
  <c r="AF5" i="49" l="1"/>
  <c r="AF6" i="49" s="1"/>
  <c r="AF7" i="49" s="1"/>
  <c r="AF8" i="49" s="1"/>
  <c r="AF9" i="49" s="1"/>
  <c r="AF10" i="49" s="1"/>
  <c r="AF11" i="49" s="1"/>
  <c r="AF12" i="49" s="1"/>
  <c r="AF13" i="49" s="1"/>
  <c r="AF14" i="49" s="1"/>
  <c r="AF15" i="49" s="1"/>
  <c r="AF16" i="49" s="1"/>
  <c r="AF17" i="49" s="1"/>
  <c r="AF18" i="49" s="1"/>
  <c r="AF19" i="49" s="1"/>
  <c r="AF20" i="49" s="1"/>
  <c r="AF21" i="49" s="1"/>
  <c r="AF22" i="49" s="1"/>
  <c r="AF23" i="49" s="1"/>
  <c r="AF24" i="49" s="1"/>
  <c r="AF25" i="49" s="1"/>
  <c r="AF26" i="49" s="1"/>
  <c r="AF27" i="49" s="1"/>
  <c r="AF28" i="49" s="1"/>
  <c r="AF29" i="49" s="1"/>
  <c r="AD1" i="49"/>
  <c r="Z1" i="49"/>
  <c r="AB1" i="49"/>
  <c r="X5" i="49"/>
  <c r="X6" i="49" s="1"/>
  <c r="X7" i="49" s="1"/>
  <c r="X8" i="49" s="1"/>
  <c r="X9" i="49" s="1"/>
  <c r="X10" i="49" s="1"/>
  <c r="X11" i="49" s="1"/>
  <c r="X12" i="49" s="1"/>
  <c r="X13" i="49" s="1"/>
  <c r="X14" i="49" s="1"/>
  <c r="X15" i="49" s="1"/>
  <c r="X16" i="49" s="1"/>
  <c r="X17" i="49" s="1"/>
  <c r="X18" i="49" s="1"/>
  <c r="X19" i="49" s="1"/>
  <c r="X20" i="49" s="1"/>
  <c r="X21" i="49" s="1"/>
  <c r="X22" i="49" s="1"/>
  <c r="X23" i="49" s="1"/>
  <c r="X24" i="49" s="1"/>
  <c r="X25" i="49" s="1"/>
  <c r="X26" i="49" s="1"/>
  <c r="X27" i="49" s="1"/>
  <c r="X28" i="49" s="1"/>
  <c r="X29" i="49" s="1"/>
  <c r="F5" i="49"/>
  <c r="F6" i="49" s="1"/>
  <c r="F7" i="49" s="1"/>
  <c r="F8" i="49" s="1"/>
  <c r="F9" i="49" s="1"/>
  <c r="F10" i="49" s="1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H5" i="49"/>
  <c r="H6" i="49" s="1"/>
  <c r="H7" i="49" s="1"/>
  <c r="H8" i="49" s="1"/>
  <c r="H9" i="49" s="1"/>
  <c r="H10" i="49" s="1"/>
  <c r="H11" i="49" s="1"/>
  <c r="H12" i="49" s="1"/>
  <c r="H13" i="49" s="1"/>
  <c r="H14" i="49" s="1"/>
  <c r="H15" i="49" s="1"/>
  <c r="H16" i="49" s="1"/>
  <c r="H17" i="49" s="1"/>
  <c r="H18" i="49" s="1"/>
  <c r="H19" i="49" s="1"/>
  <c r="H20" i="49" s="1"/>
  <c r="H21" i="49" s="1"/>
  <c r="H22" i="49" s="1"/>
  <c r="H23" i="49" s="1"/>
  <c r="H24" i="49" s="1"/>
  <c r="H25" i="49" s="1"/>
  <c r="H26" i="49" s="1"/>
  <c r="H27" i="49" s="1"/>
  <c r="H28" i="49" s="1"/>
  <c r="H29" i="49" s="1"/>
  <c r="R4" i="49"/>
  <c r="R5" i="49" s="1"/>
  <c r="R6" i="49" s="1"/>
  <c r="R7" i="49" s="1"/>
  <c r="R8" i="49" s="1"/>
  <c r="R9" i="49" s="1"/>
  <c r="R10" i="49" s="1"/>
  <c r="R11" i="49" s="1"/>
  <c r="R12" i="49" s="1"/>
  <c r="R13" i="49" s="1"/>
  <c r="R14" i="49" s="1"/>
  <c r="R15" i="49" s="1"/>
  <c r="R16" i="49" s="1"/>
  <c r="R17" i="49" s="1"/>
  <c r="R18" i="49" s="1"/>
  <c r="R19" i="49" s="1"/>
  <c r="R20" i="49" s="1"/>
  <c r="R21" i="49" s="1"/>
  <c r="R22" i="49" s="1"/>
  <c r="R23" i="49" s="1"/>
  <c r="R24" i="49" s="1"/>
  <c r="R25" i="49" s="1"/>
  <c r="R26" i="49" s="1"/>
  <c r="R27" i="49" s="1"/>
  <c r="R28" i="49" s="1"/>
  <c r="R29" i="49" s="1"/>
  <c r="P4" i="49"/>
  <c r="P5" i="49" s="1"/>
  <c r="P6" i="49" s="1"/>
  <c r="P7" i="49" s="1"/>
  <c r="P8" i="49" s="1"/>
  <c r="P9" i="49" s="1"/>
  <c r="P10" i="49" s="1"/>
  <c r="P11" i="49" s="1"/>
  <c r="P12" i="49" s="1"/>
  <c r="P13" i="49" s="1"/>
  <c r="P14" i="49" s="1"/>
  <c r="P15" i="49" s="1"/>
  <c r="P16" i="49" s="1"/>
  <c r="P17" i="49" s="1"/>
  <c r="P18" i="49" s="1"/>
  <c r="P19" i="49" s="1"/>
  <c r="P20" i="49" s="1"/>
  <c r="P21" i="49" s="1"/>
  <c r="P22" i="49" s="1"/>
  <c r="P23" i="49" s="1"/>
  <c r="P24" i="49" s="1"/>
  <c r="P25" i="49" s="1"/>
  <c r="P26" i="49" s="1"/>
  <c r="P27" i="49" s="1"/>
  <c r="P28" i="49" s="1"/>
  <c r="P29" i="49" s="1"/>
  <c r="N4" i="49"/>
  <c r="N1" i="49" s="1"/>
  <c r="L4" i="49"/>
  <c r="L1" i="49" s="1"/>
  <c r="J4" i="49"/>
  <c r="J1" i="49" s="1"/>
  <c r="H1" i="49"/>
  <c r="K1" i="34"/>
  <c r="M204" i="47"/>
  <c r="M123" i="47"/>
  <c r="M117" i="47"/>
  <c r="M116" i="47"/>
  <c r="M52" i="47"/>
  <c r="M53" i="47"/>
  <c r="M54" i="47"/>
  <c r="M55" i="47"/>
  <c r="M56" i="47"/>
  <c r="M57" i="47"/>
  <c r="M58" i="47"/>
  <c r="M59" i="47"/>
  <c r="M60" i="47"/>
  <c r="M61" i="47"/>
  <c r="M62" i="47"/>
  <c r="M63" i="47"/>
  <c r="M64" i="47"/>
  <c r="M65" i="47"/>
  <c r="M66" i="47"/>
  <c r="M67" i="47"/>
  <c r="M68" i="47"/>
  <c r="M6" i="47"/>
  <c r="M7" i="47"/>
  <c r="M8" i="47"/>
  <c r="M9" i="47"/>
  <c r="M10" i="47"/>
  <c r="M11" i="47"/>
  <c r="M12" i="47"/>
  <c r="M13" i="47"/>
  <c r="M14" i="47"/>
  <c r="M15" i="47"/>
  <c r="M16" i="47"/>
  <c r="M17" i="47"/>
  <c r="M18" i="47"/>
  <c r="M19" i="47"/>
  <c r="M20" i="47"/>
  <c r="M21" i="47"/>
  <c r="M22" i="47"/>
  <c r="M23" i="47"/>
  <c r="M24" i="47"/>
  <c r="M25" i="47"/>
  <c r="M26" i="47"/>
  <c r="M27" i="47"/>
  <c r="M28" i="47"/>
  <c r="M29" i="47"/>
  <c r="M30" i="47"/>
  <c r="M31" i="47"/>
  <c r="M32" i="47"/>
  <c r="M33" i="47"/>
  <c r="M34" i="47"/>
  <c r="M35" i="47"/>
  <c r="M36" i="47"/>
  <c r="M37" i="47"/>
  <c r="M38" i="47"/>
  <c r="M39" i="47"/>
  <c r="M40" i="47"/>
  <c r="M41" i="47"/>
  <c r="M42" i="47"/>
  <c r="M43" i="47"/>
  <c r="M44" i="47"/>
  <c r="M45" i="47"/>
  <c r="M46" i="47"/>
  <c r="M47" i="47"/>
  <c r="M48" i="47"/>
  <c r="M49" i="47"/>
  <c r="M50" i="47"/>
  <c r="M51" i="47"/>
  <c r="M69" i="47"/>
  <c r="M70" i="47"/>
  <c r="M71" i="47"/>
  <c r="M72" i="47"/>
  <c r="M73" i="47"/>
  <c r="M74" i="47"/>
  <c r="M75" i="47"/>
  <c r="M76" i="47"/>
  <c r="M77" i="47"/>
  <c r="M78" i="47"/>
  <c r="M79" i="47"/>
  <c r="M80" i="47"/>
  <c r="M81" i="47"/>
  <c r="M82" i="47"/>
  <c r="M83" i="47"/>
  <c r="M84" i="47"/>
  <c r="M85" i="47"/>
  <c r="M86" i="47"/>
  <c r="M87" i="47"/>
  <c r="M88" i="47"/>
  <c r="M89" i="47"/>
  <c r="M90" i="47"/>
  <c r="M91" i="47"/>
  <c r="M92" i="47"/>
  <c r="M93" i="47"/>
  <c r="M94" i="47"/>
  <c r="M95" i="47"/>
  <c r="M96" i="47"/>
  <c r="M97" i="47"/>
  <c r="M98" i="47"/>
  <c r="M99" i="47"/>
  <c r="M100" i="47"/>
  <c r="M101" i="47"/>
  <c r="M102" i="47"/>
  <c r="M103" i="47"/>
  <c r="M104" i="47"/>
  <c r="M105" i="47"/>
  <c r="M106" i="47"/>
  <c r="M107" i="47"/>
  <c r="M108" i="47"/>
  <c r="M109" i="47"/>
  <c r="M110" i="47"/>
  <c r="M111" i="47"/>
  <c r="M112" i="47"/>
  <c r="M113" i="47"/>
  <c r="M114" i="47"/>
  <c r="M115" i="47"/>
  <c r="M118" i="47"/>
  <c r="M119" i="47"/>
  <c r="M120" i="47"/>
  <c r="M121" i="47"/>
  <c r="M122" i="47"/>
  <c r="M124" i="47"/>
  <c r="M125" i="47"/>
  <c r="M126" i="47"/>
  <c r="M127" i="47"/>
  <c r="M128" i="47"/>
  <c r="M129" i="47"/>
  <c r="M130" i="47"/>
  <c r="M131" i="47"/>
  <c r="M132" i="47"/>
  <c r="M133" i="47"/>
  <c r="M134" i="47"/>
  <c r="M135" i="47"/>
  <c r="M136" i="47"/>
  <c r="M137" i="47"/>
  <c r="M138" i="47"/>
  <c r="M139" i="47"/>
  <c r="M140" i="47"/>
  <c r="M141" i="47"/>
  <c r="M142" i="47"/>
  <c r="M143" i="47"/>
  <c r="M144" i="47"/>
  <c r="M145" i="47"/>
  <c r="M146" i="47"/>
  <c r="M147" i="47"/>
  <c r="M148" i="47"/>
  <c r="M149" i="47"/>
  <c r="M150" i="47"/>
  <c r="M151" i="47"/>
  <c r="M152" i="47"/>
  <c r="M153" i="47"/>
  <c r="M154" i="47"/>
  <c r="M155" i="47"/>
  <c r="M156" i="47"/>
  <c r="M157" i="47"/>
  <c r="M158" i="47"/>
  <c r="M159" i="47"/>
  <c r="M160" i="47"/>
  <c r="M161" i="47"/>
  <c r="M162" i="47"/>
  <c r="M163" i="47"/>
  <c r="M164" i="47"/>
  <c r="M165" i="47"/>
  <c r="M166" i="47"/>
  <c r="M167" i="47"/>
  <c r="M168" i="47"/>
  <c r="M169" i="47"/>
  <c r="M170" i="47"/>
  <c r="M171" i="47"/>
  <c r="M172" i="47"/>
  <c r="M173" i="47"/>
  <c r="M174" i="47"/>
  <c r="M175" i="47"/>
  <c r="M176" i="47"/>
  <c r="M177" i="47"/>
  <c r="M178" i="47"/>
  <c r="M179" i="47"/>
  <c r="M180" i="47"/>
  <c r="M181" i="47"/>
  <c r="M182" i="47"/>
  <c r="M183" i="47"/>
  <c r="M184" i="47"/>
  <c r="M185" i="47"/>
  <c r="M186" i="47"/>
  <c r="M187" i="47"/>
  <c r="M188" i="47"/>
  <c r="M189" i="47"/>
  <c r="M190" i="47"/>
  <c r="M191" i="47"/>
  <c r="M192" i="47"/>
  <c r="M193" i="47"/>
  <c r="M194" i="47"/>
  <c r="M195" i="47"/>
  <c r="M196" i="47"/>
  <c r="M197" i="47"/>
  <c r="M198" i="47"/>
  <c r="M199" i="47"/>
  <c r="M200" i="47"/>
  <c r="M201" i="47"/>
  <c r="M202" i="47"/>
  <c r="M203" i="47"/>
  <c r="S204" i="47"/>
  <c r="S203" i="47"/>
  <c r="S202" i="47"/>
  <c r="S201" i="47"/>
  <c r="S200" i="47"/>
  <c r="S199" i="47"/>
  <c r="S198" i="47"/>
  <c r="S197" i="47"/>
  <c r="S196" i="47"/>
  <c r="S195" i="47"/>
  <c r="S194" i="47"/>
  <c r="S193" i="47"/>
  <c r="S192" i="47"/>
  <c r="S191" i="47"/>
  <c r="S190" i="47"/>
  <c r="S189" i="47"/>
  <c r="S188" i="47"/>
  <c r="S187" i="47"/>
  <c r="S186" i="47"/>
  <c r="S185" i="47"/>
  <c r="S184" i="47"/>
  <c r="S183" i="47"/>
  <c r="S182" i="47"/>
  <c r="S181" i="47"/>
  <c r="S180" i="47"/>
  <c r="S179" i="47"/>
  <c r="S178" i="47"/>
  <c r="S177" i="47"/>
  <c r="S176" i="47"/>
  <c r="S175" i="47"/>
  <c r="S174" i="47"/>
  <c r="S173" i="47"/>
  <c r="S172" i="47"/>
  <c r="S171" i="47"/>
  <c r="S170" i="47"/>
  <c r="S169" i="47"/>
  <c r="S168" i="47"/>
  <c r="S167" i="47"/>
  <c r="S166" i="47"/>
  <c r="S165" i="47"/>
  <c r="S164" i="47"/>
  <c r="S163" i="47"/>
  <c r="S162" i="47"/>
  <c r="S161" i="47"/>
  <c r="S160" i="47"/>
  <c r="S159" i="47"/>
  <c r="S158" i="47"/>
  <c r="S157" i="47"/>
  <c r="S156" i="47"/>
  <c r="S155" i="47"/>
  <c r="S154" i="47"/>
  <c r="S153" i="47"/>
  <c r="S152" i="47"/>
  <c r="S151" i="47"/>
  <c r="S150" i="47"/>
  <c r="S149" i="47"/>
  <c r="S148" i="47"/>
  <c r="S147" i="47"/>
  <c r="S146" i="47"/>
  <c r="S145" i="47"/>
  <c r="S144" i="47"/>
  <c r="S143" i="47"/>
  <c r="S142" i="47"/>
  <c r="S141" i="47"/>
  <c r="S140" i="47"/>
  <c r="S139" i="47"/>
  <c r="S138" i="47"/>
  <c r="S137" i="47"/>
  <c r="S136" i="47"/>
  <c r="S135" i="47"/>
  <c r="S134" i="47"/>
  <c r="S133" i="47"/>
  <c r="S132" i="47"/>
  <c r="S131" i="47"/>
  <c r="S130" i="47"/>
  <c r="S129" i="47"/>
  <c r="S128" i="47"/>
  <c r="S127" i="47"/>
  <c r="S126" i="47"/>
  <c r="S125" i="47"/>
  <c r="S124" i="47"/>
  <c r="S123" i="47"/>
  <c r="S122" i="47"/>
  <c r="S121" i="47"/>
  <c r="S120" i="47"/>
  <c r="S119" i="47"/>
  <c r="S118" i="47"/>
  <c r="S117" i="47"/>
  <c r="S116" i="47"/>
  <c r="S115" i="47"/>
  <c r="S114" i="47"/>
  <c r="S113" i="47"/>
  <c r="S112" i="47"/>
  <c r="S111" i="47"/>
  <c r="S110" i="47"/>
  <c r="S109" i="47"/>
  <c r="S108" i="47"/>
  <c r="S107" i="47"/>
  <c r="S106" i="47"/>
  <c r="S105" i="47"/>
  <c r="S104" i="47"/>
  <c r="S103" i="47"/>
  <c r="S102" i="47"/>
  <c r="S101" i="47"/>
  <c r="S100" i="47"/>
  <c r="S99" i="47"/>
  <c r="S98" i="47"/>
  <c r="S97" i="47"/>
  <c r="S96" i="47"/>
  <c r="S95" i="47"/>
  <c r="S94" i="47"/>
  <c r="S93" i="47"/>
  <c r="S92" i="47"/>
  <c r="S91" i="47"/>
  <c r="S90" i="47"/>
  <c r="S89" i="47"/>
  <c r="S88" i="47"/>
  <c r="S87" i="47"/>
  <c r="S86" i="47"/>
  <c r="S85" i="47"/>
  <c r="S84" i="47"/>
  <c r="S83" i="47"/>
  <c r="S82" i="47"/>
  <c r="S81" i="47"/>
  <c r="S80" i="47"/>
  <c r="S79" i="47"/>
  <c r="S78" i="47"/>
  <c r="S77" i="47"/>
  <c r="S76" i="47"/>
  <c r="S75" i="47"/>
  <c r="S74" i="47"/>
  <c r="S73" i="47"/>
  <c r="S72" i="47"/>
  <c r="S71" i="47"/>
  <c r="S51" i="47"/>
  <c r="S50" i="47"/>
  <c r="S49" i="47"/>
  <c r="S48" i="47"/>
  <c r="S47" i="47"/>
  <c r="S46" i="47"/>
  <c r="S45" i="47"/>
  <c r="S44" i="47"/>
  <c r="S43" i="47"/>
  <c r="S42" i="47"/>
  <c r="S41" i="47"/>
  <c r="S40" i="47"/>
  <c r="S39" i="47"/>
  <c r="S38" i="47"/>
  <c r="S37" i="47"/>
  <c r="S36" i="47"/>
  <c r="S35" i="47"/>
  <c r="S34" i="47"/>
  <c r="S33" i="47"/>
  <c r="S32" i="47"/>
  <c r="S31" i="47"/>
  <c r="S30" i="47"/>
  <c r="S29" i="47"/>
  <c r="S28" i="47"/>
  <c r="S27" i="47"/>
  <c r="S26" i="47"/>
  <c r="S25" i="47"/>
  <c r="S24" i="47"/>
  <c r="S23" i="47"/>
  <c r="S22" i="47"/>
  <c r="S21" i="47"/>
  <c r="S20" i="47"/>
  <c r="S19" i="47"/>
  <c r="S18" i="47"/>
  <c r="S17" i="47"/>
  <c r="S16" i="47"/>
  <c r="S15" i="47"/>
  <c r="S14" i="47"/>
  <c r="S13" i="47"/>
  <c r="S12" i="47"/>
  <c r="S11" i="47"/>
  <c r="S10" i="47"/>
  <c r="S9" i="47"/>
  <c r="S8" i="47"/>
  <c r="S7" i="47"/>
  <c r="S6" i="47"/>
  <c r="S5" i="47"/>
  <c r="M5" i="47"/>
  <c r="Q6" i="45"/>
  <c r="R6" i="45" s="1"/>
  <c r="R3" i="45" s="1"/>
  <c r="Q7" i="45"/>
  <c r="Q8" i="45"/>
  <c r="Q9" i="45"/>
  <c r="Q10" i="45"/>
  <c r="Q11" i="45"/>
  <c r="R11" i="45" s="1"/>
  <c r="Q12" i="45"/>
  <c r="I60" i="46"/>
  <c r="J60" i="46" s="1"/>
  <c r="I61" i="46"/>
  <c r="J61" i="46" s="1"/>
  <c r="I62" i="46"/>
  <c r="J62" i="46" s="1"/>
  <c r="I63" i="46"/>
  <c r="J63" i="46" s="1"/>
  <c r="I64" i="46"/>
  <c r="J64" i="46" s="1"/>
  <c r="I65" i="46"/>
  <c r="J65" i="46" s="1"/>
  <c r="I66" i="46"/>
  <c r="J66" i="46" s="1"/>
  <c r="I67" i="46"/>
  <c r="J67" i="46" s="1"/>
  <c r="I68" i="46"/>
  <c r="J68" i="46" s="1"/>
  <c r="I69" i="46"/>
  <c r="J69" i="46" s="1"/>
  <c r="I70" i="46"/>
  <c r="J70" i="46" s="1"/>
  <c r="I71" i="46"/>
  <c r="J71" i="46" s="1"/>
  <c r="I72" i="46"/>
  <c r="J72" i="46"/>
  <c r="I73" i="46"/>
  <c r="J73" i="46" s="1"/>
  <c r="I74" i="46"/>
  <c r="J74" i="46" s="1"/>
  <c r="I75" i="46"/>
  <c r="J75" i="46" s="1"/>
  <c r="I76" i="46"/>
  <c r="J76" i="46" s="1"/>
  <c r="I77" i="46"/>
  <c r="J77" i="46" s="1"/>
  <c r="I78" i="46"/>
  <c r="J78" i="46" s="1"/>
  <c r="I79" i="46"/>
  <c r="J79" i="46" s="1"/>
  <c r="I80" i="46"/>
  <c r="J80" i="46" s="1"/>
  <c r="I59" i="46"/>
  <c r="J59" i="46" s="1"/>
  <c r="I57" i="46"/>
  <c r="J57" i="46" s="1"/>
  <c r="I58" i="46"/>
  <c r="J58" i="46" s="1"/>
  <c r="I50" i="46"/>
  <c r="J50" i="46" s="1"/>
  <c r="I51" i="46"/>
  <c r="J51" i="46" s="1"/>
  <c r="I52" i="46"/>
  <c r="J52" i="46" s="1"/>
  <c r="I53" i="46"/>
  <c r="J53" i="46" s="1"/>
  <c r="I54" i="46"/>
  <c r="J54" i="46" s="1"/>
  <c r="I55" i="46"/>
  <c r="J55" i="46" s="1"/>
  <c r="I56" i="46"/>
  <c r="J56" i="46" s="1"/>
  <c r="J86" i="46"/>
  <c r="I86" i="46"/>
  <c r="H86" i="46"/>
  <c r="J85" i="46"/>
  <c r="I85" i="46"/>
  <c r="H85" i="46"/>
  <c r="J84" i="46"/>
  <c r="I84" i="46"/>
  <c r="H84" i="46"/>
  <c r="J83" i="46"/>
  <c r="I83" i="46"/>
  <c r="H83" i="46"/>
  <c r="J82" i="46"/>
  <c r="I82" i="46"/>
  <c r="H82" i="46"/>
  <c r="J81" i="46"/>
  <c r="I81" i="46"/>
  <c r="H81" i="46"/>
  <c r="H80" i="46"/>
  <c r="H79" i="46"/>
  <c r="H78" i="46"/>
  <c r="H77" i="46"/>
  <c r="H76" i="46"/>
  <c r="H75" i="46"/>
  <c r="H74" i="46"/>
  <c r="H73" i="46"/>
  <c r="H72" i="46"/>
  <c r="H71" i="46"/>
  <c r="H70" i="46"/>
  <c r="H69" i="46"/>
  <c r="H68" i="46"/>
  <c r="H67" i="46"/>
  <c r="H66" i="46"/>
  <c r="H65" i="46"/>
  <c r="H62" i="46"/>
  <c r="H61" i="46"/>
  <c r="H60" i="46"/>
  <c r="H59" i="46"/>
  <c r="H58" i="46"/>
  <c r="H57" i="46"/>
  <c r="H56" i="46"/>
  <c r="H55" i="46"/>
  <c r="H54" i="46"/>
  <c r="H53" i="46"/>
  <c r="H52" i="46"/>
  <c r="H51" i="46"/>
  <c r="H50" i="46"/>
  <c r="I49" i="46"/>
  <c r="J49" i="46" s="1"/>
  <c r="H49" i="46"/>
  <c r="I48" i="46"/>
  <c r="J48" i="46" s="1"/>
  <c r="H48" i="46"/>
  <c r="I47" i="46"/>
  <c r="J47" i="46" s="1"/>
  <c r="H47" i="46"/>
  <c r="J46" i="46"/>
  <c r="I46" i="46"/>
  <c r="H46" i="46"/>
  <c r="I45" i="46"/>
  <c r="J45" i="46" s="1"/>
  <c r="H45" i="46"/>
  <c r="I44" i="46"/>
  <c r="J44" i="46" s="1"/>
  <c r="H44" i="46"/>
  <c r="I43" i="46"/>
  <c r="J43" i="46" s="1"/>
  <c r="H43" i="46"/>
  <c r="I42" i="46"/>
  <c r="J42" i="46" s="1"/>
  <c r="H42" i="46"/>
  <c r="I41" i="46"/>
  <c r="J41" i="46" s="1"/>
  <c r="H41" i="46"/>
  <c r="H40" i="46"/>
  <c r="H39" i="46"/>
  <c r="H38" i="46"/>
  <c r="H37" i="46"/>
  <c r="H36" i="46"/>
  <c r="H35" i="46"/>
  <c r="H34" i="46"/>
  <c r="H33" i="46"/>
  <c r="H32" i="46"/>
  <c r="H31" i="46"/>
  <c r="H30" i="46"/>
  <c r="H29" i="46"/>
  <c r="H28" i="46"/>
  <c r="H27" i="46"/>
  <c r="H26" i="46"/>
  <c r="H25" i="46"/>
  <c r="H24" i="46"/>
  <c r="H23" i="46"/>
  <c r="H22" i="46"/>
  <c r="H21" i="46"/>
  <c r="H20" i="46"/>
  <c r="H19" i="46"/>
  <c r="H18" i="46"/>
  <c r="H17" i="46"/>
  <c r="H16" i="46"/>
  <c r="H15" i="46"/>
  <c r="H14" i="46"/>
  <c r="H13" i="46"/>
  <c r="H12" i="46"/>
  <c r="H11" i="46"/>
  <c r="H10" i="46"/>
  <c r="H9" i="46"/>
  <c r="H8" i="46"/>
  <c r="H7" i="46"/>
  <c r="K6" i="46"/>
  <c r="K7" i="46" s="1"/>
  <c r="K8" i="46" s="1"/>
  <c r="K9" i="46" s="1"/>
  <c r="K10" i="46" s="1"/>
  <c r="K11" i="46" s="1"/>
  <c r="K12" i="46" s="1"/>
  <c r="K13" i="46" s="1"/>
  <c r="K14" i="46" s="1"/>
  <c r="K15" i="46" s="1"/>
  <c r="K16" i="46" s="1"/>
  <c r="K17" i="46" s="1"/>
  <c r="K18" i="46" s="1"/>
  <c r="K19" i="46" s="1"/>
  <c r="K20" i="46" s="1"/>
  <c r="K21" i="46" s="1"/>
  <c r="K22" i="46" s="1"/>
  <c r="K23" i="46" s="1"/>
  <c r="K24" i="46" s="1"/>
  <c r="K25" i="46" s="1"/>
  <c r="K26" i="46" s="1"/>
  <c r="K27" i="46" s="1"/>
  <c r="K28" i="46" s="1"/>
  <c r="K29" i="46" s="1"/>
  <c r="K30" i="46" s="1"/>
  <c r="K31" i="46" s="1"/>
  <c r="K32" i="46" s="1"/>
  <c r="H6" i="46"/>
  <c r="B3" i="46"/>
  <c r="R12" i="45"/>
  <c r="P12" i="45"/>
  <c r="O12" i="45"/>
  <c r="N12" i="45"/>
  <c r="M12" i="45"/>
  <c r="L12" i="45"/>
  <c r="P11" i="45"/>
  <c r="O11" i="45"/>
  <c r="N11" i="45"/>
  <c r="M11" i="45"/>
  <c r="L11" i="45"/>
  <c r="R10" i="45"/>
  <c r="P10" i="45"/>
  <c r="O10" i="45"/>
  <c r="N10" i="45"/>
  <c r="M10" i="45"/>
  <c r="L10" i="45"/>
  <c r="R9" i="45"/>
  <c r="P9" i="45"/>
  <c r="O9" i="45"/>
  <c r="N9" i="45"/>
  <c r="M9" i="45"/>
  <c r="L9" i="45"/>
  <c r="R8" i="45"/>
  <c r="P8" i="45"/>
  <c r="O8" i="45"/>
  <c r="N8" i="45"/>
  <c r="M8" i="45"/>
  <c r="L8" i="45"/>
  <c r="R7" i="45"/>
  <c r="P7" i="45"/>
  <c r="O7" i="45"/>
  <c r="N7" i="45"/>
  <c r="M7" i="45"/>
  <c r="L7" i="45"/>
  <c r="P6" i="45"/>
  <c r="O6" i="45"/>
  <c r="N6" i="45"/>
  <c r="M6" i="45"/>
  <c r="L6" i="45"/>
  <c r="B3" i="45"/>
  <c r="R2" i="45" s="1"/>
  <c r="B4" i="45" l="1"/>
  <c r="B2" i="45"/>
  <c r="J5" i="49"/>
  <c r="J6" i="49" s="1"/>
  <c r="J7" i="49" s="1"/>
  <c r="J8" i="49" s="1"/>
  <c r="J9" i="49" s="1"/>
  <c r="J10" i="49" s="1"/>
  <c r="J11" i="49" s="1"/>
  <c r="J12" i="49" s="1"/>
  <c r="J13" i="49" s="1"/>
  <c r="J14" i="49" s="1"/>
  <c r="J15" i="49" s="1"/>
  <c r="J16" i="49" s="1"/>
  <c r="J17" i="49" s="1"/>
  <c r="J18" i="49" s="1"/>
  <c r="J19" i="49" s="1"/>
  <c r="J20" i="49" s="1"/>
  <c r="J21" i="49" s="1"/>
  <c r="J22" i="49" s="1"/>
  <c r="J23" i="49" s="1"/>
  <c r="J24" i="49" s="1"/>
  <c r="J25" i="49" s="1"/>
  <c r="J26" i="49" s="1"/>
  <c r="J27" i="49" s="1"/>
  <c r="J28" i="49" s="1"/>
  <c r="J29" i="49" s="1"/>
  <c r="L5" i="49"/>
  <c r="L6" i="49" s="1"/>
  <c r="L7" i="49" s="1"/>
  <c r="L8" i="49" s="1"/>
  <c r="L9" i="49" s="1"/>
  <c r="L10" i="49" s="1"/>
  <c r="L11" i="49" s="1"/>
  <c r="L12" i="49" s="1"/>
  <c r="L13" i="49" s="1"/>
  <c r="L14" i="49" s="1"/>
  <c r="L15" i="49" s="1"/>
  <c r="L16" i="49" s="1"/>
  <c r="L17" i="49" s="1"/>
  <c r="L18" i="49" s="1"/>
  <c r="L19" i="49" s="1"/>
  <c r="L20" i="49" s="1"/>
  <c r="L21" i="49" s="1"/>
  <c r="L22" i="49" s="1"/>
  <c r="L23" i="49" s="1"/>
  <c r="L24" i="49" s="1"/>
  <c r="L25" i="49" s="1"/>
  <c r="L26" i="49" s="1"/>
  <c r="L27" i="49" s="1"/>
  <c r="L28" i="49" s="1"/>
  <c r="L29" i="49" s="1"/>
  <c r="N5" i="49"/>
  <c r="N6" i="49" s="1"/>
  <c r="N7" i="49" s="1"/>
  <c r="N8" i="49" s="1"/>
  <c r="N9" i="49" s="1"/>
  <c r="N10" i="49" s="1"/>
  <c r="N11" i="49" s="1"/>
  <c r="N12" i="49" s="1"/>
  <c r="N13" i="49" s="1"/>
  <c r="N14" i="49" s="1"/>
  <c r="N15" i="49" s="1"/>
  <c r="N16" i="49" s="1"/>
  <c r="N17" i="49" s="1"/>
  <c r="N18" i="49" s="1"/>
  <c r="N19" i="49" s="1"/>
  <c r="N20" i="49" s="1"/>
  <c r="N21" i="49" s="1"/>
  <c r="N22" i="49" s="1"/>
  <c r="N23" i="49" s="1"/>
  <c r="N24" i="49" s="1"/>
  <c r="N25" i="49" s="1"/>
  <c r="N26" i="49" s="1"/>
  <c r="N27" i="49" s="1"/>
  <c r="N28" i="49" s="1"/>
  <c r="N29" i="49" s="1"/>
  <c r="P1" i="49"/>
  <c r="R1" i="49"/>
  <c r="F1" i="49"/>
  <c r="L26" i="46"/>
  <c r="B4" i="46"/>
  <c r="B2" i="46" s="1"/>
  <c r="R2" i="47"/>
  <c r="R1" i="45"/>
  <c r="K1" i="8" l="1"/>
  <c r="K1" i="3"/>
  <c r="Y2" i="3"/>
  <c r="X21" i="3"/>
  <c r="X22" i="3"/>
  <c r="X23" i="3"/>
  <c r="X24" i="3"/>
  <c r="X25" i="3"/>
  <c r="X26" i="3"/>
  <c r="Y26" i="3" s="1"/>
  <c r="X27" i="3"/>
  <c r="Y27" i="3" s="1"/>
  <c r="X28" i="3"/>
  <c r="Y28" i="3" s="1"/>
  <c r="X29" i="3"/>
  <c r="Y29" i="3" s="1"/>
  <c r="X30" i="3"/>
  <c r="Y30" i="3" s="1"/>
  <c r="X31" i="3"/>
  <c r="Y31" i="3" s="1"/>
  <c r="X32" i="3"/>
  <c r="Y32" i="3" s="1"/>
  <c r="X33" i="3"/>
  <c r="X34" i="3"/>
  <c r="X35" i="3"/>
  <c r="X36" i="3"/>
  <c r="X37" i="3"/>
  <c r="X38" i="3"/>
  <c r="Y38" i="3" s="1"/>
  <c r="X39" i="3"/>
  <c r="Y39" i="3" s="1"/>
  <c r="X40" i="3"/>
  <c r="Y40" i="3" s="1"/>
  <c r="X41" i="3"/>
  <c r="Y41" i="3" s="1"/>
  <c r="X42" i="3"/>
  <c r="Y42" i="3" s="1"/>
  <c r="X43" i="3"/>
  <c r="X61" i="3"/>
  <c r="X62" i="3"/>
  <c r="X63" i="3"/>
  <c r="X64" i="3"/>
  <c r="Y64" i="3" s="1"/>
  <c r="X65" i="3"/>
  <c r="Y65" i="3" s="1"/>
  <c r="X66" i="3"/>
  <c r="Y66" i="3" s="1"/>
  <c r="X67" i="3"/>
  <c r="Y67" i="3" s="1"/>
  <c r="X68" i="3"/>
  <c r="X75" i="3"/>
  <c r="X74" i="3"/>
  <c r="X73" i="3"/>
  <c r="Y73" i="3" s="1"/>
  <c r="X94" i="3"/>
  <c r="X95" i="3"/>
  <c r="X96" i="3"/>
  <c r="X97" i="3"/>
  <c r="X98" i="3"/>
  <c r="Y98" i="3" s="1"/>
  <c r="X99" i="3"/>
  <c r="Y99" i="3" s="1"/>
  <c r="X100" i="3"/>
  <c r="Y100" i="3" s="1"/>
  <c r="X93" i="3"/>
  <c r="Y93" i="3" s="1"/>
  <c r="X116" i="3"/>
  <c r="X117" i="3"/>
  <c r="X118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4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33" i="3"/>
  <c r="Y34" i="3"/>
  <c r="Y35" i="3"/>
  <c r="Y36" i="3"/>
  <c r="Y37" i="3"/>
  <c r="Y43" i="3"/>
  <c r="Y44" i="3"/>
  <c r="Y45" i="3"/>
  <c r="Y46" i="3"/>
  <c r="Y47" i="3"/>
  <c r="Y48" i="3"/>
  <c r="Y49" i="3"/>
  <c r="Y50" i="3"/>
  <c r="Y51" i="3"/>
  <c r="Y52" i="3"/>
  <c r="Y54" i="3"/>
  <c r="Y55" i="3"/>
  <c r="Y56" i="3"/>
  <c r="Y57" i="3"/>
  <c r="Y58" i="3"/>
  <c r="Y59" i="3"/>
  <c r="Y60" i="3"/>
  <c r="Y61" i="3"/>
  <c r="Y62" i="3"/>
  <c r="Y63" i="3"/>
  <c r="Y68" i="3"/>
  <c r="Y69" i="3"/>
  <c r="Y70" i="3"/>
  <c r="Y71" i="3"/>
  <c r="Y72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4" i="3"/>
  <c r="Y95" i="3"/>
  <c r="Y96" i="3"/>
  <c r="Y97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4" i="41"/>
  <c r="Y5" i="41"/>
  <c r="Y6" i="41"/>
  <c r="Y7" i="41"/>
  <c r="Y8" i="41"/>
  <c r="Y9" i="41"/>
  <c r="Y10" i="41"/>
  <c r="Y11" i="41"/>
  <c r="Y12" i="41"/>
  <c r="Y13" i="41"/>
  <c r="Y14" i="41"/>
  <c r="Y15" i="41"/>
  <c r="X44" i="3"/>
  <c r="X45" i="3"/>
  <c r="X46" i="3"/>
  <c r="X47" i="3"/>
  <c r="X48" i="3"/>
  <c r="X49" i="3"/>
  <c r="X50" i="3"/>
  <c r="X51" i="3"/>
  <c r="X52" i="3"/>
  <c r="X53" i="3"/>
  <c r="Y53" i="3" s="1"/>
  <c r="X54" i="3"/>
  <c r="X55" i="3"/>
  <c r="X56" i="3"/>
  <c r="X57" i="3"/>
  <c r="X58" i="3"/>
  <c r="X59" i="3"/>
  <c r="X60" i="3"/>
  <c r="X69" i="3"/>
  <c r="X70" i="3"/>
  <c r="X71" i="3"/>
  <c r="X72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Y12" i="43"/>
  <c r="Y11" i="43"/>
  <c r="Y10" i="43"/>
  <c r="Y9" i="43"/>
  <c r="Y8" i="43"/>
  <c r="Y7" i="43"/>
  <c r="Y6" i="43"/>
  <c r="Y5" i="43"/>
  <c r="X6" i="43"/>
  <c r="Y4" i="43"/>
  <c r="X5" i="43"/>
  <c r="X7" i="43"/>
  <c r="X8" i="43"/>
  <c r="X9" i="43"/>
  <c r="X10" i="43"/>
  <c r="X11" i="43"/>
  <c r="X12" i="43"/>
  <c r="X4" i="43"/>
  <c r="Y2" i="43" l="1"/>
  <c r="L52" i="36"/>
  <c r="L53" i="36"/>
  <c r="L54" i="36"/>
  <c r="L55" i="36"/>
  <c r="L56" i="36"/>
  <c r="L57" i="36"/>
  <c r="L58" i="36"/>
  <c r="M52" i="36"/>
  <c r="M53" i="36"/>
  <c r="M54" i="36"/>
  <c r="M55" i="36"/>
  <c r="M56" i="36"/>
  <c r="M57" i="36"/>
  <c r="M58" i="36"/>
  <c r="N52" i="36"/>
  <c r="N53" i="36"/>
  <c r="N54" i="36"/>
  <c r="N55" i="36"/>
  <c r="N56" i="36"/>
  <c r="N57" i="36"/>
  <c r="N58" i="36"/>
  <c r="O52" i="36"/>
  <c r="O53" i="36"/>
  <c r="O54" i="36"/>
  <c r="O55" i="36"/>
  <c r="O56" i="36"/>
  <c r="O57" i="36"/>
  <c r="O58" i="36"/>
  <c r="X52" i="36"/>
  <c r="X53" i="36"/>
  <c r="X54" i="36"/>
  <c r="X55" i="36"/>
  <c r="X56" i="36"/>
  <c r="X57" i="36"/>
  <c r="X58" i="36"/>
  <c r="Z17" i="34" l="1"/>
  <c r="X5" i="41"/>
  <c r="Z5" i="41" s="1"/>
  <c r="X6" i="41"/>
  <c r="Z6" i="41" s="1"/>
  <c r="X7" i="41"/>
  <c r="X8" i="41"/>
  <c r="X9" i="41"/>
  <c r="Z9" i="41" s="1"/>
  <c r="X10" i="41"/>
  <c r="X11" i="41"/>
  <c r="X12" i="41"/>
  <c r="X13" i="41"/>
  <c r="X14" i="41"/>
  <c r="X4" i="41"/>
  <c r="Z4" i="41" s="1"/>
  <c r="X15" i="41"/>
  <c r="E2" i="44"/>
  <c r="E2" i="41"/>
  <c r="Z15" i="41" l="1"/>
  <c r="Z11" i="41"/>
  <c r="Z10" i="41"/>
  <c r="Z14" i="41"/>
  <c r="Z8" i="41"/>
  <c r="Z12" i="41"/>
  <c r="Z7" i="41"/>
  <c r="Z13" i="41"/>
  <c r="X5" i="35"/>
  <c r="X6" i="35"/>
  <c r="X7" i="35"/>
  <c r="X8" i="35"/>
  <c r="X9" i="35"/>
  <c r="X10" i="35"/>
  <c r="X11" i="35"/>
  <c r="X12" i="35"/>
  <c r="X13" i="35"/>
  <c r="X14" i="35"/>
  <c r="X15" i="35"/>
  <c r="X16" i="35"/>
  <c r="X17" i="35"/>
  <c r="X18" i="35"/>
  <c r="X19" i="35"/>
  <c r="Y19" i="35" s="1"/>
  <c r="X20" i="35"/>
  <c r="Y20" i="35" s="1"/>
  <c r="X21" i="35"/>
  <c r="Y21" i="35" s="1"/>
  <c r="X22" i="35"/>
  <c r="Y22" i="35" s="1"/>
  <c r="X23" i="35"/>
  <c r="Y23" i="35" s="1"/>
  <c r="X24" i="35"/>
  <c r="Y24" i="35" s="1"/>
  <c r="X25" i="35"/>
  <c r="Y25" i="35" s="1"/>
  <c r="X26" i="35"/>
  <c r="Y26" i="35" s="1"/>
  <c r="X27" i="35"/>
  <c r="Y27" i="35" s="1"/>
  <c r="X29" i="35"/>
  <c r="Y29" i="35" s="1"/>
  <c r="X30" i="35"/>
  <c r="Y30" i="35" s="1"/>
  <c r="X28" i="35"/>
  <c r="Y28" i="35" s="1"/>
  <c r="X4" i="34"/>
  <c r="Z4" i="34" s="1"/>
  <c r="X5" i="34"/>
  <c r="Z5" i="34" s="1"/>
  <c r="X6" i="34"/>
  <c r="Z6" i="34" s="1"/>
  <c r="X7" i="34"/>
  <c r="Z7" i="34" s="1"/>
  <c r="X8" i="34"/>
  <c r="X9" i="34"/>
  <c r="X10" i="34"/>
  <c r="X11" i="34"/>
  <c r="X12" i="34"/>
  <c r="Z12" i="34" s="1"/>
  <c r="X13" i="34"/>
  <c r="Z13" i="34" s="1"/>
  <c r="X14" i="34"/>
  <c r="Z14" i="34" s="1"/>
  <c r="X15" i="34"/>
  <c r="Z15" i="34" s="1"/>
  <c r="X16" i="34"/>
  <c r="X18" i="34"/>
  <c r="X19" i="34"/>
  <c r="X20" i="34"/>
  <c r="X21" i="34"/>
  <c r="Z21" i="34" s="1"/>
  <c r="X22" i="34"/>
  <c r="Z22" i="34" s="1"/>
  <c r="X23" i="34"/>
  <c r="Z23" i="34" s="1"/>
  <c r="X24" i="34"/>
  <c r="Z24" i="34" s="1"/>
  <c r="X25" i="34"/>
  <c r="X26" i="34"/>
  <c r="X27" i="34"/>
  <c r="X28" i="34"/>
  <c r="X29" i="34"/>
  <c r="X30" i="34"/>
  <c r="Z30" i="34" s="1"/>
  <c r="X31" i="34"/>
  <c r="Z31" i="34" s="1"/>
  <c r="X32" i="34"/>
  <c r="Z32" i="34" s="1"/>
  <c r="X33" i="34"/>
  <c r="Z33" i="34" s="1"/>
  <c r="X34" i="34"/>
  <c r="X35" i="34"/>
  <c r="Z35" i="34" s="1"/>
  <c r="X36" i="34"/>
  <c r="X37" i="34"/>
  <c r="X38" i="34"/>
  <c r="Z38" i="34" s="1"/>
  <c r="X39" i="34"/>
  <c r="Z39" i="34" s="1"/>
  <c r="X40" i="34"/>
  <c r="Z40" i="34" s="1"/>
  <c r="X41" i="34"/>
  <c r="Z41" i="34" s="1"/>
  <c r="X42" i="34"/>
  <c r="X41" i="36"/>
  <c r="Z41" i="36" s="1"/>
  <c r="AA41" i="36" s="1"/>
  <c r="X4" i="36"/>
  <c r="Z4" i="36" s="1"/>
  <c r="X5" i="36"/>
  <c r="Z5" i="36" s="1"/>
  <c r="X6" i="36"/>
  <c r="Z6" i="36" s="1"/>
  <c r="X7" i="36"/>
  <c r="X8" i="36"/>
  <c r="X9" i="36"/>
  <c r="X10" i="36"/>
  <c r="X11" i="36"/>
  <c r="Z11" i="36" s="1"/>
  <c r="AA11" i="36" s="1"/>
  <c r="X12" i="36"/>
  <c r="Z12" i="36" s="1"/>
  <c r="AA12" i="36" s="1"/>
  <c r="X13" i="36"/>
  <c r="Z13" i="36" s="1"/>
  <c r="AA13" i="36" s="1"/>
  <c r="X14" i="36"/>
  <c r="Z14" i="36" s="1"/>
  <c r="AA14" i="36" s="1"/>
  <c r="X15" i="36"/>
  <c r="Z15" i="36" s="1"/>
  <c r="AA15" i="36" s="1"/>
  <c r="X16" i="36"/>
  <c r="X17" i="36"/>
  <c r="X18" i="36"/>
  <c r="X19" i="36"/>
  <c r="Z19" i="36" s="1"/>
  <c r="AA19" i="36" s="1"/>
  <c r="X20" i="36"/>
  <c r="Z20" i="36" s="1"/>
  <c r="AA20" i="36" s="1"/>
  <c r="X21" i="36"/>
  <c r="Z21" i="36" s="1"/>
  <c r="AA21" i="36" s="1"/>
  <c r="X22" i="36"/>
  <c r="Z22" i="36" s="1"/>
  <c r="AA22" i="36" s="1"/>
  <c r="X23" i="36"/>
  <c r="X24" i="36"/>
  <c r="Z24" i="36" s="1"/>
  <c r="AA24" i="36" s="1"/>
  <c r="X25" i="36"/>
  <c r="X26" i="36"/>
  <c r="Z26" i="36" s="1"/>
  <c r="AA26" i="36" s="1"/>
  <c r="X27" i="36"/>
  <c r="Z27" i="36" s="1"/>
  <c r="AA27" i="36" s="1"/>
  <c r="X28" i="36"/>
  <c r="Z28" i="36" s="1"/>
  <c r="AA28" i="36" s="1"/>
  <c r="X29" i="36"/>
  <c r="Z29" i="36" s="1"/>
  <c r="AA29" i="36" s="1"/>
  <c r="X30" i="36"/>
  <c r="Z30" i="36" s="1"/>
  <c r="AA30" i="36" s="1"/>
  <c r="X31" i="36"/>
  <c r="Z31" i="36" s="1"/>
  <c r="AA31" i="36" s="1"/>
  <c r="X32" i="36"/>
  <c r="X33" i="36"/>
  <c r="X34" i="36"/>
  <c r="X35" i="36"/>
  <c r="Z35" i="36" s="1"/>
  <c r="AA35" i="36" s="1"/>
  <c r="X36" i="36"/>
  <c r="Z36" i="36" s="1"/>
  <c r="AA36" i="36" s="1"/>
  <c r="X37" i="36"/>
  <c r="Z37" i="36" s="1"/>
  <c r="AA37" i="36" s="1"/>
  <c r="X38" i="36"/>
  <c r="Z38" i="36" s="1"/>
  <c r="AA38" i="36" s="1"/>
  <c r="X39" i="36"/>
  <c r="X40" i="36"/>
  <c r="X42" i="36"/>
  <c r="X43" i="36"/>
  <c r="Z43" i="36" s="1"/>
  <c r="AA43" i="36" s="1"/>
  <c r="X44" i="36"/>
  <c r="X45" i="36"/>
  <c r="X46" i="36"/>
  <c r="X47" i="36"/>
  <c r="Z47" i="36" s="1"/>
  <c r="X48" i="36"/>
  <c r="Z48" i="36" s="1"/>
  <c r="X49" i="36"/>
  <c r="Z49" i="36" s="1"/>
  <c r="X50" i="36"/>
  <c r="Z50" i="36" s="1"/>
  <c r="X51" i="36"/>
  <c r="Z44" i="36" l="1"/>
  <c r="AA44" i="36" s="1"/>
  <c r="Z46" i="36"/>
  <c r="AA46" i="36" s="1"/>
  <c r="Z45" i="36"/>
  <c r="AA45" i="36" s="1"/>
  <c r="Z51" i="36"/>
  <c r="AA51" i="36" s="1"/>
  <c r="Y5" i="36"/>
  <c r="Y31" i="36"/>
  <c r="Y37" i="36"/>
  <c r="Y14" i="36"/>
  <c r="Y13" i="36"/>
  <c r="Y22" i="36"/>
  <c r="Y26" i="36"/>
  <c r="Y12" i="34"/>
  <c r="Y13" i="34"/>
  <c r="Y31" i="34"/>
  <c r="Y30" i="34"/>
  <c r="Y22" i="34"/>
  <c r="Y24" i="34"/>
  <c r="Y21" i="34"/>
  <c r="Y23" i="34"/>
  <c r="Y41" i="34"/>
  <c r="Y7" i="34"/>
  <c r="Y40" i="34"/>
  <c r="Y6" i="34"/>
  <c r="Y39" i="34"/>
  <c r="Y5" i="34"/>
  <c r="Y38" i="34"/>
  <c r="Y4" i="34"/>
  <c r="Y43" i="36"/>
  <c r="Y30" i="36"/>
  <c r="Y29" i="36"/>
  <c r="Y6" i="36"/>
  <c r="Y15" i="36"/>
  <c r="Y21" i="36"/>
  <c r="Y46" i="36"/>
  <c r="Y36" i="36"/>
  <c r="Y20" i="36"/>
  <c r="Y12" i="36"/>
  <c r="Y45" i="36"/>
  <c r="Y28" i="36"/>
  <c r="Y44" i="36"/>
  <c r="Y4" i="36"/>
  <c r="Y38" i="36"/>
  <c r="Y24" i="36"/>
  <c r="Y50" i="36"/>
  <c r="AA50" i="36"/>
  <c r="Y42" i="36"/>
  <c r="Z42" i="36"/>
  <c r="AA42" i="36" s="1"/>
  <c r="Y34" i="36"/>
  <c r="Z34" i="36"/>
  <c r="AA34" i="36" s="1"/>
  <c r="Y18" i="36"/>
  <c r="Z18" i="36"/>
  <c r="AA18" i="36" s="1"/>
  <c r="Y10" i="36"/>
  <c r="Z10" i="36"/>
  <c r="AA10" i="36" s="1"/>
  <c r="Y49" i="36"/>
  <c r="AA49" i="36"/>
  <c r="Y41" i="36"/>
  <c r="Y33" i="36"/>
  <c r="Z33" i="36"/>
  <c r="AA33" i="36" s="1"/>
  <c r="Y25" i="36"/>
  <c r="Z25" i="36"/>
  <c r="AA25" i="36" s="1"/>
  <c r="Y17" i="36"/>
  <c r="Z17" i="36"/>
  <c r="AA17" i="36" s="1"/>
  <c r="Y9" i="36"/>
  <c r="Z9" i="36"/>
  <c r="Y16" i="36"/>
  <c r="Z16" i="36"/>
  <c r="AA16" i="36" s="1"/>
  <c r="Y8" i="36"/>
  <c r="Z8" i="36"/>
  <c r="Y51" i="36"/>
  <c r="Y27" i="36"/>
  <c r="Y47" i="36"/>
  <c r="AA47" i="36"/>
  <c r="Y39" i="36"/>
  <c r="Z39" i="36"/>
  <c r="AA39" i="36" s="1"/>
  <c r="Y23" i="36"/>
  <c r="Z23" i="36"/>
  <c r="AA23" i="36" s="1"/>
  <c r="Y7" i="36"/>
  <c r="Z7" i="36"/>
  <c r="Y48" i="36"/>
  <c r="AA48" i="36"/>
  <c r="Y35" i="36"/>
  <c r="Y32" i="36"/>
  <c r="Z32" i="36"/>
  <c r="AA32" i="36" s="1"/>
  <c r="Y19" i="36"/>
  <c r="Y40" i="36"/>
  <c r="Z40" i="36"/>
  <c r="AA40" i="36" s="1"/>
  <c r="Y11" i="36"/>
  <c r="Y27" i="34"/>
  <c r="Z27" i="34"/>
  <c r="Y36" i="34"/>
  <c r="Z36" i="34"/>
  <c r="Y28" i="34"/>
  <c r="Z28" i="34"/>
  <c r="Y20" i="34"/>
  <c r="Z20" i="34"/>
  <c r="Y11" i="34"/>
  <c r="Z11" i="34"/>
  <c r="Y19" i="34"/>
  <c r="Z19" i="34"/>
  <c r="Y34" i="34"/>
  <c r="Z34" i="34"/>
  <c r="Y18" i="34"/>
  <c r="Z18" i="34"/>
  <c r="Y25" i="34"/>
  <c r="Z25" i="34"/>
  <c r="Y8" i="34"/>
  <c r="Z8" i="34"/>
  <c r="Y35" i="34"/>
  <c r="Y33" i="34"/>
  <c r="Y15" i="34"/>
  <c r="Y10" i="34"/>
  <c r="Z10" i="34"/>
  <c r="Y42" i="34"/>
  <c r="Z42" i="34"/>
  <c r="Y26" i="34"/>
  <c r="Z26" i="34"/>
  <c r="Y9" i="34"/>
  <c r="Z9" i="34"/>
  <c r="Y16" i="34"/>
  <c r="Z16" i="34"/>
  <c r="Y37" i="34"/>
  <c r="Z37" i="34"/>
  <c r="Y29" i="34"/>
  <c r="Z29" i="34"/>
  <c r="Y32" i="34"/>
  <c r="Y14" i="34"/>
  <c r="K48" i="36"/>
  <c r="K49" i="36"/>
  <c r="K47" i="36"/>
  <c r="L47" i="36"/>
  <c r="L48" i="36"/>
  <c r="L49" i="36"/>
  <c r="L50" i="36"/>
  <c r="L51" i="36"/>
  <c r="M47" i="36"/>
  <c r="M48" i="36"/>
  <c r="M49" i="36"/>
  <c r="M50" i="36"/>
  <c r="M51" i="36"/>
  <c r="N47" i="36"/>
  <c r="N48" i="36"/>
  <c r="N49" i="36"/>
  <c r="N50" i="36"/>
  <c r="N51" i="36"/>
  <c r="O47" i="36"/>
  <c r="O48" i="36"/>
  <c r="O49" i="36"/>
  <c r="O50" i="36"/>
  <c r="O51" i="36"/>
  <c r="L46" i="36"/>
  <c r="M46" i="36"/>
  <c r="N46" i="36"/>
  <c r="O46" i="36"/>
  <c r="O47" i="44"/>
  <c r="X5" i="44"/>
  <c r="Y5" i="44" s="1"/>
  <c r="X6" i="44"/>
  <c r="Y6" i="44" s="1"/>
  <c r="X7" i="44"/>
  <c r="Y7" i="44" s="1"/>
  <c r="X8" i="44"/>
  <c r="Y8" i="44" s="1"/>
  <c r="X9" i="44"/>
  <c r="Y9" i="44" s="1"/>
  <c r="X10" i="44"/>
  <c r="Y10" i="44" s="1"/>
  <c r="X11" i="44"/>
  <c r="Y11" i="44" s="1"/>
  <c r="X12" i="44"/>
  <c r="Y12" i="44" s="1"/>
  <c r="X13" i="44"/>
  <c r="Y13" i="44" s="1"/>
  <c r="X14" i="44"/>
  <c r="Y14" i="44" s="1"/>
  <c r="X15" i="44"/>
  <c r="Y15" i="44" s="1"/>
  <c r="X16" i="44"/>
  <c r="Y16" i="44" s="1"/>
  <c r="X17" i="44"/>
  <c r="Y17" i="44" s="1"/>
  <c r="X18" i="44"/>
  <c r="Y18" i="44" s="1"/>
  <c r="X19" i="44"/>
  <c r="Y19" i="44" s="1"/>
  <c r="X20" i="44"/>
  <c r="Y20" i="44" s="1"/>
  <c r="X21" i="44"/>
  <c r="Y21" i="44" s="1"/>
  <c r="X22" i="44"/>
  <c r="Y22" i="44" s="1"/>
  <c r="X23" i="44"/>
  <c r="Y23" i="44" s="1"/>
  <c r="X24" i="44"/>
  <c r="Y24" i="44" s="1"/>
  <c r="X25" i="44"/>
  <c r="Y25" i="44" s="1"/>
  <c r="X26" i="44"/>
  <c r="Y26" i="44" s="1"/>
  <c r="X27" i="44"/>
  <c r="Y27" i="44" s="1"/>
  <c r="X28" i="44"/>
  <c r="Y28" i="44" s="1"/>
  <c r="X29" i="44"/>
  <c r="Y29" i="44" s="1"/>
  <c r="X30" i="44"/>
  <c r="Y30" i="44" s="1"/>
  <c r="X31" i="44"/>
  <c r="Y31" i="44" s="1"/>
  <c r="X32" i="44"/>
  <c r="Y32" i="44" s="1"/>
  <c r="X33" i="44"/>
  <c r="Y33" i="44" s="1"/>
  <c r="X34" i="44"/>
  <c r="Y34" i="44" s="1"/>
  <c r="X35" i="44"/>
  <c r="Y35" i="44" s="1"/>
  <c r="X36" i="44"/>
  <c r="Y36" i="44" s="1"/>
  <c r="X37" i="44"/>
  <c r="Y37" i="44" s="1"/>
  <c r="X38" i="44"/>
  <c r="Y38" i="44" s="1"/>
  <c r="X39" i="44"/>
  <c r="Y39" i="44" s="1"/>
  <c r="X40" i="44"/>
  <c r="Y40" i="44" s="1"/>
  <c r="X41" i="44"/>
  <c r="Y41" i="44" s="1"/>
  <c r="X42" i="44"/>
  <c r="Y42" i="44" s="1"/>
  <c r="X43" i="44"/>
  <c r="Y43" i="44" s="1"/>
  <c r="X44" i="44"/>
  <c r="Y44" i="44" s="1"/>
  <c r="X45" i="44"/>
  <c r="Y45" i="44" s="1"/>
  <c r="X46" i="44"/>
  <c r="Y46" i="44" s="1"/>
  <c r="X47" i="44"/>
  <c r="Y47" i="44" s="1"/>
  <c r="X48" i="44"/>
  <c r="Y48" i="44" s="1"/>
  <c r="X49" i="44"/>
  <c r="Y49" i="44" s="1"/>
  <c r="X50" i="44"/>
  <c r="Y50" i="44" s="1"/>
  <c r="X51" i="44"/>
  <c r="Y51" i="44" s="1"/>
  <c r="X52" i="44"/>
  <c r="Y52" i="44" s="1"/>
  <c r="X53" i="44"/>
  <c r="Y53" i="44" s="1"/>
  <c r="X54" i="44"/>
  <c r="Y54" i="44" s="1"/>
  <c r="X55" i="44"/>
  <c r="Y55" i="44" s="1"/>
  <c r="X4" i="44"/>
  <c r="Y4" i="44" s="1"/>
  <c r="K55" i="44"/>
  <c r="L55" i="44"/>
  <c r="M55" i="44"/>
  <c r="N55" i="44"/>
  <c r="O55" i="44"/>
  <c r="L54" i="44"/>
  <c r="M54" i="44"/>
  <c r="N54" i="44"/>
  <c r="O54" i="44"/>
  <c r="K53" i="44"/>
  <c r="L53" i="44"/>
  <c r="M53" i="44"/>
  <c r="N53" i="44"/>
  <c r="O53" i="44"/>
  <c r="L52" i="44"/>
  <c r="M52" i="44"/>
  <c r="N52" i="44"/>
  <c r="O52" i="44"/>
  <c r="K51" i="44"/>
  <c r="L51" i="44"/>
  <c r="M51" i="44"/>
  <c r="N51" i="44"/>
  <c r="O51" i="44"/>
  <c r="L50" i="44"/>
  <c r="M50" i="44"/>
  <c r="N50" i="44"/>
  <c r="O50" i="44"/>
  <c r="K49" i="44"/>
  <c r="L49" i="44"/>
  <c r="M49" i="44"/>
  <c r="N49" i="44"/>
  <c r="O49" i="44"/>
  <c r="L48" i="44"/>
  <c r="M48" i="44"/>
  <c r="N48" i="44"/>
  <c r="O48" i="44"/>
  <c r="K47" i="44"/>
  <c r="L47" i="44"/>
  <c r="M47" i="44"/>
  <c r="N47" i="44"/>
  <c r="L46" i="44"/>
  <c r="M46" i="44"/>
  <c r="N46" i="44"/>
  <c r="O46" i="44"/>
  <c r="L45" i="44"/>
  <c r="M45" i="44"/>
  <c r="N45" i="44"/>
  <c r="O45" i="44"/>
  <c r="K44" i="44"/>
  <c r="L44" i="44"/>
  <c r="M44" i="44"/>
  <c r="N44" i="44"/>
  <c r="O44" i="44"/>
  <c r="L43" i="44"/>
  <c r="M43" i="44"/>
  <c r="N43" i="44"/>
  <c r="O43" i="44"/>
  <c r="K42" i="44"/>
  <c r="L42" i="44"/>
  <c r="M42" i="44"/>
  <c r="N42" i="44"/>
  <c r="O42" i="44"/>
  <c r="L41" i="44"/>
  <c r="M41" i="44"/>
  <c r="N41" i="44"/>
  <c r="O41" i="44"/>
  <c r="K40" i="44"/>
  <c r="L40" i="44"/>
  <c r="M40" i="44"/>
  <c r="N40" i="44"/>
  <c r="O40" i="44"/>
  <c r="L39" i="44"/>
  <c r="M39" i="44"/>
  <c r="N39" i="44"/>
  <c r="O39" i="44"/>
  <c r="L38" i="44"/>
  <c r="M38" i="44"/>
  <c r="N38" i="44"/>
  <c r="O38" i="44"/>
  <c r="L37" i="44"/>
  <c r="M37" i="44"/>
  <c r="N37" i="44"/>
  <c r="O37" i="44"/>
  <c r="L36" i="44"/>
  <c r="M36" i="44"/>
  <c r="N36" i="44"/>
  <c r="O36" i="44"/>
  <c r="L35" i="44"/>
  <c r="M35" i="44"/>
  <c r="N35" i="44"/>
  <c r="O35" i="44"/>
  <c r="L34" i="44"/>
  <c r="M34" i="44"/>
  <c r="N34" i="44"/>
  <c r="O34" i="44"/>
  <c r="L33" i="44"/>
  <c r="M33" i="44"/>
  <c r="N33" i="44"/>
  <c r="O33" i="44"/>
  <c r="K32" i="44"/>
  <c r="L32" i="44"/>
  <c r="M32" i="44"/>
  <c r="N32" i="44"/>
  <c r="O32" i="44"/>
  <c r="L31" i="44"/>
  <c r="M31" i="44"/>
  <c r="N31" i="44"/>
  <c r="O31" i="44"/>
  <c r="K30" i="44"/>
  <c r="L30" i="44"/>
  <c r="M30" i="44"/>
  <c r="N30" i="44"/>
  <c r="O30" i="44"/>
  <c r="L29" i="44"/>
  <c r="M29" i="44"/>
  <c r="N29" i="44"/>
  <c r="O29" i="44"/>
  <c r="K28" i="44"/>
  <c r="L28" i="44"/>
  <c r="M28" i="44"/>
  <c r="N28" i="44"/>
  <c r="O28" i="44"/>
  <c r="O27" i="44"/>
  <c r="N27" i="44"/>
  <c r="M27" i="44"/>
  <c r="L27" i="44"/>
  <c r="K27" i="44"/>
  <c r="O26" i="44"/>
  <c r="N26" i="44"/>
  <c r="M26" i="44"/>
  <c r="L26" i="44"/>
  <c r="K26" i="44"/>
  <c r="O25" i="44"/>
  <c r="N25" i="44"/>
  <c r="M25" i="44"/>
  <c r="L25" i="44"/>
  <c r="K25" i="44"/>
  <c r="O24" i="44"/>
  <c r="N24" i="44"/>
  <c r="M24" i="44"/>
  <c r="L24" i="44"/>
  <c r="K24" i="44"/>
  <c r="O23" i="44"/>
  <c r="N23" i="44"/>
  <c r="M23" i="44"/>
  <c r="L23" i="44"/>
  <c r="K23" i="44"/>
  <c r="O22" i="44"/>
  <c r="N22" i="44"/>
  <c r="M22" i="44"/>
  <c r="L22" i="44"/>
  <c r="K22" i="44"/>
  <c r="O21" i="44"/>
  <c r="N21" i="44"/>
  <c r="M21" i="44"/>
  <c r="L21" i="44"/>
  <c r="K21" i="44"/>
  <c r="O20" i="44"/>
  <c r="N20" i="44"/>
  <c r="M20" i="44"/>
  <c r="L20" i="44"/>
  <c r="K20" i="44"/>
  <c r="O19" i="44"/>
  <c r="N19" i="44"/>
  <c r="M19" i="44"/>
  <c r="L19" i="44"/>
  <c r="K19" i="44"/>
  <c r="O18" i="44"/>
  <c r="N18" i="44"/>
  <c r="M18" i="44"/>
  <c r="L18" i="44"/>
  <c r="K18" i="44"/>
  <c r="O17" i="44"/>
  <c r="N17" i="44"/>
  <c r="M17" i="44"/>
  <c r="L17" i="44"/>
  <c r="K17" i="44"/>
  <c r="O16" i="44"/>
  <c r="N16" i="44"/>
  <c r="M16" i="44"/>
  <c r="L16" i="44"/>
  <c r="K16" i="44"/>
  <c r="O15" i="44"/>
  <c r="N15" i="44"/>
  <c r="M15" i="44"/>
  <c r="L15" i="44"/>
  <c r="K15" i="44"/>
  <c r="O14" i="44"/>
  <c r="N14" i="44"/>
  <c r="M14" i="44"/>
  <c r="L14" i="44"/>
  <c r="K14" i="44"/>
  <c r="O13" i="44"/>
  <c r="N13" i="44"/>
  <c r="M13" i="44"/>
  <c r="L13" i="44"/>
  <c r="K13" i="44"/>
  <c r="O12" i="44"/>
  <c r="N12" i="44"/>
  <c r="M12" i="44"/>
  <c r="L12" i="44"/>
  <c r="K12" i="44"/>
  <c r="O11" i="44"/>
  <c r="N11" i="44"/>
  <c r="M11" i="44"/>
  <c r="L11" i="44"/>
  <c r="K11" i="44"/>
  <c r="O10" i="44"/>
  <c r="N10" i="44"/>
  <c r="M10" i="44"/>
  <c r="L10" i="44"/>
  <c r="K10" i="44"/>
  <c r="O9" i="44"/>
  <c r="N9" i="44"/>
  <c r="M9" i="44"/>
  <c r="L9" i="44"/>
  <c r="K9" i="44"/>
  <c r="O8" i="44"/>
  <c r="N8" i="44"/>
  <c r="M8" i="44"/>
  <c r="L8" i="44"/>
  <c r="K8" i="44"/>
  <c r="O7" i="44"/>
  <c r="N7" i="44"/>
  <c r="M7" i="44"/>
  <c r="L7" i="44"/>
  <c r="K7" i="44"/>
  <c r="O6" i="44"/>
  <c r="N6" i="44"/>
  <c r="M6" i="44"/>
  <c r="L6" i="44"/>
  <c r="K6" i="44"/>
  <c r="O5" i="44"/>
  <c r="N5" i="44"/>
  <c r="M5" i="44"/>
  <c r="L5" i="44"/>
  <c r="K5" i="44"/>
  <c r="O4" i="44"/>
  <c r="N4" i="44"/>
  <c r="M4" i="44"/>
  <c r="L4" i="44"/>
  <c r="K4" i="44"/>
  <c r="P25" i="44"/>
  <c r="L45" i="36"/>
  <c r="M45" i="36"/>
  <c r="N45" i="36"/>
  <c r="O45" i="36"/>
  <c r="L44" i="36"/>
  <c r="M44" i="36"/>
  <c r="N44" i="36"/>
  <c r="O44" i="36"/>
  <c r="Y2" i="44" l="1"/>
  <c r="Y2" i="34"/>
  <c r="P40" i="44"/>
  <c r="Q40" i="44" s="1"/>
  <c r="R40" i="44" s="1"/>
  <c r="S40" i="44" s="1"/>
  <c r="P53" i="44"/>
  <c r="P28" i="44"/>
  <c r="Q28" i="44" s="1"/>
  <c r="R28" i="44" s="1"/>
  <c r="S28" i="44" s="1"/>
  <c r="P42" i="44"/>
  <c r="Q42" i="44" s="1"/>
  <c r="R42" i="44" s="1"/>
  <c r="S42" i="44" s="1"/>
  <c r="P47" i="44"/>
  <c r="Q47" i="44" s="1"/>
  <c r="R47" i="44" s="1"/>
  <c r="S47" i="44" s="1"/>
  <c r="P55" i="44"/>
  <c r="Q55" i="44" s="1"/>
  <c r="R55" i="44" s="1"/>
  <c r="S55" i="44" s="1"/>
  <c r="P30" i="44"/>
  <c r="Q30" i="44" s="1"/>
  <c r="R30" i="44" s="1"/>
  <c r="S30" i="44" s="1"/>
  <c r="P44" i="44"/>
  <c r="Q44" i="44" s="1"/>
  <c r="P49" i="44"/>
  <c r="Q49" i="44" s="1"/>
  <c r="P32" i="44"/>
  <c r="U32" i="44" s="1"/>
  <c r="P51" i="44"/>
  <c r="U51" i="44" s="1"/>
  <c r="P35" i="44"/>
  <c r="K35" i="44"/>
  <c r="P31" i="44"/>
  <c r="K31" i="44"/>
  <c r="Q25" i="44"/>
  <c r="U25" i="44"/>
  <c r="P7" i="44"/>
  <c r="P15" i="44"/>
  <c r="P4" i="44"/>
  <c r="P8" i="44"/>
  <c r="P12" i="44"/>
  <c r="P16" i="44"/>
  <c r="P20" i="44"/>
  <c r="P24" i="44"/>
  <c r="P6" i="44"/>
  <c r="P10" i="44"/>
  <c r="P14" i="44"/>
  <c r="P18" i="44"/>
  <c r="P22" i="44"/>
  <c r="P26" i="44"/>
  <c r="P23" i="44"/>
  <c r="P27" i="44"/>
  <c r="P11" i="44"/>
  <c r="P19" i="44"/>
  <c r="P5" i="44"/>
  <c r="P9" i="44"/>
  <c r="P13" i="44"/>
  <c r="P17" i="44"/>
  <c r="P21" i="44"/>
  <c r="U28" i="44" l="1"/>
  <c r="U47" i="44"/>
  <c r="T28" i="44"/>
  <c r="Q32" i="44"/>
  <c r="R32" i="44" s="1"/>
  <c r="S32" i="44" s="1"/>
  <c r="T32" i="44" s="1"/>
  <c r="U42" i="44"/>
  <c r="U40" i="44"/>
  <c r="R49" i="44"/>
  <c r="S49" i="44" s="1"/>
  <c r="T49" i="44" s="1"/>
  <c r="U49" i="44"/>
  <c r="U55" i="44"/>
  <c r="K50" i="36"/>
  <c r="R44" i="44"/>
  <c r="S44" i="44" s="1"/>
  <c r="T44" i="44" s="1"/>
  <c r="U30" i="44"/>
  <c r="U44" i="44"/>
  <c r="Q51" i="44"/>
  <c r="R51" i="44" s="1"/>
  <c r="S51" i="44" s="1"/>
  <c r="U53" i="44"/>
  <c r="Q53" i="44"/>
  <c r="T55" i="44"/>
  <c r="P54" i="44"/>
  <c r="K54" i="44"/>
  <c r="P52" i="44"/>
  <c r="K52" i="44"/>
  <c r="P50" i="44"/>
  <c r="K50" i="44"/>
  <c r="T47" i="44"/>
  <c r="P45" i="44"/>
  <c r="K45" i="44"/>
  <c r="P43" i="44"/>
  <c r="K43" i="44"/>
  <c r="T42" i="44"/>
  <c r="T40" i="44"/>
  <c r="Q35" i="44"/>
  <c r="U35" i="44"/>
  <c r="P33" i="44"/>
  <c r="K33" i="44"/>
  <c r="Q31" i="44"/>
  <c r="U31" i="44"/>
  <c r="T30" i="44"/>
  <c r="Q13" i="44"/>
  <c r="U13" i="44"/>
  <c r="Q17" i="44"/>
  <c r="U17" i="44"/>
  <c r="U11" i="44"/>
  <c r="Q11" i="44"/>
  <c r="U22" i="44"/>
  <c r="Q22" i="44"/>
  <c r="Q6" i="44"/>
  <c r="U6" i="44"/>
  <c r="U20" i="44"/>
  <c r="Q20" i="44"/>
  <c r="U4" i="44"/>
  <c r="Q4" i="44"/>
  <c r="U15" i="44"/>
  <c r="Q15" i="44"/>
  <c r="Q18" i="44"/>
  <c r="U18" i="44"/>
  <c r="Q9" i="44"/>
  <c r="U9" i="44"/>
  <c r="U23" i="44"/>
  <c r="Q23" i="44"/>
  <c r="U14" i="44"/>
  <c r="Q14" i="44"/>
  <c r="U12" i="44"/>
  <c r="Q12" i="44"/>
  <c r="U7" i="44"/>
  <c r="Q7" i="44"/>
  <c r="U16" i="44"/>
  <c r="Q16" i="44"/>
  <c r="U27" i="44"/>
  <c r="Q27" i="44"/>
  <c r="R25" i="44"/>
  <c r="S25" i="44" s="1"/>
  <c r="Q21" i="44"/>
  <c r="U21" i="44"/>
  <c r="Q5" i="44"/>
  <c r="U5" i="44"/>
  <c r="Q26" i="44"/>
  <c r="U26" i="44"/>
  <c r="Q10" i="44"/>
  <c r="U10" i="44"/>
  <c r="U24" i="44"/>
  <c r="Q24" i="44"/>
  <c r="U8" i="44"/>
  <c r="Q8" i="44"/>
  <c r="U19" i="44"/>
  <c r="Q19" i="44"/>
  <c r="R53" i="44" l="1"/>
  <c r="S53" i="44" s="1"/>
  <c r="T51" i="44"/>
  <c r="Q54" i="44"/>
  <c r="U54" i="44"/>
  <c r="Q52" i="44"/>
  <c r="U52" i="44"/>
  <c r="Q50" i="44"/>
  <c r="U50" i="44"/>
  <c r="Q45" i="44"/>
  <c r="U45" i="44"/>
  <c r="Q43" i="44"/>
  <c r="U43" i="44"/>
  <c r="R35" i="44"/>
  <c r="S35" i="44" s="1"/>
  <c r="Q33" i="44"/>
  <c r="U33" i="44"/>
  <c r="R31" i="44"/>
  <c r="S31" i="44" s="1"/>
  <c r="R22" i="44"/>
  <c r="S22" i="44" s="1"/>
  <c r="R8" i="44"/>
  <c r="S8" i="44" s="1"/>
  <c r="R14" i="44"/>
  <c r="S14" i="44" s="1"/>
  <c r="R5" i="44"/>
  <c r="S5" i="44" s="1"/>
  <c r="R24" i="44"/>
  <c r="S24" i="44" s="1"/>
  <c r="R7" i="44"/>
  <c r="S7" i="44" s="1"/>
  <c r="R11" i="44"/>
  <c r="S11" i="44" s="1"/>
  <c r="R21" i="44"/>
  <c r="S21" i="44" s="1"/>
  <c r="R16" i="44"/>
  <c r="S16" i="44" s="1"/>
  <c r="R23" i="44"/>
  <c r="S23" i="44" s="1"/>
  <c r="R4" i="44"/>
  <c r="S4" i="44" s="1"/>
  <c r="T25" i="44"/>
  <c r="R12" i="44"/>
  <c r="S12" i="44" s="1"/>
  <c r="R20" i="44"/>
  <c r="S20" i="44" s="1"/>
  <c r="R17" i="44"/>
  <c r="S17" i="44" s="1"/>
  <c r="R9" i="44"/>
  <c r="S9" i="44" s="1"/>
  <c r="R19" i="44"/>
  <c r="S19" i="44" s="1"/>
  <c r="R27" i="44"/>
  <c r="S27" i="44" s="1"/>
  <c r="R15" i="44"/>
  <c r="S15" i="44" s="1"/>
  <c r="R10" i="44"/>
  <c r="S10" i="44" s="1"/>
  <c r="R26" i="44"/>
  <c r="S26" i="44" s="1"/>
  <c r="R18" i="44"/>
  <c r="S18" i="44" s="1"/>
  <c r="R6" i="44"/>
  <c r="S6" i="44" s="1"/>
  <c r="R13" i="44"/>
  <c r="S13" i="44" s="1"/>
  <c r="T53" i="44" l="1"/>
  <c r="R54" i="44"/>
  <c r="S54" i="44" s="1"/>
  <c r="R52" i="44"/>
  <c r="S52" i="44" s="1"/>
  <c r="R50" i="44"/>
  <c r="S50" i="44" s="1"/>
  <c r="R45" i="44"/>
  <c r="S45" i="44" s="1"/>
  <c r="R43" i="44"/>
  <c r="S43" i="44" s="1"/>
  <c r="P38" i="44"/>
  <c r="K38" i="44"/>
  <c r="T35" i="44"/>
  <c r="P34" i="44"/>
  <c r="K34" i="44"/>
  <c r="R33" i="44"/>
  <c r="S33" i="44" s="1"/>
  <c r="T31" i="44"/>
  <c r="P29" i="44"/>
  <c r="K29" i="44"/>
  <c r="T9" i="44"/>
  <c r="T21" i="44"/>
  <c r="T5" i="44"/>
  <c r="T18" i="44"/>
  <c r="T11" i="44"/>
  <c r="T14" i="44"/>
  <c r="T4" i="44"/>
  <c r="T20" i="44"/>
  <c r="T8" i="44"/>
  <c r="T15" i="44"/>
  <c r="T26" i="44"/>
  <c r="T27" i="44"/>
  <c r="T23" i="44"/>
  <c r="T7" i="44"/>
  <c r="T6" i="44"/>
  <c r="T17" i="44"/>
  <c r="T13" i="44"/>
  <c r="T12" i="44"/>
  <c r="T16" i="44"/>
  <c r="T24" i="44"/>
  <c r="T10" i="44"/>
  <c r="T19" i="44"/>
  <c r="T22" i="44"/>
  <c r="K51" i="36" l="1"/>
  <c r="T54" i="44"/>
  <c r="T52" i="44"/>
  <c r="T50" i="44"/>
  <c r="P48" i="44"/>
  <c r="K48" i="44"/>
  <c r="P46" i="44"/>
  <c r="K46" i="44"/>
  <c r="T45" i="44"/>
  <c r="T43" i="44"/>
  <c r="Q38" i="44"/>
  <c r="U38" i="44"/>
  <c r="P36" i="44"/>
  <c r="K36" i="44"/>
  <c r="Q34" i="44"/>
  <c r="U34" i="44"/>
  <c r="T33" i="44"/>
  <c r="Q29" i="44"/>
  <c r="U29" i="44"/>
  <c r="Q48" i="44" l="1"/>
  <c r="U48" i="44"/>
  <c r="Q46" i="44"/>
  <c r="U46" i="44"/>
  <c r="R38" i="44"/>
  <c r="S38" i="44" s="1"/>
  <c r="Q36" i="44"/>
  <c r="U36" i="44"/>
  <c r="R34" i="44"/>
  <c r="S34" i="44" s="1"/>
  <c r="R29" i="44"/>
  <c r="S29" i="44" s="1"/>
  <c r="R48" i="44" l="1"/>
  <c r="S48" i="44" s="1"/>
  <c r="R46" i="44"/>
  <c r="S46" i="44" s="1"/>
  <c r="P41" i="44"/>
  <c r="K41" i="44"/>
  <c r="T38" i="44"/>
  <c r="P37" i="44"/>
  <c r="K37" i="44"/>
  <c r="R36" i="44"/>
  <c r="S36" i="44" s="1"/>
  <c r="T34" i="44"/>
  <c r="T29" i="44"/>
  <c r="T48" i="44" l="1"/>
  <c r="T46" i="44"/>
  <c r="Q41" i="44"/>
  <c r="U41" i="44"/>
  <c r="P39" i="44"/>
  <c r="K39" i="44"/>
  <c r="K2" i="44" s="1"/>
  <c r="Q37" i="44"/>
  <c r="U37" i="44"/>
  <c r="T36" i="44"/>
  <c r="R41" i="44" l="1"/>
  <c r="S41" i="44" s="1"/>
  <c r="U39" i="44"/>
  <c r="Q39" i="44"/>
  <c r="R37" i="44"/>
  <c r="S37" i="44" s="1"/>
  <c r="T41" i="44" l="1"/>
  <c r="R39" i="44"/>
  <c r="S39" i="44" s="1"/>
  <c r="T37" i="44"/>
  <c r="T39" i="44" l="1"/>
  <c r="K34" i="36" l="1"/>
  <c r="L34" i="36"/>
  <c r="M34" i="36"/>
  <c r="N34" i="36"/>
  <c r="O34" i="36"/>
  <c r="L29" i="36"/>
  <c r="L30" i="36"/>
  <c r="L31" i="36"/>
  <c r="L32" i="36"/>
  <c r="L33" i="36"/>
  <c r="L35" i="36"/>
  <c r="L36" i="36"/>
  <c r="L37" i="36"/>
  <c r="L38" i="36"/>
  <c r="L39" i="36"/>
  <c r="L40" i="36"/>
  <c r="L41" i="36"/>
  <c r="L42" i="36"/>
  <c r="L43" i="36"/>
  <c r="M29" i="36"/>
  <c r="M30" i="36"/>
  <c r="M31" i="36"/>
  <c r="M32" i="36"/>
  <c r="M33" i="36"/>
  <c r="M35" i="36"/>
  <c r="M36" i="36"/>
  <c r="M37" i="36"/>
  <c r="M38" i="36"/>
  <c r="M39" i="36"/>
  <c r="M40" i="36"/>
  <c r="M41" i="36"/>
  <c r="M42" i="36"/>
  <c r="M43" i="36"/>
  <c r="N29" i="36"/>
  <c r="N30" i="36"/>
  <c r="N31" i="36"/>
  <c r="N32" i="36"/>
  <c r="N33" i="36"/>
  <c r="N35" i="36"/>
  <c r="N36" i="36"/>
  <c r="N37" i="36"/>
  <c r="N38" i="36"/>
  <c r="N39" i="36"/>
  <c r="N40" i="36"/>
  <c r="N41" i="36"/>
  <c r="N42" i="36"/>
  <c r="N43" i="36"/>
  <c r="O29" i="36"/>
  <c r="O30" i="36"/>
  <c r="O31" i="36"/>
  <c r="O32" i="36"/>
  <c r="O33" i="36"/>
  <c r="O35" i="36"/>
  <c r="O36" i="36"/>
  <c r="O37" i="36"/>
  <c r="O38" i="36"/>
  <c r="O39" i="36"/>
  <c r="O40" i="36"/>
  <c r="O41" i="36"/>
  <c r="O42" i="36"/>
  <c r="O43" i="36"/>
  <c r="O12" i="43"/>
  <c r="N12" i="43"/>
  <c r="M12" i="43"/>
  <c r="L12" i="43"/>
  <c r="K12" i="43"/>
  <c r="O11" i="43"/>
  <c r="N11" i="43"/>
  <c r="M11" i="43"/>
  <c r="L11" i="43"/>
  <c r="K11" i="43"/>
  <c r="O10" i="43"/>
  <c r="N10" i="43"/>
  <c r="M10" i="43"/>
  <c r="L10" i="43"/>
  <c r="K10" i="43"/>
  <c r="O9" i="43"/>
  <c r="N9" i="43"/>
  <c r="M9" i="43"/>
  <c r="L9" i="43"/>
  <c r="K9" i="43"/>
  <c r="O8" i="43"/>
  <c r="N8" i="43"/>
  <c r="M8" i="43"/>
  <c r="L8" i="43"/>
  <c r="K8" i="43"/>
  <c r="O7" i="43"/>
  <c r="N7" i="43"/>
  <c r="M7" i="43"/>
  <c r="L7" i="43"/>
  <c r="K7" i="43"/>
  <c r="O6" i="43"/>
  <c r="N6" i="43"/>
  <c r="M6" i="43"/>
  <c r="L6" i="43"/>
  <c r="K6" i="43"/>
  <c r="O5" i="43"/>
  <c r="N5" i="43"/>
  <c r="M5" i="43"/>
  <c r="L5" i="43"/>
  <c r="K5" i="43"/>
  <c r="O4" i="43"/>
  <c r="N4" i="43"/>
  <c r="M4" i="43"/>
  <c r="L4" i="43"/>
  <c r="K4" i="43"/>
  <c r="J41" i="8"/>
  <c r="J40" i="8"/>
  <c r="J39" i="8"/>
  <c r="J38" i="8"/>
  <c r="J37" i="8"/>
  <c r="J36" i="8"/>
  <c r="J35" i="8"/>
  <c r="J34" i="8"/>
  <c r="J31" i="8"/>
  <c r="O15" i="41"/>
  <c r="N15" i="41"/>
  <c r="M15" i="41"/>
  <c r="L15" i="41"/>
  <c r="K15" i="41"/>
  <c r="O14" i="41"/>
  <c r="N14" i="41"/>
  <c r="M14" i="41"/>
  <c r="L14" i="41"/>
  <c r="K14" i="41"/>
  <c r="O13" i="41"/>
  <c r="N13" i="41"/>
  <c r="M13" i="41"/>
  <c r="L13" i="41"/>
  <c r="K13" i="41"/>
  <c r="O12" i="41"/>
  <c r="N12" i="41"/>
  <c r="M12" i="41"/>
  <c r="L12" i="41"/>
  <c r="K12" i="41"/>
  <c r="O11" i="41"/>
  <c r="N11" i="41"/>
  <c r="M11" i="41"/>
  <c r="L11" i="41"/>
  <c r="K11" i="41"/>
  <c r="O10" i="41"/>
  <c r="N10" i="41"/>
  <c r="M10" i="41"/>
  <c r="L10" i="41"/>
  <c r="K10" i="41"/>
  <c r="O9" i="41"/>
  <c r="N9" i="41"/>
  <c r="M9" i="41"/>
  <c r="L9" i="41"/>
  <c r="K9" i="41"/>
  <c r="O8" i="41"/>
  <c r="N8" i="41"/>
  <c r="M8" i="41"/>
  <c r="L8" i="41"/>
  <c r="K8" i="41"/>
  <c r="O7" i="41"/>
  <c r="N7" i="41"/>
  <c r="M7" i="41"/>
  <c r="L7" i="41"/>
  <c r="K7" i="41"/>
  <c r="O6" i="41"/>
  <c r="N6" i="41"/>
  <c r="M6" i="41"/>
  <c r="L6" i="41"/>
  <c r="K6" i="41"/>
  <c r="O5" i="41"/>
  <c r="N5" i="41"/>
  <c r="M5" i="41"/>
  <c r="L5" i="41"/>
  <c r="K5" i="41"/>
  <c r="O4" i="41"/>
  <c r="N4" i="41"/>
  <c r="M4" i="41"/>
  <c r="L4" i="41"/>
  <c r="K4" i="41"/>
  <c r="P15" i="41"/>
  <c r="I26" i="8"/>
  <c r="I27" i="8"/>
  <c r="I28" i="8"/>
  <c r="K21" i="8"/>
  <c r="L21" i="8"/>
  <c r="M21" i="8"/>
  <c r="N21" i="8"/>
  <c r="O21" i="8"/>
  <c r="J33" i="8"/>
  <c r="J32" i="8"/>
  <c r="J30" i="8"/>
  <c r="J6" i="8"/>
  <c r="K2" i="43" l="1"/>
  <c r="P4" i="43"/>
  <c r="U4" i="43" s="1"/>
  <c r="K2" i="41"/>
  <c r="P8" i="43"/>
  <c r="U8" i="43" s="1"/>
  <c r="P12" i="43"/>
  <c r="P7" i="43"/>
  <c r="U7" i="43" s="1"/>
  <c r="P11" i="43"/>
  <c r="U11" i="43" s="1"/>
  <c r="P6" i="43"/>
  <c r="U6" i="43" s="1"/>
  <c r="P10" i="43"/>
  <c r="U10" i="43" s="1"/>
  <c r="P5" i="43"/>
  <c r="U5" i="43" s="1"/>
  <c r="P9" i="43"/>
  <c r="U9" i="43" s="1"/>
  <c r="U15" i="41"/>
  <c r="Q15" i="41"/>
  <c r="R15" i="41" s="1"/>
  <c r="P4" i="41"/>
  <c r="P8" i="41"/>
  <c r="P12" i="41"/>
  <c r="P6" i="41"/>
  <c r="P10" i="41"/>
  <c r="P14" i="41"/>
  <c r="P7" i="41"/>
  <c r="P5" i="41"/>
  <c r="P9" i="41"/>
  <c r="P13" i="41"/>
  <c r="P11" i="41"/>
  <c r="K42" i="34"/>
  <c r="L42" i="34"/>
  <c r="M42" i="34"/>
  <c r="N42" i="34"/>
  <c r="O42" i="34"/>
  <c r="K36" i="34"/>
  <c r="L36" i="34"/>
  <c r="M36" i="34"/>
  <c r="N36" i="34"/>
  <c r="O36" i="34"/>
  <c r="K37" i="34"/>
  <c r="L37" i="34"/>
  <c r="M37" i="34"/>
  <c r="N37" i="34"/>
  <c r="O37" i="34"/>
  <c r="K38" i="34"/>
  <c r="L38" i="34"/>
  <c r="M38" i="34"/>
  <c r="N38" i="34"/>
  <c r="O38" i="34"/>
  <c r="K39" i="34"/>
  <c r="L39" i="34"/>
  <c r="M39" i="34"/>
  <c r="N39" i="34"/>
  <c r="O39" i="34"/>
  <c r="K40" i="34"/>
  <c r="L40" i="34"/>
  <c r="M40" i="34"/>
  <c r="N40" i="34"/>
  <c r="O40" i="34"/>
  <c r="K41" i="34"/>
  <c r="L41" i="34"/>
  <c r="M41" i="34"/>
  <c r="N41" i="34"/>
  <c r="O41" i="34"/>
  <c r="L23" i="34"/>
  <c r="M23" i="34"/>
  <c r="N23" i="34"/>
  <c r="O23" i="34"/>
  <c r="K30" i="34"/>
  <c r="L30" i="34"/>
  <c r="M30" i="34"/>
  <c r="N30" i="34"/>
  <c r="O30" i="34"/>
  <c r="K31" i="34"/>
  <c r="L31" i="34"/>
  <c r="M31" i="34"/>
  <c r="N31" i="34"/>
  <c r="O31" i="34"/>
  <c r="K32" i="34"/>
  <c r="L32" i="34"/>
  <c r="M32" i="34"/>
  <c r="N32" i="34"/>
  <c r="O32" i="34"/>
  <c r="K33" i="34"/>
  <c r="L33" i="34"/>
  <c r="M33" i="34"/>
  <c r="N33" i="34"/>
  <c r="O33" i="34"/>
  <c r="K34" i="34"/>
  <c r="L34" i="34"/>
  <c r="M34" i="34"/>
  <c r="N34" i="34"/>
  <c r="O34" i="34"/>
  <c r="K35" i="34"/>
  <c r="L35" i="34"/>
  <c r="M35" i="34"/>
  <c r="N35" i="34"/>
  <c r="O35" i="34"/>
  <c r="J11" i="30"/>
  <c r="K11" i="30" s="1"/>
  <c r="J12" i="30"/>
  <c r="K12" i="30" s="1"/>
  <c r="J13" i="30"/>
  <c r="K13" i="30" s="1"/>
  <c r="Q8" i="43" l="1"/>
  <c r="R8" i="43" s="1"/>
  <c r="S8" i="43" s="1"/>
  <c r="Q4" i="43"/>
  <c r="Q12" i="43"/>
  <c r="U12" i="43"/>
  <c r="Q10" i="43"/>
  <c r="Q5" i="43"/>
  <c r="Q7" i="43"/>
  <c r="Q6" i="43"/>
  <c r="Q11" i="43"/>
  <c r="Q9" i="43"/>
  <c r="Q14" i="41"/>
  <c r="R14" i="41" s="1"/>
  <c r="U14" i="41"/>
  <c r="U12" i="41"/>
  <c r="Q12" i="41"/>
  <c r="R12" i="41" s="1"/>
  <c r="Q13" i="41"/>
  <c r="R13" i="41" s="1"/>
  <c r="U13" i="41"/>
  <c r="Q10" i="41"/>
  <c r="R10" i="41" s="1"/>
  <c r="U10" i="41"/>
  <c r="S15" i="41"/>
  <c r="U11" i="41"/>
  <c r="Q11" i="41"/>
  <c r="R11" i="41" s="1"/>
  <c r="U8" i="41"/>
  <c r="Q8" i="41"/>
  <c r="R8" i="41" s="1"/>
  <c r="Q9" i="41"/>
  <c r="R9" i="41" s="1"/>
  <c r="U9" i="41"/>
  <c r="Q6" i="41"/>
  <c r="R6" i="41" s="1"/>
  <c r="U6" i="41"/>
  <c r="U4" i="41"/>
  <c r="Q4" i="41"/>
  <c r="R4" i="41" s="1"/>
  <c r="Q5" i="41"/>
  <c r="R5" i="41" s="1"/>
  <c r="U5" i="41"/>
  <c r="U7" i="41"/>
  <c r="Q7" i="41"/>
  <c r="R7" i="41" s="1"/>
  <c r="O4" i="40"/>
  <c r="N4" i="40"/>
  <c r="M4" i="40"/>
  <c r="L4" i="40"/>
  <c r="K4" i="40"/>
  <c r="K2" i="40" s="1"/>
  <c r="R4" i="43" l="1"/>
  <c r="S4" i="43" s="1"/>
  <c r="P4" i="40"/>
  <c r="Q4" i="40" s="1"/>
  <c r="R7" i="43"/>
  <c r="S7" i="43" s="1"/>
  <c r="R10" i="43"/>
  <c r="S10" i="43" s="1"/>
  <c r="T8" i="43"/>
  <c r="T4" i="43"/>
  <c r="R9" i="43"/>
  <c r="S9" i="43" s="1"/>
  <c r="R6" i="43"/>
  <c r="R5" i="43"/>
  <c r="S5" i="43" s="1"/>
  <c r="R11" i="43"/>
  <c r="S11" i="43" s="1"/>
  <c r="R12" i="43"/>
  <c r="S12" i="43" s="1"/>
  <c r="S6" i="43"/>
  <c r="S7" i="41"/>
  <c r="S11" i="41"/>
  <c r="S12" i="41"/>
  <c r="S6" i="41"/>
  <c r="S9" i="41"/>
  <c r="T15" i="41"/>
  <c r="S8" i="41"/>
  <c r="S14" i="41"/>
  <c r="S5" i="41"/>
  <c r="S4" i="41"/>
  <c r="S10" i="41"/>
  <c r="S13" i="41"/>
  <c r="U4" i="40" l="1"/>
  <c r="R4" i="40"/>
  <c r="S4" i="40" s="1"/>
  <c r="T5" i="43"/>
  <c r="T9" i="43"/>
  <c r="T7" i="43"/>
  <c r="T11" i="43"/>
  <c r="T10" i="43"/>
  <c r="T6" i="43"/>
  <c r="T12" i="43"/>
  <c r="T4" i="41"/>
  <c r="T6" i="41"/>
  <c r="T9" i="41"/>
  <c r="T12" i="41"/>
  <c r="T10" i="41"/>
  <c r="T14" i="41"/>
  <c r="T8" i="41"/>
  <c r="T11" i="41"/>
  <c r="T13" i="41"/>
  <c r="T5" i="41"/>
  <c r="T7" i="41"/>
  <c r="T4" i="40" l="1"/>
  <c r="O4" i="39"/>
  <c r="N4" i="39"/>
  <c r="M4" i="39"/>
  <c r="L4" i="39"/>
  <c r="K4" i="39"/>
  <c r="K2" i="39" s="1"/>
  <c r="P4" i="39" l="1"/>
  <c r="Q4" i="39" l="1"/>
  <c r="U4" i="39"/>
  <c r="O16" i="33"/>
  <c r="N16" i="33"/>
  <c r="M16" i="33"/>
  <c r="L16" i="33"/>
  <c r="K16" i="33"/>
  <c r="O15" i="33"/>
  <c r="N15" i="33"/>
  <c r="M15" i="33"/>
  <c r="L15" i="33"/>
  <c r="K15" i="33"/>
  <c r="O14" i="33"/>
  <c r="N14" i="33"/>
  <c r="M14" i="33"/>
  <c r="L14" i="33"/>
  <c r="K14" i="33"/>
  <c r="O13" i="33"/>
  <c r="N13" i="33"/>
  <c r="M13" i="33"/>
  <c r="L13" i="33"/>
  <c r="K13" i="33"/>
  <c r="O12" i="33"/>
  <c r="N12" i="33"/>
  <c r="M12" i="33"/>
  <c r="L12" i="33"/>
  <c r="K12" i="33"/>
  <c r="O11" i="33"/>
  <c r="N11" i="33"/>
  <c r="M11" i="33"/>
  <c r="L11" i="33"/>
  <c r="K11" i="33"/>
  <c r="O10" i="33"/>
  <c r="N10" i="33"/>
  <c r="M10" i="33"/>
  <c r="L10" i="33"/>
  <c r="K10" i="33"/>
  <c r="O9" i="33"/>
  <c r="N9" i="33"/>
  <c r="M9" i="33"/>
  <c r="L9" i="33"/>
  <c r="K9" i="33"/>
  <c r="O8" i="33"/>
  <c r="N8" i="33"/>
  <c r="M8" i="33"/>
  <c r="L8" i="33"/>
  <c r="K8" i="33"/>
  <c r="O7" i="33"/>
  <c r="N7" i="33"/>
  <c r="M7" i="33"/>
  <c r="L7" i="33"/>
  <c r="K7" i="33"/>
  <c r="O6" i="33"/>
  <c r="N6" i="33"/>
  <c r="M6" i="33"/>
  <c r="L6" i="33"/>
  <c r="K6" i="33"/>
  <c r="O5" i="33"/>
  <c r="N5" i="33"/>
  <c r="M5" i="33"/>
  <c r="L5" i="33"/>
  <c r="K5" i="33"/>
  <c r="O4" i="33"/>
  <c r="N4" i="33"/>
  <c r="M4" i="33"/>
  <c r="L4" i="33"/>
  <c r="K4" i="33"/>
  <c r="F2" i="33"/>
  <c r="O32" i="6"/>
  <c r="N32" i="6"/>
  <c r="M32" i="6"/>
  <c r="L32" i="6"/>
  <c r="K32" i="6"/>
  <c r="O31" i="6"/>
  <c r="N31" i="6"/>
  <c r="M31" i="6"/>
  <c r="L31" i="6"/>
  <c r="K31" i="6"/>
  <c r="O30" i="6"/>
  <c r="N30" i="6"/>
  <c r="M30" i="6"/>
  <c r="L30" i="6"/>
  <c r="K30" i="6"/>
  <c r="O29" i="6"/>
  <c r="N29" i="6"/>
  <c r="M29" i="6"/>
  <c r="L29" i="6"/>
  <c r="K29" i="6"/>
  <c r="O28" i="6"/>
  <c r="N28" i="6"/>
  <c r="M28" i="6"/>
  <c r="L28" i="6"/>
  <c r="K28" i="6"/>
  <c r="O27" i="6"/>
  <c r="N27" i="6"/>
  <c r="M27" i="6"/>
  <c r="L27" i="6"/>
  <c r="K27" i="6"/>
  <c r="O26" i="6"/>
  <c r="N26" i="6"/>
  <c r="M26" i="6"/>
  <c r="L26" i="6"/>
  <c r="K26" i="6"/>
  <c r="M1" i="6" s="1"/>
  <c r="O25" i="6"/>
  <c r="N25" i="6"/>
  <c r="M25" i="6"/>
  <c r="L25" i="6"/>
  <c r="K25" i="6"/>
  <c r="O24" i="6"/>
  <c r="N24" i="6"/>
  <c r="M24" i="6"/>
  <c r="L24" i="6"/>
  <c r="K24" i="6"/>
  <c r="O23" i="6"/>
  <c r="N23" i="6"/>
  <c r="M23" i="6"/>
  <c r="L23" i="6"/>
  <c r="K23" i="6"/>
  <c r="O22" i="6"/>
  <c r="N22" i="6"/>
  <c r="M22" i="6"/>
  <c r="L22" i="6"/>
  <c r="K22" i="6"/>
  <c r="O21" i="6"/>
  <c r="N21" i="6"/>
  <c r="M21" i="6"/>
  <c r="L21" i="6"/>
  <c r="K21" i="6"/>
  <c r="O20" i="6"/>
  <c r="N20" i="6"/>
  <c r="M20" i="6"/>
  <c r="L20" i="6"/>
  <c r="K20" i="6"/>
  <c r="O19" i="6"/>
  <c r="N19" i="6"/>
  <c r="M19" i="6"/>
  <c r="L19" i="6"/>
  <c r="K19" i="6"/>
  <c r="O18" i="6"/>
  <c r="N18" i="6"/>
  <c r="M18" i="6"/>
  <c r="L18" i="6"/>
  <c r="K18" i="6"/>
  <c r="O17" i="6"/>
  <c r="N17" i="6"/>
  <c r="M17" i="6"/>
  <c r="L17" i="6"/>
  <c r="K17" i="6"/>
  <c r="O16" i="6"/>
  <c r="N16" i="6"/>
  <c r="M16" i="6"/>
  <c r="L16" i="6"/>
  <c r="K16" i="6"/>
  <c r="O15" i="6"/>
  <c r="N15" i="6"/>
  <c r="M15" i="6"/>
  <c r="L15" i="6"/>
  <c r="K15" i="6"/>
  <c r="O14" i="6"/>
  <c r="N14" i="6"/>
  <c r="M14" i="6"/>
  <c r="L14" i="6"/>
  <c r="K14" i="6"/>
  <c r="Q1" i="6" s="1"/>
  <c r="O13" i="6"/>
  <c r="N13" i="6"/>
  <c r="M13" i="6"/>
  <c r="L13" i="6"/>
  <c r="K13" i="6"/>
  <c r="O12" i="6"/>
  <c r="N12" i="6"/>
  <c r="M12" i="6"/>
  <c r="L12" i="6"/>
  <c r="K12" i="6"/>
  <c r="O11" i="6"/>
  <c r="N11" i="6"/>
  <c r="M11" i="6"/>
  <c r="L11" i="6"/>
  <c r="K11" i="6"/>
  <c r="O10" i="6"/>
  <c r="N10" i="6"/>
  <c r="M10" i="6"/>
  <c r="L10" i="6"/>
  <c r="K10" i="6"/>
  <c r="O9" i="6"/>
  <c r="N9" i="6"/>
  <c r="M9" i="6"/>
  <c r="L9" i="6"/>
  <c r="K9" i="6"/>
  <c r="O8" i="6"/>
  <c r="N8" i="6"/>
  <c r="M8" i="6"/>
  <c r="L8" i="6"/>
  <c r="K8" i="6"/>
  <c r="O7" i="6"/>
  <c r="N7" i="6"/>
  <c r="M7" i="6"/>
  <c r="L7" i="6"/>
  <c r="K7" i="6"/>
  <c r="O6" i="6"/>
  <c r="N6" i="6"/>
  <c r="M6" i="6"/>
  <c r="L6" i="6"/>
  <c r="K6" i="6"/>
  <c r="O5" i="6"/>
  <c r="N5" i="6"/>
  <c r="M5" i="6"/>
  <c r="L5" i="6"/>
  <c r="K5" i="6"/>
  <c r="O4" i="6"/>
  <c r="N4" i="6"/>
  <c r="M4" i="6"/>
  <c r="L4" i="6"/>
  <c r="K4" i="6"/>
  <c r="P9" i="6"/>
  <c r="O29" i="34"/>
  <c r="N29" i="34"/>
  <c r="M29" i="34"/>
  <c r="L29" i="34"/>
  <c r="K29" i="34"/>
  <c r="O28" i="34"/>
  <c r="N28" i="34"/>
  <c r="M28" i="34"/>
  <c r="L28" i="34"/>
  <c r="K28" i="34"/>
  <c r="O27" i="34"/>
  <c r="N27" i="34"/>
  <c r="M27" i="34"/>
  <c r="L27" i="34"/>
  <c r="K27" i="34"/>
  <c r="O26" i="34"/>
  <c r="N26" i="34"/>
  <c r="M26" i="34"/>
  <c r="L26" i="34"/>
  <c r="K26" i="34"/>
  <c r="O25" i="34"/>
  <c r="N25" i="34"/>
  <c r="M25" i="34"/>
  <c r="L25" i="34"/>
  <c r="K25" i="34"/>
  <c r="O24" i="34"/>
  <c r="N24" i="34"/>
  <c r="M24" i="34"/>
  <c r="L24" i="34"/>
  <c r="K24" i="34"/>
  <c r="O22" i="34"/>
  <c r="N22" i="34"/>
  <c r="M22" i="34"/>
  <c r="L22" i="34"/>
  <c r="K22" i="34"/>
  <c r="O21" i="34"/>
  <c r="N21" i="34"/>
  <c r="M21" i="34"/>
  <c r="L21" i="34"/>
  <c r="K21" i="34"/>
  <c r="O20" i="34"/>
  <c r="N20" i="34"/>
  <c r="M20" i="34"/>
  <c r="L20" i="34"/>
  <c r="K20" i="34"/>
  <c r="O19" i="34"/>
  <c r="N19" i="34"/>
  <c r="M19" i="34"/>
  <c r="L19" i="34"/>
  <c r="K19" i="34"/>
  <c r="O18" i="34"/>
  <c r="N18" i="34"/>
  <c r="M18" i="34"/>
  <c r="L18" i="34"/>
  <c r="K18" i="34"/>
  <c r="O17" i="34"/>
  <c r="N17" i="34"/>
  <c r="M17" i="34"/>
  <c r="L17" i="34"/>
  <c r="K17" i="34"/>
  <c r="O16" i="34"/>
  <c r="N16" i="34"/>
  <c r="M16" i="34"/>
  <c r="L16" i="34"/>
  <c r="K16" i="34"/>
  <c r="O15" i="34"/>
  <c r="N15" i="34"/>
  <c r="M15" i="34"/>
  <c r="L15" i="34"/>
  <c r="K15" i="34"/>
  <c r="O14" i="34"/>
  <c r="N14" i="34"/>
  <c r="M14" i="34"/>
  <c r="L14" i="34"/>
  <c r="K14" i="34"/>
  <c r="O13" i="34"/>
  <c r="N13" i="34"/>
  <c r="M13" i="34"/>
  <c r="L13" i="34"/>
  <c r="K13" i="34"/>
  <c r="O12" i="34"/>
  <c r="N12" i="34"/>
  <c r="M12" i="34"/>
  <c r="L12" i="34"/>
  <c r="K12" i="34"/>
  <c r="O11" i="34"/>
  <c r="N11" i="34"/>
  <c r="M11" i="34"/>
  <c r="L11" i="34"/>
  <c r="K11" i="34"/>
  <c r="O10" i="34"/>
  <c r="N10" i="34"/>
  <c r="M10" i="34"/>
  <c r="L10" i="34"/>
  <c r="K10" i="34"/>
  <c r="O9" i="34"/>
  <c r="N9" i="34"/>
  <c r="M9" i="34"/>
  <c r="L9" i="34"/>
  <c r="K9" i="34"/>
  <c r="O8" i="34"/>
  <c r="N8" i="34"/>
  <c r="M8" i="34"/>
  <c r="L8" i="34"/>
  <c r="K8" i="34"/>
  <c r="O7" i="34"/>
  <c r="N7" i="34"/>
  <c r="M7" i="34"/>
  <c r="L7" i="34"/>
  <c r="K7" i="34"/>
  <c r="O6" i="34"/>
  <c r="N6" i="34"/>
  <c r="M6" i="34"/>
  <c r="L6" i="34"/>
  <c r="K6" i="34"/>
  <c r="O5" i="34"/>
  <c r="N5" i="34"/>
  <c r="M5" i="34"/>
  <c r="L5" i="34"/>
  <c r="K5" i="34"/>
  <c r="O4" i="34"/>
  <c r="N4" i="34"/>
  <c r="M4" i="34"/>
  <c r="L4" i="34"/>
  <c r="K4" i="34"/>
  <c r="O41" i="8"/>
  <c r="N41" i="8"/>
  <c r="M41" i="8"/>
  <c r="L41" i="8"/>
  <c r="K41" i="8"/>
  <c r="O40" i="8"/>
  <c r="N40" i="8"/>
  <c r="M40" i="8"/>
  <c r="L40" i="8"/>
  <c r="K40" i="8"/>
  <c r="O39" i="8"/>
  <c r="N39" i="8"/>
  <c r="M39" i="8"/>
  <c r="L39" i="8"/>
  <c r="K39" i="8"/>
  <c r="O38" i="8"/>
  <c r="N38" i="8"/>
  <c r="M38" i="8"/>
  <c r="L38" i="8"/>
  <c r="K38" i="8"/>
  <c r="O37" i="8"/>
  <c r="N37" i="8"/>
  <c r="M37" i="8"/>
  <c r="L37" i="8"/>
  <c r="K37" i="8"/>
  <c r="O36" i="8"/>
  <c r="N36" i="8"/>
  <c r="M36" i="8"/>
  <c r="L36" i="8"/>
  <c r="K36" i="8"/>
  <c r="O35" i="8"/>
  <c r="N35" i="8"/>
  <c r="M35" i="8"/>
  <c r="L35" i="8"/>
  <c r="K35" i="8"/>
  <c r="O34" i="8"/>
  <c r="N34" i="8"/>
  <c r="M34" i="8"/>
  <c r="L34" i="8"/>
  <c r="K34" i="8"/>
  <c r="O33" i="8"/>
  <c r="N33" i="8"/>
  <c r="M33" i="8"/>
  <c r="L33" i="8"/>
  <c r="K33" i="8"/>
  <c r="O32" i="8"/>
  <c r="N32" i="8"/>
  <c r="M32" i="8"/>
  <c r="L32" i="8"/>
  <c r="K32" i="8"/>
  <c r="O31" i="8"/>
  <c r="N31" i="8"/>
  <c r="M31" i="8"/>
  <c r="L31" i="8"/>
  <c r="K31" i="8"/>
  <c r="O30" i="8"/>
  <c r="N30" i="8"/>
  <c r="M30" i="8"/>
  <c r="L30" i="8"/>
  <c r="K30" i="8"/>
  <c r="O29" i="8"/>
  <c r="N29" i="8"/>
  <c r="M29" i="8"/>
  <c r="L29" i="8"/>
  <c r="K29" i="8"/>
  <c r="O28" i="8"/>
  <c r="N28" i="8"/>
  <c r="M28" i="8"/>
  <c r="L28" i="8"/>
  <c r="K28" i="8"/>
  <c r="O27" i="8"/>
  <c r="N27" i="8"/>
  <c r="M27" i="8"/>
  <c r="L27" i="8"/>
  <c r="K27" i="8"/>
  <c r="O26" i="8"/>
  <c r="N26" i="8"/>
  <c r="M26" i="8"/>
  <c r="L26" i="8"/>
  <c r="K26" i="8"/>
  <c r="O25" i="8"/>
  <c r="N25" i="8"/>
  <c r="M25" i="8"/>
  <c r="L25" i="8"/>
  <c r="K25" i="8"/>
  <c r="O24" i="8"/>
  <c r="N24" i="8"/>
  <c r="M24" i="8"/>
  <c r="L24" i="8"/>
  <c r="K24" i="8"/>
  <c r="O23" i="8"/>
  <c r="N23" i="8"/>
  <c r="M23" i="8"/>
  <c r="L23" i="8"/>
  <c r="K23" i="8"/>
  <c r="O22" i="8"/>
  <c r="N22" i="8"/>
  <c r="M22" i="8"/>
  <c r="L22" i="8"/>
  <c r="K22" i="8"/>
  <c r="O20" i="8"/>
  <c r="N20" i="8"/>
  <c r="M20" i="8"/>
  <c r="L20" i="8"/>
  <c r="K20" i="8"/>
  <c r="O19" i="8"/>
  <c r="N19" i="8"/>
  <c r="M19" i="8"/>
  <c r="L19" i="8"/>
  <c r="K19" i="8"/>
  <c r="O18" i="8"/>
  <c r="N18" i="8"/>
  <c r="M18" i="8"/>
  <c r="L18" i="8"/>
  <c r="K18" i="8"/>
  <c r="O17" i="8"/>
  <c r="N17" i="8"/>
  <c r="M17" i="8"/>
  <c r="L17" i="8"/>
  <c r="K17" i="8"/>
  <c r="L16" i="8"/>
  <c r="L15" i="8"/>
  <c r="K15" i="8"/>
  <c r="O14" i="8"/>
  <c r="N14" i="8"/>
  <c r="M14" i="8"/>
  <c r="L14" i="8"/>
  <c r="J14" i="8"/>
  <c r="J16" i="8" s="1"/>
  <c r="K16" i="8" s="1"/>
  <c r="O13" i="8"/>
  <c r="N13" i="8"/>
  <c r="M13" i="8"/>
  <c r="L13" i="8"/>
  <c r="J13" i="8"/>
  <c r="K13" i="8" s="1"/>
  <c r="O12" i="8"/>
  <c r="N12" i="8"/>
  <c r="M12" i="8"/>
  <c r="L12" i="8"/>
  <c r="J12" i="8"/>
  <c r="K12" i="8" s="1"/>
  <c r="O11" i="8"/>
  <c r="N11" i="8"/>
  <c r="M11" i="8"/>
  <c r="L11" i="8"/>
  <c r="J11" i="8"/>
  <c r="K11" i="8" s="1"/>
  <c r="O10" i="8"/>
  <c r="N10" i="8"/>
  <c r="M10" i="8"/>
  <c r="L10" i="8"/>
  <c r="J10" i="8"/>
  <c r="K10" i="8" s="1"/>
  <c r="O9" i="8"/>
  <c r="N9" i="8"/>
  <c r="M9" i="8"/>
  <c r="L9" i="8"/>
  <c r="J9" i="8"/>
  <c r="K9" i="8" s="1"/>
  <c r="O8" i="8"/>
  <c r="N8" i="8"/>
  <c r="M8" i="8"/>
  <c r="L8" i="8"/>
  <c r="J8" i="8"/>
  <c r="K8" i="8" s="1"/>
  <c r="O7" i="8"/>
  <c r="N7" i="8"/>
  <c r="M7" i="8"/>
  <c r="L7" i="8"/>
  <c r="J7" i="8"/>
  <c r="K7" i="8" s="1"/>
  <c r="O6" i="8"/>
  <c r="N6" i="8"/>
  <c r="M6" i="8"/>
  <c r="L6" i="8"/>
  <c r="K6" i="8"/>
  <c r="O5" i="8"/>
  <c r="N5" i="8"/>
  <c r="M5" i="8"/>
  <c r="L5" i="8"/>
  <c r="J5" i="8"/>
  <c r="K5" i="8" s="1"/>
  <c r="O4" i="8"/>
  <c r="N4" i="8"/>
  <c r="M4" i="8"/>
  <c r="L4" i="8"/>
  <c r="J4" i="8"/>
  <c r="K4" i="8" s="1"/>
  <c r="L22" i="30"/>
  <c r="J22" i="30"/>
  <c r="K22" i="30" s="1"/>
  <c r="I22" i="30"/>
  <c r="H22" i="30"/>
  <c r="G22" i="30"/>
  <c r="L21" i="30"/>
  <c r="J21" i="30"/>
  <c r="K21" i="30" s="1"/>
  <c r="I21" i="30"/>
  <c r="H21" i="30"/>
  <c r="G21" i="30"/>
  <c r="L20" i="30"/>
  <c r="J20" i="30"/>
  <c r="K20" i="30" s="1"/>
  <c r="I20" i="30"/>
  <c r="H20" i="30"/>
  <c r="G20" i="30"/>
  <c r="L19" i="30"/>
  <c r="J19" i="30"/>
  <c r="K19" i="30" s="1"/>
  <c r="I19" i="30"/>
  <c r="H19" i="30"/>
  <c r="G19" i="30"/>
  <c r="L18" i="30"/>
  <c r="J18" i="30"/>
  <c r="K18" i="30" s="1"/>
  <c r="I18" i="30"/>
  <c r="H18" i="30"/>
  <c r="G18" i="30"/>
  <c r="L17" i="30"/>
  <c r="J17" i="30"/>
  <c r="K17" i="30" s="1"/>
  <c r="I17" i="30"/>
  <c r="H17" i="30"/>
  <c r="G17" i="30"/>
  <c r="L16" i="30"/>
  <c r="J16" i="30"/>
  <c r="K16" i="30" s="1"/>
  <c r="I16" i="30"/>
  <c r="H16" i="30"/>
  <c r="G16" i="30"/>
  <c r="L15" i="30"/>
  <c r="J15" i="30"/>
  <c r="K15" i="30" s="1"/>
  <c r="I15" i="30"/>
  <c r="H15" i="30"/>
  <c r="G15" i="30"/>
  <c r="L14" i="30"/>
  <c r="J14" i="30"/>
  <c r="K14" i="30" s="1"/>
  <c r="I14" i="30"/>
  <c r="H14" i="30"/>
  <c r="G14" i="30"/>
  <c r="L13" i="30"/>
  <c r="I13" i="30"/>
  <c r="H13" i="30"/>
  <c r="G13" i="30"/>
  <c r="L12" i="30"/>
  <c r="I12" i="30"/>
  <c r="H12" i="30"/>
  <c r="G12" i="30"/>
  <c r="L11" i="30"/>
  <c r="I11" i="30"/>
  <c r="H11" i="30"/>
  <c r="G11" i="30"/>
  <c r="L10" i="30"/>
  <c r="J10" i="30"/>
  <c r="K10" i="30" s="1"/>
  <c r="I10" i="30"/>
  <c r="H10" i="30"/>
  <c r="G10" i="30"/>
  <c r="L9" i="30"/>
  <c r="J9" i="30"/>
  <c r="K9" i="30" s="1"/>
  <c r="I9" i="30"/>
  <c r="H9" i="30"/>
  <c r="G9" i="30"/>
  <c r="L8" i="30"/>
  <c r="J8" i="30"/>
  <c r="K8" i="30" s="1"/>
  <c r="I8" i="30"/>
  <c r="H8" i="30"/>
  <c r="G8" i="30"/>
  <c r="L7" i="30"/>
  <c r="J7" i="30"/>
  <c r="K7" i="30" s="1"/>
  <c r="I7" i="30"/>
  <c r="H7" i="30"/>
  <c r="G7" i="30"/>
  <c r="L6" i="30"/>
  <c r="J6" i="30"/>
  <c r="K6" i="30" s="1"/>
  <c r="I6" i="30"/>
  <c r="H6" i="30"/>
  <c r="G6" i="30"/>
  <c r="L5" i="30"/>
  <c r="J5" i="30"/>
  <c r="K5" i="30" s="1"/>
  <c r="I5" i="30"/>
  <c r="H5" i="30"/>
  <c r="G5" i="30"/>
  <c r="L4" i="30"/>
  <c r="J4" i="30"/>
  <c r="K4" i="30" s="1"/>
  <c r="I4" i="30"/>
  <c r="H4" i="30"/>
  <c r="G4" i="30"/>
  <c r="F2" i="30"/>
  <c r="N1" i="30"/>
  <c r="O2" i="30" s="1"/>
  <c r="O47" i="7"/>
  <c r="N47" i="7"/>
  <c r="M47" i="7"/>
  <c r="L47" i="7"/>
  <c r="J47" i="7"/>
  <c r="K47" i="7" s="1"/>
  <c r="O46" i="7"/>
  <c r="N46" i="7"/>
  <c r="M46" i="7"/>
  <c r="L46" i="7"/>
  <c r="J46" i="7"/>
  <c r="K46" i="7" s="1"/>
  <c r="O45" i="7"/>
  <c r="N45" i="7"/>
  <c r="M45" i="7"/>
  <c r="L45" i="7"/>
  <c r="J45" i="7"/>
  <c r="O44" i="7"/>
  <c r="N44" i="7"/>
  <c r="M44" i="7"/>
  <c r="L44" i="7"/>
  <c r="J44" i="7"/>
  <c r="O43" i="7"/>
  <c r="N43" i="7"/>
  <c r="M43" i="7"/>
  <c r="L43" i="7"/>
  <c r="J43" i="7"/>
  <c r="K43" i="7" s="1"/>
  <c r="O42" i="7"/>
  <c r="N42" i="7"/>
  <c r="M42" i="7"/>
  <c r="L42" i="7"/>
  <c r="J42" i="7"/>
  <c r="K42" i="7" s="1"/>
  <c r="O41" i="7"/>
  <c r="N41" i="7"/>
  <c r="M41" i="7"/>
  <c r="L41" i="7"/>
  <c r="J41" i="7"/>
  <c r="K41" i="7" s="1"/>
  <c r="O40" i="7"/>
  <c r="N40" i="7"/>
  <c r="M40" i="7"/>
  <c r="L40" i="7"/>
  <c r="J40" i="7"/>
  <c r="K40" i="7" s="1"/>
  <c r="O39" i="7"/>
  <c r="N39" i="7"/>
  <c r="M39" i="7"/>
  <c r="L39" i="7"/>
  <c r="J39" i="7"/>
  <c r="K39" i="7" s="1"/>
  <c r="O38" i="7"/>
  <c r="N38" i="7"/>
  <c r="M38" i="7"/>
  <c r="L38" i="7"/>
  <c r="J38" i="7"/>
  <c r="K38" i="7" s="1"/>
  <c r="O37" i="7"/>
  <c r="N37" i="7"/>
  <c r="M37" i="7"/>
  <c r="L37" i="7"/>
  <c r="J37" i="7"/>
  <c r="O36" i="7"/>
  <c r="N36" i="7"/>
  <c r="M36" i="7"/>
  <c r="L36" i="7"/>
  <c r="J36" i="7"/>
  <c r="O35" i="7"/>
  <c r="N35" i="7"/>
  <c r="M35" i="7"/>
  <c r="L35" i="7"/>
  <c r="J35" i="7"/>
  <c r="K35" i="7" s="1"/>
  <c r="O34" i="7"/>
  <c r="N34" i="7"/>
  <c r="M34" i="7"/>
  <c r="L34" i="7"/>
  <c r="J34" i="7"/>
  <c r="K34" i="7" s="1"/>
  <c r="O33" i="7"/>
  <c r="N33" i="7"/>
  <c r="M33" i="7"/>
  <c r="L33" i="7"/>
  <c r="J33" i="7"/>
  <c r="K33" i="7" s="1"/>
  <c r="O32" i="7"/>
  <c r="N32" i="7"/>
  <c r="M32" i="7"/>
  <c r="L32" i="7"/>
  <c r="J32" i="7"/>
  <c r="K32" i="7" s="1"/>
  <c r="O31" i="7"/>
  <c r="N31" i="7"/>
  <c r="M31" i="7"/>
  <c r="L31" i="7"/>
  <c r="J31" i="7"/>
  <c r="K31" i="7" s="1"/>
  <c r="O30" i="7"/>
  <c r="N30" i="7"/>
  <c r="M30" i="7"/>
  <c r="L30" i="7"/>
  <c r="J30" i="7"/>
  <c r="K30" i="7" s="1"/>
  <c r="O29" i="7"/>
  <c r="N29" i="7"/>
  <c r="M29" i="7"/>
  <c r="L29" i="7"/>
  <c r="J29" i="7"/>
  <c r="K29" i="7" s="1"/>
  <c r="O28" i="7"/>
  <c r="N28" i="7"/>
  <c r="M28" i="7"/>
  <c r="L28" i="7"/>
  <c r="K28" i="7"/>
  <c r="J28" i="7"/>
  <c r="O27" i="7"/>
  <c r="N27" i="7"/>
  <c r="M27" i="7"/>
  <c r="L27" i="7"/>
  <c r="J27" i="7"/>
  <c r="K27" i="7" s="1"/>
  <c r="O26" i="7"/>
  <c r="N26" i="7"/>
  <c r="M26" i="7"/>
  <c r="L26" i="7"/>
  <c r="J26" i="7"/>
  <c r="K26" i="7" s="1"/>
  <c r="O25" i="7"/>
  <c r="N25" i="7"/>
  <c r="M25" i="7"/>
  <c r="L25" i="7"/>
  <c r="J25" i="7"/>
  <c r="K25" i="7" s="1"/>
  <c r="O24" i="7"/>
  <c r="N24" i="7"/>
  <c r="M24" i="7"/>
  <c r="L24" i="7"/>
  <c r="J24" i="7"/>
  <c r="K24" i="7" s="1"/>
  <c r="O23" i="7"/>
  <c r="N23" i="7"/>
  <c r="M23" i="7"/>
  <c r="L23" i="7"/>
  <c r="J23" i="7"/>
  <c r="K23" i="7" s="1"/>
  <c r="O22" i="7"/>
  <c r="N22" i="7"/>
  <c r="M22" i="7"/>
  <c r="L22" i="7"/>
  <c r="J22" i="7"/>
  <c r="K22" i="7" s="1"/>
  <c r="O21" i="7"/>
  <c r="N21" i="7"/>
  <c r="M21" i="7"/>
  <c r="L21" i="7"/>
  <c r="J21" i="7"/>
  <c r="K21" i="7" s="1"/>
  <c r="O20" i="7"/>
  <c r="N20" i="7"/>
  <c r="M20" i="7"/>
  <c r="L20" i="7"/>
  <c r="J20" i="7"/>
  <c r="K20" i="7" s="1"/>
  <c r="O19" i="7"/>
  <c r="N19" i="7"/>
  <c r="M19" i="7"/>
  <c r="L19" i="7"/>
  <c r="J19" i="7"/>
  <c r="K19" i="7" s="1"/>
  <c r="O18" i="7"/>
  <c r="N18" i="7"/>
  <c r="M18" i="7"/>
  <c r="L18" i="7"/>
  <c r="J18" i="7"/>
  <c r="K18" i="7" s="1"/>
  <c r="O17" i="7"/>
  <c r="N17" i="7"/>
  <c r="M17" i="7"/>
  <c r="L17" i="7"/>
  <c r="J17" i="7"/>
  <c r="K17" i="7" s="1"/>
  <c r="O16" i="7"/>
  <c r="N16" i="7"/>
  <c r="M16" i="7"/>
  <c r="L16" i="7"/>
  <c r="J16" i="7"/>
  <c r="K16" i="7" s="1"/>
  <c r="O15" i="7"/>
  <c r="N15" i="7"/>
  <c r="M15" i="7"/>
  <c r="L15" i="7"/>
  <c r="J15" i="7"/>
  <c r="K15" i="7" s="1"/>
  <c r="O14" i="7"/>
  <c r="N14" i="7"/>
  <c r="M14" i="7"/>
  <c r="L14" i="7"/>
  <c r="K14" i="7"/>
  <c r="J14" i="7"/>
  <c r="O13" i="7"/>
  <c r="N13" i="7"/>
  <c r="M13" i="7"/>
  <c r="L13" i="7"/>
  <c r="J13" i="7"/>
  <c r="K13" i="7" s="1"/>
  <c r="O12" i="7"/>
  <c r="N12" i="7"/>
  <c r="M12" i="7"/>
  <c r="L12" i="7"/>
  <c r="J12" i="7"/>
  <c r="K12" i="7" s="1"/>
  <c r="O11" i="7"/>
  <c r="N11" i="7"/>
  <c r="M11" i="7"/>
  <c r="L11" i="7"/>
  <c r="J11" i="7"/>
  <c r="K11" i="7" s="1"/>
  <c r="O10" i="7"/>
  <c r="N10" i="7"/>
  <c r="M10" i="7"/>
  <c r="L10" i="7"/>
  <c r="J10" i="7"/>
  <c r="K10" i="7" s="1"/>
  <c r="O9" i="7"/>
  <c r="N9" i="7"/>
  <c r="M9" i="7"/>
  <c r="L9" i="7"/>
  <c r="J9" i="7"/>
  <c r="K9" i="7" s="1"/>
  <c r="O8" i="7"/>
  <c r="N8" i="7"/>
  <c r="M8" i="7"/>
  <c r="L8" i="7"/>
  <c r="K8" i="7"/>
  <c r="J8" i="7"/>
  <c r="O7" i="7"/>
  <c r="N7" i="7"/>
  <c r="M7" i="7"/>
  <c r="L7" i="7"/>
  <c r="J7" i="7"/>
  <c r="K7" i="7" s="1"/>
  <c r="O6" i="7"/>
  <c r="N6" i="7"/>
  <c r="M6" i="7"/>
  <c r="L6" i="7"/>
  <c r="J6" i="7"/>
  <c r="K6" i="7" s="1"/>
  <c r="O5" i="7"/>
  <c r="N5" i="7"/>
  <c r="M5" i="7"/>
  <c r="L5" i="7"/>
  <c r="J5" i="7"/>
  <c r="K5" i="7" s="1"/>
  <c r="O4" i="7"/>
  <c r="N4" i="7"/>
  <c r="M4" i="7"/>
  <c r="L4" i="7"/>
  <c r="J4" i="7"/>
  <c r="K4" i="7" s="1"/>
  <c r="O118" i="3"/>
  <c r="N118" i="3"/>
  <c r="M118" i="3"/>
  <c r="L118" i="3"/>
  <c r="K118" i="3"/>
  <c r="O117" i="3"/>
  <c r="N117" i="3"/>
  <c r="M117" i="3"/>
  <c r="L117" i="3"/>
  <c r="K117" i="3"/>
  <c r="O116" i="3"/>
  <c r="N116" i="3"/>
  <c r="M116" i="3"/>
  <c r="L116" i="3"/>
  <c r="K116" i="3"/>
  <c r="O115" i="3"/>
  <c r="N115" i="3"/>
  <c r="M115" i="3"/>
  <c r="L115" i="3"/>
  <c r="K115" i="3"/>
  <c r="O114" i="3"/>
  <c r="N114" i="3"/>
  <c r="M114" i="3"/>
  <c r="L114" i="3"/>
  <c r="K114" i="3"/>
  <c r="O113" i="3"/>
  <c r="N113" i="3"/>
  <c r="M113" i="3"/>
  <c r="L113" i="3"/>
  <c r="K113" i="3"/>
  <c r="O112" i="3"/>
  <c r="N112" i="3"/>
  <c r="M112" i="3"/>
  <c r="L112" i="3"/>
  <c r="K112" i="3"/>
  <c r="O111" i="3"/>
  <c r="N111" i="3"/>
  <c r="M111" i="3"/>
  <c r="L111" i="3"/>
  <c r="K111" i="3"/>
  <c r="O110" i="3"/>
  <c r="N110" i="3"/>
  <c r="M110" i="3"/>
  <c r="L110" i="3"/>
  <c r="K110" i="3"/>
  <c r="O109" i="3"/>
  <c r="N109" i="3"/>
  <c r="M109" i="3"/>
  <c r="L109" i="3"/>
  <c r="K109" i="3"/>
  <c r="O108" i="3"/>
  <c r="N108" i="3"/>
  <c r="M108" i="3"/>
  <c r="L108" i="3"/>
  <c r="K108" i="3"/>
  <c r="O107" i="3"/>
  <c r="N107" i="3"/>
  <c r="M107" i="3"/>
  <c r="L107" i="3"/>
  <c r="K107" i="3"/>
  <c r="O106" i="3"/>
  <c r="N106" i="3"/>
  <c r="M106" i="3"/>
  <c r="L106" i="3"/>
  <c r="K106" i="3"/>
  <c r="O105" i="3"/>
  <c r="N105" i="3"/>
  <c r="M105" i="3"/>
  <c r="L105" i="3"/>
  <c r="K105" i="3"/>
  <c r="O104" i="3"/>
  <c r="N104" i="3"/>
  <c r="M104" i="3"/>
  <c r="L104" i="3"/>
  <c r="K104" i="3"/>
  <c r="O103" i="3"/>
  <c r="N103" i="3"/>
  <c r="M103" i="3"/>
  <c r="L103" i="3"/>
  <c r="K103" i="3"/>
  <c r="O102" i="3"/>
  <c r="N102" i="3"/>
  <c r="M102" i="3"/>
  <c r="L102" i="3"/>
  <c r="K102" i="3"/>
  <c r="O101" i="3"/>
  <c r="N101" i="3"/>
  <c r="M101" i="3"/>
  <c r="L101" i="3"/>
  <c r="K101" i="3"/>
  <c r="O100" i="3"/>
  <c r="N100" i="3"/>
  <c r="M100" i="3"/>
  <c r="L100" i="3"/>
  <c r="K100" i="3"/>
  <c r="O99" i="3"/>
  <c r="N99" i="3"/>
  <c r="M99" i="3"/>
  <c r="L99" i="3"/>
  <c r="K99" i="3"/>
  <c r="O98" i="3"/>
  <c r="N98" i="3"/>
  <c r="M98" i="3"/>
  <c r="L98" i="3"/>
  <c r="K98" i="3"/>
  <c r="O97" i="3"/>
  <c r="N97" i="3"/>
  <c r="M97" i="3"/>
  <c r="L97" i="3"/>
  <c r="K97" i="3"/>
  <c r="O96" i="3"/>
  <c r="N96" i="3"/>
  <c r="M96" i="3"/>
  <c r="L96" i="3"/>
  <c r="K96" i="3"/>
  <c r="O95" i="3"/>
  <c r="N95" i="3"/>
  <c r="M95" i="3"/>
  <c r="L95" i="3"/>
  <c r="K95" i="3"/>
  <c r="O94" i="3"/>
  <c r="N94" i="3"/>
  <c r="M94" i="3"/>
  <c r="L94" i="3"/>
  <c r="K94" i="3"/>
  <c r="O93" i="3"/>
  <c r="N93" i="3"/>
  <c r="M93" i="3"/>
  <c r="L93" i="3"/>
  <c r="K93" i="3"/>
  <c r="O92" i="3"/>
  <c r="N92" i="3"/>
  <c r="M92" i="3"/>
  <c r="L92" i="3"/>
  <c r="K92" i="3"/>
  <c r="O91" i="3"/>
  <c r="N91" i="3"/>
  <c r="M91" i="3"/>
  <c r="L91" i="3"/>
  <c r="K91" i="3"/>
  <c r="O90" i="3"/>
  <c r="N90" i="3"/>
  <c r="M90" i="3"/>
  <c r="L90" i="3"/>
  <c r="K90" i="3"/>
  <c r="O89" i="3"/>
  <c r="N89" i="3"/>
  <c r="M89" i="3"/>
  <c r="L89" i="3"/>
  <c r="K89" i="3"/>
  <c r="O88" i="3"/>
  <c r="N88" i="3"/>
  <c r="M88" i="3"/>
  <c r="L88" i="3"/>
  <c r="K88" i="3"/>
  <c r="O87" i="3"/>
  <c r="N87" i="3"/>
  <c r="M87" i="3"/>
  <c r="L87" i="3"/>
  <c r="K87" i="3"/>
  <c r="O86" i="3"/>
  <c r="N86" i="3"/>
  <c r="M86" i="3"/>
  <c r="L86" i="3"/>
  <c r="K86" i="3"/>
  <c r="O85" i="3"/>
  <c r="N85" i="3"/>
  <c r="M85" i="3"/>
  <c r="L85" i="3"/>
  <c r="K85" i="3"/>
  <c r="O84" i="3"/>
  <c r="N84" i="3"/>
  <c r="M84" i="3"/>
  <c r="L84" i="3"/>
  <c r="K84" i="3"/>
  <c r="O83" i="3"/>
  <c r="N83" i="3"/>
  <c r="M83" i="3"/>
  <c r="L83" i="3"/>
  <c r="K83" i="3"/>
  <c r="O82" i="3"/>
  <c r="N82" i="3"/>
  <c r="M82" i="3"/>
  <c r="L82" i="3"/>
  <c r="K82" i="3"/>
  <c r="O81" i="3"/>
  <c r="N81" i="3"/>
  <c r="M81" i="3"/>
  <c r="L81" i="3"/>
  <c r="K81" i="3"/>
  <c r="O80" i="3"/>
  <c r="N80" i="3"/>
  <c r="M80" i="3"/>
  <c r="L80" i="3"/>
  <c r="K80" i="3"/>
  <c r="O79" i="3"/>
  <c r="N79" i="3"/>
  <c r="M79" i="3"/>
  <c r="L79" i="3"/>
  <c r="K79" i="3"/>
  <c r="O78" i="3"/>
  <c r="N78" i="3"/>
  <c r="M78" i="3"/>
  <c r="L78" i="3"/>
  <c r="K78" i="3"/>
  <c r="O77" i="3"/>
  <c r="N77" i="3"/>
  <c r="M77" i="3"/>
  <c r="L77" i="3"/>
  <c r="K77" i="3"/>
  <c r="O76" i="3"/>
  <c r="N76" i="3"/>
  <c r="M76" i="3"/>
  <c r="L76" i="3"/>
  <c r="K76" i="3"/>
  <c r="O75" i="3"/>
  <c r="N75" i="3"/>
  <c r="M75" i="3"/>
  <c r="L75" i="3"/>
  <c r="K75" i="3"/>
  <c r="O74" i="3"/>
  <c r="N74" i="3"/>
  <c r="M74" i="3"/>
  <c r="L74" i="3"/>
  <c r="K74" i="3"/>
  <c r="O73" i="3"/>
  <c r="N73" i="3"/>
  <c r="M73" i="3"/>
  <c r="L73" i="3"/>
  <c r="K73" i="3"/>
  <c r="O72" i="3"/>
  <c r="N72" i="3"/>
  <c r="M72" i="3"/>
  <c r="L72" i="3"/>
  <c r="K72" i="3"/>
  <c r="O71" i="3"/>
  <c r="N71" i="3"/>
  <c r="M71" i="3"/>
  <c r="L71" i="3"/>
  <c r="K71" i="3"/>
  <c r="O70" i="3"/>
  <c r="N70" i="3"/>
  <c r="M70" i="3"/>
  <c r="L70" i="3"/>
  <c r="K70" i="3"/>
  <c r="O69" i="3"/>
  <c r="N69" i="3"/>
  <c r="M69" i="3"/>
  <c r="L69" i="3"/>
  <c r="K69" i="3"/>
  <c r="O68" i="3"/>
  <c r="N68" i="3"/>
  <c r="M68" i="3"/>
  <c r="L68" i="3"/>
  <c r="K68" i="3"/>
  <c r="O67" i="3"/>
  <c r="N67" i="3"/>
  <c r="M67" i="3"/>
  <c r="L67" i="3"/>
  <c r="K67" i="3"/>
  <c r="O66" i="3"/>
  <c r="N66" i="3"/>
  <c r="M66" i="3"/>
  <c r="L66" i="3"/>
  <c r="K66" i="3"/>
  <c r="O65" i="3"/>
  <c r="N65" i="3"/>
  <c r="M65" i="3"/>
  <c r="L65" i="3"/>
  <c r="K65" i="3"/>
  <c r="O64" i="3"/>
  <c r="N64" i="3"/>
  <c r="M64" i="3"/>
  <c r="L64" i="3"/>
  <c r="K64" i="3"/>
  <c r="O63" i="3"/>
  <c r="N63" i="3"/>
  <c r="M63" i="3"/>
  <c r="L63" i="3"/>
  <c r="K63" i="3"/>
  <c r="O62" i="3"/>
  <c r="N62" i="3"/>
  <c r="M62" i="3"/>
  <c r="L62" i="3"/>
  <c r="K62" i="3"/>
  <c r="O61" i="3"/>
  <c r="N61" i="3"/>
  <c r="M61" i="3"/>
  <c r="L61" i="3"/>
  <c r="K61" i="3"/>
  <c r="O60" i="3"/>
  <c r="N60" i="3"/>
  <c r="M60" i="3"/>
  <c r="L60" i="3"/>
  <c r="K60" i="3"/>
  <c r="O59" i="3"/>
  <c r="N59" i="3"/>
  <c r="M59" i="3"/>
  <c r="L59" i="3"/>
  <c r="K59" i="3"/>
  <c r="O58" i="3"/>
  <c r="N58" i="3"/>
  <c r="M58" i="3"/>
  <c r="L58" i="3"/>
  <c r="K58" i="3"/>
  <c r="O57" i="3"/>
  <c r="N57" i="3"/>
  <c r="M57" i="3"/>
  <c r="L57" i="3"/>
  <c r="K57" i="3"/>
  <c r="O56" i="3"/>
  <c r="N56" i="3"/>
  <c r="M56" i="3"/>
  <c r="L56" i="3"/>
  <c r="K56" i="3"/>
  <c r="O55" i="3"/>
  <c r="N55" i="3"/>
  <c r="M55" i="3"/>
  <c r="L55" i="3"/>
  <c r="K55" i="3"/>
  <c r="O54" i="3"/>
  <c r="N54" i="3"/>
  <c r="M54" i="3"/>
  <c r="L54" i="3"/>
  <c r="K54" i="3"/>
  <c r="O53" i="3"/>
  <c r="N53" i="3"/>
  <c r="M53" i="3"/>
  <c r="L53" i="3"/>
  <c r="K53" i="3"/>
  <c r="O52" i="3"/>
  <c r="N52" i="3"/>
  <c r="M52" i="3"/>
  <c r="L52" i="3"/>
  <c r="K52" i="3"/>
  <c r="O51" i="3"/>
  <c r="N51" i="3"/>
  <c r="M51" i="3"/>
  <c r="L51" i="3"/>
  <c r="K51" i="3"/>
  <c r="O50" i="3"/>
  <c r="N50" i="3"/>
  <c r="M50" i="3"/>
  <c r="L50" i="3"/>
  <c r="K50" i="3"/>
  <c r="O49" i="3"/>
  <c r="N49" i="3"/>
  <c r="M49" i="3"/>
  <c r="L49" i="3"/>
  <c r="K49" i="3"/>
  <c r="O48" i="3"/>
  <c r="N48" i="3"/>
  <c r="M48" i="3"/>
  <c r="L48" i="3"/>
  <c r="K48" i="3"/>
  <c r="O47" i="3"/>
  <c r="N47" i="3"/>
  <c r="M47" i="3"/>
  <c r="L47" i="3"/>
  <c r="K47" i="3"/>
  <c r="O46" i="3"/>
  <c r="N46" i="3"/>
  <c r="M46" i="3"/>
  <c r="L46" i="3"/>
  <c r="K46" i="3"/>
  <c r="O45" i="3"/>
  <c r="N45" i="3"/>
  <c r="M45" i="3"/>
  <c r="L45" i="3"/>
  <c r="K45" i="3"/>
  <c r="O44" i="3"/>
  <c r="N44" i="3"/>
  <c r="M44" i="3"/>
  <c r="K44" i="3"/>
  <c r="O43" i="3"/>
  <c r="N43" i="3"/>
  <c r="M43" i="3"/>
  <c r="L43" i="3"/>
  <c r="K43" i="3"/>
  <c r="O42" i="3"/>
  <c r="N42" i="3"/>
  <c r="M42" i="3"/>
  <c r="L42" i="3"/>
  <c r="K42" i="3"/>
  <c r="O41" i="3"/>
  <c r="N41" i="3"/>
  <c r="M41" i="3"/>
  <c r="L41" i="3"/>
  <c r="K41" i="3"/>
  <c r="O40" i="3"/>
  <c r="N40" i="3"/>
  <c r="M40" i="3"/>
  <c r="L40" i="3"/>
  <c r="K40" i="3"/>
  <c r="O39" i="3"/>
  <c r="N39" i="3"/>
  <c r="M39" i="3"/>
  <c r="L39" i="3"/>
  <c r="K39" i="3"/>
  <c r="O38" i="3"/>
  <c r="N38" i="3"/>
  <c r="M38" i="3"/>
  <c r="L38" i="3"/>
  <c r="K38" i="3"/>
  <c r="O37" i="3"/>
  <c r="N37" i="3"/>
  <c r="M37" i="3"/>
  <c r="L37" i="3"/>
  <c r="K37" i="3"/>
  <c r="O36" i="3"/>
  <c r="N36" i="3"/>
  <c r="M36" i="3"/>
  <c r="L36" i="3"/>
  <c r="K36" i="3"/>
  <c r="O35" i="3"/>
  <c r="N35" i="3"/>
  <c r="M35" i="3"/>
  <c r="L35" i="3"/>
  <c r="K35" i="3"/>
  <c r="O34" i="3"/>
  <c r="N34" i="3"/>
  <c r="M34" i="3"/>
  <c r="L34" i="3"/>
  <c r="K34" i="3"/>
  <c r="O33" i="3"/>
  <c r="N33" i="3"/>
  <c r="M33" i="3"/>
  <c r="L33" i="3"/>
  <c r="K33" i="3"/>
  <c r="O32" i="3"/>
  <c r="N32" i="3"/>
  <c r="M32" i="3"/>
  <c r="L32" i="3"/>
  <c r="K32" i="3"/>
  <c r="O31" i="3"/>
  <c r="N31" i="3"/>
  <c r="M31" i="3"/>
  <c r="L31" i="3"/>
  <c r="K31" i="3"/>
  <c r="O30" i="3"/>
  <c r="N30" i="3"/>
  <c r="M30" i="3"/>
  <c r="L30" i="3"/>
  <c r="K30" i="3"/>
  <c r="O29" i="3"/>
  <c r="N29" i="3"/>
  <c r="M29" i="3"/>
  <c r="L29" i="3"/>
  <c r="K29" i="3"/>
  <c r="O28" i="3"/>
  <c r="N28" i="3"/>
  <c r="M28" i="3"/>
  <c r="L28" i="3"/>
  <c r="K28" i="3"/>
  <c r="O27" i="3"/>
  <c r="N27" i="3"/>
  <c r="M27" i="3"/>
  <c r="L27" i="3"/>
  <c r="K27" i="3"/>
  <c r="O26" i="3"/>
  <c r="N26" i="3"/>
  <c r="M26" i="3"/>
  <c r="L26" i="3"/>
  <c r="K26" i="3"/>
  <c r="O25" i="3"/>
  <c r="N25" i="3"/>
  <c r="M25" i="3"/>
  <c r="L25" i="3"/>
  <c r="K25" i="3"/>
  <c r="O24" i="3"/>
  <c r="N24" i="3"/>
  <c r="M24" i="3"/>
  <c r="L24" i="3"/>
  <c r="K24" i="3"/>
  <c r="O23" i="3"/>
  <c r="N23" i="3"/>
  <c r="M23" i="3"/>
  <c r="L23" i="3"/>
  <c r="K23" i="3"/>
  <c r="O22" i="3"/>
  <c r="N22" i="3"/>
  <c r="M22" i="3"/>
  <c r="L22" i="3"/>
  <c r="K22" i="3"/>
  <c r="O21" i="3"/>
  <c r="N21" i="3"/>
  <c r="M21" i="3"/>
  <c r="L21" i="3"/>
  <c r="K21" i="3"/>
  <c r="O20" i="3"/>
  <c r="N20" i="3"/>
  <c r="M20" i="3"/>
  <c r="L20" i="3"/>
  <c r="K20" i="3"/>
  <c r="O19" i="3"/>
  <c r="N19" i="3"/>
  <c r="M19" i="3"/>
  <c r="L19" i="3"/>
  <c r="K19" i="3"/>
  <c r="O18" i="3"/>
  <c r="N18" i="3"/>
  <c r="M18" i="3"/>
  <c r="L18" i="3"/>
  <c r="K18" i="3"/>
  <c r="O17" i="3"/>
  <c r="N17" i="3"/>
  <c r="M17" i="3"/>
  <c r="L17" i="3"/>
  <c r="K17" i="3"/>
  <c r="O16" i="3"/>
  <c r="N16" i="3"/>
  <c r="M16" i="3"/>
  <c r="L16" i="3"/>
  <c r="K16" i="3"/>
  <c r="O15" i="3"/>
  <c r="N15" i="3"/>
  <c r="M15" i="3"/>
  <c r="L15" i="3"/>
  <c r="K15" i="3"/>
  <c r="O14" i="3"/>
  <c r="N14" i="3"/>
  <c r="M14" i="3"/>
  <c r="L14" i="3"/>
  <c r="K14" i="3"/>
  <c r="O13" i="3"/>
  <c r="N13" i="3"/>
  <c r="M13" i="3"/>
  <c r="L13" i="3"/>
  <c r="K13" i="3"/>
  <c r="O12" i="3"/>
  <c r="N12" i="3"/>
  <c r="M12" i="3"/>
  <c r="L12" i="3"/>
  <c r="K12" i="3"/>
  <c r="O11" i="3"/>
  <c r="N11" i="3"/>
  <c r="M11" i="3"/>
  <c r="L11" i="3"/>
  <c r="K11" i="3"/>
  <c r="O10" i="3"/>
  <c r="N10" i="3"/>
  <c r="M10" i="3"/>
  <c r="L10" i="3"/>
  <c r="K10" i="3"/>
  <c r="O9" i="3"/>
  <c r="N9" i="3"/>
  <c r="M9" i="3"/>
  <c r="L9" i="3"/>
  <c r="K9" i="3"/>
  <c r="O8" i="3"/>
  <c r="N8" i="3"/>
  <c r="M8" i="3"/>
  <c r="L8" i="3"/>
  <c r="K8" i="3"/>
  <c r="O7" i="3"/>
  <c r="N7" i="3"/>
  <c r="M7" i="3"/>
  <c r="L7" i="3"/>
  <c r="K7" i="3"/>
  <c r="O6" i="3"/>
  <c r="N6" i="3"/>
  <c r="M6" i="3"/>
  <c r="L6" i="3"/>
  <c r="K6" i="3"/>
  <c r="O5" i="3"/>
  <c r="N5" i="3"/>
  <c r="M5" i="3"/>
  <c r="L5" i="3"/>
  <c r="K5" i="3"/>
  <c r="O4" i="3"/>
  <c r="N4" i="3"/>
  <c r="L4" i="3"/>
  <c r="K4" i="3"/>
  <c r="O28" i="36"/>
  <c r="N28" i="36"/>
  <c r="M28" i="36"/>
  <c r="L28" i="36"/>
  <c r="K28" i="36"/>
  <c r="O27" i="36"/>
  <c r="N27" i="36"/>
  <c r="M27" i="36"/>
  <c r="L27" i="36"/>
  <c r="K27" i="36"/>
  <c r="O26" i="36"/>
  <c r="N26" i="36"/>
  <c r="M26" i="36"/>
  <c r="L26" i="36"/>
  <c r="K26" i="36"/>
  <c r="O25" i="36"/>
  <c r="N25" i="36"/>
  <c r="M25" i="36"/>
  <c r="L25" i="36"/>
  <c r="K25" i="36"/>
  <c r="O24" i="36"/>
  <c r="N24" i="36"/>
  <c r="M24" i="36"/>
  <c r="L24" i="36"/>
  <c r="K24" i="36"/>
  <c r="O23" i="36"/>
  <c r="N23" i="36"/>
  <c r="M23" i="36"/>
  <c r="L23" i="36"/>
  <c r="K23" i="36"/>
  <c r="O22" i="36"/>
  <c r="N22" i="36"/>
  <c r="M22" i="36"/>
  <c r="L22" i="36"/>
  <c r="K22" i="36"/>
  <c r="O21" i="36"/>
  <c r="N21" i="36"/>
  <c r="M21" i="36"/>
  <c r="L21" i="36"/>
  <c r="K21" i="36"/>
  <c r="O20" i="36"/>
  <c r="N20" i="36"/>
  <c r="M20" i="36"/>
  <c r="L20" i="36"/>
  <c r="K20" i="36"/>
  <c r="O19" i="36"/>
  <c r="N19" i="36"/>
  <c r="M19" i="36"/>
  <c r="L19" i="36"/>
  <c r="K19" i="36"/>
  <c r="O18" i="36"/>
  <c r="N18" i="36"/>
  <c r="M18" i="36"/>
  <c r="L18" i="36"/>
  <c r="K18" i="36"/>
  <c r="O17" i="36"/>
  <c r="N17" i="36"/>
  <c r="M17" i="36"/>
  <c r="L17" i="36"/>
  <c r="K17" i="36"/>
  <c r="O16" i="36"/>
  <c r="N16" i="36"/>
  <c r="M16" i="36"/>
  <c r="L16" i="36"/>
  <c r="K16" i="36"/>
  <c r="O15" i="36"/>
  <c r="N15" i="36"/>
  <c r="M15" i="36"/>
  <c r="L15" i="36"/>
  <c r="K15" i="36"/>
  <c r="O14" i="36"/>
  <c r="N14" i="36"/>
  <c r="M14" i="36"/>
  <c r="L14" i="36"/>
  <c r="K14" i="36"/>
  <c r="O13" i="36"/>
  <c r="N13" i="36"/>
  <c r="M13" i="36"/>
  <c r="L13" i="36"/>
  <c r="K13" i="36"/>
  <c r="O12" i="36"/>
  <c r="N12" i="36"/>
  <c r="M12" i="36"/>
  <c r="L12" i="36"/>
  <c r="K12" i="36"/>
  <c r="O11" i="36"/>
  <c r="N11" i="36"/>
  <c r="M11" i="36"/>
  <c r="L11" i="36"/>
  <c r="K11" i="36"/>
  <c r="O10" i="36"/>
  <c r="N10" i="36"/>
  <c r="M10" i="36"/>
  <c r="L10" i="36"/>
  <c r="K10" i="36"/>
  <c r="O9" i="36"/>
  <c r="N9" i="36"/>
  <c r="M9" i="36"/>
  <c r="L9" i="36"/>
  <c r="K9" i="36"/>
  <c r="O8" i="36"/>
  <c r="N8" i="36"/>
  <c r="M8" i="36"/>
  <c r="L8" i="36"/>
  <c r="K8" i="36"/>
  <c r="O7" i="36"/>
  <c r="N7" i="36"/>
  <c r="M7" i="36"/>
  <c r="L7" i="36"/>
  <c r="K7" i="36"/>
  <c r="O6" i="36"/>
  <c r="N6" i="36"/>
  <c r="M6" i="36"/>
  <c r="L6" i="36"/>
  <c r="K6" i="36"/>
  <c r="O5" i="36"/>
  <c r="N5" i="36"/>
  <c r="M5" i="36"/>
  <c r="L5" i="36"/>
  <c r="K5" i="36"/>
  <c r="O4" i="36"/>
  <c r="N4" i="36"/>
  <c r="M4" i="36"/>
  <c r="L4" i="36"/>
  <c r="K4" i="36"/>
  <c r="O18" i="35"/>
  <c r="N18" i="35"/>
  <c r="M18" i="35"/>
  <c r="L18" i="35"/>
  <c r="Y18" i="35"/>
  <c r="O17" i="35"/>
  <c r="N17" i="35"/>
  <c r="M17" i="35"/>
  <c r="L17" i="35"/>
  <c r="Y17" i="35"/>
  <c r="O16" i="35"/>
  <c r="N16" i="35"/>
  <c r="M16" i="35"/>
  <c r="L16" i="35"/>
  <c r="Y16" i="35"/>
  <c r="O15" i="35"/>
  <c r="N15" i="35"/>
  <c r="M15" i="35"/>
  <c r="L15" i="35"/>
  <c r="Y15" i="35"/>
  <c r="O14" i="35"/>
  <c r="N14" i="35"/>
  <c r="M14" i="35"/>
  <c r="L14" i="35"/>
  <c r="Y14" i="35"/>
  <c r="O13" i="35"/>
  <c r="N13" i="35"/>
  <c r="M13" i="35"/>
  <c r="L13" i="35"/>
  <c r="Y13" i="35"/>
  <c r="O12" i="35"/>
  <c r="N12" i="35"/>
  <c r="M12" i="35"/>
  <c r="L12" i="35"/>
  <c r="Y12" i="35"/>
  <c r="O11" i="35"/>
  <c r="N11" i="35"/>
  <c r="M11" i="35"/>
  <c r="L11" i="35"/>
  <c r="Y11" i="35"/>
  <c r="O10" i="35"/>
  <c r="N10" i="35"/>
  <c r="M10" i="35"/>
  <c r="L10" i="35"/>
  <c r="Y10" i="35"/>
  <c r="O9" i="35"/>
  <c r="N9" i="35"/>
  <c r="M9" i="35"/>
  <c r="L9" i="35"/>
  <c r="Y9" i="35"/>
  <c r="O8" i="35"/>
  <c r="N8" i="35"/>
  <c r="M8" i="35"/>
  <c r="L8" i="35"/>
  <c r="Y8" i="35"/>
  <c r="O7" i="35"/>
  <c r="N7" i="35"/>
  <c r="M7" i="35"/>
  <c r="L7" i="35"/>
  <c r="Y7" i="35"/>
  <c r="O6" i="35"/>
  <c r="N6" i="35"/>
  <c r="M6" i="35"/>
  <c r="L6" i="35"/>
  <c r="Y6" i="35"/>
  <c r="O5" i="35"/>
  <c r="N5" i="35"/>
  <c r="M5" i="35"/>
  <c r="L5" i="35"/>
  <c r="Y5" i="35"/>
  <c r="O4" i="35"/>
  <c r="N4" i="35"/>
  <c r="M4" i="35"/>
  <c r="L4" i="35"/>
  <c r="O2" i="6" l="1"/>
  <c r="O1" i="6"/>
  <c r="S1" i="6"/>
  <c r="Q2" i="6"/>
  <c r="S2" i="6"/>
  <c r="K2" i="6"/>
  <c r="G2" i="8"/>
  <c r="K2" i="30"/>
  <c r="O1" i="30"/>
  <c r="K2" i="3"/>
  <c r="P5" i="35"/>
  <c r="U5" i="35" s="1"/>
  <c r="K4" i="35"/>
  <c r="K8" i="35"/>
  <c r="K9" i="35"/>
  <c r="K12" i="35"/>
  <c r="K15" i="35"/>
  <c r="K6" i="35"/>
  <c r="K5" i="35"/>
  <c r="K11" i="35"/>
  <c r="K14" i="35"/>
  <c r="K17" i="35"/>
  <c r="K7" i="35"/>
  <c r="K18" i="35"/>
  <c r="K10" i="35"/>
  <c r="K13" i="35"/>
  <c r="K16" i="35"/>
  <c r="P9" i="36"/>
  <c r="U9" i="36" s="1"/>
  <c r="P47" i="36"/>
  <c r="P49" i="36"/>
  <c r="P48" i="36"/>
  <c r="P50" i="36"/>
  <c r="P51" i="36"/>
  <c r="P13" i="36"/>
  <c r="U13" i="36" s="1"/>
  <c r="P30" i="7"/>
  <c r="U30" i="7" s="1"/>
  <c r="P28" i="6"/>
  <c r="U28" i="6" s="1"/>
  <c r="P4" i="30"/>
  <c r="U4" i="30" s="1"/>
  <c r="P22" i="30"/>
  <c r="Q22" i="30" s="1"/>
  <c r="P13" i="35"/>
  <c r="U13" i="35" s="1"/>
  <c r="P27" i="36"/>
  <c r="U27" i="36" s="1"/>
  <c r="P23" i="36"/>
  <c r="Q23" i="36" s="1"/>
  <c r="R23" i="36" s="1"/>
  <c r="S23" i="36" s="1"/>
  <c r="T23" i="36" s="1"/>
  <c r="P34" i="36"/>
  <c r="P20" i="36"/>
  <c r="U20" i="36" s="1"/>
  <c r="P5" i="36"/>
  <c r="U5" i="36" s="1"/>
  <c r="P8" i="36"/>
  <c r="P19" i="36"/>
  <c r="U19" i="36" s="1"/>
  <c r="P26" i="36"/>
  <c r="U26" i="36" s="1"/>
  <c r="P4" i="36"/>
  <c r="U4" i="36" s="1"/>
  <c r="P15" i="36"/>
  <c r="U15" i="36" s="1"/>
  <c r="P18" i="36"/>
  <c r="U18" i="36" s="1"/>
  <c r="P25" i="36"/>
  <c r="U25" i="36" s="1"/>
  <c r="P11" i="36"/>
  <c r="Q11" i="36" s="1"/>
  <c r="R11" i="36" s="1"/>
  <c r="S11" i="36" s="1"/>
  <c r="T11" i="36" s="1"/>
  <c r="P10" i="36"/>
  <c r="Q10" i="36" s="1"/>
  <c r="P14" i="36"/>
  <c r="U14" i="36" s="1"/>
  <c r="P21" i="36"/>
  <c r="U21" i="36" s="1"/>
  <c r="P24" i="36"/>
  <c r="U24" i="36" s="1"/>
  <c r="P21" i="8"/>
  <c r="K14" i="8"/>
  <c r="K2" i="8" s="1"/>
  <c r="P29" i="7"/>
  <c r="U29" i="7" s="1"/>
  <c r="P28" i="7"/>
  <c r="U28" i="7" s="1"/>
  <c r="P26" i="7"/>
  <c r="Q26" i="7" s="1"/>
  <c r="P9" i="8"/>
  <c r="P10" i="8"/>
  <c r="U10" i="8" s="1"/>
  <c r="P25" i="8"/>
  <c r="Q25" i="8" s="1"/>
  <c r="P29" i="8"/>
  <c r="U29" i="8" s="1"/>
  <c r="P76" i="3"/>
  <c r="U76" i="3" s="1"/>
  <c r="P19" i="8"/>
  <c r="Q19" i="8" s="1"/>
  <c r="P6" i="33"/>
  <c r="U6" i="33" s="1"/>
  <c r="P70" i="3"/>
  <c r="U70" i="3" s="1"/>
  <c r="P13" i="7"/>
  <c r="U13" i="7" s="1"/>
  <c r="P19" i="7"/>
  <c r="P37" i="7"/>
  <c r="Q37" i="7" s="1"/>
  <c r="P38" i="8"/>
  <c r="Q38" i="8" s="1"/>
  <c r="P5" i="7"/>
  <c r="P7" i="7"/>
  <c r="P9" i="7"/>
  <c r="P12" i="7"/>
  <c r="Q12" i="7" s="1"/>
  <c r="P18" i="7"/>
  <c r="U18" i="7" s="1"/>
  <c r="P7" i="8"/>
  <c r="Q7" i="8" s="1"/>
  <c r="P31" i="8"/>
  <c r="U31" i="8" s="1"/>
  <c r="P30" i="6"/>
  <c r="U30" i="6" s="1"/>
  <c r="P5" i="33"/>
  <c r="Q5" i="33" s="1"/>
  <c r="P20" i="3"/>
  <c r="Q20" i="3" s="1"/>
  <c r="P42" i="3"/>
  <c r="Q42" i="3" s="1"/>
  <c r="R42" i="3" s="1"/>
  <c r="S42" i="3" s="1"/>
  <c r="P103" i="3"/>
  <c r="Q103" i="3" s="1"/>
  <c r="P106" i="3"/>
  <c r="U106" i="3" s="1"/>
  <c r="P11" i="7"/>
  <c r="U11" i="7" s="1"/>
  <c r="P17" i="7"/>
  <c r="U17" i="7" s="1"/>
  <c r="P32" i="7"/>
  <c r="Q32" i="7" s="1"/>
  <c r="P6" i="8"/>
  <c r="U6" i="8" s="1"/>
  <c r="P17" i="8"/>
  <c r="Q17" i="8" s="1"/>
  <c r="P37" i="8"/>
  <c r="U37" i="8" s="1"/>
  <c r="P14" i="33"/>
  <c r="U14" i="33" s="1"/>
  <c r="P10" i="7"/>
  <c r="U10" i="7" s="1"/>
  <c r="P5" i="8"/>
  <c r="Q5" i="8" s="1"/>
  <c r="P22" i="8"/>
  <c r="U22" i="8" s="1"/>
  <c r="P40" i="8"/>
  <c r="U40" i="8" s="1"/>
  <c r="P10" i="6"/>
  <c r="U10" i="6" s="1"/>
  <c r="P41" i="3"/>
  <c r="U41" i="3" s="1"/>
  <c r="P55" i="3"/>
  <c r="Q55" i="3" s="1"/>
  <c r="P22" i="7"/>
  <c r="P23" i="7"/>
  <c r="Q23" i="7" s="1"/>
  <c r="P44" i="7"/>
  <c r="U44" i="7" s="1"/>
  <c r="P46" i="7"/>
  <c r="P47" i="7"/>
  <c r="U47" i="7" s="1"/>
  <c r="P33" i="8"/>
  <c r="U33" i="8" s="1"/>
  <c r="P36" i="8"/>
  <c r="U36" i="8" s="1"/>
  <c r="P10" i="33"/>
  <c r="Q10" i="33" s="1"/>
  <c r="P13" i="33"/>
  <c r="U13" i="33" s="1"/>
  <c r="P15" i="7"/>
  <c r="Q15" i="7" s="1"/>
  <c r="P38" i="7"/>
  <c r="Q38" i="7" s="1"/>
  <c r="P51" i="3"/>
  <c r="U51" i="3" s="1"/>
  <c r="P62" i="3"/>
  <c r="U62" i="3" s="1"/>
  <c r="P92" i="3"/>
  <c r="P91" i="3"/>
  <c r="P90" i="3"/>
  <c r="P83" i="3"/>
  <c r="P104" i="3"/>
  <c r="P99" i="3"/>
  <c r="U99" i="3" s="1"/>
  <c r="P93" i="3"/>
  <c r="P86" i="3"/>
  <c r="Q86" i="3" s="1"/>
  <c r="P85" i="3"/>
  <c r="P74" i="3"/>
  <c r="Q74" i="3" s="1"/>
  <c r="P109" i="3"/>
  <c r="U109" i="3" s="1"/>
  <c r="P105" i="3"/>
  <c r="U105" i="3" s="1"/>
  <c r="P94" i="3"/>
  <c r="P73" i="3"/>
  <c r="P115" i="3"/>
  <c r="U115" i="3" s="1"/>
  <c r="P108" i="3"/>
  <c r="P100" i="3"/>
  <c r="U100" i="3" s="1"/>
  <c r="P95" i="3"/>
  <c r="U95" i="3" s="1"/>
  <c r="P87" i="3"/>
  <c r="Q87" i="3" s="1"/>
  <c r="R87" i="3" s="1"/>
  <c r="S87" i="3" s="1"/>
  <c r="P75" i="3"/>
  <c r="P72" i="3"/>
  <c r="P116" i="3"/>
  <c r="Q116" i="3" s="1"/>
  <c r="P111" i="3"/>
  <c r="P101" i="3"/>
  <c r="P96" i="3"/>
  <c r="U96" i="3" s="1"/>
  <c r="P88" i="3"/>
  <c r="U88" i="3" s="1"/>
  <c r="P81" i="3"/>
  <c r="U81" i="3" s="1"/>
  <c r="P79" i="3"/>
  <c r="P77" i="3"/>
  <c r="P68" i="3"/>
  <c r="Q68" i="3" s="1"/>
  <c r="P66" i="3"/>
  <c r="P46" i="3"/>
  <c r="P39" i="3"/>
  <c r="U39" i="3" s="1"/>
  <c r="P38" i="3"/>
  <c r="Q38" i="3" s="1"/>
  <c r="P37" i="3"/>
  <c r="P34" i="3"/>
  <c r="P31" i="3"/>
  <c r="P23" i="3"/>
  <c r="P18" i="3"/>
  <c r="U18" i="3" s="1"/>
  <c r="P9" i="3"/>
  <c r="P7" i="3"/>
  <c r="P5" i="3"/>
  <c r="U5" i="3" s="1"/>
  <c r="P118" i="3"/>
  <c r="Q118" i="3" s="1"/>
  <c r="P117" i="3"/>
  <c r="P114" i="3"/>
  <c r="P110" i="3"/>
  <c r="P107" i="3"/>
  <c r="P89" i="3"/>
  <c r="P67" i="3"/>
  <c r="P58" i="3"/>
  <c r="P47" i="3"/>
  <c r="P35" i="3"/>
  <c r="P24" i="3"/>
  <c r="Q24" i="3" s="1"/>
  <c r="R24" i="3" s="1"/>
  <c r="S24" i="3" s="1"/>
  <c r="P14" i="3"/>
  <c r="P98" i="3"/>
  <c r="U98" i="3" s="1"/>
  <c r="P97" i="3"/>
  <c r="P82" i="3"/>
  <c r="P69" i="3"/>
  <c r="P59" i="3"/>
  <c r="P50" i="3"/>
  <c r="P49" i="3"/>
  <c r="P48" i="3"/>
  <c r="P40" i="3"/>
  <c r="P36" i="3"/>
  <c r="Q36" i="3" s="1"/>
  <c r="P27" i="3"/>
  <c r="U27" i="3" s="1"/>
  <c r="P26" i="3"/>
  <c r="P19" i="3"/>
  <c r="U19" i="3" s="1"/>
  <c r="P15" i="3"/>
  <c r="U15" i="3" s="1"/>
  <c r="P6" i="3"/>
  <c r="P112" i="3"/>
  <c r="P102" i="3"/>
  <c r="P63" i="3"/>
  <c r="U63" i="3" s="1"/>
  <c r="P56" i="3"/>
  <c r="P52" i="3"/>
  <c r="P44" i="3"/>
  <c r="Q44" i="3" s="1"/>
  <c r="P43" i="3"/>
  <c r="P29" i="3"/>
  <c r="P21" i="3"/>
  <c r="P80" i="3"/>
  <c r="U80" i="3" s="1"/>
  <c r="P54" i="3"/>
  <c r="P53" i="3"/>
  <c r="P30" i="3"/>
  <c r="Q30" i="3" s="1"/>
  <c r="R30" i="3" s="1"/>
  <c r="S30" i="3" s="1"/>
  <c r="P22" i="3"/>
  <c r="U22" i="3" s="1"/>
  <c r="P17" i="3"/>
  <c r="U17" i="3" s="1"/>
  <c r="P11" i="3"/>
  <c r="P10" i="3"/>
  <c r="P4" i="3"/>
  <c r="Q4" i="3" s="1"/>
  <c r="P65" i="3"/>
  <c r="P78" i="3"/>
  <c r="P45" i="3"/>
  <c r="P13" i="3"/>
  <c r="U13" i="3" s="1"/>
  <c r="P16" i="3"/>
  <c r="U16" i="3" s="1"/>
  <c r="P33" i="3"/>
  <c r="P61" i="3"/>
  <c r="P64" i="3"/>
  <c r="P71" i="3"/>
  <c r="P84" i="3"/>
  <c r="Q84" i="3" s="1"/>
  <c r="P113" i="3"/>
  <c r="Q76" i="3"/>
  <c r="R76" i="3" s="1"/>
  <c r="S76" i="3" s="1"/>
  <c r="P8" i="3"/>
  <c r="P12" i="3"/>
  <c r="P25" i="3"/>
  <c r="P28" i="3"/>
  <c r="P32" i="3"/>
  <c r="P57" i="3"/>
  <c r="U57" i="3" s="1"/>
  <c r="P60" i="3"/>
  <c r="P19" i="30"/>
  <c r="P21" i="30"/>
  <c r="P16" i="30"/>
  <c r="P7" i="30"/>
  <c r="P17" i="30"/>
  <c r="P12" i="30"/>
  <c r="P10" i="30"/>
  <c r="P15" i="30"/>
  <c r="P20" i="30"/>
  <c r="P18" i="30"/>
  <c r="P5" i="30"/>
  <c r="P13" i="30"/>
  <c r="P11" i="30"/>
  <c r="P6" i="30"/>
  <c r="P9" i="30"/>
  <c r="P14" i="30"/>
  <c r="Q13" i="33"/>
  <c r="P8" i="30"/>
  <c r="P27" i="7"/>
  <c r="P36" i="7"/>
  <c r="U36" i="7" s="1"/>
  <c r="P43" i="7"/>
  <c r="P31" i="7"/>
  <c r="P24" i="7"/>
  <c r="P20" i="7"/>
  <c r="P14" i="7"/>
  <c r="P6" i="7"/>
  <c r="P35" i="7"/>
  <c r="U35" i="7" s="1"/>
  <c r="P25" i="7"/>
  <c r="P21" i="7"/>
  <c r="P16" i="7"/>
  <c r="P8" i="7"/>
  <c r="P4" i="7"/>
  <c r="U9" i="6"/>
  <c r="Q9" i="6"/>
  <c r="P5" i="6"/>
  <c r="P31" i="6"/>
  <c r="P25" i="6"/>
  <c r="P21" i="6"/>
  <c r="P12" i="6"/>
  <c r="P4" i="6"/>
  <c r="P29" i="6"/>
  <c r="P26" i="6"/>
  <c r="P27" i="6"/>
  <c r="P23" i="6"/>
  <c r="P19" i="6"/>
  <c r="P16" i="6"/>
  <c r="P8" i="6"/>
  <c r="P18" i="6"/>
  <c r="P11" i="6"/>
  <c r="P7" i="6"/>
  <c r="P24" i="6"/>
  <c r="P14" i="6"/>
  <c r="P13" i="6"/>
  <c r="P6" i="6"/>
  <c r="P28" i="8"/>
  <c r="P24" i="8"/>
  <c r="P18" i="8"/>
  <c r="P11" i="8"/>
  <c r="P39" i="8"/>
  <c r="P30" i="8"/>
  <c r="P26" i="8"/>
  <c r="P41" i="8"/>
  <c r="P32" i="8"/>
  <c r="P23" i="8"/>
  <c r="P16" i="8"/>
  <c r="P8" i="8"/>
  <c r="P4" i="8"/>
  <c r="P34" i="8"/>
  <c r="P27" i="8"/>
  <c r="P20" i="8"/>
  <c r="P12" i="8"/>
  <c r="P20" i="6"/>
  <c r="P32" i="6"/>
  <c r="P45" i="7"/>
  <c r="Q45" i="7" s="1"/>
  <c r="P15" i="6"/>
  <c r="P17" i="6"/>
  <c r="P22" i="6"/>
  <c r="P13" i="8"/>
  <c r="P35" i="8"/>
  <c r="P15" i="33"/>
  <c r="P4" i="33"/>
  <c r="P12" i="33"/>
  <c r="P9" i="33"/>
  <c r="P11" i="33"/>
  <c r="P7" i="33"/>
  <c r="P16" i="33"/>
  <c r="P8" i="33"/>
  <c r="P42" i="34"/>
  <c r="P39" i="34"/>
  <c r="P38" i="34"/>
  <c r="P37" i="34"/>
  <c r="P41" i="34"/>
  <c r="P36" i="34"/>
  <c r="P40" i="34"/>
  <c r="P20" i="34"/>
  <c r="U20" i="34" s="1"/>
  <c r="P24" i="34"/>
  <c r="U24" i="34" s="1"/>
  <c r="P12" i="34"/>
  <c r="P15" i="34"/>
  <c r="U15" i="34" s="1"/>
  <c r="P18" i="34"/>
  <c r="Q18" i="34" s="1"/>
  <c r="P13" i="34"/>
  <c r="P22" i="34"/>
  <c r="Q22" i="34" s="1"/>
  <c r="R22" i="34" s="1"/>
  <c r="S22" i="34" s="1"/>
  <c r="P27" i="34"/>
  <c r="Q27" i="34" s="1"/>
  <c r="R27" i="34" s="1"/>
  <c r="S27" i="34" s="1"/>
  <c r="P17" i="34"/>
  <c r="P8" i="34"/>
  <c r="P11" i="34"/>
  <c r="U11" i="34" s="1"/>
  <c r="P14" i="34"/>
  <c r="U14" i="34" s="1"/>
  <c r="P6" i="34"/>
  <c r="U6" i="34" s="1"/>
  <c r="P19" i="34"/>
  <c r="U19" i="34" s="1"/>
  <c r="P9" i="34"/>
  <c r="P21" i="34"/>
  <c r="Q21" i="34" s="1"/>
  <c r="P26" i="34"/>
  <c r="Q26" i="34" s="1"/>
  <c r="P16" i="34"/>
  <c r="P4" i="34"/>
  <c r="P7" i="34"/>
  <c r="U7" i="34" s="1"/>
  <c r="P10" i="34"/>
  <c r="U10" i="34" s="1"/>
  <c r="P32" i="34"/>
  <c r="P33" i="34"/>
  <c r="P34" i="34"/>
  <c r="P31" i="34"/>
  <c r="P30" i="34"/>
  <c r="P35" i="34"/>
  <c r="P28" i="34"/>
  <c r="U28" i="34" s="1"/>
  <c r="P5" i="34"/>
  <c r="P25" i="34"/>
  <c r="U25" i="34" s="1"/>
  <c r="P29" i="34"/>
  <c r="U29" i="34" s="1"/>
  <c r="K45" i="7"/>
  <c r="K44" i="7"/>
  <c r="P42" i="7"/>
  <c r="P41" i="7"/>
  <c r="P40" i="7"/>
  <c r="P39" i="7"/>
  <c r="K37" i="7"/>
  <c r="K36" i="7"/>
  <c r="P34" i="7"/>
  <c r="P33" i="7"/>
  <c r="R4" i="39"/>
  <c r="S4" i="39" s="1"/>
  <c r="Q16" i="3"/>
  <c r="R86" i="3"/>
  <c r="S86" i="3" s="1"/>
  <c r="Q62" i="3"/>
  <c r="U86" i="3"/>
  <c r="P18" i="35"/>
  <c r="P15" i="35"/>
  <c r="P11" i="35"/>
  <c r="P7" i="35"/>
  <c r="P14" i="35"/>
  <c r="P10" i="35"/>
  <c r="P6" i="35"/>
  <c r="P16" i="35"/>
  <c r="P12" i="35"/>
  <c r="P8" i="35"/>
  <c r="P4" i="35"/>
  <c r="P17" i="35"/>
  <c r="P9" i="35"/>
  <c r="P6" i="36"/>
  <c r="P16" i="36"/>
  <c r="P22" i="36"/>
  <c r="P28" i="36"/>
  <c r="P7" i="36"/>
  <c r="P12" i="36"/>
  <c r="P17" i="36"/>
  <c r="K2" i="35" l="1"/>
  <c r="T4" i="49" s="1"/>
  <c r="Q13" i="35"/>
  <c r="R13" i="35" s="1"/>
  <c r="S13" i="35" s="1"/>
  <c r="Q29" i="8"/>
  <c r="U116" i="3"/>
  <c r="Q17" i="7"/>
  <c r="U30" i="3"/>
  <c r="U7" i="8"/>
  <c r="K1" i="35"/>
  <c r="Q20" i="36"/>
  <c r="Q6" i="33"/>
  <c r="R6" i="33" s="1"/>
  <c r="S6" i="33" s="1"/>
  <c r="U38" i="8"/>
  <c r="U26" i="7"/>
  <c r="U10" i="33"/>
  <c r="Q22" i="8"/>
  <c r="R22" i="8" s="1"/>
  <c r="S22" i="8" s="1"/>
  <c r="Q51" i="3"/>
  <c r="Q28" i="6"/>
  <c r="R28" i="6" s="1"/>
  <c r="S28" i="6" s="1"/>
  <c r="Q19" i="3"/>
  <c r="R19" i="3" s="1"/>
  <c r="S19" i="3" s="1"/>
  <c r="U42" i="3"/>
  <c r="Q5" i="3"/>
  <c r="R5" i="3" s="1"/>
  <c r="S5" i="3" s="1"/>
  <c r="Q88" i="3"/>
  <c r="Q99" i="3"/>
  <c r="U68" i="3"/>
  <c r="Q95" i="3"/>
  <c r="Q80" i="3"/>
  <c r="R80" i="3" s="1"/>
  <c r="S80" i="3" s="1"/>
  <c r="Q57" i="3"/>
  <c r="Q5" i="35"/>
  <c r="Q10" i="7"/>
  <c r="K2" i="7"/>
  <c r="U37" i="7"/>
  <c r="U22" i="30"/>
  <c r="S1" i="8"/>
  <c r="U17" i="8"/>
  <c r="U25" i="8"/>
  <c r="Q6" i="8"/>
  <c r="R6" i="8" s="1"/>
  <c r="S6" i="8" s="1"/>
  <c r="Q30" i="6"/>
  <c r="Q14" i="33"/>
  <c r="R14" i="33" s="1"/>
  <c r="S14" i="33" s="1"/>
  <c r="Q4" i="30"/>
  <c r="R4" i="30" s="1"/>
  <c r="S4" i="30" s="1"/>
  <c r="U23" i="7"/>
  <c r="Q28" i="7"/>
  <c r="U32" i="7"/>
  <c r="R32" i="7"/>
  <c r="S32" i="7" s="1"/>
  <c r="T32" i="7" s="1"/>
  <c r="Q44" i="7"/>
  <c r="R44" i="7" s="1"/>
  <c r="S44" i="7" s="1"/>
  <c r="Q30" i="7"/>
  <c r="R30" i="7" s="1"/>
  <c r="S30" i="7" s="1"/>
  <c r="Q9" i="36"/>
  <c r="U103" i="3"/>
  <c r="Q100" i="3"/>
  <c r="U44" i="3"/>
  <c r="U24" i="3"/>
  <c r="Q105" i="3"/>
  <c r="Q18" i="3"/>
  <c r="U55" i="3"/>
  <c r="U20" i="3"/>
  <c r="R4" i="3"/>
  <c r="S4" i="3" s="1"/>
  <c r="Q81" i="3"/>
  <c r="R44" i="3"/>
  <c r="S44" i="3" s="1"/>
  <c r="R20" i="3"/>
  <c r="S20" i="3" s="1"/>
  <c r="Q41" i="3"/>
  <c r="R41" i="3" s="1"/>
  <c r="S41" i="3" s="1"/>
  <c r="R55" i="3"/>
  <c r="S55" i="3" s="1"/>
  <c r="Q27" i="3"/>
  <c r="U12" i="7"/>
  <c r="Q47" i="7"/>
  <c r="Q98" i="3"/>
  <c r="Q18" i="7"/>
  <c r="R18" i="7" s="1"/>
  <c r="S18" i="7" s="1"/>
  <c r="Q70" i="3"/>
  <c r="Q11" i="7"/>
  <c r="R11" i="7" s="1"/>
  <c r="S11" i="7" s="1"/>
  <c r="U38" i="3"/>
  <c r="Q96" i="3"/>
  <c r="Q13" i="7"/>
  <c r="R13" i="7" s="1"/>
  <c r="S13" i="7" s="1"/>
  <c r="Q13" i="36"/>
  <c r="Q5" i="36"/>
  <c r="Q26" i="36"/>
  <c r="R26" i="36" s="1"/>
  <c r="S26" i="36" s="1"/>
  <c r="Q15" i="36"/>
  <c r="R15" i="36" s="1"/>
  <c r="S15" i="36" s="1"/>
  <c r="Q51" i="36"/>
  <c r="U51" i="36"/>
  <c r="Q4" i="36"/>
  <c r="R4" i="36" s="1"/>
  <c r="S4" i="36" s="1"/>
  <c r="Q50" i="36"/>
  <c r="U50" i="36"/>
  <c r="U48" i="36"/>
  <c r="Q48" i="36"/>
  <c r="Q49" i="36"/>
  <c r="U49" i="36"/>
  <c r="Q47" i="36"/>
  <c r="U47" i="36"/>
  <c r="U23" i="36"/>
  <c r="Q21" i="36"/>
  <c r="Q27" i="36"/>
  <c r="R27" i="36" s="1"/>
  <c r="S27" i="36" s="1"/>
  <c r="Q29" i="7"/>
  <c r="Q109" i="3"/>
  <c r="U5" i="33"/>
  <c r="Q10" i="6"/>
  <c r="R10" i="6" s="1"/>
  <c r="S10" i="6" s="1"/>
  <c r="U38" i="7"/>
  <c r="U84" i="3"/>
  <c r="U36" i="3"/>
  <c r="Q17" i="3"/>
  <c r="Q15" i="3"/>
  <c r="R15" i="3" s="1"/>
  <c r="S15" i="3" s="1"/>
  <c r="Q13" i="3"/>
  <c r="U10" i="36"/>
  <c r="U11" i="36"/>
  <c r="Q24" i="36"/>
  <c r="Q14" i="36"/>
  <c r="R14" i="36" s="1"/>
  <c r="S14" i="36" s="1"/>
  <c r="U34" i="36"/>
  <c r="Q34" i="36"/>
  <c r="Q19" i="36"/>
  <c r="R19" i="36" s="1"/>
  <c r="S19" i="36" s="1"/>
  <c r="Q25" i="36"/>
  <c r="Q18" i="36"/>
  <c r="U8" i="36"/>
  <c r="Q8" i="36"/>
  <c r="Q31" i="8"/>
  <c r="Q40" i="8"/>
  <c r="R40" i="8" s="1"/>
  <c r="S40" i="8" s="1"/>
  <c r="U5" i="8"/>
  <c r="Q36" i="8"/>
  <c r="Q37" i="8"/>
  <c r="R37" i="8" s="1"/>
  <c r="S37" i="8" s="1"/>
  <c r="Q21" i="8"/>
  <c r="U21" i="8"/>
  <c r="U19" i="8"/>
  <c r="Q10" i="8"/>
  <c r="R10" i="8" s="1"/>
  <c r="S10" i="8" s="1"/>
  <c r="U118" i="3"/>
  <c r="Q115" i="3"/>
  <c r="Q106" i="3"/>
  <c r="R106" i="3" s="1"/>
  <c r="S106" i="3" s="1"/>
  <c r="Q33" i="8"/>
  <c r="R33" i="8" s="1"/>
  <c r="S33" i="8" s="1"/>
  <c r="R26" i="7"/>
  <c r="S26" i="7" s="1"/>
  <c r="T26" i="7" s="1"/>
  <c r="Q22" i="7"/>
  <c r="U22" i="7"/>
  <c r="Q9" i="7"/>
  <c r="U9" i="7"/>
  <c r="Q9" i="8"/>
  <c r="U9" i="8"/>
  <c r="Q35" i="7"/>
  <c r="U15" i="7"/>
  <c r="Q46" i="7"/>
  <c r="U46" i="7"/>
  <c r="Q7" i="7"/>
  <c r="U7" i="7"/>
  <c r="U5" i="7"/>
  <c r="Q5" i="7"/>
  <c r="Q19" i="7"/>
  <c r="U19" i="7"/>
  <c r="U40" i="3"/>
  <c r="Q40" i="3"/>
  <c r="U34" i="3"/>
  <c r="Q34" i="3"/>
  <c r="U74" i="3"/>
  <c r="Q56" i="3"/>
  <c r="U56" i="3"/>
  <c r="U58" i="3"/>
  <c r="Q58" i="3"/>
  <c r="U111" i="3"/>
  <c r="Q111" i="3"/>
  <c r="Q22" i="3"/>
  <c r="R22" i="3" s="1"/>
  <c r="S22" i="3" s="1"/>
  <c r="Q8" i="33"/>
  <c r="U8" i="33"/>
  <c r="Q60" i="3"/>
  <c r="U60" i="3"/>
  <c r="U87" i="3"/>
  <c r="Q9" i="33"/>
  <c r="U9" i="33"/>
  <c r="Q12" i="8"/>
  <c r="U12" i="8"/>
  <c r="Q16" i="8"/>
  <c r="U16" i="8"/>
  <c r="Q13" i="6"/>
  <c r="U13" i="6"/>
  <c r="Q4" i="6"/>
  <c r="U4" i="6"/>
  <c r="R5" i="33"/>
  <c r="S5" i="33" s="1"/>
  <c r="U21" i="7"/>
  <c r="Q21" i="7"/>
  <c r="U31" i="7"/>
  <c r="Q31" i="7"/>
  <c r="R5" i="8"/>
  <c r="S5" i="8" s="1"/>
  <c r="R28" i="7"/>
  <c r="S28" i="7" s="1"/>
  <c r="R19" i="8"/>
  <c r="S19" i="8" s="1"/>
  <c r="U14" i="30"/>
  <c r="Q14" i="30"/>
  <c r="Q20" i="30"/>
  <c r="U20" i="30"/>
  <c r="Q16" i="30"/>
  <c r="U16" i="30"/>
  <c r="U4" i="33"/>
  <c r="Q4" i="33"/>
  <c r="Q13" i="8"/>
  <c r="U13" i="8"/>
  <c r="Q20" i="8"/>
  <c r="U20" i="8"/>
  <c r="Q23" i="8"/>
  <c r="U23" i="8"/>
  <c r="U11" i="8"/>
  <c r="Q11" i="8"/>
  <c r="Q14" i="6"/>
  <c r="U14" i="6"/>
  <c r="Q8" i="6"/>
  <c r="U8" i="6"/>
  <c r="U12" i="6"/>
  <c r="Q12" i="6"/>
  <c r="Q5" i="6"/>
  <c r="U5" i="6"/>
  <c r="R38" i="8"/>
  <c r="S38" i="8" s="1"/>
  <c r="U25" i="7"/>
  <c r="Q25" i="7"/>
  <c r="Q43" i="7"/>
  <c r="U43" i="7"/>
  <c r="U9" i="30"/>
  <c r="Q9" i="30"/>
  <c r="Q21" i="30"/>
  <c r="U21" i="30"/>
  <c r="R10" i="7"/>
  <c r="S10" i="7" s="1"/>
  <c r="Q71" i="3"/>
  <c r="U71" i="3"/>
  <c r="Q48" i="3"/>
  <c r="U48" i="3"/>
  <c r="Q67" i="3"/>
  <c r="U67" i="3"/>
  <c r="U37" i="3"/>
  <c r="Q37" i="3"/>
  <c r="U85" i="3"/>
  <c r="Q85" i="3"/>
  <c r="R15" i="7"/>
  <c r="S15" i="7" s="1"/>
  <c r="Q39" i="3"/>
  <c r="Q32" i="6"/>
  <c r="U32" i="6"/>
  <c r="Q27" i="8"/>
  <c r="U27" i="8"/>
  <c r="U32" i="8"/>
  <c r="Q32" i="8"/>
  <c r="U18" i="8"/>
  <c r="Q18" i="8"/>
  <c r="Q24" i="6"/>
  <c r="U24" i="6"/>
  <c r="Q16" i="6"/>
  <c r="U16" i="6"/>
  <c r="Q21" i="6"/>
  <c r="U21" i="6"/>
  <c r="R9" i="6"/>
  <c r="S9" i="6" s="1"/>
  <c r="R17" i="8"/>
  <c r="S17" i="8" s="1"/>
  <c r="U6" i="30"/>
  <c r="Q6" i="30"/>
  <c r="Q15" i="30"/>
  <c r="U15" i="30"/>
  <c r="Q32" i="3"/>
  <c r="U32" i="3"/>
  <c r="U64" i="3"/>
  <c r="Q64" i="3"/>
  <c r="R12" i="7"/>
  <c r="S12" i="7" s="1"/>
  <c r="U45" i="3"/>
  <c r="Q45" i="3"/>
  <c r="Q53" i="3"/>
  <c r="U53" i="3"/>
  <c r="Q102" i="3"/>
  <c r="U102" i="3"/>
  <c r="Q6" i="3"/>
  <c r="U6" i="3"/>
  <c r="U49" i="3"/>
  <c r="Q49" i="3"/>
  <c r="U89" i="3"/>
  <c r="Q89" i="3"/>
  <c r="R38" i="3"/>
  <c r="S38" i="3" s="1"/>
  <c r="Q77" i="3"/>
  <c r="U77" i="3"/>
  <c r="Q12" i="33"/>
  <c r="U12" i="33"/>
  <c r="Q54" i="3"/>
  <c r="U54" i="3"/>
  <c r="U107" i="3"/>
  <c r="Q107" i="3"/>
  <c r="R7" i="8"/>
  <c r="S7" i="8" s="1"/>
  <c r="U25" i="3"/>
  <c r="Q25" i="3"/>
  <c r="U33" i="3"/>
  <c r="Q33" i="3"/>
  <c r="Q29" i="3"/>
  <c r="U29" i="3"/>
  <c r="Q59" i="3"/>
  <c r="U59" i="3"/>
  <c r="U14" i="3"/>
  <c r="Q14" i="3"/>
  <c r="U110" i="3"/>
  <c r="Q110" i="3"/>
  <c r="U9" i="3"/>
  <c r="Q9" i="3"/>
  <c r="U46" i="3"/>
  <c r="Q46" i="3"/>
  <c r="Q73" i="3"/>
  <c r="U73" i="3"/>
  <c r="U83" i="3"/>
  <c r="Q83" i="3"/>
  <c r="R17" i="7"/>
  <c r="S17" i="7" s="1"/>
  <c r="U20" i="6"/>
  <c r="Q20" i="6"/>
  <c r="U24" i="8"/>
  <c r="Q24" i="8"/>
  <c r="Q25" i="6"/>
  <c r="U25" i="6"/>
  <c r="Q8" i="30"/>
  <c r="U8" i="30"/>
  <c r="U19" i="30"/>
  <c r="Q19" i="30"/>
  <c r="U61" i="3"/>
  <c r="Q61" i="3"/>
  <c r="U11" i="6"/>
  <c r="Q11" i="6"/>
  <c r="Q31" i="6"/>
  <c r="U31" i="6"/>
  <c r="Q36" i="7"/>
  <c r="R36" i="7" s="1"/>
  <c r="S36" i="7" s="1"/>
  <c r="U7" i="33"/>
  <c r="Q7" i="33"/>
  <c r="Q17" i="6"/>
  <c r="U17" i="6"/>
  <c r="Q26" i="8"/>
  <c r="U26" i="8"/>
  <c r="R10" i="33"/>
  <c r="S10" i="33" s="1"/>
  <c r="Q18" i="6"/>
  <c r="U18" i="6"/>
  <c r="Q27" i="6"/>
  <c r="U27" i="6"/>
  <c r="U4" i="7"/>
  <c r="Q4" i="7"/>
  <c r="Q14" i="7"/>
  <c r="U14" i="7"/>
  <c r="U5" i="30"/>
  <c r="Q5" i="30"/>
  <c r="Q12" i="30"/>
  <c r="U12" i="30"/>
  <c r="U12" i="3"/>
  <c r="Q12" i="3"/>
  <c r="Q78" i="3"/>
  <c r="U78" i="3"/>
  <c r="Q10" i="3"/>
  <c r="U10" i="3"/>
  <c r="Q43" i="3"/>
  <c r="U43" i="3"/>
  <c r="Q26" i="3"/>
  <c r="U26" i="3"/>
  <c r="U69" i="3"/>
  <c r="Q69" i="3"/>
  <c r="U114" i="3"/>
  <c r="Q114" i="3"/>
  <c r="Q66" i="3"/>
  <c r="U66" i="3"/>
  <c r="Q94" i="3"/>
  <c r="U94" i="3"/>
  <c r="U104" i="3"/>
  <c r="Q104" i="3"/>
  <c r="U90" i="3"/>
  <c r="Q90" i="3"/>
  <c r="Q34" i="8"/>
  <c r="U34" i="8"/>
  <c r="U19" i="6"/>
  <c r="Q19" i="6"/>
  <c r="U11" i="30"/>
  <c r="Q11" i="30"/>
  <c r="Q112" i="3"/>
  <c r="U112" i="3"/>
  <c r="Q50" i="3"/>
  <c r="U50" i="3"/>
  <c r="U93" i="3"/>
  <c r="Q93" i="3"/>
  <c r="U22" i="6"/>
  <c r="Q22" i="6"/>
  <c r="U28" i="8"/>
  <c r="Q28" i="8"/>
  <c r="Q27" i="7"/>
  <c r="U27" i="7"/>
  <c r="Q10" i="30"/>
  <c r="U10" i="30"/>
  <c r="Q63" i="3"/>
  <c r="R63" i="3" s="1"/>
  <c r="S63" i="3" s="1"/>
  <c r="U45" i="7"/>
  <c r="U11" i="33"/>
  <c r="Q11" i="33"/>
  <c r="U35" i="8"/>
  <c r="Q35" i="8"/>
  <c r="Q15" i="6"/>
  <c r="U15" i="6"/>
  <c r="Q4" i="8"/>
  <c r="U4" i="8"/>
  <c r="Q30" i="8"/>
  <c r="U30" i="8"/>
  <c r="Q26" i="6"/>
  <c r="U26" i="6"/>
  <c r="R29" i="8"/>
  <c r="S29" i="8" s="1"/>
  <c r="U8" i="7"/>
  <c r="Q8" i="7"/>
  <c r="U20" i="7"/>
  <c r="Q20" i="7"/>
  <c r="R25" i="8"/>
  <c r="S25" i="8" s="1"/>
  <c r="Q17" i="30"/>
  <c r="U17" i="30"/>
  <c r="Q8" i="3"/>
  <c r="U8" i="3"/>
  <c r="Q65" i="3"/>
  <c r="U65" i="3"/>
  <c r="Q11" i="3"/>
  <c r="U11" i="3"/>
  <c r="Q82" i="3"/>
  <c r="U82" i="3"/>
  <c r="Q35" i="3"/>
  <c r="U35" i="3"/>
  <c r="Q117" i="3"/>
  <c r="U117" i="3"/>
  <c r="Q23" i="3"/>
  <c r="U23" i="3"/>
  <c r="U72" i="3"/>
  <c r="Q72" i="3"/>
  <c r="Q91" i="3"/>
  <c r="U91" i="3"/>
  <c r="Q41" i="8"/>
  <c r="U41" i="8"/>
  <c r="Q7" i="6"/>
  <c r="U7" i="6"/>
  <c r="R23" i="7"/>
  <c r="S23" i="7" s="1"/>
  <c r="U28" i="3"/>
  <c r="Q28" i="3"/>
  <c r="U21" i="3"/>
  <c r="Q21" i="3"/>
  <c r="U7" i="3"/>
  <c r="Q7" i="3"/>
  <c r="U79" i="3"/>
  <c r="Q79" i="3"/>
  <c r="U108" i="3"/>
  <c r="Q108" i="3"/>
  <c r="Q16" i="33"/>
  <c r="U16" i="33"/>
  <c r="U15" i="33"/>
  <c r="Q15" i="33"/>
  <c r="U23" i="6"/>
  <c r="Q23" i="6"/>
  <c r="U6" i="7"/>
  <c r="Q6" i="7"/>
  <c r="U13" i="30"/>
  <c r="Q13" i="30"/>
  <c r="U8" i="8"/>
  <c r="Q8" i="8"/>
  <c r="U39" i="8"/>
  <c r="Q39" i="8"/>
  <c r="U6" i="6"/>
  <c r="Q6" i="6"/>
  <c r="U29" i="6"/>
  <c r="Q29" i="6"/>
  <c r="U16" i="7"/>
  <c r="Q16" i="7"/>
  <c r="U24" i="7"/>
  <c r="Q24" i="7"/>
  <c r="R13" i="33"/>
  <c r="S13" i="33" s="1"/>
  <c r="Q18" i="30"/>
  <c r="U18" i="30"/>
  <c r="Q7" i="30"/>
  <c r="U7" i="30"/>
  <c r="U113" i="3"/>
  <c r="Q113" i="3"/>
  <c r="U52" i="3"/>
  <c r="Q52" i="3"/>
  <c r="R36" i="3"/>
  <c r="S36" i="3" s="1"/>
  <c r="U97" i="3"/>
  <c r="Q97" i="3"/>
  <c r="Q47" i="3"/>
  <c r="U47" i="3"/>
  <c r="R118" i="3"/>
  <c r="S118" i="3" s="1"/>
  <c r="U31" i="3"/>
  <c r="Q31" i="3"/>
  <c r="U101" i="3"/>
  <c r="Q101" i="3"/>
  <c r="U75" i="3"/>
  <c r="Q75" i="3"/>
  <c r="Q92" i="3"/>
  <c r="U92" i="3"/>
  <c r="Q24" i="34"/>
  <c r="R24" i="34" s="1"/>
  <c r="S24" i="34" s="1"/>
  <c r="Q19" i="34"/>
  <c r="R19" i="34" s="1"/>
  <c r="S19" i="34" s="1"/>
  <c r="Q14" i="34"/>
  <c r="Q42" i="34"/>
  <c r="U42" i="34"/>
  <c r="Q20" i="34"/>
  <c r="U40" i="34"/>
  <c r="Q40" i="34"/>
  <c r="Q11" i="34"/>
  <c r="R11" i="34" s="1"/>
  <c r="S11" i="34" s="1"/>
  <c r="U41" i="34"/>
  <c r="Q41" i="34"/>
  <c r="U36" i="34"/>
  <c r="Q36" i="34"/>
  <c r="U37" i="34"/>
  <c r="Q37" i="34"/>
  <c r="Q38" i="34"/>
  <c r="U38" i="34"/>
  <c r="R21" i="34"/>
  <c r="S21" i="34" s="1"/>
  <c r="K23" i="34" s="1"/>
  <c r="Q39" i="34"/>
  <c r="U39" i="34"/>
  <c r="U18" i="34"/>
  <c r="U27" i="34"/>
  <c r="Q15" i="34"/>
  <c r="R15" i="34" s="1"/>
  <c r="S15" i="34" s="1"/>
  <c r="U21" i="34"/>
  <c r="U22" i="34"/>
  <c r="Q29" i="34"/>
  <c r="U26" i="34"/>
  <c r="R26" i="34"/>
  <c r="S26" i="34" s="1"/>
  <c r="Q32" i="34"/>
  <c r="U32" i="34"/>
  <c r="U17" i="34"/>
  <c r="Q17" i="34"/>
  <c r="R18" i="34"/>
  <c r="S18" i="34" s="1"/>
  <c r="T18" i="34" s="1"/>
  <c r="U35" i="34"/>
  <c r="Q35" i="34"/>
  <c r="U9" i="34"/>
  <c r="Q9" i="34"/>
  <c r="Q25" i="34"/>
  <c r="R25" i="34" s="1"/>
  <c r="S25" i="34" s="1"/>
  <c r="Q28" i="34"/>
  <c r="R28" i="34" s="1"/>
  <c r="S28" i="34" s="1"/>
  <c r="Q7" i="34"/>
  <c r="Q30" i="34"/>
  <c r="U30" i="34"/>
  <c r="Q4" i="34"/>
  <c r="U4" i="34"/>
  <c r="U13" i="34"/>
  <c r="Q13" i="34"/>
  <c r="U31" i="34"/>
  <c r="Q31" i="34"/>
  <c r="Q10" i="34"/>
  <c r="R10" i="34" s="1"/>
  <c r="S10" i="34" s="1"/>
  <c r="Q34" i="34"/>
  <c r="U34" i="34"/>
  <c r="Q16" i="34"/>
  <c r="U16" i="34"/>
  <c r="Q6" i="34"/>
  <c r="P23" i="34"/>
  <c r="U12" i="34"/>
  <c r="Q12" i="34"/>
  <c r="U5" i="34"/>
  <c r="Q5" i="34"/>
  <c r="U33" i="34"/>
  <c r="Q33" i="34"/>
  <c r="U8" i="34"/>
  <c r="Q8" i="34"/>
  <c r="T27" i="34"/>
  <c r="T22" i="34"/>
  <c r="R22" i="30"/>
  <c r="S22" i="30" s="1"/>
  <c r="R1" i="7"/>
  <c r="R45" i="7"/>
  <c r="S45" i="7" s="1"/>
  <c r="U42" i="7"/>
  <c r="Q42" i="7"/>
  <c r="U41" i="7"/>
  <c r="Q41" i="7"/>
  <c r="Q40" i="7"/>
  <c r="U40" i="7"/>
  <c r="Q39" i="7"/>
  <c r="U39" i="7"/>
  <c r="R38" i="7"/>
  <c r="S38" i="7" s="1"/>
  <c r="R37" i="7"/>
  <c r="S37" i="7" s="1"/>
  <c r="Q34" i="7"/>
  <c r="U34" i="7"/>
  <c r="U33" i="7"/>
  <c r="Q33" i="7"/>
  <c r="T4" i="39"/>
  <c r="R16" i="3"/>
  <c r="S16" i="3" s="1"/>
  <c r="R74" i="3"/>
  <c r="S74" i="3" s="1"/>
  <c r="R81" i="3"/>
  <c r="S81" i="3" s="1"/>
  <c r="R116" i="3"/>
  <c r="S116" i="3" s="1"/>
  <c r="R68" i="3"/>
  <c r="S68" i="3" s="1"/>
  <c r="R84" i="3"/>
  <c r="S84" i="3" s="1"/>
  <c r="R62" i="3"/>
  <c r="S62" i="3" s="1"/>
  <c r="R103" i="3"/>
  <c r="S103" i="3" s="1"/>
  <c r="U6" i="35"/>
  <c r="Q6" i="35"/>
  <c r="U10" i="35"/>
  <c r="Q10" i="35"/>
  <c r="Q12" i="36"/>
  <c r="U12" i="36"/>
  <c r="Q17" i="36"/>
  <c r="U17" i="36"/>
  <c r="Q7" i="35"/>
  <c r="U7" i="35"/>
  <c r="R10" i="36"/>
  <c r="S10" i="36" s="1"/>
  <c r="U14" i="35"/>
  <c r="Q14" i="35"/>
  <c r="Q4" i="35"/>
  <c r="U4" i="35"/>
  <c r="Q11" i="35"/>
  <c r="U11" i="35"/>
  <c r="Q16" i="36"/>
  <c r="U16" i="36"/>
  <c r="U17" i="35"/>
  <c r="Q17" i="35"/>
  <c r="U8" i="35"/>
  <c r="Q8" i="35"/>
  <c r="Q15" i="35"/>
  <c r="U15" i="35"/>
  <c r="U12" i="35"/>
  <c r="Q12" i="35"/>
  <c r="Q22" i="36"/>
  <c r="U22" i="36"/>
  <c r="Q7" i="36"/>
  <c r="U7" i="36"/>
  <c r="Q28" i="36"/>
  <c r="U28" i="36"/>
  <c r="U9" i="35"/>
  <c r="Q9" i="35"/>
  <c r="U16" i="35"/>
  <c r="Q16" i="35"/>
  <c r="U18" i="35"/>
  <c r="Q18" i="35"/>
  <c r="Q6" i="36"/>
  <c r="U6" i="36"/>
  <c r="R20" i="36"/>
  <c r="S20" i="36" s="1"/>
  <c r="P17" i="33" l="1"/>
  <c r="K17" i="33"/>
  <c r="K2" i="33" s="1"/>
  <c r="R5" i="35"/>
  <c r="S5" i="35" s="1"/>
  <c r="T5" i="49"/>
  <c r="T6" i="49" s="1"/>
  <c r="T7" i="49" s="1"/>
  <c r="T8" i="49" s="1"/>
  <c r="T9" i="49" s="1"/>
  <c r="T10" i="49" s="1"/>
  <c r="T11" i="49" s="1"/>
  <c r="T12" i="49" s="1"/>
  <c r="T13" i="49" s="1"/>
  <c r="T14" i="49" s="1"/>
  <c r="T15" i="49" s="1"/>
  <c r="T16" i="49" s="1"/>
  <c r="T17" i="49" s="1"/>
  <c r="T18" i="49" s="1"/>
  <c r="T19" i="49" s="1"/>
  <c r="T20" i="49" s="1"/>
  <c r="T21" i="49" s="1"/>
  <c r="T22" i="49" s="1"/>
  <c r="T23" i="49" s="1"/>
  <c r="T24" i="49" s="1"/>
  <c r="T25" i="49" s="1"/>
  <c r="T26" i="49" s="1"/>
  <c r="T27" i="49" s="1"/>
  <c r="T28" i="49" s="1"/>
  <c r="T29" i="49" s="1"/>
  <c r="T1" i="49"/>
  <c r="R100" i="3"/>
  <c r="S100" i="3" s="1"/>
  <c r="R96" i="3"/>
  <c r="S96" i="3" s="1"/>
  <c r="R51" i="3"/>
  <c r="S51" i="3" s="1"/>
  <c r="R30" i="6"/>
  <c r="S30" i="6" s="1"/>
  <c r="R95" i="3"/>
  <c r="S95" i="3" s="1"/>
  <c r="R5" i="36"/>
  <c r="S5" i="36" s="1"/>
  <c r="S1" i="34"/>
  <c r="K2" i="34"/>
  <c r="R21" i="36"/>
  <c r="S21" i="36" s="1"/>
  <c r="T21" i="36" s="1"/>
  <c r="R9" i="36"/>
  <c r="S9" i="36" s="1"/>
  <c r="R27" i="3"/>
  <c r="S27" i="3" s="1"/>
  <c r="R105" i="3"/>
  <c r="S105" i="3" s="1"/>
  <c r="R47" i="7"/>
  <c r="S47" i="7" s="1"/>
  <c r="R17" i="3"/>
  <c r="S17" i="3" s="1"/>
  <c r="R88" i="3"/>
  <c r="S88" i="3" s="1"/>
  <c r="R18" i="3"/>
  <c r="S18" i="3" s="1"/>
  <c r="R99" i="3"/>
  <c r="S99" i="3" s="1"/>
  <c r="R13" i="3"/>
  <c r="S13" i="3" s="1"/>
  <c r="R109" i="3"/>
  <c r="S109" i="3" s="1"/>
  <c r="R57" i="3"/>
  <c r="S57" i="3" s="1"/>
  <c r="R13" i="36"/>
  <c r="S13" i="36" s="1"/>
  <c r="R36" i="8"/>
  <c r="S36" i="8" s="1"/>
  <c r="R39" i="3"/>
  <c r="S39" i="3" s="1"/>
  <c r="R98" i="3"/>
  <c r="S98" i="3" s="1"/>
  <c r="R35" i="7"/>
  <c r="S35" i="7" s="1"/>
  <c r="T35" i="7" s="1"/>
  <c r="R70" i="3"/>
  <c r="S70" i="3" s="1"/>
  <c r="R31" i="8"/>
  <c r="S31" i="8" s="1"/>
  <c r="T31" i="8" s="1"/>
  <c r="R115" i="3"/>
  <c r="S115" i="3" s="1"/>
  <c r="R49" i="36"/>
  <c r="S49" i="36" s="1"/>
  <c r="R50" i="36"/>
  <c r="S50" i="36" s="1"/>
  <c r="R48" i="36"/>
  <c r="S48" i="36" s="1"/>
  <c r="R47" i="36"/>
  <c r="S47" i="36" s="1"/>
  <c r="R51" i="36"/>
  <c r="S51" i="36" s="1"/>
  <c r="R29" i="7"/>
  <c r="S29" i="7" s="1"/>
  <c r="R18" i="36"/>
  <c r="S18" i="36" s="1"/>
  <c r="R34" i="36"/>
  <c r="S34" i="36" s="1"/>
  <c r="R24" i="36"/>
  <c r="S24" i="36" s="1"/>
  <c r="R8" i="36"/>
  <c r="S8" i="36" s="1"/>
  <c r="R25" i="36"/>
  <c r="S25" i="36" s="1"/>
  <c r="P29" i="36"/>
  <c r="K29" i="36"/>
  <c r="P30" i="36"/>
  <c r="K30" i="36"/>
  <c r="T19" i="36"/>
  <c r="R21" i="8"/>
  <c r="S21" i="8" s="1"/>
  <c r="R19" i="7"/>
  <c r="S19" i="7" s="1"/>
  <c r="R46" i="7"/>
  <c r="S46" i="7" s="1"/>
  <c r="R9" i="7"/>
  <c r="S9" i="7" s="1"/>
  <c r="R5" i="7"/>
  <c r="S5" i="7" s="1"/>
  <c r="R7" i="7"/>
  <c r="S7" i="7" s="1"/>
  <c r="R9" i="8"/>
  <c r="S9" i="8" s="1"/>
  <c r="R22" i="7"/>
  <c r="S22" i="7" s="1"/>
  <c r="R72" i="3"/>
  <c r="S72" i="3" s="1"/>
  <c r="R8" i="7"/>
  <c r="S8" i="7" s="1"/>
  <c r="R11" i="30"/>
  <c r="S11" i="30" s="1"/>
  <c r="R20" i="8"/>
  <c r="S20" i="8" s="1"/>
  <c r="R7" i="30"/>
  <c r="S7" i="30" s="1"/>
  <c r="R64" i="3"/>
  <c r="S64" i="3" s="1"/>
  <c r="R8" i="6"/>
  <c r="S8" i="6" s="1"/>
  <c r="R9" i="33"/>
  <c r="S9" i="33" s="1"/>
  <c r="R52" i="3"/>
  <c r="S52" i="3" s="1"/>
  <c r="R15" i="33"/>
  <c r="S15" i="33" s="1"/>
  <c r="R7" i="6"/>
  <c r="S7" i="6" s="1"/>
  <c r="R8" i="3"/>
  <c r="S8" i="3" s="1"/>
  <c r="R17" i="30"/>
  <c r="S17" i="30" s="1"/>
  <c r="R34" i="8"/>
  <c r="S34" i="8" s="1"/>
  <c r="R26" i="8"/>
  <c r="S26" i="8" s="1"/>
  <c r="R73" i="3"/>
  <c r="S73" i="3" s="1"/>
  <c r="R6" i="3"/>
  <c r="S6" i="3" s="1"/>
  <c r="T17" i="8"/>
  <c r="R21" i="6"/>
  <c r="S21" i="6" s="1"/>
  <c r="T28" i="7"/>
  <c r="R14" i="34"/>
  <c r="S14" i="34" s="1"/>
  <c r="T14" i="34" s="1"/>
  <c r="R18" i="30"/>
  <c r="S18" i="30" s="1"/>
  <c r="R35" i="8"/>
  <c r="S35" i="8" s="1"/>
  <c r="R104" i="3"/>
  <c r="S104" i="3" s="1"/>
  <c r="R7" i="33"/>
  <c r="S7" i="33" s="1"/>
  <c r="R14" i="3"/>
  <c r="S14" i="3" s="1"/>
  <c r="R13" i="8"/>
  <c r="S13" i="8" s="1"/>
  <c r="R16" i="8"/>
  <c r="S16" i="8" s="1"/>
  <c r="R75" i="3"/>
  <c r="S75" i="3" s="1"/>
  <c r="T13" i="33"/>
  <c r="R6" i="6"/>
  <c r="S6" i="6" s="1"/>
  <c r="T40" i="8"/>
  <c r="R41" i="8"/>
  <c r="S41" i="8" s="1"/>
  <c r="R82" i="3"/>
  <c r="S82" i="3" s="1"/>
  <c r="T10" i="6"/>
  <c r="R30" i="8"/>
  <c r="S30" i="8" s="1"/>
  <c r="R50" i="3"/>
  <c r="S50" i="3" s="1"/>
  <c r="T28" i="6"/>
  <c r="T11" i="7"/>
  <c r="R14" i="7"/>
  <c r="S14" i="7" s="1"/>
  <c r="R27" i="6"/>
  <c r="S27" i="6" s="1"/>
  <c r="R25" i="6"/>
  <c r="S25" i="6" s="1"/>
  <c r="R54" i="3"/>
  <c r="S54" i="3" s="1"/>
  <c r="R102" i="3"/>
  <c r="S102" i="3" s="1"/>
  <c r="R32" i="3"/>
  <c r="S32" i="3" s="1"/>
  <c r="R16" i="6"/>
  <c r="S16" i="6" s="1"/>
  <c r="R27" i="8"/>
  <c r="S27" i="8" s="1"/>
  <c r="R85" i="3"/>
  <c r="S85" i="3" s="1"/>
  <c r="R11" i="8"/>
  <c r="S11" i="8" s="1"/>
  <c r="R21" i="7"/>
  <c r="S21" i="7" s="1"/>
  <c r="R114" i="3"/>
  <c r="S114" i="3" s="1"/>
  <c r="R5" i="30"/>
  <c r="S5" i="30" s="1"/>
  <c r="R110" i="3"/>
  <c r="S110" i="3" s="1"/>
  <c r="R107" i="3"/>
  <c r="S107" i="3" s="1"/>
  <c r="R32" i="8"/>
  <c r="S32" i="8" s="1"/>
  <c r="R67" i="3"/>
  <c r="S67" i="3" s="1"/>
  <c r="R24" i="7"/>
  <c r="S24" i="7" s="1"/>
  <c r="R6" i="7"/>
  <c r="S6" i="7" s="1"/>
  <c r="R35" i="3"/>
  <c r="S35" i="3" s="1"/>
  <c r="R15" i="6"/>
  <c r="S15" i="6" s="1"/>
  <c r="R10" i="3"/>
  <c r="S10" i="3" s="1"/>
  <c r="T14" i="33"/>
  <c r="T30" i="6"/>
  <c r="R77" i="3"/>
  <c r="S77" i="3" s="1"/>
  <c r="T38" i="8"/>
  <c r="R4" i="33"/>
  <c r="S4" i="33" s="1"/>
  <c r="R58" i="3"/>
  <c r="S58" i="3" s="1"/>
  <c r="T4" i="30"/>
  <c r="R79" i="3"/>
  <c r="S79" i="3" s="1"/>
  <c r="R69" i="3"/>
  <c r="S69" i="3" s="1"/>
  <c r="R12" i="3"/>
  <c r="S12" i="3" s="1"/>
  <c r="R19" i="30"/>
  <c r="S19" i="30" s="1"/>
  <c r="T7" i="8"/>
  <c r="R48" i="3"/>
  <c r="S48" i="3" s="1"/>
  <c r="R43" i="7"/>
  <c r="S43" i="7" s="1"/>
  <c r="R14" i="6"/>
  <c r="S14" i="6" s="1"/>
  <c r="R16" i="30"/>
  <c r="S16" i="30" s="1"/>
  <c r="R4" i="6"/>
  <c r="S4" i="6" s="1"/>
  <c r="R34" i="3"/>
  <c r="S34" i="3" s="1"/>
  <c r="R47" i="3"/>
  <c r="S47" i="3" s="1"/>
  <c r="R16" i="33"/>
  <c r="S16" i="33" s="1"/>
  <c r="R7" i="3"/>
  <c r="S7" i="3" s="1"/>
  <c r="R28" i="3"/>
  <c r="S28" i="3" s="1"/>
  <c r="R20" i="7"/>
  <c r="S20" i="7" s="1"/>
  <c r="R28" i="8"/>
  <c r="S28" i="8" s="1"/>
  <c r="R93" i="3"/>
  <c r="S93" i="3" s="1"/>
  <c r="T22" i="8"/>
  <c r="R24" i="8"/>
  <c r="S24" i="8" s="1"/>
  <c r="R83" i="3"/>
  <c r="S83" i="3" s="1"/>
  <c r="R46" i="3"/>
  <c r="S46" i="3" s="1"/>
  <c r="R33" i="3"/>
  <c r="S33" i="3" s="1"/>
  <c r="R89" i="3"/>
  <c r="S89" i="3" s="1"/>
  <c r="R45" i="3"/>
  <c r="S45" i="3" s="1"/>
  <c r="T9" i="6"/>
  <c r="R71" i="3"/>
  <c r="S71" i="3" s="1"/>
  <c r="R21" i="30"/>
  <c r="S21" i="30" s="1"/>
  <c r="R5" i="6"/>
  <c r="S5" i="6" s="1"/>
  <c r="R20" i="30"/>
  <c r="S20" i="30" s="1"/>
  <c r="T5" i="8"/>
  <c r="R12" i="8"/>
  <c r="S12" i="8" s="1"/>
  <c r="T13" i="7"/>
  <c r="R56" i="3"/>
  <c r="S56" i="3" s="1"/>
  <c r="R40" i="3"/>
  <c r="S40" i="3" s="1"/>
  <c r="R10" i="30"/>
  <c r="S10" i="30" s="1"/>
  <c r="R112" i="3"/>
  <c r="S112" i="3" s="1"/>
  <c r="R94" i="3"/>
  <c r="S94" i="3" s="1"/>
  <c r="R26" i="3"/>
  <c r="S26" i="3" s="1"/>
  <c r="T18" i="7"/>
  <c r="T30" i="7"/>
  <c r="R18" i="6"/>
  <c r="S18" i="6" s="1"/>
  <c r="T10" i="8"/>
  <c r="R31" i="6"/>
  <c r="S31" i="6" s="1"/>
  <c r="R8" i="30"/>
  <c r="S8" i="30" s="1"/>
  <c r="R59" i="3"/>
  <c r="S59" i="3" s="1"/>
  <c r="R12" i="33"/>
  <c r="S12" i="33" s="1"/>
  <c r="R53" i="3"/>
  <c r="S53" i="3" s="1"/>
  <c r="R15" i="30"/>
  <c r="S15" i="30" s="1"/>
  <c r="R24" i="6"/>
  <c r="S24" i="6" s="1"/>
  <c r="R32" i="6"/>
  <c r="S32" i="6" s="1"/>
  <c r="T15" i="7"/>
  <c r="R37" i="3"/>
  <c r="S37" i="3" s="1"/>
  <c r="R25" i="7"/>
  <c r="S25" i="7" s="1"/>
  <c r="R12" i="6"/>
  <c r="S12" i="6" s="1"/>
  <c r="R14" i="30"/>
  <c r="S14" i="30" s="1"/>
  <c r="R111" i="3"/>
  <c r="S111" i="3" s="1"/>
  <c r="R90" i="3"/>
  <c r="S90" i="3" s="1"/>
  <c r="T17" i="7"/>
  <c r="R101" i="3"/>
  <c r="S101" i="3" s="1"/>
  <c r="R16" i="7"/>
  <c r="S16" i="7" s="1"/>
  <c r="T33" i="8"/>
  <c r="R23" i="6"/>
  <c r="S23" i="6" s="1"/>
  <c r="T29" i="8"/>
  <c r="R4" i="8"/>
  <c r="S4" i="8" s="1"/>
  <c r="R92" i="3"/>
  <c r="S92" i="3" s="1"/>
  <c r="R108" i="3"/>
  <c r="S108" i="3" s="1"/>
  <c r="R21" i="3"/>
  <c r="S21" i="3" s="1"/>
  <c r="T23" i="7"/>
  <c r="T6" i="8"/>
  <c r="R11" i="33"/>
  <c r="S11" i="33" s="1"/>
  <c r="R22" i="6"/>
  <c r="S22" i="6" s="1"/>
  <c r="R19" i="6"/>
  <c r="S19" i="6" s="1"/>
  <c r="R4" i="7"/>
  <c r="S4" i="7" s="1"/>
  <c r="T10" i="33"/>
  <c r="R11" i="6"/>
  <c r="S11" i="6" s="1"/>
  <c r="R61" i="3"/>
  <c r="S61" i="3" s="1"/>
  <c r="R20" i="6"/>
  <c r="S20" i="6" s="1"/>
  <c r="R9" i="3"/>
  <c r="S9" i="3" s="1"/>
  <c r="R25" i="3"/>
  <c r="S25" i="3" s="1"/>
  <c r="R49" i="3"/>
  <c r="S49" i="3" s="1"/>
  <c r="T12" i="7"/>
  <c r="R6" i="30"/>
  <c r="S6" i="30" s="1"/>
  <c r="R18" i="8"/>
  <c r="S18" i="8" s="1"/>
  <c r="T10" i="7"/>
  <c r="R23" i="8"/>
  <c r="S23" i="8" s="1"/>
  <c r="R13" i="6"/>
  <c r="S13" i="6" s="1"/>
  <c r="T25" i="8"/>
  <c r="T37" i="8"/>
  <c r="R97" i="3"/>
  <c r="S97" i="3" s="1"/>
  <c r="R39" i="8"/>
  <c r="S39" i="8" s="1"/>
  <c r="R13" i="30"/>
  <c r="S13" i="30" s="1"/>
  <c r="R91" i="3"/>
  <c r="S91" i="3" s="1"/>
  <c r="R23" i="3"/>
  <c r="S23" i="3" s="1"/>
  <c r="R65" i="3"/>
  <c r="S65" i="3" s="1"/>
  <c r="R31" i="3"/>
  <c r="S31" i="3" s="1"/>
  <c r="R113" i="3"/>
  <c r="S113" i="3" s="1"/>
  <c r="R29" i="6"/>
  <c r="S29" i="6" s="1"/>
  <c r="R8" i="8"/>
  <c r="S8" i="8" s="1"/>
  <c r="T6" i="33"/>
  <c r="R117" i="3"/>
  <c r="S117" i="3" s="1"/>
  <c r="R11" i="3"/>
  <c r="S11" i="3" s="1"/>
  <c r="R26" i="6"/>
  <c r="S26" i="6" s="1"/>
  <c r="R27" i="7"/>
  <c r="S27" i="7" s="1"/>
  <c r="R66" i="3"/>
  <c r="S66" i="3" s="1"/>
  <c r="R43" i="3"/>
  <c r="S43" i="3" s="1"/>
  <c r="R78" i="3"/>
  <c r="S78" i="3" s="1"/>
  <c r="R12" i="30"/>
  <c r="S12" i="30" s="1"/>
  <c r="R17" i="6"/>
  <c r="S17" i="6" s="1"/>
  <c r="R29" i="3"/>
  <c r="S29" i="3" s="1"/>
  <c r="T36" i="8"/>
  <c r="R9" i="30"/>
  <c r="S9" i="30" s="1"/>
  <c r="T19" i="8"/>
  <c r="R31" i="7"/>
  <c r="S31" i="7" s="1"/>
  <c r="T5" i="33"/>
  <c r="R60" i="3"/>
  <c r="S60" i="3" s="1"/>
  <c r="R8" i="33"/>
  <c r="S8" i="33" s="1"/>
  <c r="T26" i="34"/>
  <c r="R20" i="34"/>
  <c r="S20" i="34" s="1"/>
  <c r="R42" i="34"/>
  <c r="S42" i="34" s="1"/>
  <c r="T21" i="34"/>
  <c r="R36" i="34"/>
  <c r="S36" i="34" s="1"/>
  <c r="R39" i="34"/>
  <c r="S39" i="34" s="1"/>
  <c r="R41" i="34"/>
  <c r="S41" i="34" s="1"/>
  <c r="R38" i="34"/>
  <c r="S38" i="34" s="1"/>
  <c r="R40" i="34"/>
  <c r="S40" i="34" s="1"/>
  <c r="R37" i="34"/>
  <c r="S37" i="34" s="1"/>
  <c r="R29" i="34"/>
  <c r="S29" i="34" s="1"/>
  <c r="R7" i="34"/>
  <c r="S7" i="34" s="1"/>
  <c r="R6" i="34"/>
  <c r="S6" i="34" s="1"/>
  <c r="T6" i="34" s="1"/>
  <c r="R34" i="34"/>
  <c r="S34" i="34" s="1"/>
  <c r="R12" i="34"/>
  <c r="S12" i="34" s="1"/>
  <c r="R30" i="34"/>
  <c r="S30" i="34" s="1"/>
  <c r="R31" i="34"/>
  <c r="S31" i="34" s="1"/>
  <c r="R35" i="34"/>
  <c r="S35" i="34" s="1"/>
  <c r="Q23" i="34"/>
  <c r="U23" i="34"/>
  <c r="R17" i="34"/>
  <c r="S17" i="34" s="1"/>
  <c r="R13" i="34"/>
  <c r="S13" i="34" s="1"/>
  <c r="R33" i="34"/>
  <c r="S33" i="34" s="1"/>
  <c r="R16" i="34"/>
  <c r="S16" i="34" s="1"/>
  <c r="R9" i="34"/>
  <c r="S9" i="34" s="1"/>
  <c r="R32" i="34"/>
  <c r="S32" i="34" s="1"/>
  <c r="R8" i="34"/>
  <c r="S8" i="34" s="1"/>
  <c r="R5" i="34"/>
  <c r="S5" i="34" s="1"/>
  <c r="R4" i="34"/>
  <c r="S4" i="34" s="1"/>
  <c r="T15" i="34"/>
  <c r="T11" i="34"/>
  <c r="T10" i="34"/>
  <c r="T28" i="34"/>
  <c r="T25" i="34"/>
  <c r="T24" i="34"/>
  <c r="T19" i="34"/>
  <c r="T22" i="30"/>
  <c r="T45" i="7"/>
  <c r="T44" i="7"/>
  <c r="R42" i="7"/>
  <c r="S42" i="7" s="1"/>
  <c r="R41" i="7"/>
  <c r="S41" i="7" s="1"/>
  <c r="R40" i="7"/>
  <c r="S40" i="7" s="1"/>
  <c r="R39" i="7"/>
  <c r="S39" i="7" s="1"/>
  <c r="T38" i="7"/>
  <c r="T37" i="7"/>
  <c r="T36" i="7"/>
  <c r="R34" i="7"/>
  <c r="S34" i="7" s="1"/>
  <c r="R33" i="7"/>
  <c r="S33" i="7" s="1"/>
  <c r="T15" i="36"/>
  <c r="R7" i="35"/>
  <c r="S7" i="35" s="1"/>
  <c r="R17" i="36"/>
  <c r="S17" i="36" s="1"/>
  <c r="R7" i="36"/>
  <c r="S7" i="36" s="1"/>
  <c r="R16" i="35"/>
  <c r="S16" i="35" s="1"/>
  <c r="T26" i="36"/>
  <c r="R22" i="36"/>
  <c r="S22" i="36" s="1"/>
  <c r="R11" i="35"/>
  <c r="S11" i="35" s="1"/>
  <c r="T13" i="35"/>
  <c r="T20" i="36"/>
  <c r="R9" i="35"/>
  <c r="S9" i="35" s="1"/>
  <c r="R14" i="35"/>
  <c r="S14" i="35" s="1"/>
  <c r="R16" i="36"/>
  <c r="S16" i="36" s="1"/>
  <c r="R12" i="36"/>
  <c r="S12" i="36" s="1"/>
  <c r="R15" i="35"/>
  <c r="S15" i="35" s="1"/>
  <c r="R4" i="35"/>
  <c r="S4" i="35" s="1"/>
  <c r="R8" i="35"/>
  <c r="S8" i="35" s="1"/>
  <c r="R10" i="35"/>
  <c r="S10" i="35" s="1"/>
  <c r="R18" i="35"/>
  <c r="S18" i="35" s="1"/>
  <c r="R12" i="35"/>
  <c r="S12" i="35" s="1"/>
  <c r="T27" i="36"/>
  <c r="R28" i="36"/>
  <c r="S28" i="36" s="1"/>
  <c r="R6" i="35"/>
  <c r="S6" i="35" s="1"/>
  <c r="T14" i="36"/>
  <c r="R17" i="35"/>
  <c r="S17" i="35" s="1"/>
  <c r="T10" i="36"/>
  <c r="R6" i="36"/>
  <c r="S6" i="36" s="1"/>
  <c r="T5" i="36"/>
  <c r="T4" i="36"/>
  <c r="Q17" i="33" l="1"/>
  <c r="U17" i="33"/>
  <c r="T5" i="35"/>
  <c r="T9" i="36"/>
  <c r="T47" i="7"/>
  <c r="T13" i="36"/>
  <c r="Y53" i="36"/>
  <c r="P53" i="36"/>
  <c r="K53" i="36"/>
  <c r="P52" i="36"/>
  <c r="Y52" i="36"/>
  <c r="K52" i="36"/>
  <c r="Y54" i="36"/>
  <c r="P54" i="36"/>
  <c r="K54" i="36"/>
  <c r="T48" i="36"/>
  <c r="T50" i="36"/>
  <c r="T51" i="36"/>
  <c r="T49" i="36"/>
  <c r="T47" i="36"/>
  <c r="T29" i="7"/>
  <c r="T18" i="36"/>
  <c r="T24" i="36"/>
  <c r="T34" i="36"/>
  <c r="T25" i="36"/>
  <c r="T8" i="36"/>
  <c r="P31" i="36"/>
  <c r="K31" i="36"/>
  <c r="Q30" i="36"/>
  <c r="U30" i="36"/>
  <c r="U29" i="36"/>
  <c r="Q29" i="36"/>
  <c r="T21" i="8"/>
  <c r="T9" i="8"/>
  <c r="T46" i="7"/>
  <c r="T5" i="7"/>
  <c r="T19" i="7"/>
  <c r="T22" i="7"/>
  <c r="T7" i="7"/>
  <c r="T9" i="7"/>
  <c r="T18" i="6"/>
  <c r="T10" i="30"/>
  <c r="T8" i="6"/>
  <c r="T14" i="30"/>
  <c r="T26" i="8"/>
  <c r="T18" i="8"/>
  <c r="T21" i="30"/>
  <c r="T32" i="8"/>
  <c r="T17" i="30"/>
  <c r="T25" i="7"/>
  <c r="T23" i="8"/>
  <c r="T24" i="6"/>
  <c r="T24" i="7"/>
  <c r="T14" i="7"/>
  <c r="T11" i="6"/>
  <c r="T31" i="6"/>
  <c r="T5" i="6"/>
  <c r="T20" i="7"/>
  <c r="T5" i="30"/>
  <c r="T11" i="8"/>
  <c r="T16" i="8"/>
  <c r="T8" i="7"/>
  <c r="T21" i="7"/>
  <c r="T18" i="30"/>
  <c r="T8" i="33"/>
  <c r="T12" i="33"/>
  <c r="T9" i="30"/>
  <c r="T8" i="8"/>
  <c r="T29" i="6"/>
  <c r="T19" i="6"/>
  <c r="T12" i="8"/>
  <c r="T16" i="30"/>
  <c r="T27" i="8"/>
  <c r="T21" i="6"/>
  <c r="T11" i="30"/>
  <c r="T23" i="6"/>
  <c r="T12" i="6"/>
  <c r="T15" i="30"/>
  <c r="T16" i="33"/>
  <c r="T14" i="6"/>
  <c r="T19" i="30"/>
  <c r="T4" i="33"/>
  <c r="T6" i="7"/>
  <c r="T16" i="6"/>
  <c r="T30" i="8"/>
  <c r="T35" i="8"/>
  <c r="T34" i="8"/>
  <c r="T20" i="8"/>
  <c r="T13" i="6"/>
  <c r="T27" i="6"/>
  <c r="T41" i="8"/>
  <c r="T13" i="8"/>
  <c r="T39" i="8"/>
  <c r="T28" i="8"/>
  <c r="T4" i="6"/>
  <c r="T15" i="6"/>
  <c r="T25" i="6"/>
  <c r="T12" i="30"/>
  <c r="T27" i="7"/>
  <c r="T6" i="30"/>
  <c r="T20" i="6"/>
  <c r="T4" i="7"/>
  <c r="T24" i="8"/>
  <c r="T26" i="6"/>
  <c r="T13" i="30"/>
  <c r="T15" i="33"/>
  <c r="T11" i="33"/>
  <c r="T16" i="7"/>
  <c r="T31" i="7"/>
  <c r="T17" i="6"/>
  <c r="T22" i="6"/>
  <c r="T4" i="8"/>
  <c r="T32" i="6"/>
  <c r="T8" i="30"/>
  <c r="T20" i="30"/>
  <c r="T43" i="7"/>
  <c r="T6" i="6"/>
  <c r="T7" i="33"/>
  <c r="T7" i="6"/>
  <c r="T9" i="33"/>
  <c r="T7" i="30"/>
  <c r="T20" i="34"/>
  <c r="T42" i="34"/>
  <c r="T39" i="34"/>
  <c r="T41" i="34"/>
  <c r="T29" i="34"/>
  <c r="T7" i="34"/>
  <c r="T40" i="34"/>
  <c r="T37" i="34"/>
  <c r="T38" i="34"/>
  <c r="T36" i="34"/>
  <c r="T32" i="34"/>
  <c r="T31" i="34"/>
  <c r="T4" i="34"/>
  <c r="T16" i="34"/>
  <c r="T17" i="34"/>
  <c r="T5" i="34"/>
  <c r="T12" i="34"/>
  <c r="T8" i="34"/>
  <c r="R23" i="34"/>
  <c r="S23" i="34" s="1"/>
  <c r="T9" i="34"/>
  <c r="T30" i="34"/>
  <c r="T33" i="34"/>
  <c r="T34" i="34"/>
  <c r="T13" i="34"/>
  <c r="T35" i="34"/>
  <c r="T42" i="7"/>
  <c r="T41" i="7"/>
  <c r="T40" i="7"/>
  <c r="T39" i="7"/>
  <c r="T34" i="7"/>
  <c r="T33" i="7"/>
  <c r="T6" i="35"/>
  <c r="T14" i="35"/>
  <c r="T22" i="36"/>
  <c r="T8" i="35"/>
  <c r="T12" i="36"/>
  <c r="T17" i="36"/>
  <c r="T16" i="36"/>
  <c r="T7" i="35"/>
  <c r="T17" i="35"/>
  <c r="T4" i="35"/>
  <c r="T18" i="35"/>
  <c r="T16" i="35"/>
  <c r="T9" i="35"/>
  <c r="T6" i="36"/>
  <c r="T28" i="36"/>
  <c r="T7" i="36"/>
  <c r="T12" i="35"/>
  <c r="T10" i="35"/>
  <c r="T15" i="35"/>
  <c r="T11" i="35"/>
  <c r="R17" i="33" l="1"/>
  <c r="S17" i="33" s="1"/>
  <c r="Q52" i="36"/>
  <c r="U52" i="36"/>
  <c r="Q54" i="36"/>
  <c r="U54" i="36"/>
  <c r="Q53" i="36"/>
  <c r="U53" i="36"/>
  <c r="R29" i="36"/>
  <c r="S29" i="36" s="1"/>
  <c r="R30" i="36"/>
  <c r="S30" i="36" s="1"/>
  <c r="Q31" i="36"/>
  <c r="U31" i="36"/>
  <c r="T23" i="34"/>
  <c r="T17" i="33" l="1"/>
  <c r="R53" i="36"/>
  <c r="S53" i="36" s="1"/>
  <c r="R54" i="36"/>
  <c r="S54" i="36" s="1"/>
  <c r="R52" i="36"/>
  <c r="S52" i="36" s="1"/>
  <c r="T30" i="36"/>
  <c r="R31" i="36"/>
  <c r="S31" i="36" s="1"/>
  <c r="T29" i="36"/>
  <c r="T54" i="36" l="1"/>
  <c r="T52" i="36"/>
  <c r="T53" i="36"/>
  <c r="K32" i="36"/>
  <c r="P32" i="36"/>
  <c r="T31" i="36"/>
  <c r="K33" i="36"/>
  <c r="P33" i="36"/>
  <c r="K56" i="36" l="1"/>
  <c r="Y56" i="36"/>
  <c r="P56" i="36"/>
  <c r="K55" i="36"/>
  <c r="Y55" i="36"/>
  <c r="P55" i="36"/>
  <c r="Y57" i="36"/>
  <c r="K57" i="36"/>
  <c r="P57" i="36"/>
  <c r="Q32" i="36"/>
  <c r="U32" i="36"/>
  <c r="Q33" i="36"/>
  <c r="U33" i="36"/>
  <c r="U55" i="36" l="1"/>
  <c r="Q55" i="36"/>
  <c r="Q56" i="36"/>
  <c r="U56" i="36"/>
  <c r="U57" i="36"/>
  <c r="Q57" i="36"/>
  <c r="R33" i="36"/>
  <c r="S33" i="36" s="1"/>
  <c r="R32" i="36"/>
  <c r="S32" i="36" s="1"/>
  <c r="R57" i="36" l="1"/>
  <c r="S57" i="36" s="1"/>
  <c r="R56" i="36"/>
  <c r="S56" i="36" s="1"/>
  <c r="R55" i="36"/>
  <c r="S55" i="36" s="1"/>
  <c r="T33" i="36"/>
  <c r="T32" i="36"/>
  <c r="T55" i="36" l="1"/>
  <c r="T56" i="36"/>
  <c r="T57" i="36"/>
  <c r="K36" i="36"/>
  <c r="P36" i="36"/>
  <c r="K35" i="36"/>
  <c r="P35" i="36"/>
  <c r="P58" i="36" l="1"/>
  <c r="K58" i="36"/>
  <c r="Y58" i="36"/>
  <c r="Y2" i="36" s="1"/>
  <c r="U36" i="36"/>
  <c r="Q36" i="36"/>
  <c r="P37" i="36"/>
  <c r="K37" i="36"/>
  <c r="U35" i="36"/>
  <c r="Q35" i="36"/>
  <c r="U58" i="36" l="1"/>
  <c r="Q58" i="36"/>
  <c r="R35" i="36"/>
  <c r="S35" i="36" s="1"/>
  <c r="Q37" i="36"/>
  <c r="U37" i="36"/>
  <c r="R36" i="36"/>
  <c r="S36" i="36" s="1"/>
  <c r="R58" i="36" l="1"/>
  <c r="S58" i="36" s="1"/>
  <c r="R37" i="36"/>
  <c r="S37" i="36" s="1"/>
  <c r="T36" i="36"/>
  <c r="T35" i="36"/>
  <c r="T58" i="36" l="1"/>
  <c r="P39" i="36"/>
  <c r="K39" i="36"/>
  <c r="T37" i="36"/>
  <c r="P38" i="36"/>
  <c r="K38" i="36"/>
  <c r="Q38" i="36" l="1"/>
  <c r="U38" i="36"/>
  <c r="K40" i="36"/>
  <c r="P40" i="36"/>
  <c r="Q39" i="36"/>
  <c r="U39" i="36"/>
  <c r="Q40" i="36" l="1"/>
  <c r="U40" i="36"/>
  <c r="R39" i="36"/>
  <c r="S39" i="36" s="1"/>
  <c r="R38" i="36"/>
  <c r="S38" i="36" s="1"/>
  <c r="T38" i="36" l="1"/>
  <c r="T39" i="36"/>
  <c r="R40" i="36"/>
  <c r="S40" i="36" s="1"/>
  <c r="T40" i="36" l="1"/>
  <c r="K42" i="36"/>
  <c r="P42" i="36"/>
  <c r="K41" i="36"/>
  <c r="P41" i="36"/>
  <c r="Q41" i="36" l="1"/>
  <c r="U41" i="36"/>
  <c r="U42" i="36"/>
  <c r="Q42" i="36"/>
  <c r="P43" i="36"/>
  <c r="K43" i="36"/>
  <c r="U43" i="36" l="1"/>
  <c r="Q43" i="36"/>
  <c r="R42" i="36"/>
  <c r="S42" i="36" s="1"/>
  <c r="R41" i="36"/>
  <c r="S41" i="36" s="1"/>
  <c r="P45" i="36" l="1"/>
  <c r="K45" i="36"/>
  <c r="K44" i="36"/>
  <c r="P44" i="36"/>
  <c r="T41" i="36"/>
  <c r="T42" i="36"/>
  <c r="R43" i="36"/>
  <c r="S43" i="36" s="1"/>
  <c r="P46" i="36" l="1"/>
  <c r="K46" i="36"/>
  <c r="Q45" i="36"/>
  <c r="U45" i="36"/>
  <c r="Q44" i="36"/>
  <c r="U44" i="36"/>
  <c r="T43" i="36"/>
  <c r="K2" i="36" l="1"/>
  <c r="K1" i="36"/>
  <c r="B8" i="49" s="1"/>
  <c r="B3" i="49"/>
  <c r="V4" i="49"/>
  <c r="U46" i="36"/>
  <c r="Q46" i="36"/>
  <c r="R45" i="36"/>
  <c r="S45" i="36" s="1"/>
  <c r="R44" i="36"/>
  <c r="S44" i="36" s="1"/>
  <c r="V5" i="49" l="1"/>
  <c r="V6" i="49" s="1"/>
  <c r="V7" i="49" s="1"/>
  <c r="V8" i="49" s="1"/>
  <c r="V9" i="49" s="1"/>
  <c r="V10" i="49" s="1"/>
  <c r="V11" i="49" s="1"/>
  <c r="V12" i="49" s="1"/>
  <c r="V13" i="49" s="1"/>
  <c r="V14" i="49" s="1"/>
  <c r="V15" i="49" s="1"/>
  <c r="V16" i="49" s="1"/>
  <c r="V17" i="49" s="1"/>
  <c r="V18" i="49" s="1"/>
  <c r="V19" i="49" s="1"/>
  <c r="V20" i="49" s="1"/>
  <c r="V21" i="49" s="1"/>
  <c r="V22" i="49" s="1"/>
  <c r="V23" i="49" s="1"/>
  <c r="V24" i="49" s="1"/>
  <c r="V25" i="49" s="1"/>
  <c r="V26" i="49" s="1"/>
  <c r="V27" i="49" s="1"/>
  <c r="V28" i="49" s="1"/>
  <c r="V29" i="49" s="1"/>
  <c r="V1" i="49"/>
  <c r="R46" i="36"/>
  <c r="S46" i="36" s="1"/>
  <c r="T45" i="36"/>
  <c r="T44" i="36"/>
  <c r="T46" i="36" l="1"/>
  <c r="B9" i="49"/>
  <c r="B10" i="4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fe04366c-e7bb-4cac-9672-0b7472df1c11"/>
      </ext>
    </extLst>
  </connection>
  <connection id="2" xr16:uid="{00000000-0015-0000-FFFF-FFFF01000000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124feea7-8aa0-43c7-8f6d-db8f69e56e22"/>
      </ext>
    </extLst>
  </connection>
  <connection id="3" xr16:uid="{00000000-0015-0000-FFFF-FFFF02000000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9b475f85-4dc2-4fe8-834e-4a75dba88afd"/>
      </ext>
    </extLst>
  </connection>
  <connection id="4" xr16:uid="{00000000-0015-0000-FFFF-FFFF03000000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e964e576-5e34-475c-89d8-1104b8fe94e7"/>
      </ext>
    </extLst>
  </connection>
  <connection id="5" xr16:uid="{00000000-0015-0000-FFFF-FFFF04000000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aaf1d27b-3560-4781-9e43-e8f35df2c73f"/>
      </ext>
    </extLst>
  </connection>
  <connection id="6" xr16:uid="{00000000-0015-0000-FFFF-FFFF05000000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218afbf8-b6ac-4e13-831d-2fb8f964041b"/>
      </ext>
    </extLst>
  </connection>
  <connection id="7" xr16:uid="{00000000-0015-0000-FFFF-FFFF06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<sst xmlns="http://schemas.openxmlformats.org/spreadsheetml/2006/main" count="4918" uniqueCount="1463">
  <si>
    <t>TOTAL</t>
  </si>
  <si>
    <t>LC</t>
  </si>
  <si>
    <t>RETAIL</t>
  </si>
  <si>
    <t>Column1</t>
  </si>
  <si>
    <t>EM</t>
  </si>
  <si>
    <t>GREY RUSTIC ROCK FTN</t>
  </si>
  <si>
    <t>EM325055OHL</t>
  </si>
  <si>
    <t>EM325056OFF</t>
  </si>
  <si>
    <t>EM325057OHO</t>
  </si>
  <si>
    <t>OMA</t>
  </si>
  <si>
    <t>EM325058MXL</t>
  </si>
  <si>
    <t>EM325060OXH</t>
  </si>
  <si>
    <t>EM325061NN</t>
  </si>
  <si>
    <t>LH</t>
  </si>
  <si>
    <t>SERPENTINE RUSTIC ROCK FTN</t>
  </si>
  <si>
    <t>EM325062OAD</t>
  </si>
  <si>
    <t>EM325063OXH</t>
  </si>
  <si>
    <t>EM325064MLO</t>
  </si>
  <si>
    <t>EM325065OHA</t>
  </si>
  <si>
    <t>PINK  SERP RUSTIC ROCK FTN</t>
  </si>
  <si>
    <t>EM325066HHN</t>
  </si>
  <si>
    <t>EM325067AA</t>
  </si>
  <si>
    <t>EM325068OFF</t>
  </si>
  <si>
    <t>EM325071MAL</t>
  </si>
  <si>
    <t>EM325072MOL</t>
  </si>
  <si>
    <t>AM</t>
  </si>
  <si>
    <t>EM325073NO</t>
  </si>
  <si>
    <t>EM325074AA</t>
  </si>
  <si>
    <t>GRAY REC  MIRROR</t>
  </si>
  <si>
    <t>GRAY REC MIRROR</t>
  </si>
  <si>
    <t>AMBER REC MIRROR</t>
  </si>
  <si>
    <t>CRYSTALLINE REC MIRROR</t>
  </si>
  <si>
    <t>CRYS  REC MIRROR</t>
  </si>
  <si>
    <t>CRYS REC MIRROR</t>
  </si>
  <si>
    <t>CRIS VEIN SQ MIRROR</t>
  </si>
  <si>
    <t>AMBER SQ MIRROR</t>
  </si>
  <si>
    <t>GREY SQ MIRROR</t>
  </si>
  <si>
    <t>CRIS VEIN REC MIRROR</t>
  </si>
  <si>
    <t>OLE</t>
  </si>
  <si>
    <t>CRIS COL</t>
  </si>
  <si>
    <t>CRIS VEIN POL</t>
  </si>
  <si>
    <t>CRIS POL</t>
  </si>
  <si>
    <t>CRIS AMBER POL</t>
  </si>
  <si>
    <t>CRIS AMBER /GREY POL</t>
  </si>
  <si>
    <t>CRIS VEINS POL</t>
  </si>
  <si>
    <t>CRIS AMBER/GREY POL</t>
  </si>
  <si>
    <t>GREY POL</t>
  </si>
  <si>
    <t>CRIS AMBER SOL</t>
  </si>
  <si>
    <t>CRIS GREY REC MIRROR</t>
  </si>
  <si>
    <t>CRIS GREY SQ MIRROR</t>
  </si>
  <si>
    <t>CRIS AMBER REC MIRROR</t>
  </si>
  <si>
    <t>CRIS GREY COL</t>
  </si>
  <si>
    <t>CRIS GREY POL</t>
  </si>
  <si>
    <t>CRIS GREY RD MIRROR</t>
  </si>
  <si>
    <t>TEHUA/GREY DIAMOND TABLE</t>
  </si>
  <si>
    <t>TE</t>
  </si>
  <si>
    <t>ZEBRA PANEL SET</t>
  </si>
  <si>
    <t>BEIGE MARBLE AMORE SCULPTURE</t>
  </si>
  <si>
    <t>GREEN TALAN PANEL SET</t>
  </si>
  <si>
    <t>BLUE ONIX SOL</t>
  </si>
  <si>
    <t>RED MARBLE AMORE SCULPTURE</t>
  </si>
  <si>
    <t>PINK SER SOL</t>
  </si>
  <si>
    <t>WALL PANEL TOTAL</t>
  </si>
  <si>
    <t>GE</t>
  </si>
  <si>
    <t>TEHUA GREEN/ORANGE SOL</t>
  </si>
  <si>
    <t>TEHUA GREEN/ORANGE CT SOL</t>
  </si>
  <si>
    <t>TEHUA GREEN/ORANGE OT SOL</t>
  </si>
  <si>
    <t>RED ONIX SOL</t>
  </si>
  <si>
    <t>SMALL MUSHROOM PINK</t>
  </si>
  <si>
    <t>LH35001L</t>
  </si>
  <si>
    <t>SMALL MUSHROOM ORANGE</t>
  </si>
  <si>
    <t>LH35002L</t>
  </si>
  <si>
    <t>SMALL MUSHROOM YELOW</t>
  </si>
  <si>
    <t>LH35003L</t>
  </si>
  <si>
    <t>DOUBLE MUSHROOM DIF COLR</t>
  </si>
  <si>
    <t>LH35004OO</t>
  </si>
  <si>
    <t>XLARGE MUSHROOM GREEN</t>
  </si>
  <si>
    <t>LH35005XH</t>
  </si>
  <si>
    <t>XLARGE MUSHROOM PURPLE</t>
  </si>
  <si>
    <t>LH35006XH</t>
  </si>
  <si>
    <t>XLARGE MUSHROOM BLUE</t>
  </si>
  <si>
    <t>LH35007XH</t>
  </si>
  <si>
    <t>XLARGE MUSHROOM PINK</t>
  </si>
  <si>
    <t>LH35008XH</t>
  </si>
  <si>
    <t>XLARGE MUSHROOM NATURAL</t>
  </si>
  <si>
    <t>LH35009XH</t>
  </si>
  <si>
    <t>JV</t>
  </si>
  <si>
    <t>PINK WHITE ENGLISH CHESS</t>
  </si>
  <si>
    <t>JV82501XX</t>
  </si>
  <si>
    <t>PINK GREY ENGLISH CHESS</t>
  </si>
  <si>
    <t>JV82502MA</t>
  </si>
  <si>
    <t>MM</t>
  </si>
  <si>
    <t>GREY BLACK ITALIAN CHESS</t>
  </si>
  <si>
    <t>JV82503HF</t>
  </si>
  <si>
    <t>PINK BLACK ITALIAN HESS</t>
  </si>
  <si>
    <t>JV82504OX</t>
  </si>
  <si>
    <t>PINK WHITE ITALIAN CHESS</t>
  </si>
  <si>
    <t>JV82505OX</t>
  </si>
  <si>
    <t>PINK GREY ITALIAN CHESS</t>
  </si>
  <si>
    <t>JV82506OX</t>
  </si>
  <si>
    <t>GS</t>
  </si>
  <si>
    <t>PINK MAR RD COASTER SET</t>
  </si>
  <si>
    <t>MOKA MAR RD COSTER SET</t>
  </si>
  <si>
    <t>MOKA MAR SQ COSTER SET 8</t>
  </si>
  <si>
    <t>PINK MAR SQ COASTER SET</t>
  </si>
  <si>
    <t>AMBER ONIX SCONCE</t>
  </si>
  <si>
    <t>ONIX HR SCONCE</t>
  </si>
  <si>
    <t>ONIX SQ SCONCE</t>
  </si>
  <si>
    <t>BT</t>
  </si>
  <si>
    <t>SELENITE MIRROR</t>
  </si>
  <si>
    <t>ALEJANDRO MEZA</t>
  </si>
  <si>
    <t>BERNARDO TELLEZ</t>
  </si>
  <si>
    <t>CP</t>
  </si>
  <si>
    <t>CANTERA PUEBLA</t>
  </si>
  <si>
    <t>DH</t>
  </si>
  <si>
    <t>DELFINO HERNANDEZ</t>
  </si>
  <si>
    <t>GERARDO DE GANTE</t>
  </si>
  <si>
    <t>JM</t>
  </si>
  <si>
    <t>JOSE MEZA</t>
  </si>
  <si>
    <t>ML</t>
  </si>
  <si>
    <t>RF</t>
  </si>
  <si>
    <t>FR</t>
  </si>
  <si>
    <t>Date</t>
  </si>
  <si>
    <t>Q</t>
  </si>
  <si>
    <t>KG</t>
  </si>
  <si>
    <t>W CM</t>
  </si>
  <si>
    <t xml:space="preserve">D CM </t>
  </si>
  <si>
    <t>POUNDS</t>
  </si>
  <si>
    <t>TOTAL USD</t>
  </si>
  <si>
    <t>#ID</t>
  </si>
  <si>
    <t>H CM</t>
  </si>
  <si>
    <t>AQC</t>
  </si>
  <si>
    <t>NOTES:</t>
  </si>
  <si>
    <t>Book #</t>
  </si>
  <si>
    <t>Rate</t>
  </si>
  <si>
    <t>#</t>
  </si>
  <si>
    <t>Description                                                 Color - Object Type</t>
  </si>
  <si>
    <t>TAG-ID</t>
  </si>
  <si>
    <t>Per piece MXN$</t>
  </si>
  <si>
    <t>TOTAL PESOS</t>
  </si>
  <si>
    <t>H Inches</t>
  </si>
  <si>
    <t>W Inches</t>
  </si>
  <si>
    <t>D Incbes</t>
  </si>
  <si>
    <t>AQ</t>
  </si>
  <si>
    <t>AQ ROUND</t>
  </si>
  <si>
    <t>LND</t>
  </si>
  <si>
    <t>LND ROUND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</si>
  <si>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</si>
  <si>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</si>
  <si>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</si>
  <si>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</si>
  <si>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</si>
  <si>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</si>
  <si>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</si>
  <si>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</si>
  <si>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</si>
  <si>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</si>
  <si>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</si>
  <si>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</si>
  <si>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</si>
  <si>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</si>
  <si>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</si>
  <si>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</si>
  <si>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</si>
  <si>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</si>
  <si>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</si>
  <si>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</si>
  <si>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</si>
  <si>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</si>
  <si>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</si>
  <si>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</si>
  <si>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</si>
  <si>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ZEBRA RUSTIC FOUNTAIN</t>
  </si>
  <si>
    <t>WHITE SL. RUSTIC FOUNTAIN</t>
  </si>
  <si>
    <t>RUSTIC TOWER</t>
  </si>
  <si>
    <t>DH325030LLH</t>
  </si>
  <si>
    <t>DH325031ENA</t>
  </si>
  <si>
    <t>DH325032FDL</t>
  </si>
  <si>
    <t>DH325033AHX</t>
  </si>
  <si>
    <t>DH325034MDOO</t>
  </si>
  <si>
    <t>DH325035NEM</t>
  </si>
  <si>
    <t>RUSTIC TOWER SET (3)</t>
  </si>
  <si>
    <t>DH325036EAH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</si>
  <si>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</si>
  <si>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</si>
  <si>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</si>
  <si>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</si>
  <si>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</si>
  <si>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</si>
  <si>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</si>
  <si>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</si>
  <si>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</si>
  <si>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</si>
  <si>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</si>
  <si>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</si>
  <si>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</si>
  <si>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</si>
  <si>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</si>
  <si>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</si>
  <si>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</si>
  <si>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</si>
  <si>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</si>
  <si>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</si>
  <si>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</si>
  <si>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</si>
  <si>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</si>
  <si>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</si>
  <si>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</si>
  <si>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</si>
  <si>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</si>
  <si>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</si>
  <si>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</si>
  <si>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</si>
  <si>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</si>
  <si>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</si>
  <si>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</si>
  <si>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EMMANUEL DE LOS SANTOS</t>
  </si>
  <si>
    <t>x`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</si>
  <si>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</si>
  <si>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</si>
  <si>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</si>
  <si>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</si>
  <si>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</si>
  <si>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</si>
  <si>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</si>
  <si>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</si>
  <si>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</si>
  <si>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</si>
  <si>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</si>
  <si>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</si>
  <si>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</si>
  <si>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</si>
  <si>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</si>
  <si>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</si>
  <si>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</si>
  <si>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</si>
  <si>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</si>
  <si>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</si>
  <si>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</si>
  <si>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</si>
  <si>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</si>
  <si>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</si>
  <si>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</si>
  <si>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</si>
  <si>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</si>
  <si>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</si>
  <si>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</si>
  <si>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</si>
  <si>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</si>
  <si>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</si>
  <si>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</si>
  <si>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</si>
  <si>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</si>
  <si>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</si>
  <si>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</si>
  <si>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</si>
  <si>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</si>
  <si>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</si>
  <si>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</si>
  <si>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</si>
  <si>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</si>
  <si>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</si>
  <si>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</si>
  <si>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</si>
  <si>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</si>
  <si>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</si>
  <si>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</si>
  <si>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Fountan Rock Mine</t>
  </si>
  <si>
    <t>20% OFF</t>
  </si>
  <si>
    <t>TELLEZ (ALEX)</t>
  </si>
  <si>
    <t>15% OFF</t>
  </si>
  <si>
    <t>WALL PANEL</t>
  </si>
  <si>
    <t>WALL PANEL FAB</t>
  </si>
  <si>
    <t xml:space="preserve">HONEY ONIX RUSTIC </t>
  </si>
  <si>
    <t>GREEN TALAN RUSTIC ROCK</t>
  </si>
  <si>
    <t>WHITE ONIX RUSTIC ROCK</t>
  </si>
  <si>
    <t>GREEN TALAN RUSTIC ROCK SET</t>
  </si>
  <si>
    <t>BULBS</t>
  </si>
  <si>
    <t>SMALL PIECES (GIFTSTORE)</t>
  </si>
  <si>
    <t>SELENITE PENDANT CILINDER</t>
  </si>
  <si>
    <t>BT325003MDH</t>
  </si>
  <si>
    <t>SELENITE LAMPS</t>
  </si>
  <si>
    <t>BT325004XE</t>
  </si>
  <si>
    <t>PINK SER RUSTIC FTN</t>
  </si>
  <si>
    <t>BLACK ZEBRA FTN</t>
  </si>
  <si>
    <t>BROWN ONIX FTN</t>
  </si>
  <si>
    <t>AQUA SER FTN</t>
  </si>
  <si>
    <t>TEHUA FTN</t>
  </si>
  <si>
    <t>BLACK MAR RD COASTER SET</t>
  </si>
  <si>
    <t>PINK MAR RD COASTER PIECES</t>
  </si>
  <si>
    <t>WHITE MAR RD COASTE PIECES</t>
  </si>
  <si>
    <t>WHITE MAR RD COASTE SET</t>
  </si>
  <si>
    <t>RED TRAV RD COASTER SET</t>
  </si>
  <si>
    <t>GREY MAR RD COASTER SET</t>
  </si>
  <si>
    <t>AQUA SERP REC  MIRROR</t>
  </si>
  <si>
    <t>TEHUA GREY REC MIRROR</t>
  </si>
  <si>
    <t>CRISTALINO REC MIRROR</t>
  </si>
  <si>
    <t>CRISTALINO CANOE</t>
  </si>
  <si>
    <t>CRISTALINO AMBER CANOE</t>
  </si>
  <si>
    <t>CRISTALINO GREEN CANOE</t>
  </si>
  <si>
    <t>CRISTALINO COL</t>
  </si>
  <si>
    <t>CRISTALINO POL</t>
  </si>
  <si>
    <t>CRIS AMBAR POL</t>
  </si>
  <si>
    <t>210/26/2025</t>
  </si>
  <si>
    <t>EAGLE SCULPTURE</t>
  </si>
  <si>
    <t>GS82525M</t>
  </si>
  <si>
    <t>GS82526M</t>
  </si>
  <si>
    <t>GS82527F</t>
  </si>
  <si>
    <t>GS82528F</t>
  </si>
  <si>
    <t>GS82529F</t>
  </si>
  <si>
    <t>TE825ODNX</t>
  </si>
  <si>
    <t>ORANGE FOUNTAIN ROCK</t>
  </si>
  <si>
    <t>220*50</t>
  </si>
  <si>
    <t>220*80</t>
  </si>
  <si>
    <t>180*60</t>
  </si>
  <si>
    <t>200*60</t>
  </si>
  <si>
    <t>180*68</t>
  </si>
  <si>
    <t>180*76</t>
  </si>
  <si>
    <t>150*60</t>
  </si>
  <si>
    <t>140*70</t>
  </si>
  <si>
    <t>CANOE</t>
  </si>
  <si>
    <t>PLATE</t>
  </si>
  <si>
    <t>MARIA LUISA / JAIR</t>
  </si>
  <si>
    <t>COL ONYX ICE</t>
  </si>
  <si>
    <t>MNE</t>
  </si>
  <si>
    <t>OFX</t>
  </si>
  <si>
    <t>TEHUACAN FOUNTAIN ROCK</t>
  </si>
  <si>
    <t>PINK SERP REC MIRROR</t>
  </si>
  <si>
    <t>AQUA SERP RECT MIRROR</t>
  </si>
  <si>
    <t>CRIS GREY AMBAR REC MIRROR</t>
  </si>
  <si>
    <t>CRIS AMBER RECT MIRROR</t>
  </si>
  <si>
    <t>CRIS REC MIRROR</t>
  </si>
  <si>
    <t>PINK SERP RD MIRROR</t>
  </si>
  <si>
    <t>AQUA SERP RD MIRROR</t>
  </si>
  <si>
    <t>CRISS DIAMOND TABLE</t>
  </si>
  <si>
    <t>CALCITE WALL PANEL</t>
  </si>
  <si>
    <t>GREEN CRIS CANOE</t>
  </si>
  <si>
    <t>AN</t>
  </si>
  <si>
    <t>ANGEL CABRERA</t>
  </si>
  <si>
    <t xml:space="preserve">SPHERE FOUNTAIN </t>
  </si>
  <si>
    <t>CACTUS SET (4) PCS</t>
  </si>
  <si>
    <t>GREEN TALAN FTR</t>
  </si>
  <si>
    <t>XDE</t>
  </si>
  <si>
    <t>TEHUA GREEN/ORANGE SOL C/T</t>
  </si>
  <si>
    <t>TEHUA GRREN ORANGE SOL O/T</t>
  </si>
  <si>
    <t>TEHUA GREEN ORANGE SOL O/T</t>
  </si>
  <si>
    <t xml:space="preserve">TEHUA GREEN ORANGE SOL </t>
  </si>
  <si>
    <t>TEHUA GREEN ORANGE SOL</t>
  </si>
  <si>
    <t>AMBER SOL</t>
  </si>
  <si>
    <t>ICE COL</t>
  </si>
  <si>
    <t>BLUE CALCITE MIRROR</t>
  </si>
  <si>
    <t>TALAN SOL</t>
  </si>
  <si>
    <t>GOLD ONYX SOL</t>
  </si>
  <si>
    <t>PYRAMID RED SOL</t>
  </si>
  <si>
    <t>FLORITE PANEL 2 PCS SET</t>
  </si>
  <si>
    <t>ZEBRA TABLE</t>
  </si>
  <si>
    <t xml:space="preserve">error en </t>
  </si>
  <si>
    <t>truck 3</t>
  </si>
  <si>
    <t>CRISTALINO GREY SOL</t>
  </si>
  <si>
    <t>AQUA SERP COL</t>
  </si>
  <si>
    <t>AQUA SERP POL</t>
  </si>
  <si>
    <t>GREEN CRIS POL</t>
  </si>
  <si>
    <t>CRISTALINO RD MIRROR</t>
  </si>
  <si>
    <t>CRIS VEIN PANEL</t>
  </si>
  <si>
    <t>GREEN TALAN RUSTIC ROCK (5)</t>
  </si>
  <si>
    <t>GREEN TALAN RUSTIC ROCK (4)</t>
  </si>
  <si>
    <t>FLORITE BUTERFLY PANEL 2 PCS SET</t>
  </si>
  <si>
    <t>GREEN TALAN TORSO SCULPURE</t>
  </si>
  <si>
    <t>HONEY ONIX TORSO SCULPTURE</t>
  </si>
  <si>
    <t>WHITE ONIX TORSO SCULPTURE</t>
  </si>
  <si>
    <t>GREEN TALAN W/BLACK BASE SCULPTURE</t>
  </si>
  <si>
    <t>TEHUA BUTERLY PANEL 2 PCS SET</t>
  </si>
  <si>
    <t>AQUA SERP. BUTERFLY PANEL 2 PCS SET</t>
  </si>
  <si>
    <t>ROBERTO HERNANDEZ</t>
  </si>
  <si>
    <t>HORSES PANEL</t>
  </si>
  <si>
    <t>ELK PANEL</t>
  </si>
  <si>
    <t>MOUNTANIEER PANEL</t>
  </si>
  <si>
    <t>FLORITE SOL C/T</t>
  </si>
  <si>
    <t>FLORITE CUBE</t>
  </si>
  <si>
    <t>ORANGE ONIX SOL</t>
  </si>
  <si>
    <t>PINK SERP SOL</t>
  </si>
  <si>
    <t>green talan rustick fountain</t>
  </si>
  <si>
    <t>NUBE COL</t>
  </si>
  <si>
    <t>GREEN TALAN COL</t>
  </si>
  <si>
    <t>PINK COL</t>
  </si>
  <si>
    <t>ICE POL</t>
  </si>
  <si>
    <t>ACQUA POL</t>
  </si>
  <si>
    <t>PINK POL</t>
  </si>
  <si>
    <t>AQUA POL</t>
  </si>
  <si>
    <t>AQUA CUBE POL</t>
  </si>
  <si>
    <t>AQUA COL</t>
  </si>
  <si>
    <t>LALO TELLEZ</t>
  </si>
  <si>
    <t>tehuacan sol</t>
  </si>
  <si>
    <t>honey onix sol</t>
  </si>
  <si>
    <t>cloud onix  sol</t>
  </si>
  <si>
    <t>cloud onix sol</t>
  </si>
  <si>
    <t>serpentine onix sol</t>
  </si>
  <si>
    <t>white san luis sol</t>
  </si>
  <si>
    <t>blue onix sol</t>
  </si>
  <si>
    <t>red onix sol</t>
  </si>
  <si>
    <t>black/white onix sol</t>
  </si>
  <si>
    <t>grey onix sol</t>
  </si>
  <si>
    <t>white san luis col</t>
  </si>
  <si>
    <t>red onix col</t>
  </si>
  <si>
    <t>serpentine onix col</t>
  </si>
  <si>
    <t>amber onx col</t>
  </si>
  <si>
    <t>white san luis cube w/base</t>
  </si>
  <si>
    <t>cloud onix sol c/top</t>
  </si>
  <si>
    <t>red onix sol c/top</t>
  </si>
  <si>
    <t>tehuacan sol c/top</t>
  </si>
  <si>
    <t>black/white onix sol c/top</t>
  </si>
  <si>
    <t>black/white onix sol w/top</t>
  </si>
  <si>
    <t>pink serpentine sol c/top</t>
  </si>
  <si>
    <t>honey onix sol c/top</t>
  </si>
  <si>
    <t>multicolor onix sol c/top</t>
  </si>
  <si>
    <t>black white onix sol c/top</t>
  </si>
  <si>
    <t>ET</t>
  </si>
  <si>
    <t>SQM PRICE</t>
  </si>
  <si>
    <t>SQCM</t>
  </si>
  <si>
    <t>TEHUACAN GREY COL</t>
  </si>
  <si>
    <t>TEHUACAN GREY POL</t>
  </si>
  <si>
    <t>SELENITE CILINDERS</t>
  </si>
  <si>
    <t>PEARL ONIX CANOE</t>
  </si>
  <si>
    <t>MFM</t>
  </si>
  <si>
    <t>OXN</t>
  </si>
  <si>
    <t xml:space="preserve">PEARL ONIX PANEL </t>
  </si>
  <si>
    <t>NXX</t>
  </si>
  <si>
    <t>MXDL</t>
  </si>
  <si>
    <t>XFM</t>
  </si>
  <si>
    <t>MHA</t>
  </si>
  <si>
    <t>ODF</t>
  </si>
  <si>
    <t>PEARL ONIX BOWL</t>
  </si>
  <si>
    <t>FXN</t>
  </si>
  <si>
    <t>MDXE</t>
  </si>
  <si>
    <t>HHX</t>
  </si>
  <si>
    <t>LOD</t>
  </si>
  <si>
    <t>PEARL ONIX PANEL</t>
  </si>
  <si>
    <t>MNAX</t>
  </si>
  <si>
    <t>OFFL</t>
  </si>
  <si>
    <t>MEEL</t>
  </si>
  <si>
    <t>OMFA</t>
  </si>
  <si>
    <t>Column2</t>
  </si>
  <si>
    <t>SQM DSC</t>
  </si>
  <si>
    <t>LAMP</t>
  </si>
  <si>
    <t>ACQUA</t>
  </si>
  <si>
    <t>HIELO GRIS</t>
  </si>
  <si>
    <t>VERDE TALAN</t>
  </si>
  <si>
    <t>number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</si>
  <si>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</si>
  <si>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</si>
  <si>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</si>
  <si>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</si>
  <si>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</si>
  <si>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</si>
  <si>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</si>
  <si>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</si>
  <si>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</si>
  <si>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</si>
  <si>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POL ONYX ICE</t>
  </si>
  <si>
    <t>PALLETS AND CRATES</t>
  </si>
  <si>
    <t>SIMONA</t>
  </si>
  <si>
    <t>PAID</t>
  </si>
  <si>
    <t>TBP</t>
  </si>
  <si>
    <t>\</t>
  </si>
  <si>
    <t>VENDOR</t>
  </si>
  <si>
    <t>ITEM</t>
  </si>
  <si>
    <t>DESCTIPTION</t>
  </si>
  <si>
    <t>L CM</t>
  </si>
  <si>
    <t>$MSN IN</t>
  </si>
  <si>
    <t>$MXN OUT</t>
  </si>
  <si>
    <t>TOTAL $</t>
  </si>
  <si>
    <t>H "</t>
  </si>
  <si>
    <t>W"</t>
  </si>
  <si>
    <t>D"</t>
  </si>
  <si>
    <t>$USD</t>
  </si>
  <si>
    <t>simona</t>
  </si>
  <si>
    <t xml:space="preserve">crates </t>
  </si>
  <si>
    <t>GE. ET.RF, EM</t>
  </si>
  <si>
    <t>crates w divisions</t>
  </si>
  <si>
    <t>crates</t>
  </si>
  <si>
    <t>EM. GE</t>
  </si>
  <si>
    <t>CRATES</t>
  </si>
  <si>
    <t>PALETS</t>
  </si>
  <si>
    <t>SUPPLIES</t>
  </si>
  <si>
    <t>TOTAL IN</t>
  </si>
  <si>
    <t>TOTAL OUT</t>
  </si>
  <si>
    <t>atm</t>
  </si>
  <si>
    <t>withdrawal</t>
  </si>
  <si>
    <t>warehouse</t>
  </si>
  <si>
    <t>rent</t>
  </si>
  <si>
    <t>september</t>
  </si>
  <si>
    <t>october</t>
  </si>
  <si>
    <t xml:space="preserve">personal </t>
  </si>
  <si>
    <t>advance</t>
  </si>
  <si>
    <t>house</t>
  </si>
  <si>
    <t xml:space="preserve"> </t>
  </si>
  <si>
    <t>delfino</t>
  </si>
  <si>
    <t xml:space="preserve">fountain rock </t>
  </si>
  <si>
    <t>cash</t>
  </si>
  <si>
    <t>palets</t>
  </si>
  <si>
    <t>fountain</t>
  </si>
  <si>
    <t xml:space="preserve">simona </t>
  </si>
  <si>
    <t>emmanuel</t>
  </si>
  <si>
    <t xml:space="preserve">angel </t>
  </si>
  <si>
    <t>cactus set</t>
  </si>
  <si>
    <t>advance 50%</t>
  </si>
  <si>
    <t>forklift</t>
  </si>
  <si>
    <t>service</t>
  </si>
  <si>
    <t>filling truck</t>
  </si>
  <si>
    <t>paymenths + food</t>
  </si>
  <si>
    <t xml:space="preserve">house </t>
  </si>
  <si>
    <t xml:space="preserve">rent </t>
  </si>
  <si>
    <t xml:space="preserve">advance  </t>
  </si>
  <si>
    <t xml:space="preserve">warehose </t>
  </si>
  <si>
    <t>november</t>
  </si>
  <si>
    <t>ATM</t>
  </si>
  <si>
    <t>la cantera</t>
  </si>
  <si>
    <t>simonaa</t>
  </si>
  <si>
    <t>angel</t>
  </si>
  <si>
    <t>december</t>
  </si>
  <si>
    <t>electricity</t>
  </si>
  <si>
    <t xml:space="preserve">bank </t>
  </si>
  <si>
    <t>account fee</t>
  </si>
  <si>
    <t>oct- nov</t>
  </si>
  <si>
    <t>gasoline</t>
  </si>
  <si>
    <t>3 tiquets</t>
  </si>
  <si>
    <t xml:space="preserve">delivery </t>
  </si>
  <si>
    <t>packing</t>
  </si>
  <si>
    <t>internet</t>
  </si>
  <si>
    <t xml:space="preserve">stickers </t>
  </si>
  <si>
    <t>TRUCK</t>
  </si>
  <si>
    <t>food + workers</t>
  </si>
  <si>
    <t xml:space="preserve">BBWA martha </t>
  </si>
  <si>
    <t>wire recibed</t>
  </si>
  <si>
    <t>warehouse rent</t>
  </si>
  <si>
    <t>january</t>
  </si>
  <si>
    <t>green talan rock</t>
  </si>
  <si>
    <t>delivery</t>
  </si>
  <si>
    <t>nov-dec</t>
  </si>
  <si>
    <t xml:space="preserve">banck account  </t>
  </si>
  <si>
    <t>fee</t>
  </si>
  <si>
    <t>dec</t>
  </si>
  <si>
    <t xml:space="preserve">exxpenses </t>
  </si>
  <si>
    <t>cardboard</t>
  </si>
  <si>
    <t>polifon, tape</t>
  </si>
  <si>
    <t>packing supplies</t>
  </si>
  <si>
    <t>straps truck</t>
  </si>
  <si>
    <t>jan</t>
  </si>
  <si>
    <t>trip to puebla</t>
  </si>
  <si>
    <t>send pakage</t>
  </si>
  <si>
    <t>fedex</t>
  </si>
  <si>
    <t xml:space="preserve">warehouse  </t>
  </si>
  <si>
    <t xml:space="preserve">warehouse </t>
  </si>
  <si>
    <t xml:space="preserve">house rent </t>
  </si>
  <si>
    <t xml:space="preserve">advance </t>
  </si>
  <si>
    <t>feb</t>
  </si>
  <si>
    <t xml:space="preserve">bank account </t>
  </si>
  <si>
    <t>TRK4</t>
  </si>
  <si>
    <t>TUCSON</t>
  </si>
  <si>
    <t>date</t>
  </si>
  <si>
    <t>Description</t>
  </si>
  <si>
    <t>Tag - ID with LC</t>
  </si>
  <si>
    <t>AQ CODE</t>
  </si>
  <si>
    <t>Quantity</t>
  </si>
  <si>
    <t>Weight KG</t>
  </si>
  <si>
    <t>length in CM</t>
  </si>
  <si>
    <t>Width in CM</t>
  </si>
  <si>
    <t xml:space="preserve">Depth in </t>
  </si>
  <si>
    <t>Per piece Pesos</t>
  </si>
  <si>
    <t>Total in Pesos</t>
  </si>
  <si>
    <t>pounds</t>
  </si>
  <si>
    <t>Height in Inches</t>
  </si>
  <si>
    <t>Width in inches</t>
  </si>
  <si>
    <t>Depth in Inches</t>
  </si>
  <si>
    <t>Per Piece US$</t>
  </si>
  <si>
    <t>Total in US$ Dollars</t>
  </si>
  <si>
    <t>AM82501LLE</t>
  </si>
  <si>
    <t>LLE</t>
  </si>
  <si>
    <t>HFE</t>
  </si>
  <si>
    <t>AM82502FEX</t>
  </si>
  <si>
    <t>FEX</t>
  </si>
  <si>
    <t>EXA</t>
  </si>
  <si>
    <t>AM82503FOD</t>
  </si>
  <si>
    <t>FOD</t>
  </si>
  <si>
    <t>EMH</t>
  </si>
  <si>
    <t>AM82504FLL</t>
  </si>
  <si>
    <t>FLL</t>
  </si>
  <si>
    <t>EHF</t>
  </si>
  <si>
    <t>AM82505FLO</t>
  </si>
  <si>
    <t>FLO</t>
  </si>
  <si>
    <t>EHH</t>
  </si>
  <si>
    <t>AM82506FAH</t>
  </si>
  <si>
    <t>FAH</t>
  </si>
  <si>
    <t>ELD</t>
  </si>
  <si>
    <t>AM82507LEA</t>
  </si>
  <si>
    <t>LEA</t>
  </si>
  <si>
    <t>HFD</t>
  </si>
  <si>
    <t>AM82508FOH</t>
  </si>
  <si>
    <t>FOH</t>
  </si>
  <si>
    <t>EMF</t>
  </si>
  <si>
    <t>AM82509FAH</t>
  </si>
  <si>
    <t>AM82510FAH</t>
  </si>
  <si>
    <t>AM82511FHN</t>
  </si>
  <si>
    <t>FHN</t>
  </si>
  <si>
    <t>EXE</t>
  </si>
  <si>
    <t>AM82512FHM</t>
  </si>
  <si>
    <t>FHM</t>
  </si>
  <si>
    <t>EON</t>
  </si>
  <si>
    <t>RF82501MEE</t>
  </si>
  <si>
    <t>MEE</t>
  </si>
  <si>
    <t>MMM</t>
  </si>
  <si>
    <t>RF82502ODD</t>
  </si>
  <si>
    <t>ODD</t>
  </si>
  <si>
    <t>MHX</t>
  </si>
  <si>
    <t>RF82503ODH</t>
  </si>
  <si>
    <t>ODH</t>
  </si>
  <si>
    <t>MHL</t>
  </si>
  <si>
    <t>RF82504XLD</t>
  </si>
  <si>
    <t>XLD</t>
  </si>
  <si>
    <t>OEF</t>
  </si>
  <si>
    <t>RF82505XAH</t>
  </si>
  <si>
    <t>XAH</t>
  </si>
  <si>
    <t>OFH</t>
  </si>
  <si>
    <t>RF82506HDL</t>
  </si>
  <si>
    <t>HDL</t>
  </si>
  <si>
    <t>OND</t>
  </si>
  <si>
    <t>RF82507XMH</t>
  </si>
  <si>
    <t>XMH</t>
  </si>
  <si>
    <t>OOH</t>
  </si>
  <si>
    <t>RF82508XDH</t>
  </si>
  <si>
    <t>XDH</t>
  </si>
  <si>
    <t>OMF</t>
  </si>
  <si>
    <t>RF82509OFH</t>
  </si>
  <si>
    <t>MNL</t>
  </si>
  <si>
    <t>EM82592XNL</t>
  </si>
  <si>
    <t>XNL</t>
  </si>
  <si>
    <t>OAX</t>
  </si>
  <si>
    <t>EM82593XNL</t>
  </si>
  <si>
    <t>EM82594XOL</t>
  </si>
  <si>
    <t>XOL</t>
  </si>
  <si>
    <t>OXX</t>
  </si>
  <si>
    <t>EM82595OLE</t>
  </si>
  <si>
    <t>MAN</t>
  </si>
  <si>
    <t>EM82596OMA</t>
  </si>
  <si>
    <t>MEL</t>
  </si>
  <si>
    <t>EM82597HND</t>
  </si>
  <si>
    <t>HND</t>
  </si>
  <si>
    <t>XED</t>
  </si>
  <si>
    <t>EM82598HMX</t>
  </si>
  <si>
    <t>HMX</t>
  </si>
  <si>
    <t>ONE</t>
  </si>
  <si>
    <t>EM82599XOL</t>
  </si>
  <si>
    <t>EM825100LOX</t>
  </si>
  <si>
    <t>LOX</t>
  </si>
  <si>
    <t>HHE</t>
  </si>
  <si>
    <t>EM825101EHE</t>
  </si>
  <si>
    <t>EHE</t>
  </si>
  <si>
    <t>XAN</t>
  </si>
  <si>
    <t>EM825102XED</t>
  </si>
  <si>
    <t>OED</t>
  </si>
  <si>
    <t>EM825103MEA</t>
  </si>
  <si>
    <t>MEA</t>
  </si>
  <si>
    <t>MMX</t>
  </si>
  <si>
    <t>EM825104ELD</t>
  </si>
  <si>
    <t>HDD</t>
  </si>
  <si>
    <t>EM825105HHH</t>
  </si>
  <si>
    <t>HHH</t>
  </si>
  <si>
    <t>XMF</t>
  </si>
  <si>
    <t>EM825106HMN</t>
  </si>
  <si>
    <t>HMN</t>
  </si>
  <si>
    <t>ONN</t>
  </si>
  <si>
    <t>EM825107HDE</t>
  </si>
  <si>
    <t>HDE</t>
  </si>
  <si>
    <t>OAN</t>
  </si>
  <si>
    <t>EM825108XNO</t>
  </si>
  <si>
    <t>XNO</t>
  </si>
  <si>
    <t>OAD</t>
  </si>
  <si>
    <t>EM825109XEX</t>
  </si>
  <si>
    <t>XEX</t>
  </si>
  <si>
    <t>OEO</t>
  </si>
  <si>
    <t>EM825110XHD</t>
  </si>
  <si>
    <t>XHD</t>
  </si>
  <si>
    <t>OHX</t>
  </si>
  <si>
    <t>EM825111XMH</t>
  </si>
  <si>
    <t>EM825112EN</t>
  </si>
  <si>
    <t>EN</t>
  </si>
  <si>
    <t>HO</t>
  </si>
  <si>
    <t>EM825113XO</t>
  </si>
  <si>
    <t>XO</t>
  </si>
  <si>
    <t>OX</t>
  </si>
  <si>
    <t>EM825114XH</t>
  </si>
  <si>
    <t>XH</t>
  </si>
  <si>
    <t>OH</t>
  </si>
  <si>
    <t>EM825115XNL</t>
  </si>
  <si>
    <t>EM825116XOL</t>
  </si>
  <si>
    <t xml:space="preserve">CRIS VEIN PANEL </t>
  </si>
  <si>
    <t>EM825117HXD</t>
  </si>
  <si>
    <t>HXD</t>
  </si>
  <si>
    <t>XDF</t>
  </si>
  <si>
    <t>JM825101OFX</t>
  </si>
  <si>
    <t>JM825102OXN</t>
  </si>
  <si>
    <t>JM825103XDE</t>
  </si>
  <si>
    <t>JM825104OXN</t>
  </si>
  <si>
    <t>JM825105MXDL</t>
  </si>
  <si>
    <t>JM825106XFM</t>
  </si>
  <si>
    <t>JM825107ODF</t>
  </si>
  <si>
    <t>JM825108MDXE</t>
  </si>
  <si>
    <t>JM825109LOD</t>
  </si>
  <si>
    <t>JM825110OFFL</t>
  </si>
  <si>
    <t>JM825111OMFA</t>
  </si>
  <si>
    <t>JM825112OMFA</t>
  </si>
  <si>
    <t>ML82508XN</t>
  </si>
  <si>
    <t>XN</t>
  </si>
  <si>
    <t>OA</t>
  </si>
  <si>
    <t>ML82509EN</t>
  </si>
  <si>
    <t>ML82510XL</t>
  </si>
  <si>
    <t>XL</t>
  </si>
  <si>
    <t>OL</t>
  </si>
  <si>
    <t>ML82511XL</t>
  </si>
  <si>
    <t>ML82512OO</t>
  </si>
  <si>
    <t>OO</t>
  </si>
  <si>
    <t>ML82513AH</t>
  </si>
  <si>
    <t>AH</t>
  </si>
  <si>
    <t>LD</t>
  </si>
  <si>
    <t>ML82514LO</t>
  </si>
  <si>
    <t>LO</t>
  </si>
  <si>
    <t>HH</t>
  </si>
  <si>
    <t>ML82515FA</t>
  </si>
  <si>
    <t>FA</t>
  </si>
  <si>
    <t>EL</t>
  </si>
  <si>
    <t>ML82516MDM</t>
  </si>
  <si>
    <t>MDM</t>
  </si>
  <si>
    <t>FO</t>
  </si>
  <si>
    <t>ML82517AH</t>
  </si>
  <si>
    <t>ML82518EN</t>
  </si>
  <si>
    <t>ML82519LO</t>
  </si>
  <si>
    <t>ML82520XN</t>
  </si>
  <si>
    <t>ML82521ED</t>
  </si>
  <si>
    <t>ED</t>
  </si>
  <si>
    <t>ML82522EN</t>
  </si>
  <si>
    <t>ML82523EF</t>
  </si>
  <si>
    <t>EF</t>
  </si>
  <si>
    <t>HM</t>
  </si>
  <si>
    <t>ML82524HX</t>
  </si>
  <si>
    <t>HX</t>
  </si>
  <si>
    <t>XM</t>
  </si>
  <si>
    <t>ML82525EN</t>
  </si>
  <si>
    <t>ML82526XN</t>
  </si>
  <si>
    <t>ML82527XN</t>
  </si>
  <si>
    <t>ML82528ME</t>
  </si>
  <si>
    <t>ME</t>
  </si>
  <si>
    <t>ML82529MH</t>
  </si>
  <si>
    <t>MH</t>
  </si>
  <si>
    <t>MD</t>
  </si>
  <si>
    <t>ML82530MH</t>
  </si>
  <si>
    <t>ML82531XM</t>
  </si>
  <si>
    <t>ML82532OH</t>
  </si>
  <si>
    <t>MF</t>
  </si>
  <si>
    <t>ML82533OM</t>
  </si>
  <si>
    <t>OM</t>
  </si>
  <si>
    <t>ML82534MF</t>
  </si>
  <si>
    <t>MO</t>
  </si>
  <si>
    <t>ML82535OE</t>
  </si>
  <si>
    <t>OE</t>
  </si>
  <si>
    <t>MA</t>
  </si>
  <si>
    <t>ML82536XL</t>
  </si>
  <si>
    <t>ML82537XO</t>
  </si>
  <si>
    <t>ML82538ME</t>
  </si>
  <si>
    <t>ML82539MF</t>
  </si>
  <si>
    <t>ML82540MF</t>
  </si>
  <si>
    <t>ML82541LF</t>
  </si>
  <si>
    <t>LF</t>
  </si>
  <si>
    <t>HA</t>
  </si>
  <si>
    <t>ML82542NM</t>
  </si>
  <si>
    <t>NM</t>
  </si>
  <si>
    <t>LE</t>
  </si>
  <si>
    <t>ML82543LO</t>
  </si>
  <si>
    <t>ML82544HN</t>
  </si>
  <si>
    <t>HN</t>
  </si>
  <si>
    <t>XE</t>
  </si>
  <si>
    <t>ML82545XN</t>
  </si>
  <si>
    <t>ML82546XN</t>
  </si>
  <si>
    <t>ML82547EN</t>
  </si>
  <si>
    <t>ML82548ME</t>
  </si>
  <si>
    <t>ACQUA SQ POL</t>
  </si>
  <si>
    <t>ML82549OH</t>
  </si>
  <si>
    <t>ML82550OM</t>
  </si>
  <si>
    <t>HIELO GRIS SQ POL</t>
  </si>
  <si>
    <t>ML82551OD</t>
  </si>
  <si>
    <t>OD</t>
  </si>
  <si>
    <t>ML82552OO</t>
  </si>
  <si>
    <t>ML82553MH</t>
  </si>
  <si>
    <t>VERDE TALAN SQ POL</t>
  </si>
  <si>
    <t>ML82554OO</t>
  </si>
  <si>
    <t>ML82555OD</t>
  </si>
  <si>
    <t>TE82527MMXF</t>
  </si>
  <si>
    <t>MMXF</t>
  </si>
  <si>
    <t>AMO</t>
  </si>
  <si>
    <t>TE82528OHAL</t>
  </si>
  <si>
    <t>OHAL</t>
  </si>
  <si>
    <t>MFFL</t>
  </si>
  <si>
    <t>TE82529HEL</t>
  </si>
  <si>
    <t>HEL</t>
  </si>
  <si>
    <t>TE82530OMDN</t>
  </si>
  <si>
    <t>OMDN</t>
  </si>
  <si>
    <t>MEDL</t>
  </si>
  <si>
    <t>TE82531MNO</t>
  </si>
  <si>
    <t>MNO</t>
  </si>
  <si>
    <t>MXF</t>
  </si>
  <si>
    <t>TE82532MNO</t>
  </si>
  <si>
    <t>TE82533MHL</t>
  </si>
  <si>
    <t>MDH</t>
  </si>
  <si>
    <t>TE82534MHL</t>
  </si>
  <si>
    <t>TE82535NF</t>
  </si>
  <si>
    <t>NF</t>
  </si>
  <si>
    <t>LN</t>
  </si>
  <si>
    <t>TE82536LEE</t>
  </si>
  <si>
    <t>LEE</t>
  </si>
  <si>
    <t>HLA</t>
  </si>
  <si>
    <t>TE82537MXML</t>
  </si>
  <si>
    <t>MXML</t>
  </si>
  <si>
    <t>NHD</t>
  </si>
  <si>
    <t>TE82538OLXO</t>
  </si>
  <si>
    <t>OLXO</t>
  </si>
  <si>
    <t>MAAD</t>
  </si>
  <si>
    <t>GE82515ED</t>
  </si>
  <si>
    <t>GE82516HM</t>
  </si>
  <si>
    <t>ON</t>
  </si>
  <si>
    <t>GE82517HO</t>
  </si>
  <si>
    <t>XD</t>
  </si>
  <si>
    <t>GE82518XA</t>
  </si>
  <si>
    <t>XA</t>
  </si>
  <si>
    <t>OF</t>
  </si>
  <si>
    <t>GE82519XO</t>
  </si>
  <si>
    <t>GE82520OA</t>
  </si>
  <si>
    <t>GE82521MDL</t>
  </si>
  <si>
    <t>MDL</t>
  </si>
  <si>
    <t>FL</t>
  </si>
  <si>
    <t>GE82522NH</t>
  </si>
  <si>
    <t>NH</t>
  </si>
  <si>
    <t>GE82523LN</t>
  </si>
  <si>
    <t>GE82524OXA</t>
  </si>
  <si>
    <t>OXA</t>
  </si>
  <si>
    <t>MFD</t>
  </si>
  <si>
    <t>GE82525MEH</t>
  </si>
  <si>
    <t>MEH</t>
  </si>
  <si>
    <t>MMD</t>
  </si>
  <si>
    <t>GE82526MLE</t>
  </si>
  <si>
    <t>MLE</t>
  </si>
  <si>
    <t>MMA</t>
  </si>
  <si>
    <t>GE82527LL</t>
  </si>
  <si>
    <t>LL</t>
  </si>
  <si>
    <t>HF</t>
  </si>
  <si>
    <t>GE82528LX</t>
  </si>
  <si>
    <t>LX</t>
  </si>
  <si>
    <t>HE</t>
  </si>
  <si>
    <t>GE82529ED</t>
  </si>
  <si>
    <t>GE82530LD</t>
  </si>
  <si>
    <t>GE82531ED</t>
  </si>
  <si>
    <t>GE82532HM</t>
  </si>
  <si>
    <t>GE82533XO</t>
  </si>
  <si>
    <t>GE82534HM</t>
  </si>
  <si>
    <t>GE82535XO</t>
  </si>
  <si>
    <t>GE82536ED</t>
  </si>
  <si>
    <t>GE82537HM</t>
  </si>
  <si>
    <t>GE82538XO</t>
  </si>
  <si>
    <t>ET82501XN</t>
  </si>
  <si>
    <t>ET82502HE</t>
  </si>
  <si>
    <t>ET82503ED</t>
  </si>
  <si>
    <t>ET82504ED</t>
  </si>
  <si>
    <t>ET82505EL</t>
  </si>
  <si>
    <t>HD</t>
  </si>
  <si>
    <t>ET82506ED</t>
  </si>
  <si>
    <t>ET82507ED</t>
  </si>
  <si>
    <t>ET82508EN</t>
  </si>
  <si>
    <t>ET82509XN</t>
  </si>
  <si>
    <t>ET82510XN</t>
  </si>
  <si>
    <t>ET82511EN</t>
  </si>
  <si>
    <t>ET82512EL</t>
  </si>
  <si>
    <t>ET82513EL</t>
  </si>
  <si>
    <t>ET82514HE</t>
  </si>
  <si>
    <t>ET82515HE</t>
  </si>
  <si>
    <t>ET82516XN</t>
  </si>
  <si>
    <t>ET82517EL</t>
  </si>
  <si>
    <t>ET82518EN</t>
  </si>
  <si>
    <t>ET82519LN</t>
  </si>
  <si>
    <t>ET82520FH</t>
  </si>
  <si>
    <t>FH</t>
  </si>
  <si>
    <t>EX</t>
  </si>
  <si>
    <t>ET82521AD</t>
  </si>
  <si>
    <t>AD</t>
  </si>
  <si>
    <t>ET82522EN</t>
  </si>
  <si>
    <t>ET82523FH</t>
  </si>
  <si>
    <t>ET82524FH</t>
  </si>
  <si>
    <t>ET82525AD</t>
  </si>
  <si>
    <t>ET82526LN</t>
  </si>
  <si>
    <t>ET82527EN</t>
  </si>
  <si>
    <t>ET82528EN</t>
  </si>
  <si>
    <t>ET82529ED</t>
  </si>
  <si>
    <t>ET82530XN</t>
  </si>
  <si>
    <t>ET82531XN</t>
  </si>
  <si>
    <t>ET82532XN</t>
  </si>
  <si>
    <t>ET82533XN</t>
  </si>
  <si>
    <t>ET82534XN</t>
  </si>
  <si>
    <t>ET82535AE</t>
  </si>
  <si>
    <t>AE</t>
  </si>
  <si>
    <t>LM</t>
  </si>
  <si>
    <t>ET82536EL</t>
  </si>
  <si>
    <t>ET82537XN</t>
  </si>
  <si>
    <t>ET82538HE</t>
  </si>
  <si>
    <t>ET82539EL</t>
  </si>
  <si>
    <t>ET82540EN</t>
  </si>
  <si>
    <t>ET82541LN</t>
  </si>
  <si>
    <t>ET82542FH</t>
  </si>
  <si>
    <t>ET82543EN</t>
  </si>
  <si>
    <t>ET82544EN</t>
  </si>
  <si>
    <t>ET82545MHD</t>
  </si>
  <si>
    <t>MHD</t>
  </si>
  <si>
    <t>MDD</t>
  </si>
  <si>
    <t>ET82546MHA</t>
  </si>
  <si>
    <t>ET82547MOE</t>
  </si>
  <si>
    <t>MOE</t>
  </si>
  <si>
    <t>ET82548FD</t>
  </si>
  <si>
    <t>FD</t>
  </si>
  <si>
    <t>ET82549MOE</t>
  </si>
  <si>
    <t>ET82550MML</t>
  </si>
  <si>
    <t>MML</t>
  </si>
  <si>
    <t>AX</t>
  </si>
  <si>
    <t>ET82551MDM</t>
  </si>
  <si>
    <t>ET82552AE</t>
  </si>
  <si>
    <t>JM8255074OFX</t>
  </si>
  <si>
    <t>JM8255072OXN</t>
  </si>
  <si>
    <t>JM8255205XDE</t>
  </si>
  <si>
    <t>JM8254784MXDL</t>
  </si>
  <si>
    <t>BT82513AE</t>
  </si>
  <si>
    <t>TRK1</t>
  </si>
  <si>
    <t>TRK2</t>
  </si>
  <si>
    <t>TRK3</t>
  </si>
  <si>
    <t>v0128</t>
  </si>
  <si>
    <t>T SHIPPED</t>
  </si>
  <si>
    <r>
      <rPr>
        <b/>
        <sz val="18"/>
        <color theme="1"/>
        <rFont val="Atkinson Hyperlegible"/>
      </rPr>
      <t>DELFINO</t>
    </r>
    <r>
      <rPr>
        <sz val="18"/>
        <color theme="1"/>
        <rFont val="Atkinson Hyperlegible"/>
      </rPr>
      <t xml:space="preserve"> HERNANDEZ</t>
    </r>
  </si>
  <si>
    <r>
      <rPr>
        <b/>
        <sz val="18"/>
        <color theme="1"/>
        <rFont val="Atkinson Hyperlegible"/>
      </rPr>
      <t>EMMANUEL</t>
    </r>
    <r>
      <rPr>
        <sz val="18"/>
        <color theme="1"/>
        <rFont val="Atkinson Hyperlegible"/>
      </rPr>
      <t xml:space="preserve"> DE LOS SANTOS</t>
    </r>
  </si>
  <si>
    <t>FOUNTAIN ROCK</t>
  </si>
  <si>
    <r>
      <t xml:space="preserve">TELLEZ </t>
    </r>
    <r>
      <rPr>
        <sz val="18"/>
        <color theme="1"/>
        <rFont val="Atkinson Hyperlegible"/>
      </rPr>
      <t>GALERY</t>
    </r>
  </si>
  <si>
    <r>
      <t xml:space="preserve">GERARDO </t>
    </r>
    <r>
      <rPr>
        <sz val="18"/>
        <color theme="1"/>
        <rFont val="Atkinson Hyperlegible"/>
      </rPr>
      <t>DE GANTE</t>
    </r>
  </si>
  <si>
    <t>GIFT SHOP</t>
  </si>
  <si>
    <r>
      <rPr>
        <b/>
        <sz val="16"/>
        <color theme="1"/>
        <rFont val="Verdana"/>
        <family val="2"/>
      </rPr>
      <t>BERNARDO</t>
    </r>
    <r>
      <rPr>
        <sz val="16"/>
        <color theme="1"/>
        <rFont val="Verdana"/>
        <family val="2"/>
      </rPr>
      <t xml:space="preserve"> TELLEZ</t>
    </r>
  </si>
  <si>
    <t>PAYMENT DH</t>
  </si>
  <si>
    <t>BALANCE DH</t>
  </si>
  <si>
    <t>PAYMENT EM</t>
  </si>
  <si>
    <t>BALANCE EM</t>
  </si>
  <si>
    <t>PAYMEN FR</t>
  </si>
  <si>
    <t>BALANCE FR</t>
  </si>
  <si>
    <t>PAYMENT TE</t>
  </si>
  <si>
    <t>BALANCE TE</t>
  </si>
  <si>
    <t>PAYMENT GE</t>
  </si>
  <si>
    <t>BALANCE GE</t>
  </si>
  <si>
    <t>PAYMENT LH2</t>
  </si>
  <si>
    <t>BALANCE GS3</t>
  </si>
  <si>
    <t>PAYMENTBT</t>
  </si>
  <si>
    <t>BALANCEBT</t>
  </si>
  <si>
    <t>FROM DH</t>
  </si>
  <si>
    <t>FROM EM</t>
  </si>
  <si>
    <t>FROM TE</t>
  </si>
  <si>
    <t>FROM GE</t>
  </si>
  <si>
    <t>FROM GS</t>
  </si>
  <si>
    <t>FROM BT</t>
  </si>
  <si>
    <t>DIRECT WIRE</t>
  </si>
  <si>
    <t>07/30/2025</t>
  </si>
  <si>
    <t>CASH</t>
  </si>
  <si>
    <t>07/31/2025</t>
  </si>
  <si>
    <t>CASH W</t>
  </si>
  <si>
    <t>6/7/25</t>
  </si>
  <si>
    <t>IVA 10641.6</t>
  </si>
  <si>
    <t>8/13/25</t>
  </si>
  <si>
    <t>5/30/25</t>
  </si>
  <si>
    <t>6/18/25</t>
  </si>
  <si>
    <t>8/12/25</t>
  </si>
  <si>
    <t>CASH CHAD</t>
  </si>
  <si>
    <t>06/07/2025</t>
  </si>
  <si>
    <t>IVA 7674.40</t>
  </si>
  <si>
    <t>8/23/2025</t>
  </si>
  <si>
    <t>8/31/2025</t>
  </si>
  <si>
    <t>IVA 51814</t>
  </si>
  <si>
    <t>8/25/2025</t>
  </si>
  <si>
    <t>9/1/2025</t>
  </si>
  <si>
    <t>9/5/25</t>
  </si>
  <si>
    <t>IVA20809.12</t>
  </si>
  <si>
    <t>11/9/25</t>
  </si>
  <si>
    <t>10/30/25</t>
  </si>
  <si>
    <t>IVA 14880</t>
  </si>
  <si>
    <t>9/18/25</t>
  </si>
  <si>
    <t>12/10/25</t>
  </si>
  <si>
    <t>PAYMENT JM</t>
  </si>
  <si>
    <t>BALANCE JM</t>
  </si>
  <si>
    <t>FROM JM</t>
  </si>
  <si>
    <t>MARIA LUISA AND JAIR</t>
  </si>
  <si>
    <t>PAYMENT ML</t>
  </si>
  <si>
    <t>BALANCE ML</t>
  </si>
  <si>
    <t>PAYMENT ET</t>
  </si>
  <si>
    <t>BALANCE MT</t>
  </si>
  <si>
    <t>ALEJANDRO AND FANY MEZA</t>
  </si>
  <si>
    <t>PAYMENT AM</t>
  </si>
  <si>
    <t>BALANCE AM</t>
  </si>
  <si>
    <t>PAYMENT CP</t>
  </si>
  <si>
    <t>BALANCE CP</t>
  </si>
  <si>
    <t>IN WAREHOUSE</t>
  </si>
  <si>
    <t>VENDOR PAYMENT TRACKING</t>
  </si>
  <si>
    <t>FROM VENDOR SHEET</t>
  </si>
  <si>
    <t>USD MXN RATE</t>
  </si>
  <si>
    <t>SHIPPING RECORD</t>
  </si>
  <si>
    <t>TOTAL AQ MXN</t>
  </si>
  <si>
    <t>OOM</t>
  </si>
  <si>
    <t>OEM</t>
  </si>
  <si>
    <t>MFN</t>
  </si>
  <si>
    <t>MOX</t>
  </si>
  <si>
    <t>AA</t>
  </si>
  <si>
    <t>OMD</t>
  </si>
  <si>
    <t>MED</t>
  </si>
  <si>
    <t>ND</t>
  </si>
  <si>
    <t>OEX</t>
  </si>
  <si>
    <t>MAM</t>
  </si>
  <si>
    <t>MHF</t>
  </si>
  <si>
    <t>MDE</t>
  </si>
  <si>
    <t>MLD</t>
  </si>
  <si>
    <t>MLA</t>
  </si>
  <si>
    <t>MOD</t>
  </si>
  <si>
    <t>EM82520XNL</t>
  </si>
  <si>
    <t>EM82521XNL</t>
  </si>
  <si>
    <t>EM82522XNL</t>
  </si>
  <si>
    <t>EM82523XNL</t>
  </si>
  <si>
    <t>EM82524XNL</t>
  </si>
  <si>
    <t>EM82525XNL</t>
  </si>
  <si>
    <t>EM82526XNL</t>
  </si>
  <si>
    <t>EM82527XNL</t>
  </si>
  <si>
    <t>EM82528XNL</t>
  </si>
  <si>
    <t>EM82529XNL</t>
  </si>
  <si>
    <t>EM82530XNL</t>
  </si>
  <si>
    <t>EM82531XNL</t>
  </si>
  <si>
    <t>EM82532XOL</t>
  </si>
  <si>
    <t>EM82533XOL</t>
  </si>
  <si>
    <t>EM82534XOL</t>
  </si>
  <si>
    <t>EM82535XOL</t>
  </si>
  <si>
    <t>EM82536XOL</t>
  </si>
  <si>
    <t>EM82537XOL</t>
  </si>
  <si>
    <t>EM82538OLE</t>
  </si>
  <si>
    <t>EM82539OLE</t>
  </si>
  <si>
    <t>EM82540OLE</t>
  </si>
  <si>
    <t>EM82541OLE</t>
  </si>
  <si>
    <t>EM82542OLE</t>
  </si>
  <si>
    <t>EM82543EN</t>
  </si>
  <si>
    <t>EM82544ED</t>
  </si>
  <si>
    <t>EM82545HE</t>
  </si>
  <si>
    <t>EM82546XE</t>
  </si>
  <si>
    <t>EM82547ON</t>
  </si>
  <si>
    <t>EM82548XN</t>
  </si>
  <si>
    <t>EM82549XH</t>
  </si>
  <si>
    <t>EM82550XH</t>
  </si>
  <si>
    <t>EM82551XH</t>
  </si>
  <si>
    <t>EM82552XH</t>
  </si>
  <si>
    <t>EM82553ON</t>
  </si>
  <si>
    <t>EM82554ON</t>
  </si>
  <si>
    <t>EM82555ON</t>
  </si>
  <si>
    <t>EM82556OE</t>
  </si>
  <si>
    <t>EM82557OE</t>
  </si>
  <si>
    <t>EM82558OE</t>
  </si>
  <si>
    <t>EM82559XO</t>
  </si>
  <si>
    <t>EM82560XNL</t>
  </si>
  <si>
    <t>EM82561XNL</t>
  </si>
  <si>
    <t>EM82562XOL</t>
  </si>
  <si>
    <t>EM82563OLE</t>
  </si>
  <si>
    <t>EM82564OLE</t>
  </si>
  <si>
    <t>EM82565OLE</t>
  </si>
  <si>
    <t>EM82566OLE</t>
  </si>
  <si>
    <t>EM82567OLE</t>
  </si>
  <si>
    <t>EM82568EN</t>
  </si>
  <si>
    <t>EM82569XN</t>
  </si>
  <si>
    <t>EM82570XE</t>
  </si>
  <si>
    <t>EM82571ON</t>
  </si>
  <si>
    <t>EM82572XNL</t>
  </si>
  <si>
    <t>EM82573XOL</t>
  </si>
  <si>
    <t>EM82574OLE</t>
  </si>
  <si>
    <t>EM82575LOX</t>
  </si>
  <si>
    <t>TE82501MFMO</t>
  </si>
  <si>
    <t>MFMO</t>
  </si>
  <si>
    <t>MOOX</t>
  </si>
  <si>
    <t>TE82502MNMM</t>
  </si>
  <si>
    <t>MNMM</t>
  </si>
  <si>
    <t>MXLE</t>
  </si>
  <si>
    <t>TE82503MEED</t>
  </si>
  <si>
    <t>MEED</t>
  </si>
  <si>
    <t>MMDF</t>
  </si>
  <si>
    <t>TE82504MFXD</t>
  </si>
  <si>
    <t>MFXD</t>
  </si>
  <si>
    <t>MOXL</t>
  </si>
  <si>
    <t>TE82505MEFM</t>
  </si>
  <si>
    <t>MEFM</t>
  </si>
  <si>
    <t>MMOO</t>
  </si>
  <si>
    <t>TE82506MHMA</t>
  </si>
  <si>
    <t>MHMA</t>
  </si>
  <si>
    <t>MDMX</t>
  </si>
  <si>
    <t>TE82507LFN</t>
  </si>
  <si>
    <t>LFN</t>
  </si>
  <si>
    <t>HAE</t>
  </si>
  <si>
    <t>TE82508MEE</t>
  </si>
  <si>
    <t>TE82509MDE</t>
  </si>
  <si>
    <t>FE</t>
  </si>
  <si>
    <t>TE82510LN</t>
  </si>
  <si>
    <t>TE82513OAOA</t>
  </si>
  <si>
    <t>OAOA</t>
  </si>
  <si>
    <t>ODOD</t>
  </si>
  <si>
    <t>GE82501MNF</t>
  </si>
  <si>
    <t>MNF</t>
  </si>
  <si>
    <t>GE82502MFA</t>
  </si>
  <si>
    <t>MFA</t>
  </si>
  <si>
    <t>MDF</t>
  </si>
  <si>
    <t>GE82503MLD</t>
  </si>
  <si>
    <t>NL</t>
  </si>
  <si>
    <t>GE82504MHO</t>
  </si>
  <si>
    <t>MHO</t>
  </si>
  <si>
    <t>GE82505MMO</t>
  </si>
  <si>
    <t>MMO</t>
  </si>
  <si>
    <t>GE82506LD</t>
  </si>
  <si>
    <t>GE82507HA</t>
  </si>
  <si>
    <t>GE82508XA</t>
  </si>
  <si>
    <t>GE82509EE</t>
  </si>
  <si>
    <t>EE</t>
  </si>
  <si>
    <t>XX</t>
  </si>
  <si>
    <t>GE82510HE</t>
  </si>
  <si>
    <t>GE82511XOA</t>
  </si>
  <si>
    <t>XOA</t>
  </si>
  <si>
    <t>GE82512XA</t>
  </si>
  <si>
    <t>GE82513XX</t>
  </si>
  <si>
    <t>E</t>
  </si>
  <si>
    <t>X</t>
  </si>
  <si>
    <t>GS82516A</t>
  </si>
  <si>
    <t>A</t>
  </si>
  <si>
    <t>WHITE MAR RC COASTE SET</t>
  </si>
  <si>
    <t>GS82517A</t>
  </si>
  <si>
    <t>GS82518A</t>
  </si>
  <si>
    <t>GS82519MD</t>
  </si>
  <si>
    <t>L</t>
  </si>
  <si>
    <t>GS82520MD</t>
  </si>
  <si>
    <t>MM82521OA</t>
  </si>
  <si>
    <t>MM82522XX</t>
  </si>
  <si>
    <t>MM82523XF</t>
  </si>
  <si>
    <t>XF</t>
  </si>
  <si>
    <t>MM82524XX</t>
  </si>
  <si>
    <t>GS82532D</t>
  </si>
  <si>
    <t>D</t>
  </si>
  <si>
    <t>BT82503NOF</t>
  </si>
  <si>
    <t>NOF</t>
  </si>
  <si>
    <t>EEL</t>
  </si>
  <si>
    <t>}</t>
  </si>
  <si>
    <t>ML82501XO</t>
  </si>
  <si>
    <t>ML82502HA</t>
  </si>
  <si>
    <t>ML82503XO</t>
  </si>
  <si>
    <t>ML82504OA</t>
  </si>
  <si>
    <t>ML82505XL</t>
  </si>
  <si>
    <t>ML82506MH</t>
  </si>
  <si>
    <t>EM82576XNL</t>
  </si>
  <si>
    <t>EM82577XNL</t>
  </si>
  <si>
    <t>EM82578ENM</t>
  </si>
  <si>
    <t>HOO</t>
  </si>
  <si>
    <t>ENM</t>
  </si>
  <si>
    <t>EM82579XOL</t>
  </si>
  <si>
    <t>EM82580OLE</t>
  </si>
  <si>
    <t>EM82581OFO</t>
  </si>
  <si>
    <t>MNH</t>
  </si>
  <si>
    <t>OFO</t>
  </si>
  <si>
    <t>EM82582OLD</t>
  </si>
  <si>
    <t>MAL</t>
  </si>
  <si>
    <t>OLD</t>
  </si>
  <si>
    <t>EM82583OHN</t>
  </si>
  <si>
    <t>OHN</t>
  </si>
  <si>
    <t>EM82584OOE</t>
  </si>
  <si>
    <t>MLM</t>
  </si>
  <si>
    <t>OOE</t>
  </si>
  <si>
    <t>EM82585MEA</t>
  </si>
  <si>
    <t>EM82586EN</t>
  </si>
  <si>
    <t>EM82587XN</t>
  </si>
  <si>
    <t>EM82588ON</t>
  </si>
  <si>
    <t>EM82589ON</t>
  </si>
  <si>
    <t>EM82590ON</t>
  </si>
  <si>
    <t>EM82591XE</t>
  </si>
  <si>
    <t>JM8254491HDX</t>
  </si>
  <si>
    <t>OAA</t>
  </si>
  <si>
    <t>HDX</t>
  </si>
  <si>
    <t>JM8254546EOO</t>
  </si>
  <si>
    <t>XFX</t>
  </si>
  <si>
    <t>EOO</t>
  </si>
  <si>
    <t>JM8254574FF</t>
  </si>
  <si>
    <t>FF</t>
  </si>
  <si>
    <t>JM8254418EOO</t>
  </si>
  <si>
    <t>JM8254494HEA</t>
  </si>
  <si>
    <t>XOF</t>
  </si>
  <si>
    <t>HEA</t>
  </si>
  <si>
    <t>JM8254542OFX</t>
  </si>
  <si>
    <t>JM8253649EHE</t>
  </si>
  <si>
    <t>JM8254932HDX</t>
  </si>
  <si>
    <t>JM8254933HEA</t>
  </si>
  <si>
    <t>JM8254970HDX</t>
  </si>
  <si>
    <t>JM8254972HDX</t>
  </si>
  <si>
    <t>JM8255114MXLM</t>
  </si>
  <si>
    <t>NFO</t>
  </si>
  <si>
    <t>MXLM</t>
  </si>
  <si>
    <t>DH82501HAF</t>
  </si>
  <si>
    <t>XHA</t>
  </si>
  <si>
    <t>HAF</t>
  </si>
  <si>
    <t>DH82502MDHD</t>
  </si>
  <si>
    <t>FHX</t>
  </si>
  <si>
    <t>MDHD</t>
  </si>
  <si>
    <t>DH82503MDFD</t>
  </si>
  <si>
    <t>FLH</t>
  </si>
  <si>
    <t>MDFD</t>
  </si>
  <si>
    <t>DH82504EEF</t>
  </si>
  <si>
    <t>XNA</t>
  </si>
  <si>
    <t>EEF</t>
  </si>
  <si>
    <t>DH82505EMA</t>
  </si>
  <si>
    <t>XFD</t>
  </si>
  <si>
    <t>EMA</t>
  </si>
  <si>
    <t>DH82506AEH</t>
  </si>
  <si>
    <t>LMD</t>
  </si>
  <si>
    <t>AEH</t>
  </si>
  <si>
    <t>DH82507ENN</t>
  </si>
  <si>
    <t>HOA</t>
  </si>
  <si>
    <t>ENN</t>
  </si>
  <si>
    <t>DH82508LFM</t>
  </si>
  <si>
    <t>HFN</t>
  </si>
  <si>
    <t>LFM</t>
  </si>
  <si>
    <t>DH82509EFA</t>
  </si>
  <si>
    <t>EFA</t>
  </si>
  <si>
    <t>DH82523HLL</t>
  </si>
  <si>
    <t>XXX</t>
  </si>
  <si>
    <t>HLL</t>
  </si>
  <si>
    <t>DH82524HEO</t>
  </si>
  <si>
    <t>XOX</t>
  </si>
  <si>
    <t>HEO</t>
  </si>
  <si>
    <t>DH82525HNL</t>
  </si>
  <si>
    <t>XEH</t>
  </si>
  <si>
    <t>HNL</t>
  </si>
  <si>
    <t>DH82526HXM</t>
  </si>
  <si>
    <t>XDA</t>
  </si>
  <si>
    <t>HXM</t>
  </si>
  <si>
    <t>DH82527HHH</t>
  </si>
  <si>
    <t>DH82528EOO</t>
  </si>
  <si>
    <t>FR82501XMA</t>
  </si>
  <si>
    <t>OOF</t>
  </si>
  <si>
    <t>XMA</t>
  </si>
  <si>
    <t>FR82502FMA</t>
  </si>
  <si>
    <t>EMX</t>
  </si>
  <si>
    <t>FMA</t>
  </si>
  <si>
    <t>FR82506ANE</t>
  </si>
  <si>
    <t>LXN</t>
  </si>
  <si>
    <t>ANE</t>
  </si>
  <si>
    <t>FR82507HEO</t>
  </si>
  <si>
    <t>FR82509NMH</t>
  </si>
  <si>
    <t>LEX</t>
  </si>
  <si>
    <t>NMH</t>
  </si>
  <si>
    <t>FR82510MDOE</t>
  </si>
  <si>
    <t>FXO</t>
  </si>
  <si>
    <t>MDOE</t>
  </si>
  <si>
    <t>MHNE</t>
  </si>
  <si>
    <t>ODNX</t>
  </si>
  <si>
    <t>M</t>
  </si>
  <si>
    <t>F</t>
  </si>
  <si>
    <t>AN82501NXH</t>
  </si>
  <si>
    <t>LLF</t>
  </si>
  <si>
    <t>NXH</t>
  </si>
  <si>
    <t>ML82507HA</t>
  </si>
  <si>
    <t>CP82501MMLL</t>
  </si>
  <si>
    <t>AXX</t>
  </si>
  <si>
    <t>MMLL</t>
  </si>
  <si>
    <t>HMM</t>
  </si>
  <si>
    <t>EFE</t>
  </si>
  <si>
    <t>DH82529LAF</t>
  </si>
  <si>
    <t>HNM</t>
  </si>
  <si>
    <t>LAF</t>
  </si>
  <si>
    <t>DH82530ELX</t>
  </si>
  <si>
    <t>HDO</t>
  </si>
  <si>
    <t>ELX</t>
  </si>
  <si>
    <t>DH82531FHM</t>
  </si>
  <si>
    <t>DH82534AMM</t>
  </si>
  <si>
    <t>EFN</t>
  </si>
  <si>
    <t>AMM</t>
  </si>
  <si>
    <t>DH82535EON</t>
  </si>
  <si>
    <t>XFA</t>
  </si>
  <si>
    <t>DH82538FEF</t>
  </si>
  <si>
    <t>EHM</t>
  </si>
  <si>
    <t>FEF</t>
  </si>
  <si>
    <t>DH82539FDL</t>
  </si>
  <si>
    <t>EDH</t>
  </si>
  <si>
    <t>FDL</t>
  </si>
  <si>
    <t>DH82540AHD</t>
  </si>
  <si>
    <t>LDD</t>
  </si>
  <si>
    <t>AHD</t>
  </si>
  <si>
    <t>DH82541LML</t>
  </si>
  <si>
    <t>HHD</t>
  </si>
  <si>
    <t>LML</t>
  </si>
  <si>
    <t>DH82542HFX</t>
  </si>
  <si>
    <t>XXA</t>
  </si>
  <si>
    <t>HFX</t>
  </si>
  <si>
    <t>DH82543EHE</t>
  </si>
  <si>
    <t>FR82503LND</t>
  </si>
  <si>
    <t>HNX</t>
  </si>
  <si>
    <t>FR82504AML</t>
  </si>
  <si>
    <t>EAX</t>
  </si>
  <si>
    <t>AML</t>
  </si>
  <si>
    <t>FR82505MMHF</t>
  </si>
  <si>
    <t>AMN</t>
  </si>
  <si>
    <t>MMHF</t>
  </si>
  <si>
    <t>FR82508FFX</t>
  </si>
  <si>
    <t>EEO</t>
  </si>
  <si>
    <t>FFX</t>
  </si>
  <si>
    <t>FR82511AXO</t>
  </si>
  <si>
    <t>ENH</t>
  </si>
  <si>
    <t>AXO</t>
  </si>
  <si>
    <t>TE82516ENL</t>
  </si>
  <si>
    <t>HOL</t>
  </si>
  <si>
    <t>ENL</t>
  </si>
  <si>
    <t>TE82522HML</t>
  </si>
  <si>
    <t>ONF</t>
  </si>
  <si>
    <t>HML</t>
  </si>
  <si>
    <t>BT82504HHM</t>
  </si>
  <si>
    <t>XME</t>
  </si>
  <si>
    <t>HHM</t>
  </si>
  <si>
    <t>BT82505OAF</t>
  </si>
  <si>
    <t>ODE</t>
  </si>
  <si>
    <t>OAF</t>
  </si>
  <si>
    <t>BT82506MFO</t>
  </si>
  <si>
    <t>MFO</t>
  </si>
  <si>
    <t>BT82507OLL</t>
  </si>
  <si>
    <t>MND</t>
  </si>
  <si>
    <t>OLL</t>
  </si>
  <si>
    <t>BT82508MAE</t>
  </si>
  <si>
    <t>MXO</t>
  </si>
  <si>
    <t>MAE</t>
  </si>
  <si>
    <t>BT82509OXM</t>
  </si>
  <si>
    <t>OXM</t>
  </si>
  <si>
    <t>BT82510OXF</t>
  </si>
  <si>
    <t>MLN</t>
  </si>
  <si>
    <t>OXF</t>
  </si>
  <si>
    <t>BT82511XDD</t>
  </si>
  <si>
    <t>OMH</t>
  </si>
  <si>
    <t>XDD</t>
  </si>
  <si>
    <t>BT82512XDD</t>
  </si>
  <si>
    <t>GE325001XDE</t>
  </si>
  <si>
    <t>OFL</t>
  </si>
  <si>
    <t>10/28/2025</t>
  </si>
  <si>
    <t>1/22/2026</t>
  </si>
  <si>
    <t>direct wire</t>
  </si>
  <si>
    <t>em</t>
  </si>
  <si>
    <t>gas</t>
  </si>
  <si>
    <t>black stone bag</t>
  </si>
  <si>
    <t>28/10/26</t>
  </si>
  <si>
    <t>CRATE</t>
  </si>
  <si>
    <t>CH</t>
  </si>
  <si>
    <t>TE82514OMH</t>
  </si>
  <si>
    <t>TE82515OXD</t>
  </si>
  <si>
    <t>TE82517XAO</t>
  </si>
  <si>
    <t>TE82518XAO</t>
  </si>
  <si>
    <t>TE82519FAE</t>
  </si>
  <si>
    <t>TE82520OAL</t>
  </si>
  <si>
    <t>TE82521XLD</t>
  </si>
  <si>
    <t>TE82523XHF</t>
  </si>
  <si>
    <t>TE82524XMO</t>
  </si>
  <si>
    <t>TE82525XNE</t>
  </si>
  <si>
    <t>DH82510OEE</t>
  </si>
  <si>
    <t>DH82511OEE</t>
  </si>
  <si>
    <t>DH82512ONF</t>
  </si>
  <si>
    <t>DH82513MFO</t>
  </si>
  <si>
    <t>DH82514MXN</t>
  </si>
  <si>
    <t>DH82515MLF</t>
  </si>
  <si>
    <t>DH82532HMH</t>
  </si>
  <si>
    <t>DH82533OHM</t>
  </si>
  <si>
    <t>DH82536EHE</t>
  </si>
  <si>
    <t>DH82537HFX</t>
  </si>
  <si>
    <t>DH82544OHDO</t>
  </si>
  <si>
    <t>GE82501MLE</t>
  </si>
  <si>
    <t>GE82502MED</t>
  </si>
  <si>
    <t>GE82503MXH</t>
  </si>
  <si>
    <t>GE82504MMN</t>
  </si>
  <si>
    <t>GE82505NH</t>
  </si>
  <si>
    <t>GE82506ED</t>
  </si>
  <si>
    <t>GE82507HM</t>
  </si>
  <si>
    <t>GE82508XO</t>
  </si>
  <si>
    <t>GE82509HL</t>
  </si>
  <si>
    <t>GE82510XA</t>
  </si>
  <si>
    <t>GE82511OFL</t>
  </si>
  <si>
    <t>GE82512XO</t>
  </si>
  <si>
    <t>GE82513OA</t>
  </si>
  <si>
    <t>GE82514M</t>
  </si>
  <si>
    <t>GE82530ODX</t>
  </si>
  <si>
    <t>FR82512XEF</t>
  </si>
  <si>
    <t>FR82513XHL</t>
  </si>
  <si>
    <t>FR82514XDN</t>
  </si>
  <si>
    <t>FR82515MFL</t>
  </si>
  <si>
    <t>FR82516XDM</t>
  </si>
  <si>
    <t>FR82517MHF</t>
  </si>
  <si>
    <t>FR82518LX</t>
  </si>
  <si>
    <t>FR82519OFL</t>
  </si>
  <si>
    <t>BT82503FFA</t>
  </si>
  <si>
    <t>BT825A</t>
  </si>
  <si>
    <t>GS82516F</t>
  </si>
  <si>
    <t>GS82517F</t>
  </si>
  <si>
    <t>GS82518F</t>
  </si>
  <si>
    <t>GS82519A</t>
  </si>
  <si>
    <t>GS82520A</t>
  </si>
  <si>
    <t>MM82521OH</t>
  </si>
  <si>
    <t>MM82522OA</t>
  </si>
  <si>
    <t>MM82523XM</t>
  </si>
  <si>
    <t>MM82524OA</t>
  </si>
  <si>
    <t>MEX</t>
  </si>
  <si>
    <t>MLH</t>
  </si>
  <si>
    <t>OXD</t>
  </si>
  <si>
    <t>XAO</t>
  </si>
  <si>
    <t>ELM</t>
  </si>
  <si>
    <t>FAE</t>
  </si>
  <si>
    <t>OAL</t>
  </si>
  <si>
    <t>OHA</t>
  </si>
  <si>
    <t>XHF</t>
  </si>
  <si>
    <t>OOX</t>
  </si>
  <si>
    <t>XMO</t>
  </si>
  <si>
    <t>OAO</t>
  </si>
  <si>
    <t>XNE</t>
  </si>
  <si>
    <t>MAO</t>
  </si>
  <si>
    <t>OEE</t>
  </si>
  <si>
    <t>OMO</t>
  </si>
  <si>
    <t>NN</t>
  </si>
  <si>
    <t>MXN</t>
  </si>
  <si>
    <t>MMN</t>
  </si>
  <si>
    <t>MLF</t>
  </si>
  <si>
    <t>HOM</t>
  </si>
  <si>
    <t>EAN</t>
  </si>
  <si>
    <t>HNF</t>
  </si>
  <si>
    <t>LNL</t>
  </si>
  <si>
    <t>FOM</t>
  </si>
  <si>
    <t>MDDN</t>
  </si>
  <si>
    <t>LFD</t>
  </si>
  <si>
    <t>NXA</t>
  </si>
  <si>
    <t>ONL</t>
  </si>
  <si>
    <t>HMH</t>
  </si>
  <si>
    <t>OHM</t>
  </si>
  <si>
    <t>MFML</t>
  </si>
  <si>
    <t>OHDO</t>
  </si>
  <si>
    <t>MXH</t>
  </si>
  <si>
    <t>HL</t>
  </si>
  <si>
    <t>MHE</t>
  </si>
  <si>
    <t>ODX</t>
  </si>
  <si>
    <t>XEF</t>
  </si>
  <si>
    <t>OHF</t>
  </si>
  <si>
    <t>XHL</t>
  </si>
  <si>
    <t>XDN</t>
  </si>
  <si>
    <t>MOL</t>
  </si>
  <si>
    <t>MFL</t>
  </si>
  <si>
    <t>OME</t>
  </si>
  <si>
    <t>XDM</t>
  </si>
  <si>
    <t>FFA</t>
  </si>
  <si>
    <t>H</t>
  </si>
  <si>
    <t>BALANCE</t>
  </si>
  <si>
    <t>OWED</t>
  </si>
  <si>
    <t>TYPE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</si>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</sst>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+0"/>
    <numFmt numFmtId="165" formatCode="[&lt;=9999999]###\-####;\(###\)\ ###\-####"/>
    <numFmt numFmtId="166" formatCode="&quot;$&quot;#,##0.00"/>
    <numFmt numFmtId="167" formatCode="mm/dd/yy;@"/>
  </numFmts>
  <fonts count="132" x14ac:knownFonts="1">
    <font>
      <sz val="11"/>
      <color theme="1"/>
      <name val="Univers"/>
      <family val="2"/>
      <scheme val="minor"/>
    </font>
    <font>
      <sz val="11"/>
      <color theme="1"/>
      <name val="Univers"/>
      <family val="2"/>
      <scheme val="minor"/>
    </font>
    <font>
      <b/>
      <sz val="15"/>
      <color theme="3"/>
      <name val="Univers"/>
      <family val="2"/>
      <scheme val="minor"/>
    </font>
    <font>
      <sz val="8"/>
      <name val="Univers"/>
      <family val="2"/>
      <scheme val="minor"/>
    </font>
    <font>
      <sz val="16"/>
      <color theme="1"/>
      <name val="Univers"/>
      <family val="2"/>
      <scheme val="minor"/>
    </font>
    <font>
      <sz val="12"/>
      <color theme="1"/>
      <name val="Atkinson Hyperlegible"/>
    </font>
    <font>
      <b/>
      <sz val="20"/>
      <color theme="1"/>
      <name val="Atkinson Hyperlegible"/>
    </font>
    <font>
      <sz val="11"/>
      <color theme="1"/>
      <name val="Atkinson Hyperlegible"/>
    </font>
    <font>
      <sz val="14"/>
      <color theme="1"/>
      <name val="Atkinson Hyperlegible"/>
    </font>
    <font>
      <sz val="14"/>
      <color theme="2" tint="-0.89999084444715716"/>
      <name val="Atkinson Hyperlegible"/>
    </font>
    <font>
      <sz val="35"/>
      <color theme="1"/>
      <name val="Atkinson Hyperlegible"/>
    </font>
    <font>
      <sz val="18"/>
      <color theme="1"/>
      <name val="Atkinson Hyperlegible"/>
    </font>
    <font>
      <b/>
      <sz val="18"/>
      <color theme="1"/>
      <name val="Atkinson Hyperlegible"/>
    </font>
    <font>
      <sz val="18"/>
      <color theme="2" tint="-0.89999084444715716"/>
      <name val="Atkinson Hyperlegible"/>
    </font>
    <font>
      <b/>
      <sz val="12"/>
      <color theme="1"/>
      <name val="Atkinson Hyperlegible"/>
    </font>
    <font>
      <b/>
      <sz val="28"/>
      <color theme="2" tint="-0.89999084444715716"/>
      <name val="Atkinson Hyperlegible"/>
    </font>
    <font>
      <sz val="12"/>
      <color theme="2" tint="-0.89999084444715716"/>
      <name val="Atkinson Hyperlegible"/>
    </font>
    <font>
      <b/>
      <sz val="18"/>
      <color theme="2" tint="-0.89999084444715716"/>
      <name val="Atkinson Hyperlegible"/>
    </font>
    <font>
      <b/>
      <sz val="10"/>
      <color theme="2" tint="-0.89999084444715716"/>
      <name val="Atkinson Hyperlegible"/>
    </font>
    <font>
      <sz val="24"/>
      <color rgb="FF77520F"/>
      <name val="Atkinson Hyperlegible"/>
    </font>
    <font>
      <sz val="20"/>
      <color theme="2" tint="-0.89999084444715716"/>
      <name val="Atkinson Hyperlegible"/>
    </font>
    <font>
      <b/>
      <sz val="24"/>
      <color theme="2" tint="-0.89999084444715716"/>
      <name val="Atkinson Hyperlegible"/>
    </font>
    <font>
      <b/>
      <sz val="12"/>
      <color theme="2" tint="-0.89999084444715716"/>
      <name val="Atkinson Hyperlegible"/>
    </font>
    <font>
      <sz val="22"/>
      <color theme="2" tint="-0.89999084444715716"/>
      <name val="Atkinson Hyperlegible"/>
    </font>
    <font>
      <sz val="11"/>
      <color theme="2" tint="-0.89999084444715716"/>
      <name val="Atkinson Hyperlegible"/>
    </font>
    <font>
      <sz val="10"/>
      <color theme="2" tint="-0.89999084444715716"/>
      <name val="Atkinson Hyperlegible"/>
    </font>
    <font>
      <sz val="10"/>
      <color theme="1"/>
      <name val="Atkinson Hyperlegible"/>
    </font>
    <font>
      <b/>
      <sz val="11"/>
      <color theme="1"/>
      <name val="Atkinson Hyperlegible"/>
    </font>
    <font>
      <sz val="14"/>
      <color rgb="FF77520F"/>
      <name val="Atkinson Hyperlegible"/>
    </font>
    <font>
      <sz val="12"/>
      <color rgb="FF77520F"/>
      <name val="Atkinson Hyperlegible"/>
    </font>
    <font>
      <sz val="12"/>
      <color rgb="FF035103"/>
      <name val="Atkinson Hyperlegible"/>
    </font>
    <font>
      <sz val="16"/>
      <color rgb="FF035103"/>
      <name val="Atkinson Hyperlegible"/>
    </font>
    <font>
      <sz val="10"/>
      <color rgb="FF035103"/>
      <name val="Atkinson Hyperlegible"/>
    </font>
    <font>
      <sz val="14"/>
      <color rgb="FF035103"/>
      <name val="Atkinson Hyperlegible"/>
    </font>
    <font>
      <sz val="12"/>
      <color rgb="FF005C5A"/>
      <name val="Atkinson Hyperlegible"/>
    </font>
    <font>
      <sz val="14"/>
      <color rgb="FF005C5A"/>
      <name val="Atkinson Hyperlegible"/>
    </font>
    <font>
      <sz val="10"/>
      <color rgb="FF005C5A"/>
      <name val="Atkinson Hyperlegible"/>
    </font>
    <font>
      <sz val="16"/>
      <color rgb="FF005C5A"/>
      <name val="Atkinson Hyperlegible"/>
    </font>
    <font>
      <b/>
      <sz val="28"/>
      <color rgb="FF77520F"/>
      <name val="Atkinson Hyperlegible"/>
    </font>
    <font>
      <b/>
      <sz val="24"/>
      <color rgb="FF77520F"/>
      <name val="Atkinson Hyperlegible"/>
    </font>
    <font>
      <b/>
      <sz val="10"/>
      <color rgb="FF77520F"/>
      <name val="Atkinson Hyperlegible"/>
    </font>
    <font>
      <b/>
      <sz val="14"/>
      <color rgb="FF77520F"/>
      <name val="Atkinson Hyperlegible"/>
    </font>
    <font>
      <sz val="8"/>
      <color rgb="FF77520F"/>
      <name val="Atkinson Hyperlegible"/>
    </font>
    <font>
      <sz val="18"/>
      <color rgb="FF77520F"/>
      <name val="Atkinson Hyperlegible"/>
    </font>
    <font>
      <b/>
      <sz val="16"/>
      <color rgb="FF77520F"/>
      <name val="Atkinson Hyperlegible"/>
    </font>
    <font>
      <b/>
      <sz val="18"/>
      <color rgb="FF77520F"/>
      <name val="Atkinson Hyperlegible"/>
    </font>
    <font>
      <sz val="11"/>
      <color rgb="FF77520F"/>
      <name val="Atkinson Hyperlegible"/>
    </font>
    <font>
      <sz val="20"/>
      <color rgb="FF77520F"/>
      <name val="Atkinson Hyperlegible"/>
    </font>
    <font>
      <sz val="10"/>
      <color rgb="FF77520F"/>
      <name val="Atkinson Hyperlegible"/>
    </font>
    <font>
      <b/>
      <sz val="14"/>
      <color theme="2" tint="-0.89999084444715716"/>
      <name val="Atkinson Hyperlegible"/>
    </font>
    <font>
      <b/>
      <sz val="28"/>
      <color theme="0"/>
      <name val="Atkinson Hyperlegible"/>
    </font>
    <font>
      <sz val="9"/>
      <color theme="1"/>
      <name val="Arial"/>
      <family val="2"/>
    </font>
    <font>
      <b/>
      <sz val="10"/>
      <color theme="1"/>
      <name val="Atkinson Hyperlegible"/>
    </font>
    <font>
      <sz val="14"/>
      <name val="Atkinson Hyperlegible"/>
    </font>
    <font>
      <sz val="16"/>
      <color theme="1"/>
      <name val="Atkinson Hyperlegible"/>
    </font>
    <font>
      <b/>
      <sz val="16"/>
      <color theme="1"/>
      <name val="Univers"/>
      <family val="2"/>
      <scheme val="minor"/>
    </font>
    <font>
      <b/>
      <sz val="16"/>
      <color rgb="FFF2F2F2"/>
      <name val="Univers"/>
      <family val="2"/>
      <scheme val="minor"/>
    </font>
    <font>
      <b/>
      <sz val="28"/>
      <color rgb="FFF2F2F2"/>
      <name val="Atkinson Hyperlegible"/>
    </font>
    <font>
      <sz val="12"/>
      <color rgb="FFF2F2F2"/>
      <name val="Atkinson Hyperlegible"/>
    </font>
    <font>
      <sz val="20"/>
      <color rgb="FFF2F2F2"/>
      <name val="Atkinson Hyperlegible"/>
    </font>
    <font>
      <b/>
      <sz val="18"/>
      <color rgb="FFF2F2F2"/>
      <name val="Atkinson Hyperlegible"/>
    </font>
    <font>
      <b/>
      <sz val="10"/>
      <color rgb="FFF2F2F2"/>
      <name val="Atkinson Hyperlegible"/>
    </font>
    <font>
      <sz val="18"/>
      <color rgb="FFF2F2F2"/>
      <name val="Atkinson Hyperlegible"/>
    </font>
    <font>
      <b/>
      <sz val="16"/>
      <color rgb="FFF2F2F2"/>
      <name val="Atkinson Hyperlegible"/>
    </font>
    <font>
      <sz val="16"/>
      <color rgb="FFF2F2F2"/>
      <name val="Atkinson Hyperlegible"/>
    </font>
    <font>
      <b/>
      <sz val="24"/>
      <color rgb="FFF2F2F2"/>
      <name val="Atkinson Hyperlegible"/>
    </font>
    <font>
      <b/>
      <sz val="12"/>
      <color rgb="FFF2F2F2"/>
      <name val="Atkinson Hyperlegible"/>
    </font>
    <font>
      <sz val="22"/>
      <color rgb="FFF2F2F2"/>
      <name val="Atkinson Hyperlegible"/>
    </font>
    <font>
      <sz val="11"/>
      <color rgb="FFF2F2F2"/>
      <name val="Atkinson Hyperlegible"/>
    </font>
    <font>
      <sz val="10"/>
      <color rgb="FFF2F2F2"/>
      <name val="Atkinson Hyperlegible"/>
    </font>
    <font>
      <sz val="14"/>
      <color rgb="FFF2F2F2"/>
      <name val="Atkinson Hyperlegible"/>
    </font>
    <font>
      <b/>
      <sz val="28"/>
      <color theme="1"/>
      <name val="Atkinson Hyperlegible"/>
    </font>
    <font>
      <sz val="20"/>
      <color theme="1"/>
      <name val="Atkinson Hyperlegible"/>
    </font>
    <font>
      <b/>
      <sz val="24"/>
      <color theme="1"/>
      <name val="Atkinson Hyperlegible"/>
    </font>
    <font>
      <sz val="22"/>
      <color theme="1"/>
      <name val="Atkinson Hyperlegible"/>
    </font>
    <font>
      <sz val="35"/>
      <color rgb="FF000000"/>
      <name val="Verdana"/>
      <family val="2"/>
    </font>
    <font>
      <sz val="14"/>
      <color rgb="FFFF0000"/>
      <name val="Atkinson Hyperlegible"/>
    </font>
    <font>
      <sz val="14"/>
      <color rgb="FF161616"/>
      <name val="Atkinson Hyperlegible"/>
    </font>
    <font>
      <b/>
      <sz val="22"/>
      <color theme="2" tint="-0.89999084444715716"/>
      <name val="Atkinson Hyperlegible"/>
    </font>
    <font>
      <b/>
      <sz val="20"/>
      <color theme="2" tint="-0.89999084444715716"/>
      <name val="Atkinson Hyperlegible"/>
    </font>
    <font>
      <b/>
      <sz val="13"/>
      <color theme="3"/>
      <name val="Univers"/>
      <family val="2"/>
      <scheme val="minor"/>
    </font>
    <font>
      <b/>
      <sz val="11"/>
      <color theme="1"/>
      <name val="Univers"/>
      <family val="2"/>
      <scheme val="minor"/>
    </font>
    <font>
      <b/>
      <sz val="9"/>
      <color theme="1"/>
      <name val="Atkinson Hyperlegible"/>
    </font>
    <font>
      <sz val="9"/>
      <color theme="1"/>
      <name val="Atkinson Hyperlegible"/>
    </font>
    <font>
      <sz val="10"/>
      <name val="Atkinson Hyperlegible"/>
    </font>
    <font>
      <sz val="9"/>
      <name val="Atkinson Hyperlegible"/>
    </font>
    <font>
      <b/>
      <sz val="18"/>
      <color theme="1"/>
      <name val="Univers"/>
      <family val="2"/>
      <scheme val="minor"/>
    </font>
    <font>
      <b/>
      <sz val="14"/>
      <color theme="1"/>
      <name val="Univers"/>
      <family val="2"/>
      <scheme val="minor"/>
    </font>
    <font>
      <b/>
      <sz val="10"/>
      <color rgb="FF77520F"/>
      <name val="Verdana"/>
      <family val="2"/>
    </font>
    <font>
      <sz val="10"/>
      <color theme="1"/>
      <name val="Univers"/>
      <family val="2"/>
      <scheme val="minor"/>
    </font>
    <font>
      <sz val="12"/>
      <color theme="1"/>
      <name val="Univers"/>
      <family val="2"/>
      <scheme val="minor"/>
    </font>
    <font>
      <b/>
      <sz val="22"/>
      <color theme="0"/>
      <name val="Atkinson Hyperlegible"/>
    </font>
    <font>
      <b/>
      <sz val="20"/>
      <color theme="0"/>
      <name val="Atkinson Hyperlegible"/>
    </font>
    <font>
      <b/>
      <sz val="18"/>
      <color theme="0"/>
      <name val="Atkinson Hyperlegible"/>
    </font>
    <font>
      <b/>
      <sz val="18"/>
      <name val="Atkinson Hyperlegible"/>
    </font>
    <font>
      <b/>
      <sz val="14"/>
      <color theme="1"/>
      <name val="Atkinson Hyperlegible"/>
    </font>
    <font>
      <b/>
      <sz val="16"/>
      <color theme="1"/>
      <name val="Atkinson Hyperlegible"/>
    </font>
    <font>
      <b/>
      <sz val="18"/>
      <color theme="0" tint="-4.9989318521683403E-2"/>
      <name val="Atkinson Hyperlegible"/>
    </font>
    <font>
      <b/>
      <sz val="16"/>
      <color theme="0"/>
      <name val="Atkinson Hyperlegible"/>
    </font>
    <font>
      <b/>
      <sz val="12"/>
      <color theme="0" tint="-4.9989318521683403E-2"/>
      <name val="Atkinson Hyperlegible"/>
    </font>
    <font>
      <b/>
      <sz val="9"/>
      <color theme="0" tint="-4.9989318521683403E-2"/>
      <name val="Atkinson Hyperlegible"/>
    </font>
    <font>
      <sz val="10"/>
      <color theme="0" tint="-4.9989318521683403E-2"/>
      <name val="Atkinson Hyperlegible"/>
    </font>
    <font>
      <b/>
      <sz val="11"/>
      <color theme="0" tint="-4.9989318521683403E-2"/>
      <name val="Atkinson Hyperlegible"/>
    </font>
    <font>
      <sz val="9"/>
      <color theme="0" tint="-4.9989318521683403E-2"/>
      <name val="Atkinson Hyperlegible"/>
    </font>
    <font>
      <b/>
      <sz val="26"/>
      <color theme="1"/>
      <name val="Atkinson Hyperlegible"/>
    </font>
    <font>
      <b/>
      <sz val="18"/>
      <color theme="1"/>
      <name val="Verdana"/>
      <family val="2"/>
    </font>
    <font>
      <sz val="16"/>
      <color theme="1"/>
      <name val="Verdana"/>
      <family val="2"/>
    </font>
    <font>
      <b/>
      <sz val="16"/>
      <color theme="1"/>
      <name val="Verdana"/>
      <family val="2"/>
    </font>
    <font>
      <sz val="18"/>
      <color theme="1"/>
      <name val="Verdana"/>
      <family val="2"/>
    </font>
    <font>
      <b/>
      <sz val="12"/>
      <color theme="1"/>
      <name val="Verdana"/>
      <family val="2"/>
    </font>
    <font>
      <b/>
      <sz val="14"/>
      <color rgb="FFFF0000"/>
      <name val="Atkinson Hyperlegible"/>
    </font>
    <font>
      <sz val="12"/>
      <color rgb="FFFF0000"/>
      <name val="Atkinson Hyperlegible"/>
    </font>
    <font>
      <b/>
      <sz val="16"/>
      <color theme="2" tint="-0.89999084444715716"/>
      <name val="Atkinson Hyperlegible"/>
    </font>
    <font>
      <sz val="22"/>
      <name val="Atkinson Hyperlegible"/>
    </font>
    <font>
      <b/>
      <sz val="12"/>
      <color theme="0"/>
      <name val="Atkinson Hyperlegible"/>
    </font>
    <font>
      <b/>
      <sz val="18"/>
      <color rgb="FF7030A0"/>
      <name val="Atkinson Hyperlegible"/>
    </font>
    <font>
      <b/>
      <sz val="20"/>
      <color rgb="FF7030A0"/>
      <name val="Atkinson Hyperlegible"/>
    </font>
    <font>
      <b/>
      <sz val="16"/>
      <color rgb="FF7030A0"/>
      <name val="Atkinson Hyperlegible"/>
    </font>
    <font>
      <b/>
      <sz val="24"/>
      <color rgb="FF7030A0"/>
      <name val="Atkinson Hyperlegible"/>
    </font>
    <font>
      <b/>
      <sz val="14"/>
      <color rgb="FF7030A0"/>
      <name val="Atkinson Hyperlegible"/>
    </font>
    <font>
      <b/>
      <sz val="11"/>
      <color rgb="FF7030A0"/>
      <name val="Atkinson Hyperlegible"/>
    </font>
    <font>
      <b/>
      <sz val="20"/>
      <color theme="0" tint="-4.9989318521683403E-2"/>
      <name val="Atkinson Hyperlegible"/>
    </font>
    <font>
      <b/>
      <sz val="9"/>
      <color theme="0" tint="-4.9989318521683403E-2"/>
      <name val="Arial"/>
      <family val="2"/>
    </font>
    <font>
      <b/>
      <sz val="11"/>
      <color theme="0" tint="-4.9989318521683403E-2"/>
      <name val="Verdana"/>
      <family val="2"/>
    </font>
    <font>
      <b/>
      <sz val="18"/>
      <color theme="0" tint="-4.9989318521683403E-2"/>
      <name val="Univers"/>
      <family val="2"/>
      <scheme val="minor"/>
    </font>
    <font>
      <sz val="14"/>
      <color theme="1"/>
      <name val="Arial"/>
      <family val="2"/>
    </font>
    <font>
      <sz val="16"/>
      <name val="Atkinson Hyperlegible"/>
    </font>
    <font>
      <b/>
      <sz val="11"/>
      <color theme="0"/>
      <name val="Verdana"/>
      <family val="2"/>
    </font>
    <font>
      <b/>
      <sz val="10"/>
      <color theme="0"/>
      <name val="Verdana"/>
      <family val="2"/>
    </font>
    <font>
      <b/>
      <sz val="9"/>
      <color theme="0"/>
      <name val="Arial"/>
      <family val="2"/>
    </font>
    <font>
      <b/>
      <sz val="11"/>
      <color theme="0"/>
      <name val="Atkinson Hyperlegible"/>
    </font>
    <font>
      <sz val="16"/>
      <color theme="2" tint="-0.89999084444715716"/>
      <name val="Atkinson Hyperlegible"/>
    </font>
  </fonts>
  <fills count="4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F0E68C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EEAB0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BBBCD9"/>
        <bgColor indexed="64"/>
      </patternFill>
    </fill>
    <fill>
      <patternFill patternType="solid">
        <fgColor theme="9" tint="0.499984740745262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5D43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0CEB2"/>
        <bgColor indexed="64"/>
      </patternFill>
    </fill>
    <fill>
      <patternFill patternType="solid">
        <fgColor rgb="FFEAA7CA"/>
        <bgColor indexed="64"/>
      </patternFill>
    </fill>
    <fill>
      <patternFill patternType="solid">
        <fgColor rgb="FF00913E"/>
        <bgColor indexed="64"/>
      </patternFill>
    </fill>
    <fill>
      <patternFill patternType="solid">
        <fgColor rgb="FF00AB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AFAD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B9B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0E0E6"/>
        <bgColor theme="0" tint="-0.14999847407452621"/>
      </patternFill>
    </fill>
    <fill>
      <patternFill patternType="solid">
        <fgColor rgb="FFF0E68C"/>
        <bgColor theme="0" tint="-0.14999847407452621"/>
      </patternFill>
    </fill>
    <fill>
      <patternFill patternType="solid">
        <fgColor rgb="FFBBBCD9"/>
        <bgColor theme="0" tint="-0.14999847407452621"/>
      </patternFill>
    </fill>
    <fill>
      <patternFill patternType="solid">
        <fgColor rgb="FFFFE4E1"/>
        <bgColor theme="0" tint="-0.14999847407452621"/>
      </patternFill>
    </fill>
    <fill>
      <patternFill patternType="solid">
        <fgColor rgb="FFF5DEB3"/>
        <bgColor theme="0" tint="-0.14999847407452621"/>
      </patternFill>
    </fill>
    <fill>
      <patternFill patternType="solid">
        <fgColor rgb="FF00ABD7"/>
        <bgColor theme="0" tint="-0.14999847407452621"/>
      </patternFill>
    </fill>
    <fill>
      <patternFill patternType="solid">
        <fgColor rgb="FF00B05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08080"/>
        <bgColor theme="0" tint="-0.14999847407452621"/>
      </patternFill>
    </fill>
    <fill>
      <patternFill patternType="solid">
        <fgColor theme="9" tint="0.749992370372631"/>
        <bgColor theme="0" tint="-0.14999847407452621"/>
      </patternFill>
    </fill>
    <fill>
      <patternFill patternType="solid">
        <fgColor rgb="FFA0CEB2"/>
        <bgColor theme="0" tint="-0.14999847407452621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4"/>
      </right>
      <top/>
      <bottom/>
      <diagonal/>
    </border>
    <border>
      <left style="thin">
        <color indexed="64"/>
      </left>
      <right style="thin">
        <color theme="4"/>
      </right>
      <top/>
      <bottom style="thin">
        <color theme="1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 style="medium">
        <color rgb="FF7030A0"/>
      </right>
      <top/>
      <bottom style="medium">
        <color rgb="FF7030A0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/>
      <right/>
      <top style="medium">
        <color rgb="FF7030A0"/>
      </top>
      <bottom/>
      <diagonal/>
    </border>
    <border>
      <left style="thin">
        <color indexed="64"/>
      </left>
      <right/>
      <top style="medium">
        <color rgb="FF7030A0"/>
      </top>
      <bottom/>
      <diagonal/>
    </border>
    <border>
      <left/>
      <right style="thin">
        <color indexed="64"/>
      </right>
      <top style="medium">
        <color rgb="FF7030A0"/>
      </top>
      <bottom/>
      <diagonal/>
    </border>
    <border>
      <left style="thin">
        <color indexed="64"/>
      </left>
      <right/>
      <top/>
      <bottom style="medium">
        <color rgb="FF7030A0"/>
      </bottom>
      <diagonal/>
    </border>
    <border>
      <left/>
      <right style="thin">
        <color indexed="64"/>
      </right>
      <top/>
      <bottom style="medium">
        <color rgb="FF7030A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  <xf numFmtId="0" fontId="80" fillId="0" borderId="2" applyNumberFormat="0" applyFill="0" applyAlignment="0" applyProtection="0"/>
  </cellStyleXfs>
  <cellXfs count="1087">
    <xf numFmtId="0" fontId="0" fillId="0" borderId="0" xfId="0"/>
    <xf numFmtId="44" fontId="9" fillId="0" borderId="0" xfId="1" applyFont="1" applyFill="1" applyBorder="1" applyAlignment="1">
      <alignment horizontal="left" vertical="center" indent="2"/>
    </xf>
    <xf numFmtId="2" fontId="9" fillId="0" borderId="0" xfId="2" applyNumberFormat="1" applyFont="1" applyBorder="1" applyAlignment="1">
      <alignment horizontal="left" vertical="center" indent="2"/>
    </xf>
    <xf numFmtId="44" fontId="9" fillId="0" borderId="0" xfId="1" applyFont="1" applyBorder="1" applyAlignment="1">
      <alignment horizontal="left" vertical="center" indent="1"/>
    </xf>
    <xf numFmtId="2" fontId="33" fillId="0" borderId="0" xfId="1" applyNumberFormat="1" applyFont="1" applyFill="1" applyBorder="1" applyAlignment="1">
      <alignment horizontal="left" vertical="center" indent="2"/>
    </xf>
    <xf numFmtId="2" fontId="33" fillId="0" borderId="0" xfId="2" applyNumberFormat="1" applyFont="1" applyBorder="1" applyAlignment="1">
      <alignment horizontal="left" vertical="center" indent="2"/>
    </xf>
    <xf numFmtId="44" fontId="33" fillId="0" borderId="0" xfId="1" applyFont="1" applyBorder="1" applyAlignment="1">
      <alignment horizontal="left" vertical="center" indent="1"/>
    </xf>
    <xf numFmtId="44" fontId="35" fillId="0" borderId="0" xfId="1" applyFont="1" applyFill="1" applyBorder="1" applyAlignment="1">
      <alignment horizontal="left" vertical="center" indent="2"/>
    </xf>
    <xf numFmtId="2" fontId="35" fillId="0" borderId="0" xfId="2" applyNumberFormat="1" applyFont="1" applyBorder="1" applyAlignment="1">
      <alignment horizontal="left" vertical="center" indent="2"/>
    </xf>
    <xf numFmtId="44" fontId="35" fillId="0" borderId="0" xfId="1" applyFont="1" applyBorder="1" applyAlignment="1">
      <alignment horizontal="left" vertical="center" indent="1"/>
    </xf>
    <xf numFmtId="2" fontId="28" fillId="0" borderId="0" xfId="1" applyNumberFormat="1" applyFont="1" applyFill="1" applyBorder="1" applyAlignment="1">
      <alignment horizontal="left" vertical="center" indent="2"/>
    </xf>
    <xf numFmtId="2" fontId="28" fillId="0" borderId="0" xfId="2" applyNumberFormat="1" applyFont="1" applyBorder="1" applyAlignment="1">
      <alignment horizontal="left" vertical="center" indent="2"/>
    </xf>
    <xf numFmtId="44" fontId="28" fillId="0" borderId="0" xfId="1" applyFont="1" applyBorder="1" applyAlignment="1">
      <alignment horizontal="left" vertical="center" indent="1"/>
    </xf>
    <xf numFmtId="44" fontId="28" fillId="0" borderId="0" xfId="1" applyFont="1" applyFill="1" applyBorder="1" applyAlignment="1">
      <alignment horizontal="left" vertical="center" indent="2"/>
    </xf>
    <xf numFmtId="2" fontId="9" fillId="0" borderId="0" xfId="1" applyNumberFormat="1" applyFont="1" applyFill="1" applyBorder="1" applyAlignment="1">
      <alignment horizontal="left" vertical="center" indent="2"/>
    </xf>
    <xf numFmtId="2" fontId="9" fillId="0" borderId="0" xfId="2" applyNumberFormat="1" applyFont="1" applyFill="1" applyBorder="1" applyAlignment="1">
      <alignment horizontal="left" vertical="center" indent="2"/>
    </xf>
    <xf numFmtId="44" fontId="9" fillId="0" borderId="0" xfId="1" applyFont="1" applyFill="1" applyBorder="1" applyAlignment="1">
      <alignment horizontal="left" vertical="center" indent="1"/>
    </xf>
    <xf numFmtId="0" fontId="14" fillId="4" borderId="0" xfId="3" applyFont="1" applyFill="1" applyBorder="1" applyAlignment="1">
      <alignment horizontal="center" vertical="center"/>
    </xf>
    <xf numFmtId="2" fontId="33" fillId="0" borderId="0" xfId="2" applyNumberFormat="1" applyFont="1" applyFill="1" applyBorder="1" applyAlignment="1">
      <alignment horizontal="left" vertical="center" indent="2"/>
    </xf>
    <xf numFmtId="44" fontId="33" fillId="0" borderId="0" xfId="1" applyFont="1" applyFill="1" applyBorder="1" applyAlignment="1">
      <alignment horizontal="left" vertical="center" indent="1"/>
    </xf>
    <xf numFmtId="2" fontId="35" fillId="0" borderId="0" xfId="2" applyNumberFormat="1" applyFont="1" applyFill="1" applyBorder="1" applyAlignment="1">
      <alignment horizontal="left" vertical="center" indent="2"/>
    </xf>
    <xf numFmtId="44" fontId="35" fillId="0" borderId="0" xfId="1" applyFont="1" applyFill="1" applyBorder="1" applyAlignment="1">
      <alignment horizontal="left" vertical="center" indent="1"/>
    </xf>
    <xf numFmtId="44" fontId="8" fillId="22" borderId="0" xfId="1" applyFont="1" applyFill="1" applyBorder="1" applyAlignment="1">
      <alignment horizontal="left" vertical="center" indent="2"/>
    </xf>
    <xf numFmtId="44" fontId="75" fillId="3" borderId="0" xfId="1" applyFont="1" applyFill="1" applyBorder="1" applyAlignment="1">
      <alignment horizontal="left" vertical="center" indent="1"/>
    </xf>
    <xf numFmtId="44" fontId="75" fillId="7" borderId="0" xfId="1" applyFont="1" applyFill="1" applyBorder="1" applyAlignment="1">
      <alignment horizontal="left" vertical="center" indent="1"/>
    </xf>
    <xf numFmtId="44" fontId="28" fillId="22" borderId="0" xfId="1" applyFont="1" applyFill="1" applyBorder="1" applyAlignment="1">
      <alignment horizontal="left" vertical="center" indent="2"/>
    </xf>
    <xf numFmtId="2" fontId="28" fillId="22" borderId="0" xfId="1" applyNumberFormat="1" applyFont="1" applyFill="1" applyBorder="1" applyAlignment="1">
      <alignment horizontal="left" vertical="center" indent="2"/>
    </xf>
    <xf numFmtId="2" fontId="28" fillId="22" borderId="0" xfId="2" applyNumberFormat="1" applyFont="1" applyFill="1" applyBorder="1" applyAlignment="1">
      <alignment horizontal="left" vertical="center" indent="2"/>
    </xf>
    <xf numFmtId="44" fontId="28" fillId="22" borderId="0" xfId="1" applyFont="1" applyFill="1" applyBorder="1" applyAlignment="1">
      <alignment horizontal="left" vertical="center" indent="1"/>
    </xf>
    <xf numFmtId="2" fontId="9" fillId="23" borderId="0" xfId="1" applyNumberFormat="1" applyFont="1" applyFill="1" applyBorder="1" applyAlignment="1">
      <alignment horizontal="left" vertical="center" indent="2"/>
    </xf>
    <xf numFmtId="2" fontId="9" fillId="23" borderId="0" xfId="2" applyNumberFormat="1" applyFont="1" applyFill="1" applyBorder="1" applyAlignment="1">
      <alignment horizontal="left" vertical="center" indent="2"/>
    </xf>
    <xf numFmtId="44" fontId="9" fillId="23" borderId="0" xfId="1" applyFont="1" applyFill="1" applyBorder="1" applyAlignment="1">
      <alignment horizontal="left" vertical="center" indent="1"/>
    </xf>
    <xf numFmtId="1" fontId="9" fillId="0" borderId="0" xfId="1" applyNumberFormat="1" applyFont="1" applyFill="1" applyBorder="1" applyAlignment="1">
      <alignment horizontal="left" vertical="center" indent="2"/>
    </xf>
    <xf numFmtId="0" fontId="15" fillId="8" borderId="0" xfId="0" applyFont="1" applyFill="1"/>
    <xf numFmtId="0" fontId="16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centerContinuous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 indent="1"/>
    </xf>
    <xf numFmtId="0" fontId="18" fillId="2" borderId="0" xfId="0" applyFont="1" applyFill="1" applyAlignment="1">
      <alignment horizontal="left" vertical="center" indent="1"/>
    </xf>
    <xf numFmtId="9" fontId="17" fillId="2" borderId="0" xfId="0" applyNumberFormat="1" applyFont="1" applyFill="1" applyAlignment="1">
      <alignment horizontal="left" vertical="center" indent="1"/>
    </xf>
    <xf numFmtId="2" fontId="13" fillId="2" borderId="0" xfId="0" applyNumberFormat="1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0" fontId="20" fillId="8" borderId="0" xfId="0" applyFont="1" applyFill="1" applyAlignment="1">
      <alignment horizontal="left"/>
    </xf>
    <xf numFmtId="0" fontId="20" fillId="2" borderId="0" xfId="0" applyFont="1" applyFill="1" applyAlignment="1">
      <alignment horizontal="center" vertical="top"/>
    </xf>
    <xf numFmtId="164" fontId="21" fillId="2" borderId="0" xfId="0" applyNumberFormat="1" applyFont="1" applyFill="1" applyAlignment="1">
      <alignment horizontal="right" vertical="center"/>
    </xf>
    <xf numFmtId="165" fontId="21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indent="1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 indent="1"/>
    </xf>
    <xf numFmtId="44" fontId="9" fillId="2" borderId="0" xfId="0" applyNumberFormat="1" applyFont="1" applyFill="1" applyAlignment="1">
      <alignment vertical="center"/>
    </xf>
    <xf numFmtId="44" fontId="17" fillId="2" borderId="0" xfId="1" applyFont="1" applyFill="1" applyBorder="1" applyAlignment="1">
      <alignment horizontal="centerContinuous" vertical="center"/>
    </xf>
    <xf numFmtId="0" fontId="16" fillId="13" borderId="0" xfId="0" applyFont="1" applyFill="1" applyAlignment="1">
      <alignment vertical="center"/>
    </xf>
    <xf numFmtId="44" fontId="9" fillId="13" borderId="0" xfId="0" applyNumberFormat="1" applyFont="1" applyFill="1" applyAlignment="1">
      <alignment vertical="center"/>
    </xf>
    <xf numFmtId="1" fontId="25" fillId="8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 wrapText="1" indent="1"/>
    </xf>
    <xf numFmtId="0" fontId="2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 vertical="center" wrapText="1" indent="1"/>
    </xf>
    <xf numFmtId="0" fontId="25" fillId="2" borderId="0" xfId="0" applyFont="1" applyFill="1" applyAlignment="1" applyProtection="1">
      <alignment horizontal="center" vertical="center" wrapText="1"/>
      <protection locked="0"/>
    </xf>
    <xf numFmtId="0" fontId="25" fillId="2" borderId="0" xfId="0" applyFont="1" applyFill="1" applyAlignment="1" applyProtection="1">
      <alignment horizontal="left" vertical="center" wrapText="1" indent="1"/>
      <protection locked="0"/>
    </xf>
    <xf numFmtId="1" fontId="25" fillId="2" borderId="0" xfId="0" applyNumberFormat="1" applyFont="1" applyFill="1" applyAlignment="1" applyProtection="1">
      <alignment horizontal="left" vertical="center" wrapText="1" indent="1"/>
      <protection locked="0"/>
    </xf>
    <xf numFmtId="0" fontId="25" fillId="15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1" fontId="9" fillId="8" borderId="0" xfId="0" quotePrefix="1" applyNumberFormat="1" applyFont="1" applyFill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2"/>
    </xf>
    <xf numFmtId="0" fontId="9" fillId="8" borderId="0" xfId="0" applyFont="1" applyFill="1" applyAlignment="1">
      <alignment horizontal="left" vertical="center" indent="2"/>
    </xf>
    <xf numFmtId="1" fontId="9" fillId="8" borderId="0" xfId="0" applyNumberFormat="1" applyFont="1" applyFill="1" applyAlignment="1">
      <alignment horizontal="left" vertical="center" indent="2"/>
    </xf>
    <xf numFmtId="44" fontId="9" fillId="8" borderId="0" xfId="1" applyFont="1" applyFill="1" applyBorder="1" applyAlignment="1">
      <alignment horizontal="left" vertical="center" indent="2"/>
    </xf>
    <xf numFmtId="0" fontId="9" fillId="0" borderId="0" xfId="0" applyFont="1" applyAlignment="1">
      <alignment horizontal="left" vertical="center" indent="1"/>
    </xf>
    <xf numFmtId="44" fontId="9" fillId="0" borderId="0" xfId="0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right" vertical="center" indent="1"/>
    </xf>
    <xf numFmtId="0" fontId="2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4" fontId="16" fillId="0" borderId="0" xfId="0" applyNumberFormat="1" applyFont="1" applyAlignment="1">
      <alignment vertical="center"/>
    </xf>
    <xf numFmtId="0" fontId="16" fillId="22" borderId="0" xfId="0" applyFont="1" applyFill="1" applyAlignment="1">
      <alignment vertical="center"/>
    </xf>
    <xf numFmtId="44" fontId="9" fillId="22" borderId="0" xfId="0" applyNumberFormat="1" applyFont="1" applyFill="1" applyAlignment="1">
      <alignment vertical="center"/>
    </xf>
    <xf numFmtId="0" fontId="25" fillId="22" borderId="0" xfId="0" applyFont="1" applyFill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71" fillId="22" borderId="0" xfId="0" applyFont="1" applyFill="1"/>
    <xf numFmtId="0" fontId="5" fillId="22" borderId="0" xfId="0" applyFont="1" applyFill="1" applyAlignment="1">
      <alignment horizontal="left" vertical="center" indent="1"/>
    </xf>
    <xf numFmtId="0" fontId="5" fillId="22" borderId="0" xfId="0" applyFont="1" applyFill="1" applyAlignment="1">
      <alignment horizontal="centerContinuous" vertical="center"/>
    </xf>
    <xf numFmtId="0" fontId="5" fillId="22" borderId="0" xfId="0" applyFont="1" applyFill="1" applyAlignment="1">
      <alignment horizontal="center" vertical="center"/>
    </xf>
    <xf numFmtId="0" fontId="5" fillId="22" borderId="0" xfId="0" applyFont="1" applyFill="1" applyAlignment="1">
      <alignment vertical="center"/>
    </xf>
    <xf numFmtId="0" fontId="12" fillId="22" borderId="0" xfId="0" applyFont="1" applyFill="1" applyAlignment="1">
      <alignment horizontal="left" vertical="center" indent="1"/>
    </xf>
    <xf numFmtId="0" fontId="52" fillId="22" borderId="0" xfId="0" applyFont="1" applyFill="1" applyAlignment="1">
      <alignment horizontal="left" vertical="center" indent="1"/>
    </xf>
    <xf numFmtId="2" fontId="12" fillId="22" borderId="0" xfId="0" applyNumberFormat="1" applyFont="1" applyFill="1" applyAlignment="1">
      <alignment horizontal="left" vertical="center" indent="1"/>
    </xf>
    <xf numFmtId="2" fontId="11" fillId="22" borderId="0" xfId="0" applyNumberFormat="1" applyFont="1" applyFill="1" applyAlignment="1">
      <alignment horizontal="left" vertical="center" indent="1"/>
    </xf>
    <xf numFmtId="0" fontId="8" fillId="22" borderId="0" xfId="0" applyFont="1" applyFill="1" applyAlignment="1">
      <alignment horizontal="left" vertical="center" indent="1"/>
    </xf>
    <xf numFmtId="0" fontId="12" fillId="22" borderId="0" xfId="0" applyFont="1" applyFill="1" applyAlignment="1">
      <alignment horizontal="center" vertical="center"/>
    </xf>
    <xf numFmtId="2" fontId="12" fillId="22" borderId="0" xfId="0" applyNumberFormat="1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0" fontId="72" fillId="22" borderId="0" xfId="0" applyFont="1" applyFill="1" applyAlignment="1">
      <alignment horizontal="left"/>
    </xf>
    <xf numFmtId="0" fontId="72" fillId="22" borderId="0" xfId="0" applyFont="1" applyFill="1" applyAlignment="1">
      <alignment horizontal="center" vertical="top"/>
    </xf>
    <xf numFmtId="164" fontId="73" fillId="22" borderId="0" xfId="0" applyNumberFormat="1" applyFont="1" applyFill="1" applyAlignment="1">
      <alignment horizontal="right" vertical="center"/>
    </xf>
    <xf numFmtId="165" fontId="73" fillId="22" borderId="0" xfId="0" applyNumberFormat="1" applyFont="1" applyFill="1" applyAlignment="1">
      <alignment horizontal="left" vertical="center"/>
    </xf>
    <xf numFmtId="0" fontId="14" fillId="22" borderId="0" xfId="0" applyFont="1" applyFill="1" applyAlignment="1">
      <alignment horizontal="center" vertical="center"/>
    </xf>
    <xf numFmtId="0" fontId="14" fillId="22" borderId="0" xfId="0" applyFont="1" applyFill="1" applyAlignment="1">
      <alignment vertical="center"/>
    </xf>
    <xf numFmtId="0" fontId="74" fillId="22" borderId="0" xfId="0" applyFont="1" applyFill="1" applyAlignment="1">
      <alignment horizontal="left" vertical="center" indent="1"/>
    </xf>
    <xf numFmtId="0" fontId="7" fillId="22" borderId="0" xfId="0" applyFont="1" applyFill="1" applyAlignment="1">
      <alignment vertical="distributed"/>
    </xf>
    <xf numFmtId="0" fontId="11" fillId="22" borderId="0" xfId="0" applyFont="1" applyFill="1" applyAlignment="1">
      <alignment horizontal="left" vertical="center"/>
    </xf>
    <xf numFmtId="0" fontId="5" fillId="22" borderId="0" xfId="0" applyFont="1" applyFill="1" applyAlignment="1">
      <alignment horizontal="left" vertical="center"/>
    </xf>
    <xf numFmtId="44" fontId="12" fillId="22" borderId="0" xfId="1" applyFont="1" applyFill="1" applyBorder="1" applyAlignment="1">
      <alignment horizontal="centerContinuous" vertical="center"/>
    </xf>
    <xf numFmtId="0" fontId="11" fillId="22" borderId="0" xfId="0" applyFont="1" applyFill="1" applyAlignment="1">
      <alignment horizontal="centerContinuous" vertical="center"/>
    </xf>
    <xf numFmtId="1" fontId="26" fillId="22" borderId="0" xfId="0" applyNumberFormat="1" applyFont="1" applyFill="1" applyAlignment="1">
      <alignment horizontal="center" vertical="center"/>
    </xf>
    <xf numFmtId="0" fontId="26" fillId="22" borderId="0" xfId="0" applyFont="1" applyFill="1" applyAlignment="1">
      <alignment horizontal="left" vertical="center" wrapText="1" indent="1"/>
    </xf>
    <xf numFmtId="0" fontId="26" fillId="2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left" vertical="center" wrapText="1" indent="1"/>
    </xf>
    <xf numFmtId="2" fontId="26" fillId="22" borderId="0" xfId="0" applyNumberFormat="1" applyFont="1" applyFill="1" applyAlignment="1">
      <alignment horizontal="left" vertical="center" wrapText="1" indent="1"/>
    </xf>
    <xf numFmtId="0" fontId="26" fillId="22" borderId="0" xfId="0" applyFont="1" applyFill="1" applyAlignment="1" applyProtection="1">
      <alignment horizontal="center" vertical="center" wrapText="1"/>
      <protection locked="0"/>
    </xf>
    <xf numFmtId="0" fontId="26" fillId="22" borderId="0" xfId="0" applyFont="1" applyFill="1" applyAlignment="1" applyProtection="1">
      <alignment horizontal="left" vertical="center" wrapText="1" indent="1"/>
      <protection locked="0"/>
    </xf>
    <xf numFmtId="1" fontId="26" fillId="22" borderId="0" xfId="0" applyNumberFormat="1" applyFont="1" applyFill="1" applyAlignment="1" applyProtection="1">
      <alignment horizontal="left" vertical="center" wrapText="1" indent="1"/>
      <protection locked="0"/>
    </xf>
    <xf numFmtId="0" fontId="36" fillId="0" borderId="0" xfId="0" applyFont="1" applyAlignment="1">
      <alignment horizontal="center" vertical="center"/>
    </xf>
    <xf numFmtId="1" fontId="8" fillId="22" borderId="0" xfId="0" quotePrefix="1" applyNumberFormat="1" applyFont="1" applyFill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0" fontId="35" fillId="0" borderId="0" xfId="0" applyFont="1" applyAlignment="1" applyProtection="1">
      <alignment horizontal="center"/>
      <protection locked="0"/>
    </xf>
    <xf numFmtId="0" fontId="8" fillId="22" borderId="0" xfId="0" applyFont="1" applyFill="1" applyAlignment="1">
      <alignment horizontal="left" vertical="center" indent="2"/>
    </xf>
    <xf numFmtId="1" fontId="8" fillId="22" borderId="0" xfId="0" applyNumberFormat="1" applyFont="1" applyFill="1" applyAlignment="1">
      <alignment horizontal="center" vertical="center"/>
    </xf>
    <xf numFmtId="1" fontId="8" fillId="22" borderId="0" xfId="0" applyNumberFormat="1" applyFont="1" applyFill="1" applyAlignment="1">
      <alignment horizontal="left" vertical="center" indent="2"/>
    </xf>
    <xf numFmtId="2" fontId="35" fillId="0" borderId="0" xfId="1" applyNumberFormat="1" applyFont="1" applyFill="1" applyBorder="1" applyAlignment="1">
      <alignment horizontal="left" vertical="center" indent="2"/>
    </xf>
    <xf numFmtId="0" fontId="35" fillId="0" borderId="0" xfId="0" applyFont="1" applyAlignment="1">
      <alignment horizontal="left" vertical="center" indent="1"/>
    </xf>
    <xf numFmtId="2" fontId="35" fillId="0" borderId="0" xfId="2" applyNumberFormat="1" applyFont="1" applyBorder="1" applyAlignment="1">
      <alignment horizontal="left" vertical="center" indent="1"/>
    </xf>
    <xf numFmtId="2" fontId="35" fillId="0" borderId="0" xfId="2" applyNumberFormat="1" applyFont="1" applyFill="1" applyBorder="1" applyAlignment="1">
      <alignment horizontal="left" vertical="center" indent="1"/>
    </xf>
    <xf numFmtId="1" fontId="5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0" fontId="34" fillId="0" borderId="0" xfId="0" applyFont="1" applyAlignment="1">
      <alignment horizontal="right" vertical="center" indent="1"/>
    </xf>
    <xf numFmtId="2" fontId="34" fillId="0" borderId="0" xfId="0" applyNumberFormat="1" applyFont="1" applyAlignment="1">
      <alignment horizontal="right" vertical="center" indent="1"/>
    </xf>
    <xf numFmtId="0" fontId="37" fillId="27" borderId="0" xfId="0" applyFont="1" applyFill="1" applyAlignment="1">
      <alignment horizontal="left" vertical="center" indent="2"/>
    </xf>
    <xf numFmtId="0" fontId="9" fillId="27" borderId="0" xfId="0" applyFont="1" applyFill="1" applyAlignment="1">
      <alignment horizontal="left" vertical="center" indent="2"/>
    </xf>
    <xf numFmtId="44" fontId="74" fillId="27" borderId="0" xfId="0" applyNumberFormat="1" applyFont="1" applyFill="1" applyAlignment="1">
      <alignment horizontal="right" vertical="distributed"/>
    </xf>
    <xf numFmtId="0" fontId="15" fillId="4" borderId="0" xfId="0" applyFont="1" applyFill="1"/>
    <xf numFmtId="0" fontId="16" fillId="4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centerContinuous" vertical="center"/>
    </xf>
    <xf numFmtId="0" fontId="16" fillId="4" borderId="0" xfId="0" applyFont="1" applyFill="1" applyAlignment="1">
      <alignment vertical="center"/>
    </xf>
    <xf numFmtId="0" fontId="17" fillId="4" borderId="0" xfId="0" applyFont="1" applyFill="1" applyAlignment="1">
      <alignment horizontal="left" vertical="center" indent="1"/>
    </xf>
    <xf numFmtId="0" fontId="18" fillId="4" borderId="0" xfId="0" applyFont="1" applyFill="1" applyAlignment="1">
      <alignment horizontal="left" vertical="center" indent="1"/>
    </xf>
    <xf numFmtId="9" fontId="17" fillId="4" borderId="0" xfId="0" applyNumberFormat="1" applyFont="1" applyFill="1" applyAlignment="1">
      <alignment horizontal="left" vertical="center" indent="1"/>
    </xf>
    <xf numFmtId="2" fontId="13" fillId="4" borderId="0" xfId="0" applyNumberFormat="1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 indent="1"/>
    </xf>
    <xf numFmtId="0" fontId="17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left"/>
    </xf>
    <xf numFmtId="0" fontId="20" fillId="4" borderId="0" xfId="0" applyFont="1" applyFill="1" applyAlignment="1">
      <alignment horizontal="center" vertical="top"/>
    </xf>
    <xf numFmtId="164" fontId="21" fillId="4" borderId="0" xfId="0" applyNumberFormat="1" applyFont="1" applyFill="1" applyAlignment="1">
      <alignment horizontal="right" vertical="center"/>
    </xf>
    <xf numFmtId="165" fontId="21" fillId="4" borderId="0" xfId="0" applyNumberFormat="1" applyFont="1" applyFill="1" applyAlignment="1">
      <alignment horizontal="left" vertical="center"/>
    </xf>
    <xf numFmtId="0" fontId="22" fillId="4" borderId="0" xfId="0" applyFont="1" applyFill="1" applyAlignment="1">
      <alignment horizontal="left" vertical="center" indent="1"/>
    </xf>
    <xf numFmtId="0" fontId="22" fillId="4" borderId="0" xfId="0" applyFont="1" applyFill="1" applyAlignment="1">
      <alignment vertical="center"/>
    </xf>
    <xf numFmtId="0" fontId="23" fillId="4" borderId="0" xfId="0" applyFont="1" applyFill="1" applyAlignment="1">
      <alignment horizontal="left" vertical="center" indent="1"/>
    </xf>
    <xf numFmtId="44" fontId="17" fillId="4" borderId="0" xfId="1" applyFont="1" applyFill="1" applyBorder="1" applyAlignment="1">
      <alignment horizontal="centerContinuous" vertical="center"/>
    </xf>
    <xf numFmtId="0" fontId="16" fillId="4" borderId="0" xfId="0" applyFont="1" applyFill="1" applyAlignment="1">
      <alignment horizontal="left" vertical="center"/>
    </xf>
    <xf numFmtId="44" fontId="55" fillId="0" borderId="0" xfId="0" applyNumberFormat="1" applyFont="1"/>
    <xf numFmtId="1" fontId="25" fillId="4" borderId="0" xfId="0" applyNumberFormat="1" applyFont="1" applyFill="1" applyAlignment="1">
      <alignment horizontal="center" vertical="center"/>
    </xf>
    <xf numFmtId="0" fontId="25" fillId="4" borderId="0" xfId="0" applyFont="1" applyFill="1" applyAlignment="1">
      <alignment horizontal="left" vertical="center" wrapText="1" indent="1"/>
    </xf>
    <xf numFmtId="0" fontId="2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center" wrapText="1" indent="1"/>
    </xf>
    <xf numFmtId="0" fontId="25" fillId="4" borderId="0" xfId="0" applyFont="1" applyFill="1" applyAlignment="1" applyProtection="1">
      <alignment horizontal="center" vertical="center" wrapText="1"/>
      <protection locked="0"/>
    </xf>
    <xf numFmtId="0" fontId="25" fillId="4" borderId="0" xfId="0" applyFont="1" applyFill="1" applyAlignment="1" applyProtection="1">
      <alignment horizontal="left" vertical="center" wrapText="1" indent="1"/>
      <protection locked="0"/>
    </xf>
    <xf numFmtId="1" fontId="25" fillId="4" borderId="0" xfId="0" applyNumberFormat="1" applyFont="1" applyFill="1" applyAlignment="1" applyProtection="1">
      <alignment horizontal="left" vertical="center" wrapText="1" indent="1"/>
      <protection locked="0"/>
    </xf>
    <xf numFmtId="1" fontId="9" fillId="4" borderId="0" xfId="0" quotePrefix="1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 indent="2"/>
    </xf>
    <xf numFmtId="1" fontId="9" fillId="4" borderId="0" xfId="0" applyNumberFormat="1" applyFont="1" applyFill="1" applyAlignment="1">
      <alignment horizontal="left" vertical="center" indent="2"/>
    </xf>
    <xf numFmtId="44" fontId="9" fillId="4" borderId="0" xfId="1" applyFont="1" applyFill="1" applyBorder="1" applyAlignment="1">
      <alignment horizontal="left" vertical="center" indent="2"/>
    </xf>
    <xf numFmtId="0" fontId="77" fillId="0" borderId="0" xfId="0" applyFont="1" applyAlignment="1">
      <alignment horizontal="left" vertical="center" indent="1"/>
    </xf>
    <xf numFmtId="44" fontId="77" fillId="0" borderId="0" xfId="0" applyNumberFormat="1" applyFont="1" applyAlignment="1">
      <alignment horizontal="left" vertical="center" indent="1"/>
    </xf>
    <xf numFmtId="2" fontId="9" fillId="0" borderId="0" xfId="2" applyNumberFormat="1" applyFont="1" applyBorder="1" applyAlignment="1">
      <alignment horizontal="left" vertical="center" indent="1"/>
    </xf>
    <xf numFmtId="44" fontId="9" fillId="4" borderId="0" xfId="0" applyNumberFormat="1" applyFont="1" applyFill="1" applyAlignment="1">
      <alignment horizontal="left" vertical="center" indent="2"/>
    </xf>
    <xf numFmtId="44" fontId="17" fillId="27" borderId="0" xfId="0" applyNumberFormat="1" applyFont="1" applyFill="1" applyAlignment="1">
      <alignment horizontal="left" vertical="center" indent="1"/>
    </xf>
    <xf numFmtId="0" fontId="15" fillId="15" borderId="0" xfId="0" applyFont="1" applyFill="1"/>
    <xf numFmtId="0" fontId="16" fillId="15" borderId="0" xfId="0" applyFont="1" applyFill="1" applyAlignment="1">
      <alignment horizontal="left" vertical="center" indent="1"/>
    </xf>
    <xf numFmtId="0" fontId="16" fillId="15" borderId="0" xfId="0" applyFont="1" applyFill="1" applyAlignment="1">
      <alignment horizontal="centerContinuous" vertical="center"/>
    </xf>
    <xf numFmtId="0" fontId="16" fillId="15" borderId="0" xfId="0" applyFont="1" applyFill="1" applyAlignment="1">
      <alignment vertical="center"/>
    </xf>
    <xf numFmtId="0" fontId="17" fillId="15" borderId="0" xfId="0" applyFont="1" applyFill="1" applyAlignment="1">
      <alignment horizontal="left" vertical="center" indent="1"/>
    </xf>
    <xf numFmtId="0" fontId="18" fillId="15" borderId="0" xfId="0" applyFont="1" applyFill="1" applyAlignment="1">
      <alignment horizontal="left" vertical="center" indent="1"/>
    </xf>
    <xf numFmtId="44" fontId="17" fillId="15" borderId="0" xfId="0" applyNumberFormat="1" applyFont="1" applyFill="1" applyAlignment="1">
      <alignment horizontal="left" vertical="center" indent="1"/>
    </xf>
    <xf numFmtId="2" fontId="17" fillId="15" borderId="0" xfId="0" applyNumberFormat="1" applyFont="1" applyFill="1" applyAlignment="1">
      <alignment horizontal="left" vertical="center" indent="1"/>
    </xf>
    <xf numFmtId="2" fontId="13" fillId="15" borderId="0" xfId="0" applyNumberFormat="1" applyFont="1" applyFill="1" applyAlignment="1">
      <alignment horizontal="left" vertical="center" indent="1"/>
    </xf>
    <xf numFmtId="0" fontId="13" fillId="15" borderId="0" xfId="0" applyFont="1" applyFill="1" applyAlignment="1">
      <alignment horizontal="left" vertical="center"/>
    </xf>
    <xf numFmtId="0" fontId="16" fillId="15" borderId="0" xfId="0" applyFont="1" applyFill="1" applyAlignment="1">
      <alignment horizontal="left" vertical="center"/>
    </xf>
    <xf numFmtId="0" fontId="9" fillId="15" borderId="0" xfId="0" applyFont="1" applyFill="1" applyAlignment="1">
      <alignment horizontal="left" vertical="center" indent="1"/>
    </xf>
    <xf numFmtId="0" fontId="17" fillId="15" borderId="0" xfId="0" applyFont="1" applyFill="1" applyAlignment="1">
      <alignment horizontal="center" vertical="center"/>
    </xf>
    <xf numFmtId="0" fontId="9" fillId="13" borderId="0" xfId="0" applyFont="1" applyFill="1" applyAlignment="1">
      <alignment vertical="center"/>
    </xf>
    <xf numFmtId="0" fontId="20" fillId="15" borderId="0" xfId="0" applyFont="1" applyFill="1" applyAlignment="1">
      <alignment horizontal="left"/>
    </xf>
    <xf numFmtId="0" fontId="20" fillId="15" borderId="0" xfId="0" applyFont="1" applyFill="1" applyAlignment="1">
      <alignment horizontal="center" vertical="top"/>
    </xf>
    <xf numFmtId="164" fontId="21" fillId="15" borderId="0" xfId="0" applyNumberFormat="1" applyFont="1" applyFill="1" applyAlignment="1">
      <alignment horizontal="right" vertical="center"/>
    </xf>
    <xf numFmtId="0" fontId="78" fillId="15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 indent="1"/>
    </xf>
    <xf numFmtId="0" fontId="23" fillId="15" borderId="0" xfId="0" applyFont="1" applyFill="1" applyAlignment="1">
      <alignment horizontal="left" vertical="center" indent="1"/>
    </xf>
    <xf numFmtId="44" fontId="79" fillId="27" borderId="0" xfId="0" applyNumberFormat="1" applyFont="1" applyFill="1" applyAlignment="1">
      <alignment vertical="center"/>
    </xf>
    <xf numFmtId="2" fontId="23" fillId="15" borderId="0" xfId="0" applyNumberFormat="1" applyFont="1" applyFill="1" applyAlignment="1">
      <alignment horizontal="left" vertical="center" indent="1"/>
    </xf>
    <xf numFmtId="44" fontId="17" fillId="15" borderId="0" xfId="1" applyFont="1" applyFill="1" applyBorder="1" applyAlignment="1">
      <alignment horizontal="centerContinuous" vertical="center"/>
    </xf>
    <xf numFmtId="1" fontId="25" fillId="15" borderId="0" xfId="0" applyNumberFormat="1" applyFont="1" applyFill="1" applyAlignment="1">
      <alignment horizontal="center" vertical="center"/>
    </xf>
    <xf numFmtId="0" fontId="25" fillId="15" borderId="0" xfId="0" applyFont="1" applyFill="1" applyAlignment="1">
      <alignment horizontal="left" vertical="center" wrapText="1" indent="1"/>
    </xf>
    <xf numFmtId="0" fontId="25" fillId="15" borderId="0" xfId="0" applyFont="1" applyFill="1" applyAlignment="1">
      <alignment horizontal="center" vertical="center" wrapText="1"/>
    </xf>
    <xf numFmtId="0" fontId="16" fillId="15" borderId="0" xfId="0" applyFont="1" applyFill="1" applyAlignment="1">
      <alignment horizontal="center" vertical="center" wrapText="1"/>
    </xf>
    <xf numFmtId="0" fontId="16" fillId="15" borderId="0" xfId="0" applyFont="1" applyFill="1" applyAlignment="1">
      <alignment horizontal="left" vertical="center" wrapText="1" indent="1"/>
    </xf>
    <xf numFmtId="2" fontId="25" fillId="15" borderId="0" xfId="0" applyNumberFormat="1" applyFont="1" applyFill="1" applyAlignment="1">
      <alignment horizontal="left" vertical="center" wrapText="1" indent="1"/>
    </xf>
    <xf numFmtId="0" fontId="25" fillId="15" borderId="0" xfId="0" applyFont="1" applyFill="1" applyAlignment="1" applyProtection="1">
      <alignment horizontal="center" vertical="center" wrapText="1"/>
      <protection locked="0"/>
    </xf>
    <xf numFmtId="0" fontId="25" fillId="15" borderId="0" xfId="0" applyFont="1" applyFill="1" applyAlignment="1" applyProtection="1">
      <alignment horizontal="left" vertical="center" wrapText="1" indent="1"/>
      <protection locked="0"/>
    </xf>
    <xf numFmtId="1" fontId="25" fillId="15" borderId="0" xfId="0" applyNumberFormat="1" applyFont="1" applyFill="1" applyAlignment="1" applyProtection="1">
      <alignment horizontal="left" vertical="center" wrapText="1" indent="1"/>
      <protection locked="0"/>
    </xf>
    <xf numFmtId="1" fontId="9" fillId="15" borderId="0" xfId="0" quotePrefix="1" applyNumberFormat="1" applyFont="1" applyFill="1" applyAlignment="1">
      <alignment horizontal="center" vertical="center"/>
    </xf>
    <xf numFmtId="0" fontId="9" fillId="15" borderId="0" xfId="0" applyFont="1" applyFill="1" applyAlignment="1">
      <alignment horizontal="left" vertical="center" indent="2"/>
    </xf>
    <xf numFmtId="1" fontId="9" fillId="15" borderId="0" xfId="0" applyNumberFormat="1" applyFont="1" applyFill="1" applyAlignment="1">
      <alignment horizontal="left" vertical="center" indent="2"/>
    </xf>
    <xf numFmtId="44" fontId="9" fillId="15" borderId="0" xfId="1" applyFont="1" applyFill="1" applyBorder="1" applyAlignment="1">
      <alignment horizontal="left" vertical="center" indent="2"/>
    </xf>
    <xf numFmtId="1" fontId="9" fillId="13" borderId="0" xfId="0" quotePrefix="1" applyNumberFormat="1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9" fillId="13" borderId="0" xfId="0" applyFont="1" applyFill="1" applyAlignment="1">
      <alignment horizontal="left" vertical="center" indent="2"/>
    </xf>
    <xf numFmtId="1" fontId="9" fillId="13" borderId="0" xfId="0" applyNumberFormat="1" applyFont="1" applyFill="1" applyAlignment="1">
      <alignment horizontal="left" vertical="center" indent="2"/>
    </xf>
    <xf numFmtId="44" fontId="9" fillId="13" borderId="0" xfId="0" applyNumberFormat="1" applyFont="1" applyFill="1" applyAlignment="1">
      <alignment horizontal="left" vertical="center" indent="2"/>
    </xf>
    <xf numFmtId="44" fontId="9" fillId="0" borderId="0" xfId="0" applyNumberFormat="1" applyFont="1" applyAlignment="1">
      <alignment horizontal="left" vertical="center" indent="2"/>
    </xf>
    <xf numFmtId="2" fontId="9" fillId="0" borderId="0" xfId="0" applyNumberFormat="1" applyFont="1" applyAlignment="1">
      <alignment horizontal="left" vertical="center" indent="2"/>
    </xf>
    <xf numFmtId="2" fontId="9" fillId="0" borderId="0" xfId="0" applyNumberFormat="1" applyFont="1" applyAlignment="1">
      <alignment horizontal="left" vertical="center" indent="1"/>
    </xf>
    <xf numFmtId="44" fontId="9" fillId="0" borderId="0" xfId="0" applyNumberFormat="1" applyFont="1" applyAlignment="1">
      <alignment horizontal="left" vertical="center" indent="1"/>
    </xf>
    <xf numFmtId="2" fontId="16" fillId="0" borderId="0" xfId="0" applyNumberFormat="1" applyFont="1" applyAlignment="1">
      <alignment horizontal="right" vertical="center" indent="1"/>
    </xf>
    <xf numFmtId="0" fontId="9" fillId="0" borderId="0" xfId="0" applyFont="1" applyAlignment="1">
      <alignment vertical="center"/>
    </xf>
    <xf numFmtId="0" fontId="15" fillId="17" borderId="0" xfId="0" applyFont="1" applyFill="1"/>
    <xf numFmtId="0" fontId="16" fillId="6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centerContinuous" vertical="center"/>
    </xf>
    <xf numFmtId="0" fontId="16" fillId="6" borderId="0" xfId="0" applyFont="1" applyFill="1" applyAlignment="1">
      <alignment vertical="center"/>
    </xf>
    <xf numFmtId="0" fontId="17" fillId="6" borderId="0" xfId="0" applyFont="1" applyFill="1" applyAlignment="1">
      <alignment horizontal="left" vertical="center" indent="1"/>
    </xf>
    <xf numFmtId="0" fontId="18" fillId="6" borderId="0" xfId="0" applyFont="1" applyFill="1" applyAlignment="1">
      <alignment horizontal="left" vertical="center" indent="1"/>
    </xf>
    <xf numFmtId="2" fontId="17" fillId="6" borderId="0" xfId="0" applyNumberFormat="1" applyFont="1" applyFill="1" applyAlignment="1">
      <alignment horizontal="left" vertical="center" indent="1"/>
    </xf>
    <xf numFmtId="2" fontId="13" fillId="6" borderId="0" xfId="0" applyNumberFormat="1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 indent="1"/>
    </xf>
    <xf numFmtId="0" fontId="17" fillId="6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left"/>
    </xf>
    <xf numFmtId="0" fontId="20" fillId="6" borderId="0" xfId="0" applyFont="1" applyFill="1" applyAlignment="1">
      <alignment horizontal="center" vertical="top"/>
    </xf>
    <xf numFmtId="164" fontId="21" fillId="6" borderId="0" xfId="0" applyNumberFormat="1" applyFont="1" applyFill="1" applyAlignment="1">
      <alignment horizontal="right" vertical="center"/>
    </xf>
    <xf numFmtId="165" fontId="21" fillId="6" borderId="0" xfId="0" applyNumberFormat="1" applyFont="1" applyFill="1" applyAlignment="1">
      <alignment horizontal="left" vertical="center"/>
    </xf>
    <xf numFmtId="1" fontId="22" fillId="6" borderId="0" xfId="0" applyNumberFormat="1" applyFont="1" applyFill="1" applyAlignment="1">
      <alignment horizontal="left" vertical="center" indent="1"/>
    </xf>
    <xf numFmtId="0" fontId="22" fillId="6" borderId="0" xfId="0" applyFont="1" applyFill="1" applyAlignment="1">
      <alignment vertical="center"/>
    </xf>
    <xf numFmtId="0" fontId="23" fillId="6" borderId="0" xfId="0" applyFont="1" applyFill="1" applyAlignment="1">
      <alignment horizontal="left" vertical="center" indent="1"/>
    </xf>
    <xf numFmtId="44" fontId="23" fillId="6" borderId="0" xfId="0" applyNumberFormat="1" applyFont="1" applyFill="1" applyAlignment="1">
      <alignment horizontal="left" vertical="center" indent="1"/>
    </xf>
    <xf numFmtId="2" fontId="23" fillId="6" borderId="0" xfId="0" applyNumberFormat="1" applyFont="1" applyFill="1" applyAlignment="1">
      <alignment horizontal="left" vertical="center" indent="1"/>
    </xf>
    <xf numFmtId="44" fontId="17" fillId="6" borderId="0" xfId="1" applyFont="1" applyFill="1" applyBorder="1" applyAlignment="1">
      <alignment horizontal="centerContinuous" vertical="center"/>
    </xf>
    <xf numFmtId="1" fontId="25" fillId="17" borderId="0" xfId="0" applyNumberFormat="1" applyFont="1" applyFill="1" applyAlignment="1">
      <alignment horizontal="center" vertical="center"/>
    </xf>
    <xf numFmtId="0" fontId="25" fillId="6" borderId="0" xfId="0" applyFont="1" applyFill="1" applyAlignment="1">
      <alignment horizontal="left" vertical="center" wrapText="1" indent="1"/>
    </xf>
    <xf numFmtId="0" fontId="25" fillId="6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left" vertical="center" wrapText="1" indent="1"/>
    </xf>
    <xf numFmtId="2" fontId="25" fillId="6" borderId="0" xfId="0" applyNumberFormat="1" applyFont="1" applyFill="1" applyAlignment="1">
      <alignment horizontal="left" vertical="center" wrapText="1" indent="1"/>
    </xf>
    <xf numFmtId="0" fontId="25" fillId="6" borderId="0" xfId="0" applyFont="1" applyFill="1" applyAlignment="1" applyProtection="1">
      <alignment horizontal="center" vertical="center" wrapText="1"/>
      <protection locked="0"/>
    </xf>
    <xf numFmtId="0" fontId="25" fillId="6" borderId="0" xfId="0" applyFont="1" applyFill="1" applyAlignment="1" applyProtection="1">
      <alignment horizontal="left" vertical="center" wrapText="1" indent="1"/>
      <protection locked="0"/>
    </xf>
    <xf numFmtId="1" fontId="25" fillId="6" borderId="0" xfId="0" applyNumberFormat="1" applyFont="1" applyFill="1" applyAlignment="1" applyProtection="1">
      <alignment horizontal="left" vertical="center" wrapText="1" indent="1"/>
      <protection locked="0"/>
    </xf>
    <xf numFmtId="1" fontId="9" fillId="6" borderId="0" xfId="0" quotePrefix="1" applyNumberFormat="1" applyFont="1" applyFill="1" applyAlignment="1">
      <alignment horizontal="center" vertical="center"/>
    </xf>
    <xf numFmtId="0" fontId="51" fillId="18" borderId="0" xfId="0" applyFont="1" applyFill="1" applyProtection="1">
      <protection locked="0"/>
    </xf>
    <xf numFmtId="1" fontId="9" fillId="6" borderId="0" xfId="0" applyNumberFormat="1" applyFont="1" applyFill="1" applyAlignment="1">
      <alignment horizontal="left" vertical="center" indent="2"/>
    </xf>
    <xf numFmtId="44" fontId="9" fillId="6" borderId="0" xfId="1" applyFont="1" applyFill="1" applyBorder="1" applyAlignment="1">
      <alignment horizontal="left" vertical="center" indent="2"/>
    </xf>
    <xf numFmtId="0" fontId="9" fillId="22" borderId="0" xfId="0" applyFont="1" applyFill="1" applyAlignment="1">
      <alignment horizontal="left" vertical="center" indent="2"/>
    </xf>
    <xf numFmtId="0" fontId="15" fillId="5" borderId="0" xfId="0" applyFont="1" applyFill="1"/>
    <xf numFmtId="0" fontId="16" fillId="5" borderId="0" xfId="0" applyFont="1" applyFill="1" applyAlignment="1">
      <alignment horizontal="left" vertical="center" indent="1"/>
    </xf>
    <xf numFmtId="0" fontId="16" fillId="5" borderId="0" xfId="0" applyFont="1" applyFill="1" applyAlignment="1">
      <alignment horizontal="right" vertical="center"/>
    </xf>
    <xf numFmtId="0" fontId="16" fillId="5" borderId="0" xfId="0" applyFont="1" applyFill="1" applyAlignment="1">
      <alignment horizontal="centerContinuous" vertical="center"/>
    </xf>
    <xf numFmtId="0" fontId="16" fillId="5" borderId="0" xfId="0" applyFont="1" applyFill="1" applyAlignment="1">
      <alignment vertical="center"/>
    </xf>
    <xf numFmtId="0" fontId="17" fillId="5" borderId="0" xfId="0" applyFont="1" applyFill="1" applyAlignment="1">
      <alignment horizontal="left" vertical="center" indent="1"/>
    </xf>
    <xf numFmtId="0" fontId="18" fillId="5" borderId="0" xfId="0" applyFont="1" applyFill="1" applyAlignment="1">
      <alignment horizontal="left" vertical="center" indent="1"/>
    </xf>
    <xf numFmtId="9" fontId="17" fillId="5" borderId="0" xfId="0" applyNumberFormat="1" applyFont="1" applyFill="1" applyAlignment="1">
      <alignment horizontal="left" vertical="center" indent="1"/>
    </xf>
    <xf numFmtId="2" fontId="17" fillId="5" borderId="0" xfId="0" applyNumberFormat="1" applyFont="1" applyFill="1" applyAlignment="1">
      <alignment horizontal="left" vertical="center" indent="1"/>
    </xf>
    <xf numFmtId="0" fontId="17" fillId="5" borderId="0" xfId="0" applyFont="1" applyFill="1" applyAlignment="1">
      <alignment horizontal="right" vertical="center" indent="1"/>
    </xf>
    <xf numFmtId="44" fontId="17" fillId="5" borderId="0" xfId="0" applyNumberFormat="1" applyFont="1" applyFill="1" applyAlignment="1">
      <alignment vertical="center"/>
    </xf>
    <xf numFmtId="44" fontId="17" fillId="5" borderId="0" xfId="0" applyNumberFormat="1" applyFont="1" applyFill="1" applyAlignment="1">
      <alignment horizontal="right" vertical="center"/>
    </xf>
    <xf numFmtId="0" fontId="17" fillId="5" borderId="0" xfId="0" applyFont="1" applyFill="1" applyAlignment="1">
      <alignment horizontal="right" vertical="center"/>
    </xf>
    <xf numFmtId="44" fontId="17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left"/>
    </xf>
    <xf numFmtId="0" fontId="20" fillId="5" borderId="0" xfId="0" applyFont="1" applyFill="1" applyAlignment="1">
      <alignment horizontal="center" vertical="top"/>
    </xf>
    <xf numFmtId="0" fontId="20" fillId="5" borderId="0" xfId="0" applyFont="1" applyFill="1" applyAlignment="1">
      <alignment horizontal="right" vertical="top"/>
    </xf>
    <xf numFmtId="164" fontId="21" fillId="5" borderId="0" xfId="0" applyNumberFormat="1" applyFont="1" applyFill="1" applyAlignment="1">
      <alignment horizontal="right" vertical="center"/>
    </xf>
    <xf numFmtId="165" fontId="21" fillId="5" borderId="0" xfId="0" applyNumberFormat="1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 indent="1"/>
    </xf>
    <xf numFmtId="0" fontId="22" fillId="5" borderId="0" xfId="0" applyFont="1" applyFill="1" applyAlignment="1">
      <alignment vertical="center"/>
    </xf>
    <xf numFmtId="0" fontId="23" fillId="5" borderId="0" xfId="0" applyFont="1" applyFill="1" applyAlignment="1">
      <alignment horizontal="left" vertical="center" indent="1"/>
    </xf>
    <xf numFmtId="44" fontId="16" fillId="5" borderId="0" xfId="0" applyNumberFormat="1" applyFont="1" applyFill="1" applyAlignment="1">
      <alignment vertical="center"/>
    </xf>
    <xf numFmtId="44" fontId="24" fillId="5" borderId="0" xfId="0" applyNumberFormat="1" applyFont="1" applyFill="1" applyAlignment="1">
      <alignment vertical="distributed"/>
    </xf>
    <xf numFmtId="0" fontId="13" fillId="5" borderId="0" xfId="0" applyFont="1" applyFill="1" applyAlignment="1">
      <alignment horizontal="left" vertical="center"/>
    </xf>
    <xf numFmtId="44" fontId="17" fillId="5" borderId="0" xfId="1" applyFont="1" applyFill="1" applyBorder="1" applyAlignment="1">
      <alignment horizontal="centerContinuous" vertical="center"/>
    </xf>
    <xf numFmtId="0" fontId="16" fillId="5" borderId="0" xfId="0" applyFont="1" applyFill="1" applyAlignment="1">
      <alignment horizontal="left" vertical="center"/>
    </xf>
    <xf numFmtId="1" fontId="25" fillId="5" borderId="0" xfId="0" applyNumberFormat="1" applyFont="1" applyFill="1" applyAlignment="1">
      <alignment horizontal="center" vertical="center"/>
    </xf>
    <xf numFmtId="0" fontId="25" fillId="5" borderId="0" xfId="0" applyFont="1" applyFill="1" applyAlignment="1">
      <alignment horizontal="left" vertical="center" wrapText="1" indent="1"/>
    </xf>
    <xf numFmtId="0" fontId="25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left" vertical="center" wrapText="1" indent="1"/>
    </xf>
    <xf numFmtId="0" fontId="25" fillId="5" borderId="0" xfId="0" applyFont="1" applyFill="1" applyAlignment="1" applyProtection="1">
      <alignment horizontal="center" vertical="center" wrapText="1"/>
      <protection locked="0"/>
    </xf>
    <xf numFmtId="0" fontId="18" fillId="5" borderId="0" xfId="0" applyFont="1" applyFill="1" applyAlignment="1" applyProtection="1">
      <alignment horizontal="center" vertical="center" wrapText="1"/>
      <protection locked="0"/>
    </xf>
    <xf numFmtId="0" fontId="25" fillId="5" borderId="0" xfId="0" applyFont="1" applyFill="1" applyAlignment="1" applyProtection="1">
      <alignment horizontal="left" vertical="center" wrapText="1" indent="1"/>
      <protection locked="0"/>
    </xf>
    <xf numFmtId="1" fontId="25" fillId="5" borderId="0" xfId="0" applyNumberFormat="1" applyFont="1" applyFill="1" applyAlignment="1" applyProtection="1">
      <alignment horizontal="left" vertical="center" wrapText="1" indent="1"/>
      <protection locked="0"/>
    </xf>
    <xf numFmtId="1" fontId="9" fillId="5" borderId="0" xfId="0" quotePrefix="1" applyNumberFormat="1" applyFont="1" applyFill="1" applyAlignment="1">
      <alignment horizontal="center" vertical="center"/>
    </xf>
    <xf numFmtId="0" fontId="53" fillId="0" borderId="0" xfId="0" applyFont="1" applyAlignment="1">
      <alignment horizontal="right" vertical="center"/>
    </xf>
    <xf numFmtId="0" fontId="8" fillId="5" borderId="0" xfId="0" applyFont="1" applyFill="1" applyAlignment="1" applyProtection="1">
      <alignment horizontal="center" vertical="center"/>
      <protection locked="0"/>
    </xf>
    <xf numFmtId="1" fontId="9" fillId="5" borderId="0" xfId="0" applyNumberFormat="1" applyFont="1" applyFill="1" applyAlignment="1">
      <alignment horizontal="left" vertical="center" indent="2"/>
    </xf>
    <xf numFmtId="166" fontId="8" fillId="5" borderId="0" xfId="0" applyNumberFormat="1" applyFont="1" applyFill="1" applyAlignment="1" applyProtection="1">
      <alignment horizontal="center"/>
      <protection locked="0"/>
    </xf>
    <xf numFmtId="0" fontId="9" fillId="5" borderId="0" xfId="0" applyFont="1" applyFill="1" applyAlignment="1">
      <alignment horizontal="left" vertical="center" indent="2"/>
    </xf>
    <xf numFmtId="44" fontId="9" fillId="5" borderId="0" xfId="1" applyFont="1" applyFill="1" applyBorder="1" applyAlignment="1">
      <alignment horizontal="left" vertical="center" indent="2"/>
    </xf>
    <xf numFmtId="0" fontId="9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38" fillId="12" borderId="0" xfId="0" applyFont="1" applyFill="1"/>
    <xf numFmtId="0" fontId="19" fillId="7" borderId="0" xfId="0" applyFont="1" applyFill="1" applyAlignment="1">
      <alignment horizontal="left" vertical="center" indent="1"/>
    </xf>
    <xf numFmtId="0" fontId="19" fillId="7" borderId="0" xfId="0" applyFont="1" applyFill="1"/>
    <xf numFmtId="0" fontId="19" fillId="7" borderId="0" xfId="0" applyFont="1" applyFill="1" applyAlignment="1">
      <alignment horizontal="centerContinuous" vertical="center"/>
    </xf>
    <xf numFmtId="44" fontId="19" fillId="7" borderId="0" xfId="0" applyNumberFormat="1" applyFont="1" applyFill="1" applyAlignment="1">
      <alignment vertical="center"/>
    </xf>
    <xf numFmtId="0" fontId="19" fillId="7" borderId="0" xfId="0" applyFont="1" applyFill="1" applyAlignment="1">
      <alignment vertical="center"/>
    </xf>
    <xf numFmtId="0" fontId="39" fillId="7" borderId="0" xfId="0" applyFont="1" applyFill="1" applyAlignment="1">
      <alignment horizontal="left" vertical="center" indent="1"/>
    </xf>
    <xf numFmtId="0" fontId="40" fillId="7" borderId="0" xfId="0" applyFont="1" applyFill="1" applyAlignment="1">
      <alignment horizontal="left" vertical="center" indent="1"/>
    </xf>
    <xf numFmtId="44" fontId="39" fillId="27" borderId="0" xfId="0" applyNumberFormat="1" applyFont="1" applyFill="1" applyAlignment="1">
      <alignment horizontal="left" vertical="center" indent="1"/>
    </xf>
    <xf numFmtId="2" fontId="39" fillId="7" borderId="0" xfId="0" applyNumberFormat="1" applyFont="1" applyFill="1" applyAlignment="1">
      <alignment horizontal="left" vertical="center" indent="1"/>
    </xf>
    <xf numFmtId="2" fontId="41" fillId="10" borderId="0" xfId="0" applyNumberFormat="1" applyFont="1" applyFill="1" applyAlignment="1">
      <alignment vertical="center"/>
    </xf>
    <xf numFmtId="2" fontId="19" fillId="10" borderId="0" xfId="0" applyNumberFormat="1" applyFont="1" applyFill="1" applyAlignment="1">
      <alignment vertical="center"/>
    </xf>
    <xf numFmtId="2" fontId="42" fillId="10" borderId="0" xfId="0" applyNumberFormat="1" applyFont="1" applyFill="1" applyAlignment="1">
      <alignment horizontal="center" vertical="center"/>
    </xf>
    <xf numFmtId="0" fontId="43" fillId="7" borderId="0" xfId="0" applyFont="1" applyFill="1" applyAlignment="1">
      <alignment vertical="distributed"/>
    </xf>
    <xf numFmtId="0" fontId="43" fillId="7" borderId="0" xfId="0" applyFont="1" applyFill="1" applyAlignment="1">
      <alignment horizontal="right" vertical="center"/>
    </xf>
    <xf numFmtId="44" fontId="44" fillId="7" borderId="0" xfId="0" applyNumberFormat="1" applyFont="1" applyFill="1" applyAlignment="1">
      <alignment horizontal="left" vertical="center"/>
    </xf>
    <xf numFmtId="0" fontId="43" fillId="7" borderId="0" xfId="0" applyFont="1" applyFill="1" applyAlignment="1">
      <alignment horizontal="left" vertical="center" indent="1"/>
    </xf>
    <xf numFmtId="0" fontId="45" fillId="7" borderId="0" xfId="0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47" fillId="12" borderId="0" xfId="0" applyFont="1" applyFill="1" applyAlignment="1">
      <alignment horizontal="left"/>
    </xf>
    <xf numFmtId="0" fontId="19" fillId="7" borderId="0" xfId="0" applyFont="1" applyFill="1" applyAlignment="1">
      <alignment horizontal="center" vertical="top"/>
    </xf>
    <xf numFmtId="164" fontId="39" fillId="7" borderId="0" xfId="0" applyNumberFormat="1" applyFont="1" applyFill="1" applyAlignment="1">
      <alignment horizontal="right" vertical="center"/>
    </xf>
    <xf numFmtId="165" fontId="39" fillId="7" borderId="0" xfId="0" applyNumberFormat="1" applyFont="1" applyFill="1" applyAlignment="1">
      <alignment horizontal="left" vertical="center"/>
    </xf>
    <xf numFmtId="44" fontId="39" fillId="7" borderId="0" xfId="0" applyNumberFormat="1" applyFont="1" applyFill="1" applyAlignment="1">
      <alignment vertical="center"/>
    </xf>
    <xf numFmtId="2" fontId="19" fillId="7" borderId="0" xfId="0" applyNumberFormat="1" applyFont="1" applyFill="1" applyAlignment="1">
      <alignment horizontal="left" vertical="center" indent="1"/>
    </xf>
    <xf numFmtId="2" fontId="41" fillId="11" borderId="0" xfId="0" applyNumberFormat="1" applyFont="1" applyFill="1" applyAlignment="1">
      <alignment vertical="center"/>
    </xf>
    <xf numFmtId="2" fontId="19" fillId="11" borderId="0" xfId="0" applyNumberFormat="1" applyFont="1" applyFill="1" applyAlignment="1">
      <alignment vertical="center"/>
    </xf>
    <xf numFmtId="2" fontId="42" fillId="11" borderId="0" xfId="0" applyNumberFormat="1" applyFont="1" applyFill="1" applyAlignment="1">
      <alignment horizontal="center" vertical="center"/>
    </xf>
    <xf numFmtId="0" fontId="43" fillId="7" borderId="0" xfId="0" applyFont="1" applyFill="1" applyAlignment="1">
      <alignment horizontal="left" vertical="center"/>
    </xf>
    <xf numFmtId="44" fontId="45" fillId="7" borderId="0" xfId="1" applyFont="1" applyFill="1" applyBorder="1" applyAlignment="1">
      <alignment horizontal="centerContinuous" vertical="center"/>
    </xf>
    <xf numFmtId="0" fontId="43" fillId="7" borderId="0" xfId="0" applyFont="1" applyFill="1" applyAlignment="1">
      <alignment horizontal="centerContinuous" vertical="center"/>
    </xf>
    <xf numFmtId="0" fontId="19" fillId="7" borderId="0" xfId="0" applyFont="1" applyFill="1" applyAlignment="1">
      <alignment horizontal="left" vertical="center"/>
    </xf>
    <xf numFmtId="1" fontId="48" fillId="7" borderId="0" xfId="0" applyNumberFormat="1" applyFont="1" applyFill="1" applyAlignment="1">
      <alignment horizontal="center" vertical="center"/>
    </xf>
    <xf numFmtId="0" fontId="48" fillId="7" borderId="0" xfId="0" applyFont="1" applyFill="1" applyAlignment="1">
      <alignment horizontal="left" vertical="center" wrapText="1" indent="1"/>
    </xf>
    <xf numFmtId="0" fontId="48" fillId="7" borderId="0" xfId="0" applyFont="1" applyFill="1" applyAlignment="1">
      <alignment horizontal="center" vertical="center" wrapText="1"/>
    </xf>
    <xf numFmtId="0" fontId="29" fillId="7" borderId="0" xfId="0" applyFont="1" applyFill="1" applyAlignment="1">
      <alignment horizontal="center" vertical="center" wrapText="1"/>
    </xf>
    <xf numFmtId="0" fontId="29" fillId="7" borderId="0" xfId="0" applyFont="1" applyFill="1" applyAlignment="1">
      <alignment horizontal="left" vertical="center" wrapText="1" indent="1"/>
    </xf>
    <xf numFmtId="2" fontId="48" fillId="7" borderId="0" xfId="0" applyNumberFormat="1" applyFont="1" applyFill="1" applyAlignment="1">
      <alignment horizontal="left" vertical="center" wrapText="1" indent="1"/>
    </xf>
    <xf numFmtId="0" fontId="48" fillId="7" borderId="0" xfId="0" applyFont="1" applyFill="1" applyAlignment="1" applyProtection="1">
      <alignment horizontal="center" vertical="center" wrapText="1"/>
      <protection locked="0"/>
    </xf>
    <xf numFmtId="0" fontId="48" fillId="7" borderId="0" xfId="0" applyFont="1" applyFill="1" applyAlignment="1" applyProtection="1">
      <alignment horizontal="left" vertical="center" wrapText="1" indent="1"/>
      <protection locked="0"/>
    </xf>
    <xf numFmtId="1" fontId="48" fillId="7" borderId="0" xfId="0" applyNumberFormat="1" applyFont="1" applyFill="1" applyAlignment="1" applyProtection="1">
      <alignment horizontal="left" vertical="center" wrapText="1" indent="1"/>
      <protection locked="0"/>
    </xf>
    <xf numFmtId="0" fontId="48" fillId="0" borderId="0" xfId="0" applyFont="1" applyAlignment="1">
      <alignment horizontal="center" vertical="center"/>
    </xf>
    <xf numFmtId="1" fontId="28" fillId="7" borderId="0" xfId="0" quotePrefix="1" applyNumberFormat="1" applyFont="1" applyFill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indent="2"/>
    </xf>
    <xf numFmtId="0" fontId="28" fillId="7" borderId="0" xfId="0" applyFont="1" applyFill="1" applyAlignment="1">
      <alignment horizontal="left" vertical="center" indent="2"/>
    </xf>
    <xf numFmtId="1" fontId="28" fillId="7" borderId="0" xfId="0" applyNumberFormat="1" applyFont="1" applyFill="1" applyAlignment="1">
      <alignment horizontal="left" vertical="center" indent="2"/>
    </xf>
    <xf numFmtId="0" fontId="28" fillId="0" borderId="0" xfId="0" applyFont="1" applyAlignment="1">
      <alignment horizontal="left" vertical="center" indent="1"/>
    </xf>
    <xf numFmtId="44" fontId="28" fillId="0" borderId="0" xfId="0" applyNumberFormat="1" applyFont="1" applyAlignment="1">
      <alignment horizontal="center" vertical="center"/>
    </xf>
    <xf numFmtId="0" fontId="28" fillId="24" borderId="0" xfId="0" applyFont="1" applyFill="1" applyAlignment="1">
      <alignment horizontal="left" vertical="center" indent="2"/>
    </xf>
    <xf numFmtId="0" fontId="28" fillId="26" borderId="0" xfId="0" applyFont="1" applyFill="1" applyAlignment="1">
      <alignment horizontal="left" vertical="center" indent="2"/>
    </xf>
    <xf numFmtId="1" fontId="28" fillId="22" borderId="0" xfId="0" quotePrefix="1" applyNumberFormat="1" applyFont="1" applyFill="1" applyAlignment="1">
      <alignment horizontal="center" vertical="center"/>
    </xf>
    <xf numFmtId="44" fontId="28" fillId="22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left" vertical="center" indent="2"/>
    </xf>
    <xf numFmtId="0" fontId="76" fillId="26" borderId="0" xfId="0" applyFont="1" applyFill="1" applyAlignment="1">
      <alignment horizontal="left" vertical="center" indent="2"/>
    </xf>
    <xf numFmtId="0" fontId="76" fillId="13" borderId="0" xfId="0" applyFont="1" applyFill="1" applyAlignment="1">
      <alignment horizontal="left" vertical="center" indent="2"/>
    </xf>
    <xf numFmtId="1" fontId="28" fillId="22" borderId="0" xfId="0" applyNumberFormat="1" applyFont="1" applyFill="1" applyAlignment="1">
      <alignment horizontal="left" vertical="center" indent="2"/>
    </xf>
    <xf numFmtId="0" fontId="28" fillId="22" borderId="0" xfId="0" applyFont="1" applyFill="1" applyAlignment="1">
      <alignment horizontal="left" vertical="center" indent="1"/>
    </xf>
    <xf numFmtId="0" fontId="29" fillId="22" borderId="0" xfId="0" applyFont="1" applyFill="1" applyAlignment="1">
      <alignment vertical="center"/>
    </xf>
    <xf numFmtId="0" fontId="28" fillId="22" borderId="0" xfId="0" applyFont="1" applyFill="1" applyAlignment="1">
      <alignment horizontal="left" vertical="center" indent="2"/>
    </xf>
    <xf numFmtId="44" fontId="76" fillId="0" borderId="0" xfId="0" applyNumberFormat="1" applyFont="1" applyAlignment="1">
      <alignment horizontal="center" vertical="center"/>
    </xf>
    <xf numFmtId="1" fontId="76" fillId="7" borderId="0" xfId="0" applyNumberFormat="1" applyFont="1" applyFill="1" applyAlignment="1">
      <alignment horizontal="left" vertical="center" indent="2"/>
    </xf>
    <xf numFmtId="44" fontId="28" fillId="7" borderId="0" xfId="1" applyFont="1" applyFill="1" applyBorder="1" applyAlignment="1">
      <alignment horizontal="left" vertical="center" indent="2"/>
    </xf>
    <xf numFmtId="0" fontId="28" fillId="27" borderId="0" xfId="0" applyFont="1" applyFill="1" applyAlignment="1">
      <alignment horizontal="left" vertical="center" indent="2"/>
    </xf>
    <xf numFmtId="1" fontId="29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 indent="1"/>
    </xf>
    <xf numFmtId="0" fontId="29" fillId="0" borderId="0" xfId="0" applyFont="1" applyAlignment="1">
      <alignment horizontal="right" vertical="center" indent="1"/>
    </xf>
    <xf numFmtId="2" fontId="29" fillId="0" borderId="0" xfId="0" applyNumberFormat="1" applyFont="1" applyAlignment="1">
      <alignment horizontal="right" vertical="center" indent="1"/>
    </xf>
    <xf numFmtId="2" fontId="29" fillId="0" borderId="0" xfId="0" applyNumberFormat="1" applyFont="1" applyAlignment="1">
      <alignment horizontal="left" vertical="center" indent="1"/>
    </xf>
    <xf numFmtId="2" fontId="29" fillId="0" borderId="0" xfId="0" applyNumberFormat="1" applyFont="1" applyAlignment="1">
      <alignment vertical="center"/>
    </xf>
    <xf numFmtId="0" fontId="15" fillId="14" borderId="0" xfId="0" applyFont="1" applyFill="1"/>
    <xf numFmtId="1" fontId="16" fillId="15" borderId="0" xfId="0" applyNumberFormat="1" applyFont="1" applyFill="1" applyAlignment="1">
      <alignment horizontal="left" vertical="center" indent="1"/>
    </xf>
    <xf numFmtId="0" fontId="20" fillId="14" borderId="0" xfId="0" applyFont="1" applyFill="1" applyAlignment="1">
      <alignment horizontal="left"/>
    </xf>
    <xf numFmtId="165" fontId="21" fillId="13" borderId="0" xfId="0" applyNumberFormat="1" applyFont="1" applyFill="1" applyAlignment="1">
      <alignment horizontal="left" vertical="center"/>
    </xf>
    <xf numFmtId="0" fontId="49" fillId="15" borderId="0" xfId="0" applyFont="1" applyFill="1" applyAlignment="1">
      <alignment horizontal="left" vertical="center" indent="1"/>
    </xf>
    <xf numFmtId="0" fontId="22" fillId="15" borderId="0" xfId="0" applyFont="1" applyFill="1" applyAlignment="1">
      <alignment vertical="center"/>
    </xf>
    <xf numFmtId="1" fontId="25" fillId="14" borderId="0" xfId="0" applyNumberFormat="1" applyFont="1" applyFill="1" applyAlignment="1">
      <alignment horizontal="center" vertical="center"/>
    </xf>
    <xf numFmtId="44" fontId="9" fillId="13" borderId="0" xfId="1" applyFont="1" applyFill="1" applyBorder="1" applyAlignment="1">
      <alignment horizontal="left" vertical="center" indent="2"/>
    </xf>
    <xf numFmtId="0" fontId="9" fillId="9" borderId="0" xfId="0" applyFont="1" applyFill="1" applyAlignment="1">
      <alignment horizontal="left" vertical="center" indent="2"/>
    </xf>
    <xf numFmtId="1" fontId="9" fillId="23" borderId="0" xfId="0" quotePrefix="1" applyNumberFormat="1" applyFont="1" applyFill="1" applyAlignment="1">
      <alignment horizontal="center" vertical="center"/>
    </xf>
    <xf numFmtId="14" fontId="9" fillId="23" borderId="0" xfId="0" applyNumberFormat="1" applyFont="1" applyFill="1" applyAlignment="1">
      <alignment horizontal="center" vertical="center"/>
    </xf>
    <xf numFmtId="0" fontId="9" fillId="23" borderId="0" xfId="0" applyFont="1" applyFill="1" applyAlignment="1">
      <alignment horizontal="left" vertical="center" indent="2"/>
    </xf>
    <xf numFmtId="0" fontId="9" fillId="26" borderId="0" xfId="0" applyFont="1" applyFill="1" applyAlignment="1">
      <alignment horizontal="left" vertical="center" indent="2"/>
    </xf>
    <xf numFmtId="0" fontId="9" fillId="23" borderId="0" xfId="0" applyFont="1" applyFill="1" applyAlignment="1">
      <alignment horizontal="left" vertical="center" indent="1"/>
    </xf>
    <xf numFmtId="0" fontId="16" fillId="23" borderId="0" xfId="0" applyFont="1" applyFill="1" applyAlignment="1">
      <alignment vertical="center"/>
    </xf>
    <xf numFmtId="0" fontId="57" fillId="21" borderId="0" xfId="0" applyFont="1" applyFill="1"/>
    <xf numFmtId="0" fontId="58" fillId="21" borderId="0" xfId="0" applyFont="1" applyFill="1" applyAlignment="1">
      <alignment horizontal="left" vertical="center" indent="1"/>
    </xf>
    <xf numFmtId="0" fontId="58" fillId="21" borderId="0" xfId="0" applyFont="1" applyFill="1" applyAlignment="1">
      <alignment horizontal="centerContinuous" vertical="center"/>
    </xf>
    <xf numFmtId="0" fontId="56" fillId="21" borderId="0" xfId="0" applyFont="1" applyFill="1"/>
    <xf numFmtId="0" fontId="58" fillId="21" borderId="0" xfId="0" applyFont="1" applyFill="1" applyAlignment="1">
      <alignment vertical="center"/>
    </xf>
    <xf numFmtId="0" fontId="60" fillId="21" borderId="0" xfId="0" applyFont="1" applyFill="1" applyAlignment="1">
      <alignment horizontal="left" vertical="center" indent="1"/>
    </xf>
    <xf numFmtId="0" fontId="61" fillId="21" borderId="0" xfId="0" applyFont="1" applyFill="1" applyAlignment="1">
      <alignment horizontal="left" vertical="center" indent="1"/>
    </xf>
    <xf numFmtId="9" fontId="60" fillId="21" borderId="0" xfId="0" applyNumberFormat="1" applyFont="1" applyFill="1" applyAlignment="1">
      <alignment horizontal="left" vertical="center" indent="1"/>
    </xf>
    <xf numFmtId="2" fontId="60" fillId="21" borderId="0" xfId="0" applyNumberFormat="1" applyFont="1" applyFill="1" applyAlignment="1">
      <alignment horizontal="left" vertical="center" indent="1"/>
    </xf>
    <xf numFmtId="2" fontId="62" fillId="21" borderId="0" xfId="0" applyNumberFormat="1" applyFont="1" applyFill="1" applyAlignment="1">
      <alignment horizontal="left" vertical="center" indent="1"/>
    </xf>
    <xf numFmtId="44" fontId="63" fillId="21" borderId="0" xfId="1" applyFont="1" applyFill="1" applyBorder="1" applyAlignment="1">
      <alignment horizontal="left" vertical="center"/>
    </xf>
    <xf numFmtId="0" fontId="58" fillId="21" borderId="0" xfId="0" applyFont="1" applyFill="1" applyAlignment="1">
      <alignment horizontal="left" vertical="center"/>
    </xf>
    <xf numFmtId="0" fontId="64" fillId="21" borderId="0" xfId="0" applyFont="1" applyFill="1" applyAlignment="1">
      <alignment horizontal="left" vertical="center" indent="1"/>
    </xf>
    <xf numFmtId="0" fontId="60" fillId="21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0" fontId="59" fillId="21" borderId="0" xfId="0" applyFont="1" applyFill="1" applyAlignment="1">
      <alignment horizontal="left"/>
    </xf>
    <xf numFmtId="0" fontId="59" fillId="21" borderId="0" xfId="0" applyFont="1" applyFill="1" applyAlignment="1">
      <alignment horizontal="center" vertical="top"/>
    </xf>
    <xf numFmtId="164" fontId="65" fillId="21" borderId="0" xfId="0" applyNumberFormat="1" applyFont="1" applyFill="1" applyAlignment="1">
      <alignment horizontal="right" vertical="center"/>
    </xf>
    <xf numFmtId="165" fontId="65" fillId="21" borderId="0" xfId="0" applyNumberFormat="1" applyFont="1" applyFill="1" applyAlignment="1">
      <alignment horizontal="left" vertical="center"/>
    </xf>
    <xf numFmtId="0" fontId="66" fillId="21" borderId="0" xfId="0" applyFont="1" applyFill="1" applyAlignment="1">
      <alignment horizontal="left" vertical="center" indent="1"/>
    </xf>
    <xf numFmtId="0" fontId="66" fillId="21" borderId="0" xfId="0" applyFont="1" applyFill="1" applyAlignment="1">
      <alignment vertical="center"/>
    </xf>
    <xf numFmtId="0" fontId="67" fillId="21" borderId="0" xfId="0" applyFont="1" applyFill="1" applyAlignment="1">
      <alignment horizontal="left" vertical="center" indent="1"/>
    </xf>
    <xf numFmtId="44" fontId="67" fillId="21" borderId="0" xfId="0" applyNumberFormat="1" applyFont="1" applyFill="1" applyAlignment="1">
      <alignment horizontal="left" vertical="center" indent="1"/>
    </xf>
    <xf numFmtId="2" fontId="67" fillId="21" borderId="0" xfId="0" applyNumberFormat="1" applyFont="1" applyFill="1" applyAlignment="1">
      <alignment horizontal="left" vertical="center" indent="1"/>
    </xf>
    <xf numFmtId="0" fontId="62" fillId="21" borderId="0" xfId="0" applyFont="1" applyFill="1" applyAlignment="1">
      <alignment horizontal="left" vertical="center"/>
    </xf>
    <xf numFmtId="44" fontId="60" fillId="21" borderId="0" xfId="1" applyFont="1" applyFill="1" applyBorder="1" applyAlignment="1">
      <alignment horizontal="centerContinuous" vertical="center"/>
    </xf>
    <xf numFmtId="1" fontId="69" fillId="21" borderId="0" xfId="0" applyNumberFormat="1" applyFont="1" applyFill="1" applyAlignment="1">
      <alignment horizontal="center" vertical="center"/>
    </xf>
    <xf numFmtId="0" fontId="69" fillId="21" borderId="0" xfId="0" applyFont="1" applyFill="1" applyAlignment="1">
      <alignment horizontal="left" vertical="center" wrapText="1" indent="1"/>
    </xf>
    <xf numFmtId="0" fontId="69" fillId="21" borderId="0" xfId="0" applyFont="1" applyFill="1" applyAlignment="1">
      <alignment horizontal="center" vertical="center" wrapText="1"/>
    </xf>
    <xf numFmtId="0" fontId="58" fillId="21" borderId="0" xfId="0" applyFont="1" applyFill="1" applyAlignment="1">
      <alignment horizontal="center" vertical="center" wrapText="1"/>
    </xf>
    <xf numFmtId="0" fontId="58" fillId="21" borderId="0" xfId="0" applyFont="1" applyFill="1" applyAlignment="1">
      <alignment horizontal="left" vertical="center" wrapText="1" indent="1"/>
    </xf>
    <xf numFmtId="2" fontId="69" fillId="21" borderId="0" xfId="0" applyNumberFormat="1" applyFont="1" applyFill="1" applyAlignment="1">
      <alignment horizontal="left" vertical="center" wrapText="1" indent="1"/>
    </xf>
    <xf numFmtId="0" fontId="69" fillId="21" borderId="0" xfId="0" applyFont="1" applyFill="1" applyAlignment="1" applyProtection="1">
      <alignment horizontal="center" vertical="center" wrapText="1"/>
      <protection locked="0"/>
    </xf>
    <xf numFmtId="0" fontId="69" fillId="21" borderId="0" xfId="0" applyFont="1" applyFill="1" applyAlignment="1" applyProtection="1">
      <alignment horizontal="left" vertical="center" wrapText="1" indent="1"/>
      <protection locked="0"/>
    </xf>
    <xf numFmtId="1" fontId="69" fillId="21" borderId="0" xfId="0" applyNumberFormat="1" applyFont="1" applyFill="1" applyAlignment="1" applyProtection="1">
      <alignment horizontal="left" vertical="center" wrapText="1" indent="1"/>
      <protection locked="0"/>
    </xf>
    <xf numFmtId="0" fontId="32" fillId="0" borderId="0" xfId="0" applyFont="1" applyAlignment="1">
      <alignment horizontal="center" vertical="center"/>
    </xf>
    <xf numFmtId="1" fontId="33" fillId="21" borderId="0" xfId="0" quotePrefix="1" applyNumberFormat="1" applyFont="1" applyFill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70" fillId="21" borderId="0" xfId="0" applyFont="1" applyFill="1" applyAlignment="1">
      <alignment horizontal="left" vertical="center" indent="2"/>
    </xf>
    <xf numFmtId="1" fontId="70" fillId="21" borderId="0" xfId="0" applyNumberFormat="1" applyFont="1" applyFill="1" applyAlignment="1">
      <alignment horizontal="left" vertical="center" indent="2"/>
    </xf>
    <xf numFmtId="44" fontId="33" fillId="0" borderId="0" xfId="1" applyFont="1" applyFill="1" applyBorder="1" applyAlignment="1">
      <alignment horizontal="left" vertical="center" indent="2"/>
    </xf>
    <xf numFmtId="0" fontId="33" fillId="0" borderId="0" xfId="0" applyFont="1" applyAlignment="1">
      <alignment horizontal="left" vertical="center" indent="1"/>
    </xf>
    <xf numFmtId="0" fontId="31" fillId="26" borderId="0" xfId="0" applyFont="1" applyFill="1" applyAlignment="1">
      <alignment horizontal="left" vertical="center" indent="2"/>
    </xf>
    <xf numFmtId="14" fontId="33" fillId="13" borderId="0" xfId="0" applyNumberFormat="1" applyFont="1" applyFill="1" applyAlignment="1">
      <alignment horizontal="center" vertical="center"/>
    </xf>
    <xf numFmtId="0" fontId="31" fillId="22" borderId="0" xfId="0" applyFont="1" applyFill="1" applyAlignment="1">
      <alignment horizontal="left" vertical="center" indent="2"/>
    </xf>
    <xf numFmtId="2" fontId="33" fillId="0" borderId="0" xfId="2" applyNumberFormat="1" applyFont="1" applyBorder="1" applyAlignment="1">
      <alignment horizontal="left" vertical="center" indent="1"/>
    </xf>
    <xf numFmtId="1" fontId="30" fillId="0" borderId="0" xfId="0" applyNumberFormat="1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0" fontId="30" fillId="0" borderId="0" xfId="0" applyFont="1" applyAlignment="1">
      <alignment horizontal="right" vertical="center" indent="1"/>
    </xf>
    <xf numFmtId="2" fontId="30" fillId="0" borderId="0" xfId="0" applyNumberFormat="1" applyFont="1" applyAlignment="1">
      <alignment horizontal="right" vertical="center" indent="1"/>
    </xf>
    <xf numFmtId="0" fontId="15" fillId="20" borderId="0" xfId="0" applyFont="1" applyFill="1"/>
    <xf numFmtId="0" fontId="16" fillId="20" borderId="0" xfId="0" applyFont="1" applyFill="1" applyAlignment="1">
      <alignment horizontal="left" vertical="center" indent="1"/>
    </xf>
    <xf numFmtId="0" fontId="55" fillId="20" borderId="0" xfId="0" applyFont="1" applyFill="1"/>
    <xf numFmtId="0" fontId="16" fillId="20" borderId="0" xfId="0" applyFont="1" applyFill="1" applyAlignment="1">
      <alignment horizontal="centerContinuous" vertical="center"/>
    </xf>
    <xf numFmtId="0" fontId="16" fillId="20" borderId="0" xfId="0" applyFont="1" applyFill="1" applyAlignment="1">
      <alignment vertical="center"/>
    </xf>
    <xf numFmtId="0" fontId="17" fillId="20" borderId="0" xfId="0" applyFont="1" applyFill="1" applyAlignment="1">
      <alignment horizontal="left" vertical="center" indent="1"/>
    </xf>
    <xf numFmtId="0" fontId="18" fillId="20" borderId="0" xfId="0" applyFont="1" applyFill="1" applyAlignment="1">
      <alignment horizontal="left" vertical="center" indent="1"/>
    </xf>
    <xf numFmtId="44" fontId="79" fillId="27" borderId="0" xfId="0" applyNumberFormat="1" applyFont="1" applyFill="1" applyAlignment="1">
      <alignment horizontal="left" vertical="center" indent="1"/>
    </xf>
    <xf numFmtId="9" fontId="17" fillId="20" borderId="0" xfId="0" applyNumberFormat="1" applyFont="1" applyFill="1" applyAlignment="1">
      <alignment horizontal="left" vertical="center" indent="1"/>
    </xf>
    <xf numFmtId="2" fontId="13" fillId="20" borderId="0" xfId="0" applyNumberFormat="1" applyFont="1" applyFill="1" applyAlignment="1">
      <alignment horizontal="left" vertical="center" indent="1"/>
    </xf>
    <xf numFmtId="0" fontId="13" fillId="20" borderId="0" xfId="0" applyFont="1" applyFill="1" applyAlignment="1">
      <alignment horizontal="left" vertical="center"/>
    </xf>
    <xf numFmtId="0" fontId="16" fillId="20" borderId="0" xfId="0" applyFont="1" applyFill="1" applyAlignment="1">
      <alignment horizontal="left" vertical="center"/>
    </xf>
    <xf numFmtId="0" fontId="9" fillId="20" borderId="0" xfId="0" applyFont="1" applyFill="1" applyAlignment="1">
      <alignment horizontal="left" vertical="center" indent="1"/>
    </xf>
    <xf numFmtId="0" fontId="17" fillId="20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left"/>
    </xf>
    <xf numFmtId="0" fontId="20" fillId="20" borderId="0" xfId="0" applyFont="1" applyFill="1" applyAlignment="1">
      <alignment horizontal="center" vertical="top"/>
    </xf>
    <xf numFmtId="164" fontId="21" fillId="20" borderId="0" xfId="0" applyNumberFormat="1" applyFont="1" applyFill="1" applyAlignment="1">
      <alignment horizontal="right" vertical="center"/>
    </xf>
    <xf numFmtId="165" fontId="21" fillId="20" borderId="0" xfId="0" applyNumberFormat="1" applyFont="1" applyFill="1" applyAlignment="1">
      <alignment horizontal="left" vertical="center"/>
    </xf>
    <xf numFmtId="0" fontId="22" fillId="20" borderId="0" xfId="0" applyFont="1" applyFill="1" applyAlignment="1">
      <alignment horizontal="left" vertical="center" indent="1"/>
    </xf>
    <xf numFmtId="0" fontId="22" fillId="20" borderId="0" xfId="0" applyFont="1" applyFill="1" applyAlignment="1">
      <alignment vertical="center"/>
    </xf>
    <xf numFmtId="0" fontId="23" fillId="20" borderId="0" xfId="0" applyFont="1" applyFill="1" applyAlignment="1">
      <alignment horizontal="left" vertical="center" indent="1"/>
    </xf>
    <xf numFmtId="44" fontId="13" fillId="20" borderId="0" xfId="0" applyNumberFormat="1" applyFont="1" applyFill="1" applyAlignment="1">
      <alignment horizontal="left" vertical="center"/>
    </xf>
    <xf numFmtId="44" fontId="17" fillId="20" borderId="0" xfId="1" applyFont="1" applyFill="1" applyBorder="1" applyAlignment="1">
      <alignment horizontal="centerContinuous" vertical="center"/>
    </xf>
    <xf numFmtId="44" fontId="55" fillId="0" borderId="0" xfId="1" applyFont="1" applyBorder="1"/>
    <xf numFmtId="1" fontId="25" fillId="20" borderId="0" xfId="0" applyNumberFormat="1" applyFont="1" applyFill="1" applyAlignment="1">
      <alignment horizontal="center" vertical="center"/>
    </xf>
    <xf numFmtId="0" fontId="25" fillId="20" borderId="0" xfId="0" applyFont="1" applyFill="1" applyAlignment="1">
      <alignment horizontal="left" vertical="center" wrapText="1" indent="1"/>
    </xf>
    <xf numFmtId="0" fontId="25" fillId="20" borderId="0" xfId="0" applyFont="1" applyFill="1" applyAlignment="1">
      <alignment horizontal="center" vertical="center" wrapText="1"/>
    </xf>
    <xf numFmtId="0" fontId="16" fillId="20" borderId="0" xfId="0" applyFont="1" applyFill="1" applyAlignment="1">
      <alignment horizontal="center" vertical="center" wrapText="1"/>
    </xf>
    <xf numFmtId="0" fontId="16" fillId="20" borderId="0" xfId="0" applyFont="1" applyFill="1" applyAlignment="1">
      <alignment horizontal="left" vertical="center" wrapText="1" indent="1"/>
    </xf>
    <xf numFmtId="0" fontId="25" fillId="20" borderId="0" xfId="0" applyFont="1" applyFill="1" applyAlignment="1" applyProtection="1">
      <alignment horizontal="center" vertical="center" wrapText="1"/>
      <protection locked="0"/>
    </xf>
    <xf numFmtId="0" fontId="25" fillId="20" borderId="0" xfId="0" applyFont="1" applyFill="1" applyAlignment="1" applyProtection="1">
      <alignment horizontal="left" vertical="center" wrapText="1" indent="1"/>
      <protection locked="0"/>
    </xf>
    <xf numFmtId="1" fontId="25" fillId="20" borderId="0" xfId="0" applyNumberFormat="1" applyFont="1" applyFill="1" applyAlignment="1" applyProtection="1">
      <alignment horizontal="left" vertical="center" wrapText="1" indent="1"/>
      <protection locked="0"/>
    </xf>
    <xf numFmtId="1" fontId="9" fillId="20" borderId="0" xfId="0" quotePrefix="1" applyNumberFormat="1" applyFont="1" applyFill="1" applyAlignment="1">
      <alignment horizontal="center" vertical="center"/>
    </xf>
    <xf numFmtId="0" fontId="9" fillId="20" borderId="0" xfId="0" applyFont="1" applyFill="1" applyAlignment="1">
      <alignment horizontal="left" vertical="center" indent="2"/>
    </xf>
    <xf numFmtId="0" fontId="49" fillId="20" borderId="0" xfId="0" applyFont="1" applyFill="1" applyAlignment="1">
      <alignment horizontal="left" vertical="center" indent="2"/>
    </xf>
    <xf numFmtId="1" fontId="9" fillId="20" borderId="0" xfId="0" applyNumberFormat="1" applyFont="1" applyFill="1" applyAlignment="1">
      <alignment horizontal="left" vertical="center" indent="2"/>
    </xf>
    <xf numFmtId="44" fontId="9" fillId="20" borderId="0" xfId="1" applyFont="1" applyFill="1" applyBorder="1" applyAlignment="1">
      <alignment horizontal="left" vertical="center" indent="2"/>
    </xf>
    <xf numFmtId="0" fontId="4" fillId="0" borderId="0" xfId="0" applyFont="1"/>
    <xf numFmtId="1" fontId="0" fillId="0" borderId="0" xfId="0" applyNumberFormat="1"/>
    <xf numFmtId="1" fontId="16" fillId="20" borderId="0" xfId="0" applyNumberFormat="1" applyFont="1" applyFill="1" applyAlignment="1">
      <alignment horizontal="right" vertical="center" indent="1"/>
    </xf>
    <xf numFmtId="0" fontId="15" fillId="7" borderId="0" xfId="0" applyFont="1" applyFill="1"/>
    <xf numFmtId="0" fontId="16" fillId="7" borderId="0" xfId="0" applyFont="1" applyFill="1" applyAlignment="1">
      <alignment horizontal="left" vertical="center" indent="1"/>
    </xf>
    <xf numFmtId="0" fontId="55" fillId="7" borderId="0" xfId="0" applyFont="1" applyFill="1"/>
    <xf numFmtId="0" fontId="16" fillId="7" borderId="0" xfId="0" applyFont="1" applyFill="1" applyAlignment="1">
      <alignment horizontal="centerContinuous" vertical="center"/>
    </xf>
    <xf numFmtId="0" fontId="16" fillId="7" borderId="0" xfId="0" applyFont="1" applyFill="1" applyAlignment="1">
      <alignment vertical="center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9" fontId="17" fillId="7" borderId="0" xfId="0" applyNumberFormat="1" applyFont="1" applyFill="1" applyAlignment="1">
      <alignment horizontal="left" vertical="center" indent="1"/>
    </xf>
    <xf numFmtId="2" fontId="13" fillId="7" borderId="0" xfId="0" applyNumberFormat="1" applyFont="1" applyFill="1" applyAlignment="1">
      <alignment horizontal="left" vertical="center" indent="1"/>
    </xf>
    <xf numFmtId="0" fontId="13" fillId="7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left"/>
    </xf>
    <xf numFmtId="0" fontId="20" fillId="7" borderId="0" xfId="0" applyFont="1" applyFill="1" applyAlignment="1">
      <alignment horizontal="center" vertical="top"/>
    </xf>
    <xf numFmtId="164" fontId="21" fillId="7" borderId="0" xfId="0" applyNumberFormat="1" applyFont="1" applyFill="1" applyAlignment="1">
      <alignment horizontal="right" vertical="center"/>
    </xf>
    <xf numFmtId="165" fontId="21" fillId="7" borderId="0" xfId="0" applyNumberFormat="1" applyFont="1" applyFill="1" applyAlignment="1">
      <alignment horizontal="left" vertical="center"/>
    </xf>
    <xf numFmtId="0" fontId="22" fillId="7" borderId="0" xfId="0" applyFont="1" applyFill="1" applyAlignment="1">
      <alignment horizontal="left" vertical="center" indent="1"/>
    </xf>
    <xf numFmtId="0" fontId="22" fillId="7" borderId="0" xfId="0" applyFont="1" applyFill="1" applyAlignment="1">
      <alignment vertical="center"/>
    </xf>
    <xf numFmtId="0" fontId="23" fillId="7" borderId="0" xfId="0" applyFont="1" applyFill="1" applyAlignment="1">
      <alignment horizontal="left" vertical="center" indent="1"/>
    </xf>
    <xf numFmtId="44" fontId="17" fillId="7" borderId="0" xfId="1" applyFont="1" applyFill="1" applyBorder="1" applyAlignment="1">
      <alignment horizontal="centerContinuous" vertical="center"/>
    </xf>
    <xf numFmtId="1" fontId="25" fillId="7" borderId="0" xfId="0" applyNumberFormat="1" applyFont="1" applyFill="1" applyAlignment="1">
      <alignment horizontal="center" vertical="center"/>
    </xf>
    <xf numFmtId="0" fontId="25" fillId="7" borderId="0" xfId="0" applyFont="1" applyFill="1" applyAlignment="1">
      <alignment horizontal="left" vertical="center" wrapText="1" indent="1"/>
    </xf>
    <xf numFmtId="0" fontId="25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left" vertical="center" wrapText="1" indent="1"/>
    </xf>
    <xf numFmtId="0" fontId="25" fillId="7" borderId="0" xfId="0" applyFont="1" applyFill="1" applyAlignment="1" applyProtection="1">
      <alignment horizontal="center" vertical="center" wrapText="1"/>
      <protection locked="0"/>
    </xf>
    <xf numFmtId="0" fontId="25" fillId="7" borderId="0" xfId="0" applyFont="1" applyFill="1" applyAlignment="1" applyProtection="1">
      <alignment horizontal="left" vertical="center" wrapText="1" indent="1"/>
      <protection locked="0"/>
    </xf>
    <xf numFmtId="1" fontId="25" fillId="7" borderId="0" xfId="0" applyNumberFormat="1" applyFont="1" applyFill="1" applyAlignment="1" applyProtection="1">
      <alignment horizontal="left" vertical="center" wrapText="1" indent="1"/>
      <protection locked="0"/>
    </xf>
    <xf numFmtId="0" fontId="15" fillId="3" borderId="0" xfId="0" applyFont="1" applyFill="1"/>
    <xf numFmtId="0" fontId="16" fillId="3" borderId="0" xfId="0" applyFont="1" applyFill="1" applyAlignment="1">
      <alignment horizontal="left" vertical="center" indent="1"/>
    </xf>
    <xf numFmtId="0" fontId="55" fillId="3" borderId="0" xfId="0" applyFont="1" applyFill="1"/>
    <xf numFmtId="0" fontId="16" fillId="3" borderId="0" xfId="0" applyFont="1" applyFill="1" applyAlignment="1">
      <alignment horizontal="centerContinuous" vertical="center"/>
    </xf>
    <xf numFmtId="0" fontId="16" fillId="3" borderId="0" xfId="0" applyFont="1" applyFill="1" applyAlignment="1">
      <alignment vertical="center"/>
    </xf>
    <xf numFmtId="0" fontId="17" fillId="3" borderId="0" xfId="0" applyFont="1" applyFill="1" applyAlignment="1">
      <alignment horizontal="left" vertical="center" indent="1"/>
    </xf>
    <xf numFmtId="0" fontId="18" fillId="3" borderId="0" xfId="0" applyFont="1" applyFill="1" applyAlignment="1">
      <alignment horizontal="left" vertical="center" indent="1"/>
    </xf>
    <xf numFmtId="9" fontId="17" fillId="3" borderId="0" xfId="0" applyNumberFormat="1" applyFont="1" applyFill="1" applyAlignment="1">
      <alignment horizontal="left" vertical="center" indent="1"/>
    </xf>
    <xf numFmtId="2" fontId="13" fillId="3" borderId="0" xfId="0" applyNumberFormat="1" applyFont="1" applyFill="1" applyAlignment="1">
      <alignment horizontal="left" vertical="center" indent="1"/>
    </xf>
    <xf numFmtId="0" fontId="13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indent="1"/>
    </xf>
    <xf numFmtId="0" fontId="17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/>
    </xf>
    <xf numFmtId="0" fontId="20" fillId="3" borderId="0" xfId="0" applyFont="1" applyFill="1" applyAlignment="1">
      <alignment horizontal="center" vertical="top"/>
    </xf>
    <xf numFmtId="164" fontId="21" fillId="3" borderId="0" xfId="0" applyNumberFormat="1" applyFont="1" applyFill="1" applyAlignment="1">
      <alignment horizontal="right" vertical="center"/>
    </xf>
    <xf numFmtId="165" fontId="21" fillId="3" borderId="0" xfId="0" applyNumberFormat="1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 indent="1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horizontal="left" vertical="center" indent="1"/>
    </xf>
    <xf numFmtId="44" fontId="17" fillId="3" borderId="0" xfId="1" applyFont="1" applyFill="1" applyBorder="1" applyAlignment="1">
      <alignment horizontal="centerContinuous" vertical="center"/>
    </xf>
    <xf numFmtId="1" fontId="25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 wrapText="1" indent="1"/>
    </xf>
    <xf numFmtId="0" fontId="25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left" vertical="center" wrapText="1" indent="1"/>
    </xf>
    <xf numFmtId="0" fontId="25" fillId="3" borderId="0" xfId="0" applyFont="1" applyFill="1" applyAlignment="1" applyProtection="1">
      <alignment horizontal="center" vertical="center" wrapText="1"/>
      <protection locked="0"/>
    </xf>
    <xf numFmtId="0" fontId="25" fillId="3" borderId="0" xfId="0" applyFont="1" applyFill="1" applyAlignment="1" applyProtection="1">
      <alignment horizontal="left" vertical="center" wrapText="1" indent="1"/>
      <protection locked="0"/>
    </xf>
    <xf numFmtId="1" fontId="25" fillId="3" borderId="0" xfId="0" applyNumberFormat="1" applyFont="1" applyFill="1" applyAlignment="1" applyProtection="1">
      <alignment horizontal="left" vertical="center" wrapText="1" indent="1"/>
      <protection locked="0"/>
    </xf>
    <xf numFmtId="0" fontId="15" fillId="19" borderId="0" xfId="0" applyFont="1" applyFill="1"/>
    <xf numFmtId="0" fontId="16" fillId="19" borderId="0" xfId="0" applyFont="1" applyFill="1" applyAlignment="1">
      <alignment horizontal="left" vertical="center" indent="1"/>
    </xf>
    <xf numFmtId="0" fontId="16" fillId="19" borderId="0" xfId="0" applyFont="1" applyFill="1" applyAlignment="1">
      <alignment horizontal="center" vertical="center"/>
    </xf>
    <xf numFmtId="0" fontId="16" fillId="19" borderId="0" xfId="0" applyFont="1" applyFill="1" applyAlignment="1">
      <alignment vertical="center"/>
    </xf>
    <xf numFmtId="0" fontId="17" fillId="19" borderId="0" xfId="0" applyFont="1" applyFill="1" applyAlignment="1">
      <alignment horizontal="left" vertical="center" indent="1"/>
    </xf>
    <xf numFmtId="166" fontId="17" fillId="27" borderId="0" xfId="0" applyNumberFormat="1" applyFont="1" applyFill="1" applyAlignment="1">
      <alignment horizontal="left" vertical="center" indent="1"/>
    </xf>
    <xf numFmtId="9" fontId="17" fillId="19" borderId="0" xfId="0" applyNumberFormat="1" applyFont="1" applyFill="1" applyAlignment="1">
      <alignment horizontal="left" vertical="center" indent="1"/>
    </xf>
    <xf numFmtId="2" fontId="13" fillId="19" borderId="0" xfId="0" applyNumberFormat="1" applyFont="1" applyFill="1" applyAlignment="1">
      <alignment horizontal="left" vertical="center" indent="1"/>
    </xf>
    <xf numFmtId="0" fontId="13" fillId="19" borderId="0" xfId="0" applyFont="1" applyFill="1" applyAlignment="1">
      <alignment horizontal="left" vertical="center"/>
    </xf>
    <xf numFmtId="0" fontId="16" fillId="19" borderId="0" xfId="0" applyFont="1" applyFill="1" applyAlignment="1">
      <alignment horizontal="left" vertical="center"/>
    </xf>
    <xf numFmtId="0" fontId="9" fillId="19" borderId="0" xfId="0" applyFont="1" applyFill="1" applyAlignment="1">
      <alignment horizontal="left" vertical="center" indent="1"/>
    </xf>
    <xf numFmtId="0" fontId="17" fillId="19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left"/>
    </xf>
    <xf numFmtId="0" fontId="20" fillId="19" borderId="0" xfId="0" applyFont="1" applyFill="1" applyAlignment="1">
      <alignment horizontal="center" vertical="top"/>
    </xf>
    <xf numFmtId="164" fontId="21" fillId="19" borderId="0" xfId="0" applyNumberFormat="1" applyFont="1" applyFill="1" applyAlignment="1">
      <alignment horizontal="right" vertical="center"/>
    </xf>
    <xf numFmtId="165" fontId="21" fillId="19" borderId="0" xfId="0" applyNumberFormat="1" applyFont="1" applyFill="1" applyAlignment="1">
      <alignment horizontal="left" vertical="center"/>
    </xf>
    <xf numFmtId="0" fontId="22" fillId="19" borderId="0" xfId="0" applyFont="1" applyFill="1" applyAlignment="1">
      <alignment horizontal="left" vertical="center" indent="1"/>
    </xf>
    <xf numFmtId="0" fontId="22" fillId="19" borderId="0" xfId="0" applyFont="1" applyFill="1" applyAlignment="1">
      <alignment vertical="center"/>
    </xf>
    <xf numFmtId="0" fontId="23" fillId="19" borderId="0" xfId="0" applyFont="1" applyFill="1" applyAlignment="1">
      <alignment horizontal="left" vertical="center" indent="1"/>
    </xf>
    <xf numFmtId="0" fontId="18" fillId="19" borderId="0" xfId="0" applyFont="1" applyFill="1" applyAlignment="1">
      <alignment horizontal="left" vertical="center" indent="1"/>
    </xf>
    <xf numFmtId="44" fontId="17" fillId="19" borderId="0" xfId="1" applyFont="1" applyFill="1" applyBorder="1" applyAlignment="1">
      <alignment horizontal="center" vertical="center"/>
    </xf>
    <xf numFmtId="1" fontId="25" fillId="19" borderId="0" xfId="0" applyNumberFormat="1" applyFont="1" applyFill="1" applyAlignment="1">
      <alignment horizontal="center" vertical="center"/>
    </xf>
    <xf numFmtId="0" fontId="25" fillId="19" borderId="0" xfId="0" applyFont="1" applyFill="1" applyAlignment="1">
      <alignment horizontal="left" vertical="center" wrapText="1" indent="1"/>
    </xf>
    <xf numFmtId="0" fontId="25" fillId="19" borderId="0" xfId="0" applyFont="1" applyFill="1" applyAlignment="1">
      <alignment horizontal="center" vertical="center" wrapText="1"/>
    </xf>
    <xf numFmtId="0" fontId="16" fillId="19" borderId="0" xfId="0" applyFont="1" applyFill="1" applyAlignment="1">
      <alignment horizontal="center" vertical="center" wrapText="1"/>
    </xf>
    <xf numFmtId="0" fontId="16" fillId="19" borderId="0" xfId="0" applyFont="1" applyFill="1" applyAlignment="1">
      <alignment horizontal="left" vertical="center" wrapText="1" indent="1"/>
    </xf>
    <xf numFmtId="0" fontId="25" fillId="19" borderId="0" xfId="0" applyFont="1" applyFill="1" applyAlignment="1" applyProtection="1">
      <alignment horizontal="center" vertical="center" wrapText="1"/>
      <protection locked="0"/>
    </xf>
    <xf numFmtId="0" fontId="25" fillId="19" borderId="0" xfId="0" applyFont="1" applyFill="1" applyAlignment="1" applyProtection="1">
      <alignment horizontal="left" vertical="center" wrapText="1" indent="1"/>
      <protection locked="0"/>
    </xf>
    <xf numFmtId="1" fontId="25" fillId="19" borderId="0" xfId="0" applyNumberFormat="1" applyFont="1" applyFill="1" applyAlignment="1" applyProtection="1">
      <alignment horizontal="left" vertical="center" wrapText="1" indent="1"/>
      <protection locked="0"/>
    </xf>
    <xf numFmtId="1" fontId="9" fillId="19" borderId="0" xfId="0" quotePrefix="1" applyNumberFormat="1" applyFont="1" applyFill="1" applyAlignment="1">
      <alignment horizontal="center" vertical="center"/>
    </xf>
    <xf numFmtId="0" fontId="9" fillId="19" borderId="0" xfId="0" applyFont="1" applyFill="1" applyAlignment="1">
      <alignment horizontal="left" vertical="center" indent="2"/>
    </xf>
    <xf numFmtId="0" fontId="49" fillId="19" borderId="0" xfId="0" applyFont="1" applyFill="1" applyAlignment="1">
      <alignment horizontal="left" vertical="center" indent="2"/>
    </xf>
    <xf numFmtId="1" fontId="9" fillId="19" borderId="0" xfId="0" applyNumberFormat="1" applyFont="1" applyFill="1" applyAlignment="1">
      <alignment horizontal="left" vertical="center" indent="2"/>
    </xf>
    <xf numFmtId="44" fontId="9" fillId="19" borderId="0" xfId="1" applyFont="1" applyFill="1" applyBorder="1" applyAlignment="1">
      <alignment horizontal="left" vertical="center" indent="2"/>
    </xf>
    <xf numFmtId="44" fontId="9" fillId="19" borderId="0" xfId="0" applyNumberFormat="1" applyFont="1" applyFill="1" applyAlignment="1">
      <alignment horizontal="left" vertical="center" indent="2"/>
    </xf>
    <xf numFmtId="1" fontId="9" fillId="0" borderId="0" xfId="0" applyNumberFormat="1" applyFont="1" applyAlignment="1">
      <alignment horizontal="left" vertical="center" indent="2"/>
    </xf>
    <xf numFmtId="0" fontId="15" fillId="25" borderId="0" xfId="0" applyFont="1" applyFill="1"/>
    <xf numFmtId="0" fontId="16" fillId="25" borderId="0" xfId="0" applyFont="1" applyFill="1" applyAlignment="1">
      <alignment horizontal="left" vertical="center" indent="1"/>
    </xf>
    <xf numFmtId="0" fontId="16" fillId="25" borderId="0" xfId="0" applyFont="1" applyFill="1" applyAlignment="1">
      <alignment horizontal="centerContinuous" vertical="center"/>
    </xf>
    <xf numFmtId="0" fontId="16" fillId="25" borderId="0" xfId="0" applyFont="1" applyFill="1" applyAlignment="1">
      <alignment vertical="center"/>
    </xf>
    <xf numFmtId="0" fontId="17" fillId="25" borderId="0" xfId="0" applyFont="1" applyFill="1" applyAlignment="1">
      <alignment horizontal="left" vertical="center" indent="1"/>
    </xf>
    <xf numFmtId="0" fontId="18" fillId="25" borderId="0" xfId="0" applyFont="1" applyFill="1" applyAlignment="1">
      <alignment horizontal="left" vertical="center" indent="1"/>
    </xf>
    <xf numFmtId="9" fontId="17" fillId="25" borderId="0" xfId="0" applyNumberFormat="1" applyFont="1" applyFill="1" applyAlignment="1">
      <alignment horizontal="left" vertical="center" indent="1"/>
    </xf>
    <xf numFmtId="2" fontId="13" fillId="25" borderId="0" xfId="0" applyNumberFormat="1" applyFont="1" applyFill="1" applyAlignment="1">
      <alignment horizontal="left" vertical="center" indent="1"/>
    </xf>
    <xf numFmtId="0" fontId="13" fillId="25" borderId="0" xfId="0" applyFont="1" applyFill="1" applyAlignment="1">
      <alignment horizontal="left" vertical="center"/>
    </xf>
    <xf numFmtId="0" fontId="16" fillId="25" borderId="0" xfId="0" applyFont="1" applyFill="1" applyAlignment="1">
      <alignment horizontal="left" vertical="center"/>
    </xf>
    <xf numFmtId="0" fontId="9" fillId="25" borderId="0" xfId="0" applyFont="1" applyFill="1" applyAlignment="1">
      <alignment horizontal="left" vertical="center" indent="1"/>
    </xf>
    <xf numFmtId="0" fontId="17" fillId="25" borderId="0" xfId="0" applyFont="1" applyFill="1" applyAlignment="1">
      <alignment horizontal="center" vertical="center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center" vertical="top"/>
    </xf>
    <xf numFmtId="164" fontId="21" fillId="25" borderId="0" xfId="0" applyNumberFormat="1" applyFont="1" applyFill="1" applyAlignment="1">
      <alignment horizontal="right" vertical="center"/>
    </xf>
    <xf numFmtId="0" fontId="21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horizontal="left" vertical="center" indent="1"/>
    </xf>
    <xf numFmtId="44" fontId="22" fillId="25" borderId="0" xfId="0" applyNumberFormat="1" applyFont="1" applyFill="1" applyAlignment="1">
      <alignment vertical="center"/>
    </xf>
    <xf numFmtId="0" fontId="23" fillId="25" borderId="0" xfId="0" applyFont="1" applyFill="1" applyAlignment="1">
      <alignment horizontal="left" vertical="center" indent="1"/>
    </xf>
    <xf numFmtId="44" fontId="23" fillId="25" borderId="0" xfId="0" applyNumberFormat="1" applyFont="1" applyFill="1" applyAlignment="1">
      <alignment horizontal="left" vertical="center" indent="1"/>
    </xf>
    <xf numFmtId="44" fontId="23" fillId="27" borderId="0" xfId="0" applyNumberFormat="1" applyFont="1" applyFill="1" applyAlignment="1">
      <alignment horizontal="left" vertical="center" indent="1"/>
    </xf>
    <xf numFmtId="44" fontId="17" fillId="25" borderId="0" xfId="1" applyFont="1" applyFill="1" applyBorder="1" applyAlignment="1">
      <alignment horizontal="centerContinuous" vertical="center"/>
    </xf>
    <xf numFmtId="1" fontId="25" fillId="25" borderId="0" xfId="0" applyNumberFormat="1" applyFont="1" applyFill="1" applyAlignment="1">
      <alignment horizontal="center" vertical="center"/>
    </xf>
    <xf numFmtId="0" fontId="25" fillId="25" borderId="0" xfId="0" applyFont="1" applyFill="1" applyAlignment="1">
      <alignment horizontal="left" vertical="center" wrapText="1" indent="1"/>
    </xf>
    <xf numFmtId="0" fontId="25" fillId="25" borderId="0" xfId="0" applyFont="1" applyFill="1" applyAlignment="1">
      <alignment horizontal="center" vertical="center" wrapText="1"/>
    </xf>
    <xf numFmtId="0" fontId="16" fillId="25" borderId="0" xfId="0" applyFont="1" applyFill="1" applyAlignment="1">
      <alignment horizontal="center" vertical="center" wrapText="1"/>
    </xf>
    <xf numFmtId="0" fontId="16" fillId="25" borderId="0" xfId="0" applyFont="1" applyFill="1" applyAlignment="1">
      <alignment horizontal="left" vertical="center" wrapText="1" indent="1"/>
    </xf>
    <xf numFmtId="0" fontId="25" fillId="25" borderId="0" xfId="0" applyFont="1" applyFill="1" applyAlignment="1" applyProtection="1">
      <alignment horizontal="center" vertical="center" wrapText="1"/>
      <protection locked="0"/>
    </xf>
    <xf numFmtId="0" fontId="25" fillId="25" borderId="0" xfId="0" applyFont="1" applyFill="1" applyAlignment="1" applyProtection="1">
      <alignment horizontal="left" vertical="center" wrapText="1" indent="1"/>
      <protection locked="0"/>
    </xf>
    <xf numFmtId="1" fontId="25" fillId="25" borderId="0" xfId="0" applyNumberFormat="1" applyFont="1" applyFill="1" applyAlignment="1" applyProtection="1">
      <alignment horizontal="left" vertical="center" wrapText="1" indent="1"/>
      <protection locked="0"/>
    </xf>
    <xf numFmtId="44" fontId="17" fillId="27" borderId="0" xfId="0" applyNumberFormat="1" applyFont="1" applyFill="1" applyAlignment="1">
      <alignment vertical="center"/>
    </xf>
    <xf numFmtId="44" fontId="74" fillId="22" borderId="0" xfId="1" applyFont="1" applyFill="1" applyBorder="1" applyAlignment="1">
      <alignment horizontal="left" vertical="center" indent="1"/>
    </xf>
    <xf numFmtId="0" fontId="83" fillId="0" borderId="0" xfId="0" applyFont="1" applyProtection="1">
      <protection locked="0"/>
    </xf>
    <xf numFmtId="2" fontId="83" fillId="0" borderId="0" xfId="0" applyNumberFormat="1" applyFont="1" applyAlignment="1" applyProtection="1">
      <alignment horizontal="center"/>
      <protection locked="0"/>
    </xf>
    <xf numFmtId="0" fontId="83" fillId="0" borderId="0" xfId="0" applyFont="1" applyAlignment="1" applyProtection="1">
      <alignment horizontal="center"/>
      <protection locked="0"/>
    </xf>
    <xf numFmtId="44" fontId="7" fillId="0" borderId="0" xfId="1" applyFont="1" applyFill="1" applyProtection="1">
      <protection locked="0"/>
    </xf>
    <xf numFmtId="44" fontId="83" fillId="0" borderId="0" xfId="1" applyFont="1" applyProtection="1">
      <protection locked="0"/>
    </xf>
    <xf numFmtId="0" fontId="82" fillId="10" borderId="0" xfId="0" applyFont="1" applyFill="1" applyAlignment="1" applyProtection="1">
      <alignment horizontal="right"/>
      <protection locked="0"/>
    </xf>
    <xf numFmtId="44" fontId="52" fillId="10" borderId="0" xfId="1" applyFont="1" applyFill="1" applyAlignment="1">
      <alignment horizontal="center"/>
    </xf>
    <xf numFmtId="167" fontId="83" fillId="0" borderId="0" xfId="0" applyNumberFormat="1" applyFont="1" applyAlignment="1" applyProtection="1">
      <alignment horizontal="center"/>
      <protection locked="0"/>
    </xf>
    <xf numFmtId="0" fontId="82" fillId="29" borderId="0" xfId="0" applyFont="1" applyFill="1" applyAlignment="1" applyProtection="1">
      <alignment horizontal="right"/>
      <protection locked="0"/>
    </xf>
    <xf numFmtId="166" fontId="52" fillId="29" borderId="0" xfId="1" applyNumberFormat="1" applyFont="1" applyFill="1" applyProtection="1">
      <protection locked="0"/>
    </xf>
    <xf numFmtId="44" fontId="0" fillId="0" borderId="0" xfId="1" applyFont="1" applyFill="1" applyProtection="1">
      <protection locked="0"/>
    </xf>
    <xf numFmtId="166" fontId="83" fillId="0" borderId="0" xfId="0" applyNumberFormat="1" applyFont="1" applyProtection="1">
      <protection locked="0"/>
    </xf>
    <xf numFmtId="2" fontId="27" fillId="0" borderId="0" xfId="0" applyNumberFormat="1" applyFont="1" applyAlignment="1">
      <alignment horizontal="center"/>
    </xf>
    <xf numFmtId="2" fontId="82" fillId="0" borderId="0" xfId="0" applyNumberFormat="1" applyFont="1" applyAlignment="1" applyProtection="1">
      <alignment horizontal="center"/>
      <protection locked="0"/>
    </xf>
    <xf numFmtId="0" fontId="82" fillId="0" borderId="0" xfId="0" applyFont="1" applyAlignment="1" applyProtection="1">
      <alignment horizontal="center"/>
      <protection locked="0"/>
    </xf>
    <xf numFmtId="0" fontId="82" fillId="0" borderId="0" xfId="0" applyFont="1" applyProtection="1">
      <protection locked="0"/>
    </xf>
    <xf numFmtId="0" fontId="84" fillId="30" borderId="5" xfId="0" applyFont="1" applyFill="1" applyBorder="1" applyProtection="1">
      <protection locked="0"/>
    </xf>
    <xf numFmtId="0" fontId="83" fillId="0" borderId="0" xfId="0" applyFont="1" applyAlignment="1" applyProtection="1">
      <alignment vertical="center" wrapText="1"/>
      <protection locked="0"/>
    </xf>
    <xf numFmtId="167" fontId="84" fillId="30" borderId="7" xfId="0" applyNumberFormat="1" applyFont="1" applyFill="1" applyBorder="1" applyAlignment="1" applyProtection="1">
      <alignment horizontal="center"/>
      <protection locked="0"/>
    </xf>
    <xf numFmtId="167" fontId="84" fillId="30" borderId="8" xfId="0" applyNumberFormat="1" applyFont="1" applyFill="1" applyBorder="1" applyAlignment="1" applyProtection="1">
      <alignment horizontal="center"/>
      <protection locked="0"/>
    </xf>
    <xf numFmtId="0" fontId="84" fillId="30" borderId="7" xfId="0" applyFont="1" applyFill="1" applyBorder="1" applyProtection="1">
      <protection locked="0"/>
    </xf>
    <xf numFmtId="0" fontId="85" fillId="31" borderId="9" xfId="0" applyFont="1" applyFill="1" applyBorder="1" applyAlignment="1" applyProtection="1">
      <alignment horizontal="center"/>
      <protection locked="0"/>
    </xf>
    <xf numFmtId="0" fontId="84" fillId="30" borderId="9" xfId="0" applyFont="1" applyFill="1" applyBorder="1" applyAlignment="1" applyProtection="1">
      <alignment horizontal="center"/>
      <protection locked="0"/>
    </xf>
    <xf numFmtId="0" fontId="84" fillId="30" borderId="10" xfId="0" applyFont="1" applyFill="1" applyBorder="1" applyAlignment="1" applyProtection="1">
      <alignment horizontal="left"/>
      <protection locked="0"/>
    </xf>
    <xf numFmtId="0" fontId="84" fillId="30" borderId="7" xfId="4" applyNumberFormat="1" applyFont="1" applyFill="1" applyBorder="1" applyAlignment="1" applyProtection="1">
      <alignment horizontal="left"/>
      <protection locked="0"/>
    </xf>
    <xf numFmtId="0" fontId="84" fillId="30" borderId="7" xfId="0" applyFont="1" applyFill="1" applyBorder="1" applyAlignment="1" applyProtection="1">
      <alignment horizontal="left"/>
      <protection locked="0"/>
    </xf>
    <xf numFmtId="44" fontId="84" fillId="10" borderId="7" xfId="1" applyFont="1" applyFill="1" applyBorder="1" applyAlignment="1" applyProtection="1">
      <alignment horizontal="left"/>
      <protection locked="0"/>
    </xf>
    <xf numFmtId="166" fontId="84" fillId="30" borderId="7" xfId="0" applyNumberFormat="1" applyFont="1" applyFill="1" applyBorder="1" applyAlignment="1" applyProtection="1">
      <alignment horizontal="left"/>
      <protection locked="0"/>
    </xf>
    <xf numFmtId="166" fontId="84" fillId="0" borderId="7" xfId="0" applyNumberFormat="1" applyFont="1" applyBorder="1" applyAlignment="1" applyProtection="1">
      <alignment horizontal="center"/>
      <protection locked="0"/>
    </xf>
    <xf numFmtId="2" fontId="84" fillId="0" borderId="0" xfId="1" applyNumberFormat="1" applyFont="1" applyFill="1" applyBorder="1" applyAlignment="1" applyProtection="1">
      <alignment horizontal="center"/>
      <protection locked="0"/>
    </xf>
    <xf numFmtId="2" fontId="84" fillId="0" borderId="7" xfId="0" applyNumberFormat="1" applyFont="1" applyBorder="1" applyAlignment="1" applyProtection="1">
      <alignment horizontal="center"/>
      <protection locked="0"/>
    </xf>
    <xf numFmtId="0" fontId="84" fillId="0" borderId="7" xfId="0" applyFont="1" applyBorder="1" applyAlignment="1" applyProtection="1">
      <alignment horizontal="center"/>
      <protection locked="0"/>
    </xf>
    <xf numFmtId="166" fontId="84" fillId="0" borderId="7" xfId="0" applyNumberFormat="1" applyFont="1" applyBorder="1" applyProtection="1">
      <protection locked="0"/>
    </xf>
    <xf numFmtId="166" fontId="84" fillId="0" borderId="8" xfId="0" applyNumberFormat="1" applyFont="1" applyBorder="1" applyProtection="1">
      <protection locked="0"/>
    </xf>
    <xf numFmtId="0" fontId="83" fillId="0" borderId="0" xfId="0" applyFont="1" applyAlignment="1" applyProtection="1">
      <alignment horizontal="left"/>
      <protection locked="0"/>
    </xf>
    <xf numFmtId="43" fontId="83" fillId="0" borderId="0" xfId="4" applyFont="1" applyProtection="1">
      <protection locked="0"/>
    </xf>
    <xf numFmtId="2" fontId="83" fillId="0" borderId="0" xfId="1" applyNumberFormat="1" applyFont="1" applyAlignment="1" applyProtection="1">
      <alignment horizontal="center"/>
      <protection locked="0"/>
    </xf>
    <xf numFmtId="2" fontId="7" fillId="0" borderId="0" xfId="0" applyNumberFormat="1" applyFont="1" applyAlignment="1">
      <alignment horizontal="center"/>
    </xf>
    <xf numFmtId="167" fontId="84" fillId="2" borderId="11" xfId="0" applyNumberFormat="1" applyFont="1" applyFill="1" applyBorder="1" applyAlignment="1" applyProtection="1">
      <alignment horizontal="center"/>
      <protection locked="0"/>
    </xf>
    <xf numFmtId="0" fontId="84" fillId="2" borderId="8" xfId="0" applyFont="1" applyFill="1" applyBorder="1" applyProtection="1">
      <protection locked="0"/>
    </xf>
    <xf numFmtId="0" fontId="84" fillId="2" borderId="5" xfId="0" applyFont="1" applyFill="1" applyBorder="1" applyProtection="1">
      <protection locked="0"/>
    </xf>
    <xf numFmtId="0" fontId="84" fillId="2" borderId="12" xfId="0" applyFont="1" applyFill="1" applyBorder="1" applyAlignment="1" applyProtection="1">
      <alignment horizontal="center"/>
      <protection locked="0"/>
    </xf>
    <xf numFmtId="44" fontId="84" fillId="2" borderId="13" xfId="1" applyFont="1" applyFill="1" applyBorder="1" applyAlignment="1" applyProtection="1">
      <alignment horizontal="left"/>
      <protection locked="0"/>
    </xf>
    <xf numFmtId="166" fontId="84" fillId="2" borderId="14" xfId="0" applyNumberFormat="1" applyFont="1" applyFill="1" applyBorder="1" applyAlignment="1" applyProtection="1">
      <alignment horizontal="center"/>
      <protection locked="0"/>
    </xf>
    <xf numFmtId="166" fontId="84" fillId="2" borderId="5" xfId="4" applyNumberFormat="1" applyFont="1" applyFill="1" applyBorder="1" applyProtection="1">
      <protection locked="0"/>
    </xf>
    <xf numFmtId="0" fontId="84" fillId="2" borderId="5" xfId="0" applyFont="1" applyFill="1" applyBorder="1" applyAlignment="1" applyProtection="1">
      <alignment horizontal="center"/>
      <protection locked="0"/>
    </xf>
    <xf numFmtId="166" fontId="84" fillId="2" borderId="5" xfId="0" applyNumberFormat="1" applyFont="1" applyFill="1" applyBorder="1" applyProtection="1">
      <protection locked="0"/>
    </xf>
    <xf numFmtId="44" fontId="83" fillId="0" borderId="0" xfId="0" applyNumberFormat="1" applyFont="1" applyProtection="1">
      <protection locked="0"/>
    </xf>
    <xf numFmtId="0" fontId="84" fillId="2" borderId="15" xfId="0" applyFont="1" applyFill="1" applyBorder="1" applyProtection="1">
      <protection locked="0"/>
    </xf>
    <xf numFmtId="0" fontId="83" fillId="31" borderId="0" xfId="0" applyFont="1" applyFill="1" applyProtection="1">
      <protection locked="0"/>
    </xf>
    <xf numFmtId="167" fontId="84" fillId="2" borderId="16" xfId="0" applyNumberFormat="1" applyFont="1" applyFill="1" applyBorder="1" applyAlignment="1" applyProtection="1">
      <alignment horizontal="center"/>
      <protection locked="0"/>
    </xf>
    <xf numFmtId="166" fontId="84" fillId="2" borderId="16" xfId="1" applyNumberFormat="1" applyFont="1" applyFill="1" applyBorder="1" applyProtection="1">
      <protection locked="0"/>
    </xf>
    <xf numFmtId="167" fontId="84" fillId="2" borderId="5" xfId="0" applyNumberFormat="1" applyFont="1" applyFill="1" applyBorder="1" applyAlignment="1" applyProtection="1">
      <alignment horizontal="center"/>
      <protection locked="0"/>
    </xf>
    <xf numFmtId="0" fontId="84" fillId="2" borderId="16" xfId="0" applyFont="1" applyFill="1" applyBorder="1" applyProtection="1">
      <protection locked="0"/>
    </xf>
    <xf numFmtId="44" fontId="84" fillId="2" borderId="5" xfId="1" applyFont="1" applyFill="1" applyBorder="1" applyAlignment="1" applyProtection="1">
      <alignment horizontal="left"/>
      <protection locked="0"/>
    </xf>
    <xf numFmtId="166" fontId="84" fillId="2" borderId="5" xfId="0" applyNumberFormat="1" applyFont="1" applyFill="1" applyBorder="1" applyAlignment="1" applyProtection="1">
      <alignment horizontal="left"/>
      <protection locked="0"/>
    </xf>
    <xf numFmtId="14" fontId="84" fillId="2" borderId="5" xfId="0" applyNumberFormat="1" applyFont="1" applyFill="1" applyBorder="1" applyProtection="1">
      <protection locked="0"/>
    </xf>
    <xf numFmtId="6" fontId="84" fillId="2" borderId="5" xfId="1" applyNumberFormat="1" applyFont="1" applyFill="1" applyBorder="1" applyAlignment="1" applyProtection="1">
      <alignment horizontal="left"/>
      <protection locked="0"/>
    </xf>
    <xf numFmtId="167" fontId="84" fillId="2" borderId="8" xfId="0" applyNumberFormat="1" applyFont="1" applyFill="1" applyBorder="1" applyAlignment="1" applyProtection="1">
      <alignment horizontal="center"/>
      <protection locked="0"/>
    </xf>
    <xf numFmtId="0" fontId="85" fillId="2" borderId="12" xfId="0" applyFont="1" applyFill="1" applyBorder="1" applyAlignment="1" applyProtection="1">
      <alignment horizontal="center"/>
      <protection locked="0"/>
    </xf>
    <xf numFmtId="167" fontId="84" fillId="30" borderId="5" xfId="0" applyNumberFormat="1" applyFont="1" applyFill="1" applyBorder="1" applyAlignment="1" applyProtection="1">
      <alignment horizontal="center"/>
      <protection locked="0"/>
    </xf>
    <xf numFmtId="0" fontId="85" fillId="31" borderId="12" xfId="0" applyFont="1" applyFill="1" applyBorder="1" applyAlignment="1" applyProtection="1">
      <alignment horizontal="center"/>
      <protection locked="0"/>
    </xf>
    <xf numFmtId="0" fontId="84" fillId="30" borderId="12" xfId="0" applyFont="1" applyFill="1" applyBorder="1" applyAlignment="1" applyProtection="1">
      <alignment horizontal="center"/>
      <protection locked="0"/>
    </xf>
    <xf numFmtId="166" fontId="84" fillId="30" borderId="5" xfId="0" applyNumberFormat="1" applyFont="1" applyFill="1" applyBorder="1" applyAlignment="1" applyProtection="1">
      <alignment horizontal="left"/>
      <protection locked="0"/>
    </xf>
    <xf numFmtId="44" fontId="84" fillId="10" borderId="5" xfId="1" applyFont="1" applyFill="1" applyBorder="1" applyAlignment="1" applyProtection="1">
      <alignment horizontal="left"/>
      <protection locked="0"/>
    </xf>
    <xf numFmtId="166" fontId="84" fillId="0" borderId="5" xfId="4" applyNumberFormat="1" applyFont="1" applyFill="1" applyBorder="1" applyProtection="1">
      <protection locked="0"/>
    </xf>
    <xf numFmtId="166" fontId="84" fillId="0" borderId="5" xfId="0" applyNumberFormat="1" applyFont="1" applyBorder="1" applyProtection="1">
      <protection locked="0"/>
    </xf>
    <xf numFmtId="166" fontId="84" fillId="0" borderId="16" xfId="0" applyNumberFormat="1" applyFont="1" applyBorder="1" applyProtection="1">
      <protection locked="0"/>
    </xf>
    <xf numFmtId="167" fontId="84" fillId="30" borderId="16" xfId="0" applyNumberFormat="1" applyFont="1" applyFill="1" applyBorder="1" applyAlignment="1" applyProtection="1">
      <alignment horizontal="center"/>
      <protection locked="0"/>
    </xf>
    <xf numFmtId="166" fontId="84" fillId="0" borderId="5" xfId="0" applyNumberFormat="1" applyFont="1" applyBorder="1" applyAlignment="1" applyProtection="1">
      <alignment horizontal="center"/>
      <protection locked="0"/>
    </xf>
    <xf numFmtId="166" fontId="84" fillId="0" borderId="16" xfId="1" applyNumberFormat="1" applyFont="1" applyFill="1" applyBorder="1" applyProtection="1">
      <protection locked="0"/>
    </xf>
    <xf numFmtId="0" fontId="86" fillId="27" borderId="0" xfId="0" applyFont="1" applyFill="1" applyAlignment="1">
      <alignment horizontal="left" vertical="center"/>
    </xf>
    <xf numFmtId="0" fontId="87" fillId="27" borderId="0" xfId="0" applyFont="1" applyFill="1"/>
    <xf numFmtId="0" fontId="0" fillId="27" borderId="0" xfId="0" applyFill="1" applyAlignment="1">
      <alignment horizontal="left"/>
    </xf>
    <xf numFmtId="0" fontId="0" fillId="27" borderId="0" xfId="0" applyFill="1"/>
    <xf numFmtId="0" fontId="88" fillId="0" borderId="0" xfId="0" applyFont="1" applyAlignment="1">
      <alignment horizontal="center" vertical="center"/>
    </xf>
    <xf numFmtId="14" fontId="0" fillId="0" borderId="0" xfId="0" applyNumberFormat="1"/>
    <xf numFmtId="44" fontId="0" fillId="0" borderId="0" xfId="1" applyFont="1"/>
    <xf numFmtId="0" fontId="89" fillId="0" borderId="0" xfId="0" applyFont="1"/>
    <xf numFmtId="7" fontId="0" fillId="0" borderId="0" xfId="0" applyNumberFormat="1"/>
    <xf numFmtId="0" fontId="0" fillId="0" borderId="0" xfId="0" applyAlignment="1">
      <alignment horizontal="left"/>
    </xf>
    <xf numFmtId="0" fontId="99" fillId="16" borderId="0" xfId="0" applyFont="1" applyFill="1" applyProtection="1">
      <protection locked="0"/>
    </xf>
    <xf numFmtId="167" fontId="100" fillId="16" borderId="3" xfId="0" applyNumberFormat="1" applyFont="1" applyFill="1" applyBorder="1" applyAlignment="1" applyProtection="1">
      <alignment horizontal="center" vertical="center" wrapText="1"/>
      <protection locked="0"/>
    </xf>
    <xf numFmtId="167" fontId="100" fillId="16" borderId="4" xfId="0" applyNumberFormat="1" applyFont="1" applyFill="1" applyBorder="1" applyAlignment="1" applyProtection="1">
      <alignment horizontal="center" vertical="center" wrapText="1"/>
      <protection locked="0"/>
    </xf>
    <xf numFmtId="0" fontId="100" fillId="16" borderId="4" xfId="0" applyFont="1" applyFill="1" applyBorder="1" applyAlignment="1" applyProtection="1">
      <alignment vertical="center" wrapText="1"/>
      <protection locked="0"/>
    </xf>
    <xf numFmtId="0" fontId="101" fillId="16" borderId="5" xfId="0" applyFont="1" applyFill="1" applyBorder="1" applyProtection="1">
      <protection locked="0"/>
    </xf>
    <xf numFmtId="0" fontId="100" fillId="16" borderId="6" xfId="0" applyFont="1" applyFill="1" applyBorder="1" applyAlignment="1" applyProtection="1">
      <alignment horizontal="center" vertical="center" wrapText="1"/>
      <protection locked="0"/>
    </xf>
    <xf numFmtId="44" fontId="100" fillId="16" borderId="4" xfId="1" applyFont="1" applyFill="1" applyBorder="1" applyAlignment="1" applyProtection="1">
      <alignment horizontal="center" vertical="center" wrapText="1"/>
      <protection locked="0"/>
    </xf>
    <xf numFmtId="0" fontId="100" fillId="16" borderId="4" xfId="0" applyFont="1" applyFill="1" applyBorder="1" applyAlignment="1" applyProtection="1">
      <alignment horizontal="center" vertical="center" wrapText="1"/>
      <protection locked="0"/>
    </xf>
    <xf numFmtId="43" fontId="100" fillId="16" borderId="4" xfId="4" applyFont="1" applyFill="1" applyBorder="1" applyAlignment="1" applyProtection="1">
      <alignment horizontal="right" vertical="center" wrapText="1"/>
      <protection locked="0"/>
    </xf>
    <xf numFmtId="166" fontId="100" fillId="16" borderId="4" xfId="0" applyNumberFormat="1" applyFont="1" applyFill="1" applyBorder="1" applyAlignment="1" applyProtection="1">
      <alignment horizontal="center" vertical="center" wrapText="1"/>
      <protection locked="0"/>
    </xf>
    <xf numFmtId="166" fontId="100" fillId="16" borderId="4" xfId="1" applyNumberFormat="1" applyFont="1" applyFill="1" applyBorder="1" applyAlignment="1" applyProtection="1">
      <alignment horizontal="right" vertical="center" wrapText="1"/>
      <protection locked="0"/>
    </xf>
    <xf numFmtId="44" fontId="102" fillId="16" borderId="0" xfId="1" applyFont="1" applyFill="1" applyAlignment="1">
      <alignment horizontal="right"/>
    </xf>
    <xf numFmtId="0" fontId="81" fillId="0" borderId="0" xfId="0" applyFont="1"/>
    <xf numFmtId="44" fontId="27" fillId="0" borderId="0" xfId="1" applyFont="1" applyFill="1" applyProtection="1">
      <protection locked="0"/>
    </xf>
    <xf numFmtId="44" fontId="81" fillId="0" borderId="0" xfId="1" applyFont="1" applyFill="1" applyProtection="1">
      <protection locked="0"/>
    </xf>
    <xf numFmtId="0" fontId="99" fillId="16" borderId="0" xfId="0" applyFont="1" applyFill="1" applyAlignment="1" applyProtection="1">
      <alignment vertical="center"/>
      <protection locked="0"/>
    </xf>
    <xf numFmtId="0" fontId="82" fillId="0" borderId="0" xfId="0" applyFont="1" applyAlignment="1" applyProtection="1">
      <alignment vertical="center"/>
      <protection locked="0"/>
    </xf>
    <xf numFmtId="0" fontId="81" fillId="0" borderId="0" xfId="0" applyFont="1" applyAlignment="1">
      <alignment vertical="center"/>
    </xf>
    <xf numFmtId="0" fontId="102" fillId="16" borderId="0" xfId="0" applyFont="1" applyFill="1" applyAlignment="1" applyProtection="1">
      <alignment vertical="center"/>
      <protection locked="0"/>
    </xf>
    <xf numFmtId="0" fontId="100" fillId="16" borderId="0" xfId="0" applyFont="1" applyFill="1" applyProtection="1">
      <protection locked="0"/>
    </xf>
    <xf numFmtId="44" fontId="99" fillId="16" borderId="0" xfId="1" applyFont="1" applyFill="1" applyAlignment="1">
      <alignment horizontal="right"/>
    </xf>
    <xf numFmtId="2" fontId="100" fillId="16" borderId="4" xfId="4" applyNumberFormat="1" applyFont="1" applyFill="1" applyBorder="1" applyAlignment="1" applyProtection="1">
      <alignment horizontal="center" vertical="center" wrapText="1"/>
      <protection locked="0"/>
    </xf>
    <xf numFmtId="2" fontId="100" fillId="16" borderId="4" xfId="0" applyNumberFormat="1" applyFont="1" applyFill="1" applyBorder="1" applyAlignment="1" applyProtection="1">
      <alignment horizontal="center" vertical="center" wrapText="1"/>
      <protection locked="0"/>
    </xf>
    <xf numFmtId="44" fontId="74" fillId="0" borderId="0" xfId="0" applyNumberFormat="1" applyFont="1" applyAlignment="1">
      <alignment horizontal="left" vertical="center" indent="1"/>
    </xf>
    <xf numFmtId="0" fontId="104" fillId="36" borderId="0" xfId="3" applyFont="1" applyFill="1" applyBorder="1" applyAlignment="1">
      <alignment horizontal="left" vertical="center"/>
    </xf>
    <xf numFmtId="0" fontId="11" fillId="36" borderId="0" xfId="3" applyFont="1" applyFill="1" applyBorder="1" applyAlignment="1">
      <alignment horizontal="left" vertical="center"/>
    </xf>
    <xf numFmtId="44" fontId="113" fillId="0" borderId="0" xfId="0" applyNumberFormat="1" applyFont="1" applyAlignment="1">
      <alignment horizontal="left" vertical="center" indent="1"/>
    </xf>
    <xf numFmtId="44" fontId="108" fillId="20" borderId="19" xfId="1" applyFont="1" applyFill="1" applyBorder="1" applyAlignment="1">
      <alignment vertical="center"/>
    </xf>
    <xf numFmtId="44" fontId="108" fillId="20" borderId="6" xfId="1" applyFont="1" applyFill="1" applyBorder="1" applyAlignment="1">
      <alignment horizontal="left" vertical="center" indent="1"/>
    </xf>
    <xf numFmtId="44" fontId="5" fillId="0" borderId="19" xfId="1" applyFont="1" applyFill="1" applyBorder="1" applyAlignment="1">
      <alignment horizontal="left" vertical="center" indent="1"/>
    </xf>
    <xf numFmtId="44" fontId="5" fillId="0" borderId="6" xfId="1" applyFont="1" applyFill="1" applyBorder="1" applyAlignment="1">
      <alignment horizontal="left" vertical="center" indent="1"/>
    </xf>
    <xf numFmtId="0" fontId="90" fillId="0" borderId="19" xfId="0" applyFont="1" applyBorder="1"/>
    <xf numFmtId="0" fontId="106" fillId="6" borderId="19" xfId="3" applyFont="1" applyFill="1" applyBorder="1" applyAlignment="1">
      <alignment horizontal="left" vertical="center"/>
    </xf>
    <xf numFmtId="44" fontId="108" fillId="6" borderId="6" xfId="1" applyFont="1" applyFill="1" applyBorder="1" applyAlignment="1">
      <alignment horizontal="left" vertical="center" indent="1"/>
    </xf>
    <xf numFmtId="0" fontId="12" fillId="5" borderId="19" xfId="3" applyFont="1" applyFill="1" applyBorder="1" applyAlignment="1">
      <alignment horizontal="left" vertical="center"/>
    </xf>
    <xf numFmtId="44" fontId="11" fillId="5" borderId="6" xfId="1" applyFont="1" applyFill="1" applyBorder="1" applyAlignment="1">
      <alignment horizontal="left" vertical="center" indent="1"/>
    </xf>
    <xf numFmtId="0" fontId="12" fillId="4" borderId="19" xfId="3" applyFont="1" applyFill="1" applyBorder="1" applyAlignment="1">
      <alignment horizontal="left" vertical="center"/>
    </xf>
    <xf numFmtId="44" fontId="11" fillId="4" borderId="6" xfId="1" applyFont="1" applyFill="1" applyBorder="1" applyAlignment="1">
      <alignment horizontal="left" vertical="center" indent="1"/>
    </xf>
    <xf numFmtId="44" fontId="105" fillId="19" borderId="19" xfId="1" applyFont="1" applyFill="1" applyBorder="1" applyAlignment="1">
      <alignment horizontal="left" vertical="center"/>
    </xf>
    <xf numFmtId="44" fontId="108" fillId="19" borderId="6" xfId="1" applyFont="1" applyFill="1" applyBorder="1" applyAlignment="1">
      <alignment horizontal="left" vertical="center" indent="1"/>
    </xf>
    <xf numFmtId="44" fontId="5" fillId="19" borderId="19" xfId="1" applyFont="1" applyFill="1" applyBorder="1" applyAlignment="1">
      <alignment horizontal="left" vertical="center" indent="1"/>
    </xf>
    <xf numFmtId="44" fontId="5" fillId="19" borderId="6" xfId="1" applyFont="1" applyFill="1" applyBorder="1" applyAlignment="1">
      <alignment horizontal="left" vertical="center" indent="1"/>
    </xf>
    <xf numFmtId="44" fontId="5" fillId="0" borderId="6" xfId="1" applyFont="1" applyBorder="1" applyAlignment="1">
      <alignment horizontal="left" vertical="center" indent="1"/>
    </xf>
    <xf numFmtId="44" fontId="5" fillId="0" borderId="19" xfId="1" applyFont="1" applyFill="1" applyBorder="1"/>
    <xf numFmtId="44" fontId="5" fillId="28" borderId="6" xfId="1" applyFont="1" applyFill="1" applyBorder="1"/>
    <xf numFmtId="44" fontId="5" fillId="0" borderId="6" xfId="1" applyFont="1" applyBorder="1"/>
    <xf numFmtId="44" fontId="5" fillId="28" borderId="6" xfId="1" applyFont="1" applyFill="1" applyBorder="1" applyAlignment="1">
      <alignment horizontal="left" vertical="center" indent="1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14" fillId="0" borderId="0" xfId="3" applyFont="1" applyFill="1" applyBorder="1" applyAlignment="1">
      <alignment horizontal="left" vertical="center" indent="1"/>
    </xf>
    <xf numFmtId="44" fontId="109" fillId="0" borderId="0" xfId="1" applyFont="1" applyFill="1" applyBorder="1" applyAlignment="1">
      <alignment horizontal="center" vertical="center"/>
    </xf>
    <xf numFmtId="0" fontId="5" fillId="36" borderId="0" xfId="1" applyNumberFormat="1" applyFont="1" applyFill="1" applyBorder="1" applyAlignment="1">
      <alignment horizontal="right" vertical="center" indent="1"/>
    </xf>
    <xf numFmtId="0" fontId="27" fillId="0" borderId="0" xfId="0" applyFont="1"/>
    <xf numFmtId="44" fontId="108" fillId="31" borderId="0" xfId="1" applyFont="1" applyFill="1" applyBorder="1" applyAlignment="1">
      <alignment horizontal="left" vertical="center" indent="1"/>
    </xf>
    <xf numFmtId="44" fontId="112" fillId="31" borderId="0" xfId="1" applyFont="1" applyFill="1" applyBorder="1" applyAlignment="1">
      <alignment horizontal="left" vertical="center"/>
    </xf>
    <xf numFmtId="44" fontId="79" fillId="31" borderId="19" xfId="1" applyFont="1" applyFill="1" applyBorder="1" applyAlignment="1">
      <alignment horizontal="left" vertical="center"/>
    </xf>
    <xf numFmtId="44" fontId="108" fillId="31" borderId="19" xfId="1" applyFont="1" applyFill="1" applyBorder="1" applyAlignment="1"/>
    <xf numFmtId="44" fontId="108" fillId="31" borderId="6" xfId="1" applyFont="1" applyFill="1" applyBorder="1" applyAlignment="1">
      <alignment horizontal="left" vertical="center" indent="1"/>
    </xf>
    <xf numFmtId="44" fontId="109" fillId="0" borderId="19" xfId="1" applyFont="1" applyFill="1" applyBorder="1" applyAlignment="1">
      <alignment horizontal="center" vertical="center"/>
    </xf>
    <xf numFmtId="44" fontId="109" fillId="0" borderId="6" xfId="1" applyFont="1" applyFill="1" applyBorder="1" applyAlignment="1">
      <alignment horizontal="center" vertical="center"/>
    </xf>
    <xf numFmtId="44" fontId="5" fillId="0" borderId="19" xfId="1" applyFont="1" applyBorder="1"/>
    <xf numFmtId="0" fontId="0" fillId="0" borderId="19" xfId="0" applyBorder="1"/>
    <xf numFmtId="0" fontId="0" fillId="0" borderId="6" xfId="0" applyBorder="1"/>
    <xf numFmtId="44" fontId="11" fillId="36" borderId="6" xfId="1" applyFont="1" applyFill="1" applyBorder="1" applyAlignment="1">
      <alignment horizontal="left" vertical="center" indent="1"/>
    </xf>
    <xf numFmtId="0" fontId="14" fillId="0" borderId="19" xfId="3" applyFont="1" applyFill="1" applyBorder="1" applyAlignment="1">
      <alignment horizontal="left" vertical="center" indent="1"/>
    </xf>
    <xf numFmtId="0" fontId="14" fillId="0" borderId="6" xfId="5" applyFont="1" applyFill="1" applyBorder="1" applyAlignment="1">
      <alignment horizontal="center" vertical="center"/>
    </xf>
    <xf numFmtId="44" fontId="5" fillId="36" borderId="6" xfId="1" applyFont="1" applyFill="1" applyBorder="1" applyAlignment="1">
      <alignment horizontal="left" vertical="center" indent="1"/>
    </xf>
    <xf numFmtId="0" fontId="5" fillId="0" borderId="19" xfId="0" applyFont="1" applyBorder="1"/>
    <xf numFmtId="0" fontId="5" fillId="0" borderId="6" xfId="0" applyFont="1" applyBorder="1"/>
    <xf numFmtId="0" fontId="104" fillId="22" borderId="19" xfId="3" applyFont="1" applyFill="1" applyBorder="1" applyAlignment="1">
      <alignment horizontal="left" vertical="center"/>
    </xf>
    <xf numFmtId="0" fontId="11" fillId="22" borderId="19" xfId="3" applyFont="1" applyFill="1" applyBorder="1" applyAlignment="1">
      <alignment horizontal="left" vertical="center"/>
    </xf>
    <xf numFmtId="0" fontId="13" fillId="22" borderId="6" xfId="0" applyFont="1" applyFill="1" applyBorder="1" applyAlignment="1">
      <alignment vertical="center"/>
    </xf>
    <xf numFmtId="44" fontId="111" fillId="0" borderId="19" xfId="1" applyFont="1" applyFill="1" applyBorder="1" applyAlignment="1">
      <alignment horizontal="left" vertical="center" indent="1"/>
    </xf>
    <xf numFmtId="44" fontId="5" fillId="22" borderId="19" xfId="1" applyFont="1" applyFill="1" applyBorder="1" applyAlignment="1">
      <alignment horizontal="left" vertical="center" indent="1"/>
    </xf>
    <xf numFmtId="0" fontId="6" fillId="13" borderId="19" xfId="3" applyFont="1" applyFill="1" applyBorder="1" applyAlignment="1">
      <alignment horizontal="left" vertical="center"/>
    </xf>
    <xf numFmtId="0" fontId="11" fillId="15" borderId="19" xfId="3" applyFont="1" applyFill="1" applyBorder="1" applyAlignment="1">
      <alignment horizontal="left" vertical="center"/>
    </xf>
    <xf numFmtId="44" fontId="11" fillId="15" borderId="6" xfId="1" applyFont="1" applyFill="1" applyBorder="1" applyAlignment="1">
      <alignment horizontal="left" vertical="center" indent="1"/>
    </xf>
    <xf numFmtId="0" fontId="14" fillId="15" borderId="19" xfId="1" applyNumberFormat="1" applyFont="1" applyFill="1" applyBorder="1" applyAlignment="1">
      <alignment horizontal="left" vertical="center" indent="1"/>
    </xf>
    <xf numFmtId="44" fontId="5" fillId="15" borderId="6" xfId="1" applyFont="1" applyFill="1" applyBorder="1" applyAlignment="1">
      <alignment horizontal="left" vertical="center" indent="1"/>
    </xf>
    <xf numFmtId="44" fontId="14" fillId="0" borderId="19" xfId="1" applyFont="1" applyFill="1" applyBorder="1" applyAlignment="1">
      <alignment horizontal="left" vertical="center" indent="1"/>
    </xf>
    <xf numFmtId="44" fontId="5" fillId="13" borderId="19" xfId="1" applyFont="1" applyFill="1" applyBorder="1" applyAlignment="1">
      <alignment horizontal="left" vertical="center" indent="1"/>
    </xf>
    <xf numFmtId="0" fontId="104" fillId="7" borderId="19" xfId="3" applyFont="1" applyFill="1" applyBorder="1" applyAlignment="1">
      <alignment horizontal="left" vertical="center"/>
    </xf>
    <xf numFmtId="0" fontId="12" fillId="7" borderId="19" xfId="3" applyFont="1" applyFill="1" applyBorder="1" applyAlignment="1">
      <alignment horizontal="left" vertical="center"/>
    </xf>
    <xf numFmtId="0" fontId="11" fillId="7" borderId="6" xfId="0" applyFont="1" applyFill="1" applyBorder="1"/>
    <xf numFmtId="44" fontId="5" fillId="7" borderId="19" xfId="1" applyFont="1" applyFill="1" applyBorder="1" applyAlignment="1">
      <alignment horizontal="right" vertical="center" indent="1"/>
    </xf>
    <xf numFmtId="44" fontId="5" fillId="7" borderId="6" xfId="1" applyFont="1" applyFill="1" applyBorder="1" applyAlignment="1">
      <alignment horizontal="left" vertical="center" indent="1"/>
    </xf>
    <xf numFmtId="44" fontId="5" fillId="7" borderId="19" xfId="1" applyFont="1" applyFill="1" applyBorder="1" applyAlignment="1">
      <alignment horizontal="left" vertical="center" indent="1"/>
    </xf>
    <xf numFmtId="44" fontId="78" fillId="4" borderId="19" xfId="0" applyNumberFormat="1" applyFont="1" applyFill="1" applyBorder="1" applyAlignment="1">
      <alignment vertical="top"/>
    </xf>
    <xf numFmtId="44" fontId="5" fillId="4" borderId="19" xfId="1" applyFont="1" applyFill="1" applyBorder="1" applyAlignment="1">
      <alignment horizontal="left" vertical="center" indent="1"/>
    </xf>
    <xf numFmtId="44" fontId="5" fillId="4" borderId="6" xfId="1" applyFont="1" applyFill="1" applyBorder="1" applyAlignment="1">
      <alignment horizontal="left" vertical="center" indent="1"/>
    </xf>
    <xf numFmtId="44" fontId="14" fillId="4" borderId="19" xfId="1" applyFont="1" applyFill="1" applyBorder="1" applyAlignment="1">
      <alignment horizontal="left" vertical="center" indent="1"/>
    </xf>
    <xf numFmtId="0" fontId="6" fillId="5" borderId="19" xfId="3" applyFont="1" applyFill="1" applyBorder="1" applyAlignment="1">
      <alignment horizontal="left" vertical="center"/>
    </xf>
    <xf numFmtId="44" fontId="5" fillId="5" borderId="19" xfId="1" applyFont="1" applyFill="1" applyBorder="1" applyAlignment="1">
      <alignment horizontal="left" vertical="center" indent="1"/>
    </xf>
    <xf numFmtId="44" fontId="5" fillId="5" borderId="6" xfId="1" applyFont="1" applyFill="1" applyBorder="1" applyAlignment="1">
      <alignment horizontal="left" vertical="center" indent="1"/>
    </xf>
    <xf numFmtId="0" fontId="105" fillId="6" borderId="19" xfId="3" applyFont="1" applyFill="1" applyBorder="1" applyAlignment="1">
      <alignment horizontal="left" vertical="center"/>
    </xf>
    <xf numFmtId="0" fontId="109" fillId="0" borderId="19" xfId="3" applyFont="1" applyFill="1" applyBorder="1" applyAlignment="1">
      <alignment horizontal="left" vertical="center" indent="1"/>
    </xf>
    <xf numFmtId="0" fontId="109" fillId="0" borderId="6" xfId="5" applyFont="1" applyFill="1" applyBorder="1" applyAlignment="1">
      <alignment horizontal="center" vertical="center"/>
    </xf>
    <xf numFmtId="44" fontId="5" fillId="6" borderId="19" xfId="1" applyFont="1" applyFill="1" applyBorder="1" applyAlignment="1">
      <alignment horizontal="left" vertical="center" indent="1"/>
    </xf>
    <xf numFmtId="44" fontId="5" fillId="6" borderId="6" xfId="1" applyFont="1" applyFill="1" applyBorder="1" applyAlignment="1">
      <alignment horizontal="left" vertical="center" indent="1"/>
    </xf>
    <xf numFmtId="44" fontId="17" fillId="19" borderId="19" xfId="1" applyFont="1" applyFill="1" applyBorder="1" applyAlignment="1">
      <alignment horizontal="left" vertical="center"/>
    </xf>
    <xf numFmtId="44" fontId="14" fillId="0" borderId="19" xfId="1" applyFont="1" applyFill="1" applyBorder="1" applyAlignment="1">
      <alignment horizontal="center" vertical="center"/>
    </xf>
    <xf numFmtId="44" fontId="79" fillId="20" borderId="19" xfId="0" applyNumberFormat="1" applyFont="1" applyFill="1" applyBorder="1" applyAlignment="1">
      <alignment horizontal="left" vertical="center"/>
    </xf>
    <xf numFmtId="0" fontId="109" fillId="0" borderId="19" xfId="5" applyFont="1" applyFill="1" applyBorder="1" applyAlignment="1">
      <alignment horizontal="center" vertical="center"/>
    </xf>
    <xf numFmtId="44" fontId="14" fillId="0" borderId="6" xfId="1" applyFont="1" applyFill="1" applyBorder="1" applyAlignment="1">
      <alignment horizontal="center" vertical="center"/>
    </xf>
    <xf numFmtId="44" fontId="5" fillId="20" borderId="19" xfId="1" applyFont="1" applyFill="1" applyBorder="1" applyAlignment="1">
      <alignment horizontal="left" vertical="center" indent="1"/>
    </xf>
    <xf numFmtId="44" fontId="5" fillId="20" borderId="6" xfId="1" applyFont="1" applyFill="1" applyBorder="1" applyAlignment="1">
      <alignment horizontal="left" vertical="center" indent="1"/>
    </xf>
    <xf numFmtId="44" fontId="79" fillId="13" borderId="19" xfId="1" applyFont="1" applyFill="1" applyBorder="1" applyAlignment="1">
      <alignment horizontal="left" vertical="center"/>
    </xf>
    <xf numFmtId="44" fontId="108" fillId="13" borderId="19" xfId="1" applyFont="1" applyFill="1" applyBorder="1" applyAlignment="1">
      <alignment horizontal="left" vertical="center" indent="1"/>
    </xf>
    <xf numFmtId="44" fontId="108" fillId="13" borderId="6" xfId="1" applyFont="1" applyFill="1" applyBorder="1" applyAlignment="1">
      <alignment horizontal="left" vertical="center" indent="1"/>
    </xf>
    <xf numFmtId="44" fontId="5" fillId="13" borderId="6" xfId="1" applyFont="1" applyFill="1" applyBorder="1" applyAlignment="1">
      <alignment horizontal="left" vertical="center" indent="1"/>
    </xf>
    <xf numFmtId="0" fontId="79" fillId="7" borderId="19" xfId="0" applyFont="1" applyFill="1" applyBorder="1" applyAlignment="1">
      <alignment horizontal="left" vertical="center" indent="1"/>
    </xf>
    <xf numFmtId="0" fontId="20" fillId="7" borderId="19" xfId="0" applyFont="1" applyFill="1" applyBorder="1" applyAlignment="1">
      <alignment horizontal="left" vertical="center" indent="1"/>
    </xf>
    <xf numFmtId="0" fontId="16" fillId="7" borderId="6" xfId="0" applyFont="1" applyFill="1" applyBorder="1" applyAlignment="1">
      <alignment horizontal="left" vertical="center" indent="1"/>
    </xf>
    <xf numFmtId="0" fontId="27" fillId="0" borderId="19" xfId="0" applyFont="1" applyBorder="1"/>
    <xf numFmtId="0" fontId="27" fillId="0" borderId="6" xfId="0" applyFont="1" applyBorder="1"/>
    <xf numFmtId="44" fontId="112" fillId="36" borderId="6" xfId="0" applyNumberFormat="1" applyFont="1" applyFill="1" applyBorder="1" applyAlignment="1">
      <alignment horizontal="left" vertical="center"/>
    </xf>
    <xf numFmtId="44" fontId="96" fillId="22" borderId="6" xfId="1" applyFont="1" applyFill="1" applyBorder="1" applyAlignment="1">
      <alignment horizontal="left" vertical="center"/>
    </xf>
    <xf numFmtId="44" fontId="96" fillId="15" borderId="6" xfId="1" applyFont="1" applyFill="1" applyBorder="1" applyAlignment="1">
      <alignment horizontal="left" vertical="center"/>
    </xf>
    <xf numFmtId="44" fontId="112" fillId="7" borderId="6" xfId="0" applyNumberFormat="1" applyFont="1" applyFill="1" applyBorder="1" applyAlignment="1">
      <alignment horizontal="left" vertical="center"/>
    </xf>
    <xf numFmtId="44" fontId="112" fillId="4" borderId="6" xfId="0" applyNumberFormat="1" applyFont="1" applyFill="1" applyBorder="1" applyAlignment="1">
      <alignment horizontal="left" vertical="center"/>
    </xf>
    <xf numFmtId="44" fontId="112" fillId="5" borderId="6" xfId="0" applyNumberFormat="1" applyFont="1" applyFill="1" applyBorder="1" applyAlignment="1">
      <alignment horizontal="left" vertical="center"/>
    </xf>
    <xf numFmtId="44" fontId="112" fillId="6" borderId="6" xfId="0" applyNumberFormat="1" applyFont="1" applyFill="1" applyBorder="1" applyAlignment="1">
      <alignment horizontal="left" vertical="center"/>
    </xf>
    <xf numFmtId="44" fontId="112" fillId="19" borderId="6" xfId="1" applyFont="1" applyFill="1" applyBorder="1" applyAlignment="1">
      <alignment horizontal="left" vertical="center"/>
    </xf>
    <xf numFmtId="44" fontId="112" fillId="20" borderId="6" xfId="1" applyFont="1" applyFill="1" applyBorder="1" applyAlignment="1">
      <alignment horizontal="left" vertical="center"/>
    </xf>
    <xf numFmtId="44" fontId="112" fillId="13" borderId="6" xfId="1" applyFont="1" applyFill="1" applyBorder="1" applyAlignment="1">
      <alignment horizontal="left" vertical="center"/>
    </xf>
    <xf numFmtId="44" fontId="112" fillId="31" borderId="6" xfId="1" applyFont="1" applyFill="1" applyBorder="1" applyAlignment="1">
      <alignment horizontal="left" vertical="center"/>
    </xf>
    <xf numFmtId="44" fontId="112" fillId="7" borderId="6" xfId="0" applyNumberFormat="1" applyFont="1" applyFill="1" applyBorder="1" applyAlignment="1">
      <alignment horizontal="left" vertical="center" indent="1"/>
    </xf>
    <xf numFmtId="0" fontId="5" fillId="9" borderId="19" xfId="3" applyFont="1" applyFill="1" applyBorder="1" applyAlignment="1">
      <alignment horizontal="right" vertical="center"/>
    </xf>
    <xf numFmtId="44" fontId="5" fillId="9" borderId="6" xfId="1" applyFont="1" applyFill="1" applyBorder="1" applyAlignment="1">
      <alignment horizontal="left" vertical="center" indent="1"/>
    </xf>
    <xf numFmtId="0" fontId="5" fillId="0" borderId="19" xfId="0" applyFont="1" applyBorder="1" applyAlignment="1">
      <alignment horizontal="left" vertical="center" indent="1"/>
    </xf>
    <xf numFmtId="0" fontId="114" fillId="16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7" fillId="0" borderId="0" xfId="0" applyFont="1" applyAlignment="1">
      <alignment horizontal="right" vertical="center"/>
    </xf>
    <xf numFmtId="14" fontId="97" fillId="35" borderId="0" xfId="0" applyNumberFormat="1" applyFont="1" applyFill="1" applyAlignment="1">
      <alignment horizontal="right" vertical="center"/>
    </xf>
    <xf numFmtId="0" fontId="86" fillId="32" borderId="0" xfId="0" applyFont="1" applyFill="1" applyAlignment="1">
      <alignment horizontal="right" vertical="center"/>
    </xf>
    <xf numFmtId="14" fontId="94" fillId="27" borderId="0" xfId="0" applyNumberFormat="1" applyFont="1" applyFill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14" fontId="117" fillId="0" borderId="22" xfId="0" applyNumberFormat="1" applyFont="1" applyBorder="1" applyAlignment="1">
      <alignment horizontal="center" vertical="center"/>
    </xf>
    <xf numFmtId="2" fontId="115" fillId="0" borderId="23" xfId="0" applyNumberFormat="1" applyFont="1" applyBorder="1" applyAlignment="1">
      <alignment horizontal="center" vertical="center"/>
    </xf>
    <xf numFmtId="0" fontId="50" fillId="16" borderId="24" xfId="0" applyFont="1" applyFill="1" applyBorder="1" applyAlignment="1">
      <alignment horizontal="center" vertical="center"/>
    </xf>
    <xf numFmtId="44" fontId="92" fillId="16" borderId="0" xfId="0" applyNumberFormat="1" applyFont="1" applyFill="1" applyAlignment="1">
      <alignment horizontal="center" vertical="center"/>
    </xf>
    <xf numFmtId="44" fontId="121" fillId="35" borderId="0" xfId="1" applyFont="1" applyFill="1" applyAlignment="1">
      <alignment horizontal="left" vertical="center"/>
    </xf>
    <xf numFmtId="44" fontId="6" fillId="32" borderId="0" xfId="1" quotePrefix="1" applyFont="1" applyFill="1" applyAlignment="1">
      <alignment horizontal="left" vertical="center"/>
    </xf>
    <xf numFmtId="44" fontId="6" fillId="27" borderId="0" xfId="0" applyNumberFormat="1" applyFont="1" applyFill="1" applyAlignment="1">
      <alignment horizontal="left" vertical="center"/>
    </xf>
    <xf numFmtId="44" fontId="6" fillId="0" borderId="0" xfId="0" applyNumberFormat="1" applyFont="1" applyAlignment="1">
      <alignment horizontal="left" vertical="center"/>
    </xf>
    <xf numFmtId="44" fontId="5" fillId="28" borderId="20" xfId="1" applyFont="1" applyFill="1" applyBorder="1" applyAlignment="1">
      <alignment horizontal="left" vertical="center" indent="1"/>
    </xf>
    <xf numFmtId="44" fontId="5" fillId="0" borderId="20" xfId="1" applyFont="1" applyBorder="1" applyAlignment="1">
      <alignment horizontal="left" vertical="center" indent="1"/>
    </xf>
    <xf numFmtId="44" fontId="5" fillId="28" borderId="20" xfId="1" applyFont="1" applyFill="1" applyBorder="1"/>
    <xf numFmtId="44" fontId="5" fillId="0" borderId="20" xfId="1" applyFont="1" applyBorder="1"/>
    <xf numFmtId="44" fontId="5" fillId="0" borderId="21" xfId="1" applyFont="1" applyBorder="1" applyAlignment="1">
      <alignment horizontal="left" vertical="center" indent="1"/>
    </xf>
    <xf numFmtId="44" fontId="5" fillId="39" borderId="20" xfId="1" applyFont="1" applyFill="1" applyBorder="1" applyAlignment="1">
      <alignment horizontal="left" vertical="center" indent="1"/>
    </xf>
    <xf numFmtId="44" fontId="5" fillId="41" borderId="20" xfId="1" applyFont="1" applyFill="1" applyBorder="1" applyAlignment="1">
      <alignment horizontal="left" vertical="center" indent="1"/>
    </xf>
    <xf numFmtId="0" fontId="79" fillId="3" borderId="19" xfId="0" applyFont="1" applyFill="1" applyBorder="1" applyAlignment="1">
      <alignment horizontal="left" vertical="center" indent="1"/>
    </xf>
    <xf numFmtId="44" fontId="112" fillId="3" borderId="6" xfId="0" applyNumberFormat="1" applyFont="1" applyFill="1" applyBorder="1" applyAlignment="1">
      <alignment horizontal="left" vertical="center" indent="1"/>
    </xf>
    <xf numFmtId="0" fontId="20" fillId="3" borderId="19" xfId="0" applyFont="1" applyFill="1" applyBorder="1" applyAlignment="1">
      <alignment horizontal="left" vertical="center" indent="1"/>
    </xf>
    <xf numFmtId="0" fontId="16" fillId="3" borderId="6" xfId="0" applyFont="1" applyFill="1" applyBorder="1" applyAlignment="1">
      <alignment horizontal="left" vertical="center" indent="1"/>
    </xf>
    <xf numFmtId="44" fontId="5" fillId="45" borderId="20" xfId="1" applyFont="1" applyFill="1" applyBorder="1" applyAlignment="1">
      <alignment horizontal="left" vertical="center" indent="1"/>
    </xf>
    <xf numFmtId="44" fontId="19" fillId="44" borderId="0" xfId="0" applyNumberFormat="1" applyFont="1" applyFill="1" applyAlignment="1">
      <alignment horizontal="left" vertical="center" indent="1"/>
    </xf>
    <xf numFmtId="44" fontId="23" fillId="44" borderId="0" xfId="0" applyNumberFormat="1" applyFont="1" applyFill="1" applyAlignment="1">
      <alignment horizontal="left" vertical="center" indent="1"/>
    </xf>
    <xf numFmtId="44" fontId="17" fillId="44" borderId="0" xfId="0" applyNumberFormat="1" applyFont="1" applyFill="1" applyAlignment="1">
      <alignment horizontal="left" vertical="center"/>
    </xf>
    <xf numFmtId="44" fontId="17" fillId="44" borderId="0" xfId="1" applyFont="1" applyFill="1" applyBorder="1" applyAlignment="1">
      <alignment horizontal="left" vertical="center" indent="1"/>
    </xf>
    <xf numFmtId="44" fontId="13" fillId="44" borderId="0" xfId="0" applyNumberFormat="1" applyFont="1" applyFill="1" applyAlignment="1">
      <alignment horizontal="left" vertical="center"/>
    </xf>
    <xf numFmtId="14" fontId="55" fillId="27" borderId="0" xfId="0" applyNumberFormat="1" applyFont="1" applyFill="1" applyAlignment="1">
      <alignment horizontal="left"/>
    </xf>
    <xf numFmtId="0" fontId="4" fillId="27" borderId="0" xfId="0" applyFont="1" applyFill="1"/>
    <xf numFmtId="1" fontId="4" fillId="27" borderId="0" xfId="0" applyNumberFormat="1" applyFont="1" applyFill="1"/>
    <xf numFmtId="0" fontId="89" fillId="27" borderId="0" xfId="0" applyFont="1" applyFill="1"/>
    <xf numFmtId="1" fontId="0" fillId="27" borderId="0" xfId="0" applyNumberFormat="1" applyFill="1"/>
    <xf numFmtId="0" fontId="55" fillId="27" borderId="0" xfId="0" applyFont="1" applyFill="1"/>
    <xf numFmtId="7" fontId="55" fillId="27" borderId="0" xfId="0" applyNumberFormat="1" applyFont="1" applyFill="1"/>
    <xf numFmtId="1" fontId="123" fillId="16" borderId="18" xfId="0" applyNumberFormat="1" applyFont="1" applyFill="1" applyBorder="1" applyAlignment="1">
      <alignment horizontal="center" vertical="center" wrapText="1"/>
    </xf>
    <xf numFmtId="1" fontId="123" fillId="16" borderId="18" xfId="0" applyNumberFormat="1" applyFont="1" applyFill="1" applyBorder="1" applyAlignment="1" applyProtection="1">
      <alignment horizontal="center" vertical="center" wrapText="1"/>
      <protection locked="0"/>
    </xf>
    <xf numFmtId="166" fontId="123" fillId="16" borderId="18" xfId="0" applyNumberFormat="1" applyFont="1" applyFill="1" applyBorder="1" applyAlignment="1" applyProtection="1">
      <alignment horizontal="center" vertical="center" wrapText="1"/>
      <protection locked="0"/>
    </xf>
    <xf numFmtId="166" fontId="123" fillId="16" borderId="18" xfId="1" applyNumberFormat="1" applyFont="1" applyFill="1" applyBorder="1" applyAlignment="1" applyProtection="1">
      <alignment horizontal="center" vertical="center" wrapText="1"/>
      <protection locked="0"/>
    </xf>
    <xf numFmtId="167" fontId="122" fillId="16" borderId="17" xfId="0" applyNumberFormat="1" applyFont="1" applyFill="1" applyBorder="1" applyAlignment="1" applyProtection="1">
      <alignment horizontal="center" vertical="center"/>
      <protection locked="0"/>
    </xf>
    <xf numFmtId="0" fontId="122" fillId="16" borderId="17" xfId="0" applyFont="1" applyFill="1" applyBorder="1" applyAlignment="1" applyProtection="1">
      <alignment horizontal="center" vertical="center"/>
      <protection locked="0"/>
    </xf>
    <xf numFmtId="43" fontId="122" fillId="16" borderId="17" xfId="4" applyFont="1" applyFill="1" applyBorder="1" applyAlignment="1" applyProtection="1">
      <alignment horizontal="center" vertical="center"/>
      <protection locked="0"/>
    </xf>
    <xf numFmtId="0" fontId="124" fillId="9" borderId="0" xfId="0" applyFont="1" applyFill="1" applyAlignment="1">
      <alignment horizontal="right" vertical="center"/>
    </xf>
    <xf numFmtId="44" fontId="121" fillId="22" borderId="0" xfId="1" quotePrefix="1" applyFont="1" applyFill="1" applyAlignment="1">
      <alignment horizontal="left" vertical="center"/>
    </xf>
    <xf numFmtId="0" fontId="0" fillId="28" borderId="0" xfId="0" applyFill="1"/>
    <xf numFmtId="0" fontId="118" fillId="44" borderId="27" xfId="0" quotePrefix="1" applyFont="1" applyFill="1" applyBorder="1" applyAlignment="1">
      <alignment horizontal="center" vertical="center"/>
    </xf>
    <xf numFmtId="0" fontId="98" fillId="16" borderId="0" xfId="0" applyFont="1" applyFill="1" applyAlignment="1">
      <alignment horizontal="center" vertical="center"/>
    </xf>
    <xf numFmtId="44" fontId="91" fillId="16" borderId="0" xfId="1" applyFont="1" applyFill="1" applyBorder="1" applyAlignment="1">
      <alignment horizontal="center" vertical="center"/>
    </xf>
    <xf numFmtId="44" fontId="5" fillId="0" borderId="0" xfId="1" applyFont="1" applyFill="1" applyBorder="1" applyAlignment="1">
      <alignment horizontal="left" vertical="center" indent="1"/>
    </xf>
    <xf numFmtId="44" fontId="5" fillId="36" borderId="0" xfId="1" applyFont="1" applyFill="1" applyBorder="1" applyAlignment="1">
      <alignment horizontal="left" vertical="center" indent="1"/>
    </xf>
    <xf numFmtId="44" fontId="5" fillId="0" borderId="0" xfId="1" applyFont="1" applyFill="1" applyBorder="1"/>
    <xf numFmtId="0" fontId="10" fillId="16" borderId="28" xfId="0" applyFont="1" applyFill="1" applyBorder="1"/>
    <xf numFmtId="0" fontId="10" fillId="16" borderId="29" xfId="0" applyFont="1" applyFill="1" applyBorder="1"/>
    <xf numFmtId="0" fontId="119" fillId="44" borderId="19" xfId="0" applyFont="1" applyFill="1" applyBorder="1" applyAlignment="1">
      <alignment horizontal="center" vertical="center"/>
    </xf>
    <xf numFmtId="49" fontId="119" fillId="44" borderId="6" xfId="0" applyNumberFormat="1" applyFont="1" applyFill="1" applyBorder="1" applyAlignment="1">
      <alignment horizontal="center" vertical="center"/>
    </xf>
    <xf numFmtId="0" fontId="120" fillId="44" borderId="30" xfId="0" applyFont="1" applyFill="1" applyBorder="1" applyAlignment="1">
      <alignment horizontal="center" vertical="center"/>
    </xf>
    <xf numFmtId="0" fontId="120" fillId="44" borderId="31" xfId="0" applyFont="1" applyFill="1" applyBorder="1" applyAlignment="1">
      <alignment horizontal="center" vertical="center"/>
    </xf>
    <xf numFmtId="0" fontId="95" fillId="7" borderId="19" xfId="0" applyFont="1" applyFill="1" applyBorder="1"/>
    <xf numFmtId="49" fontId="95" fillId="7" borderId="6" xfId="0" applyNumberFormat="1" applyFont="1" applyFill="1" applyBorder="1" applyAlignment="1">
      <alignment horizontal="right" vertical="center" indent="1"/>
    </xf>
    <xf numFmtId="0" fontId="95" fillId="37" borderId="19" xfId="0" applyFont="1" applyFill="1" applyBorder="1"/>
    <xf numFmtId="49" fontId="95" fillId="5" borderId="6" xfId="0" applyNumberFormat="1" applyFont="1" applyFill="1" applyBorder="1" applyAlignment="1">
      <alignment horizontal="right" vertical="center" indent="1"/>
    </xf>
    <xf numFmtId="0" fontId="95" fillId="5" borderId="19" xfId="0" applyFont="1" applyFill="1" applyBorder="1"/>
    <xf numFmtId="0" fontId="95" fillId="43" borderId="19" xfId="0" applyFont="1" applyFill="1" applyBorder="1"/>
    <xf numFmtId="49" fontId="95" fillId="36" borderId="6" xfId="0" applyNumberFormat="1" applyFont="1" applyFill="1" applyBorder="1" applyAlignment="1">
      <alignment horizontal="right" vertical="center" indent="1"/>
    </xf>
    <xf numFmtId="0" fontId="110" fillId="36" borderId="19" xfId="0" applyFont="1" applyFill="1" applyBorder="1"/>
    <xf numFmtId="0" fontId="95" fillId="38" borderId="19" xfId="0" applyFont="1" applyFill="1" applyBorder="1"/>
    <xf numFmtId="49" fontId="95" fillId="6" borderId="6" xfId="0" applyNumberFormat="1" applyFont="1" applyFill="1" applyBorder="1" applyAlignment="1">
      <alignment horizontal="right" vertical="center" indent="1"/>
    </xf>
    <xf numFmtId="0" fontId="95" fillId="13" borderId="19" xfId="0" applyFont="1" applyFill="1" applyBorder="1"/>
    <xf numFmtId="49" fontId="95" fillId="13" borderId="6" xfId="0" applyNumberFormat="1" applyFont="1" applyFill="1" applyBorder="1" applyAlignment="1">
      <alignment horizontal="right" vertical="center" indent="1"/>
    </xf>
    <xf numFmtId="0" fontId="95" fillId="39" borderId="19" xfId="0" applyFont="1" applyFill="1" applyBorder="1"/>
    <xf numFmtId="14" fontId="95" fillId="4" borderId="19" xfId="0" applyNumberFormat="1" applyFont="1" applyFill="1" applyBorder="1"/>
    <xf numFmtId="49" fontId="95" fillId="4" borderId="6" xfId="0" applyNumberFormat="1" applyFont="1" applyFill="1" applyBorder="1" applyAlignment="1">
      <alignment horizontal="right" vertical="center" indent="1"/>
    </xf>
    <xf numFmtId="0" fontId="110" fillId="40" borderId="19" xfId="0" applyFont="1" applyFill="1" applyBorder="1"/>
    <xf numFmtId="0" fontId="110" fillId="42" borderId="19" xfId="0" applyFont="1" applyFill="1" applyBorder="1"/>
    <xf numFmtId="49" fontId="95" fillId="22" borderId="6" xfId="0" applyNumberFormat="1" applyFont="1" applyFill="1" applyBorder="1" applyAlignment="1">
      <alignment horizontal="right" vertical="center" indent="1"/>
    </xf>
    <xf numFmtId="0" fontId="95" fillId="6" borderId="19" xfId="0" applyFont="1" applyFill="1" applyBorder="1"/>
    <xf numFmtId="0" fontId="95" fillId="41" borderId="19" xfId="0" applyFont="1" applyFill="1" applyBorder="1"/>
    <xf numFmtId="0" fontId="110" fillId="22" borderId="19" xfId="0" applyFont="1" applyFill="1" applyBorder="1"/>
    <xf numFmtId="0" fontId="95" fillId="36" borderId="19" xfId="0" applyFont="1" applyFill="1" applyBorder="1"/>
    <xf numFmtId="0" fontId="95" fillId="28" borderId="19" xfId="0" applyFont="1" applyFill="1" applyBorder="1"/>
    <xf numFmtId="49" fontId="95" fillId="0" borderId="6" xfId="0" applyNumberFormat="1" applyFont="1" applyBorder="1" applyAlignment="1">
      <alignment horizontal="right" vertical="center" indent="1"/>
    </xf>
    <xf numFmtId="0" fontId="95" fillId="0" borderId="19" xfId="0" applyFont="1" applyBorder="1"/>
    <xf numFmtId="0" fontId="14" fillId="0" borderId="19" xfId="0" applyFont="1" applyBorder="1" applyAlignment="1">
      <alignment horizontal="right"/>
    </xf>
    <xf numFmtId="0" fontId="14" fillId="0" borderId="19" xfId="0" applyFont="1" applyBorder="1"/>
    <xf numFmtId="44" fontId="9" fillId="0" borderId="0" xfId="1" applyFont="1" applyAlignment="1">
      <alignment horizontal="left" vertical="center" indent="1"/>
    </xf>
    <xf numFmtId="2" fontId="25" fillId="20" borderId="0" xfId="0" applyNumberFormat="1" applyFont="1" applyFill="1" applyAlignment="1">
      <alignment horizontal="left" vertical="center" wrapText="1" indent="1"/>
    </xf>
    <xf numFmtId="2" fontId="58" fillId="21" borderId="0" xfId="0" applyNumberFormat="1" applyFont="1" applyFill="1" applyAlignment="1">
      <alignment horizontal="left" vertical="center" indent="1"/>
    </xf>
    <xf numFmtId="2" fontId="58" fillId="21" borderId="0" xfId="0" applyNumberFormat="1" applyFont="1" applyFill="1" applyAlignment="1">
      <alignment vertical="center"/>
    </xf>
    <xf numFmtId="2" fontId="30" fillId="0" borderId="0" xfId="0" applyNumberFormat="1" applyFont="1" applyAlignment="1">
      <alignment horizontal="left" vertical="center" indent="1"/>
    </xf>
    <xf numFmtId="2" fontId="30" fillId="0" borderId="0" xfId="0" applyNumberFormat="1" applyFont="1" applyAlignment="1">
      <alignment vertical="center"/>
    </xf>
    <xf numFmtId="44" fontId="16" fillId="15" borderId="0" xfId="1" applyFont="1" applyFill="1" applyAlignment="1">
      <alignment vertical="center"/>
    </xf>
    <xf numFmtId="44" fontId="13" fillId="15" borderId="0" xfId="1" applyFont="1" applyFill="1" applyAlignment="1">
      <alignment horizontal="left" vertical="center"/>
    </xf>
    <xf numFmtId="44" fontId="16" fillId="15" borderId="0" xfId="1" applyFont="1" applyFill="1" applyAlignment="1">
      <alignment horizontal="left" vertical="center"/>
    </xf>
    <xf numFmtId="44" fontId="25" fillId="15" borderId="0" xfId="1" applyFont="1" applyFill="1" applyAlignment="1" applyProtection="1">
      <alignment horizontal="center" vertical="center" wrapText="1"/>
      <protection locked="0"/>
    </xf>
    <xf numFmtId="44" fontId="25" fillId="15" borderId="0" xfId="1" applyFont="1" applyFill="1" applyAlignment="1">
      <alignment horizontal="left" vertical="center" wrapText="1" indent="1"/>
    </xf>
    <xf numFmtId="44" fontId="16" fillId="0" borderId="0" xfId="1" applyFont="1" applyAlignment="1">
      <alignment vertical="center"/>
    </xf>
    <xf numFmtId="2" fontId="16" fillId="15" borderId="0" xfId="0" applyNumberFormat="1" applyFont="1" applyFill="1" applyAlignment="1">
      <alignment horizontal="left" vertical="center" indent="1"/>
    </xf>
    <xf numFmtId="2" fontId="16" fillId="15" borderId="0" xfId="0" applyNumberFormat="1" applyFont="1" applyFill="1" applyAlignment="1">
      <alignment vertical="center"/>
    </xf>
    <xf numFmtId="2" fontId="16" fillId="0" borderId="0" xfId="0" applyNumberFormat="1" applyFont="1" applyAlignment="1">
      <alignment horizontal="left" vertical="center" indent="1"/>
    </xf>
    <xf numFmtId="2" fontId="16" fillId="0" borderId="0" xfId="0" applyNumberFormat="1" applyFont="1" applyAlignment="1">
      <alignment vertical="center"/>
    </xf>
    <xf numFmtId="0" fontId="55" fillId="22" borderId="0" xfId="0" applyFont="1" applyFill="1" applyAlignment="1">
      <alignment horizontal="center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>
      <alignment horizontal="center" vertical="center"/>
    </xf>
    <xf numFmtId="44" fontId="9" fillId="20" borderId="0" xfId="1" applyFont="1" applyFill="1" applyAlignment="1">
      <alignment horizontal="left" vertical="center" indent="2"/>
    </xf>
    <xf numFmtId="0" fontId="8" fillId="0" borderId="0" xfId="0" applyFont="1" applyAlignment="1">
      <alignment horizontal="center" vertical="center"/>
    </xf>
    <xf numFmtId="44" fontId="8" fillId="0" borderId="0" xfId="1" applyFont="1" applyFill="1" applyBorder="1" applyAlignment="1">
      <alignment horizontal="left" vertical="center" indent="2"/>
    </xf>
    <xf numFmtId="44" fontId="35" fillId="22" borderId="0" xfId="1" applyFont="1" applyFill="1" applyBorder="1" applyAlignment="1">
      <alignment horizontal="left" vertical="center" indent="2"/>
    </xf>
    <xf numFmtId="0" fontId="35" fillId="22" borderId="0" xfId="0" applyFont="1" applyFill="1" applyAlignment="1">
      <alignment horizontal="left" vertical="center" indent="2"/>
    </xf>
    <xf numFmtId="1" fontId="35" fillId="22" borderId="0" xfId="0" applyNumberFormat="1" applyFont="1" applyFill="1" applyAlignment="1">
      <alignment horizontal="center" vertical="center"/>
    </xf>
    <xf numFmtId="1" fontId="35" fillId="22" borderId="0" xfId="0" applyNumberFormat="1" applyFont="1" applyFill="1" applyAlignment="1">
      <alignment horizontal="left" vertical="center" indent="2"/>
    </xf>
    <xf numFmtId="1" fontId="33" fillId="0" borderId="0" xfId="0" quotePrefix="1" applyNumberFormat="1" applyFont="1" applyAlignment="1">
      <alignment horizontal="center" vertical="center"/>
    </xf>
    <xf numFmtId="0" fontId="33" fillId="0" borderId="0" xfId="0" applyFont="1" applyAlignment="1">
      <alignment horizontal="left" vertical="center" indent="2"/>
    </xf>
    <xf numFmtId="0" fontId="70" fillId="0" borderId="0" xfId="0" applyFont="1" applyAlignment="1">
      <alignment horizontal="left" vertical="center" indent="2"/>
    </xf>
    <xf numFmtId="2" fontId="33" fillId="0" borderId="0" xfId="2" applyNumberFormat="1" applyFont="1" applyFill="1" applyBorder="1" applyAlignment="1">
      <alignment horizontal="left" vertical="center" indent="1"/>
    </xf>
    <xf numFmtId="1" fontId="9" fillId="0" borderId="0" xfId="0" quotePrefix="1" applyNumberFormat="1" applyFont="1" applyAlignment="1">
      <alignment horizontal="center" vertical="center"/>
    </xf>
    <xf numFmtId="0" fontId="16" fillId="13" borderId="0" xfId="0" applyFont="1" applyFill="1" applyAlignment="1">
      <alignment horizontal="center" vertical="center" wrapText="1"/>
    </xf>
    <xf numFmtId="0" fontId="16" fillId="13" borderId="0" xfId="0" applyFont="1" applyFill="1" applyAlignment="1">
      <alignment horizontal="left" vertical="center" wrapText="1" indent="1"/>
    </xf>
    <xf numFmtId="0" fontId="125" fillId="6" borderId="0" xfId="0" applyFont="1" applyFill="1" applyAlignment="1" applyProtection="1">
      <alignment horizontal="center" vertical="center"/>
      <protection locked="0"/>
    </xf>
    <xf numFmtId="0" fontId="9" fillId="6" borderId="0" xfId="0" applyFont="1" applyFill="1" applyAlignment="1">
      <alignment horizontal="center" vertical="center"/>
    </xf>
    <xf numFmtId="0" fontId="49" fillId="3" borderId="0" xfId="0" applyFont="1" applyFill="1" applyAlignment="1">
      <alignment horizontal="left" vertical="center" indent="2"/>
    </xf>
    <xf numFmtId="1" fontId="9" fillId="3" borderId="0" xfId="0" applyNumberFormat="1" applyFont="1" applyFill="1" applyAlignment="1">
      <alignment horizontal="left" vertical="center" indent="2"/>
    </xf>
    <xf numFmtId="44" fontId="9" fillId="3" borderId="0" xfId="1" applyFont="1" applyFill="1" applyBorder="1" applyAlignment="1">
      <alignment horizontal="left" vertical="center" indent="2"/>
    </xf>
    <xf numFmtId="0" fontId="49" fillId="7" borderId="0" xfId="0" applyFont="1" applyFill="1" applyAlignment="1">
      <alignment horizontal="left" vertical="center" indent="2"/>
    </xf>
    <xf numFmtId="1" fontId="9" fillId="7" borderId="0" xfId="0" applyNumberFormat="1" applyFont="1" applyFill="1" applyAlignment="1">
      <alignment horizontal="left" vertical="center" indent="2"/>
    </xf>
    <xf numFmtId="44" fontId="9" fillId="7" borderId="0" xfId="1" applyFont="1" applyFill="1" applyBorder="1" applyAlignment="1">
      <alignment horizontal="left" vertical="center" indent="2"/>
    </xf>
    <xf numFmtId="1" fontId="9" fillId="7" borderId="0" xfId="0" quotePrefix="1" applyNumberFormat="1" applyFont="1" applyFill="1" applyAlignment="1">
      <alignment horizontal="center" vertical="center"/>
    </xf>
    <xf numFmtId="0" fontId="54" fillId="9" borderId="0" xfId="0" applyFont="1" applyFill="1" applyAlignment="1">
      <alignment horizontal="left" vertical="center" indent="2"/>
    </xf>
    <xf numFmtId="0" fontId="37" fillId="32" borderId="0" xfId="0" applyFont="1" applyFill="1" applyAlignment="1">
      <alignment horizontal="left" vertical="center" indent="2"/>
    </xf>
    <xf numFmtId="0" fontId="28" fillId="9" borderId="0" xfId="0" applyFont="1" applyFill="1" applyAlignment="1">
      <alignment horizontal="left" vertical="center" indent="2"/>
    </xf>
    <xf numFmtId="0" fontId="28" fillId="32" borderId="0" xfId="0" applyFont="1" applyFill="1" applyAlignment="1">
      <alignment horizontal="left" vertical="center" indent="2"/>
    </xf>
    <xf numFmtId="0" fontId="64" fillId="35" borderId="0" xfId="0" applyFont="1" applyFill="1" applyAlignment="1">
      <alignment horizontal="left" vertical="center" indent="2"/>
    </xf>
    <xf numFmtId="0" fontId="31" fillId="9" borderId="0" xfId="0" applyFont="1" applyFill="1" applyAlignment="1">
      <alignment horizontal="left" vertical="center" indent="2"/>
    </xf>
    <xf numFmtId="0" fontId="126" fillId="32" borderId="0" xfId="0" applyFont="1" applyFill="1" applyAlignment="1">
      <alignment horizontal="left" vertical="center" indent="2"/>
    </xf>
    <xf numFmtId="0" fontId="9" fillId="32" borderId="0" xfId="0" applyFont="1" applyFill="1" applyAlignment="1">
      <alignment horizontal="left" vertical="center" indent="2"/>
    </xf>
    <xf numFmtId="0" fontId="53" fillId="35" borderId="0" xfId="0" applyFont="1" applyFill="1" applyAlignment="1" applyProtection="1">
      <alignment horizontal="center"/>
      <protection locked="0"/>
    </xf>
    <xf numFmtId="0" fontId="53" fillId="32" borderId="0" xfId="0" applyFont="1" applyFill="1" applyAlignment="1">
      <alignment horizontal="center" vertical="center"/>
    </xf>
    <xf numFmtId="0" fontId="9" fillId="32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35" borderId="0" xfId="0" applyFont="1" applyFill="1"/>
    <xf numFmtId="1" fontId="4" fillId="35" borderId="0" xfId="0" applyNumberFormat="1" applyFont="1" applyFill="1"/>
    <xf numFmtId="0" fontId="89" fillId="35" borderId="0" xfId="0" applyFont="1" applyFill="1"/>
    <xf numFmtId="1" fontId="0" fillId="35" borderId="0" xfId="0" applyNumberFormat="1" applyFill="1"/>
    <xf numFmtId="14" fontId="86" fillId="35" borderId="0" xfId="0" applyNumberFormat="1" applyFont="1" applyFill="1" applyAlignment="1">
      <alignment horizontal="center"/>
    </xf>
    <xf numFmtId="0" fontId="86" fillId="35" borderId="0" xfId="0" applyFont="1" applyFill="1"/>
    <xf numFmtId="7" fontId="86" fillId="35" borderId="0" xfId="0" applyNumberFormat="1" applyFont="1" applyFill="1"/>
    <xf numFmtId="0" fontId="128" fillId="16" borderId="0" xfId="0" applyFont="1" applyFill="1" applyAlignment="1">
      <alignment horizontal="center" vertical="center"/>
    </xf>
    <xf numFmtId="167" fontId="129" fillId="16" borderId="17" xfId="0" applyNumberFormat="1" applyFont="1" applyFill="1" applyBorder="1" applyAlignment="1" applyProtection="1">
      <alignment horizontal="center" vertical="center"/>
      <protection locked="0"/>
    </xf>
    <xf numFmtId="0" fontId="129" fillId="16" borderId="17" xfId="0" applyFont="1" applyFill="1" applyBorder="1" applyAlignment="1" applyProtection="1">
      <alignment vertical="center"/>
      <protection locked="0"/>
    </xf>
    <xf numFmtId="0" fontId="129" fillId="16" borderId="17" xfId="0" applyFont="1" applyFill="1" applyBorder="1" applyAlignment="1" applyProtection="1">
      <alignment horizontal="center" vertical="center"/>
      <protection locked="0"/>
    </xf>
    <xf numFmtId="0" fontId="128" fillId="16" borderId="0" xfId="0" applyFont="1" applyFill="1" applyAlignment="1">
      <alignment vertical="center"/>
    </xf>
    <xf numFmtId="167" fontId="129" fillId="16" borderId="17" xfId="0" applyNumberFormat="1" applyFont="1" applyFill="1" applyBorder="1" applyAlignment="1" applyProtection="1">
      <alignment vertical="center"/>
      <protection locked="0"/>
    </xf>
    <xf numFmtId="43" fontId="129" fillId="16" borderId="17" xfId="4" applyFont="1" applyFill="1" applyBorder="1" applyAlignment="1" applyProtection="1">
      <alignment vertical="center"/>
      <protection locked="0"/>
    </xf>
    <xf numFmtId="1" fontId="127" fillId="16" borderId="18" xfId="0" applyNumberFormat="1" applyFont="1" applyFill="1" applyBorder="1" applyAlignment="1">
      <alignment vertical="center" wrapText="1"/>
    </xf>
    <xf numFmtId="1" fontId="127" fillId="16" borderId="18" xfId="0" applyNumberFormat="1" applyFont="1" applyFill="1" applyBorder="1" applyAlignment="1" applyProtection="1">
      <alignment vertical="center" wrapText="1"/>
      <protection locked="0"/>
    </xf>
    <xf numFmtId="166" fontId="127" fillId="16" borderId="18" xfId="0" applyNumberFormat="1" applyFont="1" applyFill="1" applyBorder="1" applyAlignment="1" applyProtection="1">
      <alignment vertical="center" wrapText="1"/>
      <protection locked="0"/>
    </xf>
    <xf numFmtId="166" fontId="127" fillId="16" borderId="18" xfId="1" applyNumberFormat="1" applyFont="1" applyFill="1" applyBorder="1" applyAlignment="1" applyProtection="1">
      <alignment vertical="center" wrapText="1"/>
      <protection locked="0"/>
    </xf>
    <xf numFmtId="0" fontId="0" fillId="32" borderId="0" xfId="0" applyFill="1" applyAlignment="1">
      <alignment horizontal="center"/>
    </xf>
    <xf numFmtId="0" fontId="129" fillId="16" borderId="32" xfId="0" applyFont="1" applyFill="1" applyBorder="1" applyAlignment="1" applyProtection="1">
      <alignment horizontal="center" vertical="center"/>
      <protection locked="0"/>
    </xf>
    <xf numFmtId="44" fontId="129" fillId="16" borderId="32" xfId="1" applyFont="1" applyFill="1" applyBorder="1" applyAlignment="1" applyProtection="1">
      <alignment horizontal="center" vertical="center"/>
      <protection locked="0"/>
    </xf>
    <xf numFmtId="44" fontId="0" fillId="0" borderId="0" xfId="1" applyFont="1" applyAlignment="1">
      <alignment horizontal="center"/>
    </xf>
    <xf numFmtId="0" fontId="0" fillId="32" borderId="0" xfId="0" applyFill="1" applyAlignment="1">
      <alignment horizontal="center" vertical="center"/>
    </xf>
    <xf numFmtId="0" fontId="4" fillId="32" borderId="0" xfId="0" applyFont="1" applyFill="1" applyAlignment="1">
      <alignment horizontal="center" vertical="center"/>
    </xf>
    <xf numFmtId="14" fontId="86" fillId="32" borderId="0" xfId="0" applyNumberFormat="1" applyFont="1" applyFill="1" applyAlignment="1">
      <alignment horizontal="center" vertical="center"/>
    </xf>
    <xf numFmtId="0" fontId="89" fillId="3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2" fontId="0" fillId="0" borderId="0" xfId="0" applyNumberFormat="1"/>
    <xf numFmtId="0" fontId="86" fillId="32" borderId="0" xfId="0" applyFont="1" applyFill="1" applyAlignment="1">
      <alignment horizontal="center"/>
    </xf>
    <xf numFmtId="1" fontId="129" fillId="16" borderId="32" xfId="0" applyNumberFormat="1" applyFont="1" applyFill="1" applyBorder="1" applyAlignment="1" applyProtection="1">
      <alignment horizontal="center" vertical="center"/>
      <protection locked="0"/>
    </xf>
    <xf numFmtId="0" fontId="0" fillId="36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4" fillId="32" borderId="0" xfId="0" applyNumberFormat="1" applyFont="1" applyFill="1" applyAlignment="1">
      <alignment horizontal="center" vertical="center"/>
    </xf>
    <xf numFmtId="1" fontId="0" fillId="32" borderId="0" xfId="0" applyNumberForma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2" fontId="0" fillId="32" borderId="0" xfId="0" applyNumberFormat="1" applyFill="1" applyAlignment="1">
      <alignment horizontal="center" vertical="center"/>
    </xf>
    <xf numFmtId="2" fontId="4" fillId="32" borderId="0" xfId="0" applyNumberFormat="1" applyFont="1" applyFill="1" applyAlignment="1">
      <alignment horizontal="center" vertical="center"/>
    </xf>
    <xf numFmtId="2" fontId="129" fillId="16" borderId="32" xfId="0" applyNumberFormat="1" applyFont="1" applyFill="1" applyBorder="1" applyAlignment="1" applyProtection="1">
      <alignment horizontal="center" vertical="center"/>
      <protection locked="0"/>
    </xf>
    <xf numFmtId="2" fontId="0" fillId="28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0" fillId="32" borderId="0" xfId="1" applyFont="1" applyFill="1" applyAlignment="1">
      <alignment horizontal="center" vertical="center"/>
    </xf>
    <xf numFmtId="44" fontId="4" fillId="32" borderId="0" xfId="1" applyFont="1" applyFill="1" applyAlignment="1">
      <alignment horizontal="center" vertical="center"/>
    </xf>
    <xf numFmtId="44" fontId="0" fillId="28" borderId="0" xfId="1" applyFont="1" applyFill="1" applyAlignment="1">
      <alignment horizontal="center" vertical="center"/>
    </xf>
    <xf numFmtId="44" fontId="86" fillId="32" borderId="0" xfId="1" applyFont="1" applyFill="1" applyAlignment="1">
      <alignment horizontal="center" vertical="center"/>
    </xf>
    <xf numFmtId="167" fontId="129" fillId="16" borderId="17" xfId="0" applyNumberFormat="1" applyFont="1" applyFill="1" applyBorder="1" applyAlignment="1">
      <alignment horizontal="center" vertical="center"/>
    </xf>
    <xf numFmtId="0" fontId="129" fillId="16" borderId="17" xfId="0" applyFont="1" applyFill="1" applyBorder="1" applyAlignment="1">
      <alignment horizontal="center" vertical="center"/>
    </xf>
    <xf numFmtId="2" fontId="129" fillId="16" borderId="32" xfId="0" applyNumberFormat="1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44" fontId="0" fillId="9" borderId="0" xfId="1" applyFont="1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0" fontId="86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/>
    </xf>
    <xf numFmtId="14" fontId="86" fillId="9" borderId="0" xfId="0" applyNumberFormat="1" applyFont="1" applyFill="1" applyAlignment="1">
      <alignment horizontal="center" vertical="center"/>
    </xf>
    <xf numFmtId="44" fontId="4" fillId="9" borderId="0" xfId="1" applyFont="1" applyFill="1" applyAlignment="1">
      <alignment horizontal="center" vertical="center"/>
    </xf>
    <xf numFmtId="44" fontId="86" fillId="9" borderId="0" xfId="1" applyFont="1" applyFill="1" applyAlignment="1">
      <alignment horizontal="center" vertical="center"/>
    </xf>
    <xf numFmtId="2" fontId="4" fillId="9" borderId="0" xfId="0" applyNumberFormat="1" applyFont="1" applyFill="1" applyAlignment="1">
      <alignment horizontal="center" vertical="center"/>
    </xf>
    <xf numFmtId="44" fontId="129" fillId="16" borderId="32" xfId="1" applyFont="1" applyFill="1" applyBorder="1" applyAlignment="1">
      <alignment horizontal="center" vertical="center"/>
    </xf>
    <xf numFmtId="2" fontId="89" fillId="9" borderId="0" xfId="0" applyNumberFormat="1" applyFont="1" applyFill="1" applyAlignment="1">
      <alignment horizontal="center" vertical="center"/>
    </xf>
    <xf numFmtId="2" fontId="129" fillId="16" borderId="17" xfId="0" applyNumberFormat="1" applyFont="1" applyFill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95" fillId="19" borderId="6" xfId="0" applyNumberFormat="1" applyFont="1" applyFill="1" applyBorder="1" applyAlignment="1">
      <alignment horizontal="right" vertical="center" indent="1"/>
    </xf>
    <xf numFmtId="0" fontId="95" fillId="47" borderId="19" xfId="0" applyFont="1" applyFill="1" applyBorder="1"/>
    <xf numFmtId="0" fontId="95" fillId="19" borderId="19" xfId="0" applyFont="1" applyFill="1" applyBorder="1"/>
    <xf numFmtId="44" fontId="9" fillId="6" borderId="0" xfId="0" applyNumberFormat="1" applyFont="1" applyFill="1" applyAlignment="1">
      <alignment horizontal="left" vertical="center" indent="2"/>
    </xf>
    <xf numFmtId="0" fontId="130" fillId="16" borderId="0" xfId="0" applyFont="1" applyFill="1" applyAlignment="1" applyProtection="1">
      <alignment horizontal="center" vertical="center"/>
      <protection locked="0"/>
    </xf>
    <xf numFmtId="0" fontId="103" fillId="16" borderId="0" xfId="0" applyFont="1" applyFill="1" applyAlignment="1" applyProtection="1">
      <alignment horizontal="right"/>
      <protection locked="0"/>
    </xf>
    <xf numFmtId="44" fontId="131" fillId="0" borderId="0" xfId="1" applyFont="1" applyAlignment="1">
      <alignment horizontal="right" vertical="center" indent="1"/>
    </xf>
    <xf numFmtId="0" fontId="93" fillId="16" borderId="19" xfId="0" applyFont="1" applyFill="1" applyBorder="1" applyAlignment="1">
      <alignment horizontal="center" vertical="center"/>
    </xf>
    <xf numFmtId="0" fontId="93" fillId="16" borderId="6" xfId="0" applyFont="1" applyFill="1" applyBorder="1" applyAlignment="1">
      <alignment horizontal="center" vertical="center"/>
    </xf>
    <xf numFmtId="0" fontId="116" fillId="0" borderId="25" xfId="0" applyFont="1" applyBorder="1" applyAlignment="1">
      <alignment horizontal="center" vertical="center"/>
    </xf>
    <xf numFmtId="0" fontId="116" fillId="0" borderId="26" xfId="0" applyFont="1" applyBorder="1" applyAlignment="1">
      <alignment horizontal="center" vertical="center"/>
    </xf>
    <xf numFmtId="44" fontId="6" fillId="22" borderId="0" xfId="1" applyFont="1" applyFill="1" applyBorder="1" applyAlignment="1">
      <alignment horizontal="center" vertical="center"/>
    </xf>
    <xf numFmtId="0" fontId="13" fillId="19" borderId="0" xfId="0" applyFont="1" applyFill="1" applyAlignment="1">
      <alignment horizontal="center" vertical="distributed"/>
    </xf>
    <xf numFmtId="0" fontId="62" fillId="21" borderId="0" xfId="0" applyFont="1" applyFill="1" applyAlignment="1">
      <alignment horizontal="center" vertical="distributed"/>
    </xf>
    <xf numFmtId="0" fontId="68" fillId="21" borderId="0" xfId="0" applyFont="1" applyFill="1" applyAlignment="1">
      <alignment horizontal="center" vertical="distributed"/>
    </xf>
    <xf numFmtId="0" fontId="13" fillId="20" borderId="0" xfId="0" applyFont="1" applyFill="1" applyAlignment="1">
      <alignment horizontal="center" vertical="distributed"/>
    </xf>
    <xf numFmtId="0" fontId="24" fillId="20" borderId="0" xfId="0" applyFont="1" applyFill="1" applyAlignment="1">
      <alignment horizontal="center" vertical="distributed"/>
    </xf>
    <xf numFmtId="0" fontId="13" fillId="4" borderId="0" xfId="0" applyFont="1" applyFill="1" applyAlignment="1">
      <alignment horizontal="center" vertical="distributed"/>
    </xf>
    <xf numFmtId="0" fontId="24" fillId="4" borderId="0" xfId="0" applyFont="1" applyFill="1" applyAlignment="1">
      <alignment horizontal="center" vertical="distributed"/>
    </xf>
    <xf numFmtId="0" fontId="13" fillId="15" borderId="0" xfId="0" applyFont="1" applyFill="1" applyAlignment="1">
      <alignment horizontal="center" vertical="distributed"/>
    </xf>
    <xf numFmtId="0" fontId="24" fillId="15" borderId="0" xfId="0" applyFont="1" applyFill="1" applyAlignment="1">
      <alignment horizontal="center" vertical="distributed"/>
    </xf>
    <xf numFmtId="44" fontId="13" fillId="15" borderId="0" xfId="1" applyFont="1" applyFill="1" applyAlignment="1">
      <alignment horizontal="center" vertical="distributed"/>
    </xf>
    <xf numFmtId="44" fontId="24" fillId="15" borderId="0" xfId="1" applyFont="1" applyFill="1" applyAlignment="1">
      <alignment horizontal="center" vertical="distributed"/>
    </xf>
    <xf numFmtId="0" fontId="13" fillId="25" borderId="0" xfId="0" applyFont="1" applyFill="1" applyAlignment="1">
      <alignment horizontal="center" vertical="distributed"/>
    </xf>
    <xf numFmtId="0" fontId="24" fillId="25" borderId="0" xfId="0" applyFont="1" applyFill="1" applyAlignment="1">
      <alignment horizontal="center" vertical="distributed"/>
    </xf>
    <xf numFmtId="0" fontId="13" fillId="6" borderId="0" xfId="0" applyFont="1" applyFill="1" applyAlignment="1">
      <alignment horizontal="center" vertical="distributed"/>
    </xf>
    <xf numFmtId="0" fontId="24" fillId="6" borderId="0" xfId="0" applyFont="1" applyFill="1" applyAlignment="1">
      <alignment horizontal="center" vertical="distributed"/>
    </xf>
    <xf numFmtId="0" fontId="13" fillId="2" borderId="0" xfId="0" applyFont="1" applyFill="1" applyAlignment="1">
      <alignment horizontal="center" vertical="distributed"/>
    </xf>
    <xf numFmtId="0" fontId="24" fillId="2" borderId="0" xfId="0" applyFont="1" applyFill="1" applyAlignment="1">
      <alignment horizontal="center" vertical="distributed"/>
    </xf>
    <xf numFmtId="0" fontId="13" fillId="7" borderId="0" xfId="0" applyFont="1" applyFill="1" applyAlignment="1">
      <alignment horizontal="center" vertical="distributed"/>
    </xf>
    <xf numFmtId="0" fontId="24" fillId="7" borderId="0" xfId="0" applyFont="1" applyFill="1" applyAlignment="1">
      <alignment horizontal="center" vertical="distributed"/>
    </xf>
    <xf numFmtId="0" fontId="13" fillId="3" borderId="0" xfId="0" applyFont="1" applyFill="1" applyAlignment="1">
      <alignment horizontal="center" vertical="distributed"/>
    </xf>
    <xf numFmtId="0" fontId="24" fillId="3" borderId="0" xfId="0" applyFont="1" applyFill="1" applyAlignment="1">
      <alignment horizontal="center" vertical="distributed"/>
    </xf>
  </cellXfs>
  <cellStyles count="6">
    <cellStyle name="Comma" xfId="4" builtinId="3"/>
    <cellStyle name="Currency" xfId="1" builtinId="4"/>
    <cellStyle name="Heading 1" xfId="3" builtinId="16"/>
    <cellStyle name="Heading 2" xfId="5" builtinId="17"/>
    <cellStyle name="Normal" xfId="0" builtinId="0"/>
    <cellStyle name="Percent" xfId="2" builtinId="5"/>
  </cellStyles>
  <dxfs count="537">
    <dxf>
      <fill>
        <patternFill>
          <bgColor rgb="FF66FFFF"/>
        </patternFill>
      </fill>
    </dxf>
    <dxf>
      <fill>
        <patternFill>
          <bgColor rgb="FFF5DEB3"/>
        </patternFill>
      </fill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08080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F08080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B0E0E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B0E0E6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98FB9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>
          <fgColor indexed="64"/>
          <bgColor theme="0" tint="-0.249977111117893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0E68C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F0E68C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F0E68C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98FB9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theme="8" tint="0.3999755851924192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9" tint="0.74999237037263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rgb="FF98FB98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theme="9" tint="0.74999237037263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BBBCD9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theme="9" tint="0.749992370372631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FFE4E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FFE4E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EAA7CA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EAA7CA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2" formatCode="0.00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B6FCB6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numFmt numFmtId="1" formatCode="0"/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numFmt numFmtId="1" formatCode="0"/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numFmt numFmtId="1" formatCode="0"/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numFmt numFmtId="1" formatCode="0"/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F2F2F2"/>
        <name val="Atkinson Hyperlegible"/>
        <scheme val="none"/>
      </font>
      <fill>
        <patternFill patternType="solid">
          <fgColor indexed="64"/>
          <bgColor rgb="FF00913E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rgb="FF035103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035103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2F2F2"/>
        <name val="Atkinson Hyperlegible"/>
        <scheme val="none"/>
      </font>
      <fill>
        <patternFill patternType="solid">
          <fgColor indexed="64"/>
          <bgColor rgb="FF00913E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0" formatCode="General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2" formatCode="0.00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2" formatCode="0.0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" formatCode="0"/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77520F"/>
        <name val="Verdana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77520F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7520F"/>
        <name val="Atkinson Hyperlegible"/>
        <scheme val="none"/>
      </font>
      <fill>
        <patternFill patternType="solid">
          <fgColor indexed="64"/>
          <bgColor rgb="FFF5DEB3"/>
        </patternFill>
      </fill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" formatCode="0"/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fill>
        <patternFill patternType="solid">
          <fgColor indexed="64"/>
          <bgColor rgb="FFA0CEB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2" tint="-0.89999084444715716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161616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89999084444715716"/>
        <name val="Atkinson Hyperlegible"/>
        <scheme val="none"/>
      </font>
      <fill>
        <patternFill patternType="solid">
          <fgColor indexed="64"/>
          <bgColor rgb="FFA0CEB2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0" formatCode="General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34" formatCode="_(&quot;$&quot;* #,##0.00_);_(&quot;$&quot;* \(#,##0.00\);_(&quot;$&quot;* &quot;-&quot;??_);_(@_)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2" formatCode="0.00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2" formatCode="0.00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" formatCode="0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1" formatCode="0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" formatCode="0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1" formatCode="0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" formatCode="0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1" formatCode="0"/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" formatCode="0"/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1" formatCode="0"/>
      <fill>
        <patternFill patternType="solid">
          <fgColor indexed="64"/>
          <bgColor rgb="FF00ABD7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fill>
        <patternFill patternType="solid">
          <fgColor indexed="64"/>
          <bgColor rgb="FFB3FFFF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tkinson Hyperlegible"/>
        <scheme val="none"/>
      </font>
      <fill>
        <patternFill patternType="solid">
          <fgColor indexed="64"/>
          <bgColor rgb="FF00ABD7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5C5A"/>
        <name val="Verdana"/>
        <family val="2"/>
        <scheme val="none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6"/>
        <color rgb="FF005C5A"/>
        <name val="Atkinson Hyperlegible"/>
        <scheme val="none"/>
      </font>
      <numFmt numFmtId="0" formatCode="General"/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5C5A"/>
        <name val="Verdana"/>
        <family val="2"/>
        <scheme val="none"/>
      </font>
      <numFmt numFmtId="19" formatCode="m/d/yyyy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005C5A"/>
        <name val="Atkinson Hyperlegible"/>
        <scheme val="none"/>
      </font>
      <alignment horizontal="left" vertical="center" textRotation="0" wrapText="0" indent="1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tkinson Hyperlegible"/>
        <scheme val="none"/>
      </font>
      <fill>
        <patternFill patternType="solid">
          <fgColor indexed="64"/>
          <bgColor rgb="FF00ABD7"/>
        </patternFill>
      </fill>
      <alignment horizontal="left" vertical="center" textRotation="0" wrapText="1" indent="1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1" formatCode="&quot;$&quot;#,##0.00_);\(&quot;$&quot;#,##0.00\)"/>
    </dxf>
    <dxf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rgb="FFFFFFFF"/>
        </top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Verdana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1" formatCode="&quot;$&quot;#,##0.00_);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Univers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top style="thick">
          <color theme="0"/>
        </top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fill>
        <patternFill patternType="solid">
          <fgColor indexed="64"/>
          <bgColor rgb="FF7030A0"/>
        </patternFill>
      </fill>
      <alignment horizontal="general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hair">
          <color auto="1"/>
        </left>
        <right/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6" formatCode="&quot;$&quot;#,##0.0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6" formatCode="&quot;$&quot;#,##0.00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solid">
          <fgColor indexed="64"/>
          <bgColor rgb="FFCEEAB0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tkinson Hyperlegible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7" formatCode="mm/dd/yy;@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/>
        <bottom style="hair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7" formatCode="mm/dd/yy;@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tkinson Hyperlegible"/>
        <scheme val="none"/>
      </font>
    </dxf>
    <dxf>
      <font>
        <strike val="0"/>
        <outline val="0"/>
        <shadow val="0"/>
        <u val="none"/>
        <vertAlign val="baseline"/>
        <color theme="0" tint="-4.9989318521683403E-2"/>
        <name val="Atkinson Hyperlegible"/>
        <scheme val="none"/>
      </font>
      <fill>
        <patternFill patternType="solid">
          <fgColor indexed="64"/>
          <bgColor rgb="FF7030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hair">
          <color auto="1"/>
        </left>
        <right/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6" formatCode="&quot;$&quot;#,##0.0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6" formatCode="&quot;$&quot;#,##0.00"/>
      <fill>
        <patternFill patternType="none">
          <fgColor indexed="64"/>
          <bgColor indexed="65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6" formatCode="&quot;$&quot;#,##0.00"/>
      <fill>
        <patternFill patternType="solid">
          <fgColor indexed="64"/>
          <bgColor theme="5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solid">
          <fgColor indexed="64"/>
          <bgColor rgb="FFCEEAB0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tkinson Hyperlegible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7" formatCode="mm/dd/yy;@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/>
        <top/>
        <bottom style="hair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tkinson Hyperlegible"/>
        <scheme val="none"/>
      </font>
      <numFmt numFmtId="167" formatCode="mm/dd/yy;@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 style="hair">
          <color auto="1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Atkinson Hyperlegible"/>
        <scheme val="none"/>
      </font>
    </dxf>
    <dxf>
      <font>
        <strike val="0"/>
        <outline val="0"/>
        <shadow val="0"/>
        <u val="none"/>
        <vertAlign val="baseline"/>
        <color theme="0" tint="-4.9989318521683403E-2"/>
        <name val="Atkinson Hyperlegible"/>
        <scheme val="none"/>
      </font>
      <fill>
        <patternFill patternType="solid">
          <fgColor indexed="64"/>
          <bgColor rgb="FF7030A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tkinson Hyperlegible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tkinson Hyperlegible"/>
        <scheme val="none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  <border diagonalUp="0" diagonalDown="0">
        <left/>
        <right style="thin">
          <color indexed="64"/>
        </right>
        <vertical/>
      </border>
    </dxf>
    <dxf>
      <border outline="0">
        <left style="thin">
          <color theme="2" tint="-0.499984740745262"/>
        </left>
        <right style="thin">
          <color theme="4"/>
        </right>
      </border>
    </dxf>
    <dxf>
      <font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tkinson Hyperlegible"/>
        <scheme val="none"/>
      </font>
      <fill>
        <patternFill patternType="none">
          <fgColor indexed="64"/>
          <bgColor auto="1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3" defaultTableStyle="TableStyleMedium2" defaultPivotStyle="PivotStyleLight16">
    <tableStyle name="Business Table" pivot="0" count="3" xr9:uid="{00000000-0011-0000-FFFF-FFFF00000000}">
      <tableStyleElement type="wholeTable" dxfId="536"/>
      <tableStyleElement type="headerRow" dxfId="535"/>
      <tableStyleElement type="secondRowStripe" dxfId="534"/>
    </tableStyle>
    <tableStyle name="PivotTable Style 1" table="0" count="0" xr9:uid="{827F062D-5781-4167-A023-DF752A1F12FF}"/>
    <tableStyle name="TableStyleDark9 2" pivot="0" count="7" xr9:uid="{DF16DB29-08EA-4889-A384-C667C818FC56}">
      <tableStyleElement type="wholeTable" dxfId="533"/>
      <tableStyleElement type="headerRow" dxfId="532"/>
      <tableStyleElement type="totalRow" dxfId="531"/>
      <tableStyleElement type="firstColumn" dxfId="530"/>
      <tableStyleElement type="lastColumn" dxfId="529"/>
      <tableStyleElement type="firstRowStripe" dxfId="528"/>
      <tableStyleElement type="firstColumnStripe" dxfId="527"/>
    </tableStyle>
  </tableStyles>
  <colors>
    <mruColors>
      <color rgb="FFA0CEB2"/>
      <color rgb="FFF5DEB3"/>
      <color rgb="FFF08080"/>
      <color rgb="FFEAA7CA"/>
      <color rgb="FFF0E68C"/>
      <color rgb="FF00ABD7"/>
      <color rgb="FFFFE4E1"/>
      <color rgb="FF00B0F0"/>
      <color rgb="FFB0E0E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powerPivotData" Target="model/item.data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ne\Dropbox\Marketing\Workbook%20Start%20Page%20Template%20(NO%20FFF).xlsm" TargetMode="External"/><Relationship Id="rId1" Type="http://schemas.openxmlformats.org/officeDocument/2006/relationships/externalLinkPath" Target="https://d.docs.live.net/Users/shane/Dropbox/Marketing/Workbook%20Start%20Page%20Template%20(NO%20FFF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ne\Dropbox\Marketing\Workbook%20Start%20Page%20Template%20(NO%20FFF).xlsm" TargetMode="External"/><Relationship Id="rId1" Type="http://schemas.openxmlformats.org/officeDocument/2006/relationships/externalLinkPath" Target="/Users/shane/Dropbox/Marketing/Workbook%20Start%20Page%20Template%20(NO%20FFF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347281db9cfc48e/Desktop/Linked%20Folder/Money_Tracker.xlsm" TargetMode="External"/><Relationship Id="rId1" Type="http://schemas.openxmlformats.org/officeDocument/2006/relationships/externalLinkPath" Target="https://d.docs.live.net/C347281DB9CFC48E/Desktop/Linked%20Folder/Money_Tracker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c1b522dd5954744/Documents/Book825-Martha.xlsm" TargetMode="External"/><Relationship Id="rId1" Type="http://schemas.openxmlformats.org/officeDocument/2006/relationships/externalLinkPath" Target="https://d.docs.live.net/ec1b522dd5954744/Documents/Book825-Martha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mses\AppData\Local\Packages\5319275A.WhatsAppDesktop_cv1g1gvanyjgm\LocalState\sessions\8F0C8947C25AAF315C285575FF8119DB9B923712\transfers\2026-05\book825-JAN%20TUCSON%2028-1.xlsx" TargetMode="External"/><Relationship Id="rId1" Type="http://schemas.openxmlformats.org/officeDocument/2006/relationships/externalLinkPath" Target="/Users/Ramses/AppData/Local/Packages/5319275A.WhatsAppDesktop_cv1g1gvanyjgm/LocalState/sessions/8F0C8947C25AAF315C285575FF8119DB9B923712/transfers/2026-05/book825-JAN%20TUCSON%2028-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h\OneDrive\Documentos\book825-DEC.xlsm" TargetMode="External"/><Relationship Id="rId1" Type="http://schemas.openxmlformats.org/officeDocument/2006/relationships/externalLinkPath" Target="/Users/marth/OneDrive/Documentos/book825-DE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Admin &amp; Settings"/>
      <sheetName val="Video Summarizer"/>
      <sheetName val="Video List"/>
      <sheetName val="Chat Histor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 Here"/>
      <sheetName val="Admin &amp; Settings"/>
      <sheetName val="Video Summarizer"/>
      <sheetName val="Video List"/>
      <sheetName val="Chat History"/>
    </sheetNames>
    <sheetDataSet>
      <sheetData sheetId="0"/>
      <sheetData sheetId="1">
        <row r="10">
          <cell r="C10" t="str">
            <v>Categories</v>
          </cell>
        </row>
        <row r="11">
          <cell r="C11" t="str">
            <v>Excel</v>
          </cell>
        </row>
        <row r="12">
          <cell r="C12" t="str">
            <v>Marketing</v>
          </cell>
        </row>
        <row r="13">
          <cell r="C13" t="str">
            <v>Cooking</v>
          </cell>
        </row>
        <row r="14">
          <cell r="C14" t="str">
            <v>Python Learning</v>
          </cell>
        </row>
        <row r="15">
          <cell r="C15" t="str">
            <v>Investing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nses"/>
    </sheetNames>
    <sheetDataSet>
      <sheetData sheetId="0">
        <row r="2">
          <cell r="K2" t="str">
            <v>C:\Users\marth\OneDrive\Desktop\Linked Folder\IMG\*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K1"/>
      <sheetName val="BALANCE"/>
      <sheetName val="SUPPLIES"/>
      <sheetName val="IDLE VENDORS"/>
      <sheetName val="TRK2"/>
      <sheetName val="TRK3"/>
      <sheetName val="DH"/>
      <sheetName val="EM"/>
      <sheetName val="FR"/>
      <sheetName val="TE"/>
      <sheetName val="GE"/>
      <sheetName val="GS"/>
      <sheetName val="JM"/>
      <sheetName val="BT"/>
      <sheetName val="CTRL"/>
      <sheetName val="--STKR"/>
    </sheetNames>
    <sheetDataSet>
      <sheetData sheetId="0"/>
      <sheetData sheetId="1">
        <row r="1">
          <cell r="A1">
            <v>825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B4" t="str">
            <v>O</v>
          </cell>
        </row>
        <row r="5">
          <cell r="AB5" t="str">
            <v>P</v>
          </cell>
        </row>
        <row r="6">
          <cell r="AB6" t="str">
            <v>R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SIMONA"/>
      <sheetName val="SUPPLIES"/>
      <sheetName val="TRK1"/>
      <sheetName val="PKL1"/>
      <sheetName val="TRK2"/>
      <sheetName val="TRK3"/>
      <sheetName val="TRK4"/>
      <sheetName val="RF"/>
      <sheetName val="AM"/>
      <sheetName val="EM"/>
      <sheetName val="JM"/>
      <sheetName val="AN"/>
      <sheetName val="CP"/>
      <sheetName val="ML"/>
      <sheetName val="DH"/>
      <sheetName val="FR"/>
      <sheetName val="TE"/>
      <sheetName val="GS"/>
      <sheetName val="GE"/>
      <sheetName val="BT"/>
      <sheetName val="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K2">
            <v>135715.5</v>
          </cell>
        </row>
      </sheetData>
      <sheetData sheetId="17">
        <row r="1">
          <cell r="S1">
            <v>452094</v>
          </cell>
        </row>
        <row r="4">
          <cell r="AB4" t="str">
            <v>O</v>
          </cell>
        </row>
        <row r="5">
          <cell r="AB5" t="str">
            <v>P</v>
          </cell>
        </row>
        <row r="6">
          <cell r="AB6" t="str">
            <v>R</v>
          </cell>
        </row>
      </sheetData>
      <sheetData sheetId="18">
        <row r="2">
          <cell r="S2">
            <v>61290</v>
          </cell>
        </row>
      </sheetData>
      <sheetData sheetId="19">
        <row r="2">
          <cell r="K2">
            <v>150221.5</v>
          </cell>
        </row>
      </sheetData>
      <sheetData sheetId="20">
        <row r="2">
          <cell r="K2">
            <v>104500</v>
          </cell>
        </row>
      </sheetData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PLIES a"/>
      <sheetName val="TRK1"/>
      <sheetName val="CTRL"/>
      <sheetName val="BALANCE"/>
      <sheetName val="OLD.SUPL"/>
      <sheetName val="IDLE VENDORS"/>
      <sheetName val="TRK2"/>
      <sheetName val="TRK3"/>
      <sheetName val="BLNK"/>
      <sheetName val="DH"/>
      <sheetName val="GE"/>
      <sheetName val="GS"/>
      <sheetName val="FR"/>
      <sheetName val="BT"/>
      <sheetName val="EM"/>
      <sheetName val="TE"/>
      <sheetName val="--STK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AB4" t="str">
            <v>O</v>
          </cell>
        </row>
        <row r="5">
          <cell r="AB5" t="str">
            <v>P</v>
          </cell>
        </row>
        <row r="6">
          <cell r="AB6" t="str">
            <v>R</v>
          </cell>
        </row>
      </sheetData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4C9C25-DE4B-4577-A1B9-59236E4FBE1A}" name="Table7" displayName="Table7" ref="D3:W29" totalsRowShown="0" headerRowDxfId="526" dataDxfId="525" tableBorderDxfId="524">
  <autoFilter ref="D3:W29" xr:uid="{DD63E652-8260-42FC-8EAA-0BFD6EC0CA90}"/>
  <tableColumns count="20">
    <tableColumn id="1" xr3:uid="{20F5F83A-79B1-448C-82F1-2A07B11886A8}" name="  " dataDxfId="523"/>
    <tableColumn id="2" xr3:uid="{B6D722D7-91ED-4C87-9209-F358D1B8D95E}" name="PAYMENT DH" dataDxfId="522"/>
    <tableColumn id="3" xr3:uid="{E32CE841-27F7-4EC1-AAFA-7A297189A7B0}" name="BALANCE DH" dataDxfId="521"/>
    <tableColumn id="4" xr3:uid="{26208193-5212-4BC4-BE4F-8FC2C514547F}" name="PAYMENT EM" dataDxfId="520"/>
    <tableColumn id="5" xr3:uid="{67FF79AC-9D4D-4272-BD69-4FFE8D0025ED}" name="BALANCE EM" dataDxfId="519"/>
    <tableColumn id="6" xr3:uid="{11AE6940-A26B-43E4-B370-F1440318A107}" name="PAYMEN FR" dataDxfId="518"/>
    <tableColumn id="7" xr3:uid="{BE01E49C-62A6-473C-9D36-CA8B8164B98E}" name="BALANCE FR" dataDxfId="517"/>
    <tableColumn id="8" xr3:uid="{98BF6C78-FAB8-41F2-9D1A-5F9D61EE91CF}" name="PAYMENT TE" dataDxfId="516"/>
    <tableColumn id="9" xr3:uid="{544F6413-B962-4823-840F-9BF0E6C89275}" name="BALANCE TE" dataDxfId="515"/>
    <tableColumn id="10" xr3:uid="{506451DC-2BCE-4343-9D5F-5465C629A7F5}" name="PAYMENT GE" dataDxfId="514"/>
    <tableColumn id="11" xr3:uid="{789547F5-7721-402D-A356-BA520B1E941F}" name="BALANCE GE" dataDxfId="513">
      <calculatedColumnFormula>[5]GE!Q2</calculatedColumnFormula>
    </tableColumn>
    <tableColumn id="16" xr3:uid="{601E238B-D81C-47BA-B14D-2E721C91BB3A}" name="PAYMENT LH2" dataDxfId="512"/>
    <tableColumn id="17" xr3:uid="{102E01C6-4299-481B-8A2C-0CF01DECFB9A}" name="BALANCE GS3" dataDxfId="511"/>
    <tableColumn id="12" xr3:uid="{F114BDA6-37C2-4027-8FBF-37734BA083FB}" name="PAYMENTBT" dataDxfId="510"/>
    <tableColumn id="13" xr3:uid="{7A95EC46-209A-4C5D-B6F9-3DF01FE55788}" name="BALANCEBT" dataDxfId="509"/>
    <tableColumn id="19" xr3:uid="{BDD8D584-22F4-49D1-B90B-8ECC55B9F1C8}" name="PAYMENT JM" dataDxfId="508" dataCellStyle="Currency"/>
    <tableColumn id="20" xr3:uid="{051406DD-0E4D-4EFB-B9BB-00EF1E032368}" name="BALANCE JM" dataDxfId="507" dataCellStyle="Currency"/>
    <tableColumn id="18" xr3:uid="{00D78326-7872-4F3F-A576-BD4412406EAF}" name="PAYMENT ML" dataDxfId="506" dataCellStyle="Currency"/>
    <tableColumn id="21" xr3:uid="{4EA71489-C056-4D13-8F36-DC72A7EA5302}" name="BALANCE ML" dataDxfId="505">
      <calculatedColumnFormula>ML!K2</calculatedColumnFormula>
    </tableColumn>
    <tableColumn id="22" xr3:uid="{4155E47A-89DC-41CA-9E26-898DE6627EB4}" name="PAYMENT ET" dataDxfId="50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EF93FA-850F-493E-AB0A-8365C6A65894}" name="Table115" displayName="Table115" ref="A5:J86" totalsRowShown="0" headerRowDxfId="503" dataDxfId="502">
  <autoFilter ref="A5:J86" xr:uid="{15F4A094-206E-4CB2-950A-B00DBF65E0CB}"/>
  <tableColumns count="10">
    <tableColumn id="1" xr3:uid="{48E2745E-4A60-4615-89A6-B72DF7728AA5}" name="Date" dataDxfId="501"/>
    <tableColumn id="17" xr3:uid="{B98C9280-7B07-40B4-A7C8-276C7D3FF550}" name="VENDOR" dataDxfId="500"/>
    <tableColumn id="2" xr3:uid="{65A16D3C-50B8-4DD8-8015-AB69A87D49C3}" name="ITEM" dataDxfId="499"/>
    <tableColumn id="3" xr3:uid="{C3DD75FF-2AA6-4165-A758-AF8B2BDE801F}" name="DESCTIPTION" dataDxfId="498"/>
    <tableColumn id="4" xr3:uid="{68DCEE70-E9E6-41FD-91BE-6DE20611F1F9}" name="Q" dataDxfId="497"/>
    <tableColumn id="18" xr3:uid="{11AF6A23-93F0-4AED-A57F-DCD1E2A72B3E}" name="$MSN IN" dataDxfId="496"/>
    <tableColumn id="9" xr3:uid="{72D4D2A5-7622-4D5D-8CF5-84623C670C22}" name="$MXN OUT" dataDxfId="495"/>
    <tableColumn id="10" xr3:uid="{2F7AD733-9713-4515-9E7E-A06EFBF77640}" name="TOTAL $" dataDxfId="494">
      <calculatedColumnFormula>Table115[[#This Row],[Q]]*Table115[[#This Row],[$MXN OUT]]</calculatedColumnFormula>
    </tableColumn>
    <tableColumn id="15" xr3:uid="{65B8C3A9-4CC2-485F-8ADE-1021BBB5A87D}" name="$USD" dataDxfId="493">
      <calculatedColumnFormula>IF(E6&gt;0.1,G6/#REF!," ")</calculatedColumnFormula>
    </tableColumn>
    <tableColumn id="16" xr3:uid="{1AF5AB85-3A9D-43B1-8A7B-A641FBCEFB2D}" name="TOTAL USD" dataDxfId="492">
      <calculatedColumnFormula>IF(E6&gt;0.1,I6*E6," ")</calculatedColumnFormula>
    </tableColumn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B032AC-3618-4174-A125-99C4FB819E41}" name="Table11524" displayName="Table11524" ref="A5:R14" totalsRowShown="0" headerRowDxfId="491" dataDxfId="490">
  <autoFilter ref="A5:R14" xr:uid="{15F4A094-206E-4CB2-950A-B00DBF65E0CB}"/>
  <tableColumns count="18">
    <tableColumn id="1" xr3:uid="{9C89A186-DCDC-4AD6-899F-D71367A8F79A}" name="Date" dataDxfId="489"/>
    <tableColumn id="17" xr3:uid="{CA990634-85F1-46AC-A81C-013DE4AE1A03}" name="VENDOR" dataDxfId="488"/>
    <tableColumn id="2" xr3:uid="{339B4FA7-FA38-4898-924F-CAEB78D96BFE}" name="ITEM" dataDxfId="487"/>
    <tableColumn id="3" xr3:uid="{B8272592-E7C2-4800-A015-9CB76A3A13B6}" name="DESCTIPTION" dataDxfId="486"/>
    <tableColumn id="4" xr3:uid="{EF1F4389-0DF0-4314-A7C4-EF210F6ABE73}" name="Q" dataDxfId="485"/>
    <tableColumn id="5" xr3:uid="{5904AE0B-8EA7-4B6B-B263-D510890FA4FF}" name="KG" dataDxfId="484"/>
    <tableColumn id="6" xr3:uid="{750BBB1B-7D78-4697-8C35-38911405DB40}" name="L CM" dataDxfId="483"/>
    <tableColumn id="7" xr3:uid="{1D7EB298-AC15-43F9-B049-D890AB442F64}" name="W CM" dataDxfId="482"/>
    <tableColumn id="8" xr3:uid="{ADA0E105-A3A0-490E-A3E4-909BDF2ED214}" name="D CM " dataDxfId="481"/>
    <tableColumn id="18" xr3:uid="{54FB6807-6FC9-476E-8A50-AEBE02E53C13}" name="$MSN IN" dataDxfId="480"/>
    <tableColumn id="9" xr3:uid="{53A93D14-8F80-4A82-9CDF-02369A085CDD}" name="$MXN OUT" dataDxfId="479"/>
    <tableColumn id="10" xr3:uid="{33F22A9E-BFCD-4101-9461-1CEDD1AA39E6}" name="TOTAL $" dataDxfId="478">
      <calculatedColumnFormula>Table11524[[#This Row],[Q]]*Table11524[[#This Row],[$MXN OUT]]</calculatedColumnFormula>
    </tableColumn>
    <tableColumn id="11" xr3:uid="{B367AA65-5F1E-469B-8F29-6F8A400E37F9}" name="POUNDS" dataDxfId="477">
      <calculatedColumnFormula>F6*2.20462</calculatedColumnFormula>
    </tableColumn>
    <tableColumn id="12" xr3:uid="{2E63526F-74D9-4900-81FD-EB72ADBB4879}" name="H &quot;" dataDxfId="476">
      <calculatedColumnFormula>G6/2.54</calculatedColumnFormula>
    </tableColumn>
    <tableColumn id="13" xr3:uid="{6A50A050-0863-4963-B194-A9BD66177A4A}" name="W&quot;" dataDxfId="475">
      <calculatedColumnFormula>H6/2.54</calculatedColumnFormula>
    </tableColumn>
    <tableColumn id="14" xr3:uid="{89344DA8-7044-407A-98BC-CB4D013E5ACF}" name="D&quot;" dataDxfId="474">
      <calculatedColumnFormula>I6/2.54</calculatedColumnFormula>
    </tableColumn>
    <tableColumn id="15" xr3:uid="{DF5C774E-9B94-4B42-ABBA-270D5D6999EF}" name="$USD" dataDxfId="473">
      <calculatedColumnFormula>IF(E6&gt;0.1,K6/18," ")</calculatedColumnFormula>
    </tableColumn>
    <tableColumn id="16" xr3:uid="{0799C993-BE17-4EE8-B5D4-8EA4B573BC14}" name="TOTAL USD" dataDxfId="472">
      <calculatedColumnFormula>IF(E6&gt;0.1,Q6*E6," ")</calculatedColumnFormula>
    </tableColumn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41C91A-CB54-4DA5-BE01-1ACF736C2F4F}" name="Table6" displayName="Table6" ref="B4:U127" totalsRowShown="0" headerRowDxfId="471" headerRowBorderDxfId="470" tableBorderDxfId="469">
  <autoFilter ref="B4:U127" xr:uid="{8BFFBB81-18B2-4FAB-A8B8-908DFE9C236C}"/>
  <tableColumns count="20">
    <tableColumn id="1" xr3:uid="{BDCC1BCE-F509-46D5-B92E-C34BB4229D1E}" name="date"/>
    <tableColumn id="2" xr3:uid="{6441EB9C-FC99-4A67-9ED3-8C91A525CE71}" name="Description"/>
    <tableColumn id="3" xr3:uid="{A4DE7415-949B-4D4C-99A5-4ABEF33B2684}" name="Tag - ID with LC" dataDxfId="468"/>
    <tableColumn id="4" xr3:uid="{42C12E29-7C1C-473C-AC7A-84ADEE0F5E6B}" name="LC"/>
    <tableColumn id="5" xr3:uid="{92C2A0CE-7D91-4E02-810D-BA83FB613F27}" name="AQ CODE"/>
    <tableColumn id="6" xr3:uid="{433EC445-DC80-497B-9C6D-3931DF612494}" name="RETAIL"/>
    <tableColumn id="7" xr3:uid="{F0559D48-C195-407C-8B56-B800CAB153E2}" name="Quantity"/>
    <tableColumn id="8" xr3:uid="{48D86968-F7C8-4A9D-821A-C550E16C47A0}" name="Weight KG" dataDxfId="467"/>
    <tableColumn id="11" xr3:uid="{87FE04F2-6D2E-4E88-ADFA-8DF1322C02F3}" name="length in CM" dataDxfId="466"/>
    <tableColumn id="9" xr3:uid="{5767B4BF-D288-43AF-8831-ED03C2F007F2}" name="Width in CM" dataDxfId="465"/>
    <tableColumn id="10" xr3:uid="{31C696AF-6DC8-487E-BB90-F2380068A109}" name="Depth in " dataDxfId="464"/>
    <tableColumn id="12" xr3:uid="{3DE5A6B2-20CD-4DAB-8B78-9AA75B719F71}" name="Per piece Pesos" dataDxfId="463">
      <calculatedColumnFormula>Table6[[#This Row],[length in CM]]*Table6[[#This Row],[LC]]</calculatedColumnFormula>
    </tableColumn>
    <tableColumn id="13" xr3:uid="{7D883F65-0C26-4F0A-9C39-19A7BFAFC10E}" name="Total in Pesos"/>
    <tableColumn id="14" xr3:uid="{0E81326F-4125-4430-97E7-0080CFD9272B}" name="pounds" dataDxfId="462"/>
    <tableColumn id="15" xr3:uid="{407D5B58-EB4F-4AE2-B1EA-6D8343A677F2}" name="Height in Inches" dataDxfId="461"/>
    <tableColumn id="16" xr3:uid="{A67B9318-EAAA-4595-AA8A-D64DBC36C244}" name="Width in inches" dataDxfId="460"/>
    <tableColumn id="17" xr3:uid="{38CA462D-8662-4332-BB3C-885374C69A29}" name="Depth in Inches" dataDxfId="459"/>
    <tableColumn id="18" xr3:uid="{065827FD-CAE7-4408-99EF-7563B4A49999}" name="Per Piece US$"/>
    <tableColumn id="19" xr3:uid="{4290A94D-AB9E-40A1-92E0-EFF885EB7F6A}" name="Total in US$ Dollars"/>
    <tableColumn id="20" xr3:uid="{5FC960BD-01F0-4DCC-B3B2-1BD3E5B04967}" name="Column1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C8C1AC-D00C-4E2C-B1CE-5CECF3C977BB}" name="Table623" displayName="Table623" ref="A4:S204" totalsRowShown="0" headerRowDxfId="458" headerRowBorderDxfId="457" tableBorderDxfId="456">
  <autoFilter ref="A4:S204" xr:uid="{8BFFBB81-18B2-4FAB-A8B8-908DFE9C236C}"/>
  <tableColumns count="19">
    <tableColumn id="1" xr3:uid="{E882D0FF-7A18-4004-9E3A-4549614944DB}" name="date"/>
    <tableColumn id="2" xr3:uid="{1EB3F88F-232B-434B-AE93-B27415774C23}" name="Description"/>
    <tableColumn id="3" xr3:uid="{7556B889-0BAC-413F-85E9-CCEB509197D9}" name="Tag - ID with LC" dataDxfId="455"/>
    <tableColumn id="4" xr3:uid="{581841AF-23B5-4A70-B3E2-6404AF7A6284}" name="LC"/>
    <tableColumn id="5" xr3:uid="{1C3C4A73-2676-4E54-ADDC-BCDC1BCF5FFE}" name="AQ CODE"/>
    <tableColumn id="6" xr3:uid="{0A200554-60C8-41A8-90F5-D93D6514114E}" name="RETAIL" dataCellStyle="Currency"/>
    <tableColumn id="7" xr3:uid="{FC52E64D-2F10-4851-81A7-DC355DE9C712}" name="Quantity"/>
    <tableColumn id="8" xr3:uid="{555551DB-CE51-487B-A472-CE8E6D09431A}" name="Weight KG" dataDxfId="454"/>
    <tableColumn id="11" xr3:uid="{B936FFF5-E299-4F2E-BFDD-FD16D4AE3A7B}" name="length in CM" dataDxfId="453"/>
    <tableColumn id="9" xr3:uid="{08C886C9-5BF8-4DC1-8FAB-08CDFD30C78D}" name="Width in CM" dataDxfId="452"/>
    <tableColumn id="10" xr3:uid="{B323527F-B81A-45B9-B9DD-70EF7387BF09}" name="Depth in " dataDxfId="451"/>
    <tableColumn id="12" xr3:uid="{60D6ABB9-1161-4C34-AD1C-53B9140CEA64}" name="Per piece Pesos" dataDxfId="450"/>
    <tableColumn id="13" xr3:uid="{41B047F4-4086-4E27-BBF0-B10214A170AF}" name="Total in Pesos" dataDxfId="449">
      <calculatedColumnFormula>Table623[[#This Row],[Per piece Pesos]]*Table623[[#This Row],[Quantity]]</calculatedColumnFormula>
    </tableColumn>
    <tableColumn id="14" xr3:uid="{2F40DA37-51B1-4DFD-AB6A-E96268A65C1C}" name="pounds" dataDxfId="448"/>
    <tableColumn id="15" xr3:uid="{7396FFEE-9FC9-4585-8C30-252AADB5F528}" name="Height in Inches" dataDxfId="447"/>
    <tableColumn id="16" xr3:uid="{41C2B5CD-0B73-4A9D-9640-A7BBAB011862}" name="Width in inches" dataDxfId="446"/>
    <tableColumn id="17" xr3:uid="{ECC2A9E0-7FF9-4B8A-A429-7624E12A5DC0}" name="Depth in Inches" dataDxfId="445"/>
    <tableColumn id="18" xr3:uid="{5A676EFF-26E0-4C30-A4F1-BBE4C4E070E6}" name="Per Piece US$"/>
    <tableColumn id="19" xr3:uid="{69755202-34F4-4639-B4DE-5B7276595856}" name="Total in US$ Dollars">
      <calculatedColumnFormula>Table623[[#This Row],[Per Piece US$]]*Table623[[#This Row],[Quantity]]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E3F1CF-FE51-4B4E-B414-3FE41BD58409}" name="Inventory_List_Table3" displayName="Inventory_List_Table3" ref="B3:W118" totalsRowShown="0" headerRowDxfId="444" dataDxfId="442" headerRowBorderDxfId="443">
  <autoFilter ref="B3:W11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70FB3A1-5C26-4109-A451-0310A590ED0C}" name="Date" dataDxfId="441" totalsRowDxfId="440">
      <calculatedColumnFormula>IFERROR((Inventory_List_Table3[[#This Row],[H CM]]&lt;=Inventory_List_Table3[[#This Row],[D CM ]])*(Inventory_List_Table3[[#This Row],[W Inches]]="")*valHighlight,0)</calculatedColumnFormula>
    </tableColumn>
    <tableColumn id="2" xr3:uid="{65C6C323-2210-4C19-A187-D9F1B9F749CA}" name="Description                                                 Color - Object Type" dataDxfId="439" totalsRowDxfId="438"/>
    <tableColumn id="3" xr3:uid="{4F82CCF6-89FA-4D78-8C92-59ABAA37CEFE}" name="TAG-ID" dataDxfId="437" totalsRowDxfId="436"/>
    <tableColumn id="4" xr3:uid="{D163564D-789F-4767-96BE-89C196923E8A}" name="Q" dataDxfId="435" totalsRowDxfId="434"/>
    <tableColumn id="5" xr3:uid="{F19A9A4A-BCCA-42A2-A746-8025BC83243A}" name="KG" dataDxfId="433" totalsRowDxfId="432"/>
    <tableColumn id="6" xr3:uid="{5076EFD3-5DDB-42BB-8367-4FB3C1218C11}" name="H CM" dataDxfId="431" totalsRowDxfId="430"/>
    <tableColumn id="7" xr3:uid="{91EDA902-E712-41C5-B724-174512D07B8D}" name="W CM" dataDxfId="429" totalsRowDxfId="428"/>
    <tableColumn id="8" xr3:uid="{86557C07-4DE2-46F4-81B5-F83C919FB023}" name="D CM " dataDxfId="427" totalsRowDxfId="426"/>
    <tableColumn id="9" xr3:uid="{52281953-D590-4310-8E8E-0B2B7F2A9E0E}" name="Per piece MXN$" dataDxfId="425" totalsRowDxfId="424">
      <calculatedColumnFormula>500*S1</calculatedColumnFormula>
    </tableColumn>
    <tableColumn id="23" xr3:uid="{B2BDF5D6-4023-4981-BEC3-803EBD34D530}" name="TOTAL PESOS" dataDxfId="423" totalsRowDxfId="422">
      <calculatedColumnFormula>Inventory_List_Table3[[#This Row],[Q]]*Inventory_List_Table3[[#This Row],[Per piece MXN$]]</calculatedColumnFormula>
    </tableColumn>
    <tableColumn id="13" xr3:uid="{F60B588C-21F9-4853-A986-9CFAACEB32AA}" name="POUNDS" dataDxfId="421" totalsRowDxfId="420">
      <calculatedColumnFormula>Inventory_List_Table3[[#This Row],[KG]]*2.20462</calculatedColumnFormula>
    </tableColumn>
    <tableColumn id="10" xr3:uid="{A0CAE92A-8985-4334-99A2-8E3BDA1B45B6}" name="H Inches" dataDxfId="419" totalsRowDxfId="418">
      <calculatedColumnFormula>Inventory_List_Table3[[#This Row],[H CM]]/2.54</calculatedColumnFormula>
    </tableColumn>
    <tableColumn id="11" xr3:uid="{6AE081CB-B097-427A-AA65-8303E0DC438D}" name="W Inches" dataDxfId="417" totalsRowDxfId="416">
      <calculatedColumnFormula>Inventory_List_Table3[[#This Row],[W CM]]/2.54</calculatedColumnFormula>
    </tableColumn>
    <tableColumn id="12" xr3:uid="{DC9E0E57-A85A-4DAD-AF1B-C586981BF626}" name="D Incbes" dataDxfId="415" totalsRowDxfId="414">
      <calculatedColumnFormula>Inventory_List_Table3[[#This Row],[D CM ]]/2.54</calculatedColumnFormula>
    </tableColumn>
    <tableColumn id="14" xr3:uid="{20194229-0A62-42E1-94FC-59AE30E0C972}" name="AQ" dataDxfId="413" totalsRowDxfId="412">
      <calculatedColumnFormula>Inventory_List_Table3[[#This Row],[Per piece MXN$]]/$U$2</calculatedColumnFormula>
    </tableColumn>
    <tableColumn id="16" xr3:uid="{3A2F61EA-3C20-45D3-8790-3E0AB8251142}" name="AQ ROUND" dataDxfId="411" totalsRowDxfId="410">
      <calculatedColumnFormula>IF(MOD(P4,1)&gt;0.4,ROUNDUP(P4,0),ROUNDDOWN(P4,0))</calculatedColumnFormula>
    </tableColumn>
    <tableColumn id="15" xr3:uid="{0FEBE1FA-3B71-4E2F-95B4-A8ACEAA16F50}" name="LND" dataDxfId="409" totalsRowDxfId="408">
      <calculatedColumnFormula>Inventory_List_Table3[[#This Row],[AQ ROUND]]*1.4</calculatedColumnFormula>
    </tableColumn>
    <tableColumn id="21" xr3:uid="{F3B37A3D-C483-46AD-914D-3D1B785CFEB8}" name="LND ROUND" dataDxfId="407" totalsRowDxfId="406">
      <calculatedColumnFormula>IF(MOD(R4,1)&gt;0.4,ROUNDUP(R4,0),ROUNDDOWN(R4,0))</calculatedColumnFormula>
    </tableColumn>
    <tableColumn id="17" xr3:uid="{497D4370-D2DD-4FA6-A041-A66262669FA2}" name="RETAIL" dataDxfId="405" totalsRowDxfId="404">
      <calculatedColumnFormula>Inventory_List_Table3[[#This Row],[LND ROUND]]*12</calculatedColumnFormula>
    </tableColumn>
    <tableColumn id="22" xr3:uid="{7C13A08C-F0D1-4C97-AE8C-84498782649D}" name="TOTAL USD" dataDxfId="403" totalsRowDxfId="402">
      <calculatedColumnFormula>Inventory_List_Table3[[#This Row],[AQ]]*Inventory_List_Table3[[#This Row],[Q]]</calculatedColumnFormula>
    </tableColumn>
    <tableColumn id="18" xr3:uid="{1589BCFC-AA9D-4C24-99D8-DAE0FD3967F2}" name="AQC" dataDxfId="401" totalsRowDxfId="400"/>
    <tableColumn id="19" xr3:uid="{25683618-9443-4BBE-A9F8-71721F03A9D7}" name="LC" dataDxfId="399" totalsRowDxfId="39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82E7793-45E6-4310-82AB-65B3AD4DF50E}" name="Inventory_List_Table341115" displayName="Inventory_List_Table341115" ref="B3:W32" totalsRowShown="0" headerRowDxfId="397" dataDxfId="395" headerRowBorderDxfId="396">
  <autoFilter ref="B3:W3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58B4AF99-746D-4254-B4F0-97AE0397E6B7}" name="Date" dataDxfId="394">
      <calculatedColumnFormula>IFERROR((Inventory_List_Table341115[[#This Row],[H CM]]&lt;=Inventory_List_Table341115[[#This Row],[D CM ]])*(Inventory_List_Table341115[[#This Row],[W Inches]]="")*valHighlight,0)</calculatedColumnFormula>
    </tableColumn>
    <tableColumn id="2" xr3:uid="{72C82CA6-0A5A-4CA8-83C9-6760441CBDB2}" name="Description                                                 Color - Object Type" dataDxfId="393"/>
    <tableColumn id="3" xr3:uid="{CBD5BAF9-B24B-44B5-8710-82BCE86CB53A}" name="TAG-ID" dataDxfId="392"/>
    <tableColumn id="4" xr3:uid="{CEB21101-CA36-453C-A0D3-06FEB306E3E6}" name="Q" dataDxfId="391"/>
    <tableColumn id="5" xr3:uid="{31A3CE1A-5C30-4ECC-AB85-9627666C6F9D}" name="KG" dataDxfId="390"/>
    <tableColumn id="6" xr3:uid="{51DBF355-E544-414B-A0E9-3123B9CADD83}" name="H CM" dataDxfId="389"/>
    <tableColumn id="7" xr3:uid="{9D352F8D-818E-4E7D-9484-34160A341709}" name="W CM" dataDxfId="388"/>
    <tableColumn id="8" xr3:uid="{1D864356-B6ED-40D2-A4CF-1A23AABEBA25}" name="D CM " dataDxfId="387"/>
    <tableColumn id="9" xr3:uid="{594860B2-F6AF-44F3-A57F-B85C84277E6B}" name="Per piece MXN$" dataDxfId="386"/>
    <tableColumn id="23" xr3:uid="{FD63B275-FBBF-4F68-B4B0-AFC5497CDE5B}" name="TOTAL PESOS" dataDxfId="385">
      <calculatedColumnFormula>Inventory_List_Table341115[[#This Row],[Q]]*Inventory_List_Table341115[[#This Row],[Per piece MXN$]]</calculatedColumnFormula>
    </tableColumn>
    <tableColumn id="13" xr3:uid="{2E2E3186-F414-4FD1-809C-7634A66EB631}" name="POUNDS" dataDxfId="384">
      <calculatedColumnFormula>Inventory_List_Table341115[[#This Row],[KG]]*2.20462</calculatedColumnFormula>
    </tableColumn>
    <tableColumn id="10" xr3:uid="{E7048908-1B79-4816-ABDE-1DF5787D8101}" name="H Inches" dataDxfId="383">
      <calculatedColumnFormula>Inventory_List_Table341115[[#This Row],[H CM]]/2.54</calculatedColumnFormula>
    </tableColumn>
    <tableColumn id="11" xr3:uid="{C9B2340A-0262-446E-8A05-3617C8E943B3}" name="W Inches" dataDxfId="382">
      <calculatedColumnFormula>Inventory_List_Table341115[[#This Row],[W CM]]/2.54</calculatedColumnFormula>
    </tableColumn>
    <tableColumn id="12" xr3:uid="{9536CE11-D587-4CEF-8269-64455F064408}" name="D Incbes" dataDxfId="381">
      <calculatedColumnFormula>Inventory_List_Table341115[[#This Row],[D CM ]]/2.54</calculatedColumnFormula>
    </tableColumn>
    <tableColumn id="14" xr3:uid="{C8632730-3314-4A6C-8AB3-574483C53B01}" name="AQ" dataDxfId="380">
      <calculatedColumnFormula>Inventory_List_Table341115[[#This Row],[Per piece MXN$]]/$U$2</calculatedColumnFormula>
    </tableColumn>
    <tableColumn id="16" xr3:uid="{00D9A0F6-95A1-4CF0-9561-087E75A5A0BD}" name="AQ ROUND" dataDxfId="379">
      <calculatedColumnFormula>IF(MOD(P4,1)&gt;0.4,ROUNDUP(P4,0),ROUNDDOWN(P4,0))</calculatedColumnFormula>
    </tableColumn>
    <tableColumn id="15" xr3:uid="{ECC82996-FD81-439C-B224-1559622E4194}" name="LND" dataDxfId="378">
      <calculatedColumnFormula>Inventory_List_Table341115[[#This Row],[AQ ROUND]]*1.4</calculatedColumnFormula>
    </tableColumn>
    <tableColumn id="21" xr3:uid="{11B4F9F2-FC15-4959-A967-719A9271A7C0}" name="LND ROUND" dataDxfId="377">
      <calculatedColumnFormula>IF(MOD(R4,1)&gt;0.4,ROUNDUP(R4,0),ROUNDDOWN(R4,0))</calculatedColumnFormula>
    </tableColumn>
    <tableColumn id="17" xr3:uid="{96399609-DFDB-4452-8829-C2B7D2E541F9}" name="RETAIL" dataDxfId="376">
      <calculatedColumnFormula>Inventory_List_Table341115[[#This Row],[LND ROUND]]*8</calculatedColumnFormula>
    </tableColumn>
    <tableColumn id="22" xr3:uid="{1D8D9906-AEF3-48C7-8F85-3DFE6964EE8C}" name="TOTAL USD" dataDxfId="375">
      <calculatedColumnFormula>Inventory_List_Table341115[[#This Row],[AQ]]*Inventory_List_Table341115[[#This Row],[Q]]</calculatedColumnFormula>
    </tableColumn>
    <tableColumn id="18" xr3:uid="{94A5F5C2-98CF-4870-9150-BF15106CFDE5}" name="AQC" dataDxfId="374"/>
    <tableColumn id="19" xr3:uid="{65251BD0-D05F-4A83-AE6A-BC4BBE4FC7C4}" name="LC" dataDxfId="37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A9020B-899F-46CD-A131-13100C5A2B0C}" name="Inventory_List_Table346" displayName="Inventory_List_Table346" ref="B3:W41" totalsRowShown="0" headerRowDxfId="372" dataDxfId="370" headerRowBorderDxfId="371">
  <autoFilter ref="B3:W4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DE2FC0-4745-4052-A47D-EA1E402C09B2}" name="Date" dataDxfId="369">
      <calculatedColumnFormula>IFERROR((Inventory_List_Table346[[#This Row],[H CM]]&lt;=Inventory_List_Table346[[#This Row],[D CM ]])*(Inventory_List_Table346[[#This Row],[W Inches]]="")*valHighlight,0)</calculatedColumnFormula>
    </tableColumn>
    <tableColumn id="2" xr3:uid="{B025FEDD-8D10-41CF-8007-A68C7CF154A5}" name="Description                                                 Color - Object Type" dataDxfId="368" totalsRowDxfId="367"/>
    <tableColumn id="3" xr3:uid="{300C6B8F-1101-4D4A-BA57-4D6BEA7EA958}" name="TAG-ID" dataDxfId="366"/>
    <tableColumn id="4" xr3:uid="{54E09D4A-C9ED-4580-9F06-518F829BD604}" name="Q" dataDxfId="365" totalsRowDxfId="364"/>
    <tableColumn id="5" xr3:uid="{3CA133BE-B92A-488A-9E7D-FDE19963315E}" name="KG" dataDxfId="363" totalsRowDxfId="362"/>
    <tableColumn id="6" xr3:uid="{ABE09392-5C6C-4F14-8E46-0D195EBFE150}" name="H CM" dataDxfId="361" totalsRowDxfId="360"/>
    <tableColumn id="7" xr3:uid="{B56DCC2E-9637-4133-838D-8BFA4966890D}" name="W CM" dataDxfId="359" totalsRowDxfId="358"/>
    <tableColumn id="8" xr3:uid="{A70257C0-6877-421E-827E-59AC1A7625C0}" name="D CM " dataDxfId="357" totalsRowDxfId="356"/>
    <tableColumn id="9" xr3:uid="{A30A5395-AAB7-438A-866D-5A65D0042753}" name="Per piece MXN$" dataDxfId="355" totalsRowDxfId="354">
      <calculatedColumnFormula>500*S1</calculatedColumnFormula>
    </tableColumn>
    <tableColumn id="23" xr3:uid="{B521DE4D-90F1-462E-8FD0-7005D3DBE4EA}" name="TOTAL PESOS" dataDxfId="353" totalsRowDxfId="352">
      <calculatedColumnFormula>Inventory_List_Table346[[#This Row],[Q]]*Inventory_List_Table346[[#This Row],[Per piece MXN$]]</calculatedColumnFormula>
    </tableColumn>
    <tableColumn id="26" xr3:uid="{49C37A2A-7FFC-4ECE-9CEB-3098775B1C2A}" name="POUNDS" dataDxfId="351">
      <calculatedColumnFormula>Inventory_List_Table346[[#This Row],[KG]]*2.20462</calculatedColumnFormula>
    </tableColumn>
    <tableColumn id="10" xr3:uid="{904B80B4-174A-4D4B-9E44-8CD75450629F}" name="H Inches" dataDxfId="350" totalsRowDxfId="349">
      <calculatedColumnFormula>Inventory_List_Table346[[#This Row],[H CM]]/2.54</calculatedColumnFormula>
    </tableColumn>
    <tableColumn id="11" xr3:uid="{69015AB8-585B-4C45-B66E-BCC5FAA99F91}" name="W Inches" dataDxfId="348" totalsRowDxfId="347">
      <calculatedColumnFormula>Inventory_List_Table346[[#This Row],[W CM]]/2.54</calculatedColumnFormula>
    </tableColumn>
    <tableColumn id="12" xr3:uid="{860413A1-F348-45E2-BB94-1B1431AAD3C2}" name="D Incbes" dataDxfId="346" totalsRowDxfId="345">
      <calculatedColumnFormula>Inventory_List_Table346[[#This Row],[D CM ]]/2.54</calculatedColumnFormula>
    </tableColumn>
    <tableColumn id="14" xr3:uid="{C2590431-6E82-444E-97DE-BAFC8EE11D30}" name="AQ" dataDxfId="344" totalsRowDxfId="343">
      <calculatedColumnFormula>Inventory_List_Table346[[#This Row],[Per piece MXN$]]/$U$2</calculatedColumnFormula>
    </tableColumn>
    <tableColumn id="16" xr3:uid="{DFB90400-A634-4F98-8B03-11737FC0757A}" name="AQ ROUND" dataDxfId="342" totalsRowDxfId="341">
      <calculatedColumnFormula>IF(MOD(P4,1)&gt;0.4,ROUNDUP(P4,0),ROUNDDOWN(P4,0))</calculatedColumnFormula>
    </tableColumn>
    <tableColumn id="15" xr3:uid="{4FA634CC-A619-4356-AA60-3E37F910E126}" name="LND" dataDxfId="340" totalsRowDxfId="339">
      <calculatedColumnFormula>Inventory_List_Table346[[#This Row],[AQ ROUND]]*1.4</calculatedColumnFormula>
    </tableColumn>
    <tableColumn id="21" xr3:uid="{32B2290A-0F7D-48E9-BA91-B09A4699B11D}" name="LND ROUND" dataDxfId="338" totalsRowDxfId="337">
      <calculatedColumnFormula>IF(MOD(R4,1)&gt;0.4,ROUNDUP(R4,0),ROUNDDOWN(R4,0))</calculatedColumnFormula>
    </tableColumn>
    <tableColumn id="17" xr3:uid="{91C03D80-1442-426C-8098-438BC8F843E0}" name="RETAIL" dataDxfId="336" totalsRowDxfId="335">
      <calculatedColumnFormula>Inventory_List_Table346[[#This Row],[LND ROUND]]*8</calculatedColumnFormula>
    </tableColumn>
    <tableColumn id="22" xr3:uid="{EE9E9888-7AA7-4083-8F6E-6E51782ED2A7}" name="TOTAL USD" dataDxfId="334" totalsRowDxfId="333">
      <calculatedColumnFormula>Inventory_List_Table346[[#This Row],[AQ]]*Inventory_List_Table346[[#This Row],[Q]]</calculatedColumnFormula>
    </tableColumn>
    <tableColumn id="18" xr3:uid="{465750F7-516C-4B7F-A1DD-5E4524CD27BA}" name="AQC" dataDxfId="332" totalsRowDxfId="331"/>
    <tableColumn id="19" xr3:uid="{8FBA2C44-2CAB-45EE-8BE8-1DA7D2CCE174}" name="LC" dataDxfId="330" totalsRowDxfId="329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6B51C2-8A81-49AA-9CA9-3A898BA99320}" name="Inventory_List_Table345" displayName="Inventory_List_Table345" ref="B3:W47" totalsRowShown="0" headerRowDxfId="328" dataDxfId="326" headerRowBorderDxfId="327">
  <autoFilter ref="B3:W4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DC0D776-CBDB-4DB7-9727-51390C69806D}" name="Date" dataDxfId="325">
      <calculatedColumnFormula>IFERROR((Inventory_List_Table345[[#This Row],[H CM]]&lt;=Inventory_List_Table345[[#This Row],[D CM ]])*(Inventory_List_Table345[[#This Row],[W Inches]]="")*valHighlight,0)</calculatedColumnFormula>
    </tableColumn>
    <tableColumn id="2" xr3:uid="{08631695-41C2-40DA-8975-ECDB72ABB215}" name="Description                                                 Color - Object Type" dataDxfId="324"/>
    <tableColumn id="3" xr3:uid="{5EAFFDFA-EE66-44B4-9AB6-BF28973C8476}" name="TAG-ID" dataDxfId="323"/>
    <tableColumn id="4" xr3:uid="{FCCE17B2-0261-4EEF-8D1C-845F49030523}" name="Q" dataDxfId="322"/>
    <tableColumn id="5" xr3:uid="{6B09FC25-913E-450F-A71D-A9B978ACA9AD}" name="KG" dataDxfId="321"/>
    <tableColumn id="6" xr3:uid="{A31A558E-FAAD-4060-92CA-58ABD251F162}" name="H CM" dataDxfId="320"/>
    <tableColumn id="7" xr3:uid="{18DA77F6-2593-41F9-BF59-1BE8F6E0FA06}" name="W CM" dataDxfId="319"/>
    <tableColumn id="8" xr3:uid="{37F5A32A-5D15-4200-8938-0CE97AF5B120}" name="D CM " dataDxfId="318"/>
    <tableColumn id="9" xr3:uid="{AA606653-27EB-4D2F-BB60-632DC6782D86}" name="Per piece MXN$" dataDxfId="317">
      <calculatedColumnFormula>Inventory_List_Table345[[#This Row],[KG]]*12.5</calculatedColumnFormula>
    </tableColumn>
    <tableColumn id="23" xr3:uid="{4CFC7429-F10B-4799-BEB1-C1C662BBD39C}" name="TOTAL PESOS" dataDxfId="316">
      <calculatedColumnFormula>Inventory_List_Table345[[#This Row],[Q]]*Inventory_List_Table345[[#This Row],[Per piece MXN$]]</calculatedColumnFormula>
    </tableColumn>
    <tableColumn id="13" xr3:uid="{FFC7F24B-F94E-48B2-A452-C0B90A642C2D}" name="POUNDS" dataDxfId="315">
      <calculatedColumnFormula>Inventory_List_Table345[[#This Row],[KG]]*2.20462</calculatedColumnFormula>
    </tableColumn>
    <tableColumn id="10" xr3:uid="{79CA402F-C2CC-493D-9D42-E6321C805E83}" name="H Inches" dataDxfId="314">
      <calculatedColumnFormula>Inventory_List_Table345[[#This Row],[H CM]]/2.54</calculatedColumnFormula>
    </tableColumn>
    <tableColumn id="11" xr3:uid="{F1FABA4B-721C-444E-B3AD-9091A5B00D9E}" name="W Inches" dataDxfId="313">
      <calculatedColumnFormula>Inventory_List_Table345[[#This Row],[W CM]]/2.54</calculatedColumnFormula>
    </tableColumn>
    <tableColumn id="12" xr3:uid="{919DFF58-E6EA-4031-9AAC-6EFD58D07007}" name="D Incbes" dataDxfId="312">
      <calculatedColumnFormula>Inventory_List_Table345[[#This Row],[D CM ]]/2.54</calculatedColumnFormula>
    </tableColumn>
    <tableColumn id="14" xr3:uid="{D36E746E-35BA-4744-AEE2-F6670F587AD1}" name="AQ" dataDxfId="311">
      <calculatedColumnFormula>Inventory_List_Table345[[#This Row],[Per piece MXN$]]/$U$2</calculatedColumnFormula>
    </tableColumn>
    <tableColumn id="16" xr3:uid="{F88DDC98-5594-4122-963C-25C75D221959}" name="AQ ROUND" dataDxfId="310">
      <calculatedColumnFormula>IF(MOD(P4,1)&gt;0.4,ROUNDUP(P4,0),ROUNDDOWN(P4,0))</calculatedColumnFormula>
    </tableColumn>
    <tableColumn id="15" xr3:uid="{78C17A5C-BC55-439C-89E0-313B9F6086E4}" name="LND" dataDxfId="309">
      <calculatedColumnFormula>Inventory_List_Table345[[#This Row],[AQ ROUND]]*1.4</calculatedColumnFormula>
    </tableColumn>
    <tableColumn id="21" xr3:uid="{13113FA8-C0DB-4C59-8E11-693BE35D0A5A}" name="LND ROUND" dataDxfId="308">
      <calculatedColumnFormula>IF(MOD(R4,1)&gt;0.4,ROUNDUP(R4,0),ROUNDDOWN(R4,0))</calculatedColumnFormula>
    </tableColumn>
    <tableColumn id="17" xr3:uid="{0622379B-D459-43B5-AD7B-6244D72D69C5}" name="RETAIL" dataDxfId="307">
      <calculatedColumnFormula>Inventory_List_Table345[[#This Row],[LND ROUND]]*8</calculatedColumnFormula>
    </tableColumn>
    <tableColumn id="22" xr3:uid="{687ACA04-09FF-43AF-9732-71F668BDF7D8}" name="TOTAL USD" dataDxfId="306">
      <calculatedColumnFormula>Inventory_List_Table345[[#This Row],[AQ]]*Inventory_List_Table345[[#This Row],[Q]]</calculatedColumnFormula>
    </tableColumn>
    <tableColumn id="18" xr3:uid="{C78A5F4F-AB5B-4D65-AC4C-A65D7DB71C9A}" name="AQC" dataDxfId="305"/>
    <tableColumn id="19" xr3:uid="{7341F299-49ED-4902-BC5D-42EF94D61335}" name="LC" dataDxfId="30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1F8437-7D38-4F1A-A221-371BC52B3937}" name="Inventory_List_Table341116" displayName="Inventory_List_Table341116" ref="B3:Y58" totalsRowShown="0" headerRowDxfId="303" dataDxfId="301" headerRowBorderDxfId="302">
  <autoFilter ref="B3:Y5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7B1BFC22-5389-401C-BAD6-4630C3566AD0}" name="Date" dataDxfId="300" totalsRowDxfId="299">
      <calculatedColumnFormula>IFERROR((Inventory_List_Table341116[[#This Row],[H CM]]&lt;=Inventory_List_Table341116[[#This Row],[D CM ]])*(Inventory_List_Table341116[[#This Row],[W Inches]]="")*valHighlight,0)</calculatedColumnFormula>
    </tableColumn>
    <tableColumn id="2" xr3:uid="{BCEB44B6-4820-4D4F-844F-09B4EF843E21}" name="Description                                                 Color - Object Type" dataDxfId="298" totalsRowDxfId="297"/>
    <tableColumn id="3" xr3:uid="{527DCA27-1C70-481E-8500-2F7315BAF8AD}" name="TAG-ID" dataDxfId="296" totalsRowDxfId="295"/>
    <tableColumn id="4" xr3:uid="{BE5FC204-534D-4F75-947A-CDD1F80C6D91}" name="Q" dataDxfId="294" totalsRowDxfId="293"/>
    <tableColumn id="5" xr3:uid="{8B46BF66-AB94-4295-9943-DDBB0B7190C6}" name="KG" dataDxfId="292" totalsRowDxfId="291"/>
    <tableColumn id="6" xr3:uid="{8B2A7CA9-ADB0-4837-BFCD-CE036D6B3006}" name="H CM" dataDxfId="290" totalsRowDxfId="289"/>
    <tableColumn id="7" xr3:uid="{63E9A030-F288-4C24-91CB-BB4390B504E0}" name="W CM" dataDxfId="288" totalsRowDxfId="287"/>
    <tableColumn id="8" xr3:uid="{91EBBC1B-A65C-429F-BC48-623683686462}" name="D CM " dataDxfId="286" totalsRowDxfId="285"/>
    <tableColumn id="9" xr3:uid="{EAF366D8-ED36-43BB-9D36-04AFB109D260}" name="Per piece MXN$" dataDxfId="284" totalsRowDxfId="283" dataCellStyle="Currency">
      <calculatedColumnFormula>500*S1</calculatedColumnFormula>
    </tableColumn>
    <tableColumn id="23" xr3:uid="{E259DD53-7636-4000-8E0A-54FAD657351D}" name="TOTAL PESOS" dataDxfId="282" totalsRowDxfId="281">
      <calculatedColumnFormula>Inventory_List_Table341116[[#This Row],[Q]]*Inventory_List_Table341116[[#This Row],[Per piece MXN$]]</calculatedColumnFormula>
    </tableColumn>
    <tableColumn id="13" xr3:uid="{8005F690-F3DE-4F19-BFA0-9612E6703C8A}" name="POUNDS" dataDxfId="280" totalsRowDxfId="279">
      <calculatedColumnFormula>Inventory_List_Table341116[[#This Row],[KG]]*2.20462</calculatedColumnFormula>
    </tableColumn>
    <tableColumn id="10" xr3:uid="{D02AB672-C8D5-447C-B2B6-2CF61E2D6C7C}" name="H Inches" dataDxfId="278" totalsRowDxfId="277">
      <calculatedColumnFormula>Inventory_List_Table341116[[#This Row],[H CM]]/2.54</calculatedColumnFormula>
    </tableColumn>
    <tableColumn id="11" xr3:uid="{D043F854-3915-4100-99C7-E16949D3CA91}" name="W Inches" dataDxfId="276" totalsRowDxfId="275">
      <calculatedColumnFormula>Inventory_List_Table341116[[#This Row],[W CM]]/2.54</calculatedColumnFormula>
    </tableColumn>
    <tableColumn id="12" xr3:uid="{5D8B46F3-B3B3-4C71-BB34-E65BE4058BBC}" name="D Incbes" dataDxfId="274" totalsRowDxfId="273">
      <calculatedColumnFormula>Inventory_List_Table341116[[#This Row],[D CM ]]/2.54</calculatedColumnFormula>
    </tableColumn>
    <tableColumn id="14" xr3:uid="{DB87A051-B89E-4469-BB42-42D8BC001595}" name="AQ" dataDxfId="272" totalsRowDxfId="271" dataCellStyle="Currency">
      <calculatedColumnFormula>Inventory_List_Table341116[[#This Row],[Per piece MXN$]]/$U$2</calculatedColumnFormula>
    </tableColumn>
    <tableColumn id="16" xr3:uid="{4C17AD81-C208-4FBC-A3F4-787254CD0192}" name="AQ ROUND" dataDxfId="270" totalsRowDxfId="269" dataCellStyle="Currency">
      <calculatedColumnFormula>IF(MOD(P4,1)&gt;0.4,ROUNDUP(P4,0),ROUNDDOWN(P4,0))</calculatedColumnFormula>
    </tableColumn>
    <tableColumn id="15" xr3:uid="{5E8D5F0C-DBE9-4674-A03E-B563534C996E}" name="LND" dataDxfId="268" totalsRowDxfId="267" dataCellStyle="Currency">
      <calculatedColumnFormula>Inventory_List_Table341116[[#This Row],[AQ ROUND]]*1.4</calculatedColumnFormula>
    </tableColumn>
    <tableColumn id="21" xr3:uid="{98A65A05-9398-41FE-BF09-D2092A33B7F7}" name="LND ROUND" dataDxfId="266" totalsRowDxfId="265" dataCellStyle="Currency">
      <calculatedColumnFormula>IF(MOD(R4,1)&gt;0.4,ROUNDUP(R4,0),ROUNDDOWN(R4,0))</calculatedColumnFormula>
    </tableColumn>
    <tableColumn id="17" xr3:uid="{24D33AC2-4B78-4158-9C6C-BB540CC6D729}" name="RETAIL" dataDxfId="264" totalsRowDxfId="263" dataCellStyle="Currency">
      <calculatedColumnFormula>Inventory_List_Table341116[[#This Row],[LND ROUND]]*8</calculatedColumnFormula>
    </tableColumn>
    <tableColumn id="22" xr3:uid="{4D1B297B-BAA6-4412-9106-6715DAA0EAC8}" name="TOTAL USD" dataDxfId="262" totalsRowDxfId="261" dataCellStyle="Currency">
      <calculatedColumnFormula>Inventory_List_Table341116[[#This Row],[AQ]]*Inventory_List_Table341116[[#This Row],[Q]]</calculatedColumnFormula>
    </tableColumn>
    <tableColumn id="18" xr3:uid="{5654CCEF-AC91-49B4-97E1-AFCAE6569F05}" name="AQC" dataDxfId="260" totalsRowDxfId="259"/>
    <tableColumn id="19" xr3:uid="{4E473843-AC75-41B1-BF0B-F899CEBA9D84}" name="LC" dataDxfId="258" totalsRowDxfId="257"/>
    <tableColumn id="20" xr3:uid="{283D85F7-EC39-43F1-A68D-1F3F87834085}" name="SQCM" dataDxfId="256" totalsRowDxfId="255">
      <calculatedColumnFormula>Inventory_List_Table341116[[#This Row],[H CM]]*Inventory_List_Table341116[[#This Row],[W CM]]*4+Inventory_List_Table341116[[#This Row],[D CM ]]*Inventory_List_Table341116[[#This Row],[D CM ]]</calculatedColumnFormula>
    </tableColumn>
    <tableColumn id="24" xr3:uid="{F77F6393-C16A-490F-87C1-CF227313B603}" name="Column2" dataDxfId="254" totalsRowDxfId="253">
      <calculatedColumnFormula>Inventory_List_Table341116[[#This Row],[Per piece MXN$]]/Inventory_List_Table341116[[#This Row],[SQCM]]*10000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EED9C5-103B-47C1-8921-245DCCFA1C73}" name="Inventory_List_Table34112" displayName="Inventory_List_Table34112" ref="B3:Z42" totalsRowShown="0" headerRowDxfId="252" dataDxfId="250" headerRowBorderDxfId="251">
  <autoFilter ref="B3:Z4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F608114-68F3-47DC-A37D-57D438EB1378}" name="Date" dataDxfId="249" totalsRowDxfId="248">
      <calculatedColumnFormula>IFERROR((Inventory_List_Table34112[[#This Row],[H CM]]&lt;=Inventory_List_Table34112[[#This Row],[D CM ]])*(Inventory_List_Table34112[[#This Row],[W Inches]]="")*valHighlight,0)</calculatedColumnFormula>
    </tableColumn>
    <tableColumn id="2" xr3:uid="{02A5481B-BD1A-4483-A5F3-06DB348BA0FB}" name="Description                                                 Color - Object Type" dataDxfId="247" totalsRowDxfId="246"/>
    <tableColumn id="3" xr3:uid="{A60497C5-BF3F-4D0E-A938-11192901AFFB}" name="TAG-ID" dataDxfId="245" totalsRowDxfId="244"/>
    <tableColumn id="4" xr3:uid="{C7561856-A4C1-464C-9D7A-F867023FC686}" name="Q" dataDxfId="243" totalsRowDxfId="242"/>
    <tableColumn id="5" xr3:uid="{9ABB01C4-464E-4FB0-AA8E-A261D6B9D42E}" name="KG" dataDxfId="241" totalsRowDxfId="240"/>
    <tableColumn id="6" xr3:uid="{E682675C-E5D2-44FD-926A-85DA4A6F20C1}" name="H CM" dataDxfId="239" totalsRowDxfId="238"/>
    <tableColumn id="7" xr3:uid="{B85936E2-BD2C-42CA-B8C2-BEA6BCCB35C4}" name="W CM" dataDxfId="237" totalsRowDxfId="236"/>
    <tableColumn id="8" xr3:uid="{BF3FB43B-B081-44E1-817F-3ADB21C88D12}" name="D CM " dataDxfId="235" totalsRowDxfId="234"/>
    <tableColumn id="9" xr3:uid="{E27BE7AB-B362-4F95-A2CD-9E52E257536A}" name="Per piece MXN$" dataDxfId="233" totalsRowDxfId="232">
      <calculatedColumnFormula>500*K2</calculatedColumnFormula>
    </tableColumn>
    <tableColumn id="23" xr3:uid="{29A43EB0-10BB-4392-B18A-0A93A6EDDC12}" name="TOTAL PESOS" dataDxfId="231" totalsRowDxfId="230">
      <calculatedColumnFormula>Inventory_List_Table34112[[#This Row],[Q]]*Inventory_List_Table34112[[#This Row],[Per piece MXN$]]</calculatedColumnFormula>
    </tableColumn>
    <tableColumn id="13" xr3:uid="{4F618E76-5A8D-410D-A22B-FF2A24A6BCE4}" name="POUNDS" dataDxfId="229" totalsRowDxfId="228">
      <calculatedColumnFormula>Inventory_List_Table34112[[#This Row],[KG]]*2.20462</calculatedColumnFormula>
    </tableColumn>
    <tableColumn id="10" xr3:uid="{798BE590-D51D-4B31-899D-A1E11249A48E}" name="H Inches" dataDxfId="227" totalsRowDxfId="226">
      <calculatedColumnFormula>Inventory_List_Table34112[[#This Row],[H CM]]/2.54</calculatedColumnFormula>
    </tableColumn>
    <tableColumn id="11" xr3:uid="{6B44D0BB-250E-4681-92AD-83BAEA9357E6}" name="W Inches" dataDxfId="225" totalsRowDxfId="224">
      <calculatedColumnFormula>Inventory_List_Table34112[[#This Row],[W CM]]/2.54</calculatedColumnFormula>
    </tableColumn>
    <tableColumn id="12" xr3:uid="{76F651D1-78A3-4B4D-99F3-250586E51F11}" name="D Incbes" dataDxfId="223" totalsRowDxfId="222">
      <calculatedColumnFormula>Inventory_List_Table34112[[#This Row],[D CM ]]/2.54</calculatedColumnFormula>
    </tableColumn>
    <tableColumn id="14" xr3:uid="{2C37CEB0-9DB6-4FBC-BF69-0C3B29C07D4F}" name="AQ" dataDxfId="221" totalsRowDxfId="220">
      <calculatedColumnFormula>Inventory_List_Table34112[[#This Row],[Per piece MXN$]]/$U$2</calculatedColumnFormula>
    </tableColumn>
    <tableColumn id="16" xr3:uid="{95311245-0E19-42FD-84BB-36F9D98C67E2}" name="AQ ROUND" dataDxfId="219" totalsRowDxfId="218">
      <calculatedColumnFormula>IF(MOD(P4,1)&gt;0.4,ROUNDUP(P4,0),ROUNDDOWN(P4,0))</calculatedColumnFormula>
    </tableColumn>
    <tableColumn id="15" xr3:uid="{63C2B2EE-7264-490C-91C6-0C61056F301E}" name="LND" dataDxfId="217" totalsRowDxfId="216">
      <calculatedColumnFormula>Inventory_List_Table34112[[#This Row],[AQ ROUND]]*1.4</calculatedColumnFormula>
    </tableColumn>
    <tableColumn id="21" xr3:uid="{BB8ED87A-B008-4A8E-B116-F6961A4A3CC8}" name="LND ROUND" dataDxfId="215" totalsRowDxfId="214">
      <calculatedColumnFormula>IF(MOD(R4,1)&gt;0.4,ROUNDUP(R4,0),ROUNDDOWN(R4,0))</calculatedColumnFormula>
    </tableColumn>
    <tableColumn id="17" xr3:uid="{2D0A12ED-ACEE-46A4-B04A-FFBAE5C8A0AC}" name="RETAIL" dataDxfId="213" totalsRowDxfId="212">
      <calculatedColumnFormula>Inventory_List_Table34112[[#This Row],[LND ROUND]]*8</calculatedColumnFormula>
    </tableColumn>
    <tableColumn id="22" xr3:uid="{34A5BD77-3B36-4D38-84FB-E2FF26E747C8}" name="TOTAL USD" dataDxfId="211" totalsRowDxfId="210">
      <calculatedColumnFormula>Inventory_List_Table34112[[#This Row],[AQ]]*Inventory_List_Table34112[[#This Row],[Q]]</calculatedColumnFormula>
    </tableColumn>
    <tableColumn id="18" xr3:uid="{20565E3C-DD7B-429E-9530-C2C5B5DA4639}" name="AQC" dataDxfId="209" totalsRowDxfId="208"/>
    <tableColumn id="19" xr3:uid="{0CF6E9B0-A949-426E-9588-CE8727039AE9}" name="LC" dataDxfId="207" totalsRowDxfId="206"/>
    <tableColumn id="20" xr3:uid="{7B649AF9-FF06-43E3-AB1D-E250A4CABBF8}" name="SQCM" dataDxfId="205">
      <calculatedColumnFormula>Inventory_List_Table34112[[#This Row],[H CM]]*Inventory_List_Table34112[[#This Row],[W CM]]*4+Inventory_List_Table34112[[#This Row],[D CM ]]*Inventory_List_Table34112[[#This Row],[D CM ]]</calculatedColumnFormula>
    </tableColumn>
    <tableColumn id="24" xr3:uid="{BB4ADA50-FC64-446A-A474-21D954EB45BB}" name="SQM PRICE" dataDxfId="204">
      <calculatedColumnFormula>Inventory_List_Table34112[[#This Row],[Per piece MXN$]]/X4*10000</calculatedColumnFormula>
    </tableColumn>
    <tableColumn id="25" xr3:uid="{68DEC77B-D351-43B7-ADCA-BDA4BA5E534B}" name="Column1" dataDxfId="203">
      <calculatedColumnFormula>Inventory_List_Table34112[[#This Row],[SQCM]]/10000*29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927042-7D5A-4CF5-A015-B831529FA8FA}" name="Inventory_List_Table341112" displayName="Inventory_List_Table341112" ref="B3:W22" totalsRowShown="0" headerRowDxfId="202" dataDxfId="200" headerRowBorderDxfId="201">
  <autoFilter ref="B3:W2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BC8B84F2-3113-429C-870A-0F974C82E983}" name="Date" dataDxfId="199">
      <calculatedColumnFormula>IFERROR((Inventory_List_Table341112[[#This Row],[H CM]]&lt;=Inventory_List_Table341112[[#This Row],[D CM ]])*(Inventory_List_Table341112[[#This Row],[W Inches]]="")*valHighlight,0)</calculatedColumnFormula>
    </tableColumn>
    <tableColumn id="2" xr3:uid="{505A5D23-7BA4-429C-A234-01F5649F7232}" name="Description                                                 Color - Object Type" dataDxfId="198"/>
    <tableColumn id="3" xr3:uid="{E0847358-C032-40D6-B498-682BD43807EB}" name="TAG-ID" dataDxfId="197"/>
    <tableColumn id="4" xr3:uid="{1449E576-3D09-432E-B9F1-96289534D22C}" name="Q" dataDxfId="196"/>
    <tableColumn id="5" xr3:uid="{C34EEDCD-A16A-40C0-B3A5-56012A4BFB8E}" name="KG" dataDxfId="195"/>
    <tableColumn id="6" xr3:uid="{F850D847-5E65-49ED-BA4E-F9BA6FE86E4E}" name="H CM" dataDxfId="194">
      <calculatedColumnFormula>Inventory_List_Table341112[[#This Row],[H Inches]]*2.54</calculatedColumnFormula>
    </tableColumn>
    <tableColumn id="7" xr3:uid="{27B219E6-6220-43A1-ACEC-39C0C9B4EFAE}" name="W CM" dataDxfId="193">
      <calculatedColumnFormula>Inventory_List_Table341112[[#This Row],[W Inches]]*2.54</calculatedColumnFormula>
    </tableColumn>
    <tableColumn id="8" xr3:uid="{11B8A9D9-3A3E-475F-B34C-0E7F3408BA41}" name="D CM " dataDxfId="192">
      <calculatedColumnFormula>Inventory_List_Table341112[[#This Row],[D Incbes]]*2.54</calculatedColumnFormula>
    </tableColumn>
    <tableColumn id="9" xr3:uid="{AD47CC3F-B245-43BE-A352-B8411958B375}" name="Per piece MXN$" dataDxfId="191">
      <calculatedColumnFormula>Inventory_List_Table341112[[#This Row],[KG]]*12</calculatedColumnFormula>
    </tableColumn>
    <tableColumn id="23" xr3:uid="{4C686C21-221D-4BB2-B260-A3EFA58752E5}" name="TOTAL PESOS" dataDxfId="190">
      <calculatedColumnFormula>Inventory_List_Table341112[[#This Row],[Q]]*Inventory_List_Table341112[[#This Row],[Per piece MXN$]]</calculatedColumnFormula>
    </tableColumn>
    <tableColumn id="13" xr3:uid="{CE49C046-D270-4DF8-89F0-729003792DAF}" name="POUNDS" dataDxfId="189">
      <calculatedColumnFormula>Inventory_List_Table341112[[#This Row],[KG]]*2.20462</calculatedColumnFormula>
    </tableColumn>
    <tableColumn id="10" xr3:uid="{22BF78BA-606E-49F3-A11B-D5529B5899AA}" name="H Inches" dataDxfId="188"/>
    <tableColumn id="11" xr3:uid="{22EEC639-361D-49D6-ACDB-27B1401CEAA6}" name="W Inches" dataDxfId="187">
      <calculatedColumnFormula>Inventory_List_Table341112[[#This Row],[W CM]]/2.54</calculatedColumnFormula>
    </tableColumn>
    <tableColumn id="12" xr3:uid="{BE8E0EC2-CC6C-47A7-AEDC-3841C06E1B50}" name="D Incbes" dataDxfId="186">
      <calculatedColumnFormula>Inventory_List_Table341112[[#This Row],[D CM ]]/2.54</calculatedColumnFormula>
    </tableColumn>
    <tableColumn id="14" xr3:uid="{453F4136-EFF7-449F-B8FB-C87F8AF4306A}" name="AQ" dataDxfId="185">
      <calculatedColumnFormula>Inventory_List_Table341112[[#This Row],[Per piece MXN$]]/$U$2</calculatedColumnFormula>
    </tableColumn>
    <tableColumn id="16" xr3:uid="{3862338E-FF58-473F-95B9-8D02C7386C1A}" name="AQ ROUND" dataDxfId="184">
      <calculatedColumnFormula>IF(MOD(P4,1)&gt;0.4,ROUNDUP(P4,0),ROUNDDOWN(P4,0))</calculatedColumnFormula>
    </tableColumn>
    <tableColumn id="15" xr3:uid="{0E684D66-C148-4B0E-83FA-079031167E0D}" name="LND" dataDxfId="183">
      <calculatedColumnFormula>Inventory_List_Table341112[[#This Row],[AQ ROUND]]*1.4</calculatedColumnFormula>
    </tableColumn>
    <tableColumn id="21" xr3:uid="{69BD77D9-48C5-436D-AD84-7D875628F2C1}" name="LND ROUND" dataDxfId="182">
      <calculatedColumnFormula>IF(MOD(R4,1)&gt;0.4,ROUNDUP(R4,0),ROUNDDOWN(R4,0))</calculatedColumnFormula>
    </tableColumn>
    <tableColumn id="17" xr3:uid="{C1EB1D21-EF92-472F-A235-C54D7A742C15}" name="RETAIL" dataDxfId="181">
      <calculatedColumnFormula>Inventory_List_Table341112[[#This Row],[LND ROUND]]*8</calculatedColumnFormula>
    </tableColumn>
    <tableColumn id="22" xr3:uid="{5EFC93D3-4A7A-43BF-938B-C0A54525E359}" name="TOTAL USD" dataDxfId="180">
      <calculatedColumnFormula>Inventory_List_Table341112[[#This Row],[AQ]]*Inventory_List_Table341112[[#This Row],[Q]]</calculatedColumnFormula>
    </tableColumn>
    <tableColumn id="18" xr3:uid="{01225624-0004-46E8-AC76-1FF2584D029A}" name="AQC" dataDxfId="179"/>
    <tableColumn id="19" xr3:uid="{BC9FC797-B9A3-4545-8E6C-335E416C74E4}" name="LC" dataDxfId="178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BC20517-2772-48D5-B915-CF0166A81A3E}" name="Inventory_List_Table34112022" displayName="Inventory_List_Table34112022" ref="B3:W55" totalsRowShown="0" headerRowDxfId="177" dataDxfId="175" headerRowBorderDxfId="176">
  <autoFilter ref="B3:W5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34C3FA5B-0496-42BD-8620-4178C8A4C85C}" name="Date" dataDxfId="174">
      <calculatedColumnFormula>IFERROR((Inventory_List_Table34112022[[#This Row],[H CM]]&lt;=Inventory_List_Table34112022[[#This Row],[D CM ]])*(Inventory_List_Table34112022[[#This Row],[W Inches]]="")*valHighlight,0)</calculatedColumnFormula>
    </tableColumn>
    <tableColumn id="2" xr3:uid="{140B71B7-E864-499D-B0A4-8D09141066BC}" name="Description                                                 Color - Object Type" dataDxfId="173"/>
    <tableColumn id="3" xr3:uid="{765D2302-86B3-47DF-B52F-542C61E637CA}" name="TAG-ID" dataDxfId="172"/>
    <tableColumn id="4" xr3:uid="{91E2FEB9-06CB-44F2-AE43-1D2402F9F6F2}" name="Q" dataDxfId="171"/>
    <tableColumn id="5" xr3:uid="{B36599C6-146A-4629-830E-0A90C25492C6}" name="KG" dataDxfId="170"/>
    <tableColumn id="6" xr3:uid="{780D08D6-2ED6-4640-9EDE-4D5C3CAC3A42}" name="H CM" dataDxfId="169"/>
    <tableColumn id="7" xr3:uid="{CF7068A3-AA7D-40A8-A2C3-2B0B1F4DD717}" name="W CM" dataDxfId="168"/>
    <tableColumn id="8" xr3:uid="{71F64CF4-E95A-4BE1-8452-0B89D0F92149}" name="D CM " dataDxfId="167"/>
    <tableColumn id="9" xr3:uid="{E1532DBE-CC84-4CE6-8A13-F1659C9A5EE0}" name="Per piece MXN$" dataDxfId="166">
      <calculatedColumnFormula>500*S1</calculatedColumnFormula>
    </tableColumn>
    <tableColumn id="23" xr3:uid="{D6270197-8FC1-4912-BAA8-EAAA02281767}" name="TOTAL PESOS" dataDxfId="165">
      <calculatedColumnFormula>Inventory_List_Table34112022[[#This Row],[Q]]*Inventory_List_Table34112022[[#This Row],[Per piece MXN$]]</calculatedColumnFormula>
    </tableColumn>
    <tableColumn id="13" xr3:uid="{9158B271-5F8C-473A-AA19-31AEE8CC9999}" name="POUNDS" dataDxfId="164">
      <calculatedColumnFormula>Inventory_List_Table34112022[[#This Row],[KG]]*2.20462</calculatedColumnFormula>
    </tableColumn>
    <tableColumn id="10" xr3:uid="{E1465E64-A12E-4349-9FCE-CC7DB526A604}" name="H Inches" dataDxfId="163">
      <calculatedColumnFormula>Inventory_List_Table34112022[[#This Row],[H CM]]/2.54</calculatedColumnFormula>
    </tableColumn>
    <tableColumn id="11" xr3:uid="{491DB82C-2A26-40DB-B84F-0FF10D524A13}" name="W Inches" dataDxfId="162">
      <calculatedColumnFormula>Inventory_List_Table34112022[[#This Row],[W CM]]/2.54</calculatedColumnFormula>
    </tableColumn>
    <tableColumn id="12" xr3:uid="{99B60316-BD37-42E9-AB4E-16FA1CF638B6}" name="D Incbes" dataDxfId="161">
      <calculatedColumnFormula>Inventory_List_Table34112022[[#This Row],[D CM ]]/2.54</calculatedColumnFormula>
    </tableColumn>
    <tableColumn id="14" xr3:uid="{BE1A9DD9-9DFB-48D4-BA22-1FA7EFC44DC2}" name="AQ" dataDxfId="160" dataCellStyle="Currency">
      <calculatedColumnFormula>Inventory_List_Table34112022[[#This Row],[Per piece MXN$]]/$U$2</calculatedColumnFormula>
    </tableColumn>
    <tableColumn id="16" xr3:uid="{291BF552-2DAA-4976-8922-44DC233DEED4}" name="AQ ROUND" dataDxfId="159" dataCellStyle="Currency">
      <calculatedColumnFormula>IF(MOD(P4,1)&gt;0.4,ROUNDUP(P4,0),ROUNDDOWN(P4,0))</calculatedColumnFormula>
    </tableColumn>
    <tableColumn id="15" xr3:uid="{E9E84CE3-E79D-4FE1-BA85-62469AD01714}" name="LND" dataDxfId="158" dataCellStyle="Currency">
      <calculatedColumnFormula>Inventory_List_Table34112022[[#This Row],[AQ ROUND]]*1.4</calculatedColumnFormula>
    </tableColumn>
    <tableColumn id="21" xr3:uid="{F963685D-1D97-433C-A970-EDF91F3EECA1}" name="LND ROUND" dataDxfId="157" dataCellStyle="Currency">
      <calculatedColumnFormula>IF(MOD(R4,1)&gt;0.4,ROUNDUP(R4,0),ROUNDDOWN(R4,0))</calculatedColumnFormula>
    </tableColumn>
    <tableColumn id="17" xr3:uid="{9B0EAAA6-6B63-42FF-A3E4-4E21A25D41D2}" name="RETAIL" dataDxfId="156">
      <calculatedColumnFormula>Inventory_List_Table34112022[[#This Row],[LND ROUND]]*8</calculatedColumnFormula>
    </tableColumn>
    <tableColumn id="22" xr3:uid="{659E64C8-C219-4F48-A524-49BA12810A08}" name="TOTAL USD" dataDxfId="155">
      <calculatedColumnFormula>Inventory_List_Table34112022[[#This Row],[AQ]]*Inventory_List_Table34112022[[#This Row],[Q]]</calculatedColumnFormula>
    </tableColumn>
    <tableColumn id="18" xr3:uid="{5C5E7C74-CDBB-4175-B8A1-A4B039960EB2}" name="AQC" dataDxfId="154"/>
    <tableColumn id="19" xr3:uid="{43CE5C87-8506-4AF2-B8FA-08DCBADEE318}" name="LC" dataDxfId="153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17A317A-6E67-4EBA-A35A-3C509909A787}" name="Inventory_List_Table341120" displayName="Inventory_List_Table341120" ref="B3:Y15" totalsRowShown="0" headerRowDxfId="152" dataDxfId="150" headerRowBorderDxfId="151">
  <autoFilter ref="B3:Y1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6BC7BAF9-4169-4722-A308-E68D337A194D}" name="Date" dataDxfId="149">
      <calculatedColumnFormula>IFERROR((Inventory_List_Table341120[[#This Row],[H CM]]&lt;=Inventory_List_Table341120[[#This Row],[D CM ]])*(Inventory_List_Table341120[[#This Row],[W Inches]]="")*valHighlight,0)</calculatedColumnFormula>
    </tableColumn>
    <tableColumn id="2" xr3:uid="{7B89AEE9-DD7F-471A-8A7E-54881D399D03}" name="Description                                                 Color - Object Type" dataDxfId="148"/>
    <tableColumn id="3" xr3:uid="{259B9159-6E4A-46AE-A588-02EA87F7793E}" name="TAG-ID" dataDxfId="147"/>
    <tableColumn id="4" xr3:uid="{D150D38F-1BDA-4B46-A178-64B11A58C5F2}" name="Q" dataDxfId="146"/>
    <tableColumn id="5" xr3:uid="{80AA45A8-C0CA-4668-A1F2-AF24EE694293}" name="KG" dataDxfId="145"/>
    <tableColumn id="6" xr3:uid="{C5153934-8DD7-446A-9BF6-62DE80CA7397}" name="H CM" dataDxfId="144"/>
    <tableColumn id="7" xr3:uid="{7E9FE1E8-1DC3-429F-9EE1-84A313552DF8}" name="W CM" dataDxfId="143"/>
    <tableColumn id="8" xr3:uid="{E916EB1E-6879-46FF-99AD-66A10300225E}" name="D CM " dataDxfId="142"/>
    <tableColumn id="9" xr3:uid="{877BCCFD-1F31-4831-B158-475CDBAE5AF9}" name="Per piece MXN$" dataDxfId="141">
      <calculatedColumnFormula>500*S1</calculatedColumnFormula>
    </tableColumn>
    <tableColumn id="23" xr3:uid="{96AE7FA6-DA15-4384-9814-DF4E5ED0E98A}" name="TOTAL PESOS" dataDxfId="140">
      <calculatedColumnFormula>Inventory_List_Table341120[[#This Row],[Q]]*Inventory_List_Table341120[[#This Row],[Per piece MXN$]]</calculatedColumnFormula>
    </tableColumn>
    <tableColumn id="13" xr3:uid="{84210B13-F16F-409A-91E0-44174C3A3B51}" name="POUNDS" dataDxfId="139">
      <calculatedColumnFormula>Inventory_List_Table341120[[#This Row],[KG]]*2.20462</calculatedColumnFormula>
    </tableColumn>
    <tableColumn id="10" xr3:uid="{D47B3D50-F080-4F95-B45C-62695483D42A}" name="H Inches" dataDxfId="138">
      <calculatedColumnFormula>Inventory_List_Table341120[[#This Row],[H CM]]/2.54</calculatedColumnFormula>
    </tableColumn>
    <tableColumn id="11" xr3:uid="{940464DD-6D4E-40D1-96C4-4EFBD155D472}" name="W Inches" dataDxfId="137">
      <calculatedColumnFormula>Inventory_List_Table341120[[#This Row],[W CM]]/2.54</calculatedColumnFormula>
    </tableColumn>
    <tableColumn id="12" xr3:uid="{A14CE3F5-8F0A-4705-8D3F-2082C8AF7D68}" name="D Incbes" dataDxfId="136">
      <calculatedColumnFormula>Inventory_List_Table341120[[#This Row],[D CM ]]/2.54</calculatedColumnFormula>
    </tableColumn>
    <tableColumn id="14" xr3:uid="{B8951492-642C-47B2-A70A-67470A1061B7}" name="AQ" dataDxfId="135">
      <calculatedColumnFormula>Inventory_List_Table341120[[#This Row],[Per piece MXN$]]/$U$2</calculatedColumnFormula>
    </tableColumn>
    <tableColumn id="16" xr3:uid="{CDAD3835-DC58-4FD5-85DF-BF1B28740B06}" name="AQ ROUND" dataDxfId="134">
      <calculatedColumnFormula>IF(MOD(P4,1)&gt;0.4,ROUNDUP(P4,0),ROUNDDOWN(P4,0))</calculatedColumnFormula>
    </tableColumn>
    <tableColumn id="15" xr3:uid="{0042BC82-5A31-4030-B85B-8820BA4E3D41}" name="LND" dataDxfId="133">
      <calculatedColumnFormula>Inventory_List_Table341120[[#This Row],[AQ ROUND]]*1.4</calculatedColumnFormula>
    </tableColumn>
    <tableColumn id="21" xr3:uid="{CA6956FD-3A3C-45FB-95E9-1483DE39225B}" name="LND ROUND" dataDxfId="132">
      <calculatedColumnFormula>IF(MOD(R4,1)&gt;0.4,ROUNDUP(R4,0),ROUNDDOWN(R4,0))</calculatedColumnFormula>
    </tableColumn>
    <tableColumn id="17" xr3:uid="{DA5D9FDA-F422-41C9-AC9E-3D4C10A8EB18}" name="RETAIL" dataDxfId="131">
      <calculatedColumnFormula>Inventory_List_Table341120[[#This Row],[LND ROUND]]*8</calculatedColumnFormula>
    </tableColumn>
    <tableColumn id="22" xr3:uid="{C18B3191-FFCC-4E9B-B574-CF3B71740FFB}" name="TOTAL USD" dataDxfId="130">
      <calculatedColumnFormula>Inventory_List_Table341120[[#This Row],[AQ]]*Inventory_List_Table341120[[#This Row],[Q]]</calculatedColumnFormula>
    </tableColumn>
    <tableColumn id="18" xr3:uid="{3ACDE253-FE3B-4F3F-B04A-BC4413E849E7}" name="AQC" dataDxfId="129"/>
    <tableColumn id="19" xr3:uid="{A244F532-C9A0-4094-85EF-9F329CD60BA5}" name="LC" dataDxfId="128"/>
    <tableColumn id="20" xr3:uid="{059D66A1-930D-471D-872C-C664C0ACD67C}" name="Column1" dataDxfId="127">
      <calculatedColumnFormula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calculatedColumnFormula>
    </tableColumn>
    <tableColumn id="24" xr3:uid="{B3D7C5FF-CD20-402D-AF38-FFBDCC1C4FC2}" name="Column2" dataDxfId="126">
      <calculatedColumnFormula>Inventory_List_Table341120[[#This Row],[Per piece MXN$]]/X4*10000</calculatedColumnFormula>
    </tableColumn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002B2B-E429-4F51-8ABF-9ACB85851D98}" name="Inventory_List_Table341114" displayName="Inventory_List_Table341114" ref="B3:W17" totalsRowShown="0" headerRowDxfId="125" dataDxfId="123" headerRowBorderDxfId="124">
  <autoFilter ref="B3:W1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85202DAA-741A-4D05-9B00-3263865D303B}" name="Date" dataDxfId="122">
      <calculatedColumnFormula>IFERROR((Inventory_List_Table341114[[#This Row],[H CM]]&lt;=Inventory_List_Table341114[[#This Row],[D CM ]])*(Inventory_List_Table341114[[#This Row],[W Inches]]="")*valHighlight,0)</calculatedColumnFormula>
    </tableColumn>
    <tableColumn id="2" xr3:uid="{77C213C9-AECC-461E-A6DE-C5FD58CB4DA2}" name="Description                                                 Color - Object Type" dataDxfId="121"/>
    <tableColumn id="3" xr3:uid="{623749BC-3DCB-4174-BF28-781147BC295C}" name="TAG-ID" dataDxfId="120"/>
    <tableColumn id="4" xr3:uid="{30226309-21A8-469D-BCF3-556DF2F0CBFB}" name="Q" dataDxfId="119"/>
    <tableColumn id="5" xr3:uid="{4734F195-F3A0-4334-B477-C0FE9FBF1076}" name="KG" dataDxfId="118"/>
    <tableColumn id="6" xr3:uid="{76E289F4-387F-4540-8B19-5AE66AC302CD}" name="H CM" dataDxfId="117"/>
    <tableColumn id="7" xr3:uid="{AD8DE027-50C3-4728-AC79-9FAD739EF1DE}" name="W CM" dataDxfId="116"/>
    <tableColumn id="8" xr3:uid="{B6248F43-C53F-49F7-9F23-BF3F86F6739F}" name="D CM " dataDxfId="115"/>
    <tableColumn id="9" xr3:uid="{072FD86C-50E0-40A2-802D-862083EC4B03}" name="Per piece MXN$" dataDxfId="114">
      <calculatedColumnFormula>500*S1</calculatedColumnFormula>
    </tableColumn>
    <tableColumn id="23" xr3:uid="{830EEFD7-1C7E-40F8-A0C7-4990C6C2AC98}" name="TOTAL PESOS" dataDxfId="113">
      <calculatedColumnFormula>Inventory_List_Table341114[[#This Row],[Q]]*Inventory_List_Table341114[[#This Row],[Per piece MXN$]]</calculatedColumnFormula>
    </tableColumn>
    <tableColumn id="13" xr3:uid="{A179E97B-53AB-4F0C-B003-9E12D3BBDC91}" name="POUNDS" dataDxfId="112">
      <calculatedColumnFormula>Inventory_List_Table341114[[#This Row],[KG]]*2.20462</calculatedColumnFormula>
    </tableColumn>
    <tableColumn id="10" xr3:uid="{00EC07AC-7776-41A7-8D06-764F30825C11}" name="H Inches" dataDxfId="111">
      <calculatedColumnFormula>Inventory_List_Table341114[[#This Row],[H CM]]/2.54</calculatedColumnFormula>
    </tableColumn>
    <tableColumn id="11" xr3:uid="{729FEB8E-C6E1-465E-8332-4C15A19BC3BA}" name="W Inches" dataDxfId="110">
      <calculatedColumnFormula>Inventory_List_Table341114[[#This Row],[W CM]]/2.54</calculatedColumnFormula>
    </tableColumn>
    <tableColumn id="12" xr3:uid="{11D521F2-CA4A-41DB-93D8-52E8394F6FB8}" name="D Incbes" dataDxfId="109">
      <calculatedColumnFormula>Inventory_List_Table341114[[#This Row],[D CM ]]/2.54</calculatedColumnFormula>
    </tableColumn>
    <tableColumn id="14" xr3:uid="{476723D8-DFB3-41DF-BCC9-7916D1B4FE8F}" name="AQ" dataDxfId="108">
      <calculatedColumnFormula>Inventory_List_Table341114[[#This Row],[Per piece MXN$]]/$U$2</calculatedColumnFormula>
    </tableColumn>
    <tableColumn id="16" xr3:uid="{2AC8116C-43A0-4C05-B0E3-1AEF098ED7FA}" name="AQ ROUND" dataDxfId="107">
      <calculatedColumnFormula>IF(MOD(P4,1)&gt;0.4,ROUNDUP(P4,0),ROUNDDOWN(P4,0))</calculatedColumnFormula>
    </tableColumn>
    <tableColumn id="15" xr3:uid="{5586D5F4-9FB7-41B1-8E8D-F4AF0AB2A3AA}" name="LND" dataDxfId="106">
      <calculatedColumnFormula>Inventory_List_Table341114[[#This Row],[AQ ROUND]]*1.4</calculatedColumnFormula>
    </tableColumn>
    <tableColumn id="21" xr3:uid="{C3BE4022-DB1A-47B7-B243-957A337B464D}" name="LND ROUND" dataDxfId="105">
      <calculatedColumnFormula>IF(MOD(R4,1)&gt;0.4,ROUNDUP(R4,0),ROUNDDOWN(R4,0))</calculatedColumnFormula>
    </tableColumn>
    <tableColumn id="17" xr3:uid="{730A6114-6CBD-4F29-B721-CBBB6FC59C0D}" name="RETAIL" dataDxfId="104">
      <calculatedColumnFormula>Inventory_List_Table341114[[#This Row],[LND ROUND]]*8</calculatedColumnFormula>
    </tableColumn>
    <tableColumn id="22" xr3:uid="{146D154A-9028-400F-BA4C-038327C20F01}" name="TOTAL USD" dataDxfId="103">
      <calculatedColumnFormula>Inventory_List_Table341114[[#This Row],[AQ]]*Inventory_List_Table341114[[#This Row],[Q]]</calculatedColumnFormula>
    </tableColumn>
    <tableColumn id="18" xr3:uid="{FDDEE640-87DE-4B4E-98E8-8F598C930B85}" name="AQC" dataDxfId="102"/>
    <tableColumn id="19" xr3:uid="{0ABFF6D9-76DA-4A13-A983-71F2E919F75E}" name="LC" dataDxfId="101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6B76659-CA70-460E-B482-1CD1910B3853}" name="Inventory_List_Table341121" displayName="Inventory_List_Table341121" ref="B3:W12" totalsRowShown="0" headerRowDxfId="100" dataDxfId="99">
  <autoFilter ref="B3:W1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472C711F-D6D0-4E77-9841-CE17F3AC74C5}" name="Date" dataDxfId="98">
      <calculatedColumnFormula>IFERROR((Inventory_List_Table341121[[#This Row],[H CM]]&lt;=Inventory_List_Table341121[[#This Row],[D CM ]])*(Inventory_List_Table341121[[#This Row],[W Inches]]="")*valHighlight,0)</calculatedColumnFormula>
    </tableColumn>
    <tableColumn id="2" xr3:uid="{1B064468-58EE-459A-882C-9F798F5E4703}" name="Description                                                 Color - Object Type" dataDxfId="97"/>
    <tableColumn id="3" xr3:uid="{1DC826FD-B54A-4326-BBA0-F3A54888CF9F}" name="TAG-ID" dataDxfId="96"/>
    <tableColumn id="4" xr3:uid="{CF26322F-4669-4514-A299-FE8E7BE2AD68}" name="Q" dataDxfId="95"/>
    <tableColumn id="5" xr3:uid="{B5977C46-F42F-4B93-AD20-59CE55208C3F}" name="KG" dataDxfId="94"/>
    <tableColumn id="6" xr3:uid="{D6BCBFDB-5AF6-4D00-BF08-9C56DD6B8F77}" name="H CM" dataDxfId="93"/>
    <tableColumn id="7" xr3:uid="{4159BD86-C9BD-4B5D-912D-5B860E2F9A69}" name="W CM" dataDxfId="92"/>
    <tableColumn id="8" xr3:uid="{1E509C0A-BF19-4638-9A5D-01DA6E0F0DD7}" name="D CM " dataDxfId="91"/>
    <tableColumn id="9" xr3:uid="{2C169031-8F14-4D53-BB8C-2310B215D30A}" name="Per piece MXN$" dataDxfId="90">
      <calculatedColumnFormula>500*S1</calculatedColumnFormula>
    </tableColumn>
    <tableColumn id="23" xr3:uid="{4B2AA55F-7AE5-450B-8BAB-EA39E54AA87D}" name="TOTAL PESOS" dataDxfId="89">
      <calculatedColumnFormula>Inventory_List_Table341121[[#This Row],[Q]]*Inventory_List_Table341121[[#This Row],[Per piece MXN$]]</calculatedColumnFormula>
    </tableColumn>
    <tableColumn id="13" xr3:uid="{566E44FA-D6F5-4FB8-B342-6A56E6F24C28}" name="POUNDS" dataDxfId="88">
      <calculatedColumnFormula>Inventory_List_Table341121[[#This Row],[KG]]*2.20462</calculatedColumnFormula>
    </tableColumn>
    <tableColumn id="10" xr3:uid="{987DF27E-4CD8-47FD-8FC8-C2EF71CD0F69}" name="H Inches" dataDxfId="87">
      <calculatedColumnFormula>Inventory_List_Table341121[[#This Row],[H CM]]/2.54</calculatedColumnFormula>
    </tableColumn>
    <tableColumn id="11" xr3:uid="{251913F1-D968-4B82-A26E-3C7953FE13DC}" name="W Inches" dataDxfId="86">
      <calculatedColumnFormula>Inventory_List_Table341121[[#This Row],[W CM]]/2.54</calculatedColumnFormula>
    </tableColumn>
    <tableColumn id="12" xr3:uid="{4F3B6B35-9CE1-4189-816B-1D30F55FFEA1}" name="D Incbes" dataDxfId="85">
      <calculatedColumnFormula>Inventory_List_Table341121[[#This Row],[D CM ]]/2.54</calculatedColumnFormula>
    </tableColumn>
    <tableColumn id="14" xr3:uid="{C51C4073-3048-4607-AA8A-52ACCD2165F4}" name="AQ" dataDxfId="84">
      <calculatedColumnFormula>Inventory_List_Table341121[[#This Row],[Per piece MXN$]]/$U$2</calculatedColumnFormula>
    </tableColumn>
    <tableColumn id="16" xr3:uid="{E886E3E1-8EFE-4D0C-B04D-93536EE54BC8}" name="AQ ROUND" dataDxfId="83">
      <calculatedColumnFormula>IF(MOD(P4,1)&gt;0.4,ROUNDUP(P4,0),ROUNDDOWN(P4,0))</calculatedColumnFormula>
    </tableColumn>
    <tableColumn id="15" xr3:uid="{85AE39E3-7FA2-4BA8-8C22-90ECB03BDA56}" name="LND" dataDxfId="82">
      <calculatedColumnFormula>Inventory_List_Table341121[[#This Row],[AQ ROUND]]*1.4</calculatedColumnFormula>
    </tableColumn>
    <tableColumn id="21" xr3:uid="{51FC1FBD-8B65-41AD-A87A-227D4DC024C2}" name="LND ROUND" dataDxfId="81">
      <calculatedColumnFormula>IF(MOD(R4,1)&gt;0.4,ROUNDUP(R4,0),ROUNDDOWN(R4,0))</calculatedColumnFormula>
    </tableColumn>
    <tableColumn id="17" xr3:uid="{B5CC517A-C48A-4028-A77B-8EE431E8789C}" name="RETAIL" dataDxfId="80">
      <calculatedColumnFormula>Inventory_List_Table341121[[#This Row],[LND ROUND]]*8</calculatedColumnFormula>
    </tableColumn>
    <tableColumn id="22" xr3:uid="{DC0114AF-318D-423F-ADE7-1AFA6CC9A303}" name="TOTAL USD" dataDxfId="79">
      <calculatedColumnFormula>Inventory_List_Table341121[[#This Row],[AQ]]*Inventory_List_Table341121[[#This Row],[Q]]</calculatedColumnFormula>
    </tableColumn>
    <tableColumn id="18" xr3:uid="{6CED982B-F31F-4F03-9A17-313375C94537}" name="AQC" dataDxfId="78"/>
    <tableColumn id="19" xr3:uid="{89F276D0-EDE6-407F-83A2-2A93EE5810EF}" name="LC" dataDxfId="77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26115-4FC3-4239-95F4-A77893661350}" name="Inventory_List_Table34" displayName="Inventory_List_Table34" ref="B3:W32" totalsRowShown="0" headerRowDxfId="76" dataDxfId="74" headerRowBorderDxfId="75">
  <autoFilter ref="B3:W3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60EE8B21-A5F8-4884-8D9E-E77640F6D686}" name="Date" dataDxfId="73">
      <calculatedColumnFormula>IFERROR((Inventory_List_Table34[[#This Row],[H CM]]&lt;=Inventory_List_Table34[[#This Row],[D CM ]])*(Inventory_List_Table34[[#This Row],[W Inches]]="")*valHighlight,0)</calculatedColumnFormula>
    </tableColumn>
    <tableColumn id="2" xr3:uid="{CF8B65C9-6C8F-4EC2-85B7-53123FB0EC5B}" name="Description                                                 Color - Object Type" dataDxfId="72"/>
    <tableColumn id="3" xr3:uid="{74D0852F-0529-48BE-A005-AD29C9295A9B}" name="TAG-ID" dataDxfId="71"/>
    <tableColumn id="4" xr3:uid="{E578AD83-217C-4F4C-B360-5D5C8F33B0A4}" name="Q" dataDxfId="70"/>
    <tableColumn id="5" xr3:uid="{5176B49B-2292-4140-AE6A-0144D2A6714A}" name="KG" dataDxfId="69"/>
    <tableColumn id="6" xr3:uid="{746013AD-FD52-4137-BBF1-584B0163C110}" name="H CM" dataDxfId="68"/>
    <tableColumn id="7" xr3:uid="{C2226C5F-1AB7-4A51-95B0-2E8DCF1E14C0}" name="W CM" dataDxfId="67"/>
    <tableColumn id="8" xr3:uid="{C12B1C13-10C5-400A-8EA5-57EF57CBEA25}" name="D CM " dataDxfId="66"/>
    <tableColumn id="9" xr3:uid="{64C7CB33-C4A8-43AC-811A-A8E6C61AB5D8}" name="Per piece MXN$" dataDxfId="65">
      <calculatedColumnFormula>500*S1</calculatedColumnFormula>
    </tableColumn>
    <tableColumn id="23" xr3:uid="{5D579637-8A83-46E1-9B9E-9EF92BF11450}" name="TOTAL PESOS" dataDxfId="64">
      <calculatedColumnFormula>Inventory_List_Table34[[#This Row],[Q]]*Inventory_List_Table34[[#This Row],[Per piece MXN$]]</calculatedColumnFormula>
    </tableColumn>
    <tableColumn id="13" xr3:uid="{9CB34A8C-535E-41A1-91F0-9385C5ECB27B}" name="POUNDS" dataDxfId="63">
      <calculatedColumnFormula>Inventory_List_Table34[[#This Row],[KG]]*2.20462</calculatedColumnFormula>
    </tableColumn>
    <tableColumn id="10" xr3:uid="{C2B934CE-5AF6-4448-B3C6-010D999A89F7}" name="H Inches" dataDxfId="62">
      <calculatedColumnFormula>Inventory_List_Table34[[#This Row],[H CM]]/2.54</calculatedColumnFormula>
    </tableColumn>
    <tableColumn id="11" xr3:uid="{83B2AD61-4B36-4FFD-AD23-6E8B2923248D}" name="W Inches" dataDxfId="61">
      <calculatedColumnFormula>Inventory_List_Table34[[#This Row],[W CM]]/2.54</calculatedColumnFormula>
    </tableColumn>
    <tableColumn id="12" xr3:uid="{BEE99968-08D4-40FB-B758-A2F85795D371}" name="D Incbes" dataDxfId="60">
      <calculatedColumnFormula>Inventory_List_Table34[[#This Row],[D CM ]]/2.54</calculatedColumnFormula>
    </tableColumn>
    <tableColumn id="14" xr3:uid="{89C82913-DA25-48A9-BDAC-E6F109C9E8FC}" name="AQ" dataDxfId="59">
      <calculatedColumnFormula>Inventory_List_Table34[[#This Row],[Per piece MXN$]]/$U$2</calculatedColumnFormula>
    </tableColumn>
    <tableColumn id="16" xr3:uid="{DFA85554-08A8-416F-906D-C6F54364B5F5}" name="AQ ROUND" dataDxfId="58">
      <calculatedColumnFormula>IF(MOD(P4,1)&gt;0.4,ROUNDUP(P4,0),ROUNDDOWN(P4,0))</calculatedColumnFormula>
    </tableColumn>
    <tableColumn id="15" xr3:uid="{9281DA18-BF4C-431E-BA11-A113A644A2BD}" name="LND" dataDxfId="57">
      <calculatedColumnFormula>Inventory_List_Table34[[#This Row],[AQ ROUND]]*1.4</calculatedColumnFormula>
    </tableColumn>
    <tableColumn id="21" xr3:uid="{B5FBB570-A55E-434A-B809-57029FED8B39}" name="LND ROUND" dataDxfId="56">
      <calculatedColumnFormula>IF(MOD(R4,1)&gt;0.4,ROUNDUP(R4,0),ROUNDDOWN(R4,0))</calculatedColumnFormula>
    </tableColumn>
    <tableColumn id="17" xr3:uid="{5EAC5DE8-2342-4868-AED7-B2E243176AD5}" name="RETAIL" dataDxfId="55">
      <calculatedColumnFormula>Inventory_List_Table34[[#This Row],[LND ROUND]]*8</calculatedColumnFormula>
    </tableColumn>
    <tableColumn id="22" xr3:uid="{142F231C-1279-47D0-B656-D79A994C39CB}" name="TOTAL USD" dataDxfId="54">
      <calculatedColumnFormula>Inventory_List_Table34[[#This Row],[AQ]]*Inventory_List_Table34[[#This Row],[Q]]</calculatedColumnFormula>
    </tableColumn>
    <tableColumn id="18" xr3:uid="{306B140D-087C-401B-8F17-178618A76AC9}" name="AQC" dataDxfId="53"/>
    <tableColumn id="19" xr3:uid="{FAD0C704-87CF-4AF6-A8DD-2E95CC942F38}" name="LC" dataDxfId="52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801A0DE-3EA7-43F8-94A1-F4173BBA0D1D}" name="Inventory_List_Table3411161819" displayName="Inventory_List_Table3411161819" ref="B3:W4" totalsRowShown="0" headerRowDxfId="51" dataDxfId="49" headerRowBorderDxfId="50">
  <autoFilter ref="B3:W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D8925710-ABE1-4FD8-92FE-6F67C11D08AB}" name="Date" dataDxfId="48">
      <calculatedColumnFormula>IFERROR((Inventory_List_Table3411161819[[#This Row],[H CM]]&lt;=Inventory_List_Table3411161819[[#This Row],[D CM ]])*(Inventory_List_Table3411161819[[#This Row],[W Inches]]="")*valHighlight,0)</calculatedColumnFormula>
    </tableColumn>
    <tableColumn id="2" xr3:uid="{79ACA93E-43C6-4EC9-9DF3-45898DEEBDEB}" name="Description                                                 Color - Object Type" dataDxfId="47"/>
    <tableColumn id="3" xr3:uid="{196AEAC1-4C16-4D31-AF00-3DF77BFEF03F}" name="TAG-ID" dataDxfId="46"/>
    <tableColumn id="4" xr3:uid="{4DAA319A-5376-4DC5-9939-5C85196C199C}" name="Q" dataDxfId="45"/>
    <tableColumn id="5" xr3:uid="{A4A2F413-591B-4088-AB4A-C4F9E9D88E1A}" name="KG" dataDxfId="44"/>
    <tableColumn id="6" xr3:uid="{C01987F3-45E6-4318-B4AE-9F99281E9AAF}" name="H CM" dataDxfId="43"/>
    <tableColumn id="7" xr3:uid="{E5B0F1A3-5A8F-46D8-8A87-66425232BF3D}" name="W CM" dataDxfId="42"/>
    <tableColumn id="8" xr3:uid="{9AF2FAA9-69FE-4D1A-9FF8-F3BBD3031A9A}" name="D CM " dataDxfId="41"/>
    <tableColumn id="9" xr3:uid="{C9C1C73E-4451-4CBC-8B57-4F0275EC209E}" name="Per piece MXN$" dataDxfId="40">
      <calculatedColumnFormula>500*S1</calculatedColumnFormula>
    </tableColumn>
    <tableColumn id="23" xr3:uid="{7C2A5E3F-7179-4630-ACBA-783F30EFBCB3}" name="TOTAL PESOS" dataDxfId="39">
      <calculatedColumnFormula>Inventory_List_Table3411161819[[#This Row],[Q]]*Inventory_List_Table3411161819[[#This Row],[Per piece MXN$]]</calculatedColumnFormula>
    </tableColumn>
    <tableColumn id="13" xr3:uid="{51EE3953-5CBA-40E8-906C-724A4131E65E}" name="POUNDS" dataDxfId="38">
      <calculatedColumnFormula>Inventory_List_Table3411161819[[#This Row],[KG]]*2.20462</calculatedColumnFormula>
    </tableColumn>
    <tableColumn id="10" xr3:uid="{FBAE32E7-11F6-4AFC-B272-05A81233F1A3}" name="H Inches" dataDxfId="37">
      <calculatedColumnFormula>Inventory_List_Table3411161819[[#This Row],[H CM]]/2.54</calculatedColumnFormula>
    </tableColumn>
    <tableColumn id="11" xr3:uid="{36BF4ADC-9C63-46B1-9DCA-B0526208DAF6}" name="W Inches" dataDxfId="36">
      <calculatedColumnFormula>Inventory_List_Table3411161819[[#This Row],[W CM]]/2.54</calculatedColumnFormula>
    </tableColumn>
    <tableColumn id="12" xr3:uid="{52033D51-9822-4A11-AC97-8A3E9BA6187D}" name="D Incbes" dataDxfId="35">
      <calculatedColumnFormula>Inventory_List_Table3411161819[[#This Row],[D CM ]]/2.54</calculatedColumnFormula>
    </tableColumn>
    <tableColumn id="14" xr3:uid="{6EF4D30E-6764-4426-9DC2-CBECA66E8288}" name="AQ" dataDxfId="34">
      <calculatedColumnFormula>Inventory_List_Table3411161819[[#This Row],[Per piece MXN$]]/$U$2</calculatedColumnFormula>
    </tableColumn>
    <tableColumn id="16" xr3:uid="{D13507E0-1B23-4F26-8C49-A5EBBC205572}" name="AQ ROUND" dataDxfId="33">
      <calculatedColumnFormula>IF(MOD(P4,1)&gt;0.4,ROUNDUP(P4,0),ROUNDDOWN(P4,0))</calculatedColumnFormula>
    </tableColumn>
    <tableColumn id="15" xr3:uid="{3210E2B3-A046-43F0-867C-505F4ACC1B28}" name="LND" dataDxfId="32">
      <calculatedColumnFormula>Inventory_List_Table3411161819[[#This Row],[AQ ROUND]]*1.4</calculatedColumnFormula>
    </tableColumn>
    <tableColumn id="21" xr3:uid="{FD05923D-AD54-4667-A2AA-6227116B21A3}" name="LND ROUND" dataDxfId="31">
      <calculatedColumnFormula>IF(MOD(R4,1)&gt;0.4,ROUNDUP(R4,0),ROUNDDOWN(R4,0))</calculatedColumnFormula>
    </tableColumn>
    <tableColumn id="17" xr3:uid="{599EC49B-EC4E-47B6-A941-EDD126A112E8}" name="RETAIL" dataDxfId="30">
      <calculatedColumnFormula>Inventory_List_Table3411161819[[#This Row],[LND ROUND]]*8</calculatedColumnFormula>
    </tableColumn>
    <tableColumn id="22" xr3:uid="{31EA519A-EEEE-4AC6-86FA-849F4C20013A}" name="TOTAL USD" dataDxfId="29">
      <calculatedColumnFormula>Inventory_List_Table3411161819[[#This Row],[AQ]]*Inventory_List_Table3411161819[[#This Row],[Q]]</calculatedColumnFormula>
    </tableColumn>
    <tableColumn id="18" xr3:uid="{83D2A93F-B65D-476F-A976-251BBA238AE2}" name="AQC" dataDxfId="28"/>
    <tableColumn id="19" xr3:uid="{8C330B7A-C288-4ABB-8621-A2B3CFD29CC1}" name="LC" dataDxfId="27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CAEAA6B-6C54-4A5F-8EF4-E7A8ED7DC528}" name="Inventory_List_Table34111618" displayName="Inventory_List_Table34111618" ref="B3:W4" totalsRowShown="0" headerRowDxfId="26" dataDxfId="24" headerRowBorderDxfId="25">
  <autoFilter ref="B3:W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86431555-2F4D-4AF7-BCDA-34B9AA7F6065}" name="Date" dataDxfId="23">
      <calculatedColumnFormula>IFERROR((Inventory_List_Table34111618[[#This Row],[H CM]]&lt;=Inventory_List_Table34111618[[#This Row],[D CM ]])*(Inventory_List_Table34111618[[#This Row],[W Inches]]="")*valHighlight,0)</calculatedColumnFormula>
    </tableColumn>
    <tableColumn id="2" xr3:uid="{161DAE6D-4845-48B6-BF0C-B003EB5B339D}" name="Description                                                 Color - Object Type" dataDxfId="22"/>
    <tableColumn id="3" xr3:uid="{85B4A490-829F-46F6-B614-E40D2B9237F1}" name="TAG-ID" dataDxfId="21"/>
    <tableColumn id="4" xr3:uid="{B4C82EDD-E6D0-481E-9E32-BBE1DDC6488C}" name="Q" dataDxfId="20"/>
    <tableColumn id="5" xr3:uid="{06A4B37A-B3E6-4B4A-BD5B-2870C6C30052}" name="KG" dataDxfId="19"/>
    <tableColumn id="6" xr3:uid="{8EA96B04-E659-4023-85D0-3F2BF5E8840E}" name="H CM" dataDxfId="18"/>
    <tableColumn id="7" xr3:uid="{911EBE32-FA17-487A-8148-2B2F4C76C8A7}" name="W CM" dataDxfId="17"/>
    <tableColumn id="8" xr3:uid="{8001979B-3A52-4FFD-A829-0A1781125456}" name="D CM " dataDxfId="16"/>
    <tableColumn id="9" xr3:uid="{26CE778C-34FE-4B5B-ADC9-27EE93856E21}" name="Per piece MXN$" dataDxfId="15">
      <calculatedColumnFormula>500*S1</calculatedColumnFormula>
    </tableColumn>
    <tableColumn id="23" xr3:uid="{9A208441-BA13-4A65-9DAA-7F9A8377D2D2}" name="TOTAL PESOS" dataDxfId="14">
      <calculatedColumnFormula>Inventory_List_Table34111618[[#This Row],[Q]]*Inventory_List_Table34111618[[#This Row],[Per piece MXN$]]</calculatedColumnFormula>
    </tableColumn>
    <tableColumn id="13" xr3:uid="{F5C53F49-1F86-4A53-83D8-7B883000A848}" name="POUNDS" dataDxfId="13">
      <calculatedColumnFormula>Inventory_List_Table34111618[[#This Row],[KG]]*2.20462</calculatedColumnFormula>
    </tableColumn>
    <tableColumn id="10" xr3:uid="{0AF75039-12F7-47F0-A311-3BCB1592533E}" name="H Inches" dataDxfId="12">
      <calculatedColumnFormula>Inventory_List_Table34111618[[#This Row],[H CM]]/2.54</calculatedColumnFormula>
    </tableColumn>
    <tableColumn id="11" xr3:uid="{536FDE1A-93F4-4F96-99FE-A9F27869A45F}" name="W Inches" dataDxfId="11">
      <calculatedColumnFormula>Inventory_List_Table34111618[[#This Row],[W CM]]/2.54</calculatedColumnFormula>
    </tableColumn>
    <tableColumn id="12" xr3:uid="{72AA2B55-40FC-40E7-A911-2AC6B18CCB92}" name="D Incbes" dataDxfId="10">
      <calculatedColumnFormula>Inventory_List_Table34111618[[#This Row],[D CM ]]/2.54</calculatedColumnFormula>
    </tableColumn>
    <tableColumn id="14" xr3:uid="{D2D24571-317A-4C5C-8FC4-C758432600C4}" name="AQ" dataDxfId="9">
      <calculatedColumnFormula>Inventory_List_Table34111618[[#This Row],[Per piece MXN$]]/$U$2</calculatedColumnFormula>
    </tableColumn>
    <tableColumn id="16" xr3:uid="{E0D602C1-C73F-426A-8165-FAFFCA81C208}" name="AQ ROUND" dataDxfId="8">
      <calculatedColumnFormula>IF(MOD(P4,1)&gt;0.4,ROUNDUP(P4,0),ROUNDDOWN(P4,0))</calculatedColumnFormula>
    </tableColumn>
    <tableColumn id="15" xr3:uid="{F960AB3A-2761-48C7-A0B9-B0994FCC3A1F}" name="LND" dataDxfId="7">
      <calculatedColumnFormula>Inventory_List_Table34111618[[#This Row],[AQ ROUND]]*1.4</calculatedColumnFormula>
    </tableColumn>
    <tableColumn id="21" xr3:uid="{467D9B9A-34D5-4C79-838A-28506092A200}" name="LND ROUND" dataDxfId="6">
      <calculatedColumnFormula>IF(MOD(R4,1)&gt;0.4,ROUNDUP(R4,0),ROUNDDOWN(R4,0))</calculatedColumnFormula>
    </tableColumn>
    <tableColumn id="17" xr3:uid="{19BDC27C-28CD-41A0-80FA-D26F402B1BEA}" name="RETAIL" dataDxfId="5">
      <calculatedColumnFormula>Inventory_List_Table34111618[[#This Row],[LND ROUND]]*8</calculatedColumnFormula>
    </tableColumn>
    <tableColumn id="22" xr3:uid="{D9A8C1B8-8341-4189-9200-9C4374D5A317}" name="TOTAL USD" dataDxfId="4">
      <calculatedColumnFormula>Inventory_List_Table34111618[[#This Row],[AQ]]*Inventory_List_Table34111618[[#This Row],[Q]]</calculatedColumnFormula>
    </tableColumn>
    <tableColumn id="18" xr3:uid="{E6DA1540-A73B-4C80-B9DD-92B44C6BD8C5}" name="AQC" dataDxfId="3"/>
    <tableColumn id="19" xr3:uid="{95B3F8FA-9D8A-46EA-B0DD-13C66563A3CA}" name="LC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8E0B4169-EDA1-40DF-9737-90B08A329297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6tfWuQk8wNywxLO8lQCW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11A3746-B4E2-4971-9BB6-763C320A269D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15EB89ED-0A0B-4913-B8A2-66A86A514203}">
  <we:reference id="wa103992993" version="1.2.0.0" store="en-US" storeType="OMEX"/>
  <we:alternateReferences>
    <we:reference id="wa103992993" version="1.2.0.0" store="wa10399299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43A7-4A67-4129-B6D3-1AC1F9267DD5}">
  <sheetPr>
    <tabColor rgb="FF7030A0"/>
  </sheetPr>
  <dimension ref="A1:AF37"/>
  <sheetViews>
    <sheetView showGridLines="0" zoomScale="70" zoomScaleNormal="70" workbookViewId="0">
      <pane xSplit="4" topLeftCell="E1" activePane="topRight" state="frozen"/>
      <selection activeCell="B2" sqref="B2"/>
      <selection pane="topRight" activeCell="D4" sqref="D4"/>
    </sheetView>
  </sheetViews>
  <sheetFormatPr defaultColWidth="19.625" defaultRowHeight="30.6" customHeight="1" x14ac:dyDescent="0.3"/>
  <cols>
    <col min="1" max="1" width="21.5" style="827" customWidth="1"/>
    <col min="2" max="2" width="30" style="742" bestFit="1" customWidth="1"/>
    <col min="3" max="3" width="20.875" style="914" bestFit="1" customWidth="1"/>
    <col min="4" max="4" width="30.625" style="810" bestFit="1" customWidth="1"/>
    <col min="5" max="5" width="19" style="742" customWidth="1"/>
    <col min="6" max="6" width="19.125" style="764" bestFit="1" customWidth="1"/>
    <col min="7" max="7" width="17.375" style="763" customWidth="1"/>
    <col min="8" max="8" width="23.625" style="764" customWidth="1"/>
    <col min="9" max="9" width="17.875" style="763" customWidth="1"/>
    <col min="10" max="10" width="17.875" style="764" customWidth="1"/>
    <col min="11" max="11" width="14.875" style="763" customWidth="1"/>
    <col min="12" max="12" width="23.875" style="764" bestFit="1" customWidth="1"/>
    <col min="13" max="13" width="17.5" style="763" customWidth="1"/>
    <col min="14" max="14" width="17.5" style="764" customWidth="1"/>
    <col min="15" max="15" width="14.875" style="763" customWidth="1"/>
    <col min="16" max="16" width="15.875" style="764" customWidth="1"/>
    <col min="17" max="17" width="14.5" style="763" customWidth="1"/>
    <col min="18" max="18" width="20.25" style="764" bestFit="1" customWidth="1"/>
    <col min="19" max="19" width="20.25" style="756" customWidth="1"/>
    <col min="20" max="20" width="20.25" style="740" customWidth="1"/>
    <col min="21" max="21" width="20.25" style="763" customWidth="1"/>
    <col min="22" max="22" width="20.25" style="740" customWidth="1"/>
    <col min="23" max="23" width="20.25" style="756" customWidth="1"/>
    <col min="24" max="24" width="20.25" style="740" customWidth="1"/>
    <col min="25" max="25" width="20.25" style="756" customWidth="1"/>
    <col min="26" max="26" width="20.25" style="740" customWidth="1"/>
    <col min="27" max="27" width="18.125" style="757" customWidth="1"/>
    <col min="28" max="28" width="18" bestFit="1" customWidth="1"/>
    <col min="29" max="29" width="19.625" style="757"/>
    <col min="30" max="30" width="20.5" style="758" bestFit="1" customWidth="1"/>
    <col min="33" max="16384" width="19.625" style="742"/>
  </cols>
  <sheetData>
    <row r="1" spans="1:32" s="743" customFormat="1" ht="29.45" customHeight="1" thickBot="1" x14ac:dyDescent="0.8">
      <c r="A1" s="836">
        <v>825</v>
      </c>
      <c r="B1" s="876" t="s">
        <v>938</v>
      </c>
      <c r="C1" s="882"/>
      <c r="D1" s="883"/>
      <c r="E1" s="719" t="s">
        <v>114</v>
      </c>
      <c r="F1" s="811">
        <f>F4-(SUM(Table7[[#All],[PAYMENT DH]]))</f>
        <v>-11037.280000000086</v>
      </c>
      <c r="G1" s="765" t="s">
        <v>4</v>
      </c>
      <c r="H1" s="812">
        <f>H4-(SUM(Table7[[#All],[PAYMENT EM]]))</f>
        <v>325420</v>
      </c>
      <c r="I1" s="770" t="s">
        <v>121</v>
      </c>
      <c r="J1" s="813">
        <f>J4-SUM(I5:I29)</f>
        <v>-9284.5</v>
      </c>
      <c r="K1" s="777" t="s">
        <v>55</v>
      </c>
      <c r="L1" s="814">
        <f>L4-SUM(K5:K29)</f>
        <v>160533.5</v>
      </c>
      <c r="M1" s="783" t="s">
        <v>63</v>
      </c>
      <c r="N1" s="815">
        <f>N4-SUM(M5:M29)</f>
        <v>72256.5</v>
      </c>
      <c r="O1" s="787" t="s">
        <v>100</v>
      </c>
      <c r="P1" s="816">
        <f>P4-SUM(O5:O29)</f>
        <v>5115</v>
      </c>
      <c r="Q1" s="790" t="s">
        <v>108</v>
      </c>
      <c r="R1" s="817">
        <f>R4-SUM(Q5:Q29)</f>
        <v>17400</v>
      </c>
      <c r="S1" s="795" t="s">
        <v>117</v>
      </c>
      <c r="T1" s="818">
        <f>T4-SUM(Table7[PAYMENT JM])</f>
        <v>22000</v>
      </c>
      <c r="U1" s="797" t="s">
        <v>119</v>
      </c>
      <c r="V1" s="819">
        <f>V4-SUM(Table7[PAYMENT ML])</f>
        <v>192482</v>
      </c>
      <c r="W1" s="802" t="s">
        <v>416</v>
      </c>
      <c r="X1" s="820">
        <f>X4-SUM(Table7[PAYMENT ET])</f>
        <v>119315</v>
      </c>
      <c r="Y1" s="751" t="s">
        <v>25</v>
      </c>
      <c r="Z1" s="821">
        <f>Z4-SUM(Y4:Y29)</f>
        <v>114240</v>
      </c>
      <c r="AA1" s="751" t="s">
        <v>120</v>
      </c>
      <c r="AB1" s="750">
        <f>AB4-SUM(AA4:AA29)</f>
        <v>77185</v>
      </c>
      <c r="AC1" s="806" t="s">
        <v>112</v>
      </c>
      <c r="AD1" s="822">
        <f>AD4-SUM(AC4:AC29)</f>
        <v>30000</v>
      </c>
      <c r="AE1" s="849" t="s">
        <v>337</v>
      </c>
      <c r="AF1" s="850">
        <f>AF4-SUM(AE4:AE29)</f>
        <v>12000</v>
      </c>
    </row>
    <row r="2" spans="1:32" s="744" customFormat="1" ht="45.6" customHeight="1" x14ac:dyDescent="0.4">
      <c r="A2" s="834" t="s">
        <v>1009</v>
      </c>
      <c r="B2" s="877" t="s">
        <v>1011</v>
      </c>
      <c r="C2" s="1061" t="s">
        <v>1007</v>
      </c>
      <c r="D2" s="1062"/>
      <c r="E2" s="720" t="s">
        <v>940</v>
      </c>
      <c r="F2" s="759"/>
      <c r="G2" s="766" t="s">
        <v>941</v>
      </c>
      <c r="H2" s="767"/>
      <c r="I2" s="771" t="s">
        <v>942</v>
      </c>
      <c r="J2" s="772"/>
      <c r="K2" s="778" t="s">
        <v>943</v>
      </c>
      <c r="L2" s="779"/>
      <c r="M2" s="731" t="s">
        <v>944</v>
      </c>
      <c r="N2" s="732"/>
      <c r="O2" s="729" t="s">
        <v>945</v>
      </c>
      <c r="P2" s="730"/>
      <c r="Q2" s="727" t="s">
        <v>946</v>
      </c>
      <c r="R2" s="728"/>
      <c r="S2" s="733" t="s">
        <v>118</v>
      </c>
      <c r="T2" s="734"/>
      <c r="U2" s="722" t="s">
        <v>996</v>
      </c>
      <c r="V2" s="723"/>
      <c r="W2" s="803" t="s">
        <v>391</v>
      </c>
      <c r="X2" s="804"/>
      <c r="Y2" s="752" t="s">
        <v>1001</v>
      </c>
      <c r="Z2" s="753"/>
      <c r="AA2" s="752" t="s">
        <v>1001</v>
      </c>
      <c r="AB2" s="749"/>
      <c r="AC2" s="807" t="s">
        <v>113</v>
      </c>
      <c r="AD2" s="808"/>
      <c r="AE2" s="851" t="s">
        <v>338</v>
      </c>
      <c r="AF2" s="852"/>
    </row>
    <row r="3" spans="1:32" ht="31.9" customHeight="1" thickBot="1" x14ac:dyDescent="0.35">
      <c r="A3" s="835">
        <v>18</v>
      </c>
      <c r="B3" s="878">
        <f>RF!K2+AM!K2+JM!K2+AN!K2+CP!K2+ML!K2+EM!K2+DH!K2+FR!K2+TE!K2+GE!K2+GS!K2+BT!K2+ET!K2</f>
        <v>3052411.3</v>
      </c>
      <c r="C3" s="884"/>
      <c r="D3" s="885" t="s">
        <v>1462</v>
      </c>
      <c r="E3" s="745" t="s">
        <v>947</v>
      </c>
      <c r="F3" s="761" t="s">
        <v>948</v>
      </c>
      <c r="G3" s="760" t="s">
        <v>949</v>
      </c>
      <c r="H3" s="761" t="s">
        <v>950</v>
      </c>
      <c r="I3" s="760" t="s">
        <v>951</v>
      </c>
      <c r="J3" s="761" t="s">
        <v>952</v>
      </c>
      <c r="K3" s="760" t="s">
        <v>953</v>
      </c>
      <c r="L3" s="761" t="s">
        <v>954</v>
      </c>
      <c r="M3" s="760" t="s">
        <v>955</v>
      </c>
      <c r="N3" s="761" t="s">
        <v>956</v>
      </c>
      <c r="O3" s="760" t="s">
        <v>957</v>
      </c>
      <c r="P3" s="761" t="s">
        <v>958</v>
      </c>
      <c r="Q3" s="791" t="s">
        <v>959</v>
      </c>
      <c r="R3" s="792" t="s">
        <v>960</v>
      </c>
      <c r="S3" s="796" t="s">
        <v>993</v>
      </c>
      <c r="T3" s="755" t="s">
        <v>994</v>
      </c>
      <c r="U3" s="798" t="s">
        <v>997</v>
      </c>
      <c r="V3" s="799" t="s">
        <v>998</v>
      </c>
      <c r="W3" s="796" t="s">
        <v>999</v>
      </c>
      <c r="X3" s="755" t="s">
        <v>1000</v>
      </c>
      <c r="Y3" s="754" t="s">
        <v>1002</v>
      </c>
      <c r="Z3" s="755" t="s">
        <v>1003</v>
      </c>
      <c r="AA3" s="754" t="s">
        <v>1002</v>
      </c>
      <c r="AB3" s="746" t="s">
        <v>1003</v>
      </c>
      <c r="AC3" s="763" t="s">
        <v>1004</v>
      </c>
      <c r="AD3" s="764" t="s">
        <v>1005</v>
      </c>
      <c r="AE3" s="763" t="s">
        <v>1004</v>
      </c>
      <c r="AF3" s="764" t="s">
        <v>1005</v>
      </c>
    </row>
    <row r="4" spans="1:32" ht="31.5" customHeight="1" thickBot="1" x14ac:dyDescent="0.35">
      <c r="A4" s="1063" t="s">
        <v>1010</v>
      </c>
      <c r="B4" s="1064"/>
      <c r="C4" s="886" t="s">
        <v>1461</v>
      </c>
      <c r="D4" s="887" t="s">
        <v>1008</v>
      </c>
      <c r="E4" s="747" t="s">
        <v>961</v>
      </c>
      <c r="F4" s="762">
        <f>DH!K2</f>
        <v>348472.79999999993</v>
      </c>
      <c r="G4" s="823" t="s">
        <v>962</v>
      </c>
      <c r="H4" s="824">
        <f>EM!K2</f>
        <v>779315.5</v>
      </c>
      <c r="I4" s="773"/>
      <c r="J4" s="774">
        <f>[5]FR!K2</f>
        <v>135715.5</v>
      </c>
      <c r="K4" s="780" t="s">
        <v>963</v>
      </c>
      <c r="L4" s="781">
        <f>[5]TE!S1</f>
        <v>452094</v>
      </c>
      <c r="M4" s="784" t="s">
        <v>964</v>
      </c>
      <c r="N4" s="785">
        <f>[5]GE!K2</f>
        <v>150221.5</v>
      </c>
      <c r="O4" s="788" t="s">
        <v>965</v>
      </c>
      <c r="P4" s="789">
        <f>[5]GS!S2</f>
        <v>61290</v>
      </c>
      <c r="Q4" s="793" t="s">
        <v>966</v>
      </c>
      <c r="R4" s="794">
        <f>[5]BT!K2</f>
        <v>104500</v>
      </c>
      <c r="S4" s="735" t="s">
        <v>995</v>
      </c>
      <c r="T4" s="736">
        <f>JM!K2</f>
        <v>476680</v>
      </c>
      <c r="U4" s="800"/>
      <c r="V4" s="801">
        <f>ML!K2</f>
        <v>192482</v>
      </c>
      <c r="W4" s="776"/>
      <c r="X4" s="847">
        <f>ET!K2</f>
        <v>119315</v>
      </c>
      <c r="Y4" s="842"/>
      <c r="Z4" s="842">
        <f>AM!K2</f>
        <v>114240</v>
      </c>
      <c r="AA4" s="842"/>
      <c r="AB4" s="842">
        <f>RF!K2</f>
        <v>77185</v>
      </c>
      <c r="AC4" s="848"/>
      <c r="AD4" s="848">
        <f>CP!K2</f>
        <v>30000</v>
      </c>
      <c r="AE4" s="853"/>
      <c r="AF4" s="853">
        <f>AN!K2</f>
        <v>12000</v>
      </c>
    </row>
    <row r="5" spans="1:32" ht="39" customHeight="1" x14ac:dyDescent="0.35">
      <c r="A5" s="830" t="s">
        <v>935</v>
      </c>
      <c r="B5" s="838">
        <v>666790</v>
      </c>
      <c r="C5" s="888" t="s">
        <v>967</v>
      </c>
      <c r="D5" s="889" t="s">
        <v>968</v>
      </c>
      <c r="E5" s="879"/>
      <c r="F5" s="725">
        <f>F4-Table7[[#This Row],[PAYMENT DH]]</f>
        <v>348472.79999999993</v>
      </c>
      <c r="G5" s="724"/>
      <c r="H5" s="725">
        <f>H4-Table7[[#This Row],[PAYMENT EM]]</f>
        <v>779315.5</v>
      </c>
      <c r="I5" s="724"/>
      <c r="J5" s="725">
        <f>J4-Table7[[#This Row],[PAYMEN FR]]</f>
        <v>135715.5</v>
      </c>
      <c r="K5" s="782">
        <v>237760.5</v>
      </c>
      <c r="L5" s="781">
        <f>L4-Table7[[#This Row],[PAYMENT TE]]</f>
        <v>214333.5</v>
      </c>
      <c r="M5" s="724"/>
      <c r="N5" s="725">
        <f>N4-Table7[[#This Row],[PAYMENT GE]]</f>
        <v>150221.5</v>
      </c>
      <c r="O5" s="724"/>
      <c r="P5" s="725">
        <f>P4-Table7[[#This Row],[PAYMENT LH2]]</f>
        <v>61290</v>
      </c>
      <c r="Q5" s="724"/>
      <c r="R5" s="725">
        <f>R4-Table7[[#This Row],[PAYMENTBT]]</f>
        <v>104500</v>
      </c>
      <c r="S5" s="724"/>
      <c r="T5" s="737">
        <f>T4-S5</f>
        <v>476680</v>
      </c>
      <c r="U5" s="724"/>
      <c r="V5" s="725">
        <f>V4-Table7[[#This Row],[PAYMENT ML]]</f>
        <v>192482</v>
      </c>
      <c r="W5" s="724"/>
      <c r="X5" s="843">
        <f>X4-W5</f>
        <v>119315</v>
      </c>
      <c r="Y5" s="843"/>
      <c r="Z5" s="843">
        <f t="shared" ref="Z5:Z29" si="0">Z4-Y5</f>
        <v>114240</v>
      </c>
      <c r="AA5" s="843"/>
      <c r="AB5" s="843">
        <f>AB4-AA5</f>
        <v>77185</v>
      </c>
      <c r="AC5" s="843"/>
      <c r="AD5" s="843">
        <f>AD4-AC5</f>
        <v>30000</v>
      </c>
      <c r="AE5" s="843"/>
      <c r="AF5" s="843">
        <f>AF4-AE5</f>
        <v>12000</v>
      </c>
    </row>
    <row r="6" spans="1:32" ht="30.6" customHeight="1" x14ac:dyDescent="0.35">
      <c r="A6" s="831" t="s">
        <v>936</v>
      </c>
      <c r="B6" s="839">
        <v>493962.5400000001</v>
      </c>
      <c r="C6" s="890" t="s">
        <v>969</v>
      </c>
      <c r="D6" s="891" t="s">
        <v>970</v>
      </c>
      <c r="E6" s="879"/>
      <c r="F6" s="725">
        <f>F5-Table7[[#This Row],[PAYMENT DH]]</f>
        <v>348472.79999999993</v>
      </c>
      <c r="G6" s="724"/>
      <c r="H6" s="725">
        <f>H5-Table7[[#This Row],[PAYMENT EM]]</f>
        <v>779315.5</v>
      </c>
      <c r="I6" s="775"/>
      <c r="J6" s="725">
        <f>J5-Table7[[#This Row],[PAYMEN FR]]</f>
        <v>135715.5</v>
      </c>
      <c r="K6" s="724"/>
      <c r="L6" s="725">
        <f>L5-Table7[[#This Row],[PAYMENT TE]]</f>
        <v>214333.5</v>
      </c>
      <c r="M6" s="724"/>
      <c r="N6" s="725">
        <f>N5-Table7[[#This Row],[PAYMENT GE]]</f>
        <v>150221.5</v>
      </c>
      <c r="O6" s="788">
        <v>18000</v>
      </c>
      <c r="P6" s="789">
        <f>P5-Table7[[#This Row],[PAYMENT LH2]]</f>
        <v>43290</v>
      </c>
      <c r="Q6" s="726"/>
      <c r="R6" s="725">
        <f>R5-Table7[[#This Row],[PAYMENTBT]]</f>
        <v>104500</v>
      </c>
      <c r="S6" s="738"/>
      <c r="T6" s="739">
        <f t="shared" ref="T6:T29" si="1">T5-S6</f>
        <v>476680</v>
      </c>
      <c r="U6" s="726"/>
      <c r="V6" s="725">
        <f>V5-Table7[[#This Row],[PAYMENT ML]]</f>
        <v>192482</v>
      </c>
      <c r="W6" s="738"/>
      <c r="X6" s="844">
        <f t="shared" ref="X6:X29" si="2">X5-W6</f>
        <v>119315</v>
      </c>
      <c r="Y6" s="844"/>
      <c r="Z6" s="844">
        <f t="shared" si="0"/>
        <v>114240</v>
      </c>
      <c r="AA6" s="844"/>
      <c r="AB6" s="844">
        <f t="shared" ref="AB6:AB29" si="3">AB5-AA6</f>
        <v>77185</v>
      </c>
      <c r="AC6" s="844"/>
      <c r="AD6" s="844">
        <f t="shared" ref="AD6:AD29" si="4">AD5-AC6</f>
        <v>30000</v>
      </c>
      <c r="AE6" s="844"/>
      <c r="AF6" s="844">
        <f t="shared" ref="AF6:AF29" si="5">AF5-AE6</f>
        <v>12000</v>
      </c>
    </row>
    <row r="7" spans="1:32" ht="30.6" customHeight="1" x14ac:dyDescent="0.35">
      <c r="A7" s="873" t="s">
        <v>937</v>
      </c>
      <c r="B7" s="874">
        <v>253320.36000000004</v>
      </c>
      <c r="C7" s="892" t="s">
        <v>969</v>
      </c>
      <c r="D7" s="891" t="s">
        <v>970</v>
      </c>
      <c r="E7" s="879"/>
      <c r="F7" s="725">
        <f>F6-Table7[[#This Row],[PAYMENT DH]]</f>
        <v>348472.79999999993</v>
      </c>
      <c r="G7" s="724"/>
      <c r="H7" s="725">
        <f>H6-Table7[[#This Row],[PAYMENT EM]]</f>
        <v>779315.5</v>
      </c>
      <c r="I7" s="775"/>
      <c r="J7" s="725">
        <f>J6-Table7[[#This Row],[PAYMEN FR]]</f>
        <v>135715.5</v>
      </c>
      <c r="K7" s="724"/>
      <c r="L7" s="725">
        <f>L6-Table7[[#This Row],[PAYMENT TE]]</f>
        <v>214333.5</v>
      </c>
      <c r="M7" s="724"/>
      <c r="N7" s="725">
        <f>N6-Table7[[#This Row],[PAYMENT GE]]</f>
        <v>150221.5</v>
      </c>
      <c r="O7" s="788">
        <v>27000</v>
      </c>
      <c r="P7" s="789">
        <f>P6-Table7[[#This Row],[PAYMENT LH2]]</f>
        <v>16290</v>
      </c>
      <c r="Q7" s="726"/>
      <c r="R7" s="725">
        <f>R6-Table7[[#This Row],[PAYMENTBT]]</f>
        <v>104500</v>
      </c>
      <c r="S7" s="738"/>
      <c r="T7" s="740">
        <f t="shared" si="1"/>
        <v>476680</v>
      </c>
      <c r="U7" s="726"/>
      <c r="V7" s="725">
        <f>V6-Table7[[#This Row],[PAYMENT ML]]</f>
        <v>192482</v>
      </c>
      <c r="W7" s="738"/>
      <c r="X7" s="845">
        <f t="shared" si="2"/>
        <v>119315</v>
      </c>
      <c r="Y7" s="845"/>
      <c r="Z7" s="845">
        <f t="shared" si="0"/>
        <v>114240</v>
      </c>
      <c r="AA7" s="845"/>
      <c r="AB7" s="845">
        <f t="shared" si="3"/>
        <v>77185</v>
      </c>
      <c r="AC7" s="845"/>
      <c r="AD7" s="845">
        <f t="shared" si="4"/>
        <v>30000</v>
      </c>
      <c r="AE7" s="845"/>
      <c r="AF7" s="845">
        <f t="shared" si="5"/>
        <v>12000</v>
      </c>
    </row>
    <row r="8" spans="1:32" ht="39" customHeight="1" x14ac:dyDescent="0.35">
      <c r="A8" s="832" t="str">
        <f>'-TRK4'!A2</f>
        <v>TRK4</v>
      </c>
      <c r="B8" s="840">
        <f>RF!K2+AM!K2+EM!K1+JM!K1+ML!K1+TE!K1+GE!K1+BT!K1+ET!K2</f>
        <v>1424429.5</v>
      </c>
      <c r="C8" s="893" t="s">
        <v>971</v>
      </c>
      <c r="D8" s="894" t="s">
        <v>972</v>
      </c>
      <c r="E8" s="880">
        <v>100000</v>
      </c>
      <c r="F8" s="762">
        <f>F7-Table7[[#This Row],[PAYMENT DH]]</f>
        <v>248472.79999999993</v>
      </c>
      <c r="G8" s="825"/>
      <c r="H8" s="725">
        <f>H7-Table7[[#This Row],[PAYMENT EM]]</f>
        <v>779315.5</v>
      </c>
      <c r="I8" s="775"/>
      <c r="J8" s="725">
        <f>J7-Table7[[#This Row],[PAYMEN FR]]</f>
        <v>135715.5</v>
      </c>
      <c r="K8" s="724"/>
      <c r="L8" s="725">
        <f>L7-Table7[[#This Row],[PAYMENT TE]]</f>
        <v>214333.5</v>
      </c>
      <c r="M8" s="724"/>
      <c r="N8" s="725">
        <f>N7-Table7[[#This Row],[PAYMENT GE]]</f>
        <v>150221.5</v>
      </c>
      <c r="O8" s="724"/>
      <c r="P8" s="725">
        <f>P7-Table7[[#This Row],[PAYMENT LH2]]</f>
        <v>16290</v>
      </c>
      <c r="Q8" s="724"/>
      <c r="R8" s="725">
        <f>R7-Table7[[#This Row],[PAYMENTBT]]</f>
        <v>104500</v>
      </c>
      <c r="S8" s="724"/>
      <c r="T8" s="741">
        <f t="shared" si="1"/>
        <v>476680</v>
      </c>
      <c r="U8" s="724"/>
      <c r="V8" s="725">
        <f>V7-Table7[[#This Row],[PAYMENT ML]]</f>
        <v>192482</v>
      </c>
      <c r="W8" s="724"/>
      <c r="X8" s="842">
        <f t="shared" si="2"/>
        <v>119315</v>
      </c>
      <c r="Y8" s="842"/>
      <c r="Z8" s="842">
        <f t="shared" si="0"/>
        <v>114240</v>
      </c>
      <c r="AA8" s="842"/>
      <c r="AB8" s="842">
        <f t="shared" si="3"/>
        <v>77185</v>
      </c>
      <c r="AC8" s="842"/>
      <c r="AD8" s="842">
        <f t="shared" si="4"/>
        <v>30000</v>
      </c>
      <c r="AE8" s="842"/>
      <c r="AF8" s="842">
        <f t="shared" si="5"/>
        <v>12000</v>
      </c>
    </row>
    <row r="9" spans="1:32" ht="30.6" customHeight="1" x14ac:dyDescent="0.35">
      <c r="A9" s="833" t="s">
        <v>939</v>
      </c>
      <c r="B9" s="841">
        <f>SUM(B5:B8)</f>
        <v>2838502.4000000004</v>
      </c>
      <c r="C9" s="895" t="s">
        <v>973</v>
      </c>
      <c r="D9" s="894" t="s">
        <v>974</v>
      </c>
      <c r="E9" s="880">
        <v>66510.080000000002</v>
      </c>
      <c r="F9" s="762">
        <f>F8-Table7[[#This Row],[PAYMENT DH]]</f>
        <v>181962.71999999991</v>
      </c>
      <c r="G9" s="768"/>
      <c r="H9" s="725">
        <f>H8-Table7[[#This Row],[PAYMENT EM]]</f>
        <v>779315.5</v>
      </c>
      <c r="I9" s="775"/>
      <c r="J9" s="725">
        <f>J8-Table7[[#This Row],[PAYMEN FR]]</f>
        <v>135715.5</v>
      </c>
      <c r="K9" s="724"/>
      <c r="L9" s="725">
        <f>L8-Table7[[#This Row],[PAYMENT TE]]</f>
        <v>214333.5</v>
      </c>
      <c r="M9" s="724"/>
      <c r="N9" s="725">
        <f>N8-Table7[[#This Row],[PAYMENT GE]]</f>
        <v>150221.5</v>
      </c>
      <c r="O9" s="724"/>
      <c r="P9" s="725">
        <f>P8-Table7[[#This Row],[PAYMENT LH2]]</f>
        <v>16290</v>
      </c>
      <c r="Q9" s="724"/>
      <c r="R9" s="725">
        <f>R8-Table7[[#This Row],[PAYMENTBT]]</f>
        <v>104500</v>
      </c>
      <c r="S9" s="724"/>
      <c r="T9" s="737">
        <f t="shared" si="1"/>
        <v>476680</v>
      </c>
      <c r="U9" s="724"/>
      <c r="V9" s="725">
        <f>V8-Table7[[#This Row],[PAYMENT ML]]</f>
        <v>192482</v>
      </c>
      <c r="W9" s="724"/>
      <c r="X9" s="843">
        <f t="shared" si="2"/>
        <v>119315</v>
      </c>
      <c r="Y9" s="843"/>
      <c r="Z9" s="843">
        <f t="shared" si="0"/>
        <v>114240</v>
      </c>
      <c r="AA9" s="843"/>
      <c r="AB9" s="843">
        <f t="shared" si="3"/>
        <v>77185</v>
      </c>
      <c r="AC9" s="843"/>
      <c r="AD9" s="843">
        <f t="shared" si="4"/>
        <v>30000</v>
      </c>
      <c r="AE9" s="843"/>
      <c r="AF9" s="843">
        <f t="shared" si="5"/>
        <v>12000</v>
      </c>
    </row>
    <row r="10" spans="1:32" ht="30.6" customHeight="1" x14ac:dyDescent="0.35">
      <c r="A10" s="826" t="s">
        <v>1006</v>
      </c>
      <c r="B10" s="837">
        <f>B3-B9</f>
        <v>213908.89999999944</v>
      </c>
      <c r="C10" s="896" t="s">
        <v>969</v>
      </c>
      <c r="D10" s="897" t="s">
        <v>975</v>
      </c>
      <c r="E10" s="879"/>
      <c r="F10" s="725">
        <f>F9-Table7[[#This Row],[PAYMENT DH]]</f>
        <v>181962.71999999991</v>
      </c>
      <c r="G10" s="724"/>
      <c r="H10" s="725">
        <f>H9-Table7[[#This Row],[PAYMENT EM]]</f>
        <v>779315.5</v>
      </c>
      <c r="I10" s="775"/>
      <c r="J10" s="725">
        <f>J9-Table7[[#This Row],[PAYMEN FR]]</f>
        <v>135715.5</v>
      </c>
      <c r="K10" s="724"/>
      <c r="L10" s="725">
        <f>L9-Table7[[#This Row],[PAYMENT TE]]</f>
        <v>214333.5</v>
      </c>
      <c r="M10" s="724"/>
      <c r="N10" s="725">
        <f>N9-Table7[[#This Row],[PAYMENT GE]]</f>
        <v>150221.5</v>
      </c>
      <c r="O10" s="724"/>
      <c r="P10" s="725">
        <f>P9-Table7[[#This Row],[PAYMENT LH2]]</f>
        <v>16290</v>
      </c>
      <c r="Q10" s="793">
        <v>60100</v>
      </c>
      <c r="R10" s="794">
        <f>R9-Table7[[#This Row],[PAYMENTBT]]</f>
        <v>44400</v>
      </c>
      <c r="S10" s="724"/>
      <c r="T10" s="741">
        <f t="shared" si="1"/>
        <v>476680</v>
      </c>
      <c r="U10" s="724"/>
      <c r="V10" s="725">
        <f>V9-Table7[[#This Row],[PAYMENT ML]]</f>
        <v>192482</v>
      </c>
      <c r="W10" s="724"/>
      <c r="X10" s="842">
        <f t="shared" si="2"/>
        <v>119315</v>
      </c>
      <c r="Y10" s="842"/>
      <c r="Z10" s="842">
        <f t="shared" si="0"/>
        <v>114240</v>
      </c>
      <c r="AA10" s="842"/>
      <c r="AB10" s="842">
        <f t="shared" si="3"/>
        <v>77185</v>
      </c>
      <c r="AC10" s="842"/>
      <c r="AD10" s="842">
        <f t="shared" si="4"/>
        <v>30000</v>
      </c>
      <c r="AE10" s="842"/>
      <c r="AF10" s="842">
        <f t="shared" si="5"/>
        <v>12000</v>
      </c>
    </row>
    <row r="11" spans="1:32" ht="30.6" customHeight="1" x14ac:dyDescent="0.35">
      <c r="C11" s="898" t="s">
        <v>969</v>
      </c>
      <c r="D11" s="899" t="s">
        <v>976</v>
      </c>
      <c r="E11" s="879"/>
      <c r="F11" s="725">
        <f>F10-Table7[[#This Row],[PAYMENT DH]]</f>
        <v>181962.71999999991</v>
      </c>
      <c r="G11" s="724"/>
      <c r="H11" s="725">
        <f>H10-Table7[[#This Row],[PAYMENT EM]]</f>
        <v>779315.5</v>
      </c>
      <c r="I11" s="776">
        <v>120000</v>
      </c>
      <c r="J11" s="805">
        <f>J10-Table7[[#This Row],[PAYMEN FR]]</f>
        <v>15715.5</v>
      </c>
      <c r="K11" s="724"/>
      <c r="L11" s="725">
        <f>L10-Table7[[#This Row],[PAYMENT TE]]</f>
        <v>214333.5</v>
      </c>
      <c r="M11" s="724"/>
      <c r="N11" s="725">
        <f>N10-Table7[[#This Row],[PAYMENT GE]]</f>
        <v>150221.5</v>
      </c>
      <c r="O11" s="724"/>
      <c r="P11" s="725">
        <f>P10-Table7[[#This Row],[PAYMENT LH2]]</f>
        <v>16290</v>
      </c>
      <c r="Q11" s="724"/>
      <c r="R11" s="725">
        <f>R10-Table7[[#This Row],[PAYMENTBT]]</f>
        <v>44400</v>
      </c>
      <c r="S11" s="724"/>
      <c r="T11" s="737">
        <f t="shared" si="1"/>
        <v>476680</v>
      </c>
      <c r="U11" s="724"/>
      <c r="V11" s="725">
        <f>V10-Table7[[#This Row],[PAYMENT ML]]</f>
        <v>192482</v>
      </c>
      <c r="W11" s="724"/>
      <c r="X11" s="843">
        <f t="shared" si="2"/>
        <v>119315</v>
      </c>
      <c r="Y11" s="843"/>
      <c r="Z11" s="843">
        <f t="shared" si="0"/>
        <v>114240</v>
      </c>
      <c r="AA11" s="843"/>
      <c r="AB11" s="843">
        <f t="shared" si="3"/>
        <v>77185</v>
      </c>
      <c r="AC11" s="843"/>
      <c r="AD11" s="843">
        <f t="shared" si="4"/>
        <v>30000</v>
      </c>
      <c r="AE11" s="843"/>
      <c r="AF11" s="843">
        <f t="shared" si="5"/>
        <v>12000</v>
      </c>
    </row>
    <row r="12" spans="1:32" ht="30.6" customHeight="1" x14ac:dyDescent="0.35">
      <c r="C12" s="900" t="s">
        <v>969</v>
      </c>
      <c r="D12" s="899" t="s">
        <v>977</v>
      </c>
      <c r="E12" s="879"/>
      <c r="F12" s="725">
        <f>F11-Table7[[#This Row],[PAYMENT DH]]</f>
        <v>181962.71999999991</v>
      </c>
      <c r="G12" s="724"/>
      <c r="H12" s="725">
        <f>H11-Table7[[#This Row],[PAYMENT EM]]</f>
        <v>779315.5</v>
      </c>
      <c r="I12" s="776">
        <v>25000</v>
      </c>
      <c r="J12" s="805">
        <f>J11-Table7[[#This Row],[PAYMEN FR]]</f>
        <v>-9284.5</v>
      </c>
      <c r="K12" s="724"/>
      <c r="L12" s="725">
        <f>L11-Table7[[#This Row],[PAYMENT TE]]</f>
        <v>214333.5</v>
      </c>
      <c r="M12" s="724"/>
      <c r="N12" s="725">
        <f>N11-Table7[[#This Row],[PAYMENT GE]]</f>
        <v>150221.5</v>
      </c>
      <c r="O12" s="724"/>
      <c r="P12" s="725">
        <f>P11-Table7[[#This Row],[PAYMENT LH2]]</f>
        <v>16290</v>
      </c>
      <c r="Q12" s="724"/>
      <c r="R12" s="725">
        <f>R11-Table7[[#This Row],[PAYMENTBT]]</f>
        <v>44400</v>
      </c>
      <c r="S12" s="724"/>
      <c r="T12" s="741">
        <f t="shared" si="1"/>
        <v>476680</v>
      </c>
      <c r="U12" s="724"/>
      <c r="V12" s="725">
        <f>V11-Table7[[#This Row],[PAYMENT ML]]</f>
        <v>192482</v>
      </c>
      <c r="W12" s="724"/>
      <c r="X12" s="842">
        <f t="shared" si="2"/>
        <v>119315</v>
      </c>
      <c r="Y12" s="842"/>
      <c r="Z12" s="842">
        <f t="shared" si="0"/>
        <v>114240</v>
      </c>
      <c r="AA12" s="842"/>
      <c r="AB12" s="842">
        <f t="shared" si="3"/>
        <v>77185</v>
      </c>
      <c r="AC12" s="842"/>
      <c r="AD12" s="842">
        <f t="shared" si="4"/>
        <v>30000</v>
      </c>
      <c r="AE12" s="842"/>
      <c r="AF12" s="842">
        <f t="shared" si="5"/>
        <v>12000</v>
      </c>
    </row>
    <row r="13" spans="1:32" ht="30.6" customHeight="1" x14ac:dyDescent="0.35">
      <c r="C13" s="901" t="s">
        <v>978</v>
      </c>
      <c r="D13" s="902" t="s">
        <v>979</v>
      </c>
      <c r="E13" s="879"/>
      <c r="F13" s="725">
        <f>F12-Table7[[#This Row],[PAYMENT DH]]</f>
        <v>181962.71999999991</v>
      </c>
      <c r="G13" s="724"/>
      <c r="H13" s="725">
        <f>H12-Table7[[#This Row],[PAYMENT EM]]</f>
        <v>779315.5</v>
      </c>
      <c r="I13" s="775"/>
      <c r="J13" s="725">
        <f>J12-Table7[[#This Row],[PAYMEN FR]]</f>
        <v>-9284.5</v>
      </c>
      <c r="K13" s="724"/>
      <c r="L13" s="725">
        <f>L12-Table7[[#This Row],[PAYMENT TE]]</f>
        <v>214333.5</v>
      </c>
      <c r="M13" s="786">
        <v>30000</v>
      </c>
      <c r="N13" s="785">
        <f>N12-Table7[[#This Row],[PAYMENT GE]]</f>
        <v>120221.5</v>
      </c>
      <c r="O13" s="724"/>
      <c r="P13" s="725">
        <f>P12-Table7[[#This Row],[PAYMENT LH2]]</f>
        <v>16290</v>
      </c>
      <c r="Q13" s="724"/>
      <c r="R13" s="725">
        <f>R12-Table7[[#This Row],[PAYMENTBT]]</f>
        <v>44400</v>
      </c>
      <c r="S13" s="724"/>
      <c r="T13" s="737">
        <f t="shared" si="1"/>
        <v>476680</v>
      </c>
      <c r="U13" s="724"/>
      <c r="V13" s="725">
        <f>V12-Table7[[#This Row],[PAYMENT ML]]</f>
        <v>192482</v>
      </c>
      <c r="W13" s="724"/>
      <c r="X13" s="843">
        <f t="shared" si="2"/>
        <v>119315</v>
      </c>
      <c r="Y13" s="843"/>
      <c r="Z13" s="843">
        <f t="shared" si="0"/>
        <v>114240</v>
      </c>
      <c r="AA13" s="843"/>
      <c r="AB13" s="843">
        <f t="shared" si="3"/>
        <v>77185</v>
      </c>
      <c r="AC13" s="843"/>
      <c r="AD13" s="843">
        <f t="shared" si="4"/>
        <v>30000</v>
      </c>
      <c r="AE13" s="843"/>
      <c r="AF13" s="843">
        <f t="shared" si="5"/>
        <v>12000</v>
      </c>
    </row>
    <row r="14" spans="1:32" ht="30.6" customHeight="1" x14ac:dyDescent="0.35">
      <c r="C14" s="903" t="s">
        <v>980</v>
      </c>
      <c r="D14" s="902" t="s">
        <v>981</v>
      </c>
      <c r="E14" s="879"/>
      <c r="F14" s="725">
        <f>F13-Table7[[#This Row],[PAYMENT DH]]</f>
        <v>181962.71999999991</v>
      </c>
      <c r="G14" s="724"/>
      <c r="H14" s="725">
        <f>H13-Table7[[#This Row],[PAYMENT EM]]</f>
        <v>779315.5</v>
      </c>
      <c r="I14" s="775"/>
      <c r="J14" s="725">
        <f>J13-Table7[[#This Row],[PAYMEN FR]]</f>
        <v>-9284.5</v>
      </c>
      <c r="K14" s="724"/>
      <c r="L14" s="725">
        <f>L13-Table7[[#This Row],[PAYMENT TE]]</f>
        <v>214333.5</v>
      </c>
      <c r="M14" s="784">
        <v>47965</v>
      </c>
      <c r="N14" s="785">
        <f>N13-Table7[[#This Row],[PAYMENT GE]]</f>
        <v>72256.5</v>
      </c>
      <c r="O14" s="724"/>
      <c r="P14" s="725">
        <f>P13-Table7[[#This Row],[PAYMENT LH2]]</f>
        <v>16290</v>
      </c>
      <c r="Q14" s="724"/>
      <c r="R14" s="725">
        <f>R13-Table7[[#This Row],[PAYMENTBT]]</f>
        <v>44400</v>
      </c>
      <c r="S14" s="724"/>
      <c r="T14" s="741">
        <f t="shared" si="1"/>
        <v>476680</v>
      </c>
      <c r="U14" s="724"/>
      <c r="V14" s="725">
        <f>V13-Table7[[#This Row],[PAYMENT ML]]</f>
        <v>192482</v>
      </c>
      <c r="W14" s="724"/>
      <c r="X14" s="842">
        <f t="shared" si="2"/>
        <v>119315</v>
      </c>
      <c r="Y14" s="842"/>
      <c r="Z14" s="842">
        <f t="shared" si="0"/>
        <v>114240</v>
      </c>
      <c r="AA14" s="842"/>
      <c r="AB14" s="842">
        <f t="shared" si="3"/>
        <v>77185</v>
      </c>
      <c r="AC14" s="842"/>
      <c r="AD14" s="842">
        <f t="shared" si="4"/>
        <v>30000</v>
      </c>
      <c r="AE14" s="842"/>
      <c r="AF14" s="842">
        <f t="shared" si="5"/>
        <v>12000</v>
      </c>
    </row>
    <row r="15" spans="1:32" ht="30.6" customHeight="1" x14ac:dyDescent="0.35">
      <c r="A15" s="828"/>
      <c r="B15"/>
      <c r="C15" s="892" t="s">
        <v>969</v>
      </c>
      <c r="D15" s="891" t="s">
        <v>982</v>
      </c>
      <c r="E15" s="879"/>
      <c r="F15" s="725">
        <f>F14-Table7[[#This Row],[PAYMENT DH]]</f>
        <v>181962.71999999991</v>
      </c>
      <c r="G15" s="724"/>
      <c r="H15" s="725">
        <f>H14-Table7[[#This Row],[PAYMENT EM]]</f>
        <v>779315.5</v>
      </c>
      <c r="I15" s="775"/>
      <c r="J15" s="725">
        <f>J14-Table7[[#This Row],[PAYMEN FR]]</f>
        <v>-9284.5</v>
      </c>
      <c r="K15" s="724"/>
      <c r="L15" s="725">
        <f>L14-Table7[[#This Row],[PAYMENT TE]]</f>
        <v>214333.5</v>
      </c>
      <c r="M15" s="724"/>
      <c r="N15" s="725">
        <f>N14-Table7[[#This Row],[PAYMENT GE]]</f>
        <v>72256.5</v>
      </c>
      <c r="O15" s="788">
        <v>11175</v>
      </c>
      <c r="P15" s="789">
        <f>P14-Table7[[#This Row],[PAYMENT LH2]]</f>
        <v>5115</v>
      </c>
      <c r="Q15" s="724"/>
      <c r="R15" s="725">
        <f>R14-Table7[[#This Row],[PAYMENTBT]]</f>
        <v>44400</v>
      </c>
      <c r="S15" s="724"/>
      <c r="T15" s="737">
        <f t="shared" si="1"/>
        <v>476680</v>
      </c>
      <c r="U15" s="724"/>
      <c r="V15" s="725">
        <f>V14-Table7[[#This Row],[PAYMENT ML]]</f>
        <v>192482</v>
      </c>
      <c r="W15" s="724"/>
      <c r="X15" s="843">
        <f t="shared" si="2"/>
        <v>119315</v>
      </c>
      <c r="Y15" s="843"/>
      <c r="Z15" s="843">
        <f t="shared" si="0"/>
        <v>114240</v>
      </c>
      <c r="AA15" s="843"/>
      <c r="AB15" s="843">
        <f t="shared" si="3"/>
        <v>77185</v>
      </c>
      <c r="AC15" s="843"/>
      <c r="AD15" s="843">
        <f t="shared" si="4"/>
        <v>30000</v>
      </c>
      <c r="AE15" s="843"/>
      <c r="AF15" s="843">
        <f t="shared" si="5"/>
        <v>12000</v>
      </c>
    </row>
    <row r="16" spans="1:32" customFormat="1" ht="30.6" customHeight="1" x14ac:dyDescent="0.35">
      <c r="A16" s="828"/>
      <c r="C16" s="904" t="s">
        <v>983</v>
      </c>
      <c r="D16" s="905" t="s">
        <v>984</v>
      </c>
      <c r="E16" s="879"/>
      <c r="F16" s="725">
        <f>F15-Table7[[#This Row],[PAYMENT DH]]</f>
        <v>181962.71999999991</v>
      </c>
      <c r="G16" s="769">
        <v>323838.5</v>
      </c>
      <c r="H16" s="824">
        <f>H15-Table7[[#This Row],[PAYMENT EM]]</f>
        <v>455477</v>
      </c>
      <c r="I16" s="775"/>
      <c r="J16" s="725">
        <f>J15-Table7[[#This Row],[PAYMEN FR]]</f>
        <v>-9284.5</v>
      </c>
      <c r="K16" s="724"/>
      <c r="L16" s="725">
        <f>L15-Table7[[#This Row],[PAYMENT TE]]</f>
        <v>214333.5</v>
      </c>
      <c r="M16" s="724"/>
      <c r="N16" s="725">
        <f>N15-Table7[[#This Row],[PAYMENT GE]]</f>
        <v>72256.5</v>
      </c>
      <c r="O16" s="724"/>
      <c r="P16" s="725">
        <f>P15-Table7[[#This Row],[PAYMENT LH2]]</f>
        <v>5115</v>
      </c>
      <c r="Q16" s="724"/>
      <c r="R16" s="725">
        <f>R15-Table7[[#This Row],[PAYMENTBT]]</f>
        <v>44400</v>
      </c>
      <c r="S16" s="724"/>
      <c r="T16" s="741">
        <f t="shared" si="1"/>
        <v>476680</v>
      </c>
      <c r="U16" s="724"/>
      <c r="V16" s="725">
        <f>V15-Table7[[#This Row],[PAYMENT ML]]</f>
        <v>192482</v>
      </c>
      <c r="W16" s="724"/>
      <c r="X16" s="842">
        <f t="shared" si="2"/>
        <v>119315</v>
      </c>
      <c r="Y16" s="842"/>
      <c r="Z16" s="842">
        <f t="shared" si="0"/>
        <v>114240</v>
      </c>
      <c r="AA16" s="842"/>
      <c r="AB16" s="842">
        <f t="shared" si="3"/>
        <v>77185</v>
      </c>
      <c r="AC16" s="842"/>
      <c r="AD16" s="842">
        <f t="shared" si="4"/>
        <v>30000</v>
      </c>
      <c r="AE16" s="842"/>
      <c r="AF16" s="842">
        <f t="shared" si="5"/>
        <v>12000</v>
      </c>
    </row>
    <row r="17" spans="1:32" customFormat="1" ht="30.6" customHeight="1" x14ac:dyDescent="0.35">
      <c r="A17" s="828"/>
      <c r="C17" s="906" t="s">
        <v>969</v>
      </c>
      <c r="D17" s="897" t="s">
        <v>985</v>
      </c>
      <c r="E17" s="879"/>
      <c r="F17" s="725">
        <f>F16-Table7[[#This Row],[PAYMENT DH]]</f>
        <v>181962.71999999991</v>
      </c>
      <c r="G17" s="724"/>
      <c r="H17" s="725">
        <f>H16-Table7[[#This Row],[PAYMENT EM]]</f>
        <v>455477</v>
      </c>
      <c r="I17" s="775"/>
      <c r="J17" s="725">
        <f>J16-Table7[[#This Row],[PAYMEN FR]]</f>
        <v>-9284.5</v>
      </c>
      <c r="K17" s="724"/>
      <c r="L17" s="725">
        <f>L16-Table7[[#This Row],[PAYMENT TE]]</f>
        <v>214333.5</v>
      </c>
      <c r="M17" s="724"/>
      <c r="N17" s="725">
        <f>N16-Table7[[#This Row],[PAYMENT GE]]</f>
        <v>72256.5</v>
      </c>
      <c r="O17" s="724"/>
      <c r="P17" s="725">
        <f>P16-Table7[[#This Row],[PAYMENT LH2]]</f>
        <v>5115</v>
      </c>
      <c r="Q17" s="793">
        <v>27000</v>
      </c>
      <c r="R17" s="794">
        <f>R16-Table7[[#This Row],[PAYMENTBT]]</f>
        <v>17400</v>
      </c>
      <c r="S17" s="724"/>
      <c r="T17" s="737">
        <f t="shared" si="1"/>
        <v>476680</v>
      </c>
      <c r="U17" s="724"/>
      <c r="V17" s="725">
        <f>V16-Table7[[#This Row],[PAYMENT ML]]</f>
        <v>192482</v>
      </c>
      <c r="W17" s="724"/>
      <c r="X17" s="843">
        <f t="shared" si="2"/>
        <v>119315</v>
      </c>
      <c r="Y17" s="843"/>
      <c r="Z17" s="843">
        <f t="shared" si="0"/>
        <v>114240</v>
      </c>
      <c r="AA17" s="843"/>
      <c r="AB17" s="843">
        <f t="shared" si="3"/>
        <v>77185</v>
      </c>
      <c r="AC17" s="843"/>
      <c r="AD17" s="843">
        <f t="shared" si="4"/>
        <v>30000</v>
      </c>
      <c r="AE17" s="843"/>
      <c r="AF17" s="843">
        <f t="shared" si="5"/>
        <v>12000</v>
      </c>
    </row>
    <row r="18" spans="1:32" customFormat="1" ht="30.6" customHeight="1" x14ac:dyDescent="0.35">
      <c r="A18" s="828"/>
      <c r="C18" s="907" t="s">
        <v>498</v>
      </c>
      <c r="D18" s="889" t="s">
        <v>986</v>
      </c>
      <c r="E18" s="879"/>
      <c r="F18" s="725">
        <f>F17-Table7[[#This Row],[PAYMENT DH]]</f>
        <v>181962.71999999991</v>
      </c>
      <c r="G18" s="724"/>
      <c r="H18" s="725">
        <f>H17-Table7[[#This Row],[PAYMENT EM]]</f>
        <v>455477</v>
      </c>
      <c r="I18" s="775"/>
      <c r="J18" s="725">
        <f>J17-Table7[[#This Row],[PAYMEN FR]]</f>
        <v>-9284.5</v>
      </c>
      <c r="K18" s="782">
        <v>23000</v>
      </c>
      <c r="L18" s="781">
        <f>L17-Table7[[#This Row],[PAYMENT TE]]</f>
        <v>191333.5</v>
      </c>
      <c r="M18" s="724"/>
      <c r="N18" s="725">
        <f>N17-Table7[[#This Row],[PAYMENT GE]]</f>
        <v>72256.5</v>
      </c>
      <c r="O18" s="724"/>
      <c r="P18" s="725">
        <f>P17-Table7[[#This Row],[PAYMENT LH2]]</f>
        <v>5115</v>
      </c>
      <c r="Q18" s="724"/>
      <c r="R18" s="725">
        <f>R17-Table7[[#This Row],[PAYMENTBT]]</f>
        <v>17400</v>
      </c>
      <c r="S18" s="724"/>
      <c r="T18" s="741">
        <f t="shared" si="1"/>
        <v>476680</v>
      </c>
      <c r="U18" s="724"/>
      <c r="V18" s="725">
        <f>V17-Table7[[#This Row],[PAYMENT ML]]</f>
        <v>192482</v>
      </c>
      <c r="W18" s="724"/>
      <c r="X18" s="842">
        <f t="shared" si="2"/>
        <v>119315</v>
      </c>
      <c r="Y18" s="842"/>
      <c r="Z18" s="842">
        <f t="shared" si="0"/>
        <v>114240</v>
      </c>
      <c r="AA18" s="842"/>
      <c r="AB18" s="842">
        <f t="shared" si="3"/>
        <v>77185</v>
      </c>
      <c r="AC18" s="842"/>
      <c r="AD18" s="842">
        <f t="shared" si="4"/>
        <v>30000</v>
      </c>
      <c r="AE18" s="842"/>
      <c r="AF18" s="842">
        <f t="shared" si="5"/>
        <v>12000</v>
      </c>
    </row>
    <row r="19" spans="1:32" customFormat="1" ht="30.6" customHeight="1" x14ac:dyDescent="0.35">
      <c r="A19" s="828"/>
      <c r="C19" s="908" t="s">
        <v>987</v>
      </c>
      <c r="D19" s="905" t="s">
        <v>988</v>
      </c>
      <c r="E19" s="879"/>
      <c r="F19" s="725">
        <f>F18-Table7[[#This Row],[PAYMENT DH]]</f>
        <v>181962.71999999991</v>
      </c>
      <c r="G19" s="769">
        <v>130057</v>
      </c>
      <c r="H19" s="824">
        <f>H18-Table7[[#This Row],[PAYMENT EM]]</f>
        <v>325420</v>
      </c>
      <c r="I19" s="775"/>
      <c r="J19" s="725">
        <f>J18-Table7[[#This Row],[PAYMEN FR]]</f>
        <v>-9284.5</v>
      </c>
      <c r="K19" s="724"/>
      <c r="L19" s="725">
        <f>L18-Table7[[#This Row],[PAYMENT TE]]</f>
        <v>191333.5</v>
      </c>
      <c r="M19" s="724"/>
      <c r="N19" s="725">
        <f>N18-Table7[[#This Row],[PAYMENT GE]]</f>
        <v>72256.5</v>
      </c>
      <c r="O19" s="724"/>
      <c r="P19" s="725">
        <f>P18-Table7[[#This Row],[PAYMENT LH2]]</f>
        <v>5115</v>
      </c>
      <c r="Q19" s="724"/>
      <c r="R19" s="725">
        <f>R18-Table7[[#This Row],[PAYMENTBT]]</f>
        <v>17400</v>
      </c>
      <c r="S19" s="724"/>
      <c r="T19" s="737">
        <f t="shared" si="1"/>
        <v>476680</v>
      </c>
      <c r="U19" s="724"/>
      <c r="V19" s="725">
        <f>V18-Table7[[#This Row],[PAYMENT ML]]</f>
        <v>192482</v>
      </c>
      <c r="W19" s="724"/>
      <c r="X19" s="843">
        <f t="shared" si="2"/>
        <v>119315</v>
      </c>
      <c r="Y19" s="843"/>
      <c r="Z19" s="843">
        <f t="shared" si="0"/>
        <v>114240</v>
      </c>
      <c r="AA19" s="843"/>
      <c r="AB19" s="843">
        <f t="shared" si="3"/>
        <v>77185</v>
      </c>
      <c r="AC19" s="843"/>
      <c r="AD19" s="843">
        <f t="shared" si="4"/>
        <v>30000</v>
      </c>
      <c r="AE19" s="843"/>
      <c r="AF19" s="843">
        <f t="shared" si="5"/>
        <v>12000</v>
      </c>
    </row>
    <row r="20" spans="1:32" customFormat="1" ht="30.6" customHeight="1" x14ac:dyDescent="0.35">
      <c r="A20" s="828"/>
      <c r="C20" s="907" t="s">
        <v>969</v>
      </c>
      <c r="D20" s="889" t="s">
        <v>989</v>
      </c>
      <c r="E20" s="879"/>
      <c r="F20" s="725">
        <f>F19-Table7[[#This Row],[PAYMENT DH]]</f>
        <v>181962.71999999991</v>
      </c>
      <c r="G20" s="724"/>
      <c r="H20" s="725">
        <f>H19-Table7[[#This Row],[PAYMENT EM]]</f>
        <v>325420</v>
      </c>
      <c r="I20" s="775"/>
      <c r="J20" s="725">
        <f>J19-Table7[[#This Row],[PAYMEN FR]]</f>
        <v>-9284.5</v>
      </c>
      <c r="K20" s="782">
        <v>30800</v>
      </c>
      <c r="L20" s="781">
        <f>L19-Table7[[#This Row],[PAYMENT TE]]</f>
        <v>160533.5</v>
      </c>
      <c r="M20" s="724"/>
      <c r="N20" s="725">
        <f>N19-Table7[[#This Row],[PAYMENT GE]]</f>
        <v>72256.5</v>
      </c>
      <c r="O20" s="724"/>
      <c r="P20" s="725">
        <f>P19-Table7[[#This Row],[PAYMENT LH2]]</f>
        <v>5115</v>
      </c>
      <c r="Q20" s="724"/>
      <c r="R20" s="725">
        <f>R19-Table7[[#This Row],[PAYMENTBT]]</f>
        <v>17400</v>
      </c>
      <c r="S20" s="724"/>
      <c r="T20" s="741">
        <f t="shared" si="1"/>
        <v>476680</v>
      </c>
      <c r="U20" s="724"/>
      <c r="V20" s="725">
        <f>V19-Table7[[#This Row],[PAYMENT ML]]</f>
        <v>192482</v>
      </c>
      <c r="W20" s="724"/>
      <c r="X20" s="842">
        <f t="shared" si="2"/>
        <v>119315</v>
      </c>
      <c r="Y20" s="842"/>
      <c r="Z20" s="842">
        <f t="shared" si="0"/>
        <v>114240</v>
      </c>
      <c r="AA20" s="842"/>
      <c r="AB20" s="842">
        <f t="shared" si="3"/>
        <v>77185</v>
      </c>
      <c r="AC20" s="842"/>
      <c r="AD20" s="842">
        <f t="shared" si="4"/>
        <v>30000</v>
      </c>
      <c r="AE20" s="842"/>
      <c r="AF20" s="842">
        <f t="shared" si="5"/>
        <v>12000</v>
      </c>
    </row>
    <row r="21" spans="1:32" customFormat="1" ht="30.6" customHeight="1" x14ac:dyDescent="0.35">
      <c r="A21" s="828"/>
      <c r="C21" s="895" t="s">
        <v>990</v>
      </c>
      <c r="D21" s="894" t="s">
        <v>991</v>
      </c>
      <c r="E21" s="880">
        <v>93000</v>
      </c>
      <c r="F21" s="762">
        <f>F20-Table7[[#This Row],[PAYMENT DH]]</f>
        <v>88962.719999999914</v>
      </c>
      <c r="G21" s="724"/>
      <c r="H21" s="725">
        <f>H20-Table7[[#This Row],[PAYMENT EM]]</f>
        <v>325420</v>
      </c>
      <c r="I21" s="775"/>
      <c r="J21" s="725">
        <f>J20-Table7[[#This Row],[PAYMEN FR]]</f>
        <v>-9284.5</v>
      </c>
      <c r="K21" s="724"/>
      <c r="L21" s="725">
        <f>L20-Table7[[#This Row],[PAYMENT TE]]</f>
        <v>160533.5</v>
      </c>
      <c r="M21" s="724"/>
      <c r="N21" s="725">
        <f>N20-Table7[[#This Row],[PAYMENT GE]]</f>
        <v>72256.5</v>
      </c>
      <c r="O21" s="724"/>
      <c r="P21" s="725">
        <f>P20-Table7[[#This Row],[PAYMENT LH2]]</f>
        <v>5115</v>
      </c>
      <c r="Q21" s="724"/>
      <c r="R21" s="725">
        <f>R20-Table7[[#This Row],[PAYMENTBT]]</f>
        <v>17400</v>
      </c>
      <c r="S21" s="724"/>
      <c r="T21" s="737">
        <f t="shared" si="1"/>
        <v>476680</v>
      </c>
      <c r="U21" s="724"/>
      <c r="V21" s="725">
        <f>V20-Table7[[#This Row],[PAYMENT ML]]</f>
        <v>192482</v>
      </c>
      <c r="W21" s="724"/>
      <c r="X21" s="843">
        <f t="shared" si="2"/>
        <v>119315</v>
      </c>
      <c r="Y21" s="843"/>
      <c r="Z21" s="843">
        <f t="shared" si="0"/>
        <v>114240</v>
      </c>
      <c r="AA21" s="843"/>
      <c r="AB21" s="843">
        <f t="shared" si="3"/>
        <v>77185</v>
      </c>
      <c r="AC21" s="843"/>
      <c r="AD21" s="843">
        <f t="shared" si="4"/>
        <v>30000</v>
      </c>
      <c r="AE21" s="843"/>
      <c r="AF21" s="843">
        <f t="shared" si="5"/>
        <v>12000</v>
      </c>
    </row>
    <row r="22" spans="1:32" customFormat="1" ht="30.6" customHeight="1" x14ac:dyDescent="0.35">
      <c r="A22" s="828"/>
      <c r="C22" s="893" t="s">
        <v>969</v>
      </c>
      <c r="D22" s="894" t="s">
        <v>992</v>
      </c>
      <c r="E22" s="880">
        <v>75000</v>
      </c>
      <c r="F22" s="762">
        <f>F21-Table7[[#This Row],[PAYMENT DH]]</f>
        <v>13962.719999999914</v>
      </c>
      <c r="G22" s="724"/>
      <c r="H22" s="725">
        <f>H21-Table7[[#This Row],[PAYMENT EM]]</f>
        <v>325420</v>
      </c>
      <c r="I22" s="775"/>
      <c r="J22" s="725">
        <f>J21-Table7[[#This Row],[PAYMEN FR]]</f>
        <v>-9284.5</v>
      </c>
      <c r="K22" s="724"/>
      <c r="L22" s="725">
        <f>L21-Table7[[#This Row],[PAYMENT TE]]</f>
        <v>160533.5</v>
      </c>
      <c r="M22" s="724"/>
      <c r="N22" s="725">
        <f>N21-Table7[[#This Row],[PAYMENT GE]]</f>
        <v>72256.5</v>
      </c>
      <c r="O22" s="724"/>
      <c r="P22" s="725">
        <f>P21-Table7[[#This Row],[PAYMENT LH2]]</f>
        <v>5115</v>
      </c>
      <c r="Q22" s="724"/>
      <c r="R22" s="725">
        <f>R21-Table7[[#This Row],[PAYMENTBT]]</f>
        <v>17400</v>
      </c>
      <c r="S22" s="724"/>
      <c r="T22" s="741">
        <f t="shared" si="1"/>
        <v>476680</v>
      </c>
      <c r="U22" s="724"/>
      <c r="V22" s="725">
        <f>V21-Table7[[#This Row],[PAYMENT ML]]</f>
        <v>192482</v>
      </c>
      <c r="W22" s="724"/>
      <c r="X22" s="842">
        <f t="shared" si="2"/>
        <v>119315</v>
      </c>
      <c r="Y22" s="842"/>
      <c r="Z22" s="842">
        <f t="shared" si="0"/>
        <v>114240</v>
      </c>
      <c r="AA22" s="842"/>
      <c r="AB22" s="842">
        <f t="shared" si="3"/>
        <v>77185</v>
      </c>
      <c r="AC22" s="842"/>
      <c r="AD22" s="842">
        <f t="shared" si="4"/>
        <v>30000</v>
      </c>
      <c r="AE22" s="842"/>
      <c r="AF22" s="842">
        <f t="shared" si="5"/>
        <v>12000</v>
      </c>
    </row>
    <row r="23" spans="1:32" customFormat="1" ht="30.6" customHeight="1" x14ac:dyDescent="0.35">
      <c r="A23" s="828"/>
      <c r="C23" s="909" t="s">
        <v>969</v>
      </c>
      <c r="D23" s="894"/>
      <c r="E23" s="880">
        <v>25000</v>
      </c>
      <c r="F23" s="762">
        <f>F22-Table7[[#This Row],[PAYMENT DH]]</f>
        <v>-11037.280000000086</v>
      </c>
      <c r="G23" s="724"/>
      <c r="H23" s="725">
        <f>H22-Table7[[#This Row],[PAYMENT EM]]</f>
        <v>325420</v>
      </c>
      <c r="I23" s="775"/>
      <c r="J23" s="725">
        <f>J22-Table7[[#This Row],[PAYMEN FR]]</f>
        <v>-9284.5</v>
      </c>
      <c r="K23" s="724"/>
      <c r="L23" s="725">
        <f>L22-Table7[[#This Row],[PAYMENT TE]]</f>
        <v>160533.5</v>
      </c>
      <c r="M23" s="724"/>
      <c r="N23" s="725">
        <f>N22-Table7[[#This Row],[PAYMENT GE]]</f>
        <v>72256.5</v>
      </c>
      <c r="O23" s="724"/>
      <c r="P23" s="725">
        <f>P22-Table7[[#This Row],[PAYMENT LH2]]</f>
        <v>5115</v>
      </c>
      <c r="Q23" s="724"/>
      <c r="R23" s="725">
        <f>R22-Table7[[#This Row],[PAYMENTBT]]</f>
        <v>17400</v>
      </c>
      <c r="S23" s="724"/>
      <c r="T23" s="737">
        <f t="shared" si="1"/>
        <v>476680</v>
      </c>
      <c r="U23" s="724"/>
      <c r="V23" s="725">
        <f>V22-Table7[[#This Row],[PAYMENT ML]]</f>
        <v>192482</v>
      </c>
      <c r="W23" s="724"/>
      <c r="X23" s="843">
        <f t="shared" si="2"/>
        <v>119315</v>
      </c>
      <c r="Y23" s="843"/>
      <c r="Z23" s="843">
        <f t="shared" si="0"/>
        <v>114240</v>
      </c>
      <c r="AA23" s="843"/>
      <c r="AB23" s="843">
        <f t="shared" si="3"/>
        <v>77185</v>
      </c>
      <c r="AC23" s="843"/>
      <c r="AD23" s="843">
        <f t="shared" si="4"/>
        <v>30000</v>
      </c>
      <c r="AE23" s="843"/>
      <c r="AF23" s="843">
        <f t="shared" si="5"/>
        <v>12000</v>
      </c>
    </row>
    <row r="24" spans="1:32" customFormat="1" ht="30.6" customHeight="1" x14ac:dyDescent="0.35">
      <c r="A24" s="828"/>
      <c r="C24" s="1055" t="s">
        <v>967</v>
      </c>
      <c r="D24" s="1054" t="s">
        <v>1348</v>
      </c>
      <c r="E24" s="879"/>
      <c r="F24" s="725">
        <f>F23-Table7[[#This Row],[PAYMENT DH]]</f>
        <v>-11037.280000000086</v>
      </c>
      <c r="G24" s="724"/>
      <c r="H24" s="725">
        <f>H23-Table7[[#This Row],[PAYMENT EM]]</f>
        <v>325420</v>
      </c>
      <c r="I24" s="775"/>
      <c r="J24" s="725">
        <f>J23-Table7[[#This Row],[PAYMEN FR]]</f>
        <v>-9284.5</v>
      </c>
      <c r="K24" s="724"/>
      <c r="L24" s="725">
        <f>L23-Table7[[#This Row],[PAYMENT TE]]</f>
        <v>160533.5</v>
      </c>
      <c r="M24" s="724"/>
      <c r="N24" s="725">
        <f>N23-Table7[[#This Row],[PAYMENT GE]]</f>
        <v>72256.5</v>
      </c>
      <c r="O24" s="724"/>
      <c r="P24" s="725">
        <f>P23-Table7[[#This Row],[PAYMENT LH2]]</f>
        <v>5115</v>
      </c>
      <c r="Q24" s="724"/>
      <c r="R24" s="725">
        <f>R23-Table7[[#This Row],[PAYMENTBT]]</f>
        <v>17400</v>
      </c>
      <c r="S24" s="735">
        <v>79100</v>
      </c>
      <c r="T24" s="741">
        <f t="shared" si="1"/>
        <v>397580</v>
      </c>
      <c r="U24" s="724"/>
      <c r="V24" s="725">
        <f>V23-Table7[[#This Row],[PAYMENT ML]]</f>
        <v>192482</v>
      </c>
      <c r="W24" s="724"/>
      <c r="X24" s="842">
        <f t="shared" si="2"/>
        <v>119315</v>
      </c>
      <c r="Y24" s="842"/>
      <c r="Z24" s="842">
        <f t="shared" si="0"/>
        <v>114240</v>
      </c>
      <c r="AA24" s="842"/>
      <c r="AB24" s="842">
        <f t="shared" si="3"/>
        <v>77185</v>
      </c>
      <c r="AC24" s="842"/>
      <c r="AD24" s="842">
        <f t="shared" si="4"/>
        <v>30000</v>
      </c>
      <c r="AE24" s="842"/>
      <c r="AF24" s="842">
        <f t="shared" si="5"/>
        <v>12000</v>
      </c>
    </row>
    <row r="25" spans="1:32" customFormat="1" ht="30.6" customHeight="1" x14ac:dyDescent="0.35">
      <c r="A25" s="828"/>
      <c r="C25" s="1056" t="s">
        <v>1350</v>
      </c>
      <c r="D25" s="1054" t="s">
        <v>1349</v>
      </c>
      <c r="E25" s="879"/>
      <c r="F25" s="725">
        <f>F24-Table7[[#This Row],[PAYMENT DH]]</f>
        <v>-11037.280000000086</v>
      </c>
      <c r="G25" s="724"/>
      <c r="H25" s="725">
        <f>H24-Table7[[#This Row],[PAYMENT EM]]</f>
        <v>325420</v>
      </c>
      <c r="I25" s="775"/>
      <c r="J25" s="725">
        <f>J24-Table7[[#This Row],[PAYMEN FR]]</f>
        <v>-9284.5</v>
      </c>
      <c r="K25" s="724"/>
      <c r="L25" s="725">
        <f>L24-Table7[[#This Row],[PAYMENT TE]]</f>
        <v>160533.5</v>
      </c>
      <c r="M25" s="724"/>
      <c r="N25" s="725">
        <f>N24-Table7[[#This Row],[PAYMENT GE]]</f>
        <v>72256.5</v>
      </c>
      <c r="O25" s="724"/>
      <c r="P25" s="725">
        <f>P24-Table7[[#This Row],[PAYMENT LH2]]</f>
        <v>5115</v>
      </c>
      <c r="Q25" s="724"/>
      <c r="R25" s="725">
        <f>R24-Table7[[#This Row],[PAYMENTBT]]</f>
        <v>17400</v>
      </c>
      <c r="S25" s="735">
        <v>375580</v>
      </c>
      <c r="T25" s="737">
        <f t="shared" si="1"/>
        <v>22000</v>
      </c>
      <c r="U25" s="724"/>
      <c r="V25" s="725">
        <f>V24-Table7[[#This Row],[PAYMENT ML]]</f>
        <v>192482</v>
      </c>
      <c r="W25" s="724"/>
      <c r="X25" s="843">
        <f t="shared" si="2"/>
        <v>119315</v>
      </c>
      <c r="Y25" s="843"/>
      <c r="Z25" s="843">
        <f t="shared" si="0"/>
        <v>114240</v>
      </c>
      <c r="AA25" s="843"/>
      <c r="AB25" s="843">
        <f t="shared" si="3"/>
        <v>77185</v>
      </c>
      <c r="AC25" s="843"/>
      <c r="AD25" s="843">
        <f t="shared" si="4"/>
        <v>30000</v>
      </c>
      <c r="AE25" s="843"/>
      <c r="AF25" s="843">
        <f t="shared" si="5"/>
        <v>12000</v>
      </c>
    </row>
    <row r="26" spans="1:32" customFormat="1" ht="30.6" customHeight="1" x14ac:dyDescent="0.35">
      <c r="A26" s="828"/>
      <c r="C26" s="910"/>
      <c r="D26" s="911"/>
      <c r="E26" s="879"/>
      <c r="F26" s="725">
        <f>F25-Table7[[#This Row],[PAYMENT DH]]</f>
        <v>-11037.280000000086</v>
      </c>
      <c r="G26" s="724"/>
      <c r="H26" s="725">
        <f>H25-Table7[[#This Row],[PAYMENT EM]]</f>
        <v>325420</v>
      </c>
      <c r="I26" s="775"/>
      <c r="J26" s="725">
        <f>J25-Table7[[#This Row],[PAYMEN FR]]</f>
        <v>-9284.5</v>
      </c>
      <c r="K26" s="724"/>
      <c r="L26" s="725">
        <f>L25-Table7[[#This Row],[PAYMENT TE]]</f>
        <v>160533.5</v>
      </c>
      <c r="M26" s="724"/>
      <c r="N26" s="725">
        <f>N25-Table7[[#This Row],[PAYMENT GE]]</f>
        <v>72256.5</v>
      </c>
      <c r="O26" s="724"/>
      <c r="P26" s="725">
        <f>P25-Table7[[#This Row],[PAYMENT LH2]]</f>
        <v>5115</v>
      </c>
      <c r="Q26" s="724"/>
      <c r="R26" s="725">
        <f>R25-Table7[[#This Row],[PAYMENTBT]]</f>
        <v>17400</v>
      </c>
      <c r="S26" s="724"/>
      <c r="T26" s="741">
        <f t="shared" si="1"/>
        <v>22000</v>
      </c>
      <c r="U26" s="724"/>
      <c r="V26" s="725">
        <f>V25-Table7[[#This Row],[PAYMENT ML]]</f>
        <v>192482</v>
      </c>
      <c r="W26" s="724"/>
      <c r="X26" s="842">
        <f t="shared" si="2"/>
        <v>119315</v>
      </c>
      <c r="Y26" s="842"/>
      <c r="Z26" s="842">
        <f t="shared" si="0"/>
        <v>114240</v>
      </c>
      <c r="AA26" s="842"/>
      <c r="AB26" s="842">
        <f t="shared" si="3"/>
        <v>77185</v>
      </c>
      <c r="AC26" s="842"/>
      <c r="AD26" s="842">
        <f t="shared" si="4"/>
        <v>30000</v>
      </c>
      <c r="AE26" s="842"/>
      <c r="AF26" s="842">
        <f t="shared" si="5"/>
        <v>12000</v>
      </c>
    </row>
    <row r="27" spans="1:32" customFormat="1" ht="30.6" customHeight="1" x14ac:dyDescent="0.35">
      <c r="A27" s="828"/>
      <c r="C27" s="912"/>
      <c r="D27" s="911"/>
      <c r="E27" s="879"/>
      <c r="F27" s="725">
        <f>F26-Table7[[#This Row],[PAYMENT DH]]</f>
        <v>-11037.280000000086</v>
      </c>
      <c r="G27" s="724"/>
      <c r="H27" s="725">
        <f>H26-Table7[[#This Row],[PAYMENT EM]]</f>
        <v>325420</v>
      </c>
      <c r="I27" s="775"/>
      <c r="J27" s="725">
        <f>J26-Table7[[#This Row],[PAYMEN FR]]</f>
        <v>-9284.5</v>
      </c>
      <c r="K27" s="724"/>
      <c r="L27" s="725">
        <f>L26-Table7[[#This Row],[PAYMENT TE]]</f>
        <v>160533.5</v>
      </c>
      <c r="M27" s="724"/>
      <c r="N27" s="725">
        <f>N26-Table7[[#This Row],[PAYMENT GE]]</f>
        <v>72256.5</v>
      </c>
      <c r="O27" s="724"/>
      <c r="P27" s="725">
        <f>P26-Table7[[#This Row],[PAYMENT LH2]]</f>
        <v>5115</v>
      </c>
      <c r="Q27" s="724"/>
      <c r="R27" s="725">
        <f>R26-Table7[[#This Row],[PAYMENTBT]]</f>
        <v>17400</v>
      </c>
      <c r="S27" s="724"/>
      <c r="T27" s="737">
        <f t="shared" si="1"/>
        <v>22000</v>
      </c>
      <c r="U27" s="724"/>
      <c r="V27" s="725">
        <f>V26-Table7[[#This Row],[PAYMENT ML]]</f>
        <v>192482</v>
      </c>
      <c r="W27" s="724"/>
      <c r="X27" s="843">
        <f t="shared" si="2"/>
        <v>119315</v>
      </c>
      <c r="Y27" s="843"/>
      <c r="Z27" s="843">
        <f t="shared" si="0"/>
        <v>114240</v>
      </c>
      <c r="AA27" s="843"/>
      <c r="AB27" s="843">
        <f t="shared" si="3"/>
        <v>77185</v>
      </c>
      <c r="AC27" s="843"/>
      <c r="AD27" s="843">
        <f t="shared" si="4"/>
        <v>30000</v>
      </c>
      <c r="AE27" s="843"/>
      <c r="AF27" s="843">
        <f t="shared" si="5"/>
        <v>12000</v>
      </c>
    </row>
    <row r="28" spans="1:32" customFormat="1" ht="30.6" customHeight="1" x14ac:dyDescent="0.35">
      <c r="A28" s="828"/>
      <c r="C28" s="910"/>
      <c r="D28" s="911"/>
      <c r="E28" s="879"/>
      <c r="F28" s="725">
        <f>F27-Table7[[#This Row],[PAYMENT DH]]</f>
        <v>-11037.280000000086</v>
      </c>
      <c r="G28" s="724"/>
      <c r="H28" s="725">
        <f>H27-Table7[[#This Row],[PAYMENT EM]]</f>
        <v>325420</v>
      </c>
      <c r="I28" s="775"/>
      <c r="J28" s="725">
        <f>J27-Table7[[#This Row],[PAYMEN FR]]</f>
        <v>-9284.5</v>
      </c>
      <c r="K28" s="724"/>
      <c r="L28" s="725">
        <f>L27-Table7[[#This Row],[PAYMENT TE]]</f>
        <v>160533.5</v>
      </c>
      <c r="M28" s="724"/>
      <c r="N28" s="725">
        <f>N27-Table7[[#This Row],[PAYMENT GE]]</f>
        <v>72256.5</v>
      </c>
      <c r="O28" s="724"/>
      <c r="P28" s="725">
        <f>P27-Table7[[#This Row],[PAYMENT LH2]]</f>
        <v>5115</v>
      </c>
      <c r="Q28" s="724"/>
      <c r="R28" s="725">
        <f>R27-Table7[[#This Row],[PAYMENTBT]]</f>
        <v>17400</v>
      </c>
      <c r="S28" s="724"/>
      <c r="T28" s="741">
        <f t="shared" si="1"/>
        <v>22000</v>
      </c>
      <c r="U28" s="724"/>
      <c r="V28" s="725">
        <f>V27-Table7[[#This Row],[PAYMENT ML]]</f>
        <v>192482</v>
      </c>
      <c r="W28" s="724"/>
      <c r="X28" s="842">
        <f t="shared" si="2"/>
        <v>119315</v>
      </c>
      <c r="Y28" s="842"/>
      <c r="Z28" s="842">
        <f t="shared" si="0"/>
        <v>114240</v>
      </c>
      <c r="AA28" s="842"/>
      <c r="AB28" s="842">
        <f t="shared" si="3"/>
        <v>77185</v>
      </c>
      <c r="AC28" s="842"/>
      <c r="AD28" s="842">
        <f t="shared" si="4"/>
        <v>30000</v>
      </c>
      <c r="AE28" s="842"/>
      <c r="AF28" s="842">
        <f t="shared" si="5"/>
        <v>12000</v>
      </c>
    </row>
    <row r="29" spans="1:32" customFormat="1" ht="30.6" customHeight="1" x14ac:dyDescent="0.35">
      <c r="A29" s="828"/>
      <c r="C29" s="912"/>
      <c r="D29" s="911"/>
      <c r="E29" s="881"/>
      <c r="F29" s="725">
        <f>F28-Table7[[#This Row],[PAYMENT DH]]</f>
        <v>-11037.280000000086</v>
      </c>
      <c r="G29" s="738"/>
      <c r="H29" s="725">
        <f>H28-Table7[[#This Row],[PAYMENT EM]]</f>
        <v>325420</v>
      </c>
      <c r="I29" s="775"/>
      <c r="J29" s="725">
        <f>J28-Table7[[#This Row],[PAYMEN FR]]</f>
        <v>-9284.5</v>
      </c>
      <c r="K29" s="724"/>
      <c r="L29" s="725">
        <f>L28-Table7[[#This Row],[PAYMENT TE]]</f>
        <v>160533.5</v>
      </c>
      <c r="M29" s="724"/>
      <c r="N29" s="725">
        <f>N28-Table7[[#This Row],[PAYMENT GE]]</f>
        <v>72256.5</v>
      </c>
      <c r="O29" s="724"/>
      <c r="P29" s="725">
        <f>P28-Table7[[#This Row],[PAYMENT LH2]]</f>
        <v>5115</v>
      </c>
      <c r="Q29" s="724"/>
      <c r="R29" s="725">
        <f>R28-Table7[[#This Row],[PAYMENTBT]]</f>
        <v>17400</v>
      </c>
      <c r="S29" s="724"/>
      <c r="T29" s="737">
        <f t="shared" si="1"/>
        <v>22000</v>
      </c>
      <c r="U29" s="724"/>
      <c r="V29" s="725">
        <f>V28-Table7[[#This Row],[PAYMENT ML]]</f>
        <v>192482</v>
      </c>
      <c r="W29" s="724"/>
      <c r="X29" s="846">
        <f t="shared" si="2"/>
        <v>119315</v>
      </c>
      <c r="Y29" s="846"/>
      <c r="Z29" s="846">
        <f t="shared" si="0"/>
        <v>114240</v>
      </c>
      <c r="AA29" s="846"/>
      <c r="AB29" s="846">
        <f t="shared" si="3"/>
        <v>77185</v>
      </c>
      <c r="AC29" s="846"/>
      <c r="AD29" s="846">
        <f t="shared" si="4"/>
        <v>30000</v>
      </c>
      <c r="AE29" s="846"/>
      <c r="AF29" s="846">
        <f t="shared" si="5"/>
        <v>12000</v>
      </c>
    </row>
    <row r="30" spans="1:32" customFormat="1" ht="30.6" customHeight="1" x14ac:dyDescent="0.3">
      <c r="A30" s="828"/>
      <c r="C30" s="913"/>
      <c r="D30" s="810"/>
      <c r="E30" s="742"/>
      <c r="F30" s="764"/>
      <c r="G30" s="763"/>
      <c r="H30" s="764"/>
      <c r="I30" s="763"/>
      <c r="J30" s="764"/>
      <c r="K30" s="763"/>
      <c r="L30" s="764"/>
      <c r="M30" s="763"/>
      <c r="N30" s="764"/>
      <c r="O30" s="763"/>
      <c r="P30" s="764"/>
      <c r="Q30" s="763"/>
      <c r="R30" s="764"/>
      <c r="S30" s="756"/>
      <c r="T30" s="740"/>
      <c r="U30" s="763"/>
      <c r="V30" s="740"/>
      <c r="W30" s="756"/>
      <c r="X30" s="740"/>
      <c r="Y30" s="756"/>
      <c r="Z30" s="740"/>
      <c r="AA30" s="757"/>
      <c r="AC30" s="757"/>
      <c r="AD30" s="758"/>
    </row>
    <row r="31" spans="1:32" customFormat="1" ht="30.6" customHeight="1" x14ac:dyDescent="0.3">
      <c r="A31" s="829"/>
      <c r="B31" s="748"/>
      <c r="C31" s="913"/>
      <c r="D31" s="810"/>
      <c r="E31" s="742"/>
      <c r="F31" s="764"/>
      <c r="G31" s="763"/>
      <c r="H31" s="764"/>
      <c r="I31" s="763"/>
      <c r="J31" s="764"/>
      <c r="K31" s="763"/>
      <c r="L31" s="764"/>
      <c r="M31" s="763"/>
      <c r="N31" s="764"/>
      <c r="O31" s="763"/>
      <c r="P31" s="764"/>
      <c r="Q31" s="763"/>
      <c r="R31" s="764"/>
      <c r="S31" s="756"/>
      <c r="T31" s="740"/>
      <c r="U31" s="763"/>
      <c r="V31" s="740"/>
      <c r="W31" s="756"/>
      <c r="X31" s="740"/>
      <c r="Y31" s="756"/>
      <c r="Z31" s="740"/>
      <c r="AA31" s="757"/>
      <c r="AC31" s="757"/>
      <c r="AD31" s="758"/>
    </row>
    <row r="32" spans="1:32" s="748" customFormat="1" ht="30.6" customHeight="1" x14ac:dyDescent="0.3">
      <c r="A32" s="829"/>
      <c r="C32" s="913"/>
      <c r="D32" s="810"/>
      <c r="E32" s="742"/>
      <c r="F32" s="764"/>
      <c r="G32" s="763"/>
      <c r="H32" s="764"/>
      <c r="I32" s="763"/>
      <c r="J32" s="764"/>
      <c r="K32" s="763"/>
      <c r="L32" s="764"/>
      <c r="M32" s="763"/>
      <c r="N32" s="764"/>
      <c r="O32" s="763"/>
      <c r="P32" s="764"/>
      <c r="Q32" s="763"/>
      <c r="R32" s="764"/>
      <c r="S32" s="756"/>
      <c r="T32" s="740"/>
      <c r="U32" s="763"/>
      <c r="V32" s="740"/>
      <c r="W32" s="756"/>
      <c r="X32" s="740"/>
      <c r="Y32" s="756"/>
      <c r="Z32" s="740"/>
      <c r="AA32" s="757"/>
      <c r="AB32"/>
      <c r="AC32" s="809"/>
      <c r="AD32" s="810"/>
      <c r="AF32"/>
    </row>
    <row r="33" spans="1:32" s="748" customFormat="1" ht="30.6" customHeight="1" x14ac:dyDescent="0.3">
      <c r="A33" s="829"/>
      <c r="C33" s="913"/>
      <c r="D33" s="810"/>
      <c r="E33" s="742"/>
      <c r="F33" s="764"/>
      <c r="G33" s="763"/>
      <c r="H33" s="764"/>
      <c r="I33" s="763"/>
      <c r="J33" s="764"/>
      <c r="K33" s="763"/>
      <c r="L33" s="764"/>
      <c r="M33" s="763"/>
      <c r="N33" s="764"/>
      <c r="O33" s="763"/>
      <c r="P33" s="764"/>
      <c r="Q33" s="763"/>
      <c r="R33" s="764"/>
      <c r="S33" s="756"/>
      <c r="T33" s="740"/>
      <c r="U33" s="763"/>
      <c r="V33" s="740"/>
      <c r="W33" s="756"/>
      <c r="X33" s="740"/>
      <c r="Y33" s="756"/>
      <c r="Z33" s="740"/>
      <c r="AA33" s="757"/>
      <c r="AB33"/>
      <c r="AC33" s="809"/>
      <c r="AD33" s="810"/>
      <c r="AF33"/>
    </row>
    <row r="34" spans="1:32" s="748" customFormat="1" ht="30.6" customHeight="1" x14ac:dyDescent="0.3">
      <c r="A34" s="829"/>
      <c r="C34" s="913"/>
      <c r="D34" s="810"/>
      <c r="E34" s="742"/>
      <c r="F34" s="764"/>
      <c r="G34" s="763"/>
      <c r="H34" s="764"/>
      <c r="I34" s="763"/>
      <c r="J34" s="764"/>
      <c r="K34" s="763"/>
      <c r="L34" s="764"/>
      <c r="M34" s="763"/>
      <c r="N34" s="764"/>
      <c r="O34" s="763"/>
      <c r="P34" s="764"/>
      <c r="Q34" s="763"/>
      <c r="R34" s="764"/>
      <c r="S34" s="756"/>
      <c r="T34" s="740"/>
      <c r="U34" s="763"/>
      <c r="V34" s="740"/>
      <c r="W34" s="756"/>
      <c r="X34" s="740"/>
      <c r="Y34" s="756"/>
      <c r="Z34" s="740"/>
      <c r="AA34" s="757"/>
      <c r="AB34"/>
      <c r="AC34" s="809"/>
      <c r="AD34" s="810"/>
      <c r="AF34"/>
    </row>
    <row r="35" spans="1:32" s="748" customFormat="1" ht="30.6" customHeight="1" x14ac:dyDescent="0.3">
      <c r="A35" s="829"/>
      <c r="C35" s="913"/>
      <c r="D35" s="810"/>
      <c r="E35" s="742"/>
      <c r="F35" s="764"/>
      <c r="G35" s="763"/>
      <c r="H35" s="764"/>
      <c r="I35" s="763"/>
      <c r="J35" s="764"/>
      <c r="K35" s="763"/>
      <c r="L35" s="764"/>
      <c r="M35" s="763"/>
      <c r="N35" s="764"/>
      <c r="O35" s="763"/>
      <c r="P35" s="764"/>
      <c r="Q35" s="763"/>
      <c r="R35" s="764"/>
      <c r="S35" s="756"/>
      <c r="T35" s="740"/>
      <c r="U35" s="763"/>
      <c r="V35" s="740"/>
      <c r="W35" s="756"/>
      <c r="X35" s="740"/>
      <c r="Y35" s="756"/>
      <c r="Z35" s="740"/>
      <c r="AA35" s="757"/>
      <c r="AB35"/>
      <c r="AC35" s="809"/>
      <c r="AD35" s="810"/>
      <c r="AF35"/>
    </row>
    <row r="36" spans="1:32" s="748" customFormat="1" ht="30.6" customHeight="1" x14ac:dyDescent="0.3">
      <c r="A36" s="829"/>
      <c r="C36" s="913"/>
      <c r="D36" s="810"/>
      <c r="E36" s="742"/>
      <c r="F36" s="764"/>
      <c r="G36" s="763"/>
      <c r="H36" s="764"/>
      <c r="I36" s="763"/>
      <c r="J36" s="764"/>
      <c r="K36" s="763"/>
      <c r="L36" s="764"/>
      <c r="M36" s="763"/>
      <c r="N36" s="764"/>
      <c r="O36" s="763"/>
      <c r="P36" s="764"/>
      <c r="Q36" s="763"/>
      <c r="R36" s="764"/>
      <c r="S36" s="756"/>
      <c r="T36" s="740"/>
      <c r="U36" s="763"/>
      <c r="V36" s="740"/>
      <c r="W36" s="756"/>
      <c r="X36" s="740"/>
      <c r="Y36" s="756"/>
      <c r="Z36" s="740"/>
      <c r="AA36" s="757"/>
      <c r="AB36"/>
      <c r="AC36" s="809"/>
      <c r="AD36" s="810"/>
      <c r="AF36"/>
    </row>
    <row r="37" spans="1:32" s="748" customFormat="1" ht="30.6" customHeight="1" x14ac:dyDescent="0.3">
      <c r="A37" s="827"/>
      <c r="B37" s="742"/>
      <c r="C37" s="913"/>
      <c r="D37" s="810"/>
      <c r="E37" s="742"/>
      <c r="F37" s="764"/>
      <c r="G37" s="763"/>
      <c r="H37" s="764"/>
      <c r="I37" s="763"/>
      <c r="J37" s="764"/>
      <c r="K37" s="763"/>
      <c r="L37" s="764"/>
      <c r="M37" s="763"/>
      <c r="N37" s="764"/>
      <c r="O37" s="763"/>
      <c r="P37" s="764"/>
      <c r="Q37" s="763"/>
      <c r="R37" s="764"/>
      <c r="S37" s="756"/>
      <c r="T37" s="740"/>
      <c r="U37" s="763"/>
      <c r="V37" s="740"/>
      <c r="W37" s="756"/>
      <c r="X37" s="740"/>
      <c r="Y37" s="756"/>
      <c r="Z37" s="740"/>
      <c r="AA37" s="757"/>
      <c r="AB37"/>
      <c r="AC37" s="809"/>
      <c r="AD37" s="810"/>
      <c r="AF37"/>
    </row>
  </sheetData>
  <mergeCells count="2">
    <mergeCell ref="C2:D2"/>
    <mergeCell ref="A4:B4"/>
  </mergeCells>
  <phoneticPr fontId="3" type="noConversion"/>
  <dataValidations count="2">
    <dataValidation allowBlank="1" showInputMessage="1" showErrorMessage="1" prompt="Enter bill amount in this column under this heading" sqref="E3 G3 K3 O3 I3 Q3 M3" xr:uid="{D3ADC917-C569-4A7D-B968-DB6D90B9EA93}"/>
    <dataValidation allowBlank="1" showInputMessage="1" showErrorMessage="1" prompt="Use the dropdown in this column to mark if a bill is already paid. Press ALT+DOWN ARROW for options, then DOWN ARROW and ENTER to make selection." sqref="F3 H3 J3 L3:P3 R3:AB3" xr:uid="{ADB65ED1-A40F-4EB3-87DB-E7ABC7866986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A53F-5178-4083-8DA5-B71FA5596C9B}">
  <sheetPr>
    <tabColor rgb="FF7030A0"/>
  </sheetPr>
  <dimension ref="A1:HR95"/>
  <sheetViews>
    <sheetView zoomScale="145" zoomScaleNormal="145" workbookViewId="0">
      <pane ySplit="5" topLeftCell="A69" activePane="bottomLeft" state="frozen"/>
      <selection activeCell="B2" sqref="B2"/>
      <selection pane="bottomLeft" activeCell="C78" sqref="C78"/>
    </sheetView>
  </sheetViews>
  <sheetFormatPr defaultColWidth="8.25" defaultRowHeight="15" x14ac:dyDescent="0.25"/>
  <cols>
    <col min="1" max="1" width="10.625" style="621" bestFit="1" customWidth="1"/>
    <col min="2" max="2" width="12.75" style="614" bestFit="1" customWidth="1"/>
    <col min="3" max="3" width="13.75" style="614" bestFit="1" customWidth="1"/>
    <col min="4" max="4" width="14.5" bestFit="1" customWidth="1"/>
    <col min="5" max="5" width="6.125" style="648" bestFit="1" customWidth="1"/>
    <col min="6" max="6" width="11.875" style="618" bestFit="1" customWidth="1"/>
    <col min="7" max="7" width="11.25" style="625" bestFit="1" customWidth="1"/>
    <col min="8" max="8" width="15.375" style="651" customWidth="1"/>
    <col min="9" max="9" width="8.875" style="614" bestFit="1" customWidth="1"/>
    <col min="10" max="10" width="15.25" style="614" customWidth="1"/>
    <col min="11" max="11" width="10.375" style="614" bestFit="1" customWidth="1"/>
    <col min="12" max="12" width="9.25" style="614" bestFit="1" customWidth="1"/>
    <col min="13" max="16384" width="8.25" style="614"/>
  </cols>
  <sheetData>
    <row r="1" spans="1:226" ht="24" customHeight="1" x14ac:dyDescent="0.25">
      <c r="A1" s="710" t="s">
        <v>483</v>
      </c>
      <c r="B1" s="1058">
        <v>825</v>
      </c>
      <c r="C1" s="711"/>
      <c r="D1" s="712"/>
      <c r="E1" s="711"/>
      <c r="I1" s="629"/>
      <c r="J1" s="708"/>
    </row>
    <row r="2" spans="1:226" x14ac:dyDescent="0.25">
      <c r="A2" s="713" t="s">
        <v>1459</v>
      </c>
      <c r="B2" s="706">
        <f>B3-B4</f>
        <v>-15416</v>
      </c>
      <c r="D2" s="707"/>
      <c r="E2" s="629"/>
      <c r="I2" s="629"/>
      <c r="J2" s="708"/>
    </row>
    <row r="3" spans="1:226" x14ac:dyDescent="0.25">
      <c r="A3" s="619" t="s">
        <v>484</v>
      </c>
      <c r="B3" s="620">
        <f>SUM(Table115[[#All],[$MSN IN]])</f>
        <v>294294</v>
      </c>
      <c r="D3" s="707"/>
      <c r="E3" s="629"/>
      <c r="I3" s="629"/>
      <c r="J3" s="709"/>
    </row>
    <row r="4" spans="1:226" x14ac:dyDescent="0.25">
      <c r="A4" s="622" t="s">
        <v>485</v>
      </c>
      <c r="B4" s="623">
        <f>SUM(Table115[TOTAL $])</f>
        <v>309710</v>
      </c>
      <c r="E4" s="614"/>
      <c r="G4" s="625" t="s">
        <v>463</v>
      </c>
      <c r="H4" s="626"/>
    </row>
    <row r="5" spans="1:226" s="631" customFormat="1" ht="13.5" x14ac:dyDescent="0.25">
      <c r="A5" s="696" t="s">
        <v>122</v>
      </c>
      <c r="B5" s="697" t="s">
        <v>464</v>
      </c>
      <c r="C5" s="698" t="s">
        <v>465</v>
      </c>
      <c r="D5" s="699" t="s">
        <v>466</v>
      </c>
      <c r="E5" s="700" t="s">
        <v>123</v>
      </c>
      <c r="F5" s="701" t="s">
        <v>468</v>
      </c>
      <c r="G5" s="702" t="s">
        <v>469</v>
      </c>
      <c r="H5" s="703" t="s">
        <v>470</v>
      </c>
      <c r="I5" s="704" t="s">
        <v>474</v>
      </c>
      <c r="J5" s="705" t="s">
        <v>128</v>
      </c>
    </row>
    <row r="6" spans="1:226" ht="13.5" x14ac:dyDescent="0.25">
      <c r="A6" s="652">
        <v>45945</v>
      </c>
      <c r="B6" s="653"/>
      <c r="C6" s="654" t="s">
        <v>486</v>
      </c>
      <c r="D6" s="654" t="s">
        <v>487</v>
      </c>
      <c r="E6" s="655">
        <v>1</v>
      </c>
      <c r="F6" s="656">
        <v>11000</v>
      </c>
      <c r="G6" s="657"/>
      <c r="H6" s="658">
        <f>Table115[[#This Row],[Q]]*Table115[[#This Row],[$MXN OUT]]</f>
        <v>0</v>
      </c>
      <c r="I6" s="660"/>
      <c r="J6" s="660"/>
      <c r="K6" s="661">
        <f>Table115[[#This Row],[$MSN IN]]-Table115[[#This Row],[$MXN OUT]]</f>
        <v>11000</v>
      </c>
    </row>
    <row r="7" spans="1:226" s="663" customFormat="1" ht="13.5" x14ac:dyDescent="0.25">
      <c r="A7" s="652"/>
      <c r="B7" s="662"/>
      <c r="C7" s="654" t="s">
        <v>486</v>
      </c>
      <c r="D7" s="654" t="s">
        <v>487</v>
      </c>
      <c r="E7" s="655">
        <v>1</v>
      </c>
      <c r="F7" s="656">
        <v>11000</v>
      </c>
      <c r="G7" s="657"/>
      <c r="H7" s="658">
        <f>Table115[[#This Row],[Q]]*Table115[[#This Row],[$MXN OUT]]</f>
        <v>0</v>
      </c>
      <c r="I7" s="660"/>
      <c r="J7" s="660"/>
      <c r="K7" s="661">
        <f>+K6+Table115[[#This Row],[$MSN IN]]-Table115[[#This Row],[$MXN OUT]]</f>
        <v>22000</v>
      </c>
      <c r="L7" s="614"/>
      <c r="M7" s="614"/>
      <c r="N7" s="614"/>
      <c r="O7" s="614"/>
      <c r="P7" s="614"/>
      <c r="Q7" s="614"/>
      <c r="R7" s="614"/>
      <c r="S7" s="614"/>
      <c r="T7" s="614"/>
      <c r="U7" s="614"/>
      <c r="V7" s="614"/>
      <c r="W7" s="614"/>
      <c r="X7" s="614"/>
      <c r="Y7" s="614"/>
      <c r="Z7" s="614"/>
      <c r="AA7" s="614"/>
      <c r="AB7" s="614"/>
      <c r="AC7" s="614"/>
      <c r="AD7" s="614"/>
      <c r="AE7" s="614"/>
      <c r="AF7" s="614"/>
      <c r="AG7" s="614"/>
      <c r="AH7" s="614"/>
      <c r="AI7" s="614"/>
      <c r="AJ7" s="614"/>
      <c r="AK7" s="614"/>
      <c r="AL7" s="614"/>
      <c r="AM7" s="614"/>
      <c r="AN7" s="614"/>
      <c r="AO7" s="614"/>
      <c r="AP7" s="614"/>
      <c r="AQ7" s="614"/>
      <c r="AR7" s="614"/>
      <c r="AS7" s="614"/>
      <c r="AT7" s="614"/>
      <c r="AU7" s="614"/>
      <c r="AV7" s="614"/>
      <c r="AW7" s="614"/>
      <c r="AX7" s="614"/>
      <c r="AY7" s="614"/>
      <c r="AZ7" s="614"/>
      <c r="BA7" s="614"/>
      <c r="BB7" s="614"/>
      <c r="BC7" s="614"/>
      <c r="BD7" s="614"/>
      <c r="BE7" s="614"/>
      <c r="BF7" s="614"/>
      <c r="BG7" s="614"/>
      <c r="BH7" s="614"/>
      <c r="BI7" s="614"/>
      <c r="BJ7" s="614"/>
      <c r="BK7" s="614"/>
      <c r="BL7" s="614"/>
      <c r="BM7" s="614"/>
      <c r="BN7" s="614"/>
      <c r="BO7" s="614"/>
      <c r="BP7" s="614"/>
      <c r="BQ7" s="614"/>
      <c r="BR7" s="614"/>
      <c r="BS7" s="614"/>
      <c r="BT7" s="614"/>
      <c r="BU7" s="614"/>
      <c r="BV7" s="614"/>
      <c r="BW7" s="614"/>
      <c r="BX7" s="614"/>
      <c r="BY7" s="614"/>
      <c r="BZ7" s="614"/>
      <c r="CA7" s="614"/>
      <c r="CB7" s="614"/>
      <c r="CC7" s="614"/>
      <c r="CD7" s="614"/>
      <c r="CE7" s="614"/>
      <c r="CF7" s="614"/>
      <c r="CG7" s="614"/>
      <c r="CH7" s="614"/>
      <c r="CI7" s="614"/>
      <c r="CJ7" s="614"/>
      <c r="CK7" s="614"/>
      <c r="CL7" s="614"/>
      <c r="CM7" s="614"/>
      <c r="CN7" s="614"/>
      <c r="CO7" s="614"/>
      <c r="CP7" s="614"/>
      <c r="CQ7" s="614"/>
      <c r="CR7" s="614"/>
      <c r="CS7" s="614"/>
      <c r="CT7" s="614"/>
      <c r="CU7" s="614"/>
      <c r="CV7" s="614"/>
      <c r="CW7" s="614"/>
      <c r="CX7" s="614"/>
      <c r="CY7" s="614"/>
      <c r="CZ7" s="614"/>
      <c r="DA7" s="614"/>
      <c r="DB7" s="614"/>
      <c r="DC7" s="614"/>
      <c r="DD7" s="614"/>
      <c r="DE7" s="614"/>
      <c r="DF7" s="614"/>
      <c r="DG7" s="614"/>
      <c r="DH7" s="614"/>
      <c r="DI7" s="614"/>
      <c r="DJ7" s="614"/>
      <c r="DK7" s="614"/>
      <c r="DL7" s="614"/>
      <c r="DM7" s="614"/>
      <c r="DN7" s="614"/>
      <c r="DO7" s="614"/>
      <c r="DP7" s="614"/>
      <c r="DQ7" s="614"/>
      <c r="DR7" s="614"/>
      <c r="DS7" s="614"/>
      <c r="DT7" s="614"/>
      <c r="DU7" s="614"/>
      <c r="DV7" s="614"/>
      <c r="DW7" s="614"/>
      <c r="DX7" s="614"/>
      <c r="DY7" s="614"/>
      <c r="DZ7" s="614"/>
      <c r="EA7" s="614"/>
      <c r="EB7" s="614"/>
      <c r="EC7" s="614"/>
      <c r="ED7" s="614"/>
      <c r="EE7" s="614"/>
      <c r="EF7" s="614"/>
      <c r="EG7" s="614"/>
      <c r="EH7" s="614"/>
      <c r="EI7" s="614"/>
      <c r="EJ7" s="614"/>
      <c r="EK7" s="614"/>
      <c r="EL7" s="614"/>
      <c r="EM7" s="614"/>
      <c r="EN7" s="614"/>
      <c r="EO7" s="614"/>
      <c r="EP7" s="614"/>
      <c r="EQ7" s="614"/>
      <c r="ER7" s="614"/>
      <c r="ES7" s="614"/>
      <c r="ET7" s="614"/>
      <c r="EU7" s="614"/>
      <c r="EV7" s="614"/>
      <c r="EW7" s="614"/>
      <c r="EX7" s="614"/>
      <c r="EY7" s="614"/>
      <c r="EZ7" s="614"/>
      <c r="FA7" s="614"/>
      <c r="FB7" s="614"/>
      <c r="FC7" s="614"/>
      <c r="FD7" s="614"/>
      <c r="FE7" s="614"/>
      <c r="FF7" s="614"/>
      <c r="FG7" s="614"/>
      <c r="FH7" s="614"/>
      <c r="FI7" s="614"/>
      <c r="FJ7" s="614"/>
      <c r="FK7" s="614"/>
      <c r="FL7" s="614"/>
      <c r="FM7" s="614"/>
      <c r="FN7" s="614"/>
      <c r="FO7" s="614"/>
      <c r="FP7" s="614"/>
      <c r="FQ7" s="614"/>
      <c r="FR7" s="614"/>
      <c r="FS7" s="614"/>
      <c r="FT7" s="614"/>
      <c r="FU7" s="614"/>
      <c r="FV7" s="614"/>
      <c r="FW7" s="614"/>
      <c r="FX7" s="614"/>
      <c r="FY7" s="614"/>
      <c r="FZ7" s="614"/>
      <c r="GA7" s="614"/>
      <c r="GB7" s="614"/>
      <c r="GC7" s="614"/>
      <c r="GD7" s="614"/>
      <c r="GE7" s="614"/>
      <c r="GF7" s="614"/>
      <c r="GG7" s="614"/>
      <c r="GH7" s="614"/>
      <c r="GI7" s="614"/>
      <c r="GJ7" s="614"/>
      <c r="GK7" s="614"/>
      <c r="GL7" s="614"/>
      <c r="GM7" s="614"/>
      <c r="GN7" s="614"/>
      <c r="GO7" s="614"/>
      <c r="GP7" s="614"/>
      <c r="GQ7" s="614"/>
      <c r="GR7" s="614"/>
      <c r="GS7" s="614"/>
      <c r="GT7" s="614"/>
      <c r="GU7" s="614"/>
      <c r="GV7" s="614"/>
      <c r="GW7" s="614"/>
      <c r="GX7" s="614"/>
      <c r="GY7" s="614"/>
      <c r="GZ7" s="614"/>
      <c r="HA7" s="614"/>
      <c r="HB7" s="614"/>
      <c r="HC7" s="614"/>
      <c r="HD7" s="614"/>
      <c r="HE7" s="614"/>
      <c r="HF7" s="614"/>
      <c r="HG7" s="614"/>
      <c r="HH7" s="614"/>
      <c r="HI7" s="614"/>
      <c r="HJ7" s="614"/>
      <c r="HK7" s="614"/>
      <c r="HL7" s="614"/>
      <c r="HM7" s="614"/>
      <c r="HN7" s="614"/>
      <c r="HO7" s="614"/>
      <c r="HP7" s="614"/>
      <c r="HQ7" s="614"/>
    </row>
    <row r="8" spans="1:226" s="663" customFormat="1" ht="13.5" x14ac:dyDescent="0.25">
      <c r="A8" s="652"/>
      <c r="B8" s="662"/>
      <c r="C8" s="654" t="s">
        <v>486</v>
      </c>
      <c r="D8" s="654" t="s">
        <v>487</v>
      </c>
      <c r="E8" s="655">
        <v>1</v>
      </c>
      <c r="F8" s="656">
        <v>12000</v>
      </c>
      <c r="G8" s="657"/>
      <c r="H8" s="658">
        <f>Table115[[#This Row],[Q]]*Table115[[#This Row],[$MXN OUT]]</f>
        <v>0</v>
      </c>
      <c r="I8" s="660"/>
      <c r="J8" s="660"/>
      <c r="K8" s="661">
        <f>+K7+Table115[[#This Row],[$MSN IN]]-Table115[[#This Row],[$MXN OUT]]</f>
        <v>34000</v>
      </c>
      <c r="L8" s="614"/>
      <c r="M8" s="614"/>
      <c r="N8" s="614"/>
      <c r="O8" s="614"/>
      <c r="P8" s="614"/>
      <c r="Q8" s="614"/>
      <c r="R8" s="614"/>
      <c r="S8" s="614"/>
      <c r="T8" s="614"/>
      <c r="U8" s="614"/>
      <c r="V8" s="614"/>
      <c r="W8" s="614"/>
      <c r="X8" s="614"/>
      <c r="Y8" s="614"/>
      <c r="Z8" s="614"/>
      <c r="AA8" s="614"/>
      <c r="AB8" s="614"/>
      <c r="AC8" s="614"/>
      <c r="AD8" s="614"/>
      <c r="AE8" s="614"/>
      <c r="AF8" s="614"/>
      <c r="AG8" s="614"/>
      <c r="AH8" s="614"/>
      <c r="AI8" s="614"/>
      <c r="AJ8" s="614"/>
      <c r="AK8" s="614"/>
      <c r="AL8" s="614"/>
      <c r="AM8" s="614"/>
      <c r="AN8" s="614"/>
      <c r="AO8" s="614"/>
      <c r="AP8" s="614"/>
      <c r="AQ8" s="614"/>
      <c r="AR8" s="614"/>
      <c r="AS8" s="614"/>
      <c r="AT8" s="614"/>
      <c r="AU8" s="614"/>
      <c r="AV8" s="614"/>
      <c r="AW8" s="614"/>
      <c r="AX8" s="614"/>
      <c r="AY8" s="614"/>
      <c r="AZ8" s="614"/>
      <c r="BA8" s="614"/>
      <c r="BB8" s="614"/>
      <c r="BC8" s="614"/>
      <c r="BD8" s="614"/>
      <c r="BE8" s="614"/>
      <c r="BF8" s="614"/>
      <c r="BG8" s="614"/>
      <c r="BH8" s="614"/>
      <c r="BI8" s="614"/>
      <c r="BJ8" s="614"/>
      <c r="BK8" s="614"/>
      <c r="BL8" s="614"/>
      <c r="BM8" s="614"/>
      <c r="BN8" s="614"/>
      <c r="BO8" s="614"/>
      <c r="BP8" s="614"/>
      <c r="BQ8" s="614"/>
      <c r="BR8" s="614"/>
      <c r="BS8" s="614"/>
      <c r="BT8" s="614"/>
      <c r="BU8" s="614"/>
      <c r="BV8" s="614"/>
      <c r="BW8" s="614"/>
      <c r="BX8" s="614"/>
      <c r="BY8" s="614"/>
      <c r="BZ8" s="614"/>
      <c r="CA8" s="614"/>
      <c r="CB8" s="614"/>
      <c r="CC8" s="614"/>
      <c r="CD8" s="614"/>
      <c r="CE8" s="614"/>
      <c r="CF8" s="614"/>
      <c r="CG8" s="614"/>
      <c r="CH8" s="614"/>
      <c r="CI8" s="614"/>
      <c r="CJ8" s="614"/>
      <c r="CK8" s="614"/>
      <c r="CL8" s="614"/>
      <c r="CM8" s="614"/>
      <c r="CN8" s="614"/>
      <c r="CO8" s="614"/>
      <c r="CP8" s="614"/>
      <c r="CQ8" s="614"/>
      <c r="CR8" s="614"/>
      <c r="CS8" s="614"/>
      <c r="CT8" s="614"/>
      <c r="CU8" s="614"/>
      <c r="CV8" s="614"/>
      <c r="CW8" s="614"/>
      <c r="CX8" s="614"/>
      <c r="CY8" s="614"/>
      <c r="CZ8" s="614"/>
      <c r="DA8" s="614"/>
      <c r="DB8" s="614"/>
      <c r="DC8" s="614"/>
      <c r="DD8" s="614"/>
      <c r="DE8" s="614"/>
      <c r="DF8" s="614"/>
      <c r="DG8" s="614"/>
      <c r="DH8" s="614"/>
      <c r="DI8" s="614"/>
      <c r="DJ8" s="614"/>
      <c r="DK8" s="614"/>
      <c r="DL8" s="614"/>
      <c r="DM8" s="614"/>
      <c r="DN8" s="614"/>
      <c r="DO8" s="614"/>
      <c r="DP8" s="614"/>
      <c r="DQ8" s="614"/>
      <c r="DR8" s="614"/>
      <c r="DS8" s="614"/>
      <c r="DT8" s="614"/>
      <c r="DU8" s="614"/>
      <c r="DV8" s="614"/>
      <c r="DW8" s="614"/>
      <c r="DX8" s="614"/>
      <c r="DY8" s="614"/>
      <c r="DZ8" s="614"/>
      <c r="EA8" s="614"/>
      <c r="EB8" s="614"/>
      <c r="EC8" s="614"/>
      <c r="ED8" s="614"/>
      <c r="EE8" s="614"/>
      <c r="EF8" s="614"/>
      <c r="EG8" s="614"/>
      <c r="EH8" s="614"/>
      <c r="EI8" s="614"/>
      <c r="EJ8" s="614"/>
      <c r="EK8" s="614"/>
      <c r="EL8" s="614"/>
      <c r="EM8" s="614"/>
      <c r="EN8" s="614"/>
      <c r="EO8" s="614"/>
      <c r="EP8" s="614"/>
      <c r="EQ8" s="614"/>
      <c r="ER8" s="614"/>
      <c r="ES8" s="614"/>
      <c r="ET8" s="614"/>
      <c r="EU8" s="614"/>
      <c r="EV8" s="614"/>
      <c r="EW8" s="614"/>
      <c r="EX8" s="614"/>
      <c r="EY8" s="614"/>
      <c r="EZ8" s="614"/>
      <c r="FA8" s="614"/>
      <c r="FB8" s="614"/>
      <c r="FC8" s="614"/>
      <c r="FD8" s="614"/>
      <c r="FE8" s="614"/>
      <c r="FF8" s="614"/>
      <c r="FG8" s="614"/>
      <c r="FH8" s="614"/>
      <c r="FI8" s="614"/>
      <c r="FJ8" s="614"/>
      <c r="FK8" s="614"/>
      <c r="FL8" s="614"/>
      <c r="FM8" s="614"/>
      <c r="FN8" s="614"/>
      <c r="FO8" s="614"/>
      <c r="FP8" s="614"/>
      <c r="FQ8" s="614"/>
      <c r="FR8" s="614"/>
      <c r="FS8" s="614"/>
      <c r="FT8" s="614"/>
      <c r="FU8" s="614"/>
      <c r="FV8" s="614"/>
      <c r="FW8" s="614"/>
      <c r="FX8" s="614"/>
      <c r="FY8" s="614"/>
      <c r="FZ8" s="614"/>
      <c r="GA8" s="614"/>
      <c r="GB8" s="614"/>
      <c r="GC8" s="614"/>
      <c r="GD8" s="614"/>
      <c r="GE8" s="614"/>
      <c r="GF8" s="614"/>
      <c r="GG8" s="614"/>
      <c r="GH8" s="614"/>
      <c r="GI8" s="614"/>
      <c r="GJ8" s="614"/>
      <c r="GK8" s="614"/>
      <c r="GL8" s="614"/>
      <c r="GM8" s="614"/>
      <c r="GN8" s="614"/>
      <c r="GO8" s="614"/>
      <c r="GP8" s="614"/>
      <c r="GQ8" s="614"/>
      <c r="GR8" s="614"/>
      <c r="GS8" s="614"/>
      <c r="GT8" s="614"/>
      <c r="GU8" s="614"/>
      <c r="GV8" s="614"/>
      <c r="GW8" s="614"/>
      <c r="GX8" s="614"/>
      <c r="GY8" s="614"/>
      <c r="GZ8" s="614"/>
      <c r="HA8" s="614"/>
      <c r="HB8" s="614"/>
      <c r="HC8" s="614"/>
      <c r="HD8" s="614"/>
      <c r="HE8" s="614"/>
      <c r="HF8" s="614"/>
      <c r="HG8" s="614"/>
      <c r="HH8" s="614"/>
      <c r="HI8" s="614"/>
      <c r="HJ8" s="614"/>
      <c r="HK8" s="614"/>
      <c r="HL8" s="614"/>
      <c r="HM8" s="614"/>
      <c r="HN8" s="614"/>
      <c r="HO8" s="614"/>
      <c r="HP8" s="614"/>
      <c r="HQ8" s="614"/>
    </row>
    <row r="9" spans="1:226" s="663" customFormat="1" ht="13.5" x14ac:dyDescent="0.25">
      <c r="A9" s="652"/>
      <c r="B9" s="662"/>
      <c r="C9" s="654" t="s">
        <v>486</v>
      </c>
      <c r="D9" s="654" t="s">
        <v>487</v>
      </c>
      <c r="E9" s="655">
        <v>1</v>
      </c>
      <c r="F9" s="656">
        <v>12000</v>
      </c>
      <c r="G9" s="657"/>
      <c r="H9" s="658">
        <f>Table115[[#This Row],[Q]]*Table115[[#This Row],[$MXN OUT]]</f>
        <v>0</v>
      </c>
      <c r="I9" s="660"/>
      <c r="J9" s="660"/>
      <c r="K9" s="661">
        <f>+K8+Table115[[#This Row],[$MSN IN]]-Table115[[#This Row],[$MXN OUT]]</f>
        <v>46000</v>
      </c>
      <c r="L9" s="614"/>
      <c r="M9" s="614"/>
      <c r="N9" s="614"/>
      <c r="O9" s="614"/>
      <c r="P9" s="614"/>
      <c r="Q9" s="614"/>
      <c r="R9" s="614"/>
      <c r="S9" s="614"/>
      <c r="T9" s="614"/>
      <c r="U9" s="614"/>
      <c r="V9" s="614"/>
      <c r="W9" s="614"/>
      <c r="X9" s="614"/>
      <c r="Y9" s="614"/>
      <c r="Z9" s="614"/>
      <c r="AA9" s="614"/>
      <c r="AB9" s="614"/>
      <c r="AC9" s="614"/>
      <c r="AD9" s="614"/>
      <c r="AE9" s="614"/>
      <c r="AF9" s="614"/>
      <c r="AG9" s="614"/>
      <c r="AH9" s="614"/>
      <c r="AI9" s="614"/>
      <c r="AJ9" s="614"/>
      <c r="AK9" s="614"/>
      <c r="AL9" s="614"/>
      <c r="AM9" s="614"/>
      <c r="AN9" s="614"/>
      <c r="AO9" s="614"/>
      <c r="AP9" s="614"/>
      <c r="AQ9" s="614"/>
      <c r="AR9" s="614"/>
      <c r="AS9" s="614"/>
      <c r="AT9" s="614"/>
      <c r="AU9" s="614"/>
      <c r="AV9" s="614"/>
      <c r="AW9" s="614"/>
      <c r="AX9" s="614"/>
      <c r="AY9" s="614"/>
      <c r="AZ9" s="614"/>
      <c r="BA9" s="614"/>
      <c r="BB9" s="614"/>
      <c r="BC9" s="614"/>
      <c r="BD9" s="614"/>
      <c r="BE9" s="614"/>
      <c r="BF9" s="614"/>
      <c r="BG9" s="614"/>
      <c r="BH9" s="614"/>
      <c r="BI9" s="614"/>
      <c r="BJ9" s="614"/>
      <c r="BK9" s="614"/>
      <c r="BL9" s="614"/>
      <c r="BM9" s="614"/>
      <c r="BN9" s="614"/>
      <c r="BO9" s="614"/>
      <c r="BP9" s="614"/>
      <c r="BQ9" s="614"/>
      <c r="BR9" s="614"/>
      <c r="BS9" s="614"/>
      <c r="BT9" s="614"/>
      <c r="BU9" s="614"/>
      <c r="BV9" s="614"/>
      <c r="BW9" s="614"/>
      <c r="BX9" s="614"/>
      <c r="BY9" s="614"/>
      <c r="BZ9" s="614"/>
      <c r="CA9" s="614"/>
      <c r="CB9" s="614"/>
      <c r="CC9" s="614"/>
      <c r="CD9" s="614"/>
      <c r="CE9" s="614"/>
      <c r="CF9" s="614"/>
      <c r="CG9" s="614"/>
      <c r="CH9" s="614"/>
      <c r="CI9" s="614"/>
      <c r="CJ9" s="614"/>
      <c r="CK9" s="614"/>
      <c r="CL9" s="614"/>
      <c r="CM9" s="614"/>
      <c r="CN9" s="614"/>
      <c r="CO9" s="614"/>
      <c r="CP9" s="614"/>
      <c r="CQ9" s="614"/>
      <c r="CR9" s="614"/>
      <c r="CS9" s="614"/>
      <c r="CT9" s="614"/>
      <c r="CU9" s="614"/>
      <c r="CV9" s="614"/>
      <c r="CW9" s="614"/>
      <c r="CX9" s="614"/>
      <c r="CY9" s="614"/>
      <c r="CZ9" s="614"/>
      <c r="DA9" s="614"/>
      <c r="DB9" s="614"/>
      <c r="DC9" s="614"/>
      <c r="DD9" s="614"/>
      <c r="DE9" s="614"/>
      <c r="DF9" s="614"/>
      <c r="DG9" s="614"/>
      <c r="DH9" s="614"/>
      <c r="DI9" s="614"/>
      <c r="DJ9" s="614"/>
      <c r="DK9" s="614"/>
      <c r="DL9" s="614"/>
      <c r="DM9" s="614"/>
      <c r="DN9" s="614"/>
      <c r="DO9" s="614"/>
      <c r="DP9" s="614"/>
      <c r="DQ9" s="614"/>
      <c r="DR9" s="614"/>
      <c r="DS9" s="614"/>
      <c r="DT9" s="614"/>
      <c r="DU9" s="614"/>
      <c r="DV9" s="614"/>
      <c r="DW9" s="614"/>
      <c r="DX9" s="614"/>
      <c r="DY9" s="614"/>
      <c r="DZ9" s="614"/>
      <c r="EA9" s="614"/>
      <c r="EB9" s="614"/>
      <c r="EC9" s="614"/>
      <c r="ED9" s="614"/>
      <c r="EE9" s="614"/>
      <c r="EF9" s="614"/>
      <c r="EG9" s="614"/>
      <c r="EH9" s="614"/>
      <c r="EI9" s="614"/>
      <c r="EJ9" s="614"/>
      <c r="EK9" s="614"/>
      <c r="EL9" s="614"/>
      <c r="EM9" s="614"/>
      <c r="EN9" s="614"/>
      <c r="EO9" s="614"/>
      <c r="EP9" s="614"/>
      <c r="EQ9" s="614"/>
      <c r="ER9" s="614"/>
      <c r="ES9" s="614"/>
      <c r="ET9" s="614"/>
      <c r="EU9" s="614"/>
      <c r="EV9" s="614"/>
      <c r="EW9" s="614"/>
      <c r="EX9" s="614"/>
      <c r="EY9" s="614"/>
      <c r="EZ9" s="614"/>
      <c r="FA9" s="614"/>
      <c r="FB9" s="614"/>
      <c r="FC9" s="614"/>
      <c r="FD9" s="614"/>
      <c r="FE9" s="614"/>
      <c r="FF9" s="614"/>
      <c r="FG9" s="614"/>
      <c r="FH9" s="614"/>
      <c r="FI9" s="614"/>
      <c r="FJ9" s="614"/>
      <c r="FK9" s="614"/>
      <c r="FL9" s="614"/>
      <c r="FM9" s="614"/>
      <c r="FN9" s="614"/>
      <c r="FO9" s="614"/>
      <c r="FP9" s="614"/>
      <c r="FQ9" s="614"/>
      <c r="FR9" s="614"/>
      <c r="FS9" s="614"/>
      <c r="FT9" s="614"/>
      <c r="FU9" s="614"/>
      <c r="FV9" s="614"/>
      <c r="FW9" s="614"/>
      <c r="FX9" s="614"/>
      <c r="FY9" s="614"/>
      <c r="FZ9" s="614"/>
      <c r="GA9" s="614"/>
      <c r="GB9" s="614"/>
      <c r="GC9" s="614"/>
      <c r="GD9" s="614"/>
      <c r="GE9" s="614"/>
      <c r="GF9" s="614"/>
      <c r="GG9" s="614"/>
      <c r="GH9" s="614"/>
      <c r="GI9" s="614"/>
      <c r="GJ9" s="614"/>
      <c r="GK9" s="614"/>
      <c r="GL9" s="614"/>
      <c r="GM9" s="614"/>
      <c r="GN9" s="614"/>
      <c r="GO9" s="614"/>
      <c r="GP9" s="614"/>
      <c r="GQ9" s="614"/>
      <c r="GR9" s="614"/>
      <c r="GS9" s="614"/>
      <c r="GT9" s="614"/>
      <c r="GU9" s="614"/>
      <c r="GV9" s="614"/>
      <c r="GW9" s="614"/>
      <c r="GX9" s="614"/>
      <c r="GY9" s="614"/>
      <c r="GZ9" s="614"/>
      <c r="HA9" s="614"/>
      <c r="HB9" s="614"/>
      <c r="HC9" s="614"/>
      <c r="HD9" s="614"/>
      <c r="HE9" s="614"/>
      <c r="HF9" s="614"/>
      <c r="HG9" s="614"/>
      <c r="HH9" s="614"/>
      <c r="HI9" s="614"/>
      <c r="HJ9" s="614"/>
      <c r="HK9" s="614"/>
      <c r="HL9" s="614"/>
      <c r="HM9" s="614"/>
      <c r="HN9" s="614"/>
      <c r="HO9" s="614"/>
      <c r="HP9" s="614"/>
      <c r="HQ9" s="614"/>
    </row>
    <row r="10" spans="1:226" s="663" customFormat="1" ht="13.5" x14ac:dyDescent="0.25">
      <c r="A10" s="652"/>
      <c r="B10" s="664" t="s">
        <v>488</v>
      </c>
      <c r="C10" s="664" t="s">
        <v>489</v>
      </c>
      <c r="D10" s="654" t="s">
        <v>490</v>
      </c>
      <c r="E10" s="655">
        <v>1</v>
      </c>
      <c r="F10" s="656"/>
      <c r="G10" s="657">
        <v>12000</v>
      </c>
      <c r="H10" s="658">
        <f>Table115[[#This Row],[Q]]*Table115[[#This Row],[$MXN OUT]]</f>
        <v>12000</v>
      </c>
      <c r="I10" s="660"/>
      <c r="J10" s="665"/>
      <c r="K10" s="661">
        <f>+K9+Table115[[#This Row],[$MSN IN]]-Table115[[#This Row],[$MXN OUT]]</f>
        <v>34000</v>
      </c>
      <c r="L10" s="614"/>
      <c r="M10" s="614"/>
      <c r="N10" s="614"/>
      <c r="O10" s="614"/>
      <c r="P10" s="614"/>
      <c r="Q10" s="614"/>
      <c r="R10" s="614"/>
      <c r="S10" s="614"/>
      <c r="T10" s="614"/>
      <c r="U10" s="614"/>
      <c r="V10" s="614"/>
      <c r="W10" s="614"/>
      <c r="X10" s="614"/>
      <c r="Y10" s="614"/>
      <c r="Z10" s="614"/>
      <c r="AA10" s="614"/>
      <c r="AB10" s="614"/>
      <c r="AC10" s="614"/>
      <c r="AD10" s="614"/>
      <c r="AE10" s="614"/>
      <c r="AF10" s="614"/>
      <c r="AG10" s="614"/>
      <c r="AH10" s="614"/>
      <c r="AI10" s="614"/>
      <c r="AJ10" s="614"/>
      <c r="AK10" s="614"/>
      <c r="AL10" s="614"/>
      <c r="AM10" s="614"/>
      <c r="AN10" s="614"/>
      <c r="AO10" s="614"/>
      <c r="AP10" s="614"/>
      <c r="AQ10" s="614"/>
      <c r="AR10" s="614"/>
      <c r="AS10" s="614"/>
      <c r="AT10" s="614"/>
      <c r="AU10" s="614"/>
      <c r="AV10" s="614"/>
      <c r="AW10" s="614"/>
      <c r="AX10" s="614"/>
      <c r="AY10" s="614"/>
      <c r="AZ10" s="614"/>
      <c r="BA10" s="614"/>
      <c r="BB10" s="614"/>
      <c r="BC10" s="614"/>
      <c r="BD10" s="614"/>
      <c r="BE10" s="614"/>
      <c r="BF10" s="614"/>
      <c r="BG10" s="614"/>
      <c r="BH10" s="614"/>
      <c r="BI10" s="614"/>
      <c r="BJ10" s="614"/>
      <c r="BK10" s="614"/>
      <c r="BL10" s="614"/>
      <c r="BM10" s="614"/>
      <c r="BN10" s="614"/>
      <c r="BO10" s="614"/>
      <c r="BP10" s="614"/>
      <c r="BQ10" s="614"/>
      <c r="BR10" s="614"/>
      <c r="BS10" s="614"/>
      <c r="BT10" s="614"/>
      <c r="BU10" s="614"/>
      <c r="BV10" s="614"/>
      <c r="BW10" s="614"/>
      <c r="BX10" s="614"/>
      <c r="BY10" s="614"/>
      <c r="BZ10" s="614"/>
      <c r="CA10" s="614"/>
      <c r="CB10" s="614"/>
      <c r="CC10" s="614"/>
      <c r="CD10" s="614"/>
      <c r="CE10" s="614"/>
      <c r="CF10" s="614"/>
      <c r="CG10" s="614"/>
      <c r="CH10" s="614"/>
      <c r="CI10" s="614"/>
      <c r="CJ10" s="614"/>
      <c r="CK10" s="614"/>
      <c r="CL10" s="614"/>
      <c r="CM10" s="614"/>
      <c r="CN10" s="614"/>
      <c r="CO10" s="614"/>
      <c r="CP10" s="614"/>
      <c r="CQ10" s="614"/>
      <c r="CR10" s="614"/>
      <c r="CS10" s="614"/>
      <c r="CT10" s="614"/>
      <c r="CU10" s="614"/>
      <c r="CV10" s="614"/>
      <c r="CW10" s="614"/>
      <c r="CX10" s="614"/>
      <c r="CY10" s="614"/>
      <c r="CZ10" s="614"/>
      <c r="DA10" s="614"/>
      <c r="DB10" s="614"/>
      <c r="DC10" s="614"/>
      <c r="DD10" s="614"/>
      <c r="DE10" s="614"/>
      <c r="DF10" s="614"/>
      <c r="DG10" s="614"/>
      <c r="DH10" s="614"/>
      <c r="DI10" s="614"/>
      <c r="DJ10" s="614"/>
      <c r="DK10" s="614"/>
      <c r="DL10" s="614"/>
      <c r="DM10" s="614"/>
      <c r="DN10" s="614"/>
      <c r="DO10" s="614"/>
      <c r="DP10" s="614"/>
      <c r="DQ10" s="614"/>
      <c r="DR10" s="614"/>
      <c r="DS10" s="614"/>
      <c r="DT10" s="614"/>
      <c r="DU10" s="614"/>
      <c r="DV10" s="614"/>
      <c r="DW10" s="614"/>
      <c r="DX10" s="614"/>
      <c r="DY10" s="614"/>
      <c r="DZ10" s="614"/>
      <c r="EA10" s="614"/>
      <c r="EB10" s="614"/>
      <c r="EC10" s="614"/>
      <c r="ED10" s="614"/>
      <c r="EE10" s="614"/>
      <c r="EF10" s="614"/>
      <c r="EG10" s="614"/>
      <c r="EH10" s="614"/>
      <c r="EI10" s="614"/>
      <c r="EJ10" s="614"/>
      <c r="EK10" s="614"/>
      <c r="EL10" s="614"/>
      <c r="EM10" s="614"/>
      <c r="EN10" s="614"/>
      <c r="EO10" s="614"/>
      <c r="EP10" s="614"/>
      <c r="EQ10" s="614"/>
      <c r="ER10" s="614"/>
      <c r="ES10" s="614"/>
      <c r="ET10" s="614"/>
      <c r="EU10" s="614"/>
      <c r="EV10" s="614"/>
      <c r="EW10" s="614"/>
      <c r="EX10" s="614"/>
      <c r="EY10" s="614"/>
      <c r="EZ10" s="614"/>
      <c r="FA10" s="614"/>
      <c r="FB10" s="614"/>
      <c r="FC10" s="614"/>
      <c r="FD10" s="614"/>
      <c r="FE10" s="614"/>
      <c r="FF10" s="614"/>
      <c r="FG10" s="614"/>
      <c r="FH10" s="614"/>
      <c r="FI10" s="614"/>
      <c r="FJ10" s="614"/>
      <c r="FK10" s="614"/>
      <c r="FL10" s="614"/>
      <c r="FM10" s="614"/>
      <c r="FN10" s="614"/>
      <c r="FO10" s="614"/>
      <c r="FP10" s="614"/>
      <c r="FQ10" s="614"/>
      <c r="FR10" s="614"/>
      <c r="FS10" s="614"/>
      <c r="FT10" s="614"/>
      <c r="FU10" s="614"/>
      <c r="FV10" s="614"/>
      <c r="FW10" s="614"/>
      <c r="FX10" s="614"/>
      <c r="FY10" s="614"/>
      <c r="FZ10" s="614"/>
      <c r="GA10" s="614"/>
      <c r="GB10" s="614"/>
      <c r="GC10" s="614"/>
      <c r="GD10" s="614"/>
      <c r="GE10" s="614"/>
      <c r="GF10" s="614"/>
      <c r="GG10" s="614"/>
      <c r="GH10" s="614"/>
      <c r="GI10" s="614"/>
      <c r="GJ10" s="614"/>
      <c r="GK10" s="614"/>
      <c r="GL10" s="614"/>
      <c r="GM10" s="614"/>
      <c r="GN10" s="614"/>
      <c r="GO10" s="614"/>
      <c r="GP10" s="614"/>
      <c r="GQ10" s="614"/>
      <c r="GR10" s="614"/>
      <c r="GS10" s="614"/>
      <c r="GT10" s="614"/>
      <c r="GU10" s="614"/>
      <c r="GV10" s="614"/>
      <c r="GW10" s="614"/>
      <c r="GX10" s="614"/>
      <c r="GY10" s="614"/>
      <c r="GZ10" s="614"/>
      <c r="HA10" s="614"/>
      <c r="HB10" s="614"/>
      <c r="HC10" s="614"/>
      <c r="HD10" s="614"/>
      <c r="HE10" s="614"/>
      <c r="HF10" s="614"/>
      <c r="HG10" s="614"/>
      <c r="HH10" s="614"/>
      <c r="HI10" s="614"/>
      <c r="HJ10" s="614"/>
      <c r="HK10" s="614"/>
      <c r="HL10" s="614"/>
      <c r="HM10" s="614"/>
      <c r="HN10" s="614"/>
      <c r="HO10" s="614"/>
      <c r="HP10" s="614"/>
      <c r="HQ10" s="614"/>
    </row>
    <row r="11" spans="1:226" s="663" customFormat="1" ht="13.5" x14ac:dyDescent="0.25">
      <c r="A11" s="652"/>
      <c r="B11" s="662" t="s">
        <v>488</v>
      </c>
      <c r="C11" s="654" t="s">
        <v>489</v>
      </c>
      <c r="D11" s="654" t="s">
        <v>491</v>
      </c>
      <c r="E11" s="655">
        <v>1</v>
      </c>
      <c r="F11" s="656"/>
      <c r="G11" s="657">
        <v>12000</v>
      </c>
      <c r="H11" s="658">
        <f>Table115[[#This Row],[Q]]*Table115[[#This Row],[$MXN OUT]]</f>
        <v>12000</v>
      </c>
      <c r="I11" s="660"/>
      <c r="J11" s="665"/>
      <c r="K11" s="661">
        <f>+K10+Table115[[#This Row],[$MSN IN]]-Table115[[#This Row],[$MXN OUT]]</f>
        <v>22000</v>
      </c>
      <c r="L11" s="614"/>
      <c r="M11" s="614"/>
      <c r="N11" s="614"/>
      <c r="O11" s="614"/>
      <c r="P11" s="614"/>
      <c r="Q11" s="614"/>
      <c r="R11" s="614"/>
      <c r="S11" s="614"/>
      <c r="T11" s="614"/>
      <c r="U11" s="614"/>
      <c r="V11" s="614"/>
      <c r="W11" s="614"/>
      <c r="X11" s="614"/>
      <c r="Y11" s="614"/>
      <c r="Z11" s="614"/>
      <c r="AA11" s="614"/>
      <c r="AB11" s="614"/>
      <c r="AC11" s="614"/>
      <c r="AD11" s="614"/>
      <c r="AE11" s="614"/>
      <c r="AF11" s="614"/>
      <c r="AG11" s="614"/>
      <c r="AH11" s="614"/>
      <c r="AI11" s="614"/>
      <c r="AJ11" s="614"/>
      <c r="AK11" s="614"/>
      <c r="AL11" s="614"/>
      <c r="AM11" s="614"/>
      <c r="AN11" s="614"/>
      <c r="AO11" s="614"/>
      <c r="AP11" s="614"/>
      <c r="AQ11" s="614"/>
      <c r="AR11" s="614"/>
      <c r="AS11" s="614"/>
      <c r="AT11" s="614"/>
      <c r="AU11" s="614"/>
      <c r="AV11" s="614"/>
      <c r="AW11" s="614"/>
      <c r="AX11" s="614"/>
      <c r="AY11" s="614"/>
      <c r="AZ11" s="614"/>
      <c r="BA11" s="614"/>
      <c r="BB11" s="614"/>
      <c r="BC11" s="614"/>
      <c r="BD11" s="614"/>
      <c r="BE11" s="614"/>
      <c r="BF11" s="614"/>
      <c r="BG11" s="614"/>
      <c r="BH11" s="614"/>
      <c r="BI11" s="614"/>
      <c r="BJ11" s="614"/>
      <c r="BK11" s="614"/>
      <c r="BL11" s="614"/>
      <c r="BM11" s="614"/>
      <c r="BN11" s="614"/>
      <c r="BO11" s="614"/>
      <c r="BP11" s="614"/>
      <c r="BQ11" s="614"/>
      <c r="BR11" s="614"/>
      <c r="BS11" s="614"/>
      <c r="BT11" s="614"/>
      <c r="BU11" s="614"/>
      <c r="BV11" s="614"/>
      <c r="BW11" s="614"/>
      <c r="BX11" s="614"/>
      <c r="BY11" s="614"/>
      <c r="BZ11" s="614"/>
      <c r="CA11" s="614"/>
      <c r="CB11" s="614"/>
      <c r="CC11" s="614"/>
      <c r="CD11" s="614"/>
      <c r="CE11" s="614"/>
      <c r="CF11" s="614"/>
      <c r="CG11" s="614"/>
      <c r="CH11" s="614"/>
      <c r="CI11" s="614"/>
      <c r="CJ11" s="614"/>
      <c r="CK11" s="614"/>
      <c r="CL11" s="614"/>
      <c r="CM11" s="614"/>
      <c r="CN11" s="614"/>
      <c r="CO11" s="614"/>
      <c r="CP11" s="614"/>
      <c r="CQ11" s="614"/>
      <c r="CR11" s="614"/>
      <c r="CS11" s="614"/>
      <c r="CT11" s="614"/>
      <c r="CU11" s="614"/>
      <c r="CV11" s="614"/>
      <c r="CW11" s="614"/>
      <c r="CX11" s="614"/>
      <c r="CY11" s="614"/>
      <c r="CZ11" s="614"/>
      <c r="DA11" s="614"/>
      <c r="DB11" s="614"/>
      <c r="DC11" s="614"/>
      <c r="DD11" s="614"/>
      <c r="DE11" s="614"/>
      <c r="DF11" s="614"/>
      <c r="DG11" s="614"/>
      <c r="DH11" s="614"/>
      <c r="DI11" s="614"/>
      <c r="DJ11" s="614"/>
      <c r="DK11" s="614"/>
      <c r="DL11" s="614"/>
      <c r="DM11" s="614"/>
      <c r="DN11" s="614"/>
      <c r="DO11" s="614"/>
      <c r="DP11" s="614"/>
      <c r="DQ11" s="614"/>
      <c r="DR11" s="614"/>
      <c r="DS11" s="614"/>
      <c r="DT11" s="614"/>
      <c r="DU11" s="614"/>
      <c r="DV11" s="614"/>
      <c r="DW11" s="614"/>
      <c r="DX11" s="614"/>
      <c r="DY11" s="614"/>
      <c r="DZ11" s="614"/>
      <c r="EA11" s="614"/>
      <c r="EB11" s="614"/>
      <c r="EC11" s="614"/>
      <c r="ED11" s="614"/>
      <c r="EE11" s="614"/>
      <c r="EF11" s="614"/>
      <c r="EG11" s="614"/>
      <c r="EH11" s="614"/>
      <c r="EI11" s="614"/>
      <c r="EJ11" s="614"/>
      <c r="EK11" s="614"/>
      <c r="EL11" s="614"/>
      <c r="EM11" s="614"/>
      <c r="EN11" s="614"/>
      <c r="EO11" s="614"/>
      <c r="EP11" s="614"/>
      <c r="EQ11" s="614"/>
      <c r="ER11" s="614"/>
      <c r="ES11" s="614"/>
      <c r="ET11" s="614"/>
      <c r="EU11" s="614"/>
      <c r="EV11" s="614"/>
      <c r="EW11" s="614"/>
      <c r="EX11" s="614"/>
      <c r="EY11" s="614"/>
      <c r="EZ11" s="614"/>
      <c r="FA11" s="614"/>
      <c r="FB11" s="614"/>
      <c r="FC11" s="614"/>
      <c r="FD11" s="614"/>
      <c r="FE11" s="614"/>
      <c r="FF11" s="614"/>
      <c r="FG11" s="614"/>
      <c r="FH11" s="614"/>
      <c r="FI11" s="614"/>
      <c r="FJ11" s="614"/>
      <c r="FK11" s="614"/>
      <c r="FL11" s="614"/>
      <c r="FM11" s="614"/>
      <c r="FN11" s="614"/>
      <c r="FO11" s="614"/>
      <c r="FP11" s="614"/>
      <c r="FQ11" s="614"/>
      <c r="FR11" s="614"/>
      <c r="FS11" s="614"/>
      <c r="FT11" s="614"/>
      <c r="FU11" s="614"/>
      <c r="FV11" s="614"/>
      <c r="FW11" s="614"/>
      <c r="FX11" s="614"/>
      <c r="FY11" s="614"/>
      <c r="FZ11" s="614"/>
      <c r="GA11" s="614"/>
      <c r="GB11" s="614"/>
      <c r="GC11" s="614"/>
      <c r="GD11" s="614"/>
      <c r="GE11" s="614"/>
      <c r="GF11" s="614"/>
      <c r="GG11" s="614"/>
      <c r="GH11" s="614"/>
      <c r="GI11" s="614"/>
      <c r="GJ11" s="614"/>
      <c r="GK11" s="614"/>
      <c r="GL11" s="614"/>
      <c r="GM11" s="614"/>
      <c r="GN11" s="614"/>
      <c r="GO11" s="614"/>
      <c r="GP11" s="614"/>
      <c r="GQ11" s="614"/>
      <c r="GR11" s="614"/>
      <c r="GS11" s="614"/>
      <c r="GT11" s="614"/>
      <c r="GU11" s="614"/>
      <c r="GV11" s="614"/>
      <c r="GW11" s="614"/>
      <c r="GX11" s="614"/>
      <c r="GY11" s="614"/>
      <c r="GZ11" s="614"/>
      <c r="HA11" s="614"/>
      <c r="HB11" s="614"/>
      <c r="HC11" s="614"/>
      <c r="HD11" s="614"/>
      <c r="HE11" s="614"/>
      <c r="HF11" s="614"/>
      <c r="HG11" s="614"/>
      <c r="HH11" s="614"/>
      <c r="HI11" s="614"/>
      <c r="HJ11" s="614"/>
      <c r="HK11" s="614"/>
      <c r="HL11" s="614"/>
      <c r="HM11" s="614"/>
      <c r="HN11" s="614"/>
      <c r="HO11" s="614"/>
      <c r="HP11" s="614"/>
      <c r="HQ11" s="614"/>
    </row>
    <row r="12" spans="1:226" s="663" customFormat="1" ht="13.5" x14ac:dyDescent="0.25">
      <c r="A12" s="652"/>
      <c r="B12" s="662" t="s">
        <v>492</v>
      </c>
      <c r="C12" s="654" t="s">
        <v>493</v>
      </c>
      <c r="D12" s="654"/>
      <c r="E12" s="655">
        <v>1</v>
      </c>
      <c r="F12" s="656"/>
      <c r="G12" s="657">
        <v>15000</v>
      </c>
      <c r="H12" s="658">
        <f>Table115[[#This Row],[Q]]*Table115[[#This Row],[$MXN OUT]]</f>
        <v>15000</v>
      </c>
      <c r="I12" s="660"/>
      <c r="J12" s="665"/>
      <c r="K12" s="661">
        <f>+K11+Table115[[#This Row],[$MSN IN]]-Table115[[#This Row],[$MXN OUT]]</f>
        <v>7000</v>
      </c>
      <c r="L12" s="614"/>
      <c r="M12" s="614"/>
      <c r="N12" s="614"/>
      <c r="O12" s="614"/>
      <c r="P12" s="614"/>
      <c r="Q12" s="614"/>
      <c r="R12" s="614"/>
      <c r="S12" s="614"/>
      <c r="T12" s="614"/>
      <c r="U12" s="614"/>
      <c r="V12" s="614"/>
      <c r="W12" s="614"/>
      <c r="X12" s="614"/>
      <c r="Y12" s="614"/>
      <c r="Z12" s="614"/>
      <c r="AA12" s="614"/>
      <c r="AB12" s="614"/>
      <c r="AC12" s="614"/>
      <c r="AD12" s="614"/>
      <c r="AE12" s="614"/>
      <c r="AF12" s="614"/>
      <c r="AG12" s="614"/>
      <c r="AH12" s="614"/>
      <c r="AI12" s="614"/>
      <c r="AJ12" s="614"/>
      <c r="AK12" s="614"/>
      <c r="AL12" s="614"/>
      <c r="AM12" s="614"/>
      <c r="AN12" s="614"/>
      <c r="AO12" s="614"/>
      <c r="AP12" s="614"/>
      <c r="AQ12" s="614"/>
      <c r="AR12" s="614"/>
      <c r="AS12" s="614"/>
      <c r="AT12" s="614"/>
      <c r="AU12" s="614"/>
      <c r="AV12" s="614"/>
      <c r="AW12" s="614"/>
      <c r="AX12" s="614"/>
      <c r="AY12" s="614"/>
      <c r="AZ12" s="614"/>
      <c r="BA12" s="614"/>
      <c r="BB12" s="614"/>
      <c r="BC12" s="614"/>
      <c r="BD12" s="614"/>
      <c r="BE12" s="614"/>
      <c r="BF12" s="614"/>
      <c r="BG12" s="614"/>
      <c r="BH12" s="614"/>
      <c r="BI12" s="614"/>
      <c r="BJ12" s="614"/>
      <c r="BK12" s="614"/>
      <c r="BL12" s="614"/>
      <c r="BM12" s="614"/>
      <c r="BN12" s="614"/>
      <c r="BO12" s="614"/>
      <c r="BP12" s="614"/>
      <c r="BQ12" s="614"/>
      <c r="BR12" s="614"/>
      <c r="BS12" s="614"/>
      <c r="BT12" s="614"/>
      <c r="BU12" s="614"/>
      <c r="BV12" s="614"/>
      <c r="BW12" s="614"/>
      <c r="BX12" s="614"/>
      <c r="BY12" s="614"/>
      <c r="BZ12" s="614"/>
      <c r="CA12" s="614"/>
      <c r="CB12" s="614"/>
      <c r="CC12" s="614"/>
      <c r="CD12" s="614"/>
      <c r="CE12" s="614"/>
      <c r="CF12" s="614"/>
      <c r="CG12" s="614"/>
      <c r="CH12" s="614"/>
      <c r="CI12" s="614"/>
      <c r="CJ12" s="614"/>
      <c r="CK12" s="614"/>
      <c r="CL12" s="614"/>
      <c r="CM12" s="614"/>
      <c r="CN12" s="614"/>
      <c r="CO12" s="614"/>
      <c r="CP12" s="614"/>
      <c r="CQ12" s="614"/>
      <c r="CR12" s="614"/>
      <c r="CS12" s="614"/>
      <c r="CT12" s="614"/>
      <c r="CU12" s="614"/>
      <c r="CV12" s="614"/>
      <c r="CW12" s="614"/>
      <c r="CX12" s="614"/>
      <c r="CY12" s="614"/>
      <c r="CZ12" s="614"/>
      <c r="DA12" s="614"/>
      <c r="DB12" s="614"/>
      <c r="DC12" s="614"/>
      <c r="DD12" s="614"/>
      <c r="DE12" s="614"/>
      <c r="DF12" s="614"/>
      <c r="DG12" s="614"/>
      <c r="DH12" s="614"/>
      <c r="DI12" s="614"/>
      <c r="DJ12" s="614"/>
      <c r="DK12" s="614"/>
      <c r="DL12" s="614"/>
      <c r="DM12" s="614"/>
      <c r="DN12" s="614"/>
      <c r="DO12" s="614"/>
      <c r="DP12" s="614"/>
      <c r="DQ12" s="614"/>
      <c r="DR12" s="614"/>
      <c r="DS12" s="614"/>
      <c r="DT12" s="614"/>
      <c r="DU12" s="614"/>
      <c r="DV12" s="614"/>
      <c r="DW12" s="614"/>
      <c r="DX12" s="614"/>
      <c r="DY12" s="614"/>
      <c r="DZ12" s="614"/>
      <c r="EA12" s="614"/>
      <c r="EB12" s="614"/>
      <c r="EC12" s="614"/>
      <c r="ED12" s="614"/>
      <c r="EE12" s="614"/>
      <c r="EF12" s="614"/>
      <c r="EG12" s="614"/>
      <c r="EH12" s="614"/>
      <c r="EI12" s="614"/>
      <c r="EJ12" s="614"/>
      <c r="EK12" s="614"/>
      <c r="EL12" s="614"/>
      <c r="EM12" s="614"/>
      <c r="EN12" s="614"/>
      <c r="EO12" s="614"/>
      <c r="EP12" s="614"/>
      <c r="EQ12" s="614"/>
      <c r="ER12" s="614"/>
      <c r="ES12" s="614"/>
      <c r="ET12" s="614"/>
      <c r="EU12" s="614"/>
      <c r="EV12" s="614"/>
      <c r="EW12" s="614"/>
      <c r="EX12" s="614"/>
      <c r="EY12" s="614"/>
      <c r="EZ12" s="614"/>
      <c r="FA12" s="614"/>
      <c r="FB12" s="614"/>
      <c r="FC12" s="614"/>
      <c r="FD12" s="614"/>
      <c r="FE12" s="614"/>
      <c r="FF12" s="614"/>
      <c r="FG12" s="614"/>
      <c r="FH12" s="614"/>
      <c r="FI12" s="614"/>
      <c r="FJ12" s="614"/>
      <c r="FK12" s="614"/>
      <c r="FL12" s="614"/>
      <c r="FM12" s="614"/>
      <c r="FN12" s="614"/>
      <c r="FO12" s="614"/>
      <c r="FP12" s="614"/>
      <c r="FQ12" s="614"/>
      <c r="FR12" s="614"/>
      <c r="FS12" s="614"/>
      <c r="FT12" s="614"/>
      <c r="FU12" s="614"/>
      <c r="FV12" s="614"/>
      <c r="FW12" s="614"/>
      <c r="FX12" s="614"/>
      <c r="FY12" s="614"/>
      <c r="FZ12" s="614"/>
      <c r="GA12" s="614"/>
      <c r="GB12" s="614"/>
      <c r="GC12" s="614"/>
      <c r="GD12" s="614"/>
      <c r="GE12" s="614"/>
      <c r="GF12" s="614"/>
      <c r="GG12" s="614"/>
      <c r="GH12" s="614"/>
      <c r="GI12" s="614"/>
      <c r="GJ12" s="614"/>
      <c r="GK12" s="614"/>
      <c r="GL12" s="614"/>
      <c r="GM12" s="614"/>
      <c r="GN12" s="614"/>
      <c r="GO12" s="614"/>
      <c r="GP12" s="614"/>
      <c r="GQ12" s="614"/>
      <c r="GR12" s="614"/>
      <c r="GS12" s="614"/>
      <c r="GT12" s="614"/>
      <c r="GU12" s="614"/>
      <c r="GV12" s="614"/>
      <c r="GW12" s="614"/>
      <c r="GX12" s="614"/>
      <c r="GY12" s="614"/>
      <c r="GZ12" s="614"/>
      <c r="HA12" s="614"/>
      <c r="HB12" s="614"/>
      <c r="HC12" s="614"/>
      <c r="HD12" s="614"/>
      <c r="HE12" s="614"/>
      <c r="HF12" s="614"/>
      <c r="HG12" s="614"/>
      <c r="HH12" s="614"/>
      <c r="HI12" s="614"/>
      <c r="HJ12" s="614"/>
      <c r="HK12" s="614"/>
      <c r="HL12" s="614"/>
      <c r="HM12" s="614"/>
      <c r="HN12" s="614"/>
      <c r="HO12" s="614"/>
      <c r="HP12" s="614"/>
      <c r="HQ12" s="614"/>
    </row>
    <row r="13" spans="1:226" s="663" customFormat="1" ht="13.5" x14ac:dyDescent="0.25">
      <c r="A13" s="652"/>
      <c r="B13" s="662" t="s">
        <v>494</v>
      </c>
      <c r="C13" s="654" t="s">
        <v>489</v>
      </c>
      <c r="D13" s="654" t="s">
        <v>491</v>
      </c>
      <c r="E13" s="655">
        <v>1</v>
      </c>
      <c r="F13" s="656"/>
      <c r="G13" s="657">
        <v>7000</v>
      </c>
      <c r="H13" s="658">
        <f>Table115[[#This Row],[Q]]*Table115[[#This Row],[$MXN OUT]]</f>
        <v>7000</v>
      </c>
      <c r="I13" s="660"/>
      <c r="J13" s="665"/>
      <c r="K13" s="661">
        <f>+K12+Table115[[#This Row],[$MSN IN]]-Table115[[#This Row],[$MXN OUT]]</f>
        <v>0</v>
      </c>
      <c r="L13" s="614"/>
      <c r="M13" s="614"/>
      <c r="N13" s="614"/>
      <c r="O13" s="614"/>
      <c r="P13" s="614"/>
      <c r="Q13" s="614"/>
      <c r="R13" s="614"/>
      <c r="S13" s="614"/>
      <c r="T13" s="614"/>
      <c r="U13" s="614"/>
      <c r="V13" s="614"/>
      <c r="W13" s="614"/>
      <c r="X13" s="614"/>
      <c r="Y13" s="614"/>
      <c r="Z13" s="614"/>
      <c r="AA13" s="614"/>
      <c r="AB13" s="614"/>
      <c r="AC13" s="614"/>
      <c r="AD13" s="614"/>
      <c r="AE13" s="614"/>
      <c r="AF13" s="614"/>
      <c r="AG13" s="614"/>
      <c r="AH13" s="614"/>
      <c r="AI13" s="614"/>
      <c r="AJ13" s="614"/>
      <c r="AK13" s="614"/>
      <c r="AL13" s="614"/>
      <c r="AM13" s="614"/>
      <c r="AN13" s="614"/>
      <c r="AO13" s="614"/>
      <c r="AP13" s="614"/>
      <c r="AQ13" s="614"/>
      <c r="AR13" s="614"/>
      <c r="AS13" s="614"/>
      <c r="AT13" s="614"/>
      <c r="AU13" s="614"/>
      <c r="AV13" s="614"/>
      <c r="AW13" s="614"/>
      <c r="AX13" s="614"/>
      <c r="AY13" s="614"/>
      <c r="AZ13" s="614"/>
      <c r="BA13" s="614"/>
      <c r="BB13" s="614"/>
      <c r="BC13" s="614"/>
      <c r="BD13" s="614"/>
      <c r="BE13" s="614"/>
      <c r="BF13" s="614"/>
      <c r="BG13" s="614"/>
      <c r="BH13" s="614"/>
      <c r="BI13" s="614"/>
      <c r="BJ13" s="614"/>
      <c r="BK13" s="614"/>
      <c r="BL13" s="614"/>
      <c r="BM13" s="614"/>
      <c r="BN13" s="614"/>
      <c r="BO13" s="614"/>
      <c r="BP13" s="614"/>
      <c r="BQ13" s="614"/>
      <c r="BR13" s="614"/>
      <c r="BS13" s="614"/>
      <c r="BT13" s="614"/>
      <c r="BU13" s="614"/>
      <c r="BV13" s="614"/>
      <c r="BW13" s="614"/>
      <c r="BX13" s="614"/>
      <c r="BY13" s="614"/>
      <c r="BZ13" s="614"/>
      <c r="CA13" s="614"/>
      <c r="CB13" s="614"/>
      <c r="CC13" s="614"/>
      <c r="CD13" s="614"/>
      <c r="CE13" s="614"/>
      <c r="CF13" s="614"/>
      <c r="CG13" s="614"/>
      <c r="CH13" s="614"/>
      <c r="CI13" s="614"/>
      <c r="CJ13" s="614"/>
      <c r="CK13" s="614"/>
      <c r="CL13" s="614"/>
      <c r="CM13" s="614"/>
      <c r="CN13" s="614"/>
      <c r="CO13" s="614"/>
      <c r="CP13" s="614"/>
      <c r="CQ13" s="614"/>
      <c r="CR13" s="614"/>
      <c r="CS13" s="614"/>
      <c r="CT13" s="614"/>
      <c r="CU13" s="614"/>
      <c r="CV13" s="614"/>
      <c r="CW13" s="614"/>
      <c r="CX13" s="614"/>
      <c r="CY13" s="614"/>
      <c r="CZ13" s="614"/>
      <c r="DA13" s="614"/>
      <c r="DB13" s="614"/>
      <c r="DC13" s="614"/>
      <c r="DD13" s="614"/>
      <c r="DE13" s="614"/>
      <c r="DF13" s="614"/>
      <c r="DG13" s="614"/>
      <c r="DH13" s="614"/>
      <c r="DI13" s="614"/>
      <c r="DJ13" s="614"/>
      <c r="DK13" s="614"/>
      <c r="DL13" s="614"/>
      <c r="DM13" s="614"/>
      <c r="DN13" s="614"/>
      <c r="DO13" s="614"/>
      <c r="DP13" s="614"/>
      <c r="DQ13" s="614"/>
      <c r="DR13" s="614"/>
      <c r="DS13" s="614"/>
      <c r="DT13" s="614"/>
      <c r="DU13" s="614"/>
      <c r="DV13" s="614"/>
      <c r="DW13" s="614"/>
      <c r="DX13" s="614"/>
      <c r="DY13" s="614"/>
      <c r="DZ13" s="614"/>
      <c r="EA13" s="614"/>
      <c r="EB13" s="614"/>
      <c r="EC13" s="614"/>
      <c r="ED13" s="614"/>
      <c r="EE13" s="614"/>
      <c r="EF13" s="614"/>
      <c r="EG13" s="614"/>
      <c r="EH13" s="614"/>
      <c r="EI13" s="614"/>
      <c r="EJ13" s="614"/>
      <c r="EK13" s="614"/>
      <c r="EL13" s="614"/>
      <c r="EM13" s="614"/>
      <c r="EN13" s="614"/>
      <c r="EO13" s="614"/>
      <c r="EP13" s="614"/>
      <c r="EQ13" s="614"/>
      <c r="ER13" s="614"/>
      <c r="ES13" s="614"/>
      <c r="ET13" s="614"/>
      <c r="EU13" s="614"/>
      <c r="EV13" s="614"/>
      <c r="EW13" s="614"/>
      <c r="EX13" s="614"/>
      <c r="EY13" s="614"/>
      <c r="EZ13" s="614"/>
      <c r="FA13" s="614"/>
      <c r="FB13" s="614"/>
      <c r="FC13" s="614"/>
      <c r="FD13" s="614"/>
      <c r="FE13" s="614"/>
      <c r="FF13" s="614"/>
      <c r="FG13" s="614"/>
      <c r="FH13" s="614"/>
      <c r="FI13" s="614"/>
      <c r="FJ13" s="614"/>
      <c r="FK13" s="614"/>
      <c r="FL13" s="614"/>
      <c r="FM13" s="614"/>
      <c r="FN13" s="614"/>
      <c r="FO13" s="614"/>
      <c r="FP13" s="614"/>
      <c r="FQ13" s="614"/>
      <c r="FR13" s="614"/>
      <c r="FS13" s="614"/>
      <c r="FT13" s="614"/>
      <c r="FU13" s="614"/>
      <c r="FV13" s="614"/>
      <c r="FW13" s="614"/>
      <c r="FX13" s="614"/>
      <c r="FY13" s="614"/>
      <c r="FZ13" s="614"/>
      <c r="GA13" s="614"/>
      <c r="GB13" s="614"/>
      <c r="GC13" s="614"/>
      <c r="GD13" s="614"/>
      <c r="GE13" s="614"/>
      <c r="GF13" s="614"/>
      <c r="GG13" s="614"/>
      <c r="GH13" s="614"/>
      <c r="GI13" s="614"/>
      <c r="GJ13" s="614"/>
      <c r="GK13" s="614"/>
      <c r="GL13" s="614"/>
      <c r="GM13" s="614"/>
      <c r="GN13" s="614"/>
      <c r="GO13" s="614"/>
      <c r="GP13" s="614"/>
      <c r="GQ13" s="614"/>
      <c r="GR13" s="614"/>
      <c r="GS13" s="614"/>
      <c r="GT13" s="614"/>
      <c r="GU13" s="614"/>
      <c r="GV13" s="614"/>
      <c r="GW13" s="614"/>
      <c r="GX13" s="614"/>
      <c r="GY13" s="614"/>
      <c r="GZ13" s="614"/>
      <c r="HA13" s="614"/>
      <c r="HB13" s="614"/>
      <c r="HC13" s="614"/>
      <c r="HD13" s="614"/>
      <c r="HE13" s="614"/>
      <c r="HF13" s="614"/>
      <c r="HG13" s="614"/>
      <c r="HH13" s="614"/>
      <c r="HI13" s="614"/>
      <c r="HJ13" s="614"/>
      <c r="HK13" s="614"/>
      <c r="HL13" s="614"/>
      <c r="HM13" s="614"/>
      <c r="HN13" s="614"/>
      <c r="HO13" s="614"/>
      <c r="HP13" s="614"/>
      <c r="HQ13" s="614"/>
    </row>
    <row r="14" spans="1:226" s="663" customFormat="1" ht="13.5" x14ac:dyDescent="0.25">
      <c r="A14" s="652">
        <v>45963</v>
      </c>
      <c r="B14" s="662"/>
      <c r="C14" s="654" t="s">
        <v>486</v>
      </c>
      <c r="D14" s="654" t="s">
        <v>487</v>
      </c>
      <c r="E14" s="655">
        <v>1</v>
      </c>
      <c r="F14" s="656">
        <v>11900</v>
      </c>
      <c r="G14" s="657"/>
      <c r="H14" s="658">
        <f>Table115[[#This Row],[Q]]*Table115[[#This Row],[$MXN OUT]]</f>
        <v>0</v>
      </c>
      <c r="I14" s="660"/>
      <c r="J14" s="665"/>
      <c r="K14" s="661">
        <f>+K13+Table115[[#This Row],[$MSN IN]]-Table115[[#This Row],[$MXN OUT]]</f>
        <v>11900</v>
      </c>
      <c r="L14" s="614"/>
      <c r="M14" s="614"/>
      <c r="N14" s="614"/>
      <c r="O14" s="614"/>
      <c r="P14" s="614"/>
      <c r="Q14" s="614"/>
      <c r="R14" s="614"/>
      <c r="S14" s="614"/>
      <c r="T14" s="614"/>
      <c r="U14" s="614"/>
      <c r="V14" s="614"/>
      <c r="W14" s="614"/>
      <c r="X14" s="614"/>
      <c r="Y14" s="614"/>
      <c r="Z14" s="614"/>
      <c r="AA14" s="614"/>
      <c r="AB14" s="614"/>
      <c r="AC14" s="614"/>
      <c r="AD14" s="614"/>
      <c r="AE14" s="614"/>
      <c r="AF14" s="614"/>
      <c r="AG14" s="614"/>
      <c r="AH14" s="614"/>
      <c r="AI14" s="614"/>
      <c r="AJ14" s="614"/>
      <c r="AK14" s="614"/>
      <c r="AL14" s="614"/>
      <c r="AM14" s="614"/>
      <c r="AN14" s="614"/>
      <c r="AO14" s="614"/>
      <c r="AP14" s="614"/>
      <c r="AQ14" s="614"/>
      <c r="AR14" s="614"/>
      <c r="AS14" s="614"/>
      <c r="AT14" s="614"/>
      <c r="AU14" s="614"/>
      <c r="AV14" s="614"/>
      <c r="AW14" s="614"/>
      <c r="AX14" s="614"/>
      <c r="AY14" s="614"/>
      <c r="AZ14" s="614"/>
      <c r="BA14" s="614"/>
      <c r="BB14" s="614"/>
      <c r="BC14" s="614"/>
      <c r="BD14" s="614"/>
      <c r="BE14" s="614"/>
      <c r="BF14" s="614"/>
      <c r="BG14" s="614"/>
      <c r="BH14" s="614"/>
      <c r="BI14" s="614"/>
      <c r="BJ14" s="614"/>
      <c r="BK14" s="614"/>
      <c r="BL14" s="614"/>
      <c r="BM14" s="614"/>
      <c r="BN14" s="614"/>
      <c r="BO14" s="614"/>
      <c r="BP14" s="614"/>
      <c r="BQ14" s="614"/>
      <c r="BR14" s="614"/>
      <c r="BS14" s="614"/>
      <c r="BT14" s="614"/>
      <c r="BU14" s="614"/>
      <c r="BV14" s="614"/>
      <c r="BW14" s="614"/>
      <c r="BX14" s="614"/>
      <c r="BY14" s="614"/>
      <c r="BZ14" s="614"/>
      <c r="CA14" s="614"/>
      <c r="CB14" s="614"/>
      <c r="CC14" s="614"/>
      <c r="CD14" s="614"/>
      <c r="CE14" s="614"/>
      <c r="CF14" s="614"/>
      <c r="CG14" s="614"/>
      <c r="CH14" s="614"/>
      <c r="CI14" s="614"/>
      <c r="CJ14" s="614"/>
      <c r="CK14" s="614"/>
      <c r="CL14" s="614"/>
      <c r="CM14" s="614"/>
      <c r="CN14" s="614"/>
      <c r="CO14" s="614"/>
      <c r="CP14" s="614"/>
      <c r="CQ14" s="614"/>
      <c r="CR14" s="614"/>
      <c r="CS14" s="614"/>
      <c r="CT14" s="614"/>
      <c r="CU14" s="614"/>
      <c r="CV14" s="614"/>
      <c r="CW14" s="614"/>
      <c r="CX14" s="614"/>
      <c r="CY14" s="614"/>
      <c r="CZ14" s="614"/>
      <c r="DA14" s="614"/>
      <c r="DB14" s="614"/>
      <c r="DC14" s="614"/>
      <c r="DD14" s="614"/>
      <c r="DE14" s="614"/>
      <c r="DF14" s="614"/>
      <c r="DG14" s="614"/>
      <c r="DH14" s="614"/>
      <c r="DI14" s="614"/>
      <c r="DJ14" s="614"/>
      <c r="DK14" s="614"/>
      <c r="DL14" s="614"/>
      <c r="DM14" s="614"/>
      <c r="DN14" s="614"/>
      <c r="DO14" s="614"/>
      <c r="DP14" s="614"/>
      <c r="DQ14" s="614"/>
      <c r="DR14" s="614"/>
      <c r="DS14" s="614"/>
      <c r="DT14" s="614"/>
      <c r="DU14" s="614"/>
      <c r="DV14" s="614"/>
      <c r="DW14" s="614"/>
      <c r="DX14" s="614"/>
      <c r="DY14" s="614"/>
      <c r="DZ14" s="614"/>
      <c r="EA14" s="614"/>
      <c r="EB14" s="614"/>
      <c r="EC14" s="614"/>
      <c r="ED14" s="614"/>
      <c r="EE14" s="614"/>
      <c r="EF14" s="614"/>
      <c r="EG14" s="614"/>
      <c r="EH14" s="614"/>
      <c r="EI14" s="614"/>
      <c r="EJ14" s="614"/>
      <c r="EK14" s="614"/>
      <c r="EL14" s="614"/>
      <c r="EM14" s="614"/>
      <c r="EN14" s="614"/>
      <c r="EO14" s="614"/>
      <c r="EP14" s="614"/>
      <c r="EQ14" s="614"/>
      <c r="ER14" s="614"/>
      <c r="ES14" s="614"/>
      <c r="ET14" s="614"/>
      <c r="EU14" s="614"/>
      <c r="EV14" s="614"/>
      <c r="EW14" s="614"/>
      <c r="EX14" s="614"/>
      <c r="EY14" s="614"/>
      <c r="EZ14" s="614"/>
      <c r="FA14" s="614"/>
      <c r="FB14" s="614"/>
      <c r="FC14" s="614"/>
      <c r="FD14" s="614"/>
      <c r="FE14" s="614"/>
      <c r="FF14" s="614"/>
      <c r="FG14" s="614"/>
      <c r="FH14" s="614"/>
      <c r="FI14" s="614"/>
      <c r="FJ14" s="614"/>
      <c r="FK14" s="614"/>
      <c r="FL14" s="614"/>
      <c r="FM14" s="614"/>
      <c r="FN14" s="614"/>
      <c r="FO14" s="614"/>
      <c r="FP14" s="614"/>
      <c r="FQ14" s="614"/>
      <c r="FR14" s="614"/>
      <c r="FS14" s="614"/>
      <c r="FT14" s="614"/>
      <c r="FU14" s="614"/>
      <c r="FV14" s="614"/>
      <c r="FW14" s="614"/>
      <c r="FX14" s="614"/>
      <c r="FY14" s="614"/>
      <c r="FZ14" s="614"/>
      <c r="GA14" s="614"/>
      <c r="GB14" s="614"/>
      <c r="GC14" s="614"/>
      <c r="GD14" s="614"/>
      <c r="GE14" s="614"/>
      <c r="GF14" s="614"/>
      <c r="GG14" s="614"/>
      <c r="GH14" s="614"/>
      <c r="GI14" s="614"/>
      <c r="GJ14" s="614"/>
      <c r="GK14" s="614"/>
      <c r="GL14" s="614"/>
      <c r="GM14" s="614"/>
      <c r="GN14" s="614"/>
      <c r="GO14" s="614"/>
      <c r="GP14" s="614"/>
      <c r="GQ14" s="614"/>
      <c r="GR14" s="614"/>
      <c r="GS14" s="614"/>
      <c r="GT14" s="614"/>
      <c r="GU14" s="614"/>
      <c r="GV14" s="614"/>
      <c r="GW14" s="614"/>
      <c r="GX14" s="614"/>
      <c r="GY14" s="614"/>
      <c r="GZ14" s="614"/>
      <c r="HA14" s="614"/>
      <c r="HB14" s="614"/>
      <c r="HC14" s="614"/>
      <c r="HD14" s="614"/>
      <c r="HE14" s="614"/>
      <c r="HF14" s="614"/>
      <c r="HG14" s="614"/>
      <c r="HH14" s="614"/>
      <c r="HI14" s="614"/>
      <c r="HJ14" s="614"/>
      <c r="HK14" s="614"/>
      <c r="HL14" s="614"/>
      <c r="HM14" s="614"/>
      <c r="HN14" s="614"/>
      <c r="HO14" s="614"/>
      <c r="HP14" s="614"/>
      <c r="HQ14" s="614"/>
    </row>
    <row r="15" spans="1:226" s="663" customFormat="1" ht="13.5" x14ac:dyDescent="0.25">
      <c r="A15" s="652"/>
      <c r="B15" s="662"/>
      <c r="C15" s="654" t="s">
        <v>486</v>
      </c>
      <c r="D15" s="654" t="s">
        <v>487</v>
      </c>
      <c r="E15" s="655">
        <v>1</v>
      </c>
      <c r="F15" s="656">
        <v>11500</v>
      </c>
      <c r="G15" s="657"/>
      <c r="H15" s="658">
        <f>Table115[[#This Row],[Q]]*Table115[[#This Row],[$MXN OUT]]</f>
        <v>0</v>
      </c>
      <c r="I15" s="660"/>
      <c r="J15" s="665"/>
      <c r="K15" s="661">
        <f>+K14+Table115[[#This Row],[$MSN IN]]-Table115[[#This Row],[$MXN OUT]]</f>
        <v>23400</v>
      </c>
      <c r="L15" s="614"/>
      <c r="M15" s="614"/>
      <c r="N15" s="614"/>
      <c r="O15" s="614"/>
      <c r="P15" s="614"/>
      <c r="Q15" s="614"/>
      <c r="R15" s="614"/>
      <c r="S15" s="614"/>
      <c r="T15" s="614"/>
      <c r="U15" s="614"/>
      <c r="V15" s="614"/>
      <c r="W15" s="614"/>
      <c r="X15" s="614"/>
      <c r="Y15" s="614"/>
      <c r="Z15" s="614"/>
      <c r="AA15" s="614"/>
      <c r="AB15" s="614"/>
      <c r="AC15" s="614"/>
      <c r="AD15" s="614"/>
      <c r="AE15" s="614"/>
      <c r="AF15" s="614"/>
      <c r="AG15" s="614"/>
      <c r="AH15" s="614"/>
      <c r="AI15" s="614"/>
      <c r="AJ15" s="614"/>
      <c r="AK15" s="614"/>
      <c r="AL15" s="614"/>
      <c r="AM15" s="614"/>
      <c r="AN15" s="614"/>
      <c r="AO15" s="614"/>
      <c r="AP15" s="614"/>
      <c r="AQ15" s="614"/>
      <c r="AR15" s="614"/>
      <c r="AS15" s="614"/>
      <c r="AT15" s="614"/>
      <c r="AU15" s="614"/>
      <c r="AV15" s="614"/>
      <c r="AW15" s="614"/>
      <c r="AX15" s="614"/>
      <c r="AY15" s="614"/>
      <c r="AZ15" s="614"/>
      <c r="BA15" s="614"/>
      <c r="BB15" s="614"/>
      <c r="BC15" s="614"/>
      <c r="BD15" s="614"/>
      <c r="BE15" s="614"/>
      <c r="BF15" s="614"/>
      <c r="BG15" s="614"/>
      <c r="BH15" s="614"/>
      <c r="BI15" s="614"/>
      <c r="BJ15" s="614"/>
      <c r="BK15" s="614"/>
      <c r="BL15" s="614"/>
      <c r="BM15" s="614"/>
      <c r="BN15" s="614"/>
      <c r="BO15" s="614"/>
      <c r="BP15" s="614"/>
      <c r="BQ15" s="614"/>
      <c r="BR15" s="614"/>
      <c r="BS15" s="614"/>
      <c r="BT15" s="614"/>
      <c r="BU15" s="614"/>
      <c r="BV15" s="614"/>
      <c r="BW15" s="614"/>
      <c r="BX15" s="614"/>
      <c r="BY15" s="614"/>
      <c r="BZ15" s="614"/>
      <c r="CA15" s="614"/>
      <c r="CB15" s="614"/>
      <c r="CC15" s="614"/>
      <c r="CD15" s="614"/>
      <c r="CE15" s="614"/>
      <c r="CF15" s="614"/>
      <c r="CG15" s="614"/>
      <c r="CH15" s="614"/>
      <c r="CI15" s="614"/>
      <c r="CJ15" s="614"/>
      <c r="CK15" s="614"/>
      <c r="CL15" s="614"/>
      <c r="CM15" s="614"/>
      <c r="CN15" s="614"/>
      <c r="CO15" s="614"/>
      <c r="CP15" s="614"/>
      <c r="CQ15" s="614"/>
      <c r="CR15" s="614"/>
      <c r="CS15" s="614"/>
      <c r="CT15" s="614"/>
      <c r="CU15" s="614"/>
      <c r="CV15" s="614"/>
      <c r="CW15" s="614"/>
      <c r="CX15" s="614"/>
      <c r="CY15" s="614"/>
      <c r="CZ15" s="614"/>
      <c r="DA15" s="614"/>
      <c r="DB15" s="614"/>
      <c r="DC15" s="614"/>
      <c r="DD15" s="614"/>
      <c r="DE15" s="614"/>
      <c r="DF15" s="614"/>
      <c r="DG15" s="614"/>
      <c r="DH15" s="614"/>
      <c r="DI15" s="614"/>
      <c r="DJ15" s="614"/>
      <c r="DK15" s="614"/>
      <c r="DL15" s="614"/>
      <c r="DM15" s="614"/>
      <c r="DN15" s="614"/>
      <c r="DO15" s="614"/>
      <c r="DP15" s="614"/>
      <c r="DQ15" s="614"/>
      <c r="DR15" s="614"/>
      <c r="DS15" s="614"/>
      <c r="DT15" s="614"/>
      <c r="DU15" s="614"/>
      <c r="DV15" s="614"/>
      <c r="DW15" s="614"/>
      <c r="DX15" s="614"/>
      <c r="DY15" s="614"/>
      <c r="DZ15" s="614"/>
      <c r="EA15" s="614"/>
      <c r="EB15" s="614"/>
      <c r="EC15" s="614"/>
      <c r="ED15" s="614"/>
      <c r="EE15" s="614"/>
      <c r="EF15" s="614"/>
      <c r="EG15" s="614"/>
      <c r="EH15" s="614"/>
      <c r="EI15" s="614"/>
      <c r="EJ15" s="614"/>
      <c r="EK15" s="614"/>
      <c r="EL15" s="614"/>
      <c r="EM15" s="614"/>
      <c r="EN15" s="614"/>
      <c r="EO15" s="614"/>
      <c r="EP15" s="614"/>
      <c r="EQ15" s="614"/>
      <c r="ER15" s="614"/>
      <c r="ES15" s="614"/>
      <c r="ET15" s="614"/>
      <c r="EU15" s="614"/>
      <c r="EV15" s="614"/>
      <c r="EW15" s="614"/>
      <c r="EX15" s="614"/>
      <c r="EY15" s="614"/>
      <c r="EZ15" s="614"/>
      <c r="FA15" s="614"/>
      <c r="FB15" s="614"/>
      <c r="FC15" s="614"/>
      <c r="FD15" s="614"/>
      <c r="FE15" s="614"/>
      <c r="FF15" s="614"/>
      <c r="FG15" s="614"/>
      <c r="FH15" s="614"/>
      <c r="FI15" s="614"/>
      <c r="FJ15" s="614"/>
      <c r="FK15" s="614"/>
      <c r="FL15" s="614"/>
      <c r="FM15" s="614"/>
      <c r="FN15" s="614"/>
      <c r="FO15" s="614"/>
      <c r="FP15" s="614"/>
      <c r="FQ15" s="614"/>
      <c r="FR15" s="614"/>
      <c r="FS15" s="614"/>
      <c r="FT15" s="614"/>
      <c r="FU15" s="614"/>
      <c r="FV15" s="614"/>
      <c r="FW15" s="614"/>
      <c r="FX15" s="614"/>
      <c r="FY15" s="614"/>
      <c r="FZ15" s="614"/>
      <c r="GA15" s="614"/>
      <c r="GB15" s="614"/>
      <c r="GC15" s="614"/>
      <c r="GD15" s="614"/>
      <c r="GE15" s="614"/>
      <c r="GF15" s="614"/>
      <c r="GG15" s="614"/>
      <c r="GH15" s="614"/>
      <c r="GI15" s="614"/>
      <c r="GJ15" s="614"/>
      <c r="GK15" s="614"/>
      <c r="GL15" s="614"/>
      <c r="GM15" s="614"/>
      <c r="GN15" s="614"/>
      <c r="GO15" s="614"/>
      <c r="GP15" s="614"/>
      <c r="GQ15" s="614"/>
      <c r="GR15" s="614"/>
      <c r="GS15" s="614"/>
      <c r="GT15" s="614"/>
      <c r="GU15" s="614"/>
      <c r="GV15" s="614"/>
      <c r="GW15" s="614"/>
      <c r="GX15" s="614"/>
      <c r="GY15" s="614"/>
      <c r="GZ15" s="614"/>
      <c r="HA15" s="614"/>
      <c r="HB15" s="614"/>
      <c r="HC15" s="614"/>
      <c r="HD15" s="614"/>
      <c r="HE15" s="614"/>
      <c r="HF15" s="614"/>
      <c r="HG15" s="614"/>
      <c r="HH15" s="614"/>
      <c r="HI15" s="614"/>
      <c r="HJ15" s="614"/>
      <c r="HK15" s="614"/>
      <c r="HL15" s="614"/>
      <c r="HM15" s="614"/>
      <c r="HN15" s="614"/>
      <c r="HO15" s="614"/>
      <c r="HP15" s="614"/>
      <c r="HQ15" s="614"/>
    </row>
    <row r="16" spans="1:226" s="663" customFormat="1" ht="13.5" x14ac:dyDescent="0.25">
      <c r="A16" s="666"/>
      <c r="B16" s="667"/>
      <c r="C16" s="654" t="s">
        <v>486</v>
      </c>
      <c r="D16" s="654" t="s">
        <v>487</v>
      </c>
      <c r="E16" s="659">
        <v>1</v>
      </c>
      <c r="F16" s="668">
        <v>11500</v>
      </c>
      <c r="G16" s="669"/>
      <c r="H16" s="658">
        <f>Table115[[#This Row],[Q]]*Table115[[#This Row],[$MXN OUT]]</f>
        <v>0</v>
      </c>
      <c r="I16" s="660"/>
      <c r="J16" s="665"/>
      <c r="K16" s="661">
        <f>+K15+Table115[[#This Row],[$MSN IN]]-Table115[[#This Row],[$MXN OUT]]</f>
        <v>34900</v>
      </c>
      <c r="L16" s="614"/>
      <c r="M16" s="614"/>
      <c r="N16" s="614"/>
      <c r="O16" s="614"/>
      <c r="P16" s="614"/>
      <c r="Q16" s="614"/>
      <c r="R16" s="614"/>
      <c r="S16" s="614"/>
      <c r="T16" s="614"/>
      <c r="U16" s="614"/>
      <c r="V16" s="614"/>
      <c r="W16" s="614"/>
      <c r="X16" s="614"/>
      <c r="Y16" s="614"/>
      <c r="Z16" s="614"/>
      <c r="AA16" s="614"/>
      <c r="AB16" s="614"/>
      <c r="AC16" s="614"/>
      <c r="AD16" s="614"/>
      <c r="AE16" s="614"/>
      <c r="AF16" s="614"/>
      <c r="AG16" s="614"/>
      <c r="AH16" s="614"/>
      <c r="AI16" s="614"/>
      <c r="AJ16" s="614"/>
      <c r="AK16" s="614"/>
      <c r="AL16" s="614"/>
      <c r="AM16" s="614"/>
      <c r="AN16" s="614"/>
      <c r="AO16" s="614"/>
      <c r="AP16" s="614"/>
      <c r="AQ16" s="614"/>
      <c r="AR16" s="614"/>
      <c r="AS16" s="614"/>
      <c r="AT16" s="614"/>
      <c r="AU16" s="614"/>
      <c r="AV16" s="614"/>
      <c r="AW16" s="614"/>
      <c r="AX16" s="614"/>
      <c r="AY16" s="614"/>
      <c r="AZ16" s="614"/>
      <c r="BA16" s="614"/>
      <c r="BB16" s="614"/>
      <c r="BC16" s="614"/>
      <c r="BD16" s="614"/>
      <c r="BE16" s="614"/>
      <c r="BF16" s="614"/>
      <c r="BG16" s="614"/>
      <c r="BH16" s="614"/>
      <c r="BI16" s="614"/>
      <c r="BJ16" s="614"/>
      <c r="BK16" s="614"/>
      <c r="BL16" s="614"/>
      <c r="BM16" s="614"/>
      <c r="BN16" s="614"/>
      <c r="BO16" s="614"/>
      <c r="BP16" s="614"/>
      <c r="BQ16" s="614"/>
      <c r="BR16" s="614"/>
      <c r="BS16" s="614"/>
      <c r="BT16" s="614"/>
      <c r="BU16" s="614"/>
      <c r="BV16" s="614"/>
      <c r="BW16" s="614"/>
      <c r="BX16" s="614"/>
      <c r="BY16" s="614"/>
      <c r="BZ16" s="614"/>
      <c r="CA16" s="614"/>
      <c r="CB16" s="614"/>
      <c r="CC16" s="614"/>
      <c r="CD16" s="614"/>
      <c r="CE16" s="614"/>
      <c r="CF16" s="614"/>
      <c r="CG16" s="614"/>
      <c r="CH16" s="614"/>
      <c r="CI16" s="614"/>
      <c r="CJ16" s="614"/>
      <c r="CK16" s="614"/>
      <c r="CL16" s="614"/>
      <c r="CM16" s="614"/>
      <c r="CN16" s="614"/>
      <c r="CO16" s="614"/>
      <c r="CP16" s="614"/>
      <c r="CQ16" s="614"/>
      <c r="CR16" s="614"/>
      <c r="CS16" s="614"/>
      <c r="CT16" s="614"/>
      <c r="CU16" s="614"/>
      <c r="CV16" s="614"/>
      <c r="CW16" s="614"/>
      <c r="CX16" s="614"/>
      <c r="CY16" s="614"/>
      <c r="CZ16" s="614"/>
      <c r="DA16" s="614"/>
      <c r="DB16" s="614"/>
      <c r="DC16" s="614"/>
      <c r="DD16" s="614"/>
      <c r="DE16" s="614"/>
      <c r="DF16" s="614"/>
      <c r="DG16" s="614"/>
      <c r="DH16" s="614"/>
      <c r="DI16" s="614"/>
      <c r="DJ16" s="614"/>
      <c r="DK16" s="614"/>
      <c r="DL16" s="614"/>
      <c r="DM16" s="614"/>
      <c r="DN16" s="614"/>
      <c r="DO16" s="614"/>
      <c r="DP16" s="614"/>
      <c r="DQ16" s="614"/>
      <c r="DR16" s="614"/>
      <c r="DS16" s="614"/>
      <c r="DT16" s="614"/>
      <c r="DU16" s="614"/>
      <c r="DV16" s="614"/>
      <c r="DW16" s="614"/>
      <c r="DX16" s="614"/>
      <c r="DY16" s="614"/>
      <c r="DZ16" s="614"/>
      <c r="EA16" s="614"/>
      <c r="EB16" s="614"/>
      <c r="EC16" s="614"/>
      <c r="ED16" s="614"/>
      <c r="EE16" s="614"/>
      <c r="EF16" s="614"/>
      <c r="EG16" s="614"/>
      <c r="EH16" s="614"/>
      <c r="EI16" s="614"/>
      <c r="EJ16" s="614"/>
      <c r="EK16" s="614"/>
      <c r="EL16" s="614"/>
      <c r="EM16" s="614"/>
      <c r="EN16" s="614"/>
      <c r="EO16" s="614"/>
      <c r="EP16" s="614"/>
      <c r="EQ16" s="614"/>
      <c r="ER16" s="614"/>
      <c r="ES16" s="614"/>
      <c r="ET16" s="614"/>
      <c r="EU16" s="614"/>
      <c r="EV16" s="614"/>
      <c r="EW16" s="614"/>
      <c r="EX16" s="614"/>
      <c r="EY16" s="614"/>
      <c r="EZ16" s="614"/>
      <c r="FA16" s="614"/>
      <c r="FB16" s="614"/>
      <c r="FC16" s="614"/>
      <c r="FD16" s="614"/>
      <c r="FE16" s="614"/>
      <c r="FF16" s="614"/>
      <c r="FG16" s="614"/>
      <c r="FH16" s="614"/>
      <c r="FI16" s="614"/>
      <c r="FJ16" s="614"/>
      <c r="FK16" s="614"/>
      <c r="FL16" s="614"/>
      <c r="FM16" s="614"/>
      <c r="FN16" s="614"/>
      <c r="FO16" s="614"/>
      <c r="FP16" s="614"/>
      <c r="FQ16" s="614"/>
      <c r="FR16" s="614"/>
      <c r="FS16" s="614"/>
      <c r="FT16" s="614"/>
      <c r="FU16" s="614"/>
      <c r="FV16" s="614"/>
      <c r="FW16" s="614"/>
      <c r="FX16" s="614"/>
      <c r="FY16" s="614"/>
      <c r="FZ16" s="614"/>
      <c r="GA16" s="614"/>
      <c r="GB16" s="614"/>
      <c r="GC16" s="614"/>
      <c r="GD16" s="614"/>
      <c r="GE16" s="614"/>
      <c r="GF16" s="614"/>
      <c r="GG16" s="614"/>
      <c r="GH16" s="614"/>
      <c r="GI16" s="614"/>
      <c r="GJ16" s="614"/>
      <c r="GK16" s="614"/>
      <c r="GL16" s="614"/>
      <c r="GM16" s="614"/>
      <c r="GN16" s="614"/>
      <c r="GO16" s="614"/>
      <c r="GP16" s="614"/>
      <c r="GQ16" s="614"/>
      <c r="GR16" s="614"/>
      <c r="GS16" s="614"/>
      <c r="GT16" s="614"/>
      <c r="GU16" s="614"/>
      <c r="GV16" s="614"/>
      <c r="GW16" s="614"/>
      <c r="GX16" s="614"/>
      <c r="GY16" s="614"/>
      <c r="GZ16" s="614"/>
      <c r="HA16" s="614"/>
      <c r="HB16" s="614"/>
      <c r="HC16" s="614"/>
      <c r="HD16" s="614"/>
      <c r="HE16" s="614"/>
      <c r="HF16" s="614"/>
      <c r="HG16" s="614"/>
      <c r="HH16" s="614"/>
      <c r="HI16" s="614"/>
      <c r="HJ16" s="614"/>
      <c r="HK16" s="614"/>
      <c r="HL16" s="614"/>
      <c r="HM16" s="614"/>
      <c r="HN16" s="614"/>
      <c r="HO16" s="614"/>
      <c r="HP16" s="614"/>
      <c r="HQ16" s="614"/>
      <c r="HR16" s="614"/>
    </row>
    <row r="17" spans="1:226" s="663" customFormat="1" ht="13.5" x14ac:dyDescent="0.25">
      <c r="A17" s="666"/>
      <c r="B17" s="667"/>
      <c r="C17" s="654" t="s">
        <v>486</v>
      </c>
      <c r="D17" s="654" t="s">
        <v>487</v>
      </c>
      <c r="E17" s="655">
        <v>1</v>
      </c>
      <c r="F17" s="668">
        <v>11500</v>
      </c>
      <c r="G17" s="669"/>
      <c r="H17" s="658">
        <f>Table115[[#This Row],[Q]]*Table115[[#This Row],[$MXN OUT]]</f>
        <v>0</v>
      </c>
      <c r="I17" s="660"/>
      <c r="J17" s="665"/>
      <c r="K17" s="661">
        <f>+K16+Table115[[#This Row],[$MSN IN]]-Table115[[#This Row],[$MXN OUT]]</f>
        <v>46400</v>
      </c>
      <c r="L17" s="614"/>
      <c r="M17" s="614"/>
      <c r="N17" s="614"/>
      <c r="O17" s="614"/>
      <c r="P17" s="614"/>
      <c r="Q17" s="614"/>
      <c r="R17" s="614"/>
      <c r="S17" s="614"/>
      <c r="T17" s="614"/>
      <c r="U17" s="614"/>
      <c r="V17" s="614"/>
      <c r="W17" s="614"/>
      <c r="X17" s="614"/>
      <c r="Y17" s="614"/>
      <c r="Z17" s="614"/>
      <c r="AA17" s="614"/>
      <c r="AB17" s="614"/>
      <c r="AC17" s="614"/>
      <c r="AD17" s="614"/>
      <c r="AE17" s="614"/>
      <c r="AF17" s="614"/>
      <c r="AG17" s="614"/>
      <c r="AH17" s="614"/>
      <c r="AI17" s="614"/>
      <c r="AJ17" s="614"/>
      <c r="AK17" s="614"/>
      <c r="AL17" s="614"/>
      <c r="AM17" s="614"/>
      <c r="AN17" s="614"/>
      <c r="AO17" s="614"/>
      <c r="AP17" s="614"/>
      <c r="AQ17" s="614"/>
      <c r="AR17" s="614"/>
      <c r="AS17" s="614"/>
      <c r="AT17" s="614"/>
      <c r="AU17" s="614"/>
      <c r="AV17" s="614"/>
      <c r="AW17" s="614"/>
      <c r="AX17" s="614"/>
      <c r="AY17" s="614"/>
      <c r="AZ17" s="614"/>
      <c r="BA17" s="614"/>
      <c r="BB17" s="614"/>
      <c r="BC17" s="614"/>
      <c r="BD17" s="614"/>
      <c r="BE17" s="614"/>
      <c r="BF17" s="614"/>
      <c r="BG17" s="614"/>
      <c r="BH17" s="614"/>
      <c r="BI17" s="614"/>
      <c r="BJ17" s="614"/>
      <c r="BK17" s="614"/>
      <c r="BL17" s="614"/>
      <c r="BM17" s="614"/>
      <c r="BN17" s="614"/>
      <c r="BO17" s="614"/>
      <c r="BP17" s="614"/>
      <c r="BQ17" s="614"/>
      <c r="BR17" s="614"/>
      <c r="BS17" s="614"/>
      <c r="BT17" s="614"/>
      <c r="BU17" s="614"/>
      <c r="BV17" s="614"/>
      <c r="BW17" s="614"/>
      <c r="BX17" s="614"/>
      <c r="BY17" s="614"/>
      <c r="BZ17" s="614"/>
      <c r="CA17" s="614"/>
      <c r="CB17" s="614"/>
      <c r="CC17" s="614"/>
      <c r="CD17" s="614"/>
      <c r="CE17" s="614"/>
      <c r="CF17" s="614"/>
      <c r="CG17" s="614"/>
      <c r="CH17" s="614"/>
      <c r="CI17" s="614"/>
      <c r="CJ17" s="614"/>
      <c r="CK17" s="614"/>
      <c r="CL17" s="614"/>
      <c r="CM17" s="614"/>
      <c r="CN17" s="614"/>
      <c r="CO17" s="614"/>
      <c r="CP17" s="614"/>
      <c r="CQ17" s="614"/>
      <c r="CR17" s="614"/>
      <c r="CS17" s="614"/>
      <c r="CT17" s="614"/>
      <c r="CU17" s="614"/>
      <c r="CV17" s="614"/>
      <c r="CW17" s="614"/>
      <c r="CX17" s="614"/>
      <c r="CY17" s="614"/>
      <c r="CZ17" s="614"/>
      <c r="DA17" s="614"/>
      <c r="DB17" s="614"/>
      <c r="DC17" s="614"/>
      <c r="DD17" s="614"/>
      <c r="DE17" s="614"/>
      <c r="DF17" s="614"/>
      <c r="DG17" s="614"/>
      <c r="DH17" s="614"/>
      <c r="DI17" s="614"/>
      <c r="DJ17" s="614"/>
      <c r="DK17" s="614"/>
      <c r="DL17" s="614"/>
      <c r="DM17" s="614"/>
      <c r="DN17" s="614"/>
      <c r="DO17" s="614"/>
      <c r="DP17" s="614"/>
      <c r="DQ17" s="614"/>
      <c r="DR17" s="614"/>
      <c r="DS17" s="614"/>
      <c r="DT17" s="614"/>
      <c r="DU17" s="614"/>
      <c r="DV17" s="614"/>
      <c r="DW17" s="614"/>
      <c r="DX17" s="614"/>
      <c r="DY17" s="614"/>
      <c r="DZ17" s="614"/>
      <c r="EA17" s="614"/>
      <c r="EB17" s="614"/>
      <c r="EC17" s="614"/>
      <c r="ED17" s="614"/>
      <c r="EE17" s="614"/>
      <c r="EF17" s="614"/>
      <c r="EG17" s="614"/>
      <c r="EH17" s="614"/>
      <c r="EI17" s="614"/>
      <c r="EJ17" s="614"/>
      <c r="EK17" s="614"/>
      <c r="EL17" s="614"/>
      <c r="EM17" s="614"/>
      <c r="EN17" s="614"/>
      <c r="EO17" s="614"/>
      <c r="EP17" s="614"/>
      <c r="EQ17" s="614"/>
      <c r="ER17" s="614"/>
      <c r="ES17" s="614"/>
      <c r="ET17" s="614"/>
      <c r="EU17" s="614"/>
      <c r="EV17" s="614"/>
      <c r="EW17" s="614"/>
      <c r="EX17" s="614"/>
      <c r="EY17" s="614"/>
      <c r="EZ17" s="614"/>
      <c r="FA17" s="614"/>
      <c r="FB17" s="614"/>
      <c r="FC17" s="614"/>
      <c r="FD17" s="614"/>
      <c r="FE17" s="614"/>
      <c r="FF17" s="614"/>
      <c r="FG17" s="614"/>
      <c r="FH17" s="614"/>
      <c r="FI17" s="614"/>
      <c r="FJ17" s="614"/>
      <c r="FK17" s="614"/>
      <c r="FL17" s="614"/>
      <c r="FM17" s="614"/>
      <c r="FN17" s="614"/>
      <c r="FO17" s="614"/>
      <c r="FP17" s="614"/>
      <c r="FQ17" s="614"/>
      <c r="FR17" s="614"/>
      <c r="FS17" s="614"/>
      <c r="FT17" s="614"/>
      <c r="FU17" s="614"/>
      <c r="FV17" s="614"/>
      <c r="FW17" s="614"/>
      <c r="FX17" s="614"/>
      <c r="FY17" s="614"/>
      <c r="FZ17" s="614"/>
      <c r="GA17" s="614"/>
      <c r="GB17" s="614"/>
      <c r="GC17" s="614"/>
      <c r="GD17" s="614"/>
      <c r="GE17" s="614"/>
      <c r="GF17" s="614"/>
      <c r="GG17" s="614"/>
      <c r="GH17" s="614"/>
      <c r="GI17" s="614"/>
      <c r="GJ17" s="614"/>
      <c r="GK17" s="614"/>
      <c r="GL17" s="614"/>
      <c r="GM17" s="614"/>
      <c r="GN17" s="614"/>
      <c r="GO17" s="614"/>
      <c r="GP17" s="614"/>
      <c r="GQ17" s="614"/>
      <c r="GR17" s="614"/>
      <c r="GS17" s="614"/>
      <c r="GT17" s="614"/>
      <c r="GU17" s="614"/>
      <c r="GV17" s="614"/>
      <c r="GW17" s="614"/>
      <c r="GX17" s="614"/>
      <c r="GY17" s="614"/>
      <c r="GZ17" s="614"/>
      <c r="HA17" s="614"/>
      <c r="HB17" s="614"/>
      <c r="HC17" s="614"/>
      <c r="HD17" s="614"/>
      <c r="HE17" s="614"/>
      <c r="HF17" s="614"/>
      <c r="HG17" s="614"/>
      <c r="HH17" s="614"/>
      <c r="HI17" s="614"/>
      <c r="HJ17" s="614"/>
      <c r="HK17" s="614"/>
      <c r="HL17" s="614"/>
      <c r="HM17" s="614"/>
      <c r="HN17" s="614"/>
      <c r="HO17" s="614"/>
      <c r="HP17" s="614"/>
      <c r="HQ17" s="614"/>
      <c r="HR17" s="614"/>
    </row>
    <row r="18" spans="1:226" s="663" customFormat="1" ht="13.5" x14ac:dyDescent="0.25">
      <c r="A18" s="666" t="s">
        <v>495</v>
      </c>
      <c r="B18" s="667"/>
      <c r="C18" s="654" t="s">
        <v>486</v>
      </c>
      <c r="D18" s="654" t="s">
        <v>487</v>
      </c>
      <c r="E18" s="659">
        <v>1</v>
      </c>
      <c r="F18" s="668">
        <v>10000</v>
      </c>
      <c r="G18" s="669"/>
      <c r="H18" s="658">
        <f>Table115[[#This Row],[Q]]*Table115[[#This Row],[$MXN OUT]]</f>
        <v>0</v>
      </c>
      <c r="I18" s="660"/>
      <c r="J18" s="665"/>
      <c r="K18" s="661">
        <f>+K17+Table115[[#This Row],[$MSN IN]]-Table115[[#This Row],[$MXN OUT]]</f>
        <v>56400</v>
      </c>
      <c r="L18" s="614"/>
      <c r="M18" s="614"/>
      <c r="N18" s="614"/>
      <c r="O18" s="614"/>
      <c r="P18" s="614"/>
      <c r="Q18" s="614"/>
      <c r="R18" s="614"/>
      <c r="S18" s="614"/>
      <c r="T18" s="614"/>
      <c r="U18" s="614"/>
      <c r="V18" s="614"/>
      <c r="W18" s="614"/>
      <c r="X18" s="614"/>
      <c r="Y18" s="614"/>
      <c r="Z18" s="614"/>
      <c r="AA18" s="614"/>
      <c r="AB18" s="614"/>
      <c r="AC18" s="614"/>
      <c r="AD18" s="614"/>
      <c r="AE18" s="614"/>
      <c r="AF18" s="614"/>
      <c r="AG18" s="614"/>
      <c r="AH18" s="614"/>
      <c r="AI18" s="614"/>
      <c r="AJ18" s="614"/>
      <c r="AK18" s="614"/>
      <c r="AL18" s="614"/>
      <c r="AM18" s="614"/>
      <c r="AN18" s="614"/>
      <c r="AO18" s="614"/>
      <c r="AP18" s="614"/>
      <c r="AQ18" s="614"/>
      <c r="AR18" s="614"/>
      <c r="AS18" s="614"/>
      <c r="AT18" s="614"/>
      <c r="AU18" s="614"/>
      <c r="AV18" s="614"/>
      <c r="AW18" s="614"/>
      <c r="AX18" s="614"/>
      <c r="AY18" s="614"/>
      <c r="AZ18" s="614"/>
      <c r="BA18" s="614"/>
      <c r="BB18" s="614"/>
      <c r="BC18" s="614"/>
      <c r="BD18" s="614"/>
      <c r="BE18" s="614"/>
      <c r="BF18" s="614"/>
      <c r="BG18" s="614"/>
      <c r="BH18" s="614"/>
      <c r="BI18" s="614"/>
      <c r="BJ18" s="614"/>
      <c r="BK18" s="614"/>
      <c r="BL18" s="614"/>
      <c r="BM18" s="614"/>
      <c r="BN18" s="614"/>
      <c r="BO18" s="614"/>
      <c r="BP18" s="614"/>
      <c r="BQ18" s="614"/>
      <c r="BR18" s="614"/>
      <c r="BS18" s="614"/>
      <c r="BT18" s="614"/>
      <c r="BU18" s="614"/>
      <c r="BV18" s="614"/>
      <c r="BW18" s="614"/>
      <c r="BX18" s="614"/>
      <c r="BY18" s="614"/>
      <c r="BZ18" s="614"/>
      <c r="CA18" s="614"/>
      <c r="CB18" s="614"/>
      <c r="CC18" s="614"/>
      <c r="CD18" s="614"/>
      <c r="CE18" s="614"/>
      <c r="CF18" s="614"/>
      <c r="CG18" s="614"/>
      <c r="CH18" s="614"/>
      <c r="CI18" s="614"/>
      <c r="CJ18" s="614"/>
      <c r="CK18" s="614"/>
      <c r="CL18" s="614"/>
      <c r="CM18" s="614"/>
      <c r="CN18" s="614"/>
      <c r="CO18" s="614"/>
      <c r="CP18" s="614"/>
      <c r="CQ18" s="614"/>
      <c r="CR18" s="614"/>
      <c r="CS18" s="614"/>
      <c r="CT18" s="614"/>
      <c r="CU18" s="614"/>
      <c r="CV18" s="614"/>
      <c r="CW18" s="614"/>
      <c r="CX18" s="614"/>
      <c r="CY18" s="614"/>
      <c r="CZ18" s="614"/>
      <c r="DA18" s="614"/>
      <c r="DB18" s="614"/>
      <c r="DC18" s="614"/>
      <c r="DD18" s="614"/>
      <c r="DE18" s="614"/>
      <c r="DF18" s="614"/>
      <c r="DG18" s="614"/>
      <c r="DH18" s="614"/>
      <c r="DI18" s="614"/>
      <c r="DJ18" s="614"/>
      <c r="DK18" s="614"/>
      <c r="DL18" s="614"/>
      <c r="DM18" s="614"/>
      <c r="DN18" s="614"/>
      <c r="DO18" s="614"/>
      <c r="DP18" s="614"/>
      <c r="DQ18" s="614"/>
      <c r="DR18" s="614"/>
      <c r="DS18" s="614"/>
      <c r="DT18" s="614"/>
      <c r="DU18" s="614"/>
      <c r="DV18" s="614"/>
      <c r="DW18" s="614"/>
      <c r="DX18" s="614"/>
      <c r="DY18" s="614"/>
      <c r="DZ18" s="614"/>
      <c r="EA18" s="614"/>
      <c r="EB18" s="614"/>
      <c r="EC18" s="614"/>
      <c r="ED18" s="614"/>
      <c r="EE18" s="614"/>
      <c r="EF18" s="614"/>
      <c r="EG18" s="614"/>
      <c r="EH18" s="614"/>
      <c r="EI18" s="614"/>
      <c r="EJ18" s="614"/>
      <c r="EK18" s="614"/>
      <c r="EL18" s="614"/>
      <c r="EM18" s="614"/>
      <c r="EN18" s="614"/>
      <c r="EO18" s="614"/>
      <c r="EP18" s="614"/>
      <c r="EQ18" s="614"/>
      <c r="ER18" s="614"/>
      <c r="ES18" s="614"/>
      <c r="ET18" s="614"/>
      <c r="EU18" s="614"/>
      <c r="EV18" s="614"/>
      <c r="EW18" s="614"/>
      <c r="EX18" s="614"/>
      <c r="EY18" s="614"/>
      <c r="EZ18" s="614"/>
      <c r="FA18" s="614"/>
      <c r="FB18" s="614"/>
      <c r="FC18" s="614"/>
      <c r="FD18" s="614"/>
      <c r="FE18" s="614"/>
      <c r="FF18" s="614"/>
      <c r="FG18" s="614"/>
      <c r="FH18" s="614"/>
      <c r="FI18" s="614"/>
      <c r="FJ18" s="614"/>
      <c r="FK18" s="614"/>
      <c r="FL18" s="614"/>
      <c r="FM18" s="614"/>
      <c r="FN18" s="614"/>
      <c r="FO18" s="614"/>
      <c r="FP18" s="614"/>
      <c r="FQ18" s="614"/>
      <c r="FR18" s="614"/>
      <c r="FS18" s="614"/>
      <c r="FT18" s="614"/>
      <c r="FU18" s="614"/>
      <c r="FV18" s="614"/>
      <c r="FW18" s="614"/>
      <c r="FX18" s="614"/>
      <c r="FY18" s="614"/>
      <c r="FZ18" s="614"/>
      <c r="GA18" s="614"/>
      <c r="GB18" s="614"/>
      <c r="GC18" s="614"/>
      <c r="GD18" s="614"/>
      <c r="GE18" s="614"/>
      <c r="GF18" s="614"/>
      <c r="GG18" s="614"/>
      <c r="GH18" s="614"/>
      <c r="GI18" s="614"/>
      <c r="GJ18" s="614"/>
      <c r="GK18" s="614"/>
      <c r="GL18" s="614"/>
      <c r="GM18" s="614"/>
      <c r="GN18" s="614"/>
      <c r="GO18" s="614"/>
      <c r="GP18" s="614"/>
      <c r="GQ18" s="614"/>
      <c r="GR18" s="614"/>
      <c r="GS18" s="614"/>
      <c r="GT18" s="614"/>
      <c r="GU18" s="614"/>
      <c r="GV18" s="614"/>
      <c r="GW18" s="614"/>
      <c r="GX18" s="614"/>
      <c r="GY18" s="614"/>
      <c r="GZ18" s="614"/>
      <c r="HA18" s="614"/>
      <c r="HB18" s="614"/>
      <c r="HC18" s="614"/>
      <c r="HD18" s="614"/>
      <c r="HE18" s="614"/>
      <c r="HF18" s="614"/>
      <c r="HG18" s="614"/>
      <c r="HH18" s="614"/>
      <c r="HI18" s="614"/>
      <c r="HJ18" s="614"/>
      <c r="HK18" s="614"/>
      <c r="HL18" s="614"/>
      <c r="HM18" s="614"/>
      <c r="HN18" s="614"/>
      <c r="HO18" s="614"/>
      <c r="HP18" s="614"/>
      <c r="HQ18" s="614"/>
      <c r="HR18" s="614"/>
    </row>
    <row r="19" spans="1:226" s="663" customFormat="1" ht="13.5" x14ac:dyDescent="0.25">
      <c r="A19" s="666"/>
      <c r="B19" s="667" t="s">
        <v>496</v>
      </c>
      <c r="C19" s="654" t="s">
        <v>497</v>
      </c>
      <c r="D19" s="654" t="s">
        <v>498</v>
      </c>
      <c r="E19" s="655">
        <v>1</v>
      </c>
      <c r="F19" s="668"/>
      <c r="G19" s="669">
        <v>50000</v>
      </c>
      <c r="H19" s="658">
        <f>Table115[[#This Row],[Q]]*Table115[[#This Row],[$MXN OUT]]</f>
        <v>50000</v>
      </c>
      <c r="I19" s="660"/>
      <c r="J19" s="665"/>
      <c r="K19" s="661">
        <f>+K18+Table115[[#This Row],[$MSN IN]]-Table115[[#This Row],[$MXN OUT]]</f>
        <v>6400</v>
      </c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614"/>
      <c r="AB19" s="614"/>
      <c r="AC19" s="614"/>
      <c r="AD19" s="614"/>
      <c r="AE19" s="614"/>
      <c r="AF19" s="614"/>
      <c r="AG19" s="614"/>
      <c r="AH19" s="614"/>
      <c r="AI19" s="614"/>
      <c r="AJ19" s="614"/>
      <c r="AK19" s="614"/>
      <c r="AL19" s="614"/>
      <c r="AM19" s="614"/>
      <c r="AN19" s="614"/>
      <c r="AO19" s="614"/>
      <c r="AP19" s="614"/>
      <c r="AQ19" s="614"/>
      <c r="AR19" s="614"/>
      <c r="AS19" s="614"/>
      <c r="AT19" s="614"/>
      <c r="AU19" s="614"/>
      <c r="AV19" s="614"/>
      <c r="AW19" s="614"/>
      <c r="AX19" s="614"/>
      <c r="AY19" s="614"/>
      <c r="AZ19" s="614"/>
      <c r="BA19" s="614"/>
      <c r="BB19" s="614"/>
      <c r="BC19" s="614"/>
      <c r="BD19" s="614"/>
      <c r="BE19" s="614"/>
      <c r="BF19" s="614"/>
      <c r="BG19" s="614"/>
      <c r="BH19" s="614"/>
      <c r="BI19" s="614"/>
      <c r="BJ19" s="614"/>
      <c r="BK19" s="614"/>
      <c r="BL19" s="614"/>
      <c r="BM19" s="614"/>
      <c r="BN19" s="614"/>
      <c r="BO19" s="614"/>
      <c r="BP19" s="614"/>
      <c r="BQ19" s="614"/>
      <c r="BR19" s="614"/>
      <c r="BS19" s="614"/>
      <c r="BT19" s="614"/>
      <c r="BU19" s="614"/>
      <c r="BV19" s="614"/>
      <c r="BW19" s="614"/>
      <c r="BX19" s="614"/>
      <c r="BY19" s="614"/>
      <c r="BZ19" s="614"/>
      <c r="CA19" s="614"/>
      <c r="CB19" s="614"/>
      <c r="CC19" s="614"/>
      <c r="CD19" s="614"/>
      <c r="CE19" s="614"/>
      <c r="CF19" s="614"/>
      <c r="CG19" s="614"/>
      <c r="CH19" s="614"/>
      <c r="CI19" s="614"/>
      <c r="CJ19" s="614"/>
      <c r="CK19" s="614"/>
      <c r="CL19" s="614"/>
      <c r="CM19" s="614"/>
      <c r="CN19" s="614"/>
      <c r="CO19" s="614"/>
      <c r="CP19" s="614"/>
      <c r="CQ19" s="614"/>
      <c r="CR19" s="614"/>
      <c r="CS19" s="614"/>
      <c r="CT19" s="614"/>
      <c r="CU19" s="614"/>
      <c r="CV19" s="614"/>
      <c r="CW19" s="614"/>
      <c r="CX19" s="614"/>
      <c r="CY19" s="614"/>
      <c r="CZ19" s="614"/>
      <c r="DA19" s="614"/>
      <c r="DB19" s="614"/>
      <c r="DC19" s="614"/>
      <c r="DD19" s="614"/>
      <c r="DE19" s="614"/>
      <c r="DF19" s="614"/>
      <c r="DG19" s="614"/>
      <c r="DH19" s="614"/>
      <c r="DI19" s="614"/>
      <c r="DJ19" s="614"/>
      <c r="DK19" s="614"/>
      <c r="DL19" s="614"/>
      <c r="DM19" s="614"/>
      <c r="DN19" s="614"/>
      <c r="DO19" s="614"/>
      <c r="DP19" s="614"/>
      <c r="DQ19" s="614"/>
      <c r="DR19" s="614"/>
      <c r="DS19" s="614"/>
      <c r="DT19" s="614"/>
      <c r="DU19" s="614"/>
      <c r="DV19" s="614"/>
      <c r="DW19" s="614"/>
      <c r="DX19" s="614"/>
      <c r="DY19" s="614"/>
      <c r="DZ19" s="614"/>
      <c r="EA19" s="614"/>
      <c r="EB19" s="614"/>
      <c r="EC19" s="614"/>
      <c r="ED19" s="614"/>
      <c r="EE19" s="614"/>
      <c r="EF19" s="614"/>
      <c r="EG19" s="614"/>
      <c r="EH19" s="614"/>
      <c r="EI19" s="614"/>
      <c r="EJ19" s="614"/>
      <c r="EK19" s="614"/>
      <c r="EL19" s="614"/>
      <c r="EM19" s="614"/>
      <c r="EN19" s="614"/>
      <c r="EO19" s="614"/>
      <c r="EP19" s="614"/>
      <c r="EQ19" s="614"/>
      <c r="ER19" s="614"/>
      <c r="ES19" s="614"/>
      <c r="ET19" s="614"/>
      <c r="EU19" s="614"/>
      <c r="EV19" s="614"/>
      <c r="EW19" s="614"/>
      <c r="EX19" s="614"/>
      <c r="EY19" s="614"/>
      <c r="EZ19" s="614"/>
      <c r="FA19" s="614"/>
      <c r="FB19" s="614"/>
      <c r="FC19" s="614"/>
      <c r="FD19" s="614"/>
      <c r="FE19" s="614"/>
      <c r="FF19" s="614"/>
      <c r="FG19" s="614"/>
      <c r="FH19" s="614"/>
      <c r="FI19" s="614"/>
      <c r="FJ19" s="614"/>
      <c r="FK19" s="614"/>
      <c r="FL19" s="614"/>
      <c r="FM19" s="614"/>
      <c r="FN19" s="614"/>
      <c r="FO19" s="614"/>
      <c r="FP19" s="614"/>
      <c r="FQ19" s="614"/>
      <c r="FR19" s="614"/>
      <c r="FS19" s="614"/>
      <c r="FT19" s="614"/>
      <c r="FU19" s="614"/>
      <c r="FV19" s="614"/>
      <c r="FW19" s="614"/>
      <c r="FX19" s="614"/>
      <c r="FY19" s="614"/>
      <c r="FZ19" s="614"/>
      <c r="GA19" s="614"/>
      <c r="GB19" s="614"/>
      <c r="GC19" s="614"/>
      <c r="GD19" s="614"/>
      <c r="GE19" s="614"/>
      <c r="GF19" s="614"/>
      <c r="GG19" s="614"/>
      <c r="GH19" s="614"/>
      <c r="GI19" s="614"/>
      <c r="GJ19" s="614"/>
      <c r="GK19" s="614"/>
      <c r="GL19" s="614"/>
      <c r="GM19" s="614"/>
      <c r="GN19" s="614"/>
      <c r="GO19" s="614"/>
      <c r="GP19" s="614"/>
      <c r="GQ19" s="614"/>
      <c r="GR19" s="614"/>
      <c r="GS19" s="614"/>
      <c r="GT19" s="614"/>
      <c r="GU19" s="614"/>
      <c r="GV19" s="614"/>
      <c r="GW19" s="614"/>
      <c r="GX19" s="614"/>
      <c r="GY19" s="614"/>
      <c r="GZ19" s="614"/>
      <c r="HA19" s="614"/>
      <c r="HB19" s="614"/>
      <c r="HC19" s="614"/>
      <c r="HD19" s="614"/>
      <c r="HE19" s="614"/>
      <c r="HF19" s="614"/>
      <c r="HG19" s="614"/>
      <c r="HH19" s="614"/>
      <c r="HI19" s="614"/>
      <c r="HJ19" s="614"/>
      <c r="HK19" s="614"/>
      <c r="HL19" s="614"/>
      <c r="HM19" s="614"/>
      <c r="HN19" s="614"/>
      <c r="HO19" s="614"/>
      <c r="HP19" s="614"/>
      <c r="HQ19" s="614"/>
      <c r="HR19" s="614"/>
    </row>
    <row r="20" spans="1:226" s="663" customFormat="1" ht="13.5" x14ac:dyDescent="0.25">
      <c r="A20" s="666"/>
      <c r="B20" s="667" t="s">
        <v>475</v>
      </c>
      <c r="C20" s="654" t="s">
        <v>499</v>
      </c>
      <c r="D20" s="654" t="s">
        <v>500</v>
      </c>
      <c r="E20" s="655">
        <v>6</v>
      </c>
      <c r="F20" s="668"/>
      <c r="G20" s="669">
        <v>1300</v>
      </c>
      <c r="H20" s="658">
        <f>Table115[[#This Row],[Q]]*Table115[[#This Row],[$MXN OUT]]</f>
        <v>7800</v>
      </c>
      <c r="I20" s="660"/>
      <c r="J20" s="665"/>
      <c r="K20" s="661">
        <f>+K19+Table115[[#This Row],[$MSN IN]]-Table115[[#This Row],[$MXN OUT]]</f>
        <v>5100</v>
      </c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614"/>
      <c r="W20" s="614"/>
      <c r="X20" s="614"/>
      <c r="Y20" s="614"/>
      <c r="Z20" s="614"/>
      <c r="AA20" s="614"/>
      <c r="AB20" s="614"/>
      <c r="AC20" s="614"/>
      <c r="AD20" s="614"/>
      <c r="AE20" s="614"/>
      <c r="AF20" s="614"/>
      <c r="AG20" s="614"/>
      <c r="AH20" s="614"/>
      <c r="AI20" s="614"/>
      <c r="AJ20" s="614"/>
      <c r="AK20" s="614"/>
      <c r="AL20" s="614"/>
      <c r="AM20" s="614"/>
      <c r="AN20" s="614"/>
      <c r="AO20" s="614"/>
      <c r="AP20" s="614"/>
      <c r="AQ20" s="614"/>
      <c r="AR20" s="614"/>
      <c r="AS20" s="614"/>
      <c r="AT20" s="614"/>
      <c r="AU20" s="614"/>
      <c r="AV20" s="614"/>
      <c r="AW20" s="614"/>
      <c r="AX20" s="614"/>
      <c r="AY20" s="614"/>
      <c r="AZ20" s="614"/>
      <c r="BA20" s="614"/>
      <c r="BB20" s="614"/>
      <c r="BC20" s="614"/>
      <c r="BD20" s="614"/>
      <c r="BE20" s="614"/>
      <c r="BF20" s="614"/>
      <c r="BG20" s="614"/>
      <c r="BH20" s="614"/>
      <c r="BI20" s="614"/>
      <c r="BJ20" s="614"/>
      <c r="BK20" s="614"/>
      <c r="BL20" s="614"/>
      <c r="BM20" s="614"/>
      <c r="BN20" s="614"/>
      <c r="BO20" s="614"/>
      <c r="BP20" s="614"/>
      <c r="BQ20" s="614"/>
      <c r="BR20" s="614"/>
      <c r="BS20" s="614"/>
      <c r="BT20" s="614"/>
      <c r="BU20" s="614"/>
      <c r="BV20" s="614"/>
      <c r="BW20" s="614"/>
      <c r="BX20" s="614"/>
      <c r="BY20" s="614"/>
      <c r="BZ20" s="614"/>
      <c r="CA20" s="614"/>
      <c r="CB20" s="614"/>
      <c r="CC20" s="614"/>
      <c r="CD20" s="614"/>
      <c r="CE20" s="614"/>
      <c r="CF20" s="614"/>
      <c r="CG20" s="614"/>
      <c r="CH20" s="614"/>
      <c r="CI20" s="614"/>
      <c r="CJ20" s="614"/>
      <c r="CK20" s="614"/>
      <c r="CL20" s="614"/>
      <c r="CM20" s="614"/>
      <c r="CN20" s="614"/>
      <c r="CO20" s="614"/>
      <c r="CP20" s="614"/>
      <c r="CQ20" s="614"/>
      <c r="CR20" s="614"/>
      <c r="CS20" s="614"/>
      <c r="CT20" s="614"/>
      <c r="CU20" s="614"/>
      <c r="CV20" s="614"/>
      <c r="CW20" s="614"/>
      <c r="CX20" s="614"/>
      <c r="CY20" s="614"/>
      <c r="CZ20" s="614"/>
      <c r="DA20" s="614"/>
      <c r="DB20" s="614"/>
      <c r="DC20" s="614"/>
      <c r="DD20" s="614"/>
      <c r="DE20" s="614"/>
      <c r="DF20" s="614"/>
      <c r="DG20" s="614"/>
      <c r="DH20" s="614"/>
      <c r="DI20" s="614"/>
      <c r="DJ20" s="614"/>
      <c r="DK20" s="614"/>
      <c r="DL20" s="614"/>
      <c r="DM20" s="614"/>
      <c r="DN20" s="614"/>
      <c r="DO20" s="614"/>
      <c r="DP20" s="614"/>
      <c r="DQ20" s="614"/>
      <c r="DR20" s="614"/>
      <c r="DS20" s="614"/>
      <c r="DT20" s="614"/>
      <c r="DU20" s="614"/>
      <c r="DV20" s="614"/>
      <c r="DW20" s="614"/>
      <c r="DX20" s="614"/>
      <c r="DY20" s="614"/>
      <c r="DZ20" s="614"/>
      <c r="EA20" s="614"/>
      <c r="EB20" s="614"/>
      <c r="EC20" s="614"/>
      <c r="ED20" s="614"/>
      <c r="EE20" s="614"/>
      <c r="EF20" s="614"/>
      <c r="EG20" s="614"/>
      <c r="EH20" s="614"/>
      <c r="EI20" s="614"/>
      <c r="EJ20" s="614"/>
      <c r="EK20" s="614"/>
      <c r="EL20" s="614"/>
      <c r="EM20" s="614"/>
      <c r="EN20" s="614"/>
      <c r="EO20" s="614"/>
      <c r="EP20" s="614"/>
      <c r="EQ20" s="614"/>
      <c r="ER20" s="614"/>
      <c r="ES20" s="614"/>
      <c r="ET20" s="614"/>
      <c r="EU20" s="614"/>
      <c r="EV20" s="614"/>
      <c r="EW20" s="614"/>
      <c r="EX20" s="614"/>
      <c r="EY20" s="614"/>
      <c r="EZ20" s="614"/>
      <c r="FA20" s="614"/>
      <c r="FB20" s="614"/>
      <c r="FC20" s="614"/>
      <c r="FD20" s="614"/>
      <c r="FE20" s="614"/>
      <c r="FF20" s="614"/>
      <c r="FG20" s="614"/>
      <c r="FH20" s="614"/>
      <c r="FI20" s="614"/>
      <c r="FJ20" s="614"/>
      <c r="FK20" s="614"/>
      <c r="FL20" s="614"/>
      <c r="FM20" s="614"/>
      <c r="FN20" s="614"/>
      <c r="FO20" s="614"/>
      <c r="FP20" s="614"/>
      <c r="FQ20" s="614"/>
      <c r="FR20" s="614"/>
      <c r="FS20" s="614"/>
      <c r="FT20" s="614"/>
      <c r="FU20" s="614"/>
      <c r="FV20" s="614"/>
      <c r="FW20" s="614"/>
      <c r="FX20" s="614"/>
      <c r="FY20" s="614"/>
      <c r="FZ20" s="614"/>
      <c r="GA20" s="614"/>
      <c r="GB20" s="614"/>
      <c r="GC20" s="614"/>
      <c r="GD20" s="614"/>
      <c r="GE20" s="614"/>
      <c r="GF20" s="614"/>
      <c r="GG20" s="614"/>
      <c r="GH20" s="614"/>
      <c r="GI20" s="614"/>
      <c r="GJ20" s="614"/>
      <c r="GK20" s="614"/>
      <c r="GL20" s="614"/>
      <c r="GM20" s="614"/>
      <c r="GN20" s="614"/>
      <c r="GO20" s="614"/>
      <c r="GP20" s="614"/>
      <c r="GQ20" s="614"/>
      <c r="GR20" s="614"/>
      <c r="GS20" s="614"/>
      <c r="GT20" s="614"/>
      <c r="GU20" s="614"/>
      <c r="GV20" s="614"/>
      <c r="GW20" s="614"/>
      <c r="GX20" s="614"/>
      <c r="GY20" s="614"/>
      <c r="GZ20" s="614"/>
      <c r="HA20" s="614"/>
      <c r="HB20" s="614"/>
      <c r="HC20" s="614"/>
      <c r="HD20" s="614"/>
      <c r="HE20" s="614"/>
      <c r="HF20" s="614"/>
      <c r="HG20" s="614"/>
      <c r="HH20" s="614"/>
      <c r="HI20" s="614"/>
      <c r="HJ20" s="614"/>
      <c r="HK20" s="614"/>
      <c r="HL20" s="614"/>
      <c r="HM20" s="614"/>
      <c r="HN20" s="614"/>
      <c r="HO20" s="614"/>
      <c r="HP20" s="614"/>
      <c r="HQ20" s="614"/>
      <c r="HR20" s="614"/>
    </row>
    <row r="21" spans="1:226" s="663" customFormat="1" ht="13.5" x14ac:dyDescent="0.25">
      <c r="A21" s="666"/>
      <c r="B21" s="667" t="s">
        <v>475</v>
      </c>
      <c r="C21" s="654" t="s">
        <v>499</v>
      </c>
      <c r="D21" s="654" t="s">
        <v>500</v>
      </c>
      <c r="E21" s="655">
        <v>6</v>
      </c>
      <c r="F21" s="668"/>
      <c r="G21" s="669">
        <v>1500</v>
      </c>
      <c r="H21" s="658">
        <f>Table115[[#This Row],[Q]]*Table115[[#This Row],[$MXN OUT]]</f>
        <v>9000</v>
      </c>
      <c r="I21" s="660"/>
      <c r="J21" s="665"/>
      <c r="K21" s="661">
        <f>+K20+Table115[[#This Row],[$MSN IN]]-Table115[[#This Row],[$MXN OUT]]</f>
        <v>3600</v>
      </c>
      <c r="L21" s="614"/>
      <c r="M21" s="614"/>
      <c r="N21" s="614"/>
      <c r="O21" s="614"/>
      <c r="P21" s="614"/>
      <c r="Q21" s="614"/>
      <c r="R21" s="614"/>
      <c r="S21" s="614"/>
      <c r="T21" s="614"/>
      <c r="U21" s="614"/>
      <c r="V21" s="614"/>
      <c r="W21" s="614"/>
      <c r="X21" s="614"/>
      <c r="Y21" s="614"/>
      <c r="Z21" s="614"/>
      <c r="AA21" s="614"/>
      <c r="AB21" s="614"/>
      <c r="AC21" s="614"/>
      <c r="AD21" s="614"/>
      <c r="AE21" s="614"/>
      <c r="AF21" s="614"/>
      <c r="AG21" s="614"/>
      <c r="AH21" s="614"/>
      <c r="AI21" s="614"/>
      <c r="AJ21" s="614"/>
      <c r="AK21" s="614"/>
      <c r="AL21" s="614"/>
      <c r="AM21" s="614"/>
      <c r="AN21" s="614"/>
      <c r="AO21" s="614"/>
      <c r="AP21" s="614"/>
      <c r="AQ21" s="614"/>
      <c r="AR21" s="614"/>
      <c r="AS21" s="614"/>
      <c r="AT21" s="614"/>
      <c r="AU21" s="614"/>
      <c r="AV21" s="614"/>
      <c r="AW21" s="614"/>
      <c r="AX21" s="614"/>
      <c r="AY21" s="614"/>
      <c r="AZ21" s="614"/>
      <c r="BA21" s="614"/>
      <c r="BB21" s="614"/>
      <c r="BC21" s="614"/>
      <c r="BD21" s="614"/>
      <c r="BE21" s="614"/>
      <c r="BF21" s="614"/>
      <c r="BG21" s="614"/>
      <c r="BH21" s="614"/>
      <c r="BI21" s="614"/>
      <c r="BJ21" s="614"/>
      <c r="BK21" s="614"/>
      <c r="BL21" s="614"/>
      <c r="BM21" s="614"/>
      <c r="BN21" s="614"/>
      <c r="BO21" s="614"/>
      <c r="BP21" s="614"/>
      <c r="BQ21" s="614"/>
      <c r="BR21" s="614"/>
      <c r="BS21" s="614"/>
      <c r="BT21" s="614"/>
      <c r="BU21" s="614"/>
      <c r="BV21" s="614"/>
      <c r="BW21" s="614"/>
      <c r="BX21" s="614"/>
      <c r="BY21" s="614"/>
      <c r="BZ21" s="614"/>
      <c r="CA21" s="614"/>
      <c r="CB21" s="614"/>
      <c r="CC21" s="614"/>
      <c r="CD21" s="614"/>
      <c r="CE21" s="614"/>
      <c r="CF21" s="614"/>
      <c r="CG21" s="614"/>
      <c r="CH21" s="614"/>
      <c r="CI21" s="614"/>
      <c r="CJ21" s="614"/>
      <c r="CK21" s="614"/>
      <c r="CL21" s="614"/>
      <c r="CM21" s="614"/>
      <c r="CN21" s="614"/>
      <c r="CO21" s="614"/>
      <c r="CP21" s="614"/>
      <c r="CQ21" s="614"/>
      <c r="CR21" s="614"/>
      <c r="CS21" s="614"/>
      <c r="CT21" s="614"/>
      <c r="CU21" s="614"/>
      <c r="CV21" s="614"/>
      <c r="CW21" s="614"/>
      <c r="CX21" s="614"/>
      <c r="CY21" s="614"/>
      <c r="CZ21" s="614"/>
      <c r="DA21" s="614"/>
      <c r="DB21" s="614"/>
      <c r="DC21" s="614"/>
      <c r="DD21" s="614"/>
      <c r="DE21" s="614"/>
      <c r="DF21" s="614"/>
      <c r="DG21" s="614"/>
      <c r="DH21" s="614"/>
      <c r="DI21" s="614"/>
      <c r="DJ21" s="614"/>
      <c r="DK21" s="614"/>
      <c r="DL21" s="614"/>
      <c r="DM21" s="614"/>
      <c r="DN21" s="614"/>
      <c r="DO21" s="614"/>
      <c r="DP21" s="614"/>
      <c r="DQ21" s="614"/>
      <c r="DR21" s="614"/>
      <c r="DS21" s="614"/>
      <c r="DT21" s="614"/>
      <c r="DU21" s="614"/>
      <c r="DV21" s="614"/>
      <c r="DW21" s="614"/>
      <c r="DX21" s="614"/>
      <c r="DY21" s="614"/>
      <c r="DZ21" s="614"/>
      <c r="EA21" s="614"/>
      <c r="EB21" s="614"/>
      <c r="EC21" s="614"/>
      <c r="ED21" s="614"/>
      <c r="EE21" s="614"/>
      <c r="EF21" s="614"/>
      <c r="EG21" s="614"/>
      <c r="EH21" s="614"/>
      <c r="EI21" s="614"/>
      <c r="EJ21" s="614"/>
      <c r="EK21" s="614"/>
      <c r="EL21" s="614"/>
      <c r="EM21" s="614"/>
      <c r="EN21" s="614"/>
      <c r="EO21" s="614"/>
      <c r="EP21" s="614"/>
      <c r="EQ21" s="614"/>
      <c r="ER21" s="614"/>
      <c r="ES21" s="614"/>
      <c r="ET21" s="614"/>
      <c r="EU21" s="614"/>
      <c r="EV21" s="614"/>
      <c r="EW21" s="614"/>
      <c r="EX21" s="614"/>
      <c r="EY21" s="614"/>
      <c r="EZ21" s="614"/>
      <c r="FA21" s="614"/>
      <c r="FB21" s="614"/>
      <c r="FC21" s="614"/>
      <c r="FD21" s="614"/>
      <c r="FE21" s="614"/>
      <c r="FF21" s="614"/>
      <c r="FG21" s="614"/>
      <c r="FH21" s="614"/>
      <c r="FI21" s="614"/>
      <c r="FJ21" s="614"/>
      <c r="FK21" s="614"/>
      <c r="FL21" s="614"/>
      <c r="FM21" s="614"/>
      <c r="FN21" s="614"/>
      <c r="FO21" s="614"/>
      <c r="FP21" s="614"/>
      <c r="FQ21" s="614"/>
      <c r="FR21" s="614"/>
      <c r="FS21" s="614"/>
      <c r="FT21" s="614"/>
      <c r="FU21" s="614"/>
      <c r="FV21" s="614"/>
      <c r="FW21" s="614"/>
      <c r="FX21" s="614"/>
      <c r="FY21" s="614"/>
      <c r="FZ21" s="614"/>
      <c r="GA21" s="614"/>
      <c r="GB21" s="614"/>
      <c r="GC21" s="614"/>
      <c r="GD21" s="614"/>
      <c r="GE21" s="614"/>
      <c r="GF21" s="614"/>
      <c r="GG21" s="614"/>
      <c r="GH21" s="614"/>
      <c r="GI21" s="614"/>
      <c r="GJ21" s="614"/>
      <c r="GK21" s="614"/>
      <c r="GL21" s="614"/>
      <c r="GM21" s="614"/>
      <c r="GN21" s="614"/>
      <c r="GO21" s="614"/>
      <c r="GP21" s="614"/>
      <c r="GQ21" s="614"/>
      <c r="GR21" s="614"/>
      <c r="GS21" s="614"/>
      <c r="GT21" s="614"/>
      <c r="GU21" s="614"/>
      <c r="GV21" s="614"/>
      <c r="GW21" s="614"/>
      <c r="GX21" s="614"/>
      <c r="GY21" s="614"/>
      <c r="GZ21" s="614"/>
      <c r="HA21" s="614"/>
      <c r="HB21" s="614"/>
      <c r="HC21" s="614"/>
      <c r="HD21" s="614"/>
      <c r="HE21" s="614"/>
      <c r="HF21" s="614"/>
      <c r="HG21" s="614"/>
      <c r="HH21" s="614"/>
      <c r="HI21" s="614"/>
      <c r="HJ21" s="614"/>
      <c r="HK21" s="614"/>
      <c r="HL21" s="614"/>
      <c r="HM21" s="614"/>
      <c r="HN21" s="614"/>
      <c r="HO21" s="614"/>
      <c r="HP21" s="614"/>
      <c r="HQ21" s="614"/>
      <c r="HR21" s="614"/>
    </row>
    <row r="22" spans="1:226" s="663" customFormat="1" ht="13.5" x14ac:dyDescent="0.25">
      <c r="A22" s="666"/>
      <c r="B22" s="667" t="s">
        <v>475</v>
      </c>
      <c r="C22" s="654" t="s">
        <v>499</v>
      </c>
      <c r="D22" s="654" t="s">
        <v>500</v>
      </c>
      <c r="E22" s="655">
        <v>2</v>
      </c>
      <c r="F22" s="668"/>
      <c r="G22" s="669">
        <v>850</v>
      </c>
      <c r="H22" s="658">
        <f>Table115[[#This Row],[Q]]*Table115[[#This Row],[$MXN OUT]]</f>
        <v>1700</v>
      </c>
      <c r="I22" s="660"/>
      <c r="J22" s="665"/>
      <c r="K22" s="661">
        <f>+K21+Table115[[#This Row],[$MSN IN]]-Table115[[#This Row],[$MXN OUT]]</f>
        <v>2750</v>
      </c>
      <c r="L22" s="614"/>
      <c r="M22" s="614"/>
      <c r="N22" s="614"/>
      <c r="O22" s="614"/>
      <c r="P22" s="614"/>
      <c r="Q22" s="614"/>
      <c r="R22" s="614"/>
      <c r="S22" s="614"/>
      <c r="T22" s="614"/>
      <c r="U22" s="614"/>
      <c r="V22" s="614"/>
      <c r="W22" s="614"/>
      <c r="X22" s="614"/>
      <c r="Y22" s="614"/>
      <c r="Z22" s="614"/>
      <c r="AA22" s="614"/>
      <c r="AB22" s="614"/>
      <c r="AC22" s="614"/>
      <c r="AD22" s="614"/>
      <c r="AE22" s="614"/>
      <c r="AF22" s="614"/>
      <c r="AG22" s="614"/>
      <c r="AH22" s="614"/>
      <c r="AI22" s="614"/>
      <c r="AJ22" s="614"/>
      <c r="AK22" s="614"/>
      <c r="AL22" s="614"/>
      <c r="AM22" s="614"/>
      <c r="AN22" s="614"/>
      <c r="AO22" s="614"/>
      <c r="AP22" s="614"/>
      <c r="AQ22" s="614"/>
      <c r="AR22" s="614"/>
      <c r="AS22" s="614"/>
      <c r="AT22" s="614"/>
      <c r="AU22" s="614"/>
      <c r="AV22" s="614"/>
      <c r="AW22" s="614"/>
      <c r="AX22" s="614"/>
      <c r="AY22" s="614"/>
      <c r="AZ22" s="614"/>
      <c r="BA22" s="614"/>
      <c r="BB22" s="614"/>
      <c r="BC22" s="614"/>
      <c r="BD22" s="614"/>
      <c r="BE22" s="614"/>
      <c r="BF22" s="614"/>
      <c r="BG22" s="614"/>
      <c r="BH22" s="614"/>
      <c r="BI22" s="614"/>
      <c r="BJ22" s="614"/>
      <c r="BK22" s="614"/>
      <c r="BL22" s="614"/>
      <c r="BM22" s="614"/>
      <c r="BN22" s="614"/>
      <c r="BO22" s="614"/>
      <c r="BP22" s="614"/>
      <c r="BQ22" s="614"/>
      <c r="BR22" s="614"/>
      <c r="BS22" s="614"/>
      <c r="BT22" s="614"/>
      <c r="BU22" s="614"/>
      <c r="BV22" s="614"/>
      <c r="BW22" s="614"/>
      <c r="BX22" s="614"/>
      <c r="BY22" s="614"/>
      <c r="BZ22" s="614"/>
      <c r="CA22" s="614"/>
      <c r="CB22" s="614"/>
      <c r="CC22" s="614"/>
      <c r="CD22" s="614"/>
      <c r="CE22" s="614"/>
      <c r="CF22" s="614"/>
      <c r="CG22" s="614"/>
      <c r="CH22" s="614"/>
      <c r="CI22" s="614"/>
      <c r="CJ22" s="614"/>
      <c r="CK22" s="614"/>
      <c r="CL22" s="614"/>
      <c r="CM22" s="614"/>
      <c r="CN22" s="614"/>
      <c r="CO22" s="614"/>
      <c r="CP22" s="614"/>
      <c r="CQ22" s="614"/>
      <c r="CR22" s="614"/>
      <c r="CS22" s="614"/>
      <c r="CT22" s="614"/>
      <c r="CU22" s="614"/>
      <c r="CV22" s="614"/>
      <c r="CW22" s="614"/>
      <c r="CX22" s="614"/>
      <c r="CY22" s="614"/>
      <c r="CZ22" s="614"/>
      <c r="DA22" s="614"/>
      <c r="DB22" s="614"/>
      <c r="DC22" s="614"/>
      <c r="DD22" s="614"/>
      <c r="DE22" s="614"/>
      <c r="DF22" s="614"/>
      <c r="DG22" s="614"/>
      <c r="DH22" s="614"/>
      <c r="DI22" s="614"/>
      <c r="DJ22" s="614"/>
      <c r="DK22" s="614"/>
      <c r="DL22" s="614"/>
      <c r="DM22" s="614"/>
      <c r="DN22" s="614"/>
      <c r="DO22" s="614"/>
      <c r="DP22" s="614"/>
      <c r="DQ22" s="614"/>
      <c r="DR22" s="614"/>
      <c r="DS22" s="614"/>
      <c r="DT22" s="614"/>
      <c r="DU22" s="614"/>
      <c r="DV22" s="614"/>
      <c r="DW22" s="614"/>
      <c r="DX22" s="614"/>
      <c r="DY22" s="614"/>
      <c r="DZ22" s="614"/>
      <c r="EA22" s="614"/>
      <c r="EB22" s="614"/>
      <c r="EC22" s="614"/>
      <c r="ED22" s="614"/>
      <c r="EE22" s="614"/>
      <c r="EF22" s="614"/>
      <c r="EG22" s="614"/>
      <c r="EH22" s="614"/>
      <c r="EI22" s="614"/>
      <c r="EJ22" s="614"/>
      <c r="EK22" s="614"/>
      <c r="EL22" s="614"/>
      <c r="EM22" s="614"/>
      <c r="EN22" s="614"/>
      <c r="EO22" s="614"/>
      <c r="EP22" s="614"/>
      <c r="EQ22" s="614"/>
      <c r="ER22" s="614"/>
      <c r="ES22" s="614"/>
      <c r="ET22" s="614"/>
      <c r="EU22" s="614"/>
      <c r="EV22" s="614"/>
      <c r="EW22" s="614"/>
      <c r="EX22" s="614"/>
      <c r="EY22" s="614"/>
      <c r="EZ22" s="614"/>
      <c r="FA22" s="614"/>
      <c r="FB22" s="614"/>
      <c r="FC22" s="614"/>
      <c r="FD22" s="614"/>
      <c r="FE22" s="614"/>
      <c r="FF22" s="614"/>
      <c r="FG22" s="614"/>
      <c r="FH22" s="614"/>
      <c r="FI22" s="614"/>
      <c r="FJ22" s="614"/>
      <c r="FK22" s="614"/>
      <c r="FL22" s="614"/>
      <c r="FM22" s="614"/>
      <c r="FN22" s="614"/>
      <c r="FO22" s="614"/>
      <c r="FP22" s="614"/>
      <c r="FQ22" s="614"/>
      <c r="FR22" s="614"/>
      <c r="FS22" s="614"/>
      <c r="FT22" s="614"/>
      <c r="FU22" s="614"/>
      <c r="FV22" s="614"/>
      <c r="FW22" s="614"/>
      <c r="FX22" s="614"/>
      <c r="FY22" s="614"/>
      <c r="FZ22" s="614"/>
      <c r="GA22" s="614"/>
      <c r="GB22" s="614"/>
      <c r="GC22" s="614"/>
      <c r="GD22" s="614"/>
      <c r="GE22" s="614"/>
      <c r="GF22" s="614"/>
      <c r="GG22" s="614"/>
      <c r="GH22" s="614"/>
      <c r="GI22" s="614"/>
      <c r="GJ22" s="614"/>
      <c r="GK22" s="614"/>
      <c r="GL22" s="614"/>
      <c r="GM22" s="614"/>
      <c r="GN22" s="614"/>
      <c r="GO22" s="614"/>
      <c r="GP22" s="614"/>
      <c r="GQ22" s="614"/>
      <c r="GR22" s="614"/>
      <c r="GS22" s="614"/>
      <c r="GT22" s="614"/>
      <c r="GU22" s="614"/>
      <c r="GV22" s="614"/>
      <c r="GW22" s="614"/>
      <c r="GX22" s="614"/>
      <c r="GY22" s="614"/>
      <c r="GZ22" s="614"/>
      <c r="HA22" s="614"/>
      <c r="HB22" s="614"/>
      <c r="HC22" s="614"/>
      <c r="HD22" s="614"/>
      <c r="HE22" s="614"/>
      <c r="HF22" s="614"/>
      <c r="HG22" s="614"/>
      <c r="HH22" s="614"/>
      <c r="HI22" s="614"/>
      <c r="HJ22" s="614"/>
      <c r="HK22" s="614"/>
      <c r="HL22" s="614"/>
      <c r="HM22" s="614"/>
      <c r="HN22" s="614"/>
      <c r="HO22" s="614"/>
      <c r="HP22" s="614"/>
      <c r="HQ22" s="614"/>
      <c r="HR22" s="614"/>
    </row>
    <row r="23" spans="1:226" s="663" customFormat="1" ht="13.5" x14ac:dyDescent="0.25">
      <c r="A23" s="666"/>
      <c r="B23" s="667" t="s">
        <v>501</v>
      </c>
      <c r="C23" s="654" t="s">
        <v>476</v>
      </c>
      <c r="D23" s="654" t="s">
        <v>502</v>
      </c>
      <c r="E23" s="655">
        <v>1</v>
      </c>
      <c r="F23" s="668"/>
      <c r="G23" s="669">
        <v>3900</v>
      </c>
      <c r="H23" s="658">
        <f>Table115[[#This Row],[Q]]*Table115[[#This Row],[$MXN OUT]]</f>
        <v>3900</v>
      </c>
      <c r="I23" s="660"/>
      <c r="J23" s="665"/>
      <c r="K23" s="661">
        <f>+K22+Table115[[#This Row],[$MSN IN]]-Table115[[#This Row],[$MXN OUT]]</f>
        <v>-1150</v>
      </c>
      <c r="L23" s="614"/>
      <c r="M23" s="614"/>
      <c r="N23" s="614"/>
      <c r="O23" s="614"/>
      <c r="P23" s="614"/>
      <c r="Q23" s="614"/>
      <c r="R23" s="614"/>
      <c r="S23" s="614"/>
      <c r="T23" s="614"/>
      <c r="U23" s="614"/>
      <c r="V23" s="614"/>
      <c r="W23" s="614"/>
      <c r="X23" s="614"/>
      <c r="Y23" s="614"/>
      <c r="Z23" s="614"/>
      <c r="AA23" s="614"/>
      <c r="AB23" s="614"/>
      <c r="AC23" s="614"/>
      <c r="AD23" s="614"/>
      <c r="AE23" s="614"/>
      <c r="AF23" s="614"/>
      <c r="AG23" s="614"/>
      <c r="AH23" s="614"/>
      <c r="AI23" s="614"/>
      <c r="AJ23" s="614"/>
      <c r="AK23" s="614"/>
      <c r="AL23" s="614"/>
      <c r="AM23" s="614"/>
      <c r="AN23" s="614"/>
      <c r="AO23" s="614"/>
      <c r="AP23" s="614"/>
      <c r="AQ23" s="614"/>
      <c r="AR23" s="614"/>
      <c r="AS23" s="614"/>
      <c r="AT23" s="614"/>
      <c r="AU23" s="614"/>
      <c r="AV23" s="614"/>
      <c r="AW23" s="614"/>
      <c r="AX23" s="614"/>
      <c r="AY23" s="614"/>
      <c r="AZ23" s="614"/>
      <c r="BA23" s="614"/>
      <c r="BB23" s="614"/>
      <c r="BC23" s="614"/>
      <c r="BD23" s="614"/>
      <c r="BE23" s="614"/>
      <c r="BF23" s="614"/>
      <c r="BG23" s="614"/>
      <c r="BH23" s="614"/>
      <c r="BI23" s="614"/>
      <c r="BJ23" s="614"/>
      <c r="BK23" s="614"/>
      <c r="BL23" s="614"/>
      <c r="BM23" s="614"/>
      <c r="BN23" s="614"/>
      <c r="BO23" s="614"/>
      <c r="BP23" s="614"/>
      <c r="BQ23" s="614"/>
      <c r="BR23" s="614"/>
      <c r="BS23" s="614"/>
      <c r="BT23" s="614"/>
      <c r="BU23" s="614"/>
      <c r="BV23" s="614"/>
      <c r="BW23" s="614"/>
      <c r="BX23" s="614"/>
      <c r="BY23" s="614"/>
      <c r="BZ23" s="614"/>
      <c r="CA23" s="614"/>
      <c r="CB23" s="614"/>
      <c r="CC23" s="614"/>
      <c r="CD23" s="614"/>
      <c r="CE23" s="614"/>
      <c r="CF23" s="614"/>
      <c r="CG23" s="614"/>
      <c r="CH23" s="614"/>
      <c r="CI23" s="614"/>
      <c r="CJ23" s="614"/>
      <c r="CK23" s="614"/>
      <c r="CL23" s="614"/>
      <c r="CM23" s="614"/>
      <c r="CN23" s="614"/>
      <c r="CO23" s="614"/>
      <c r="CP23" s="614"/>
      <c r="CQ23" s="614"/>
      <c r="CR23" s="614"/>
      <c r="CS23" s="614"/>
      <c r="CT23" s="614"/>
      <c r="CU23" s="614"/>
      <c r="CV23" s="614"/>
      <c r="CW23" s="614"/>
      <c r="CX23" s="614"/>
      <c r="CY23" s="614"/>
      <c r="CZ23" s="614"/>
      <c r="DA23" s="614"/>
      <c r="DB23" s="614"/>
      <c r="DC23" s="614"/>
      <c r="DD23" s="614"/>
      <c r="DE23" s="614"/>
      <c r="DF23" s="614"/>
      <c r="DG23" s="614"/>
      <c r="DH23" s="614"/>
      <c r="DI23" s="614"/>
      <c r="DJ23" s="614"/>
      <c r="DK23" s="614"/>
      <c r="DL23" s="614"/>
      <c r="DM23" s="614"/>
      <c r="DN23" s="614"/>
      <c r="DO23" s="614"/>
      <c r="DP23" s="614"/>
      <c r="DQ23" s="614"/>
      <c r="DR23" s="614"/>
      <c r="DS23" s="614"/>
      <c r="DT23" s="614"/>
      <c r="DU23" s="614"/>
      <c r="DV23" s="614"/>
      <c r="DW23" s="614"/>
      <c r="DX23" s="614"/>
      <c r="DY23" s="614"/>
      <c r="DZ23" s="614"/>
      <c r="EA23" s="614"/>
      <c r="EB23" s="614"/>
      <c r="EC23" s="614"/>
      <c r="ED23" s="614"/>
      <c r="EE23" s="614"/>
      <c r="EF23" s="614"/>
      <c r="EG23" s="614"/>
      <c r="EH23" s="614"/>
      <c r="EI23" s="614"/>
      <c r="EJ23" s="614"/>
      <c r="EK23" s="614"/>
      <c r="EL23" s="614"/>
      <c r="EM23" s="614"/>
      <c r="EN23" s="614"/>
      <c r="EO23" s="614"/>
      <c r="EP23" s="614"/>
      <c r="EQ23" s="614"/>
      <c r="ER23" s="614"/>
      <c r="ES23" s="614"/>
      <c r="ET23" s="614"/>
      <c r="EU23" s="614"/>
      <c r="EV23" s="614"/>
      <c r="EW23" s="614"/>
      <c r="EX23" s="614"/>
      <c r="EY23" s="614"/>
      <c r="EZ23" s="614"/>
      <c r="FA23" s="614"/>
      <c r="FB23" s="614"/>
      <c r="FC23" s="614"/>
      <c r="FD23" s="614"/>
      <c r="FE23" s="614"/>
      <c r="FF23" s="614"/>
      <c r="FG23" s="614"/>
      <c r="FH23" s="614"/>
      <c r="FI23" s="614"/>
      <c r="FJ23" s="614"/>
      <c r="FK23" s="614"/>
      <c r="FL23" s="614"/>
      <c r="FM23" s="614"/>
      <c r="FN23" s="614"/>
      <c r="FO23" s="614"/>
      <c r="FP23" s="614"/>
      <c r="FQ23" s="614"/>
      <c r="FR23" s="614"/>
      <c r="FS23" s="614"/>
      <c r="FT23" s="614"/>
      <c r="FU23" s="614"/>
      <c r="FV23" s="614"/>
      <c r="FW23" s="614"/>
      <c r="FX23" s="614"/>
      <c r="FY23" s="614"/>
      <c r="FZ23" s="614"/>
      <c r="GA23" s="614"/>
      <c r="GB23" s="614"/>
      <c r="GC23" s="614"/>
      <c r="GD23" s="614"/>
      <c r="GE23" s="614"/>
      <c r="GF23" s="614"/>
      <c r="GG23" s="614"/>
      <c r="GH23" s="614"/>
      <c r="GI23" s="614"/>
      <c r="GJ23" s="614"/>
      <c r="GK23" s="614"/>
      <c r="GL23" s="614"/>
      <c r="GM23" s="614"/>
      <c r="GN23" s="614"/>
      <c r="GO23" s="614"/>
      <c r="GP23" s="614"/>
      <c r="GQ23" s="614"/>
      <c r="GR23" s="614"/>
      <c r="GS23" s="614"/>
      <c r="GT23" s="614"/>
      <c r="GU23" s="614"/>
      <c r="GV23" s="614"/>
      <c r="GW23" s="614"/>
      <c r="GX23" s="614"/>
      <c r="GY23" s="614"/>
      <c r="GZ23" s="614"/>
      <c r="HA23" s="614"/>
      <c r="HB23" s="614"/>
      <c r="HC23" s="614"/>
      <c r="HD23" s="614"/>
      <c r="HE23" s="614"/>
      <c r="HF23" s="614"/>
      <c r="HG23" s="614"/>
      <c r="HH23" s="614"/>
      <c r="HI23" s="614"/>
      <c r="HJ23" s="614"/>
      <c r="HK23" s="614"/>
      <c r="HL23" s="614"/>
      <c r="HM23" s="614"/>
      <c r="HN23" s="614"/>
      <c r="HO23" s="614"/>
      <c r="HP23" s="614"/>
      <c r="HQ23" s="614"/>
      <c r="HR23" s="614"/>
    </row>
    <row r="24" spans="1:226" s="663" customFormat="1" ht="13.5" x14ac:dyDescent="0.25">
      <c r="A24" s="666"/>
      <c r="B24" s="667" t="s">
        <v>475</v>
      </c>
      <c r="C24" s="654" t="s">
        <v>476</v>
      </c>
      <c r="D24" s="654" t="s">
        <v>502</v>
      </c>
      <c r="E24" s="655">
        <v>1</v>
      </c>
      <c r="F24" s="668"/>
      <c r="G24" s="669">
        <v>2000</v>
      </c>
      <c r="H24" s="658">
        <f>Table115[[#This Row],[Q]]*Table115[[#This Row],[$MXN OUT]]</f>
        <v>2000</v>
      </c>
      <c r="I24" s="660"/>
      <c r="J24" s="665"/>
      <c r="K24" s="661">
        <f>+K23+Table115[[#This Row],[$MSN IN]]-Table115[[#This Row],[$MXN OUT]]</f>
        <v>-3150</v>
      </c>
      <c r="L24" s="614"/>
      <c r="M24" s="614"/>
      <c r="N24" s="614"/>
      <c r="O24" s="614"/>
      <c r="P24" s="614"/>
      <c r="Q24" s="614"/>
      <c r="R24" s="614"/>
      <c r="S24" s="614"/>
      <c r="T24" s="614"/>
      <c r="U24" s="614"/>
      <c r="V24" s="614"/>
      <c r="W24" s="614"/>
      <c r="X24" s="614"/>
      <c r="Y24" s="614"/>
      <c r="Z24" s="614"/>
      <c r="AA24" s="614"/>
      <c r="AB24" s="614"/>
      <c r="AC24" s="614"/>
      <c r="AD24" s="614"/>
      <c r="AE24" s="614"/>
      <c r="AF24" s="614"/>
      <c r="AG24" s="614"/>
      <c r="AH24" s="614"/>
      <c r="AI24" s="614"/>
      <c r="AJ24" s="614"/>
      <c r="AK24" s="614"/>
      <c r="AL24" s="614"/>
      <c r="AM24" s="614"/>
      <c r="AN24" s="614"/>
      <c r="AO24" s="614"/>
      <c r="AP24" s="614"/>
      <c r="AQ24" s="614"/>
      <c r="AR24" s="614"/>
      <c r="AS24" s="614"/>
      <c r="AT24" s="614"/>
      <c r="AU24" s="614"/>
      <c r="AV24" s="614"/>
      <c r="AW24" s="614"/>
      <c r="AX24" s="614"/>
      <c r="AY24" s="614"/>
      <c r="AZ24" s="614"/>
      <c r="BA24" s="614"/>
      <c r="BB24" s="614"/>
      <c r="BC24" s="614"/>
      <c r="BD24" s="614"/>
      <c r="BE24" s="614"/>
      <c r="BF24" s="614"/>
      <c r="BG24" s="614"/>
      <c r="BH24" s="614"/>
      <c r="BI24" s="614"/>
      <c r="BJ24" s="614"/>
      <c r="BK24" s="614"/>
      <c r="BL24" s="614"/>
      <c r="BM24" s="614"/>
      <c r="BN24" s="614"/>
      <c r="BO24" s="614"/>
      <c r="BP24" s="614"/>
      <c r="BQ24" s="614"/>
      <c r="BR24" s="614"/>
      <c r="BS24" s="614"/>
      <c r="BT24" s="614"/>
      <c r="BU24" s="614"/>
      <c r="BV24" s="614"/>
      <c r="BW24" s="614"/>
      <c r="BX24" s="614"/>
      <c r="BY24" s="614"/>
      <c r="BZ24" s="614"/>
      <c r="CA24" s="614"/>
      <c r="CB24" s="614"/>
      <c r="CC24" s="614"/>
      <c r="CD24" s="614"/>
      <c r="CE24" s="614"/>
      <c r="CF24" s="614"/>
      <c r="CG24" s="614"/>
      <c r="CH24" s="614"/>
      <c r="CI24" s="614"/>
      <c r="CJ24" s="614"/>
      <c r="CK24" s="614"/>
      <c r="CL24" s="614"/>
      <c r="CM24" s="614"/>
      <c r="CN24" s="614"/>
      <c r="CO24" s="614"/>
      <c r="CP24" s="614"/>
      <c r="CQ24" s="614"/>
      <c r="CR24" s="614"/>
      <c r="CS24" s="614"/>
      <c r="CT24" s="614"/>
      <c r="CU24" s="614"/>
      <c r="CV24" s="614"/>
      <c r="CW24" s="614"/>
      <c r="CX24" s="614"/>
      <c r="CY24" s="614"/>
      <c r="CZ24" s="614"/>
      <c r="DA24" s="614"/>
      <c r="DB24" s="614"/>
      <c r="DC24" s="614"/>
      <c r="DD24" s="614"/>
      <c r="DE24" s="614"/>
      <c r="DF24" s="614"/>
      <c r="DG24" s="614"/>
      <c r="DH24" s="614"/>
      <c r="DI24" s="614"/>
      <c r="DJ24" s="614"/>
      <c r="DK24" s="614"/>
      <c r="DL24" s="614"/>
      <c r="DM24" s="614"/>
      <c r="DN24" s="614"/>
      <c r="DO24" s="614"/>
      <c r="DP24" s="614"/>
      <c r="DQ24" s="614"/>
      <c r="DR24" s="614"/>
      <c r="DS24" s="614"/>
      <c r="DT24" s="614"/>
      <c r="DU24" s="614"/>
      <c r="DV24" s="614"/>
      <c r="DW24" s="614"/>
      <c r="DX24" s="614"/>
      <c r="DY24" s="614"/>
      <c r="DZ24" s="614"/>
      <c r="EA24" s="614"/>
      <c r="EB24" s="614"/>
      <c r="EC24" s="614"/>
      <c r="ED24" s="614"/>
      <c r="EE24" s="614"/>
      <c r="EF24" s="614"/>
      <c r="EG24" s="614"/>
      <c r="EH24" s="614"/>
      <c r="EI24" s="614"/>
      <c r="EJ24" s="614"/>
      <c r="EK24" s="614"/>
      <c r="EL24" s="614"/>
      <c r="EM24" s="614"/>
      <c r="EN24" s="614"/>
      <c r="EO24" s="614"/>
      <c r="EP24" s="614"/>
      <c r="EQ24" s="614"/>
      <c r="ER24" s="614"/>
      <c r="ES24" s="614"/>
      <c r="ET24" s="614"/>
      <c r="EU24" s="614"/>
      <c r="EV24" s="614"/>
      <c r="EW24" s="614"/>
      <c r="EX24" s="614"/>
      <c r="EY24" s="614"/>
      <c r="EZ24" s="614"/>
      <c r="FA24" s="614"/>
      <c r="FB24" s="614"/>
      <c r="FC24" s="614"/>
      <c r="FD24" s="614"/>
      <c r="FE24" s="614"/>
      <c r="FF24" s="614"/>
      <c r="FG24" s="614"/>
      <c r="FH24" s="614"/>
      <c r="FI24" s="614"/>
      <c r="FJ24" s="614"/>
      <c r="FK24" s="614"/>
      <c r="FL24" s="614"/>
      <c r="FM24" s="614"/>
      <c r="FN24" s="614"/>
      <c r="FO24" s="614"/>
      <c r="FP24" s="614"/>
      <c r="FQ24" s="614"/>
      <c r="FR24" s="614"/>
      <c r="FS24" s="614"/>
      <c r="FT24" s="614"/>
      <c r="FU24" s="614"/>
      <c r="FV24" s="614"/>
      <c r="FW24" s="614"/>
      <c r="FX24" s="614"/>
      <c r="FY24" s="614"/>
      <c r="FZ24" s="614"/>
      <c r="GA24" s="614"/>
      <c r="GB24" s="614"/>
      <c r="GC24" s="614"/>
      <c r="GD24" s="614"/>
      <c r="GE24" s="614"/>
      <c r="GF24" s="614"/>
      <c r="GG24" s="614"/>
      <c r="GH24" s="614"/>
      <c r="GI24" s="614"/>
      <c r="GJ24" s="614"/>
      <c r="GK24" s="614"/>
      <c r="GL24" s="614"/>
      <c r="GM24" s="614"/>
      <c r="GN24" s="614"/>
      <c r="GO24" s="614"/>
      <c r="GP24" s="614"/>
      <c r="GQ24" s="614"/>
      <c r="GR24" s="614"/>
      <c r="GS24" s="614"/>
      <c r="GT24" s="614"/>
      <c r="GU24" s="614"/>
      <c r="GV24" s="614"/>
      <c r="GW24" s="614"/>
      <c r="GX24" s="614"/>
      <c r="GY24" s="614"/>
      <c r="GZ24" s="614"/>
      <c r="HA24" s="614"/>
      <c r="HB24" s="614"/>
      <c r="HC24" s="614"/>
      <c r="HD24" s="614"/>
      <c r="HE24" s="614"/>
      <c r="HF24" s="614"/>
      <c r="HG24" s="614"/>
      <c r="HH24" s="614"/>
      <c r="HI24" s="614"/>
      <c r="HJ24" s="614"/>
      <c r="HK24" s="614"/>
      <c r="HL24" s="614"/>
      <c r="HM24" s="614"/>
      <c r="HN24" s="614"/>
      <c r="HO24" s="614"/>
      <c r="HP24" s="614"/>
      <c r="HQ24" s="614"/>
      <c r="HR24" s="614"/>
    </row>
    <row r="25" spans="1:226" s="663" customFormat="1" ht="13.5" x14ac:dyDescent="0.25">
      <c r="A25" s="666"/>
      <c r="B25" s="667" t="s">
        <v>475</v>
      </c>
      <c r="C25" s="654" t="s">
        <v>476</v>
      </c>
      <c r="D25" s="654" t="s">
        <v>502</v>
      </c>
      <c r="E25" s="655">
        <v>3</v>
      </c>
      <c r="F25" s="668"/>
      <c r="G25" s="669">
        <v>3000</v>
      </c>
      <c r="H25" s="658">
        <f>Table115[[#This Row],[Q]]*Table115[[#This Row],[$MXN OUT]]</f>
        <v>9000</v>
      </c>
      <c r="I25" s="660"/>
      <c r="J25" s="665"/>
      <c r="K25" s="661">
        <f>+K24+Table115[[#This Row],[$MSN IN]]-Table115[[#This Row],[$MXN OUT]]</f>
        <v>-6150</v>
      </c>
      <c r="L25" s="614"/>
      <c r="M25" s="614"/>
      <c r="N25" s="614"/>
      <c r="O25" s="614"/>
      <c r="P25" s="614"/>
      <c r="Q25" s="614"/>
      <c r="R25" s="614"/>
      <c r="S25" s="614"/>
      <c r="T25" s="614"/>
      <c r="U25" s="614"/>
      <c r="V25" s="614"/>
      <c r="W25" s="614"/>
      <c r="X25" s="614"/>
      <c r="Y25" s="614"/>
      <c r="Z25" s="614"/>
      <c r="AA25" s="614"/>
      <c r="AB25" s="614"/>
      <c r="AC25" s="614"/>
      <c r="AD25" s="614"/>
      <c r="AE25" s="614"/>
      <c r="AF25" s="614"/>
      <c r="AG25" s="614"/>
      <c r="AH25" s="614"/>
      <c r="AI25" s="614"/>
      <c r="AJ25" s="614"/>
      <c r="AK25" s="614"/>
      <c r="AL25" s="614"/>
      <c r="AM25" s="614"/>
      <c r="AN25" s="614"/>
      <c r="AO25" s="614"/>
      <c r="AP25" s="614"/>
      <c r="AQ25" s="614"/>
      <c r="AR25" s="614"/>
      <c r="AS25" s="614"/>
      <c r="AT25" s="614"/>
      <c r="AU25" s="614"/>
      <c r="AV25" s="614"/>
      <c r="AW25" s="614"/>
      <c r="AX25" s="614"/>
      <c r="AY25" s="614"/>
      <c r="AZ25" s="614"/>
      <c r="BA25" s="614"/>
      <c r="BB25" s="614"/>
      <c r="BC25" s="614"/>
      <c r="BD25" s="614"/>
      <c r="BE25" s="614"/>
      <c r="BF25" s="614"/>
      <c r="BG25" s="614"/>
      <c r="BH25" s="614"/>
      <c r="BI25" s="614"/>
      <c r="BJ25" s="614"/>
      <c r="BK25" s="614"/>
      <c r="BL25" s="614"/>
      <c r="BM25" s="614"/>
      <c r="BN25" s="614"/>
      <c r="BO25" s="614"/>
      <c r="BP25" s="614"/>
      <c r="BQ25" s="614"/>
      <c r="BR25" s="614"/>
      <c r="BS25" s="614"/>
      <c r="BT25" s="614"/>
      <c r="BU25" s="614"/>
      <c r="BV25" s="614"/>
      <c r="BW25" s="614"/>
      <c r="BX25" s="614"/>
      <c r="BY25" s="614"/>
      <c r="BZ25" s="614"/>
      <c r="CA25" s="614"/>
      <c r="CB25" s="614"/>
      <c r="CC25" s="614"/>
      <c r="CD25" s="614"/>
      <c r="CE25" s="614"/>
      <c r="CF25" s="614"/>
      <c r="CG25" s="614"/>
      <c r="CH25" s="614"/>
      <c r="CI25" s="614"/>
      <c r="CJ25" s="614"/>
      <c r="CK25" s="614"/>
      <c r="CL25" s="614"/>
      <c r="CM25" s="614"/>
      <c r="CN25" s="614"/>
      <c r="CO25" s="614"/>
      <c r="CP25" s="614"/>
      <c r="CQ25" s="614"/>
      <c r="CR25" s="614"/>
      <c r="CS25" s="614"/>
      <c r="CT25" s="614"/>
      <c r="CU25" s="614"/>
      <c r="CV25" s="614"/>
      <c r="CW25" s="614"/>
      <c r="CX25" s="614"/>
      <c r="CY25" s="614"/>
      <c r="CZ25" s="614"/>
      <c r="DA25" s="614"/>
      <c r="DB25" s="614"/>
      <c r="DC25" s="614"/>
      <c r="DD25" s="614"/>
      <c r="DE25" s="614"/>
      <c r="DF25" s="614"/>
      <c r="DG25" s="614"/>
      <c r="DH25" s="614"/>
      <c r="DI25" s="614"/>
      <c r="DJ25" s="614"/>
      <c r="DK25" s="614"/>
      <c r="DL25" s="614"/>
      <c r="DM25" s="614"/>
      <c r="DN25" s="614"/>
      <c r="DO25" s="614"/>
      <c r="DP25" s="614"/>
      <c r="DQ25" s="614"/>
      <c r="DR25" s="614"/>
      <c r="DS25" s="614"/>
      <c r="DT25" s="614"/>
      <c r="DU25" s="614"/>
      <c r="DV25" s="614"/>
      <c r="DW25" s="614"/>
      <c r="DX25" s="614"/>
      <c r="DY25" s="614"/>
      <c r="DZ25" s="614"/>
      <c r="EA25" s="614"/>
      <c r="EB25" s="614"/>
      <c r="EC25" s="614"/>
      <c r="ED25" s="614"/>
      <c r="EE25" s="614"/>
      <c r="EF25" s="614"/>
      <c r="EG25" s="614"/>
      <c r="EH25" s="614"/>
      <c r="EI25" s="614"/>
      <c r="EJ25" s="614"/>
      <c r="EK25" s="614"/>
      <c r="EL25" s="614"/>
      <c r="EM25" s="614"/>
      <c r="EN25" s="614"/>
      <c r="EO25" s="614"/>
      <c r="EP25" s="614"/>
      <c r="EQ25" s="614"/>
      <c r="ER25" s="614"/>
      <c r="ES25" s="614"/>
      <c r="ET25" s="614"/>
      <c r="EU25" s="614"/>
      <c r="EV25" s="614"/>
      <c r="EW25" s="614"/>
      <c r="EX25" s="614"/>
      <c r="EY25" s="614"/>
      <c r="EZ25" s="614"/>
      <c r="FA25" s="614"/>
      <c r="FB25" s="614"/>
      <c r="FC25" s="614"/>
      <c r="FD25" s="614"/>
      <c r="FE25" s="614"/>
      <c r="FF25" s="614"/>
      <c r="FG25" s="614"/>
      <c r="FH25" s="614"/>
      <c r="FI25" s="614"/>
      <c r="FJ25" s="614"/>
      <c r="FK25" s="614"/>
      <c r="FL25" s="614"/>
      <c r="FM25" s="614"/>
      <c r="FN25" s="614"/>
      <c r="FO25" s="614"/>
      <c r="FP25" s="614"/>
      <c r="FQ25" s="614"/>
      <c r="FR25" s="614"/>
      <c r="FS25" s="614"/>
      <c r="FT25" s="614"/>
      <c r="FU25" s="614"/>
      <c r="FV25" s="614"/>
      <c r="FW25" s="614"/>
      <c r="FX25" s="614"/>
      <c r="FY25" s="614"/>
      <c r="FZ25" s="614"/>
      <c r="GA25" s="614"/>
      <c r="GB25" s="614"/>
      <c r="GC25" s="614"/>
      <c r="GD25" s="614"/>
      <c r="GE25" s="614"/>
      <c r="GF25" s="614"/>
      <c r="GG25" s="614"/>
      <c r="GH25" s="614"/>
      <c r="GI25" s="614"/>
      <c r="GJ25" s="614"/>
      <c r="GK25" s="614"/>
      <c r="GL25" s="614"/>
      <c r="GM25" s="614"/>
      <c r="GN25" s="614"/>
      <c r="GO25" s="614"/>
      <c r="GP25" s="614"/>
      <c r="GQ25" s="614"/>
      <c r="GR25" s="614"/>
      <c r="GS25" s="614"/>
      <c r="GT25" s="614"/>
      <c r="GU25" s="614"/>
      <c r="GV25" s="614"/>
      <c r="GW25" s="614"/>
      <c r="GX25" s="614"/>
      <c r="GY25" s="614"/>
      <c r="GZ25" s="614"/>
      <c r="HA25" s="614"/>
      <c r="HB25" s="614"/>
      <c r="HC25" s="614"/>
      <c r="HD25" s="614"/>
      <c r="HE25" s="614"/>
      <c r="HF25" s="614"/>
      <c r="HG25" s="614"/>
      <c r="HH25" s="614"/>
      <c r="HI25" s="614"/>
      <c r="HJ25" s="614"/>
      <c r="HK25" s="614"/>
      <c r="HL25" s="614"/>
      <c r="HM25" s="614"/>
      <c r="HN25" s="614"/>
      <c r="HO25" s="614"/>
      <c r="HP25" s="614"/>
      <c r="HQ25" s="614"/>
      <c r="HR25" s="614"/>
    </row>
    <row r="26" spans="1:226" s="663" customFormat="1" ht="13.5" x14ac:dyDescent="0.25">
      <c r="A26" s="666"/>
      <c r="B26" s="667" t="s">
        <v>475</v>
      </c>
      <c r="C26" s="654" t="s">
        <v>476</v>
      </c>
      <c r="D26" s="654" t="s">
        <v>502</v>
      </c>
      <c r="E26" s="655">
        <v>1</v>
      </c>
      <c r="F26" s="668"/>
      <c r="G26" s="669">
        <v>1600</v>
      </c>
      <c r="H26" s="658">
        <f>Table115[[#This Row],[Q]]*Table115[[#This Row],[$MXN OUT]]</f>
        <v>1600</v>
      </c>
      <c r="I26" s="660"/>
      <c r="J26" s="665"/>
      <c r="K26" s="661">
        <f>+K25+Table115[[#This Row],[$MSN IN]]-Table115[[#This Row],[$MXN OUT]]</f>
        <v>-7750</v>
      </c>
      <c r="L26" s="625">
        <f>SUM(H20:H26)</f>
        <v>35000</v>
      </c>
      <c r="M26" s="614"/>
      <c r="N26" s="614"/>
      <c r="O26" s="614"/>
      <c r="P26" s="614"/>
      <c r="Q26" s="614"/>
      <c r="R26" s="614"/>
      <c r="S26" s="614"/>
      <c r="T26" s="614"/>
      <c r="U26" s="614"/>
      <c r="V26" s="614"/>
      <c r="W26" s="614"/>
      <c r="X26" s="614"/>
      <c r="Y26" s="614"/>
      <c r="Z26" s="614"/>
      <c r="AA26" s="614"/>
      <c r="AB26" s="614"/>
      <c r="AC26" s="614"/>
      <c r="AD26" s="614"/>
      <c r="AE26" s="614"/>
      <c r="AF26" s="614"/>
      <c r="AG26" s="614"/>
      <c r="AH26" s="614"/>
      <c r="AI26" s="614"/>
      <c r="AJ26" s="614"/>
      <c r="AK26" s="614"/>
      <c r="AL26" s="614"/>
      <c r="AM26" s="614"/>
      <c r="AN26" s="614"/>
      <c r="AO26" s="614"/>
      <c r="AP26" s="614"/>
      <c r="AQ26" s="614"/>
      <c r="AR26" s="614"/>
      <c r="AS26" s="614"/>
      <c r="AT26" s="614"/>
      <c r="AU26" s="614"/>
      <c r="AV26" s="614"/>
      <c r="AW26" s="614"/>
      <c r="AX26" s="614"/>
      <c r="AY26" s="614"/>
      <c r="AZ26" s="614"/>
      <c r="BA26" s="614"/>
      <c r="BB26" s="614"/>
      <c r="BC26" s="614"/>
      <c r="BD26" s="614"/>
      <c r="BE26" s="614"/>
      <c r="BF26" s="614"/>
      <c r="BG26" s="614"/>
      <c r="BH26" s="614"/>
      <c r="BI26" s="614"/>
      <c r="BJ26" s="614"/>
      <c r="BK26" s="614"/>
      <c r="BL26" s="614"/>
      <c r="BM26" s="614"/>
      <c r="BN26" s="614"/>
      <c r="BO26" s="614"/>
      <c r="BP26" s="614"/>
      <c r="BQ26" s="614"/>
      <c r="BR26" s="614"/>
      <c r="BS26" s="614"/>
      <c r="BT26" s="614"/>
      <c r="BU26" s="614"/>
      <c r="BV26" s="614"/>
      <c r="BW26" s="614"/>
      <c r="BX26" s="614"/>
      <c r="BY26" s="614"/>
      <c r="BZ26" s="614"/>
      <c r="CA26" s="614"/>
      <c r="CB26" s="614"/>
      <c r="CC26" s="614"/>
      <c r="CD26" s="614"/>
      <c r="CE26" s="614"/>
      <c r="CF26" s="614"/>
      <c r="CG26" s="614"/>
      <c r="CH26" s="614"/>
      <c r="CI26" s="614"/>
      <c r="CJ26" s="614"/>
      <c r="CK26" s="614"/>
      <c r="CL26" s="614"/>
      <c r="CM26" s="614"/>
      <c r="CN26" s="614"/>
      <c r="CO26" s="614"/>
      <c r="CP26" s="614"/>
      <c r="CQ26" s="614"/>
      <c r="CR26" s="614"/>
      <c r="CS26" s="614"/>
      <c r="CT26" s="614"/>
      <c r="CU26" s="614"/>
      <c r="CV26" s="614"/>
      <c r="CW26" s="614"/>
      <c r="CX26" s="614"/>
      <c r="CY26" s="614"/>
      <c r="CZ26" s="614"/>
      <c r="DA26" s="614"/>
      <c r="DB26" s="614"/>
      <c r="DC26" s="614"/>
      <c r="DD26" s="614"/>
      <c r="DE26" s="614"/>
      <c r="DF26" s="614"/>
      <c r="DG26" s="614"/>
      <c r="DH26" s="614"/>
      <c r="DI26" s="614"/>
      <c r="DJ26" s="614"/>
      <c r="DK26" s="614"/>
      <c r="DL26" s="614"/>
      <c r="DM26" s="614"/>
      <c r="DN26" s="614"/>
      <c r="DO26" s="614"/>
      <c r="DP26" s="614"/>
      <c r="DQ26" s="614"/>
      <c r="DR26" s="614"/>
      <c r="DS26" s="614"/>
      <c r="DT26" s="614"/>
      <c r="DU26" s="614"/>
      <c r="DV26" s="614"/>
      <c r="DW26" s="614"/>
      <c r="DX26" s="614"/>
      <c r="DY26" s="614"/>
      <c r="DZ26" s="614"/>
      <c r="EA26" s="614"/>
      <c r="EB26" s="614"/>
      <c r="EC26" s="614"/>
      <c r="ED26" s="614"/>
      <c r="EE26" s="614"/>
      <c r="EF26" s="614"/>
      <c r="EG26" s="614"/>
      <c r="EH26" s="614"/>
      <c r="EI26" s="614"/>
      <c r="EJ26" s="614"/>
      <c r="EK26" s="614"/>
      <c r="EL26" s="614"/>
      <c r="EM26" s="614"/>
      <c r="EN26" s="614"/>
      <c r="EO26" s="614"/>
      <c r="EP26" s="614"/>
      <c r="EQ26" s="614"/>
      <c r="ER26" s="614"/>
      <c r="ES26" s="614"/>
      <c r="ET26" s="614"/>
      <c r="EU26" s="614"/>
      <c r="EV26" s="614"/>
      <c r="EW26" s="614"/>
      <c r="EX26" s="614"/>
      <c r="EY26" s="614"/>
      <c r="EZ26" s="614"/>
      <c r="FA26" s="614"/>
      <c r="FB26" s="614"/>
      <c r="FC26" s="614"/>
      <c r="FD26" s="614"/>
      <c r="FE26" s="614"/>
      <c r="FF26" s="614"/>
      <c r="FG26" s="614"/>
      <c r="FH26" s="614"/>
      <c r="FI26" s="614"/>
      <c r="FJ26" s="614"/>
      <c r="FK26" s="614"/>
      <c r="FL26" s="614"/>
      <c r="FM26" s="614"/>
      <c r="FN26" s="614"/>
      <c r="FO26" s="614"/>
      <c r="FP26" s="614"/>
      <c r="FQ26" s="614"/>
      <c r="FR26" s="614"/>
      <c r="FS26" s="614"/>
      <c r="FT26" s="614"/>
      <c r="FU26" s="614"/>
      <c r="FV26" s="614"/>
      <c r="FW26" s="614"/>
      <c r="FX26" s="614"/>
      <c r="FY26" s="614"/>
      <c r="FZ26" s="614"/>
      <c r="GA26" s="614"/>
      <c r="GB26" s="614"/>
      <c r="GC26" s="614"/>
      <c r="GD26" s="614"/>
      <c r="GE26" s="614"/>
      <c r="GF26" s="614"/>
      <c r="GG26" s="614"/>
      <c r="GH26" s="614"/>
      <c r="GI26" s="614"/>
      <c r="GJ26" s="614"/>
      <c r="GK26" s="614"/>
      <c r="GL26" s="614"/>
      <c r="GM26" s="614"/>
      <c r="GN26" s="614"/>
      <c r="GO26" s="614"/>
      <c r="GP26" s="614"/>
      <c r="GQ26" s="614"/>
      <c r="GR26" s="614"/>
      <c r="GS26" s="614"/>
      <c r="GT26" s="614"/>
      <c r="GU26" s="614"/>
      <c r="GV26" s="614"/>
      <c r="GW26" s="614"/>
      <c r="GX26" s="614"/>
      <c r="GY26" s="614"/>
      <c r="GZ26" s="614"/>
      <c r="HA26" s="614"/>
      <c r="HB26" s="614"/>
      <c r="HC26" s="614"/>
      <c r="HD26" s="614"/>
      <c r="HE26" s="614"/>
      <c r="HF26" s="614"/>
      <c r="HG26" s="614"/>
      <c r="HH26" s="614"/>
      <c r="HI26" s="614"/>
      <c r="HJ26" s="614"/>
      <c r="HK26" s="614"/>
      <c r="HL26" s="614"/>
      <c r="HM26" s="614"/>
      <c r="HN26" s="614"/>
      <c r="HO26" s="614"/>
      <c r="HP26" s="614"/>
      <c r="HQ26" s="614"/>
      <c r="HR26" s="614"/>
    </row>
    <row r="27" spans="1:226" s="663" customFormat="1" ht="13.5" x14ac:dyDescent="0.25">
      <c r="A27" s="666"/>
      <c r="B27" s="667" t="s">
        <v>503</v>
      </c>
      <c r="C27" s="654" t="s">
        <v>504</v>
      </c>
      <c r="D27" s="654" t="s">
        <v>505</v>
      </c>
      <c r="E27" s="655">
        <v>1</v>
      </c>
      <c r="F27" s="668"/>
      <c r="G27" s="669">
        <v>6000</v>
      </c>
      <c r="H27" s="658">
        <f>Table115[[#This Row],[Q]]*Table115[[#This Row],[$MXN OUT]]</f>
        <v>6000</v>
      </c>
      <c r="I27" s="660"/>
      <c r="J27" s="665"/>
      <c r="K27" s="661">
        <f>+K26+Table115[[#This Row],[$MSN IN]]-Table115[[#This Row],[$MXN OUT]]</f>
        <v>-13750</v>
      </c>
      <c r="L27" s="614"/>
      <c r="M27" s="614"/>
      <c r="N27" s="614"/>
      <c r="O27" s="614"/>
      <c r="P27" s="614"/>
      <c r="Q27" s="614"/>
      <c r="R27" s="614"/>
      <c r="S27" s="614"/>
      <c r="T27" s="614"/>
      <c r="U27" s="614"/>
      <c r="V27" s="614"/>
      <c r="W27" s="614"/>
      <c r="X27" s="614"/>
      <c r="Y27" s="614"/>
      <c r="Z27" s="614"/>
      <c r="AA27" s="614"/>
      <c r="AB27" s="614"/>
      <c r="AC27" s="614"/>
      <c r="AD27" s="614"/>
      <c r="AE27" s="614"/>
      <c r="AF27" s="614"/>
      <c r="AG27" s="614"/>
      <c r="AH27" s="614"/>
      <c r="AI27" s="614"/>
      <c r="AJ27" s="614"/>
      <c r="AK27" s="614"/>
      <c r="AL27" s="614"/>
      <c r="AM27" s="614"/>
      <c r="AN27" s="614"/>
      <c r="AO27" s="614"/>
      <c r="AP27" s="614"/>
      <c r="AQ27" s="614"/>
      <c r="AR27" s="614"/>
      <c r="AS27" s="614"/>
      <c r="AT27" s="614"/>
      <c r="AU27" s="614"/>
      <c r="AV27" s="614"/>
      <c r="AW27" s="614"/>
      <c r="AX27" s="614"/>
      <c r="AY27" s="614"/>
      <c r="AZ27" s="614"/>
      <c r="BA27" s="614"/>
      <c r="BB27" s="614"/>
      <c r="BC27" s="614"/>
      <c r="BD27" s="614"/>
      <c r="BE27" s="614"/>
      <c r="BF27" s="614"/>
      <c r="BG27" s="614"/>
      <c r="BH27" s="614"/>
      <c r="BI27" s="614"/>
      <c r="BJ27" s="614"/>
      <c r="BK27" s="614"/>
      <c r="BL27" s="614"/>
      <c r="BM27" s="614"/>
      <c r="BN27" s="614"/>
      <c r="BO27" s="614"/>
      <c r="BP27" s="614"/>
      <c r="BQ27" s="614"/>
      <c r="BR27" s="614"/>
      <c r="BS27" s="614"/>
      <c r="BT27" s="614"/>
      <c r="BU27" s="614"/>
      <c r="BV27" s="614"/>
      <c r="BW27" s="614"/>
      <c r="BX27" s="614"/>
      <c r="BY27" s="614"/>
      <c r="BZ27" s="614"/>
      <c r="CA27" s="614"/>
      <c r="CB27" s="614"/>
      <c r="CC27" s="614"/>
      <c r="CD27" s="614"/>
      <c r="CE27" s="614"/>
      <c r="CF27" s="614"/>
      <c r="CG27" s="614"/>
      <c r="CH27" s="614"/>
      <c r="CI27" s="614"/>
      <c r="CJ27" s="614"/>
      <c r="CK27" s="614"/>
      <c r="CL27" s="614"/>
      <c r="CM27" s="614"/>
      <c r="CN27" s="614"/>
      <c r="CO27" s="614"/>
      <c r="CP27" s="614"/>
      <c r="CQ27" s="614"/>
      <c r="CR27" s="614"/>
      <c r="CS27" s="614"/>
      <c r="CT27" s="614"/>
      <c r="CU27" s="614"/>
      <c r="CV27" s="614"/>
      <c r="CW27" s="614"/>
      <c r="CX27" s="614"/>
      <c r="CY27" s="614"/>
      <c r="CZ27" s="614"/>
      <c r="DA27" s="614"/>
      <c r="DB27" s="614"/>
      <c r="DC27" s="614"/>
      <c r="DD27" s="614"/>
      <c r="DE27" s="614"/>
      <c r="DF27" s="614"/>
      <c r="DG27" s="614"/>
      <c r="DH27" s="614"/>
      <c r="DI27" s="614"/>
      <c r="DJ27" s="614"/>
      <c r="DK27" s="614"/>
      <c r="DL27" s="614"/>
      <c r="DM27" s="614"/>
      <c r="DN27" s="614"/>
      <c r="DO27" s="614"/>
      <c r="DP27" s="614"/>
      <c r="DQ27" s="614"/>
      <c r="DR27" s="614"/>
      <c r="DS27" s="614"/>
      <c r="DT27" s="614"/>
      <c r="DU27" s="614"/>
      <c r="DV27" s="614"/>
      <c r="DW27" s="614"/>
      <c r="DX27" s="614"/>
      <c r="DY27" s="614"/>
      <c r="DZ27" s="614"/>
      <c r="EA27" s="614"/>
      <c r="EB27" s="614"/>
      <c r="EC27" s="614"/>
      <c r="ED27" s="614"/>
      <c r="EE27" s="614"/>
      <c r="EF27" s="614"/>
      <c r="EG27" s="614"/>
      <c r="EH27" s="614"/>
      <c r="EI27" s="614"/>
      <c r="EJ27" s="614"/>
      <c r="EK27" s="614"/>
      <c r="EL27" s="614"/>
      <c r="EM27" s="614"/>
      <c r="EN27" s="614"/>
      <c r="EO27" s="614"/>
      <c r="EP27" s="614"/>
      <c r="EQ27" s="614"/>
      <c r="ER27" s="614"/>
      <c r="ES27" s="614"/>
      <c r="ET27" s="614"/>
      <c r="EU27" s="614"/>
      <c r="EV27" s="614"/>
      <c r="EW27" s="614"/>
      <c r="EX27" s="614"/>
      <c r="EY27" s="614"/>
      <c r="EZ27" s="614"/>
      <c r="FA27" s="614"/>
      <c r="FB27" s="614"/>
      <c r="FC27" s="614"/>
      <c r="FD27" s="614"/>
      <c r="FE27" s="614"/>
      <c r="FF27" s="614"/>
      <c r="FG27" s="614"/>
      <c r="FH27" s="614"/>
      <c r="FI27" s="614"/>
      <c r="FJ27" s="614"/>
      <c r="FK27" s="614"/>
      <c r="FL27" s="614"/>
      <c r="FM27" s="614"/>
      <c r="FN27" s="614"/>
      <c r="FO27" s="614"/>
      <c r="FP27" s="614"/>
      <c r="FQ27" s="614"/>
      <c r="FR27" s="614"/>
      <c r="FS27" s="614"/>
      <c r="FT27" s="614"/>
      <c r="FU27" s="614"/>
      <c r="FV27" s="614"/>
      <c r="FW27" s="614"/>
      <c r="FX27" s="614"/>
      <c r="FY27" s="614"/>
      <c r="FZ27" s="614"/>
      <c r="GA27" s="614"/>
      <c r="GB27" s="614"/>
      <c r="GC27" s="614"/>
      <c r="GD27" s="614"/>
      <c r="GE27" s="614"/>
      <c r="GF27" s="614"/>
      <c r="GG27" s="614"/>
      <c r="GH27" s="614"/>
      <c r="GI27" s="614"/>
      <c r="GJ27" s="614"/>
      <c r="GK27" s="614"/>
      <c r="GL27" s="614"/>
      <c r="GM27" s="614"/>
      <c r="GN27" s="614"/>
      <c r="GO27" s="614"/>
      <c r="GP27" s="614"/>
      <c r="GQ27" s="614"/>
      <c r="GR27" s="614"/>
      <c r="GS27" s="614"/>
      <c r="GT27" s="614"/>
      <c r="GU27" s="614"/>
      <c r="GV27" s="614"/>
      <c r="GW27" s="614"/>
      <c r="GX27" s="614"/>
      <c r="GY27" s="614"/>
      <c r="GZ27" s="614"/>
      <c r="HA27" s="614"/>
      <c r="HB27" s="614"/>
      <c r="HC27" s="614"/>
      <c r="HD27" s="614"/>
      <c r="HE27" s="614"/>
      <c r="HF27" s="614"/>
      <c r="HG27" s="614"/>
      <c r="HH27" s="614"/>
      <c r="HI27" s="614"/>
      <c r="HJ27" s="614"/>
      <c r="HK27" s="614"/>
      <c r="HL27" s="614"/>
      <c r="HM27" s="614"/>
      <c r="HN27" s="614"/>
      <c r="HO27" s="614"/>
      <c r="HP27" s="614"/>
      <c r="HQ27" s="614"/>
      <c r="HR27" s="614"/>
    </row>
    <row r="28" spans="1:226" s="663" customFormat="1" ht="13.5" x14ac:dyDescent="0.25">
      <c r="A28" s="666"/>
      <c r="B28" s="667" t="s">
        <v>506</v>
      </c>
      <c r="C28" s="654" t="s">
        <v>507</v>
      </c>
      <c r="D28" s="654"/>
      <c r="E28" s="655">
        <v>1</v>
      </c>
      <c r="F28" s="668"/>
      <c r="G28" s="669">
        <v>2600</v>
      </c>
      <c r="H28" s="658">
        <f>Table115[[#This Row],[Q]]*Table115[[#This Row],[$MXN OUT]]</f>
        <v>2600</v>
      </c>
      <c r="I28" s="660"/>
      <c r="J28" s="665"/>
      <c r="K28" s="661">
        <f>+K27+Table115[[#This Row],[$MSN IN]]-Table115[[#This Row],[$MXN OUT]]</f>
        <v>-16350</v>
      </c>
      <c r="L28" s="614"/>
      <c r="M28" s="614"/>
      <c r="N28" s="614"/>
      <c r="O28" s="614"/>
      <c r="P28" s="614"/>
      <c r="Q28" s="614"/>
      <c r="R28" s="614"/>
      <c r="S28" s="614"/>
      <c r="T28" s="614"/>
      <c r="U28" s="614"/>
      <c r="V28" s="614"/>
      <c r="W28" s="614"/>
      <c r="X28" s="614"/>
      <c r="Y28" s="614"/>
      <c r="Z28" s="614"/>
      <c r="AA28" s="614"/>
      <c r="AB28" s="614"/>
      <c r="AC28" s="614"/>
      <c r="AD28" s="614"/>
      <c r="AE28" s="614"/>
      <c r="AF28" s="614"/>
      <c r="AG28" s="614"/>
      <c r="AH28" s="614"/>
      <c r="AI28" s="614"/>
      <c r="AJ28" s="614"/>
      <c r="AK28" s="614"/>
      <c r="AL28" s="614"/>
      <c r="AM28" s="614"/>
      <c r="AN28" s="614"/>
      <c r="AO28" s="614"/>
      <c r="AP28" s="614"/>
      <c r="AQ28" s="614"/>
      <c r="AR28" s="614"/>
      <c r="AS28" s="614"/>
      <c r="AT28" s="614"/>
      <c r="AU28" s="614"/>
      <c r="AV28" s="614"/>
      <c r="AW28" s="614"/>
      <c r="AX28" s="614"/>
      <c r="AY28" s="614"/>
      <c r="AZ28" s="614"/>
      <c r="BA28" s="614"/>
      <c r="BB28" s="614"/>
      <c r="BC28" s="614"/>
      <c r="BD28" s="614"/>
      <c r="BE28" s="614"/>
      <c r="BF28" s="614"/>
      <c r="BG28" s="614"/>
      <c r="BH28" s="614"/>
      <c r="BI28" s="614"/>
      <c r="BJ28" s="614"/>
      <c r="BK28" s="614"/>
      <c r="BL28" s="614"/>
      <c r="BM28" s="614"/>
      <c r="BN28" s="614"/>
      <c r="BO28" s="614"/>
      <c r="BP28" s="614"/>
      <c r="BQ28" s="614"/>
      <c r="BR28" s="614"/>
      <c r="BS28" s="614"/>
      <c r="BT28" s="614"/>
      <c r="BU28" s="614"/>
      <c r="BV28" s="614"/>
      <c r="BW28" s="614"/>
      <c r="BX28" s="614"/>
      <c r="BY28" s="614"/>
      <c r="BZ28" s="614"/>
      <c r="CA28" s="614"/>
      <c r="CB28" s="614"/>
      <c r="CC28" s="614"/>
      <c r="CD28" s="614"/>
      <c r="CE28" s="614"/>
      <c r="CF28" s="614"/>
      <c r="CG28" s="614"/>
      <c r="CH28" s="614"/>
      <c r="CI28" s="614"/>
      <c r="CJ28" s="614"/>
      <c r="CK28" s="614"/>
      <c r="CL28" s="614"/>
      <c r="CM28" s="614"/>
      <c r="CN28" s="614"/>
      <c r="CO28" s="614"/>
      <c r="CP28" s="614"/>
      <c r="CQ28" s="614"/>
      <c r="CR28" s="614"/>
      <c r="CS28" s="614"/>
      <c r="CT28" s="614"/>
      <c r="CU28" s="614"/>
      <c r="CV28" s="614"/>
      <c r="CW28" s="614"/>
      <c r="CX28" s="614"/>
      <c r="CY28" s="614"/>
      <c r="CZ28" s="614"/>
      <c r="DA28" s="614"/>
      <c r="DB28" s="614"/>
      <c r="DC28" s="614"/>
      <c r="DD28" s="614"/>
      <c r="DE28" s="614"/>
      <c r="DF28" s="614"/>
      <c r="DG28" s="614"/>
      <c r="DH28" s="614"/>
      <c r="DI28" s="614"/>
      <c r="DJ28" s="614"/>
      <c r="DK28" s="614"/>
      <c r="DL28" s="614"/>
      <c r="DM28" s="614"/>
      <c r="DN28" s="614"/>
      <c r="DO28" s="614"/>
      <c r="DP28" s="614"/>
      <c r="DQ28" s="614"/>
      <c r="DR28" s="614"/>
      <c r="DS28" s="614"/>
      <c r="DT28" s="614"/>
      <c r="DU28" s="614"/>
      <c r="DV28" s="614"/>
      <c r="DW28" s="614"/>
      <c r="DX28" s="614"/>
      <c r="DY28" s="614"/>
      <c r="DZ28" s="614"/>
      <c r="EA28" s="614"/>
      <c r="EB28" s="614"/>
      <c r="EC28" s="614"/>
      <c r="ED28" s="614"/>
      <c r="EE28" s="614"/>
      <c r="EF28" s="614"/>
      <c r="EG28" s="614"/>
      <c r="EH28" s="614"/>
      <c r="EI28" s="614"/>
      <c r="EJ28" s="614"/>
      <c r="EK28" s="614"/>
      <c r="EL28" s="614"/>
      <c r="EM28" s="614"/>
      <c r="EN28" s="614"/>
      <c r="EO28" s="614"/>
      <c r="EP28" s="614"/>
      <c r="EQ28" s="614"/>
      <c r="ER28" s="614"/>
      <c r="ES28" s="614"/>
      <c r="ET28" s="614"/>
      <c r="EU28" s="614"/>
      <c r="EV28" s="614"/>
      <c r="EW28" s="614"/>
      <c r="EX28" s="614"/>
      <c r="EY28" s="614"/>
      <c r="EZ28" s="614"/>
      <c r="FA28" s="614"/>
      <c r="FB28" s="614"/>
      <c r="FC28" s="614"/>
      <c r="FD28" s="614"/>
      <c r="FE28" s="614"/>
      <c r="FF28" s="614"/>
      <c r="FG28" s="614"/>
      <c r="FH28" s="614"/>
      <c r="FI28" s="614"/>
      <c r="FJ28" s="614"/>
      <c r="FK28" s="614"/>
      <c r="FL28" s="614"/>
      <c r="FM28" s="614"/>
      <c r="FN28" s="614"/>
      <c r="FO28" s="614"/>
      <c r="FP28" s="614"/>
      <c r="FQ28" s="614"/>
      <c r="FR28" s="614"/>
      <c r="FS28" s="614"/>
      <c r="FT28" s="614"/>
      <c r="FU28" s="614"/>
      <c r="FV28" s="614"/>
      <c r="FW28" s="614"/>
      <c r="FX28" s="614"/>
      <c r="FY28" s="614"/>
      <c r="FZ28" s="614"/>
      <c r="GA28" s="614"/>
      <c r="GB28" s="614"/>
      <c r="GC28" s="614"/>
      <c r="GD28" s="614"/>
      <c r="GE28" s="614"/>
      <c r="GF28" s="614"/>
      <c r="GG28" s="614"/>
      <c r="GH28" s="614"/>
      <c r="GI28" s="614"/>
      <c r="GJ28" s="614"/>
      <c r="GK28" s="614"/>
      <c r="GL28" s="614"/>
      <c r="GM28" s="614"/>
      <c r="GN28" s="614"/>
      <c r="GO28" s="614"/>
      <c r="GP28" s="614"/>
      <c r="GQ28" s="614"/>
      <c r="GR28" s="614"/>
      <c r="GS28" s="614"/>
      <c r="GT28" s="614"/>
      <c r="GU28" s="614"/>
      <c r="GV28" s="614"/>
      <c r="GW28" s="614"/>
      <c r="GX28" s="614"/>
      <c r="GY28" s="614"/>
      <c r="GZ28" s="614"/>
      <c r="HA28" s="614"/>
      <c r="HB28" s="614"/>
      <c r="HC28" s="614"/>
      <c r="HD28" s="614"/>
      <c r="HE28" s="614"/>
      <c r="HF28" s="614"/>
      <c r="HG28" s="614"/>
      <c r="HH28" s="614"/>
      <c r="HI28" s="614"/>
      <c r="HJ28" s="614"/>
      <c r="HK28" s="614"/>
      <c r="HL28" s="614"/>
      <c r="HM28" s="614"/>
      <c r="HN28" s="614"/>
      <c r="HO28" s="614"/>
      <c r="HP28" s="614"/>
      <c r="HQ28" s="614"/>
      <c r="HR28" s="614"/>
    </row>
    <row r="29" spans="1:226" s="663" customFormat="1" ht="13.5" x14ac:dyDescent="0.25">
      <c r="A29" s="666"/>
      <c r="B29" s="667" t="s">
        <v>508</v>
      </c>
      <c r="C29" s="654" t="s">
        <v>509</v>
      </c>
      <c r="D29" s="670">
        <v>45958</v>
      </c>
      <c r="E29" s="655">
        <v>1</v>
      </c>
      <c r="F29" s="668"/>
      <c r="G29" s="669">
        <v>2500</v>
      </c>
      <c r="H29" s="658">
        <f>Table115[[#This Row],[Q]]*Table115[[#This Row],[$MXN OUT]]</f>
        <v>2500</v>
      </c>
      <c r="I29" s="660"/>
      <c r="J29" s="665"/>
      <c r="K29" s="661">
        <f>+K28+Table115[[#This Row],[$MSN IN]]-Table115[[#This Row],[$MXN OUT]]</f>
        <v>-18850</v>
      </c>
      <c r="L29" s="614"/>
      <c r="M29" s="614"/>
      <c r="N29" s="614"/>
      <c r="O29" s="614"/>
      <c r="P29" s="614"/>
      <c r="Q29" s="614"/>
      <c r="R29" s="614"/>
      <c r="S29" s="614"/>
      <c r="T29" s="614"/>
      <c r="U29" s="614"/>
      <c r="V29" s="614"/>
      <c r="W29" s="614"/>
      <c r="X29" s="614"/>
      <c r="Y29" s="614"/>
      <c r="Z29" s="614"/>
      <c r="AA29" s="614"/>
      <c r="AB29" s="614"/>
      <c r="AC29" s="614"/>
      <c r="AD29" s="614"/>
      <c r="AE29" s="614"/>
      <c r="AF29" s="614"/>
      <c r="AG29" s="614"/>
      <c r="AH29" s="614"/>
      <c r="AI29" s="614"/>
      <c r="AJ29" s="614"/>
      <c r="AK29" s="614"/>
      <c r="AL29" s="614"/>
      <c r="AM29" s="614"/>
      <c r="AN29" s="614"/>
      <c r="AO29" s="614"/>
      <c r="AP29" s="614"/>
      <c r="AQ29" s="614"/>
      <c r="AR29" s="614"/>
      <c r="AS29" s="614"/>
      <c r="AT29" s="614"/>
      <c r="AU29" s="614"/>
      <c r="AV29" s="614"/>
      <c r="AW29" s="614"/>
      <c r="AX29" s="614"/>
      <c r="AY29" s="614"/>
      <c r="AZ29" s="614"/>
      <c r="BA29" s="614"/>
      <c r="BB29" s="614"/>
      <c r="BC29" s="614"/>
      <c r="BD29" s="614"/>
      <c r="BE29" s="614"/>
      <c r="BF29" s="614"/>
      <c r="BG29" s="614"/>
      <c r="BH29" s="614"/>
      <c r="BI29" s="614"/>
      <c r="BJ29" s="614"/>
      <c r="BK29" s="614"/>
      <c r="BL29" s="614"/>
      <c r="BM29" s="614"/>
      <c r="BN29" s="614"/>
      <c r="BO29" s="614"/>
      <c r="BP29" s="614"/>
      <c r="BQ29" s="614"/>
      <c r="BR29" s="614"/>
      <c r="BS29" s="614"/>
      <c r="BT29" s="614"/>
      <c r="BU29" s="614"/>
      <c r="BV29" s="614"/>
      <c r="BW29" s="614"/>
      <c r="BX29" s="614"/>
      <c r="BY29" s="614"/>
      <c r="BZ29" s="614"/>
      <c r="CA29" s="614"/>
      <c r="CB29" s="614"/>
      <c r="CC29" s="614"/>
      <c r="CD29" s="614"/>
      <c r="CE29" s="614"/>
      <c r="CF29" s="614"/>
      <c r="CG29" s="614"/>
      <c r="CH29" s="614"/>
      <c r="CI29" s="614"/>
      <c r="CJ29" s="614"/>
      <c r="CK29" s="614"/>
      <c r="CL29" s="614"/>
      <c r="CM29" s="614"/>
      <c r="CN29" s="614"/>
      <c r="CO29" s="614"/>
      <c r="CP29" s="614"/>
      <c r="CQ29" s="614"/>
      <c r="CR29" s="614"/>
      <c r="CS29" s="614"/>
      <c r="CT29" s="614"/>
      <c r="CU29" s="614"/>
      <c r="CV29" s="614"/>
      <c r="CW29" s="614"/>
      <c r="CX29" s="614"/>
      <c r="CY29" s="614"/>
      <c r="CZ29" s="614"/>
      <c r="DA29" s="614"/>
      <c r="DB29" s="614"/>
      <c r="DC29" s="614"/>
      <c r="DD29" s="614"/>
      <c r="DE29" s="614"/>
      <c r="DF29" s="614"/>
      <c r="DG29" s="614"/>
      <c r="DH29" s="614"/>
      <c r="DI29" s="614"/>
      <c r="DJ29" s="614"/>
      <c r="DK29" s="614"/>
      <c r="DL29" s="614"/>
      <c r="DM29" s="614"/>
      <c r="DN29" s="614"/>
      <c r="DO29" s="614"/>
      <c r="DP29" s="614"/>
      <c r="DQ29" s="614"/>
      <c r="DR29" s="614"/>
      <c r="DS29" s="614"/>
      <c r="DT29" s="614"/>
      <c r="DU29" s="614"/>
      <c r="DV29" s="614"/>
      <c r="DW29" s="614"/>
      <c r="DX29" s="614"/>
      <c r="DY29" s="614"/>
      <c r="DZ29" s="614"/>
      <c r="EA29" s="614"/>
      <c r="EB29" s="614"/>
      <c r="EC29" s="614"/>
      <c r="ED29" s="614"/>
      <c r="EE29" s="614"/>
      <c r="EF29" s="614"/>
      <c r="EG29" s="614"/>
      <c r="EH29" s="614"/>
      <c r="EI29" s="614"/>
      <c r="EJ29" s="614"/>
      <c r="EK29" s="614"/>
      <c r="EL29" s="614"/>
      <c r="EM29" s="614"/>
      <c r="EN29" s="614"/>
      <c r="EO29" s="614"/>
      <c r="EP29" s="614"/>
      <c r="EQ29" s="614"/>
      <c r="ER29" s="614"/>
      <c r="ES29" s="614"/>
      <c r="ET29" s="614"/>
      <c r="EU29" s="614"/>
      <c r="EV29" s="614"/>
      <c r="EW29" s="614"/>
      <c r="EX29" s="614"/>
      <c r="EY29" s="614"/>
      <c r="EZ29" s="614"/>
      <c r="FA29" s="614"/>
      <c r="FB29" s="614"/>
      <c r="FC29" s="614"/>
      <c r="FD29" s="614"/>
      <c r="FE29" s="614"/>
      <c r="FF29" s="614"/>
      <c r="FG29" s="614"/>
      <c r="FH29" s="614"/>
      <c r="FI29" s="614"/>
      <c r="FJ29" s="614"/>
      <c r="FK29" s="614"/>
      <c r="FL29" s="614"/>
      <c r="FM29" s="614"/>
      <c r="FN29" s="614"/>
      <c r="FO29" s="614"/>
      <c r="FP29" s="614"/>
      <c r="FQ29" s="614"/>
      <c r="FR29" s="614"/>
      <c r="FS29" s="614"/>
      <c r="FT29" s="614"/>
      <c r="FU29" s="614"/>
      <c r="FV29" s="614"/>
      <c r="FW29" s="614"/>
      <c r="FX29" s="614"/>
      <c r="FY29" s="614"/>
      <c r="FZ29" s="614"/>
      <c r="GA29" s="614"/>
      <c r="GB29" s="614"/>
      <c r="GC29" s="614"/>
      <c r="GD29" s="614"/>
      <c r="GE29" s="614"/>
      <c r="GF29" s="614"/>
      <c r="GG29" s="614"/>
      <c r="GH29" s="614"/>
      <c r="GI29" s="614"/>
      <c r="GJ29" s="614"/>
      <c r="GK29" s="614"/>
      <c r="GL29" s="614"/>
      <c r="GM29" s="614"/>
      <c r="GN29" s="614"/>
      <c r="GO29" s="614"/>
      <c r="GP29" s="614"/>
      <c r="GQ29" s="614"/>
      <c r="GR29" s="614"/>
      <c r="GS29" s="614"/>
      <c r="GT29" s="614"/>
      <c r="GU29" s="614"/>
      <c r="GV29" s="614"/>
      <c r="GW29" s="614"/>
      <c r="GX29" s="614"/>
      <c r="GY29" s="614"/>
      <c r="GZ29" s="614"/>
      <c r="HA29" s="614"/>
      <c r="HB29" s="614"/>
      <c r="HC29" s="614"/>
      <c r="HD29" s="614"/>
      <c r="HE29" s="614"/>
      <c r="HF29" s="614"/>
      <c r="HG29" s="614"/>
      <c r="HH29" s="614"/>
      <c r="HI29" s="614"/>
      <c r="HJ29" s="614"/>
      <c r="HK29" s="614"/>
      <c r="HL29" s="614"/>
      <c r="HM29" s="614"/>
      <c r="HN29" s="614"/>
      <c r="HO29" s="614"/>
      <c r="HP29" s="614"/>
      <c r="HQ29" s="614"/>
      <c r="HR29" s="614"/>
    </row>
    <row r="30" spans="1:226" s="663" customFormat="1" ht="13.5" x14ac:dyDescent="0.25">
      <c r="A30" s="666"/>
      <c r="B30" s="667" t="s">
        <v>510</v>
      </c>
      <c r="C30" s="654" t="s">
        <v>511</v>
      </c>
      <c r="D30" s="654" t="s">
        <v>512</v>
      </c>
      <c r="E30" s="655">
        <v>1</v>
      </c>
      <c r="F30" s="668"/>
      <c r="G30" s="669">
        <v>7000</v>
      </c>
      <c r="H30" s="658">
        <f>Table115[[#This Row],[Q]]*Table115[[#This Row],[$MXN OUT]]</f>
        <v>7000</v>
      </c>
      <c r="I30" s="660"/>
      <c r="J30" s="665"/>
      <c r="K30" s="661">
        <f>+K29+Table115[[#This Row],[$MSN IN]]-Table115[[#This Row],[$MXN OUT]]</f>
        <v>-25850</v>
      </c>
      <c r="L30" s="614"/>
      <c r="M30" s="614"/>
      <c r="N30" s="614"/>
      <c r="O30" s="614"/>
      <c r="P30" s="614"/>
      <c r="Q30" s="614"/>
      <c r="R30" s="614"/>
      <c r="S30" s="614"/>
      <c r="T30" s="614"/>
      <c r="U30" s="614"/>
      <c r="V30" s="614"/>
      <c r="W30" s="614"/>
      <c r="X30" s="614"/>
      <c r="Y30" s="614"/>
      <c r="Z30" s="614"/>
      <c r="AA30" s="614"/>
      <c r="AB30" s="614"/>
      <c r="AC30" s="614"/>
      <c r="AD30" s="614"/>
      <c r="AE30" s="614"/>
      <c r="AF30" s="614"/>
      <c r="AG30" s="614"/>
      <c r="AH30" s="614"/>
      <c r="AI30" s="614"/>
      <c r="AJ30" s="614"/>
      <c r="AK30" s="614"/>
      <c r="AL30" s="614"/>
      <c r="AM30" s="614"/>
      <c r="AN30" s="614"/>
      <c r="AO30" s="614"/>
      <c r="AP30" s="614"/>
      <c r="AQ30" s="614"/>
      <c r="AR30" s="614"/>
      <c r="AS30" s="614"/>
      <c r="AT30" s="614"/>
      <c r="AU30" s="614"/>
      <c r="AV30" s="614"/>
      <c r="AW30" s="614"/>
      <c r="AX30" s="614"/>
      <c r="AY30" s="614"/>
      <c r="AZ30" s="614"/>
      <c r="BA30" s="614"/>
      <c r="BB30" s="614"/>
      <c r="BC30" s="614"/>
      <c r="BD30" s="614"/>
      <c r="BE30" s="614"/>
      <c r="BF30" s="614"/>
      <c r="BG30" s="614"/>
      <c r="BH30" s="614"/>
      <c r="BI30" s="614"/>
      <c r="BJ30" s="614"/>
      <c r="BK30" s="614"/>
      <c r="BL30" s="614"/>
      <c r="BM30" s="614"/>
      <c r="BN30" s="614"/>
      <c r="BO30" s="614"/>
      <c r="BP30" s="614"/>
      <c r="BQ30" s="614"/>
      <c r="BR30" s="614"/>
      <c r="BS30" s="614"/>
      <c r="BT30" s="614"/>
      <c r="BU30" s="614"/>
      <c r="BV30" s="614"/>
      <c r="BW30" s="614"/>
      <c r="BX30" s="614"/>
      <c r="BY30" s="614"/>
      <c r="BZ30" s="614"/>
      <c r="CA30" s="614"/>
      <c r="CB30" s="614"/>
      <c r="CC30" s="614"/>
      <c r="CD30" s="614"/>
      <c r="CE30" s="614"/>
      <c r="CF30" s="614"/>
      <c r="CG30" s="614"/>
      <c r="CH30" s="614"/>
      <c r="CI30" s="614"/>
      <c r="CJ30" s="614"/>
      <c r="CK30" s="614"/>
      <c r="CL30" s="614"/>
      <c r="CM30" s="614"/>
      <c r="CN30" s="614"/>
      <c r="CO30" s="614"/>
      <c r="CP30" s="614"/>
      <c r="CQ30" s="614"/>
      <c r="CR30" s="614"/>
      <c r="CS30" s="614"/>
      <c r="CT30" s="614"/>
      <c r="CU30" s="614"/>
      <c r="CV30" s="614"/>
      <c r="CW30" s="614"/>
      <c r="CX30" s="614"/>
      <c r="CY30" s="614"/>
      <c r="CZ30" s="614"/>
      <c r="DA30" s="614"/>
      <c r="DB30" s="614"/>
      <c r="DC30" s="614"/>
      <c r="DD30" s="614"/>
      <c r="DE30" s="614"/>
      <c r="DF30" s="614"/>
      <c r="DG30" s="614"/>
      <c r="DH30" s="614"/>
      <c r="DI30" s="614"/>
      <c r="DJ30" s="614"/>
      <c r="DK30" s="614"/>
      <c r="DL30" s="614"/>
      <c r="DM30" s="614"/>
      <c r="DN30" s="614"/>
      <c r="DO30" s="614"/>
      <c r="DP30" s="614"/>
      <c r="DQ30" s="614"/>
      <c r="DR30" s="614"/>
      <c r="DS30" s="614"/>
      <c r="DT30" s="614"/>
      <c r="DU30" s="614"/>
      <c r="DV30" s="614"/>
      <c r="DW30" s="614"/>
      <c r="DX30" s="614"/>
      <c r="DY30" s="614"/>
      <c r="DZ30" s="614"/>
      <c r="EA30" s="614"/>
      <c r="EB30" s="614"/>
      <c r="EC30" s="614"/>
      <c r="ED30" s="614"/>
      <c r="EE30" s="614"/>
      <c r="EF30" s="614"/>
      <c r="EG30" s="614"/>
      <c r="EH30" s="614"/>
      <c r="EI30" s="614"/>
      <c r="EJ30" s="614"/>
      <c r="EK30" s="614"/>
      <c r="EL30" s="614"/>
      <c r="EM30" s="614"/>
      <c r="EN30" s="614"/>
      <c r="EO30" s="614"/>
      <c r="EP30" s="614"/>
      <c r="EQ30" s="614"/>
      <c r="ER30" s="614"/>
      <c r="ES30" s="614"/>
      <c r="ET30" s="614"/>
      <c r="EU30" s="614"/>
      <c r="EV30" s="614"/>
      <c r="EW30" s="614"/>
      <c r="EX30" s="614"/>
      <c r="EY30" s="614"/>
      <c r="EZ30" s="614"/>
      <c r="FA30" s="614"/>
      <c r="FB30" s="614"/>
      <c r="FC30" s="614"/>
      <c r="FD30" s="614"/>
      <c r="FE30" s="614"/>
      <c r="FF30" s="614"/>
      <c r="FG30" s="614"/>
      <c r="FH30" s="614"/>
      <c r="FI30" s="614"/>
      <c r="FJ30" s="614"/>
      <c r="FK30" s="614"/>
      <c r="FL30" s="614"/>
      <c r="FM30" s="614"/>
      <c r="FN30" s="614"/>
      <c r="FO30" s="614"/>
      <c r="FP30" s="614"/>
      <c r="FQ30" s="614"/>
      <c r="FR30" s="614"/>
      <c r="FS30" s="614"/>
      <c r="FT30" s="614"/>
      <c r="FU30" s="614"/>
      <c r="FV30" s="614"/>
      <c r="FW30" s="614"/>
      <c r="FX30" s="614"/>
      <c r="FY30" s="614"/>
      <c r="FZ30" s="614"/>
      <c r="GA30" s="614"/>
      <c r="GB30" s="614"/>
      <c r="GC30" s="614"/>
      <c r="GD30" s="614"/>
      <c r="GE30" s="614"/>
      <c r="GF30" s="614"/>
      <c r="GG30" s="614"/>
      <c r="GH30" s="614"/>
      <c r="GI30" s="614"/>
      <c r="GJ30" s="614"/>
      <c r="GK30" s="614"/>
      <c r="GL30" s="614"/>
      <c r="GM30" s="614"/>
      <c r="GN30" s="614"/>
      <c r="GO30" s="614"/>
      <c r="GP30" s="614"/>
      <c r="GQ30" s="614"/>
      <c r="GR30" s="614"/>
      <c r="GS30" s="614"/>
      <c r="GT30" s="614"/>
      <c r="GU30" s="614"/>
      <c r="GV30" s="614"/>
      <c r="GW30" s="614"/>
      <c r="GX30" s="614"/>
      <c r="GY30" s="614"/>
      <c r="GZ30" s="614"/>
      <c r="HA30" s="614"/>
      <c r="HB30" s="614"/>
      <c r="HC30" s="614"/>
      <c r="HD30" s="614"/>
      <c r="HE30" s="614"/>
      <c r="HF30" s="614"/>
      <c r="HG30" s="614"/>
      <c r="HH30" s="614"/>
      <c r="HI30" s="614"/>
      <c r="HJ30" s="614"/>
      <c r="HK30" s="614"/>
      <c r="HL30" s="614"/>
      <c r="HM30" s="614"/>
      <c r="HN30" s="614"/>
      <c r="HO30" s="614"/>
      <c r="HP30" s="614"/>
      <c r="HQ30" s="614"/>
      <c r="HR30" s="614"/>
    </row>
    <row r="31" spans="1:226" s="663" customFormat="1" ht="13.5" x14ac:dyDescent="0.25">
      <c r="A31" s="666"/>
      <c r="B31" s="667" t="s">
        <v>513</v>
      </c>
      <c r="C31" s="654" t="s">
        <v>489</v>
      </c>
      <c r="D31" s="654" t="s">
        <v>514</v>
      </c>
      <c r="E31" s="655">
        <v>1</v>
      </c>
      <c r="F31" s="668"/>
      <c r="G31" s="669">
        <v>12000</v>
      </c>
      <c r="H31" s="658">
        <f>Table115[[#This Row],[Q]]*Table115[[#This Row],[$MXN OUT]]</f>
        <v>12000</v>
      </c>
      <c r="I31" s="660"/>
      <c r="J31" s="665"/>
      <c r="K31" s="661">
        <f>+K30+Table115[[#This Row],[$MSN IN]]-Table115[[#This Row],[$MXN OUT]]</f>
        <v>-37850</v>
      </c>
      <c r="L31" s="614"/>
      <c r="M31" s="614"/>
      <c r="N31" s="614"/>
      <c r="O31" s="614"/>
      <c r="P31" s="614"/>
      <c r="Q31" s="614"/>
      <c r="R31" s="614"/>
      <c r="S31" s="614"/>
      <c r="T31" s="614"/>
      <c r="U31" s="614"/>
      <c r="V31" s="614"/>
      <c r="W31" s="614"/>
      <c r="X31" s="614"/>
      <c r="Y31" s="614"/>
      <c r="Z31" s="614"/>
      <c r="AA31" s="614"/>
      <c r="AB31" s="614"/>
      <c r="AC31" s="614"/>
      <c r="AD31" s="614"/>
      <c r="AE31" s="614"/>
      <c r="AF31" s="614"/>
      <c r="AG31" s="614"/>
      <c r="AH31" s="614"/>
      <c r="AI31" s="614"/>
      <c r="AJ31" s="614"/>
      <c r="AK31" s="614"/>
      <c r="AL31" s="614"/>
      <c r="AM31" s="614"/>
      <c r="AN31" s="614"/>
      <c r="AO31" s="614"/>
      <c r="AP31" s="614"/>
      <c r="AQ31" s="614"/>
      <c r="AR31" s="614"/>
      <c r="AS31" s="614"/>
      <c r="AT31" s="614"/>
      <c r="AU31" s="614"/>
      <c r="AV31" s="614"/>
      <c r="AW31" s="614"/>
      <c r="AX31" s="614"/>
      <c r="AY31" s="614"/>
      <c r="AZ31" s="614"/>
      <c r="BA31" s="614"/>
      <c r="BB31" s="614"/>
      <c r="BC31" s="614"/>
      <c r="BD31" s="614"/>
      <c r="BE31" s="614"/>
      <c r="BF31" s="614"/>
      <c r="BG31" s="614"/>
      <c r="BH31" s="614"/>
      <c r="BI31" s="614"/>
      <c r="BJ31" s="614"/>
      <c r="BK31" s="614"/>
      <c r="BL31" s="614"/>
      <c r="BM31" s="614"/>
      <c r="BN31" s="614"/>
      <c r="BO31" s="614"/>
      <c r="BP31" s="614"/>
      <c r="BQ31" s="614"/>
      <c r="BR31" s="614"/>
      <c r="BS31" s="614"/>
      <c r="BT31" s="614"/>
      <c r="BU31" s="614"/>
      <c r="BV31" s="614"/>
      <c r="BW31" s="614"/>
      <c r="BX31" s="614"/>
      <c r="BY31" s="614"/>
      <c r="BZ31" s="614"/>
      <c r="CA31" s="614"/>
      <c r="CB31" s="614"/>
      <c r="CC31" s="614"/>
      <c r="CD31" s="614"/>
      <c r="CE31" s="614"/>
      <c r="CF31" s="614"/>
      <c r="CG31" s="614"/>
      <c r="CH31" s="614"/>
      <c r="CI31" s="614"/>
      <c r="CJ31" s="614"/>
      <c r="CK31" s="614"/>
      <c r="CL31" s="614"/>
      <c r="CM31" s="614"/>
      <c r="CN31" s="614"/>
      <c r="CO31" s="614"/>
      <c r="CP31" s="614"/>
      <c r="CQ31" s="614"/>
      <c r="CR31" s="614"/>
      <c r="CS31" s="614"/>
      <c r="CT31" s="614"/>
      <c r="CU31" s="614"/>
      <c r="CV31" s="614"/>
      <c r="CW31" s="614"/>
      <c r="CX31" s="614"/>
      <c r="CY31" s="614"/>
      <c r="CZ31" s="614"/>
      <c r="DA31" s="614"/>
      <c r="DB31" s="614"/>
      <c r="DC31" s="614"/>
      <c r="DD31" s="614"/>
      <c r="DE31" s="614"/>
      <c r="DF31" s="614"/>
      <c r="DG31" s="614"/>
      <c r="DH31" s="614"/>
      <c r="DI31" s="614"/>
      <c r="DJ31" s="614"/>
      <c r="DK31" s="614"/>
      <c r="DL31" s="614"/>
      <c r="DM31" s="614"/>
      <c r="DN31" s="614"/>
      <c r="DO31" s="614"/>
      <c r="DP31" s="614"/>
      <c r="DQ31" s="614"/>
      <c r="DR31" s="614"/>
      <c r="DS31" s="614"/>
      <c r="DT31" s="614"/>
      <c r="DU31" s="614"/>
      <c r="DV31" s="614"/>
      <c r="DW31" s="614"/>
      <c r="DX31" s="614"/>
      <c r="DY31" s="614"/>
      <c r="DZ31" s="614"/>
      <c r="EA31" s="614"/>
      <c r="EB31" s="614"/>
      <c r="EC31" s="614"/>
      <c r="ED31" s="614"/>
      <c r="EE31" s="614"/>
      <c r="EF31" s="614"/>
      <c r="EG31" s="614"/>
      <c r="EH31" s="614"/>
      <c r="EI31" s="614"/>
      <c r="EJ31" s="614"/>
      <c r="EK31" s="614"/>
      <c r="EL31" s="614"/>
      <c r="EM31" s="614"/>
      <c r="EN31" s="614"/>
      <c r="EO31" s="614"/>
      <c r="EP31" s="614"/>
      <c r="EQ31" s="614"/>
      <c r="ER31" s="614"/>
      <c r="ES31" s="614"/>
      <c r="ET31" s="614"/>
      <c r="EU31" s="614"/>
      <c r="EV31" s="614"/>
      <c r="EW31" s="614"/>
      <c r="EX31" s="614"/>
      <c r="EY31" s="614"/>
      <c r="EZ31" s="614"/>
      <c r="FA31" s="614"/>
      <c r="FB31" s="614"/>
      <c r="FC31" s="614"/>
      <c r="FD31" s="614"/>
      <c r="FE31" s="614"/>
      <c r="FF31" s="614"/>
      <c r="FG31" s="614"/>
      <c r="FH31" s="614"/>
      <c r="FI31" s="614"/>
      <c r="FJ31" s="614"/>
      <c r="FK31" s="614"/>
      <c r="FL31" s="614"/>
      <c r="FM31" s="614"/>
      <c r="FN31" s="614"/>
      <c r="FO31" s="614"/>
      <c r="FP31" s="614"/>
      <c r="FQ31" s="614"/>
      <c r="FR31" s="614"/>
      <c r="FS31" s="614"/>
      <c r="FT31" s="614"/>
      <c r="FU31" s="614"/>
      <c r="FV31" s="614"/>
      <c r="FW31" s="614"/>
      <c r="FX31" s="614"/>
      <c r="FY31" s="614"/>
      <c r="FZ31" s="614"/>
      <c r="GA31" s="614"/>
      <c r="GB31" s="614"/>
      <c r="GC31" s="614"/>
      <c r="GD31" s="614"/>
      <c r="GE31" s="614"/>
      <c r="GF31" s="614"/>
      <c r="GG31" s="614"/>
      <c r="GH31" s="614"/>
      <c r="GI31" s="614"/>
      <c r="GJ31" s="614"/>
      <c r="GK31" s="614"/>
      <c r="GL31" s="614"/>
      <c r="GM31" s="614"/>
      <c r="GN31" s="614"/>
      <c r="GO31" s="614"/>
      <c r="GP31" s="614"/>
      <c r="GQ31" s="614"/>
      <c r="GR31" s="614"/>
      <c r="GS31" s="614"/>
      <c r="GT31" s="614"/>
      <c r="GU31" s="614"/>
      <c r="GV31" s="614"/>
      <c r="GW31" s="614"/>
      <c r="GX31" s="614"/>
      <c r="GY31" s="614"/>
      <c r="GZ31" s="614"/>
      <c r="HA31" s="614"/>
      <c r="HB31" s="614"/>
      <c r="HC31" s="614"/>
      <c r="HD31" s="614"/>
      <c r="HE31" s="614"/>
      <c r="HF31" s="614"/>
      <c r="HG31" s="614"/>
      <c r="HH31" s="614"/>
      <c r="HI31" s="614"/>
      <c r="HJ31" s="614"/>
      <c r="HK31" s="614"/>
      <c r="HL31" s="614"/>
      <c r="HM31" s="614"/>
      <c r="HN31" s="614"/>
      <c r="HO31" s="614"/>
      <c r="HP31" s="614"/>
      <c r="HQ31" s="614"/>
      <c r="HR31" s="614"/>
    </row>
    <row r="32" spans="1:226" s="663" customFormat="1" ht="13.5" x14ac:dyDescent="0.25">
      <c r="A32" s="666"/>
      <c r="B32" s="667" t="s">
        <v>492</v>
      </c>
      <c r="C32" s="654"/>
      <c r="D32" s="654" t="s">
        <v>493</v>
      </c>
      <c r="E32" s="655">
        <v>1</v>
      </c>
      <c r="F32" s="668"/>
      <c r="G32" s="669">
        <v>10000</v>
      </c>
      <c r="H32" s="658">
        <f>Table115[[#This Row],[Q]]*Table115[[#This Row],[$MXN OUT]]</f>
        <v>10000</v>
      </c>
      <c r="I32" s="660"/>
      <c r="J32" s="665"/>
      <c r="K32" s="661">
        <f>+K31+Table115[[#This Row],[$MSN IN]]-Table115[[#This Row],[$MXN OUT]]</f>
        <v>-47850</v>
      </c>
      <c r="L32" s="614"/>
      <c r="M32" s="614"/>
      <c r="N32" s="614"/>
      <c r="O32" s="614"/>
      <c r="P32" s="614"/>
      <c r="Q32" s="614"/>
      <c r="R32" s="614"/>
      <c r="S32" s="614"/>
      <c r="T32" s="614"/>
      <c r="U32" s="614"/>
      <c r="V32" s="614"/>
      <c r="W32" s="614"/>
      <c r="X32" s="614"/>
      <c r="Y32" s="614"/>
      <c r="Z32" s="614"/>
      <c r="AA32" s="614"/>
      <c r="AB32" s="614"/>
      <c r="AC32" s="614"/>
      <c r="AD32" s="614"/>
      <c r="AE32" s="614"/>
      <c r="AF32" s="614"/>
      <c r="AG32" s="614"/>
      <c r="AH32" s="614"/>
      <c r="AI32" s="614"/>
      <c r="AJ32" s="614"/>
      <c r="AK32" s="614"/>
      <c r="AL32" s="614"/>
      <c r="AM32" s="614"/>
      <c r="AN32" s="614"/>
      <c r="AO32" s="614"/>
      <c r="AP32" s="614"/>
      <c r="AQ32" s="614"/>
      <c r="AR32" s="614"/>
      <c r="AS32" s="614"/>
      <c r="AT32" s="614"/>
      <c r="AU32" s="614"/>
      <c r="AV32" s="614"/>
      <c r="AW32" s="614"/>
      <c r="AX32" s="614"/>
      <c r="AY32" s="614"/>
      <c r="AZ32" s="614"/>
      <c r="BA32" s="614"/>
      <c r="BB32" s="614"/>
      <c r="BC32" s="614"/>
      <c r="BD32" s="614"/>
      <c r="BE32" s="614"/>
      <c r="BF32" s="614"/>
      <c r="BG32" s="614"/>
      <c r="BH32" s="614"/>
      <c r="BI32" s="614"/>
      <c r="BJ32" s="614"/>
      <c r="BK32" s="614"/>
      <c r="BL32" s="614"/>
      <c r="BM32" s="614"/>
      <c r="BN32" s="614"/>
      <c r="BO32" s="614"/>
      <c r="BP32" s="614"/>
      <c r="BQ32" s="614"/>
      <c r="BR32" s="614"/>
      <c r="BS32" s="614"/>
      <c r="BT32" s="614"/>
      <c r="BU32" s="614"/>
      <c r="BV32" s="614"/>
      <c r="BW32" s="614"/>
      <c r="BX32" s="614"/>
      <c r="BY32" s="614"/>
      <c r="BZ32" s="614"/>
      <c r="CA32" s="614"/>
      <c r="CB32" s="614"/>
      <c r="CC32" s="614"/>
      <c r="CD32" s="614"/>
      <c r="CE32" s="614"/>
      <c r="CF32" s="614"/>
      <c r="CG32" s="614"/>
      <c r="CH32" s="614"/>
      <c r="CI32" s="614"/>
      <c r="CJ32" s="614"/>
      <c r="CK32" s="614"/>
      <c r="CL32" s="614"/>
      <c r="CM32" s="614"/>
      <c r="CN32" s="614"/>
      <c r="CO32" s="614"/>
      <c r="CP32" s="614"/>
      <c r="CQ32" s="614"/>
      <c r="CR32" s="614"/>
      <c r="CS32" s="614"/>
      <c r="CT32" s="614"/>
      <c r="CU32" s="614"/>
      <c r="CV32" s="614"/>
      <c r="CW32" s="614"/>
      <c r="CX32" s="614"/>
      <c r="CY32" s="614"/>
      <c r="CZ32" s="614"/>
      <c r="DA32" s="614"/>
      <c r="DB32" s="614"/>
      <c r="DC32" s="614"/>
      <c r="DD32" s="614"/>
      <c r="DE32" s="614"/>
      <c r="DF32" s="614"/>
      <c r="DG32" s="614"/>
      <c r="DH32" s="614"/>
      <c r="DI32" s="614"/>
      <c r="DJ32" s="614"/>
      <c r="DK32" s="614"/>
      <c r="DL32" s="614"/>
      <c r="DM32" s="614"/>
      <c r="DN32" s="614"/>
      <c r="DO32" s="614"/>
      <c r="DP32" s="614"/>
      <c r="DQ32" s="614"/>
      <c r="DR32" s="614"/>
      <c r="DS32" s="614"/>
      <c r="DT32" s="614"/>
      <c r="DU32" s="614"/>
      <c r="DV32" s="614"/>
      <c r="DW32" s="614"/>
      <c r="DX32" s="614"/>
      <c r="DY32" s="614"/>
      <c r="DZ32" s="614"/>
      <c r="EA32" s="614"/>
      <c r="EB32" s="614"/>
      <c r="EC32" s="614"/>
      <c r="ED32" s="614"/>
      <c r="EE32" s="614"/>
      <c r="EF32" s="614"/>
      <c r="EG32" s="614"/>
      <c r="EH32" s="614"/>
      <c r="EI32" s="614"/>
      <c r="EJ32" s="614"/>
      <c r="EK32" s="614"/>
      <c r="EL32" s="614"/>
      <c r="EM32" s="614"/>
      <c r="EN32" s="614"/>
      <c r="EO32" s="614"/>
      <c r="EP32" s="614"/>
      <c r="EQ32" s="614"/>
      <c r="ER32" s="614"/>
      <c r="ES32" s="614"/>
      <c r="ET32" s="614"/>
      <c r="EU32" s="614"/>
      <c r="EV32" s="614"/>
      <c r="EW32" s="614"/>
      <c r="EX32" s="614"/>
      <c r="EY32" s="614"/>
      <c r="EZ32" s="614"/>
      <c r="FA32" s="614"/>
      <c r="FB32" s="614"/>
      <c r="FC32" s="614"/>
      <c r="FD32" s="614"/>
      <c r="FE32" s="614"/>
      <c r="FF32" s="614"/>
      <c r="FG32" s="614"/>
      <c r="FH32" s="614"/>
      <c r="FI32" s="614"/>
      <c r="FJ32" s="614"/>
      <c r="FK32" s="614"/>
      <c r="FL32" s="614"/>
      <c r="FM32" s="614"/>
      <c r="FN32" s="614"/>
      <c r="FO32" s="614"/>
      <c r="FP32" s="614"/>
      <c r="FQ32" s="614"/>
      <c r="FR32" s="614"/>
      <c r="FS32" s="614"/>
      <c r="FT32" s="614"/>
      <c r="FU32" s="614"/>
      <c r="FV32" s="614"/>
      <c r="FW32" s="614"/>
      <c r="FX32" s="614"/>
      <c r="FY32" s="614"/>
      <c r="FZ32" s="614"/>
      <c r="GA32" s="614"/>
      <c r="GB32" s="614"/>
      <c r="GC32" s="614"/>
      <c r="GD32" s="614"/>
      <c r="GE32" s="614"/>
      <c r="GF32" s="614"/>
      <c r="GG32" s="614"/>
      <c r="GH32" s="614"/>
      <c r="GI32" s="614"/>
      <c r="GJ32" s="614"/>
      <c r="GK32" s="614"/>
      <c r="GL32" s="614"/>
      <c r="GM32" s="614"/>
      <c r="GN32" s="614"/>
      <c r="GO32" s="614"/>
      <c r="GP32" s="614"/>
      <c r="GQ32" s="614"/>
      <c r="GR32" s="614"/>
      <c r="GS32" s="614"/>
      <c r="GT32" s="614"/>
      <c r="GU32" s="614"/>
      <c r="GV32" s="614"/>
      <c r="GW32" s="614"/>
      <c r="GX32" s="614"/>
      <c r="GY32" s="614"/>
      <c r="GZ32" s="614"/>
      <c r="HA32" s="614"/>
      <c r="HB32" s="614"/>
      <c r="HC32" s="614"/>
      <c r="HD32" s="614"/>
      <c r="HE32" s="614"/>
      <c r="HF32" s="614"/>
      <c r="HG32" s="614"/>
      <c r="HH32" s="614"/>
      <c r="HI32" s="614"/>
      <c r="HJ32" s="614"/>
      <c r="HK32" s="614"/>
      <c r="HL32" s="614"/>
      <c r="HM32" s="614"/>
      <c r="HN32" s="614"/>
      <c r="HO32" s="614"/>
      <c r="HP32" s="614"/>
      <c r="HQ32" s="614"/>
      <c r="HR32" s="614"/>
    </row>
    <row r="33" spans="1:226" s="663" customFormat="1" ht="13.5" x14ac:dyDescent="0.25">
      <c r="A33" s="666">
        <v>45974</v>
      </c>
      <c r="B33" s="667"/>
      <c r="C33" s="654" t="s">
        <v>515</v>
      </c>
      <c r="D33" s="654" t="s">
        <v>487</v>
      </c>
      <c r="E33" s="655">
        <v>1</v>
      </c>
      <c r="F33" s="668">
        <v>11900</v>
      </c>
      <c r="G33" s="669"/>
      <c r="H33" s="658">
        <f>Table115[[#This Row],[Q]]*Table115[[#This Row],[$MXN OUT]]</f>
        <v>0</v>
      </c>
      <c r="I33" s="660"/>
      <c r="J33" s="665"/>
      <c r="K33" s="661"/>
      <c r="L33" s="614"/>
      <c r="M33" s="614"/>
      <c r="N33" s="614"/>
      <c r="O33" s="614"/>
      <c r="P33" s="614"/>
      <c r="Q33" s="614"/>
      <c r="R33" s="614"/>
      <c r="S33" s="614"/>
      <c r="T33" s="614"/>
      <c r="U33" s="614"/>
      <c r="V33" s="614"/>
      <c r="W33" s="614"/>
      <c r="X33" s="614"/>
      <c r="Y33" s="614"/>
      <c r="Z33" s="614"/>
      <c r="AA33" s="614"/>
      <c r="AB33" s="614"/>
      <c r="AC33" s="614"/>
      <c r="AD33" s="614"/>
      <c r="AE33" s="614"/>
      <c r="AF33" s="614"/>
      <c r="AG33" s="614"/>
      <c r="AH33" s="614"/>
      <c r="AI33" s="614"/>
      <c r="AJ33" s="614"/>
      <c r="AK33" s="614"/>
      <c r="AL33" s="614"/>
      <c r="AM33" s="614"/>
      <c r="AN33" s="614"/>
      <c r="AO33" s="614"/>
      <c r="AP33" s="614"/>
      <c r="AQ33" s="614"/>
      <c r="AR33" s="614"/>
      <c r="AS33" s="614"/>
      <c r="AT33" s="614"/>
      <c r="AU33" s="614"/>
      <c r="AV33" s="614"/>
      <c r="AW33" s="614"/>
      <c r="AX33" s="614"/>
      <c r="AY33" s="614"/>
      <c r="AZ33" s="614"/>
      <c r="BA33" s="614"/>
      <c r="BB33" s="614"/>
      <c r="BC33" s="614"/>
      <c r="BD33" s="614"/>
      <c r="BE33" s="614"/>
      <c r="BF33" s="614"/>
      <c r="BG33" s="614"/>
      <c r="BH33" s="614"/>
      <c r="BI33" s="614"/>
      <c r="BJ33" s="614"/>
      <c r="BK33" s="614"/>
      <c r="BL33" s="614"/>
      <c r="BM33" s="614"/>
      <c r="BN33" s="614"/>
      <c r="BO33" s="614"/>
      <c r="BP33" s="614"/>
      <c r="BQ33" s="614"/>
      <c r="BR33" s="614"/>
      <c r="BS33" s="614"/>
      <c r="BT33" s="614"/>
      <c r="BU33" s="614"/>
      <c r="BV33" s="614"/>
      <c r="BW33" s="614"/>
      <c r="BX33" s="614"/>
      <c r="BY33" s="614"/>
      <c r="BZ33" s="614"/>
      <c r="CA33" s="614"/>
      <c r="CB33" s="614"/>
      <c r="CC33" s="614"/>
      <c r="CD33" s="614"/>
      <c r="CE33" s="614"/>
      <c r="CF33" s="614"/>
      <c r="CG33" s="614"/>
      <c r="CH33" s="614"/>
      <c r="CI33" s="614"/>
      <c r="CJ33" s="614"/>
      <c r="CK33" s="614"/>
      <c r="CL33" s="614"/>
      <c r="CM33" s="614"/>
      <c r="CN33" s="614"/>
      <c r="CO33" s="614"/>
      <c r="CP33" s="614"/>
      <c r="CQ33" s="614"/>
      <c r="CR33" s="614"/>
      <c r="CS33" s="614"/>
      <c r="CT33" s="614"/>
      <c r="CU33" s="614"/>
      <c r="CV33" s="614"/>
      <c r="CW33" s="614"/>
      <c r="CX33" s="614"/>
      <c r="CY33" s="614"/>
      <c r="CZ33" s="614"/>
      <c r="DA33" s="614"/>
      <c r="DB33" s="614"/>
      <c r="DC33" s="614"/>
      <c r="DD33" s="614"/>
      <c r="DE33" s="614"/>
      <c r="DF33" s="614"/>
      <c r="DG33" s="614"/>
      <c r="DH33" s="614"/>
      <c r="DI33" s="614"/>
      <c r="DJ33" s="614"/>
      <c r="DK33" s="614"/>
      <c r="DL33" s="614"/>
      <c r="DM33" s="614"/>
      <c r="DN33" s="614"/>
      <c r="DO33" s="614"/>
      <c r="DP33" s="614"/>
      <c r="DQ33" s="614"/>
      <c r="DR33" s="614"/>
      <c r="DS33" s="614"/>
      <c r="DT33" s="614"/>
      <c r="DU33" s="614"/>
      <c r="DV33" s="614"/>
      <c r="DW33" s="614"/>
      <c r="DX33" s="614"/>
      <c r="DY33" s="614"/>
      <c r="DZ33" s="614"/>
      <c r="EA33" s="614"/>
      <c r="EB33" s="614"/>
      <c r="EC33" s="614"/>
      <c r="ED33" s="614"/>
      <c r="EE33" s="614"/>
      <c r="EF33" s="614"/>
      <c r="EG33" s="614"/>
      <c r="EH33" s="614"/>
      <c r="EI33" s="614"/>
      <c r="EJ33" s="614"/>
      <c r="EK33" s="614"/>
      <c r="EL33" s="614"/>
      <c r="EM33" s="614"/>
      <c r="EN33" s="614"/>
      <c r="EO33" s="614"/>
      <c r="EP33" s="614"/>
      <c r="EQ33" s="614"/>
      <c r="ER33" s="614"/>
      <c r="ES33" s="614"/>
      <c r="ET33" s="614"/>
      <c r="EU33" s="614"/>
      <c r="EV33" s="614"/>
      <c r="EW33" s="614"/>
      <c r="EX33" s="614"/>
      <c r="EY33" s="614"/>
      <c r="EZ33" s="614"/>
      <c r="FA33" s="614"/>
      <c r="FB33" s="614"/>
      <c r="FC33" s="614"/>
      <c r="FD33" s="614"/>
      <c r="FE33" s="614"/>
      <c r="FF33" s="614"/>
      <c r="FG33" s="614"/>
      <c r="FH33" s="614"/>
      <c r="FI33" s="614"/>
      <c r="FJ33" s="614"/>
      <c r="FK33" s="614"/>
      <c r="FL33" s="614"/>
      <c r="FM33" s="614"/>
      <c r="FN33" s="614"/>
      <c r="FO33" s="614"/>
      <c r="FP33" s="614"/>
      <c r="FQ33" s="614"/>
      <c r="FR33" s="614"/>
      <c r="FS33" s="614"/>
      <c r="FT33" s="614"/>
      <c r="FU33" s="614"/>
      <c r="FV33" s="614"/>
      <c r="FW33" s="614"/>
      <c r="FX33" s="614"/>
      <c r="FY33" s="614"/>
      <c r="FZ33" s="614"/>
      <c r="GA33" s="614"/>
      <c r="GB33" s="614"/>
      <c r="GC33" s="614"/>
      <c r="GD33" s="614"/>
      <c r="GE33" s="614"/>
      <c r="GF33" s="614"/>
      <c r="GG33" s="614"/>
      <c r="GH33" s="614"/>
      <c r="GI33" s="614"/>
      <c r="GJ33" s="614"/>
      <c r="GK33" s="614"/>
      <c r="GL33" s="614"/>
      <c r="GM33" s="614"/>
      <c r="GN33" s="614"/>
      <c r="GO33" s="614"/>
      <c r="GP33" s="614"/>
      <c r="GQ33" s="614"/>
      <c r="GR33" s="614"/>
      <c r="GS33" s="614"/>
      <c r="GT33" s="614"/>
      <c r="GU33" s="614"/>
      <c r="GV33" s="614"/>
      <c r="GW33" s="614"/>
      <c r="GX33" s="614"/>
      <c r="GY33" s="614"/>
      <c r="GZ33" s="614"/>
      <c r="HA33" s="614"/>
      <c r="HB33" s="614"/>
      <c r="HC33" s="614"/>
      <c r="HD33" s="614"/>
      <c r="HE33" s="614"/>
      <c r="HF33" s="614"/>
      <c r="HG33" s="614"/>
      <c r="HH33" s="614"/>
      <c r="HI33" s="614"/>
      <c r="HJ33" s="614"/>
      <c r="HK33" s="614"/>
      <c r="HL33" s="614"/>
      <c r="HM33" s="614"/>
      <c r="HN33" s="614"/>
      <c r="HO33" s="614"/>
      <c r="HP33" s="614"/>
      <c r="HQ33" s="614"/>
      <c r="HR33" s="614"/>
    </row>
    <row r="34" spans="1:226" s="663" customFormat="1" ht="13.5" x14ac:dyDescent="0.25">
      <c r="A34" s="666">
        <v>45973</v>
      </c>
      <c r="B34" s="667"/>
      <c r="C34" s="654" t="s">
        <v>486</v>
      </c>
      <c r="D34" s="654" t="s">
        <v>487</v>
      </c>
      <c r="E34" s="655">
        <v>1</v>
      </c>
      <c r="F34" s="668">
        <v>11500</v>
      </c>
      <c r="G34" s="669"/>
      <c r="H34" s="658">
        <f>Table115[[#This Row],[Q]]*Table115[[#This Row],[$MXN OUT]]</f>
        <v>0</v>
      </c>
      <c r="I34" s="660"/>
      <c r="J34" s="665"/>
      <c r="K34" s="661"/>
      <c r="L34" s="614"/>
      <c r="M34" s="614"/>
      <c r="N34" s="614"/>
      <c r="O34" s="614"/>
      <c r="P34" s="614"/>
      <c r="Q34" s="614"/>
      <c r="R34" s="614"/>
      <c r="S34" s="614"/>
      <c r="T34" s="614"/>
      <c r="U34" s="614"/>
      <c r="V34" s="614"/>
      <c r="W34" s="614"/>
      <c r="X34" s="614"/>
      <c r="Y34" s="614"/>
      <c r="Z34" s="614"/>
      <c r="AA34" s="614"/>
      <c r="AB34" s="614"/>
      <c r="AC34" s="614"/>
      <c r="AD34" s="614"/>
      <c r="AE34" s="614"/>
      <c r="AF34" s="614"/>
      <c r="AG34" s="614"/>
      <c r="AH34" s="614"/>
      <c r="AI34" s="614"/>
      <c r="AJ34" s="614"/>
      <c r="AK34" s="614"/>
      <c r="AL34" s="614"/>
      <c r="AM34" s="614"/>
      <c r="AN34" s="614"/>
      <c r="AO34" s="614"/>
      <c r="AP34" s="614"/>
      <c r="AQ34" s="614"/>
      <c r="AR34" s="614"/>
      <c r="AS34" s="614"/>
      <c r="AT34" s="614"/>
      <c r="AU34" s="614"/>
      <c r="AV34" s="614"/>
      <c r="AW34" s="614"/>
      <c r="AX34" s="614"/>
      <c r="AY34" s="614"/>
      <c r="AZ34" s="614"/>
      <c r="BA34" s="614"/>
      <c r="BB34" s="614"/>
      <c r="BC34" s="614"/>
      <c r="BD34" s="614"/>
      <c r="BE34" s="614"/>
      <c r="BF34" s="614"/>
      <c r="BG34" s="614"/>
      <c r="BH34" s="614"/>
      <c r="BI34" s="614"/>
      <c r="BJ34" s="614"/>
      <c r="BK34" s="614"/>
      <c r="BL34" s="614"/>
      <c r="BM34" s="614"/>
      <c r="BN34" s="614"/>
      <c r="BO34" s="614"/>
      <c r="BP34" s="614"/>
      <c r="BQ34" s="614"/>
      <c r="BR34" s="614"/>
      <c r="BS34" s="614"/>
      <c r="BT34" s="614"/>
      <c r="BU34" s="614"/>
      <c r="BV34" s="614"/>
      <c r="BW34" s="614"/>
      <c r="BX34" s="614"/>
      <c r="BY34" s="614"/>
      <c r="BZ34" s="614"/>
      <c r="CA34" s="614"/>
      <c r="CB34" s="614"/>
      <c r="CC34" s="614"/>
      <c r="CD34" s="614"/>
      <c r="CE34" s="614"/>
      <c r="CF34" s="614"/>
      <c r="CG34" s="614"/>
      <c r="CH34" s="614"/>
      <c r="CI34" s="614"/>
      <c r="CJ34" s="614"/>
      <c r="CK34" s="614"/>
      <c r="CL34" s="614"/>
      <c r="CM34" s="614"/>
      <c r="CN34" s="614"/>
      <c r="CO34" s="614"/>
      <c r="CP34" s="614"/>
      <c r="CQ34" s="614"/>
      <c r="CR34" s="614"/>
      <c r="CS34" s="614"/>
      <c r="CT34" s="614"/>
      <c r="CU34" s="614"/>
      <c r="CV34" s="614"/>
      <c r="CW34" s="614"/>
      <c r="CX34" s="614"/>
      <c r="CY34" s="614"/>
      <c r="CZ34" s="614"/>
      <c r="DA34" s="614"/>
      <c r="DB34" s="614"/>
      <c r="DC34" s="614"/>
      <c r="DD34" s="614"/>
      <c r="DE34" s="614"/>
      <c r="DF34" s="614"/>
      <c r="DG34" s="614"/>
      <c r="DH34" s="614"/>
      <c r="DI34" s="614"/>
      <c r="DJ34" s="614"/>
      <c r="DK34" s="614"/>
      <c r="DL34" s="614"/>
      <c r="DM34" s="614"/>
      <c r="DN34" s="614"/>
      <c r="DO34" s="614"/>
      <c r="DP34" s="614"/>
      <c r="DQ34" s="614"/>
      <c r="DR34" s="614"/>
      <c r="DS34" s="614"/>
      <c r="DT34" s="614"/>
      <c r="DU34" s="614"/>
      <c r="DV34" s="614"/>
      <c r="DW34" s="614"/>
      <c r="DX34" s="614"/>
      <c r="DY34" s="614"/>
      <c r="DZ34" s="614"/>
      <c r="EA34" s="614"/>
      <c r="EB34" s="614"/>
      <c r="EC34" s="614"/>
      <c r="ED34" s="614"/>
      <c r="EE34" s="614"/>
      <c r="EF34" s="614"/>
      <c r="EG34" s="614"/>
      <c r="EH34" s="614"/>
      <c r="EI34" s="614"/>
      <c r="EJ34" s="614"/>
      <c r="EK34" s="614"/>
      <c r="EL34" s="614"/>
      <c r="EM34" s="614"/>
      <c r="EN34" s="614"/>
      <c r="EO34" s="614"/>
      <c r="EP34" s="614"/>
      <c r="EQ34" s="614"/>
      <c r="ER34" s="614"/>
      <c r="ES34" s="614"/>
      <c r="ET34" s="614"/>
      <c r="EU34" s="614"/>
      <c r="EV34" s="614"/>
      <c r="EW34" s="614"/>
      <c r="EX34" s="614"/>
      <c r="EY34" s="614"/>
      <c r="EZ34" s="614"/>
      <c r="FA34" s="614"/>
      <c r="FB34" s="614"/>
      <c r="FC34" s="614"/>
      <c r="FD34" s="614"/>
      <c r="FE34" s="614"/>
      <c r="FF34" s="614"/>
      <c r="FG34" s="614"/>
      <c r="FH34" s="614"/>
      <c r="FI34" s="614"/>
      <c r="FJ34" s="614"/>
      <c r="FK34" s="614"/>
      <c r="FL34" s="614"/>
      <c r="FM34" s="614"/>
      <c r="FN34" s="614"/>
      <c r="FO34" s="614"/>
      <c r="FP34" s="614"/>
      <c r="FQ34" s="614"/>
      <c r="FR34" s="614"/>
      <c r="FS34" s="614"/>
      <c r="FT34" s="614"/>
      <c r="FU34" s="614"/>
      <c r="FV34" s="614"/>
      <c r="FW34" s="614"/>
      <c r="FX34" s="614"/>
      <c r="FY34" s="614"/>
      <c r="FZ34" s="614"/>
      <c r="GA34" s="614"/>
      <c r="GB34" s="614"/>
      <c r="GC34" s="614"/>
      <c r="GD34" s="614"/>
      <c r="GE34" s="614"/>
      <c r="GF34" s="614"/>
      <c r="GG34" s="614"/>
      <c r="GH34" s="614"/>
      <c r="GI34" s="614"/>
      <c r="GJ34" s="614"/>
      <c r="GK34" s="614"/>
      <c r="GL34" s="614"/>
      <c r="GM34" s="614"/>
      <c r="GN34" s="614"/>
      <c r="GO34" s="614"/>
      <c r="GP34" s="614"/>
      <c r="GQ34" s="614"/>
      <c r="GR34" s="614"/>
      <c r="GS34" s="614"/>
      <c r="GT34" s="614"/>
      <c r="GU34" s="614"/>
      <c r="GV34" s="614"/>
      <c r="GW34" s="614"/>
      <c r="GX34" s="614"/>
      <c r="GY34" s="614"/>
      <c r="GZ34" s="614"/>
      <c r="HA34" s="614"/>
      <c r="HB34" s="614"/>
      <c r="HC34" s="614"/>
      <c r="HD34" s="614"/>
      <c r="HE34" s="614"/>
      <c r="HF34" s="614"/>
      <c r="HG34" s="614"/>
      <c r="HH34" s="614"/>
      <c r="HI34" s="614"/>
      <c r="HJ34" s="614"/>
      <c r="HK34" s="614"/>
      <c r="HL34" s="614"/>
      <c r="HM34" s="614"/>
      <c r="HN34" s="614"/>
      <c r="HO34" s="614"/>
      <c r="HP34" s="614"/>
      <c r="HQ34" s="614"/>
      <c r="HR34" s="614"/>
    </row>
    <row r="35" spans="1:226" s="663" customFormat="1" ht="13.5" x14ac:dyDescent="0.25">
      <c r="A35" s="666">
        <v>45976</v>
      </c>
      <c r="B35" s="667"/>
      <c r="C35" s="654" t="s">
        <v>486</v>
      </c>
      <c r="D35" s="654" t="s">
        <v>487</v>
      </c>
      <c r="E35" s="655">
        <v>1</v>
      </c>
      <c r="F35" s="668">
        <v>11500</v>
      </c>
      <c r="G35" s="669"/>
      <c r="H35" s="658">
        <f>Table115[[#This Row],[Q]]*Table115[[#This Row],[$MXN OUT]]</f>
        <v>0</v>
      </c>
      <c r="I35" s="660"/>
      <c r="J35" s="665"/>
      <c r="K35" s="614"/>
      <c r="L35" s="614"/>
      <c r="M35" s="614"/>
      <c r="N35" s="614"/>
      <c r="O35" s="614"/>
      <c r="P35" s="614"/>
      <c r="Q35" s="614"/>
      <c r="R35" s="614"/>
      <c r="S35" s="614"/>
      <c r="T35" s="614"/>
      <c r="U35" s="614"/>
      <c r="V35" s="614"/>
      <c r="W35" s="614"/>
      <c r="X35" s="614"/>
      <c r="Y35" s="614"/>
      <c r="Z35" s="614"/>
      <c r="AA35" s="614"/>
      <c r="AB35" s="614"/>
      <c r="AC35" s="614"/>
      <c r="AD35" s="614"/>
      <c r="AE35" s="614"/>
      <c r="AF35" s="614"/>
      <c r="AG35" s="614"/>
      <c r="AH35" s="614"/>
      <c r="AI35" s="614"/>
      <c r="AJ35" s="614"/>
      <c r="AK35" s="614"/>
      <c r="AL35" s="614"/>
      <c r="AM35" s="614"/>
      <c r="AN35" s="614"/>
      <c r="AO35" s="614"/>
      <c r="AP35" s="614"/>
      <c r="AQ35" s="614"/>
      <c r="AR35" s="614"/>
      <c r="AS35" s="614"/>
      <c r="AT35" s="614"/>
      <c r="AU35" s="614"/>
      <c r="AV35" s="614"/>
      <c r="AW35" s="614"/>
      <c r="AX35" s="614"/>
      <c r="AY35" s="614"/>
      <c r="AZ35" s="614"/>
      <c r="BA35" s="614"/>
      <c r="BB35" s="614"/>
      <c r="BC35" s="614"/>
      <c r="BD35" s="614"/>
      <c r="BE35" s="614"/>
      <c r="BF35" s="614"/>
      <c r="BG35" s="614"/>
      <c r="BH35" s="614"/>
      <c r="BI35" s="614"/>
      <c r="BJ35" s="614"/>
      <c r="BK35" s="614"/>
      <c r="BL35" s="614"/>
      <c r="BM35" s="614"/>
      <c r="BN35" s="614"/>
      <c r="BO35" s="614"/>
      <c r="BP35" s="614"/>
      <c r="BQ35" s="614"/>
      <c r="BR35" s="614"/>
      <c r="BS35" s="614"/>
      <c r="BT35" s="614"/>
      <c r="BU35" s="614"/>
      <c r="BV35" s="614"/>
      <c r="BW35" s="614"/>
      <c r="BX35" s="614"/>
      <c r="BY35" s="614"/>
      <c r="BZ35" s="614"/>
      <c r="CA35" s="614"/>
      <c r="CB35" s="614"/>
      <c r="CC35" s="614"/>
      <c r="CD35" s="614"/>
      <c r="CE35" s="614"/>
      <c r="CF35" s="614"/>
      <c r="CG35" s="614"/>
      <c r="CH35" s="614"/>
      <c r="CI35" s="614"/>
      <c r="CJ35" s="614"/>
      <c r="CK35" s="614"/>
      <c r="CL35" s="614"/>
      <c r="CM35" s="614"/>
      <c r="CN35" s="614"/>
      <c r="CO35" s="614"/>
      <c r="CP35" s="614"/>
      <c r="CQ35" s="614"/>
      <c r="CR35" s="614"/>
      <c r="CS35" s="614"/>
      <c r="CT35" s="614"/>
      <c r="CU35" s="614"/>
      <c r="CV35" s="614"/>
      <c r="CW35" s="614"/>
      <c r="CX35" s="614"/>
      <c r="CY35" s="614"/>
      <c r="CZ35" s="614"/>
      <c r="DA35" s="614"/>
      <c r="DB35" s="614"/>
      <c r="DC35" s="614"/>
      <c r="DD35" s="614"/>
      <c r="DE35" s="614"/>
      <c r="DF35" s="614"/>
      <c r="DG35" s="614"/>
      <c r="DH35" s="614"/>
      <c r="DI35" s="614"/>
      <c r="DJ35" s="614"/>
      <c r="DK35" s="614"/>
      <c r="DL35" s="614"/>
      <c r="DM35" s="614"/>
      <c r="DN35" s="614"/>
      <c r="DO35" s="614"/>
      <c r="DP35" s="614"/>
      <c r="DQ35" s="614"/>
      <c r="DR35" s="614"/>
      <c r="DS35" s="614"/>
      <c r="DT35" s="614"/>
      <c r="DU35" s="614"/>
      <c r="DV35" s="614"/>
      <c r="DW35" s="614"/>
      <c r="DX35" s="614"/>
      <c r="DY35" s="614"/>
      <c r="DZ35" s="614"/>
      <c r="EA35" s="614"/>
      <c r="EB35" s="614"/>
      <c r="EC35" s="614"/>
      <c r="ED35" s="614"/>
      <c r="EE35" s="614"/>
      <c r="EF35" s="614"/>
      <c r="EG35" s="614"/>
      <c r="EH35" s="614"/>
      <c r="EI35" s="614"/>
      <c r="EJ35" s="614"/>
      <c r="EK35" s="614"/>
      <c r="EL35" s="614"/>
      <c r="EM35" s="614"/>
      <c r="EN35" s="614"/>
      <c r="EO35" s="614"/>
      <c r="EP35" s="614"/>
      <c r="EQ35" s="614"/>
      <c r="ER35" s="614"/>
      <c r="ES35" s="614"/>
      <c r="ET35" s="614"/>
      <c r="EU35" s="614"/>
      <c r="EV35" s="614"/>
      <c r="EW35" s="614"/>
      <c r="EX35" s="614"/>
      <c r="EY35" s="614"/>
      <c r="EZ35" s="614"/>
      <c r="FA35" s="614"/>
      <c r="FB35" s="614"/>
      <c r="FC35" s="614"/>
      <c r="FD35" s="614"/>
      <c r="FE35" s="614"/>
      <c r="FF35" s="614"/>
      <c r="FG35" s="614"/>
      <c r="FH35" s="614"/>
      <c r="FI35" s="614"/>
      <c r="FJ35" s="614"/>
      <c r="FK35" s="614"/>
      <c r="FL35" s="614"/>
      <c r="FM35" s="614"/>
      <c r="FN35" s="614"/>
      <c r="FO35" s="614"/>
      <c r="FP35" s="614"/>
      <c r="FQ35" s="614"/>
      <c r="FR35" s="614"/>
      <c r="FS35" s="614"/>
      <c r="FT35" s="614"/>
      <c r="FU35" s="614"/>
      <c r="FV35" s="614"/>
      <c r="FW35" s="614"/>
      <c r="FX35" s="614"/>
      <c r="FY35" s="614"/>
      <c r="FZ35" s="614"/>
      <c r="GA35" s="614"/>
      <c r="GB35" s="614"/>
      <c r="GC35" s="614"/>
      <c r="GD35" s="614"/>
      <c r="GE35" s="614"/>
      <c r="GF35" s="614"/>
      <c r="GG35" s="614"/>
      <c r="GH35" s="614"/>
      <c r="GI35" s="614"/>
      <c r="GJ35" s="614"/>
      <c r="GK35" s="614"/>
      <c r="GL35" s="614"/>
      <c r="GM35" s="614"/>
      <c r="GN35" s="614"/>
      <c r="GO35" s="614"/>
      <c r="GP35" s="614"/>
      <c r="GQ35" s="614"/>
      <c r="GR35" s="614"/>
      <c r="GS35" s="614"/>
      <c r="GT35" s="614"/>
      <c r="GU35" s="614"/>
      <c r="GV35" s="614"/>
      <c r="GW35" s="614"/>
      <c r="GX35" s="614"/>
      <c r="GY35" s="614"/>
      <c r="GZ35" s="614"/>
      <c r="HA35" s="614"/>
      <c r="HB35" s="614"/>
      <c r="HC35" s="614"/>
      <c r="HD35" s="614"/>
      <c r="HE35" s="614"/>
      <c r="HF35" s="614"/>
      <c r="HG35" s="614"/>
      <c r="HH35" s="614"/>
      <c r="HI35" s="614"/>
      <c r="HJ35" s="614"/>
      <c r="HK35" s="614"/>
      <c r="HL35" s="614"/>
      <c r="HM35" s="614"/>
      <c r="HN35" s="614"/>
      <c r="HO35" s="614"/>
      <c r="HP35" s="614"/>
      <c r="HQ35" s="614"/>
      <c r="HR35" s="614"/>
    </row>
    <row r="36" spans="1:226" s="663" customFormat="1" ht="13.5" x14ac:dyDescent="0.25">
      <c r="A36" s="666">
        <v>45978</v>
      </c>
      <c r="B36" s="667"/>
      <c r="C36" s="654" t="s">
        <v>486</v>
      </c>
      <c r="D36" s="654" t="s">
        <v>487</v>
      </c>
      <c r="E36" s="655">
        <v>1</v>
      </c>
      <c r="F36" s="668">
        <v>11500</v>
      </c>
      <c r="G36" s="669"/>
      <c r="H36" s="658">
        <f>Table115[[#This Row],[Q]]*Table115[[#This Row],[$MXN OUT]]</f>
        <v>0</v>
      </c>
      <c r="I36" s="660"/>
      <c r="J36" s="665"/>
      <c r="K36" s="614"/>
      <c r="L36" s="614"/>
      <c r="M36" s="614"/>
      <c r="N36" s="614"/>
      <c r="O36" s="614"/>
      <c r="P36" s="614"/>
      <c r="Q36" s="614"/>
      <c r="R36" s="614"/>
      <c r="S36" s="614"/>
      <c r="T36" s="614"/>
      <c r="U36" s="614"/>
      <c r="V36" s="614"/>
      <c r="W36" s="614"/>
      <c r="X36" s="614"/>
      <c r="Y36" s="614"/>
      <c r="Z36" s="614"/>
      <c r="AA36" s="614"/>
      <c r="AB36" s="614"/>
      <c r="AC36" s="614"/>
      <c r="AD36" s="614"/>
      <c r="AE36" s="614"/>
      <c r="AF36" s="614"/>
      <c r="AG36" s="614"/>
      <c r="AH36" s="614"/>
      <c r="AI36" s="614"/>
      <c r="AJ36" s="614"/>
      <c r="AK36" s="614"/>
      <c r="AL36" s="614"/>
      <c r="AM36" s="614"/>
      <c r="AN36" s="614"/>
      <c r="AO36" s="614"/>
      <c r="AP36" s="614"/>
      <c r="AQ36" s="614"/>
      <c r="AR36" s="614"/>
      <c r="AS36" s="614"/>
      <c r="AT36" s="614"/>
      <c r="AU36" s="614"/>
      <c r="AV36" s="614"/>
      <c r="AW36" s="614"/>
      <c r="AX36" s="614"/>
      <c r="AY36" s="614"/>
      <c r="AZ36" s="614"/>
      <c r="BA36" s="614"/>
      <c r="BB36" s="614"/>
      <c r="BC36" s="614"/>
      <c r="BD36" s="614"/>
      <c r="BE36" s="614"/>
      <c r="BF36" s="614"/>
      <c r="BG36" s="614"/>
      <c r="BH36" s="614"/>
      <c r="BI36" s="614"/>
      <c r="BJ36" s="614"/>
      <c r="BK36" s="614"/>
      <c r="BL36" s="614"/>
      <c r="BM36" s="614"/>
      <c r="BN36" s="614"/>
      <c r="BO36" s="614"/>
      <c r="BP36" s="614"/>
      <c r="BQ36" s="614"/>
      <c r="BR36" s="614"/>
      <c r="BS36" s="614"/>
      <c r="BT36" s="614"/>
      <c r="BU36" s="614"/>
      <c r="BV36" s="614"/>
      <c r="BW36" s="614"/>
      <c r="BX36" s="614"/>
      <c r="BY36" s="614"/>
      <c r="BZ36" s="614"/>
      <c r="CA36" s="614"/>
      <c r="CB36" s="614"/>
      <c r="CC36" s="614"/>
      <c r="CD36" s="614"/>
      <c r="CE36" s="614"/>
      <c r="CF36" s="614"/>
      <c r="CG36" s="614"/>
      <c r="CH36" s="614"/>
      <c r="CI36" s="614"/>
      <c r="CJ36" s="614"/>
      <c r="CK36" s="614"/>
      <c r="CL36" s="614"/>
      <c r="CM36" s="614"/>
      <c r="CN36" s="614"/>
      <c r="CO36" s="614"/>
      <c r="CP36" s="614"/>
      <c r="CQ36" s="614"/>
      <c r="CR36" s="614"/>
      <c r="CS36" s="614"/>
      <c r="CT36" s="614"/>
      <c r="CU36" s="614"/>
      <c r="CV36" s="614"/>
      <c r="CW36" s="614"/>
      <c r="CX36" s="614"/>
      <c r="CY36" s="614"/>
      <c r="CZ36" s="614"/>
      <c r="DA36" s="614"/>
      <c r="DB36" s="614"/>
      <c r="DC36" s="614"/>
      <c r="DD36" s="614"/>
      <c r="DE36" s="614"/>
      <c r="DF36" s="614"/>
      <c r="DG36" s="614"/>
      <c r="DH36" s="614"/>
      <c r="DI36" s="614"/>
      <c r="DJ36" s="614"/>
      <c r="DK36" s="614"/>
      <c r="DL36" s="614"/>
      <c r="DM36" s="614"/>
      <c r="DN36" s="614"/>
      <c r="DO36" s="614"/>
      <c r="DP36" s="614"/>
      <c r="DQ36" s="614"/>
      <c r="DR36" s="614"/>
      <c r="DS36" s="614"/>
      <c r="DT36" s="614"/>
      <c r="DU36" s="614"/>
      <c r="DV36" s="614"/>
      <c r="DW36" s="614"/>
      <c r="DX36" s="614"/>
      <c r="DY36" s="614"/>
      <c r="DZ36" s="614"/>
      <c r="EA36" s="614"/>
      <c r="EB36" s="614"/>
      <c r="EC36" s="614"/>
      <c r="ED36" s="614"/>
      <c r="EE36" s="614"/>
      <c r="EF36" s="614"/>
      <c r="EG36" s="614"/>
      <c r="EH36" s="614"/>
      <c r="EI36" s="614"/>
      <c r="EJ36" s="614"/>
      <c r="EK36" s="614"/>
      <c r="EL36" s="614"/>
      <c r="EM36" s="614"/>
      <c r="EN36" s="614"/>
      <c r="EO36" s="614"/>
      <c r="EP36" s="614"/>
      <c r="EQ36" s="614"/>
      <c r="ER36" s="614"/>
      <c r="ES36" s="614"/>
      <c r="ET36" s="614"/>
      <c r="EU36" s="614"/>
      <c r="EV36" s="614"/>
      <c r="EW36" s="614"/>
      <c r="EX36" s="614"/>
      <c r="EY36" s="614"/>
      <c r="EZ36" s="614"/>
      <c r="FA36" s="614"/>
      <c r="FB36" s="614"/>
      <c r="FC36" s="614"/>
      <c r="FD36" s="614"/>
      <c r="FE36" s="614"/>
      <c r="FF36" s="614"/>
      <c r="FG36" s="614"/>
      <c r="FH36" s="614"/>
      <c r="FI36" s="614"/>
      <c r="FJ36" s="614"/>
      <c r="FK36" s="614"/>
      <c r="FL36" s="614"/>
      <c r="FM36" s="614"/>
      <c r="FN36" s="614"/>
      <c r="FO36" s="614"/>
      <c r="FP36" s="614"/>
      <c r="FQ36" s="614"/>
      <c r="FR36" s="614"/>
      <c r="FS36" s="614"/>
      <c r="FT36" s="614"/>
      <c r="FU36" s="614"/>
      <c r="FV36" s="614"/>
      <c r="FW36" s="614"/>
      <c r="FX36" s="614"/>
      <c r="FY36" s="614"/>
      <c r="FZ36" s="614"/>
      <c r="GA36" s="614"/>
      <c r="GB36" s="614"/>
      <c r="GC36" s="614"/>
      <c r="GD36" s="614"/>
      <c r="GE36" s="614"/>
      <c r="GF36" s="614"/>
      <c r="GG36" s="614"/>
      <c r="GH36" s="614"/>
      <c r="GI36" s="614"/>
      <c r="GJ36" s="614"/>
      <c r="GK36" s="614"/>
      <c r="GL36" s="614"/>
      <c r="GM36" s="614"/>
      <c r="GN36" s="614"/>
      <c r="GO36" s="614"/>
      <c r="GP36" s="614"/>
      <c r="GQ36" s="614"/>
      <c r="GR36" s="614"/>
      <c r="GS36" s="614"/>
      <c r="GT36" s="614"/>
      <c r="GU36" s="614"/>
      <c r="GV36" s="614"/>
      <c r="GW36" s="614"/>
      <c r="GX36" s="614"/>
      <c r="GY36" s="614"/>
      <c r="GZ36" s="614"/>
      <c r="HA36" s="614"/>
      <c r="HB36" s="614"/>
      <c r="HC36" s="614"/>
      <c r="HD36" s="614"/>
      <c r="HE36" s="614"/>
      <c r="HF36" s="614"/>
      <c r="HG36" s="614"/>
      <c r="HH36" s="614"/>
      <c r="HI36" s="614"/>
      <c r="HJ36" s="614"/>
      <c r="HK36" s="614"/>
      <c r="HL36" s="614"/>
      <c r="HM36" s="614"/>
      <c r="HN36" s="614"/>
      <c r="HO36" s="614"/>
      <c r="HP36" s="614"/>
      <c r="HQ36" s="614"/>
      <c r="HR36" s="614"/>
    </row>
    <row r="37" spans="1:226" s="663" customFormat="1" ht="13.5" x14ac:dyDescent="0.25">
      <c r="A37" s="666">
        <v>45979</v>
      </c>
      <c r="B37" s="667"/>
      <c r="C37" s="654" t="s">
        <v>486</v>
      </c>
      <c r="D37" s="654" t="s">
        <v>487</v>
      </c>
      <c r="E37" s="655">
        <v>1</v>
      </c>
      <c r="F37" s="668">
        <v>11900</v>
      </c>
      <c r="G37" s="669"/>
      <c r="H37" s="658">
        <f>Table115[[#This Row],[Q]]*Table115[[#This Row],[$MXN OUT]]</f>
        <v>0</v>
      </c>
      <c r="I37" s="660"/>
      <c r="J37" s="665"/>
      <c r="K37" s="614"/>
      <c r="L37" s="614"/>
      <c r="M37" s="614"/>
      <c r="N37" s="614"/>
      <c r="O37" s="614"/>
      <c r="P37" s="614"/>
      <c r="Q37" s="614"/>
      <c r="R37" s="614"/>
      <c r="S37" s="614"/>
      <c r="T37" s="614"/>
      <c r="U37" s="614"/>
      <c r="V37" s="614"/>
      <c r="W37" s="614"/>
      <c r="X37" s="614"/>
      <c r="Y37" s="614"/>
      <c r="Z37" s="614"/>
      <c r="AA37" s="614"/>
      <c r="AB37" s="614"/>
      <c r="AC37" s="614"/>
      <c r="AD37" s="614"/>
      <c r="AE37" s="614"/>
      <c r="AF37" s="614"/>
      <c r="AG37" s="614"/>
      <c r="AH37" s="614"/>
      <c r="AI37" s="614"/>
      <c r="AJ37" s="614"/>
      <c r="AK37" s="614"/>
      <c r="AL37" s="614"/>
      <c r="AM37" s="614"/>
      <c r="AN37" s="614"/>
      <c r="AO37" s="614"/>
      <c r="AP37" s="614"/>
      <c r="AQ37" s="614"/>
      <c r="AR37" s="614"/>
      <c r="AS37" s="614"/>
      <c r="AT37" s="614"/>
      <c r="AU37" s="614"/>
      <c r="AV37" s="614"/>
      <c r="AW37" s="614"/>
      <c r="AX37" s="614"/>
      <c r="AY37" s="614"/>
      <c r="AZ37" s="614"/>
      <c r="BA37" s="614"/>
      <c r="BB37" s="614"/>
      <c r="BC37" s="614"/>
      <c r="BD37" s="614"/>
      <c r="BE37" s="614"/>
      <c r="BF37" s="614"/>
      <c r="BG37" s="614"/>
      <c r="BH37" s="614"/>
      <c r="BI37" s="614"/>
      <c r="BJ37" s="614"/>
      <c r="BK37" s="614"/>
      <c r="BL37" s="614"/>
      <c r="BM37" s="614"/>
      <c r="BN37" s="614"/>
      <c r="BO37" s="614"/>
      <c r="BP37" s="614"/>
      <c r="BQ37" s="614"/>
      <c r="BR37" s="614"/>
      <c r="BS37" s="614"/>
      <c r="BT37" s="614"/>
      <c r="BU37" s="614"/>
      <c r="BV37" s="614"/>
      <c r="BW37" s="614"/>
      <c r="BX37" s="614"/>
      <c r="BY37" s="614"/>
      <c r="BZ37" s="614"/>
      <c r="CA37" s="614"/>
      <c r="CB37" s="614"/>
      <c r="CC37" s="614"/>
      <c r="CD37" s="614"/>
      <c r="CE37" s="614"/>
      <c r="CF37" s="614"/>
      <c r="CG37" s="614"/>
      <c r="CH37" s="614"/>
      <c r="CI37" s="614"/>
      <c r="CJ37" s="614"/>
      <c r="CK37" s="614"/>
      <c r="CL37" s="614"/>
      <c r="CM37" s="614"/>
      <c r="CN37" s="614"/>
      <c r="CO37" s="614"/>
      <c r="CP37" s="614"/>
      <c r="CQ37" s="614"/>
      <c r="CR37" s="614"/>
      <c r="CS37" s="614"/>
      <c r="CT37" s="614"/>
      <c r="CU37" s="614"/>
      <c r="CV37" s="614"/>
      <c r="CW37" s="614"/>
      <c r="CX37" s="614"/>
      <c r="CY37" s="614"/>
      <c r="CZ37" s="614"/>
      <c r="DA37" s="614"/>
      <c r="DB37" s="614"/>
      <c r="DC37" s="614"/>
      <c r="DD37" s="614"/>
      <c r="DE37" s="614"/>
      <c r="DF37" s="614"/>
      <c r="DG37" s="614"/>
      <c r="DH37" s="614"/>
      <c r="DI37" s="614"/>
      <c r="DJ37" s="614"/>
      <c r="DK37" s="614"/>
      <c r="DL37" s="614"/>
      <c r="DM37" s="614"/>
      <c r="DN37" s="614"/>
      <c r="DO37" s="614"/>
      <c r="DP37" s="614"/>
      <c r="DQ37" s="614"/>
      <c r="DR37" s="614"/>
      <c r="DS37" s="614"/>
      <c r="DT37" s="614"/>
      <c r="DU37" s="614"/>
      <c r="DV37" s="614"/>
      <c r="DW37" s="614"/>
      <c r="DX37" s="614"/>
      <c r="DY37" s="614"/>
      <c r="DZ37" s="614"/>
      <c r="EA37" s="614"/>
      <c r="EB37" s="614"/>
      <c r="EC37" s="614"/>
      <c r="ED37" s="614"/>
      <c r="EE37" s="614"/>
      <c r="EF37" s="614"/>
      <c r="EG37" s="614"/>
      <c r="EH37" s="614"/>
      <c r="EI37" s="614"/>
      <c r="EJ37" s="614"/>
      <c r="EK37" s="614"/>
      <c r="EL37" s="614"/>
      <c r="EM37" s="614"/>
      <c r="EN37" s="614"/>
      <c r="EO37" s="614"/>
      <c r="EP37" s="614"/>
      <c r="EQ37" s="614"/>
      <c r="ER37" s="614"/>
      <c r="ES37" s="614"/>
      <c r="ET37" s="614"/>
      <c r="EU37" s="614"/>
      <c r="EV37" s="614"/>
      <c r="EW37" s="614"/>
      <c r="EX37" s="614"/>
      <c r="EY37" s="614"/>
      <c r="EZ37" s="614"/>
      <c r="FA37" s="614"/>
      <c r="FB37" s="614"/>
      <c r="FC37" s="614"/>
      <c r="FD37" s="614"/>
      <c r="FE37" s="614"/>
      <c r="FF37" s="614"/>
      <c r="FG37" s="614"/>
      <c r="FH37" s="614"/>
      <c r="FI37" s="614"/>
      <c r="FJ37" s="614"/>
      <c r="FK37" s="614"/>
      <c r="FL37" s="614"/>
      <c r="FM37" s="614"/>
      <c r="FN37" s="614"/>
      <c r="FO37" s="614"/>
      <c r="FP37" s="614"/>
      <c r="FQ37" s="614"/>
      <c r="FR37" s="614"/>
      <c r="FS37" s="614"/>
      <c r="FT37" s="614"/>
      <c r="FU37" s="614"/>
      <c r="FV37" s="614"/>
      <c r="FW37" s="614"/>
      <c r="FX37" s="614"/>
      <c r="FY37" s="614"/>
      <c r="FZ37" s="614"/>
      <c r="GA37" s="614"/>
      <c r="GB37" s="614"/>
      <c r="GC37" s="614"/>
      <c r="GD37" s="614"/>
      <c r="GE37" s="614"/>
      <c r="GF37" s="614"/>
      <c r="GG37" s="614"/>
      <c r="GH37" s="614"/>
      <c r="GI37" s="614"/>
      <c r="GJ37" s="614"/>
      <c r="GK37" s="614"/>
      <c r="GL37" s="614"/>
      <c r="GM37" s="614"/>
      <c r="GN37" s="614"/>
      <c r="GO37" s="614"/>
      <c r="GP37" s="614"/>
      <c r="GQ37" s="614"/>
      <c r="GR37" s="614"/>
      <c r="GS37" s="614"/>
      <c r="GT37" s="614"/>
      <c r="GU37" s="614"/>
      <c r="GV37" s="614"/>
      <c r="GW37" s="614"/>
      <c r="GX37" s="614"/>
      <c r="GY37" s="614"/>
      <c r="GZ37" s="614"/>
      <c r="HA37" s="614"/>
      <c r="HB37" s="614"/>
      <c r="HC37" s="614"/>
      <c r="HD37" s="614"/>
      <c r="HE37" s="614"/>
      <c r="HF37" s="614"/>
      <c r="HG37" s="614"/>
      <c r="HH37" s="614"/>
      <c r="HI37" s="614"/>
      <c r="HJ37" s="614"/>
      <c r="HK37" s="614"/>
      <c r="HL37" s="614"/>
      <c r="HM37" s="614"/>
      <c r="HN37" s="614"/>
      <c r="HO37" s="614"/>
      <c r="HP37" s="614"/>
      <c r="HQ37" s="614"/>
      <c r="HR37" s="614"/>
    </row>
    <row r="38" spans="1:226" s="663" customFormat="1" ht="13.5" x14ac:dyDescent="0.25">
      <c r="A38" s="666">
        <v>46004</v>
      </c>
      <c r="B38" s="667"/>
      <c r="C38" s="654" t="s">
        <v>486</v>
      </c>
      <c r="D38" s="654" t="s">
        <v>487</v>
      </c>
      <c r="E38" s="655">
        <v>1</v>
      </c>
      <c r="F38" s="671">
        <v>2200</v>
      </c>
      <c r="G38" s="669"/>
      <c r="H38" s="658">
        <f>Table115[[#This Row],[Q]]*Table115[[#This Row],[$MXN OUT]]</f>
        <v>0</v>
      </c>
      <c r="I38" s="660"/>
      <c r="J38" s="665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614"/>
      <c r="W38" s="614"/>
      <c r="X38" s="614"/>
      <c r="Y38" s="614"/>
      <c r="Z38" s="614"/>
      <c r="AA38" s="614"/>
      <c r="AB38" s="614"/>
      <c r="AC38" s="614"/>
      <c r="AD38" s="614"/>
      <c r="AE38" s="614"/>
      <c r="AF38" s="614"/>
      <c r="AG38" s="614"/>
      <c r="AH38" s="614"/>
      <c r="AI38" s="614"/>
      <c r="AJ38" s="614"/>
      <c r="AK38" s="614"/>
      <c r="AL38" s="614"/>
      <c r="AM38" s="614"/>
      <c r="AN38" s="614"/>
      <c r="AO38" s="614"/>
      <c r="AP38" s="614"/>
      <c r="AQ38" s="614"/>
      <c r="AR38" s="614"/>
      <c r="AS38" s="614"/>
      <c r="AT38" s="614"/>
      <c r="AU38" s="614"/>
      <c r="AV38" s="614"/>
      <c r="AW38" s="614"/>
      <c r="AX38" s="614"/>
      <c r="AY38" s="614"/>
      <c r="AZ38" s="614"/>
      <c r="BA38" s="614"/>
      <c r="BB38" s="614"/>
      <c r="BC38" s="614"/>
      <c r="BD38" s="614"/>
      <c r="BE38" s="614"/>
      <c r="BF38" s="614"/>
      <c r="BG38" s="614"/>
      <c r="BH38" s="614"/>
      <c r="BI38" s="614"/>
      <c r="BJ38" s="614"/>
      <c r="BK38" s="614"/>
      <c r="BL38" s="614"/>
      <c r="BM38" s="614"/>
      <c r="BN38" s="614"/>
      <c r="BO38" s="614"/>
      <c r="BP38" s="614"/>
      <c r="BQ38" s="614"/>
      <c r="BR38" s="614"/>
      <c r="BS38" s="614"/>
      <c r="BT38" s="614"/>
      <c r="BU38" s="614"/>
      <c r="BV38" s="614"/>
      <c r="BW38" s="614"/>
      <c r="BX38" s="614"/>
      <c r="BY38" s="614"/>
      <c r="BZ38" s="614"/>
      <c r="CA38" s="614"/>
      <c r="CB38" s="614"/>
      <c r="CC38" s="614"/>
      <c r="CD38" s="614"/>
      <c r="CE38" s="614"/>
      <c r="CF38" s="614"/>
      <c r="CG38" s="614"/>
      <c r="CH38" s="614"/>
      <c r="CI38" s="614"/>
      <c r="CJ38" s="614"/>
      <c r="CK38" s="614"/>
      <c r="CL38" s="614"/>
      <c r="CM38" s="614"/>
      <c r="CN38" s="614"/>
      <c r="CO38" s="614"/>
      <c r="CP38" s="614"/>
      <c r="CQ38" s="614"/>
      <c r="CR38" s="614"/>
      <c r="CS38" s="614"/>
      <c r="CT38" s="614"/>
      <c r="CU38" s="614"/>
      <c r="CV38" s="614"/>
      <c r="CW38" s="614"/>
      <c r="CX38" s="614"/>
      <c r="CY38" s="614"/>
      <c r="CZ38" s="614"/>
      <c r="DA38" s="614"/>
      <c r="DB38" s="614"/>
      <c r="DC38" s="614"/>
      <c r="DD38" s="614"/>
      <c r="DE38" s="614"/>
      <c r="DF38" s="614"/>
      <c r="DG38" s="614"/>
      <c r="DH38" s="614"/>
      <c r="DI38" s="614"/>
      <c r="DJ38" s="614"/>
      <c r="DK38" s="614"/>
      <c r="DL38" s="614"/>
      <c r="DM38" s="614"/>
      <c r="DN38" s="614"/>
      <c r="DO38" s="614"/>
      <c r="DP38" s="614"/>
      <c r="DQ38" s="614"/>
      <c r="DR38" s="614"/>
      <c r="DS38" s="614"/>
      <c r="DT38" s="614"/>
      <c r="DU38" s="614"/>
      <c r="DV38" s="614"/>
      <c r="DW38" s="614"/>
      <c r="DX38" s="614"/>
      <c r="DY38" s="614"/>
      <c r="DZ38" s="614"/>
      <c r="EA38" s="614"/>
      <c r="EB38" s="614"/>
      <c r="EC38" s="614"/>
      <c r="ED38" s="614"/>
      <c r="EE38" s="614"/>
      <c r="EF38" s="614"/>
      <c r="EG38" s="614"/>
      <c r="EH38" s="614"/>
      <c r="EI38" s="614"/>
      <c r="EJ38" s="614"/>
      <c r="EK38" s="614"/>
      <c r="EL38" s="614"/>
      <c r="EM38" s="614"/>
      <c r="EN38" s="614"/>
      <c r="EO38" s="614"/>
      <c r="EP38" s="614"/>
      <c r="EQ38" s="614"/>
      <c r="ER38" s="614"/>
      <c r="ES38" s="614"/>
      <c r="ET38" s="614"/>
      <c r="EU38" s="614"/>
      <c r="EV38" s="614"/>
      <c r="EW38" s="614"/>
      <c r="EX38" s="614"/>
      <c r="EY38" s="614"/>
      <c r="EZ38" s="614"/>
      <c r="FA38" s="614"/>
      <c r="FB38" s="614"/>
      <c r="FC38" s="614"/>
      <c r="FD38" s="614"/>
      <c r="FE38" s="614"/>
      <c r="FF38" s="614"/>
      <c r="FG38" s="614"/>
      <c r="FH38" s="614"/>
      <c r="FI38" s="614"/>
      <c r="FJ38" s="614"/>
      <c r="FK38" s="614"/>
      <c r="FL38" s="614"/>
      <c r="FM38" s="614"/>
      <c r="FN38" s="614"/>
      <c r="FO38" s="614"/>
      <c r="FP38" s="614"/>
      <c r="FQ38" s="614"/>
      <c r="FR38" s="614"/>
      <c r="FS38" s="614"/>
      <c r="FT38" s="614"/>
      <c r="FU38" s="614"/>
      <c r="FV38" s="614"/>
      <c r="FW38" s="614"/>
      <c r="FX38" s="614"/>
      <c r="FY38" s="614"/>
      <c r="FZ38" s="614"/>
      <c r="GA38" s="614"/>
      <c r="GB38" s="614"/>
      <c r="GC38" s="614"/>
      <c r="GD38" s="614"/>
      <c r="GE38" s="614"/>
      <c r="GF38" s="614"/>
      <c r="GG38" s="614"/>
      <c r="GH38" s="614"/>
      <c r="GI38" s="614"/>
      <c r="GJ38" s="614"/>
      <c r="GK38" s="614"/>
      <c r="GL38" s="614"/>
      <c r="GM38" s="614"/>
      <c r="GN38" s="614"/>
      <c r="GO38" s="614"/>
      <c r="GP38" s="614"/>
      <c r="GQ38" s="614"/>
      <c r="GR38" s="614"/>
      <c r="GS38" s="614"/>
      <c r="GT38" s="614"/>
      <c r="GU38" s="614"/>
      <c r="GV38" s="614"/>
      <c r="GW38" s="614"/>
      <c r="GX38" s="614"/>
      <c r="GY38" s="614"/>
      <c r="GZ38" s="614"/>
      <c r="HA38" s="614"/>
      <c r="HB38" s="614"/>
      <c r="HC38" s="614"/>
      <c r="HD38" s="614"/>
      <c r="HE38" s="614"/>
      <c r="HF38" s="614"/>
      <c r="HG38" s="614"/>
      <c r="HH38" s="614"/>
      <c r="HI38" s="614"/>
      <c r="HJ38" s="614"/>
      <c r="HK38" s="614"/>
      <c r="HL38" s="614"/>
      <c r="HM38" s="614"/>
      <c r="HN38" s="614"/>
      <c r="HO38" s="614"/>
      <c r="HP38" s="614"/>
      <c r="HQ38" s="614"/>
      <c r="HR38" s="614"/>
    </row>
    <row r="39" spans="1:226" s="663" customFormat="1" ht="13.5" x14ac:dyDescent="0.25">
      <c r="A39" s="666">
        <v>46004</v>
      </c>
      <c r="B39" s="667"/>
      <c r="C39" s="654" t="s">
        <v>486</v>
      </c>
      <c r="D39" s="654" t="s">
        <v>487</v>
      </c>
      <c r="E39" s="655">
        <v>1</v>
      </c>
      <c r="F39" s="668">
        <v>8000</v>
      </c>
      <c r="G39" s="669"/>
      <c r="H39" s="658">
        <f>Table115[[#This Row],[Q]]*Table115[[#This Row],[$MXN OUT]]</f>
        <v>0</v>
      </c>
      <c r="I39" s="660"/>
      <c r="J39" s="665"/>
      <c r="K39" s="614"/>
      <c r="L39" s="614"/>
      <c r="M39" s="614"/>
      <c r="N39" s="614"/>
      <c r="O39" s="614"/>
      <c r="P39" s="614"/>
      <c r="Q39" s="614"/>
      <c r="R39" s="614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4"/>
      <c r="AD39" s="614"/>
      <c r="AE39" s="614"/>
      <c r="AF39" s="614"/>
      <c r="AG39" s="614"/>
      <c r="AH39" s="614"/>
      <c r="AI39" s="614"/>
      <c r="AJ39" s="614"/>
      <c r="AK39" s="614"/>
      <c r="AL39" s="614"/>
      <c r="AM39" s="614"/>
      <c r="AN39" s="614"/>
      <c r="AO39" s="614"/>
      <c r="AP39" s="614"/>
      <c r="AQ39" s="614"/>
      <c r="AR39" s="614"/>
      <c r="AS39" s="614"/>
      <c r="AT39" s="614"/>
      <c r="AU39" s="614"/>
      <c r="AV39" s="614"/>
      <c r="AW39" s="614"/>
      <c r="AX39" s="614"/>
      <c r="AY39" s="614"/>
      <c r="AZ39" s="614"/>
      <c r="BA39" s="614"/>
      <c r="BB39" s="614"/>
      <c r="BC39" s="614"/>
      <c r="BD39" s="614"/>
      <c r="BE39" s="614"/>
      <c r="BF39" s="614"/>
      <c r="BG39" s="614"/>
      <c r="BH39" s="614"/>
      <c r="BI39" s="614"/>
      <c r="BJ39" s="614"/>
      <c r="BK39" s="614"/>
      <c r="BL39" s="614"/>
      <c r="BM39" s="614"/>
      <c r="BN39" s="614"/>
      <c r="BO39" s="614"/>
      <c r="BP39" s="614"/>
      <c r="BQ39" s="614"/>
      <c r="BR39" s="614"/>
      <c r="BS39" s="614"/>
      <c r="BT39" s="614"/>
      <c r="BU39" s="614"/>
      <c r="BV39" s="614"/>
      <c r="BW39" s="614"/>
      <c r="BX39" s="614"/>
      <c r="BY39" s="614"/>
      <c r="BZ39" s="614"/>
      <c r="CA39" s="614"/>
      <c r="CB39" s="614"/>
      <c r="CC39" s="614"/>
      <c r="CD39" s="614"/>
      <c r="CE39" s="614"/>
      <c r="CF39" s="614"/>
      <c r="CG39" s="614"/>
      <c r="CH39" s="614"/>
      <c r="CI39" s="614"/>
      <c r="CJ39" s="614"/>
      <c r="CK39" s="614"/>
      <c r="CL39" s="614"/>
      <c r="CM39" s="614"/>
      <c r="CN39" s="614"/>
      <c r="CO39" s="614"/>
      <c r="CP39" s="614"/>
      <c r="CQ39" s="614"/>
      <c r="CR39" s="614"/>
      <c r="CS39" s="614"/>
      <c r="CT39" s="614"/>
      <c r="CU39" s="614"/>
      <c r="CV39" s="614"/>
      <c r="CW39" s="614"/>
      <c r="CX39" s="614"/>
      <c r="CY39" s="614"/>
      <c r="CZ39" s="614"/>
      <c r="DA39" s="614"/>
      <c r="DB39" s="614"/>
      <c r="DC39" s="614"/>
      <c r="DD39" s="614"/>
      <c r="DE39" s="614"/>
      <c r="DF39" s="614"/>
      <c r="DG39" s="614"/>
      <c r="DH39" s="614"/>
      <c r="DI39" s="614"/>
      <c r="DJ39" s="614"/>
      <c r="DK39" s="614"/>
      <c r="DL39" s="614"/>
      <c r="DM39" s="614"/>
      <c r="DN39" s="614"/>
      <c r="DO39" s="614"/>
      <c r="DP39" s="614"/>
      <c r="DQ39" s="614"/>
      <c r="DR39" s="614"/>
      <c r="DS39" s="614"/>
      <c r="DT39" s="614"/>
      <c r="DU39" s="614"/>
      <c r="DV39" s="614"/>
      <c r="DW39" s="614"/>
      <c r="DX39" s="614"/>
      <c r="DY39" s="614"/>
      <c r="DZ39" s="614"/>
      <c r="EA39" s="614"/>
      <c r="EB39" s="614"/>
      <c r="EC39" s="614"/>
      <c r="ED39" s="614"/>
      <c r="EE39" s="614"/>
      <c r="EF39" s="614"/>
      <c r="EG39" s="614"/>
      <c r="EH39" s="614"/>
      <c r="EI39" s="614"/>
      <c r="EJ39" s="614"/>
      <c r="EK39" s="614"/>
      <c r="EL39" s="614"/>
      <c r="EM39" s="614"/>
      <c r="EN39" s="614"/>
      <c r="EO39" s="614"/>
      <c r="EP39" s="614"/>
      <c r="EQ39" s="614"/>
      <c r="ER39" s="614"/>
      <c r="ES39" s="614"/>
      <c r="ET39" s="614"/>
      <c r="EU39" s="614"/>
      <c r="EV39" s="614"/>
      <c r="EW39" s="614"/>
      <c r="EX39" s="614"/>
      <c r="EY39" s="614"/>
      <c r="EZ39" s="614"/>
      <c r="FA39" s="614"/>
      <c r="FB39" s="614"/>
      <c r="FC39" s="614"/>
      <c r="FD39" s="614"/>
      <c r="FE39" s="614"/>
      <c r="FF39" s="614"/>
      <c r="FG39" s="614"/>
      <c r="FH39" s="614"/>
      <c r="FI39" s="614"/>
      <c r="FJ39" s="614"/>
      <c r="FK39" s="614"/>
      <c r="FL39" s="614"/>
      <c r="FM39" s="614"/>
      <c r="FN39" s="614"/>
      <c r="FO39" s="614"/>
      <c r="FP39" s="614"/>
      <c r="FQ39" s="614"/>
      <c r="FR39" s="614"/>
      <c r="FS39" s="614"/>
      <c r="FT39" s="614"/>
      <c r="FU39" s="614"/>
      <c r="FV39" s="614"/>
      <c r="FW39" s="614"/>
      <c r="FX39" s="614"/>
      <c r="FY39" s="614"/>
      <c r="FZ39" s="614"/>
      <c r="GA39" s="614"/>
      <c r="GB39" s="614"/>
      <c r="GC39" s="614"/>
      <c r="GD39" s="614"/>
      <c r="GE39" s="614"/>
      <c r="GF39" s="614"/>
      <c r="GG39" s="614"/>
      <c r="GH39" s="614"/>
      <c r="GI39" s="614"/>
      <c r="GJ39" s="614"/>
      <c r="GK39" s="614"/>
      <c r="GL39" s="614"/>
      <c r="GM39" s="614"/>
      <c r="GN39" s="614"/>
      <c r="GO39" s="614"/>
      <c r="GP39" s="614"/>
      <c r="GQ39" s="614"/>
      <c r="GR39" s="614"/>
      <c r="GS39" s="614"/>
      <c r="GT39" s="614"/>
      <c r="GU39" s="614"/>
      <c r="GV39" s="614"/>
      <c r="GW39" s="614"/>
      <c r="GX39" s="614"/>
      <c r="GY39" s="614"/>
      <c r="GZ39" s="614"/>
      <c r="HA39" s="614"/>
      <c r="HB39" s="614"/>
      <c r="HC39" s="614"/>
      <c r="HD39" s="614"/>
      <c r="HE39" s="614"/>
      <c r="HF39" s="614"/>
      <c r="HG39" s="614"/>
      <c r="HH39" s="614"/>
      <c r="HI39" s="614"/>
      <c r="HJ39" s="614"/>
      <c r="HK39" s="614"/>
      <c r="HL39" s="614"/>
      <c r="HM39" s="614"/>
      <c r="HN39" s="614"/>
      <c r="HO39" s="614"/>
      <c r="HP39" s="614"/>
      <c r="HQ39" s="614"/>
      <c r="HR39" s="614"/>
    </row>
    <row r="40" spans="1:226" s="663" customFormat="1" ht="13.5" x14ac:dyDescent="0.25">
      <c r="A40" s="666">
        <v>46001</v>
      </c>
      <c r="B40" s="667" t="s">
        <v>475</v>
      </c>
      <c r="C40" s="654" t="s">
        <v>476</v>
      </c>
      <c r="D40" s="654" t="s">
        <v>516</v>
      </c>
      <c r="E40" s="655">
        <v>2</v>
      </c>
      <c r="F40" s="668"/>
      <c r="G40" s="669">
        <v>1750</v>
      </c>
      <c r="H40" s="658">
        <f>Table115[[#This Row],[Q]]*Table115[[#This Row],[$MXN OUT]]</f>
        <v>3500</v>
      </c>
      <c r="I40" s="660"/>
      <c r="J40" s="665"/>
      <c r="K40" s="614"/>
      <c r="L40" s="614"/>
      <c r="M40" s="614"/>
      <c r="N40" s="614"/>
      <c r="O40" s="614"/>
      <c r="P40" s="614"/>
      <c r="Q40" s="614"/>
      <c r="R40" s="614"/>
      <c r="S40" s="614"/>
      <c r="T40" s="614"/>
      <c r="U40" s="614"/>
      <c r="V40" s="614"/>
      <c r="W40" s="614"/>
      <c r="X40" s="614"/>
      <c r="Y40" s="614"/>
      <c r="Z40" s="614"/>
      <c r="AA40" s="614"/>
      <c r="AB40" s="614"/>
      <c r="AC40" s="614"/>
      <c r="AD40" s="614"/>
      <c r="AE40" s="614"/>
      <c r="AF40" s="614"/>
      <c r="AG40" s="614"/>
      <c r="AH40" s="614"/>
      <c r="AI40" s="614"/>
      <c r="AJ40" s="614"/>
      <c r="AK40" s="614"/>
      <c r="AL40" s="614"/>
      <c r="AM40" s="614"/>
      <c r="AN40" s="614"/>
      <c r="AO40" s="614"/>
      <c r="AP40" s="614"/>
      <c r="AQ40" s="614"/>
      <c r="AR40" s="614"/>
      <c r="AS40" s="614"/>
      <c r="AT40" s="614"/>
      <c r="AU40" s="614"/>
      <c r="AV40" s="614"/>
      <c r="AW40" s="614"/>
      <c r="AX40" s="614"/>
      <c r="AY40" s="614"/>
      <c r="AZ40" s="614"/>
      <c r="BA40" s="614"/>
      <c r="BB40" s="614"/>
      <c r="BC40" s="614"/>
      <c r="BD40" s="614"/>
      <c r="BE40" s="614"/>
      <c r="BF40" s="614"/>
      <c r="BG40" s="614"/>
      <c r="BH40" s="614"/>
      <c r="BI40" s="614"/>
      <c r="BJ40" s="614"/>
      <c r="BK40" s="614"/>
      <c r="BL40" s="614"/>
      <c r="BM40" s="614"/>
      <c r="BN40" s="614"/>
      <c r="BO40" s="614"/>
      <c r="BP40" s="614"/>
      <c r="BQ40" s="614"/>
      <c r="BR40" s="614"/>
      <c r="BS40" s="614"/>
      <c r="BT40" s="614"/>
      <c r="BU40" s="614"/>
      <c r="BV40" s="614"/>
      <c r="BW40" s="614"/>
      <c r="BX40" s="614"/>
      <c r="BY40" s="614"/>
      <c r="BZ40" s="614"/>
      <c r="CA40" s="614"/>
      <c r="CB40" s="614"/>
      <c r="CC40" s="614"/>
      <c r="CD40" s="614"/>
      <c r="CE40" s="614"/>
      <c r="CF40" s="614"/>
      <c r="CG40" s="614"/>
      <c r="CH40" s="614"/>
      <c r="CI40" s="614"/>
      <c r="CJ40" s="614"/>
      <c r="CK40" s="614"/>
      <c r="CL40" s="614"/>
      <c r="CM40" s="614"/>
      <c r="CN40" s="614"/>
      <c r="CO40" s="614"/>
      <c r="CP40" s="614"/>
      <c r="CQ40" s="614"/>
      <c r="CR40" s="614"/>
      <c r="CS40" s="614"/>
      <c r="CT40" s="614"/>
      <c r="CU40" s="614"/>
      <c r="CV40" s="614"/>
      <c r="CW40" s="614"/>
      <c r="CX40" s="614"/>
      <c r="CY40" s="614"/>
      <c r="CZ40" s="614"/>
      <c r="DA40" s="614"/>
      <c r="DB40" s="614"/>
      <c r="DC40" s="614"/>
      <c r="DD40" s="614"/>
      <c r="DE40" s="614"/>
      <c r="DF40" s="614"/>
      <c r="DG40" s="614"/>
      <c r="DH40" s="614"/>
      <c r="DI40" s="614"/>
      <c r="DJ40" s="614"/>
      <c r="DK40" s="614"/>
      <c r="DL40" s="614"/>
      <c r="DM40" s="614"/>
      <c r="DN40" s="614"/>
      <c r="DO40" s="614"/>
      <c r="DP40" s="614"/>
      <c r="DQ40" s="614"/>
      <c r="DR40" s="614"/>
      <c r="DS40" s="614"/>
      <c r="DT40" s="614"/>
      <c r="DU40" s="614"/>
      <c r="DV40" s="614"/>
      <c r="DW40" s="614"/>
      <c r="DX40" s="614"/>
      <c r="DY40" s="614"/>
      <c r="DZ40" s="614"/>
      <c r="EA40" s="614"/>
      <c r="EB40" s="614"/>
      <c r="EC40" s="614"/>
      <c r="ED40" s="614"/>
      <c r="EE40" s="614"/>
      <c r="EF40" s="614"/>
      <c r="EG40" s="614"/>
      <c r="EH40" s="614"/>
      <c r="EI40" s="614"/>
      <c r="EJ40" s="614"/>
      <c r="EK40" s="614"/>
      <c r="EL40" s="614"/>
      <c r="EM40" s="614"/>
      <c r="EN40" s="614"/>
      <c r="EO40" s="614"/>
      <c r="EP40" s="614"/>
      <c r="EQ40" s="614"/>
      <c r="ER40" s="614"/>
      <c r="ES40" s="614"/>
      <c r="ET40" s="614"/>
      <c r="EU40" s="614"/>
      <c r="EV40" s="614"/>
      <c r="EW40" s="614"/>
      <c r="EX40" s="614"/>
      <c r="EY40" s="614"/>
      <c r="EZ40" s="614"/>
      <c r="FA40" s="614"/>
      <c r="FB40" s="614"/>
      <c r="FC40" s="614"/>
      <c r="FD40" s="614"/>
      <c r="FE40" s="614"/>
      <c r="FF40" s="614"/>
      <c r="FG40" s="614"/>
      <c r="FH40" s="614"/>
      <c r="FI40" s="614"/>
      <c r="FJ40" s="614"/>
      <c r="FK40" s="614"/>
      <c r="FL40" s="614"/>
      <c r="FM40" s="614"/>
      <c r="FN40" s="614"/>
      <c r="FO40" s="614"/>
      <c r="FP40" s="614"/>
      <c r="FQ40" s="614"/>
      <c r="FR40" s="614"/>
      <c r="FS40" s="614"/>
      <c r="FT40" s="614"/>
      <c r="FU40" s="614"/>
      <c r="FV40" s="614"/>
      <c r="FW40" s="614"/>
      <c r="FX40" s="614"/>
      <c r="FY40" s="614"/>
      <c r="FZ40" s="614"/>
      <c r="GA40" s="614"/>
      <c r="GB40" s="614"/>
      <c r="GC40" s="614"/>
      <c r="GD40" s="614"/>
      <c r="GE40" s="614"/>
      <c r="GF40" s="614"/>
      <c r="GG40" s="614"/>
      <c r="GH40" s="614"/>
      <c r="GI40" s="614"/>
      <c r="GJ40" s="614"/>
      <c r="GK40" s="614"/>
      <c r="GL40" s="614"/>
      <c r="GM40" s="614"/>
      <c r="GN40" s="614"/>
      <c r="GO40" s="614"/>
      <c r="GP40" s="614"/>
      <c r="GQ40" s="614"/>
      <c r="GR40" s="614"/>
      <c r="GS40" s="614"/>
      <c r="GT40" s="614"/>
      <c r="GU40" s="614"/>
      <c r="GV40" s="614"/>
      <c r="GW40" s="614"/>
      <c r="GX40" s="614"/>
      <c r="GY40" s="614"/>
      <c r="GZ40" s="614"/>
      <c r="HA40" s="614"/>
      <c r="HB40" s="614"/>
      <c r="HC40" s="614"/>
      <c r="HD40" s="614"/>
      <c r="HE40" s="614"/>
      <c r="HF40" s="614"/>
      <c r="HG40" s="614"/>
      <c r="HH40" s="614"/>
      <c r="HI40" s="614"/>
      <c r="HJ40" s="614"/>
      <c r="HK40" s="614"/>
      <c r="HL40" s="614"/>
      <c r="HM40" s="614"/>
      <c r="HN40" s="614"/>
      <c r="HO40" s="614"/>
      <c r="HP40" s="614"/>
      <c r="HQ40" s="614"/>
      <c r="HR40" s="614"/>
    </row>
    <row r="41" spans="1:226" s="663" customFormat="1" ht="13.5" x14ac:dyDescent="0.25">
      <c r="A41" s="666"/>
      <c r="B41" s="667" t="s">
        <v>475</v>
      </c>
      <c r="C41" s="654" t="s">
        <v>476</v>
      </c>
      <c r="D41" s="654" t="s">
        <v>502</v>
      </c>
      <c r="E41" s="655">
        <v>2</v>
      </c>
      <c r="F41" s="668"/>
      <c r="G41" s="669">
        <v>2000</v>
      </c>
      <c r="H41" s="658">
        <f>Table115[[#This Row],[Q]]*Table115[[#This Row],[$MXN OUT]]</f>
        <v>4000</v>
      </c>
      <c r="I41" s="660">
        <f t="shared" ref="I41:I80" si="0">IF(E41&gt;0.1,G41/18," ")</f>
        <v>111.11111111111111</v>
      </c>
      <c r="J41" s="665">
        <f t="shared" ref="J41:J86" si="1">IF(E41&gt;0.1,I41*E41," ")</f>
        <v>222.22222222222223</v>
      </c>
      <c r="K41" s="614"/>
      <c r="L41" s="614"/>
      <c r="M41" s="614"/>
      <c r="N41" s="614"/>
      <c r="O41" s="614"/>
      <c r="P41" s="614"/>
      <c r="Q41" s="614"/>
      <c r="R41" s="614"/>
      <c r="S41" s="614"/>
      <c r="T41" s="614"/>
      <c r="U41" s="614"/>
      <c r="V41" s="614"/>
      <c r="W41" s="614"/>
      <c r="X41" s="614"/>
      <c r="Y41" s="614"/>
      <c r="Z41" s="614"/>
      <c r="AA41" s="614"/>
      <c r="AB41" s="614"/>
      <c r="AC41" s="614"/>
      <c r="AD41" s="614"/>
      <c r="AE41" s="614"/>
      <c r="AF41" s="614"/>
      <c r="AG41" s="614"/>
      <c r="AH41" s="614"/>
      <c r="AI41" s="614"/>
      <c r="AJ41" s="614"/>
      <c r="AK41" s="614"/>
      <c r="AL41" s="614"/>
      <c r="AM41" s="614"/>
      <c r="AN41" s="614"/>
      <c r="AO41" s="614"/>
      <c r="AP41" s="614"/>
      <c r="AQ41" s="614"/>
      <c r="AR41" s="614"/>
      <c r="AS41" s="614"/>
      <c r="AT41" s="614"/>
      <c r="AU41" s="614"/>
      <c r="AV41" s="614"/>
      <c r="AW41" s="614"/>
      <c r="AX41" s="614"/>
      <c r="AY41" s="614"/>
      <c r="AZ41" s="614"/>
      <c r="BA41" s="614"/>
      <c r="BB41" s="614"/>
      <c r="BC41" s="614"/>
      <c r="BD41" s="614"/>
      <c r="BE41" s="614"/>
      <c r="BF41" s="614"/>
      <c r="BG41" s="614"/>
      <c r="BH41" s="614"/>
      <c r="BI41" s="614"/>
      <c r="BJ41" s="614"/>
      <c r="BK41" s="614"/>
      <c r="BL41" s="614"/>
      <c r="BM41" s="614"/>
      <c r="BN41" s="614"/>
      <c r="BO41" s="614"/>
      <c r="BP41" s="614"/>
      <c r="BQ41" s="614"/>
      <c r="BR41" s="614"/>
      <c r="BS41" s="614"/>
      <c r="BT41" s="614"/>
      <c r="BU41" s="614"/>
      <c r="BV41" s="614"/>
      <c r="BW41" s="614"/>
      <c r="BX41" s="614"/>
      <c r="BY41" s="614"/>
      <c r="BZ41" s="614"/>
      <c r="CA41" s="614"/>
      <c r="CB41" s="614"/>
      <c r="CC41" s="614"/>
      <c r="CD41" s="614"/>
      <c r="CE41" s="614"/>
      <c r="CF41" s="614"/>
      <c r="CG41" s="614"/>
      <c r="CH41" s="614"/>
      <c r="CI41" s="614"/>
      <c r="CJ41" s="614"/>
      <c r="CK41" s="614"/>
      <c r="CL41" s="614"/>
      <c r="CM41" s="614"/>
      <c r="CN41" s="614"/>
      <c r="CO41" s="614"/>
      <c r="CP41" s="614"/>
      <c r="CQ41" s="614"/>
      <c r="CR41" s="614"/>
      <c r="CS41" s="614"/>
      <c r="CT41" s="614"/>
      <c r="CU41" s="614"/>
      <c r="CV41" s="614"/>
      <c r="CW41" s="614"/>
      <c r="CX41" s="614"/>
      <c r="CY41" s="614"/>
      <c r="CZ41" s="614"/>
      <c r="DA41" s="614"/>
      <c r="DB41" s="614"/>
      <c r="DC41" s="614"/>
      <c r="DD41" s="614"/>
      <c r="DE41" s="614"/>
      <c r="DF41" s="614"/>
      <c r="DG41" s="614"/>
      <c r="DH41" s="614"/>
      <c r="DI41" s="614"/>
      <c r="DJ41" s="614"/>
      <c r="DK41" s="614"/>
      <c r="DL41" s="614"/>
      <c r="DM41" s="614"/>
      <c r="DN41" s="614"/>
      <c r="DO41" s="614"/>
      <c r="DP41" s="614"/>
      <c r="DQ41" s="614"/>
      <c r="DR41" s="614"/>
      <c r="DS41" s="614"/>
      <c r="DT41" s="614"/>
      <c r="DU41" s="614"/>
      <c r="DV41" s="614"/>
      <c r="DW41" s="614"/>
      <c r="DX41" s="614"/>
      <c r="DY41" s="614"/>
      <c r="DZ41" s="614"/>
      <c r="EA41" s="614"/>
      <c r="EB41" s="614"/>
      <c r="EC41" s="614"/>
      <c r="ED41" s="614"/>
      <c r="EE41" s="614"/>
      <c r="EF41" s="614"/>
      <c r="EG41" s="614"/>
      <c r="EH41" s="614"/>
      <c r="EI41" s="614"/>
      <c r="EJ41" s="614"/>
      <c r="EK41" s="614"/>
      <c r="EL41" s="614"/>
      <c r="EM41" s="614"/>
      <c r="EN41" s="614"/>
      <c r="EO41" s="614"/>
      <c r="EP41" s="614"/>
      <c r="EQ41" s="614"/>
      <c r="ER41" s="614"/>
      <c r="ES41" s="614"/>
      <c r="ET41" s="614"/>
      <c r="EU41" s="614"/>
      <c r="EV41" s="614"/>
      <c r="EW41" s="614"/>
      <c r="EX41" s="614"/>
      <c r="EY41" s="614"/>
      <c r="EZ41" s="614"/>
      <c r="FA41" s="614"/>
      <c r="FB41" s="614"/>
      <c r="FC41" s="614"/>
      <c r="FD41" s="614"/>
      <c r="FE41" s="614"/>
      <c r="FF41" s="614"/>
      <c r="FG41" s="614"/>
      <c r="FH41" s="614"/>
      <c r="FI41" s="614"/>
      <c r="FJ41" s="614"/>
      <c r="FK41" s="614"/>
      <c r="FL41" s="614"/>
      <c r="FM41" s="614"/>
      <c r="FN41" s="614"/>
      <c r="FO41" s="614"/>
      <c r="FP41" s="614"/>
      <c r="FQ41" s="614"/>
      <c r="FR41" s="614"/>
      <c r="FS41" s="614"/>
      <c r="FT41" s="614"/>
      <c r="FU41" s="614"/>
      <c r="FV41" s="614"/>
      <c r="FW41" s="614"/>
      <c r="FX41" s="614"/>
      <c r="FY41" s="614"/>
      <c r="FZ41" s="614"/>
      <c r="GA41" s="614"/>
      <c r="GB41" s="614"/>
      <c r="GC41" s="614"/>
      <c r="GD41" s="614"/>
      <c r="GE41" s="614"/>
      <c r="GF41" s="614"/>
      <c r="GG41" s="614"/>
      <c r="GH41" s="614"/>
      <c r="GI41" s="614"/>
      <c r="GJ41" s="614"/>
      <c r="GK41" s="614"/>
      <c r="GL41" s="614"/>
      <c r="GM41" s="614"/>
      <c r="GN41" s="614"/>
      <c r="GO41" s="614"/>
      <c r="GP41" s="614"/>
      <c r="GQ41" s="614"/>
      <c r="GR41" s="614"/>
      <c r="GS41" s="614"/>
      <c r="GT41" s="614"/>
      <c r="GU41" s="614"/>
      <c r="GV41" s="614"/>
      <c r="GW41" s="614"/>
      <c r="GX41" s="614"/>
      <c r="GY41" s="614"/>
      <c r="GZ41" s="614"/>
      <c r="HA41" s="614"/>
      <c r="HB41" s="614"/>
      <c r="HC41" s="614"/>
      <c r="HD41" s="614"/>
      <c r="HE41" s="614"/>
      <c r="HF41" s="614"/>
      <c r="HG41" s="614"/>
      <c r="HH41" s="614"/>
      <c r="HI41" s="614"/>
      <c r="HJ41" s="614"/>
      <c r="HK41" s="614"/>
      <c r="HL41" s="614"/>
      <c r="HM41" s="614"/>
      <c r="HN41" s="614"/>
      <c r="HO41" s="614"/>
      <c r="HP41" s="614"/>
      <c r="HQ41" s="614"/>
      <c r="HR41" s="614"/>
    </row>
    <row r="42" spans="1:226" s="663" customFormat="1" ht="13.5" x14ac:dyDescent="0.25">
      <c r="A42" s="666"/>
      <c r="B42" s="667" t="s">
        <v>501</v>
      </c>
      <c r="C42" s="654" t="s">
        <v>476</v>
      </c>
      <c r="D42" s="654" t="s">
        <v>502</v>
      </c>
      <c r="E42" s="655">
        <v>2</v>
      </c>
      <c r="F42" s="668"/>
      <c r="G42" s="669">
        <v>3000</v>
      </c>
      <c r="H42" s="658">
        <f>Table115[[#This Row],[Q]]*Table115[[#This Row],[$MXN OUT]]</f>
        <v>6000</v>
      </c>
      <c r="I42" s="660">
        <f t="shared" si="0"/>
        <v>166.66666666666666</v>
      </c>
      <c r="J42" s="665">
        <f t="shared" si="1"/>
        <v>333.33333333333331</v>
      </c>
      <c r="K42" s="614"/>
      <c r="L42" s="614"/>
      <c r="M42" s="614"/>
      <c r="N42" s="614"/>
      <c r="O42" s="614"/>
      <c r="P42" s="614"/>
      <c r="Q42" s="614"/>
      <c r="R42" s="614"/>
      <c r="S42" s="614"/>
      <c r="T42" s="614"/>
      <c r="U42" s="614"/>
      <c r="V42" s="614"/>
      <c r="W42" s="614"/>
      <c r="X42" s="614"/>
      <c r="Y42" s="614"/>
      <c r="Z42" s="614"/>
      <c r="AA42" s="614"/>
      <c r="AB42" s="614"/>
      <c r="AC42" s="614"/>
      <c r="AD42" s="614"/>
      <c r="AE42" s="614"/>
      <c r="AF42" s="614"/>
      <c r="AG42" s="614"/>
      <c r="AH42" s="614"/>
      <c r="AI42" s="614"/>
      <c r="AJ42" s="614"/>
      <c r="AK42" s="614"/>
      <c r="AL42" s="614"/>
      <c r="AM42" s="614"/>
      <c r="AN42" s="614"/>
      <c r="AO42" s="614"/>
      <c r="AP42" s="614"/>
      <c r="AQ42" s="614"/>
      <c r="AR42" s="614"/>
      <c r="AS42" s="614"/>
      <c r="AT42" s="614"/>
      <c r="AU42" s="614"/>
      <c r="AV42" s="614"/>
      <c r="AW42" s="614"/>
      <c r="AX42" s="614"/>
      <c r="AY42" s="614"/>
      <c r="AZ42" s="614"/>
      <c r="BA42" s="614"/>
      <c r="BB42" s="614"/>
      <c r="BC42" s="614"/>
      <c r="BD42" s="614"/>
      <c r="BE42" s="614"/>
      <c r="BF42" s="614"/>
      <c r="BG42" s="614"/>
      <c r="BH42" s="614"/>
      <c r="BI42" s="614"/>
      <c r="BJ42" s="614"/>
      <c r="BK42" s="614"/>
      <c r="BL42" s="614"/>
      <c r="BM42" s="614"/>
      <c r="BN42" s="614"/>
      <c r="BO42" s="614"/>
      <c r="BP42" s="614"/>
      <c r="BQ42" s="614"/>
      <c r="BR42" s="614"/>
      <c r="BS42" s="614"/>
      <c r="BT42" s="614"/>
      <c r="BU42" s="614"/>
      <c r="BV42" s="614"/>
      <c r="BW42" s="614"/>
      <c r="BX42" s="614"/>
      <c r="BY42" s="614"/>
      <c r="BZ42" s="614"/>
      <c r="CA42" s="614"/>
      <c r="CB42" s="614"/>
      <c r="CC42" s="614"/>
      <c r="CD42" s="614"/>
      <c r="CE42" s="614"/>
      <c r="CF42" s="614"/>
      <c r="CG42" s="614"/>
      <c r="CH42" s="614"/>
      <c r="CI42" s="614"/>
      <c r="CJ42" s="614"/>
      <c r="CK42" s="614"/>
      <c r="CL42" s="614"/>
      <c r="CM42" s="614"/>
      <c r="CN42" s="614"/>
      <c r="CO42" s="614"/>
      <c r="CP42" s="614"/>
      <c r="CQ42" s="614"/>
      <c r="CR42" s="614"/>
      <c r="CS42" s="614"/>
      <c r="CT42" s="614"/>
      <c r="CU42" s="614"/>
      <c r="CV42" s="614"/>
      <c r="CW42" s="614"/>
      <c r="CX42" s="614"/>
      <c r="CY42" s="614"/>
      <c r="CZ42" s="614"/>
      <c r="DA42" s="614"/>
      <c r="DB42" s="614"/>
      <c r="DC42" s="614"/>
      <c r="DD42" s="614"/>
      <c r="DE42" s="614"/>
      <c r="DF42" s="614"/>
      <c r="DG42" s="614"/>
      <c r="DH42" s="614"/>
      <c r="DI42" s="614"/>
      <c r="DJ42" s="614"/>
      <c r="DK42" s="614"/>
      <c r="DL42" s="614"/>
      <c r="DM42" s="614"/>
      <c r="DN42" s="614"/>
      <c r="DO42" s="614"/>
      <c r="DP42" s="614"/>
      <c r="DQ42" s="614"/>
      <c r="DR42" s="614"/>
      <c r="DS42" s="614"/>
      <c r="DT42" s="614"/>
      <c r="DU42" s="614"/>
      <c r="DV42" s="614"/>
      <c r="DW42" s="614"/>
      <c r="DX42" s="614"/>
      <c r="DY42" s="614"/>
      <c r="DZ42" s="614"/>
      <c r="EA42" s="614"/>
      <c r="EB42" s="614"/>
      <c r="EC42" s="614"/>
      <c r="ED42" s="614"/>
      <c r="EE42" s="614"/>
      <c r="EF42" s="614"/>
      <c r="EG42" s="614"/>
      <c r="EH42" s="614"/>
      <c r="EI42" s="614"/>
      <c r="EJ42" s="614"/>
      <c r="EK42" s="614"/>
      <c r="EL42" s="614"/>
      <c r="EM42" s="614"/>
      <c r="EN42" s="614"/>
      <c r="EO42" s="614"/>
      <c r="EP42" s="614"/>
      <c r="EQ42" s="614"/>
      <c r="ER42" s="614"/>
      <c r="ES42" s="614"/>
      <c r="ET42" s="614"/>
      <c r="EU42" s="614"/>
      <c r="EV42" s="614"/>
      <c r="EW42" s="614"/>
      <c r="EX42" s="614"/>
      <c r="EY42" s="614"/>
      <c r="EZ42" s="614"/>
      <c r="FA42" s="614"/>
      <c r="FB42" s="614"/>
      <c r="FC42" s="614"/>
      <c r="FD42" s="614"/>
      <c r="FE42" s="614"/>
      <c r="FF42" s="614"/>
      <c r="FG42" s="614"/>
      <c r="FH42" s="614"/>
      <c r="FI42" s="614"/>
      <c r="FJ42" s="614"/>
      <c r="FK42" s="614"/>
      <c r="FL42" s="614"/>
      <c r="FM42" s="614"/>
      <c r="FN42" s="614"/>
      <c r="FO42" s="614"/>
      <c r="FP42" s="614"/>
      <c r="FQ42" s="614"/>
      <c r="FR42" s="614"/>
      <c r="FS42" s="614"/>
      <c r="FT42" s="614"/>
      <c r="FU42" s="614"/>
      <c r="FV42" s="614"/>
      <c r="FW42" s="614"/>
      <c r="FX42" s="614"/>
      <c r="FY42" s="614"/>
      <c r="FZ42" s="614"/>
      <c r="GA42" s="614"/>
      <c r="GB42" s="614"/>
      <c r="GC42" s="614"/>
      <c r="GD42" s="614"/>
      <c r="GE42" s="614"/>
      <c r="GF42" s="614"/>
      <c r="GG42" s="614"/>
      <c r="GH42" s="614"/>
      <c r="GI42" s="614"/>
      <c r="GJ42" s="614"/>
      <c r="GK42" s="614"/>
      <c r="GL42" s="614"/>
      <c r="GM42" s="614"/>
      <c r="GN42" s="614"/>
      <c r="GO42" s="614"/>
      <c r="GP42" s="614"/>
      <c r="GQ42" s="614"/>
      <c r="GR42" s="614"/>
      <c r="GS42" s="614"/>
      <c r="GT42" s="614"/>
      <c r="GU42" s="614"/>
      <c r="GV42" s="614"/>
      <c r="GW42" s="614"/>
      <c r="GX42" s="614"/>
      <c r="GY42" s="614"/>
      <c r="GZ42" s="614"/>
      <c r="HA42" s="614"/>
      <c r="HB42" s="614"/>
      <c r="HC42" s="614"/>
      <c r="HD42" s="614"/>
      <c r="HE42" s="614"/>
      <c r="HF42" s="614"/>
      <c r="HG42" s="614"/>
      <c r="HH42" s="614"/>
      <c r="HI42" s="614"/>
      <c r="HJ42" s="614"/>
      <c r="HK42" s="614"/>
      <c r="HL42" s="614"/>
      <c r="HM42" s="614"/>
      <c r="HN42" s="614"/>
      <c r="HO42" s="614"/>
      <c r="HP42" s="614"/>
      <c r="HQ42" s="614"/>
      <c r="HR42" s="614"/>
    </row>
    <row r="43" spans="1:226" s="663" customFormat="1" ht="13.5" x14ac:dyDescent="0.25">
      <c r="A43" s="666"/>
      <c r="B43" s="667" t="s">
        <v>517</v>
      </c>
      <c r="C43" s="654" t="s">
        <v>499</v>
      </c>
      <c r="D43" s="654" t="s">
        <v>518</v>
      </c>
      <c r="E43" s="655">
        <v>1</v>
      </c>
      <c r="F43" s="668"/>
      <c r="G43" s="669">
        <v>900</v>
      </c>
      <c r="H43" s="658">
        <f>Table115[[#This Row],[Q]]*Table115[[#This Row],[$MXN OUT]]</f>
        <v>900</v>
      </c>
      <c r="I43" s="660">
        <f t="shared" si="0"/>
        <v>50</v>
      </c>
      <c r="J43" s="665">
        <f t="shared" si="1"/>
        <v>50</v>
      </c>
      <c r="K43" s="614"/>
      <c r="L43" s="614"/>
      <c r="M43" s="614"/>
      <c r="N43" s="614"/>
      <c r="O43" s="614"/>
      <c r="P43" s="614"/>
      <c r="Q43" s="614"/>
      <c r="R43" s="614"/>
      <c r="S43" s="614"/>
      <c r="T43" s="614"/>
      <c r="U43" s="614"/>
      <c r="V43" s="614"/>
      <c r="W43" s="614"/>
      <c r="X43" s="614"/>
      <c r="Y43" s="614"/>
      <c r="Z43" s="614"/>
      <c r="AA43" s="614"/>
      <c r="AB43" s="614"/>
      <c r="AC43" s="614"/>
      <c r="AD43" s="614"/>
      <c r="AE43" s="614"/>
      <c r="AF43" s="614"/>
      <c r="AG43" s="614"/>
      <c r="AH43" s="614"/>
      <c r="AI43" s="614"/>
      <c r="AJ43" s="614"/>
      <c r="AK43" s="614"/>
      <c r="AL43" s="614"/>
      <c r="AM43" s="614"/>
      <c r="AN43" s="614"/>
      <c r="AO43" s="614"/>
      <c r="AP43" s="614"/>
      <c r="AQ43" s="614"/>
      <c r="AR43" s="614"/>
      <c r="AS43" s="614"/>
      <c r="AT43" s="614"/>
      <c r="AU43" s="614"/>
      <c r="AV43" s="614"/>
      <c r="AW43" s="614"/>
      <c r="AX43" s="614"/>
      <c r="AY43" s="614"/>
      <c r="AZ43" s="614"/>
      <c r="BA43" s="614"/>
      <c r="BB43" s="614"/>
      <c r="BC43" s="614"/>
      <c r="BD43" s="614"/>
      <c r="BE43" s="614"/>
      <c r="BF43" s="614"/>
      <c r="BG43" s="614"/>
      <c r="BH43" s="614"/>
      <c r="BI43" s="614"/>
      <c r="BJ43" s="614"/>
      <c r="BK43" s="614"/>
      <c r="BL43" s="614"/>
      <c r="BM43" s="614"/>
      <c r="BN43" s="614"/>
      <c r="BO43" s="614"/>
      <c r="BP43" s="614"/>
      <c r="BQ43" s="614"/>
      <c r="BR43" s="614"/>
      <c r="BS43" s="614"/>
      <c r="BT43" s="614"/>
      <c r="BU43" s="614"/>
      <c r="BV43" s="614"/>
      <c r="BW43" s="614"/>
      <c r="BX43" s="614"/>
      <c r="BY43" s="614"/>
      <c r="BZ43" s="614"/>
      <c r="CA43" s="614"/>
      <c r="CB43" s="614"/>
      <c r="CC43" s="614"/>
      <c r="CD43" s="614"/>
      <c r="CE43" s="614"/>
      <c r="CF43" s="614"/>
      <c r="CG43" s="614"/>
      <c r="CH43" s="614"/>
      <c r="CI43" s="614"/>
      <c r="CJ43" s="614"/>
      <c r="CK43" s="614"/>
      <c r="CL43" s="614"/>
      <c r="CM43" s="614"/>
      <c r="CN43" s="614"/>
      <c r="CO43" s="614"/>
      <c r="CP43" s="614"/>
      <c r="CQ43" s="614"/>
      <c r="CR43" s="614"/>
      <c r="CS43" s="614"/>
      <c r="CT43" s="614"/>
      <c r="CU43" s="614"/>
      <c r="CV43" s="614"/>
      <c r="CW43" s="614"/>
      <c r="CX43" s="614"/>
      <c r="CY43" s="614"/>
      <c r="CZ43" s="614"/>
      <c r="DA43" s="614"/>
      <c r="DB43" s="614"/>
      <c r="DC43" s="614"/>
      <c r="DD43" s="614"/>
      <c r="DE43" s="614"/>
      <c r="DF43" s="614"/>
      <c r="DG43" s="614"/>
      <c r="DH43" s="614"/>
      <c r="DI43" s="614"/>
      <c r="DJ43" s="614"/>
      <c r="DK43" s="614"/>
      <c r="DL43" s="614"/>
      <c r="DM43" s="614"/>
      <c r="DN43" s="614"/>
      <c r="DO43" s="614"/>
      <c r="DP43" s="614"/>
      <c r="DQ43" s="614"/>
      <c r="DR43" s="614"/>
      <c r="DS43" s="614"/>
      <c r="DT43" s="614"/>
      <c r="DU43" s="614"/>
      <c r="DV43" s="614"/>
      <c r="DW43" s="614"/>
      <c r="DX43" s="614"/>
      <c r="DY43" s="614"/>
      <c r="DZ43" s="614"/>
      <c r="EA43" s="614"/>
      <c r="EB43" s="614"/>
      <c r="EC43" s="614"/>
      <c r="ED43" s="614"/>
      <c r="EE43" s="614"/>
      <c r="EF43" s="614"/>
      <c r="EG43" s="614"/>
      <c r="EH43" s="614"/>
      <c r="EI43" s="614"/>
      <c r="EJ43" s="614"/>
      <c r="EK43" s="614"/>
      <c r="EL43" s="614"/>
      <c r="EM43" s="614"/>
      <c r="EN43" s="614"/>
      <c r="EO43" s="614"/>
      <c r="EP43" s="614"/>
      <c r="EQ43" s="614"/>
      <c r="ER43" s="614"/>
      <c r="ES43" s="614"/>
      <c r="ET43" s="614"/>
      <c r="EU43" s="614"/>
      <c r="EV43" s="614"/>
      <c r="EW43" s="614"/>
      <c r="EX43" s="614"/>
      <c r="EY43" s="614"/>
      <c r="EZ43" s="614"/>
      <c r="FA43" s="614"/>
      <c r="FB43" s="614"/>
      <c r="FC43" s="614"/>
      <c r="FD43" s="614"/>
      <c r="FE43" s="614"/>
      <c r="FF43" s="614"/>
      <c r="FG43" s="614"/>
      <c r="FH43" s="614"/>
      <c r="FI43" s="614"/>
      <c r="FJ43" s="614"/>
      <c r="FK43" s="614"/>
      <c r="FL43" s="614"/>
      <c r="FM43" s="614"/>
      <c r="FN43" s="614"/>
      <c r="FO43" s="614"/>
      <c r="FP43" s="614"/>
      <c r="FQ43" s="614"/>
      <c r="FR43" s="614"/>
      <c r="FS43" s="614"/>
      <c r="FT43" s="614"/>
      <c r="FU43" s="614"/>
      <c r="FV43" s="614"/>
      <c r="FW43" s="614"/>
      <c r="FX43" s="614"/>
      <c r="FY43" s="614"/>
      <c r="FZ43" s="614"/>
      <c r="GA43" s="614"/>
      <c r="GB43" s="614"/>
      <c r="GC43" s="614"/>
      <c r="GD43" s="614"/>
      <c r="GE43" s="614"/>
      <c r="GF43" s="614"/>
      <c r="GG43" s="614"/>
      <c r="GH43" s="614"/>
      <c r="GI43" s="614"/>
      <c r="GJ43" s="614"/>
      <c r="GK43" s="614"/>
      <c r="GL43" s="614"/>
      <c r="GM43" s="614"/>
      <c r="GN43" s="614"/>
      <c r="GO43" s="614"/>
      <c r="GP43" s="614"/>
      <c r="GQ43" s="614"/>
      <c r="GR43" s="614"/>
      <c r="GS43" s="614"/>
      <c r="GT43" s="614"/>
      <c r="GU43" s="614"/>
      <c r="GV43" s="614"/>
      <c r="GW43" s="614"/>
      <c r="GX43" s="614"/>
      <c r="GY43" s="614"/>
      <c r="GZ43" s="614"/>
      <c r="HA43" s="614"/>
      <c r="HB43" s="614"/>
      <c r="HC43" s="614"/>
      <c r="HD43" s="614"/>
      <c r="HE43" s="614"/>
      <c r="HF43" s="614"/>
      <c r="HG43" s="614"/>
      <c r="HH43" s="614"/>
      <c r="HI43" s="614"/>
      <c r="HJ43" s="614"/>
      <c r="HK43" s="614"/>
      <c r="HL43" s="614"/>
      <c r="HM43" s="614"/>
      <c r="HN43" s="614"/>
      <c r="HO43" s="614"/>
      <c r="HP43" s="614"/>
      <c r="HQ43" s="614"/>
      <c r="HR43" s="614"/>
    </row>
    <row r="44" spans="1:226" s="663" customFormat="1" ht="13.5" x14ac:dyDescent="0.25">
      <c r="A44" s="666"/>
      <c r="B44" s="667" t="s">
        <v>475</v>
      </c>
      <c r="C44" s="654" t="s">
        <v>499</v>
      </c>
      <c r="D44" s="654" t="s">
        <v>500</v>
      </c>
      <c r="E44" s="655">
        <v>6</v>
      </c>
      <c r="F44" s="668"/>
      <c r="G44" s="669">
        <v>1300</v>
      </c>
      <c r="H44" s="658">
        <f>Table115[[#This Row],[Q]]*Table115[[#This Row],[$MXN OUT]]</f>
        <v>7800</v>
      </c>
      <c r="I44" s="660">
        <f t="shared" si="0"/>
        <v>72.222222222222229</v>
      </c>
      <c r="J44" s="665">
        <f t="shared" si="1"/>
        <v>433.33333333333337</v>
      </c>
      <c r="K44" s="614"/>
      <c r="L44" s="614"/>
      <c r="M44" s="614"/>
      <c r="N44" s="614"/>
      <c r="O44" s="614"/>
      <c r="P44" s="614"/>
      <c r="Q44" s="614"/>
      <c r="R44" s="614"/>
      <c r="S44" s="614"/>
      <c r="T44" s="614"/>
      <c r="U44" s="614"/>
      <c r="V44" s="614"/>
      <c r="W44" s="614"/>
      <c r="X44" s="614"/>
      <c r="Y44" s="614"/>
      <c r="Z44" s="614"/>
      <c r="AA44" s="614"/>
      <c r="AB44" s="614"/>
      <c r="AC44" s="614"/>
      <c r="AD44" s="614"/>
      <c r="AE44" s="614"/>
      <c r="AF44" s="614"/>
      <c r="AG44" s="614"/>
      <c r="AH44" s="614"/>
      <c r="AI44" s="614"/>
      <c r="AJ44" s="614"/>
      <c r="AK44" s="614"/>
      <c r="AL44" s="614"/>
      <c r="AM44" s="614"/>
      <c r="AN44" s="614"/>
      <c r="AO44" s="614"/>
      <c r="AP44" s="614"/>
      <c r="AQ44" s="614"/>
      <c r="AR44" s="614"/>
      <c r="AS44" s="614"/>
      <c r="AT44" s="614"/>
      <c r="AU44" s="614"/>
      <c r="AV44" s="614"/>
      <c r="AW44" s="614"/>
      <c r="AX44" s="614"/>
      <c r="AY44" s="614"/>
      <c r="AZ44" s="614"/>
      <c r="BA44" s="614"/>
      <c r="BB44" s="614"/>
      <c r="BC44" s="614"/>
      <c r="BD44" s="614"/>
      <c r="BE44" s="614"/>
      <c r="BF44" s="614"/>
      <c r="BG44" s="614"/>
      <c r="BH44" s="614"/>
      <c r="BI44" s="614"/>
      <c r="BJ44" s="614"/>
      <c r="BK44" s="614"/>
      <c r="BL44" s="614"/>
      <c r="BM44" s="614"/>
      <c r="BN44" s="614"/>
      <c r="BO44" s="614"/>
      <c r="BP44" s="614"/>
      <c r="BQ44" s="614"/>
      <c r="BR44" s="614"/>
      <c r="BS44" s="614"/>
      <c r="BT44" s="614"/>
      <c r="BU44" s="614"/>
      <c r="BV44" s="614"/>
      <c r="BW44" s="614"/>
      <c r="BX44" s="614"/>
      <c r="BY44" s="614"/>
      <c r="BZ44" s="614"/>
      <c r="CA44" s="614"/>
      <c r="CB44" s="614"/>
      <c r="CC44" s="614"/>
      <c r="CD44" s="614"/>
      <c r="CE44" s="614"/>
      <c r="CF44" s="614"/>
      <c r="CG44" s="614"/>
      <c r="CH44" s="614"/>
      <c r="CI44" s="614"/>
      <c r="CJ44" s="614"/>
      <c r="CK44" s="614"/>
      <c r="CL44" s="614"/>
      <c r="CM44" s="614"/>
      <c r="CN44" s="614"/>
      <c r="CO44" s="614"/>
      <c r="CP44" s="614"/>
      <c r="CQ44" s="614"/>
      <c r="CR44" s="614"/>
      <c r="CS44" s="614"/>
      <c r="CT44" s="614"/>
      <c r="CU44" s="614"/>
      <c r="CV44" s="614"/>
      <c r="CW44" s="614"/>
      <c r="CX44" s="614"/>
      <c r="CY44" s="614"/>
      <c r="CZ44" s="614"/>
      <c r="DA44" s="614"/>
      <c r="DB44" s="614"/>
      <c r="DC44" s="614"/>
      <c r="DD44" s="614"/>
      <c r="DE44" s="614"/>
      <c r="DF44" s="614"/>
      <c r="DG44" s="614"/>
      <c r="DH44" s="614"/>
      <c r="DI44" s="614"/>
      <c r="DJ44" s="614"/>
      <c r="DK44" s="614"/>
      <c r="DL44" s="614"/>
      <c r="DM44" s="614"/>
      <c r="DN44" s="614"/>
      <c r="DO44" s="614"/>
      <c r="DP44" s="614"/>
      <c r="DQ44" s="614"/>
      <c r="DR44" s="614"/>
      <c r="DS44" s="614"/>
      <c r="DT44" s="614"/>
      <c r="DU44" s="614"/>
      <c r="DV44" s="614"/>
      <c r="DW44" s="614"/>
      <c r="DX44" s="614"/>
      <c r="DY44" s="614"/>
      <c r="DZ44" s="614"/>
      <c r="EA44" s="614"/>
      <c r="EB44" s="614"/>
      <c r="EC44" s="614"/>
      <c r="ED44" s="614"/>
      <c r="EE44" s="614"/>
      <c r="EF44" s="614"/>
      <c r="EG44" s="614"/>
      <c r="EH44" s="614"/>
      <c r="EI44" s="614"/>
      <c r="EJ44" s="614"/>
      <c r="EK44" s="614"/>
      <c r="EL44" s="614"/>
      <c r="EM44" s="614"/>
      <c r="EN44" s="614"/>
      <c r="EO44" s="614"/>
      <c r="EP44" s="614"/>
      <c r="EQ44" s="614"/>
      <c r="ER44" s="614"/>
      <c r="ES44" s="614"/>
      <c r="ET44" s="614"/>
      <c r="EU44" s="614"/>
      <c r="EV44" s="614"/>
      <c r="EW44" s="614"/>
      <c r="EX44" s="614"/>
      <c r="EY44" s="614"/>
      <c r="EZ44" s="614"/>
      <c r="FA44" s="614"/>
      <c r="FB44" s="614"/>
      <c r="FC44" s="614"/>
      <c r="FD44" s="614"/>
      <c r="FE44" s="614"/>
      <c r="FF44" s="614"/>
      <c r="FG44" s="614"/>
      <c r="FH44" s="614"/>
      <c r="FI44" s="614"/>
      <c r="FJ44" s="614"/>
      <c r="FK44" s="614"/>
      <c r="FL44" s="614"/>
      <c r="FM44" s="614"/>
      <c r="FN44" s="614"/>
      <c r="FO44" s="614"/>
      <c r="FP44" s="614"/>
      <c r="FQ44" s="614"/>
      <c r="FR44" s="614"/>
      <c r="FS44" s="614"/>
      <c r="FT44" s="614"/>
      <c r="FU44" s="614"/>
      <c r="FV44" s="614"/>
      <c r="FW44" s="614"/>
      <c r="FX44" s="614"/>
      <c r="FY44" s="614"/>
      <c r="FZ44" s="614"/>
      <c r="GA44" s="614"/>
      <c r="GB44" s="614"/>
      <c r="GC44" s="614"/>
      <c r="GD44" s="614"/>
      <c r="GE44" s="614"/>
      <c r="GF44" s="614"/>
      <c r="GG44" s="614"/>
      <c r="GH44" s="614"/>
      <c r="GI44" s="614"/>
      <c r="GJ44" s="614"/>
      <c r="GK44" s="614"/>
      <c r="GL44" s="614"/>
      <c r="GM44" s="614"/>
      <c r="GN44" s="614"/>
      <c r="GO44" s="614"/>
      <c r="GP44" s="614"/>
      <c r="GQ44" s="614"/>
      <c r="GR44" s="614"/>
      <c r="GS44" s="614"/>
      <c r="GT44" s="614"/>
      <c r="GU44" s="614"/>
      <c r="GV44" s="614"/>
      <c r="GW44" s="614"/>
      <c r="GX44" s="614"/>
      <c r="GY44" s="614"/>
      <c r="GZ44" s="614"/>
      <c r="HA44" s="614"/>
      <c r="HB44" s="614"/>
      <c r="HC44" s="614"/>
      <c r="HD44" s="614"/>
      <c r="HE44" s="614"/>
      <c r="HF44" s="614"/>
      <c r="HG44" s="614"/>
      <c r="HH44" s="614"/>
      <c r="HI44" s="614"/>
      <c r="HJ44" s="614"/>
      <c r="HK44" s="614"/>
      <c r="HL44" s="614"/>
      <c r="HM44" s="614"/>
      <c r="HN44" s="614"/>
      <c r="HO44" s="614"/>
      <c r="HP44" s="614"/>
      <c r="HQ44" s="614"/>
      <c r="HR44" s="614"/>
    </row>
    <row r="45" spans="1:226" s="663" customFormat="1" ht="13.5" x14ac:dyDescent="0.25">
      <c r="A45" s="666"/>
      <c r="B45" s="667" t="s">
        <v>475</v>
      </c>
      <c r="C45" s="654" t="s">
        <v>499</v>
      </c>
      <c r="D45" s="654" t="s">
        <v>500</v>
      </c>
      <c r="E45" s="655">
        <v>8</v>
      </c>
      <c r="F45" s="668"/>
      <c r="G45" s="669">
        <v>900</v>
      </c>
      <c r="H45" s="658">
        <f>Table115[[#This Row],[Q]]*Table115[[#This Row],[$MXN OUT]]</f>
        <v>7200</v>
      </c>
      <c r="I45" s="660">
        <f t="shared" si="0"/>
        <v>50</v>
      </c>
      <c r="J45" s="665">
        <f t="shared" si="1"/>
        <v>400</v>
      </c>
      <c r="K45" s="614"/>
      <c r="L45" s="614"/>
      <c r="M45" s="614"/>
      <c r="N45" s="614"/>
      <c r="O45" s="614"/>
      <c r="P45" s="614"/>
      <c r="Q45" s="614"/>
      <c r="R45" s="614"/>
      <c r="S45" s="614"/>
      <c r="T45" s="614"/>
      <c r="U45" s="614"/>
      <c r="V45" s="614"/>
      <c r="W45" s="614"/>
      <c r="X45" s="614"/>
      <c r="Y45" s="614"/>
      <c r="Z45" s="614"/>
      <c r="AA45" s="614"/>
      <c r="AB45" s="614"/>
      <c r="AC45" s="614"/>
      <c r="AD45" s="614"/>
      <c r="AE45" s="614"/>
      <c r="AF45" s="614"/>
      <c r="AG45" s="614"/>
      <c r="AH45" s="614"/>
      <c r="AI45" s="614"/>
      <c r="AJ45" s="614"/>
      <c r="AK45" s="614"/>
      <c r="AL45" s="614"/>
      <c r="AM45" s="614"/>
      <c r="AN45" s="614"/>
      <c r="AO45" s="614"/>
      <c r="AP45" s="614"/>
      <c r="AQ45" s="614"/>
      <c r="AR45" s="614"/>
      <c r="AS45" s="614"/>
      <c r="AT45" s="614"/>
      <c r="AU45" s="614"/>
      <c r="AV45" s="614"/>
      <c r="AW45" s="614"/>
      <c r="AX45" s="614"/>
      <c r="AY45" s="614"/>
      <c r="AZ45" s="614"/>
      <c r="BA45" s="614"/>
      <c r="BB45" s="614"/>
      <c r="BC45" s="614"/>
      <c r="BD45" s="614"/>
      <c r="BE45" s="614"/>
      <c r="BF45" s="614"/>
      <c r="BG45" s="614"/>
      <c r="BH45" s="614"/>
      <c r="BI45" s="614"/>
      <c r="BJ45" s="614"/>
      <c r="BK45" s="614"/>
      <c r="BL45" s="614"/>
      <c r="BM45" s="614"/>
      <c r="BN45" s="614"/>
      <c r="BO45" s="614"/>
      <c r="BP45" s="614"/>
      <c r="BQ45" s="614"/>
      <c r="BR45" s="614"/>
      <c r="BS45" s="614"/>
      <c r="BT45" s="614"/>
      <c r="BU45" s="614"/>
      <c r="BV45" s="614"/>
      <c r="BW45" s="614"/>
      <c r="BX45" s="614"/>
      <c r="BY45" s="614"/>
      <c r="BZ45" s="614"/>
      <c r="CA45" s="614"/>
      <c r="CB45" s="614"/>
      <c r="CC45" s="614"/>
      <c r="CD45" s="614"/>
      <c r="CE45" s="614"/>
      <c r="CF45" s="614"/>
      <c r="CG45" s="614"/>
      <c r="CH45" s="614"/>
      <c r="CI45" s="614"/>
      <c r="CJ45" s="614"/>
      <c r="CK45" s="614"/>
      <c r="CL45" s="614"/>
      <c r="CM45" s="614"/>
      <c r="CN45" s="614"/>
      <c r="CO45" s="614"/>
      <c r="CP45" s="614"/>
      <c r="CQ45" s="614"/>
      <c r="CR45" s="614"/>
      <c r="CS45" s="614"/>
      <c r="CT45" s="614"/>
      <c r="CU45" s="614"/>
      <c r="CV45" s="614"/>
      <c r="CW45" s="614"/>
      <c r="CX45" s="614"/>
      <c r="CY45" s="614"/>
      <c r="CZ45" s="614"/>
      <c r="DA45" s="614"/>
      <c r="DB45" s="614"/>
      <c r="DC45" s="614"/>
      <c r="DD45" s="614"/>
      <c r="DE45" s="614"/>
      <c r="DF45" s="614"/>
      <c r="DG45" s="614"/>
      <c r="DH45" s="614"/>
      <c r="DI45" s="614"/>
      <c r="DJ45" s="614"/>
      <c r="DK45" s="614"/>
      <c r="DL45" s="614"/>
      <c r="DM45" s="614"/>
      <c r="DN45" s="614"/>
      <c r="DO45" s="614"/>
      <c r="DP45" s="614"/>
      <c r="DQ45" s="614"/>
      <c r="DR45" s="614"/>
      <c r="DS45" s="614"/>
      <c r="DT45" s="614"/>
      <c r="DU45" s="614"/>
      <c r="DV45" s="614"/>
      <c r="DW45" s="614"/>
      <c r="DX45" s="614"/>
      <c r="DY45" s="614"/>
      <c r="DZ45" s="614"/>
      <c r="EA45" s="614"/>
      <c r="EB45" s="614"/>
      <c r="EC45" s="614"/>
      <c r="ED45" s="614"/>
      <c r="EE45" s="614"/>
      <c r="EF45" s="614"/>
      <c r="EG45" s="614"/>
      <c r="EH45" s="614"/>
      <c r="EI45" s="614"/>
      <c r="EJ45" s="614"/>
      <c r="EK45" s="614"/>
      <c r="EL45" s="614"/>
      <c r="EM45" s="614"/>
      <c r="EN45" s="614"/>
      <c r="EO45" s="614"/>
      <c r="EP45" s="614"/>
      <c r="EQ45" s="614"/>
      <c r="ER45" s="614"/>
      <c r="ES45" s="614"/>
      <c r="ET45" s="614"/>
      <c r="EU45" s="614"/>
      <c r="EV45" s="614"/>
      <c r="EW45" s="614"/>
      <c r="EX45" s="614"/>
      <c r="EY45" s="614"/>
      <c r="EZ45" s="614"/>
      <c r="FA45" s="614"/>
      <c r="FB45" s="614"/>
      <c r="FC45" s="614"/>
      <c r="FD45" s="614"/>
      <c r="FE45" s="614"/>
      <c r="FF45" s="614"/>
      <c r="FG45" s="614"/>
      <c r="FH45" s="614"/>
      <c r="FI45" s="614"/>
      <c r="FJ45" s="614"/>
      <c r="FK45" s="614"/>
      <c r="FL45" s="614"/>
      <c r="FM45" s="614"/>
      <c r="FN45" s="614"/>
      <c r="FO45" s="614"/>
      <c r="FP45" s="614"/>
      <c r="FQ45" s="614"/>
      <c r="FR45" s="614"/>
      <c r="FS45" s="614"/>
      <c r="FT45" s="614"/>
      <c r="FU45" s="614"/>
      <c r="FV45" s="614"/>
      <c r="FW45" s="614"/>
      <c r="FX45" s="614"/>
      <c r="FY45" s="614"/>
      <c r="FZ45" s="614"/>
      <c r="GA45" s="614"/>
      <c r="GB45" s="614"/>
      <c r="GC45" s="614"/>
      <c r="GD45" s="614"/>
      <c r="GE45" s="614"/>
      <c r="GF45" s="614"/>
      <c r="GG45" s="614"/>
      <c r="GH45" s="614"/>
      <c r="GI45" s="614"/>
      <c r="GJ45" s="614"/>
      <c r="GK45" s="614"/>
      <c r="GL45" s="614"/>
      <c r="GM45" s="614"/>
      <c r="GN45" s="614"/>
      <c r="GO45" s="614"/>
      <c r="GP45" s="614"/>
      <c r="GQ45" s="614"/>
      <c r="GR45" s="614"/>
      <c r="GS45" s="614"/>
      <c r="GT45" s="614"/>
      <c r="GU45" s="614"/>
      <c r="GV45" s="614"/>
      <c r="GW45" s="614"/>
      <c r="GX45" s="614"/>
      <c r="GY45" s="614"/>
      <c r="GZ45" s="614"/>
      <c r="HA45" s="614"/>
      <c r="HB45" s="614"/>
      <c r="HC45" s="614"/>
      <c r="HD45" s="614"/>
      <c r="HE45" s="614"/>
      <c r="HF45" s="614"/>
      <c r="HG45" s="614"/>
      <c r="HH45" s="614"/>
      <c r="HI45" s="614"/>
      <c r="HJ45" s="614"/>
      <c r="HK45" s="614"/>
      <c r="HL45" s="614"/>
      <c r="HM45" s="614"/>
      <c r="HN45" s="614"/>
      <c r="HO45" s="614"/>
      <c r="HP45" s="614"/>
      <c r="HQ45" s="614"/>
      <c r="HR45" s="614"/>
    </row>
    <row r="46" spans="1:226" s="663" customFormat="1" ht="13.5" x14ac:dyDescent="0.25">
      <c r="A46" s="666"/>
      <c r="B46" s="667" t="s">
        <v>488</v>
      </c>
      <c r="C46" s="654" t="s">
        <v>511</v>
      </c>
      <c r="D46" s="654" t="s">
        <v>519</v>
      </c>
      <c r="E46" s="655">
        <v>1</v>
      </c>
      <c r="F46" s="668"/>
      <c r="G46" s="669">
        <v>12000</v>
      </c>
      <c r="H46" s="658">
        <f>Table115[[#This Row],[Q]]*Table115[[#This Row],[$MXN OUT]]</f>
        <v>12000</v>
      </c>
      <c r="I46" s="660">
        <f t="shared" si="0"/>
        <v>666.66666666666663</v>
      </c>
      <c r="J46" s="665">
        <f t="shared" si="1"/>
        <v>666.66666666666663</v>
      </c>
      <c r="K46" s="614"/>
      <c r="L46" s="614"/>
      <c r="M46" s="614"/>
      <c r="N46" s="614"/>
      <c r="O46" s="614"/>
      <c r="P46" s="614"/>
      <c r="Q46" s="614"/>
      <c r="R46" s="614"/>
      <c r="S46" s="614"/>
      <c r="T46" s="614"/>
      <c r="U46" s="614"/>
      <c r="V46" s="614"/>
      <c r="W46" s="614"/>
      <c r="X46" s="614"/>
      <c r="Y46" s="614"/>
      <c r="Z46" s="614"/>
      <c r="AA46" s="614"/>
      <c r="AB46" s="614"/>
      <c r="AC46" s="614"/>
      <c r="AD46" s="614"/>
      <c r="AE46" s="614"/>
      <c r="AF46" s="614"/>
      <c r="AG46" s="614"/>
      <c r="AH46" s="614"/>
      <c r="AI46" s="614"/>
      <c r="AJ46" s="614"/>
      <c r="AK46" s="614"/>
      <c r="AL46" s="614"/>
      <c r="AM46" s="614"/>
      <c r="AN46" s="614"/>
      <c r="AO46" s="614"/>
      <c r="AP46" s="614"/>
      <c r="AQ46" s="614"/>
      <c r="AR46" s="614"/>
      <c r="AS46" s="614"/>
      <c r="AT46" s="614"/>
      <c r="AU46" s="614"/>
      <c r="AV46" s="614"/>
      <c r="AW46" s="614"/>
      <c r="AX46" s="614"/>
      <c r="AY46" s="614"/>
      <c r="AZ46" s="614"/>
      <c r="BA46" s="614"/>
      <c r="BB46" s="614"/>
      <c r="BC46" s="614"/>
      <c r="BD46" s="614"/>
      <c r="BE46" s="614"/>
      <c r="BF46" s="614"/>
      <c r="BG46" s="614"/>
      <c r="BH46" s="614"/>
      <c r="BI46" s="614"/>
      <c r="BJ46" s="614"/>
      <c r="BK46" s="614"/>
      <c r="BL46" s="614"/>
      <c r="BM46" s="614"/>
      <c r="BN46" s="614"/>
      <c r="BO46" s="614"/>
      <c r="BP46" s="614"/>
      <c r="BQ46" s="614"/>
      <c r="BR46" s="614"/>
      <c r="BS46" s="614"/>
      <c r="BT46" s="614"/>
      <c r="BU46" s="614"/>
      <c r="BV46" s="614"/>
      <c r="BW46" s="614"/>
      <c r="BX46" s="614"/>
      <c r="BY46" s="614"/>
      <c r="BZ46" s="614"/>
      <c r="CA46" s="614"/>
      <c r="CB46" s="614"/>
      <c r="CC46" s="614"/>
      <c r="CD46" s="614"/>
      <c r="CE46" s="614"/>
      <c r="CF46" s="614"/>
      <c r="CG46" s="614"/>
      <c r="CH46" s="614"/>
      <c r="CI46" s="614"/>
      <c r="CJ46" s="614"/>
      <c r="CK46" s="614"/>
      <c r="CL46" s="614"/>
      <c r="CM46" s="614"/>
      <c r="CN46" s="614"/>
      <c r="CO46" s="614"/>
      <c r="CP46" s="614"/>
      <c r="CQ46" s="614"/>
      <c r="CR46" s="614"/>
      <c r="CS46" s="614"/>
      <c r="CT46" s="614"/>
      <c r="CU46" s="614"/>
      <c r="CV46" s="614"/>
      <c r="CW46" s="614"/>
      <c r="CX46" s="614"/>
      <c r="CY46" s="614"/>
      <c r="CZ46" s="614"/>
      <c r="DA46" s="614"/>
      <c r="DB46" s="614"/>
      <c r="DC46" s="614"/>
      <c r="DD46" s="614"/>
      <c r="DE46" s="614"/>
      <c r="DF46" s="614"/>
      <c r="DG46" s="614"/>
      <c r="DH46" s="614"/>
      <c r="DI46" s="614"/>
      <c r="DJ46" s="614"/>
      <c r="DK46" s="614"/>
      <c r="DL46" s="614"/>
      <c r="DM46" s="614"/>
      <c r="DN46" s="614"/>
      <c r="DO46" s="614"/>
      <c r="DP46" s="614"/>
      <c r="DQ46" s="614"/>
      <c r="DR46" s="614"/>
      <c r="DS46" s="614"/>
      <c r="DT46" s="614"/>
      <c r="DU46" s="614"/>
      <c r="DV46" s="614"/>
      <c r="DW46" s="614"/>
      <c r="DX46" s="614"/>
      <c r="DY46" s="614"/>
      <c r="DZ46" s="614"/>
      <c r="EA46" s="614"/>
      <c r="EB46" s="614"/>
      <c r="EC46" s="614"/>
      <c r="ED46" s="614"/>
      <c r="EE46" s="614"/>
      <c r="EF46" s="614"/>
      <c r="EG46" s="614"/>
      <c r="EH46" s="614"/>
      <c r="EI46" s="614"/>
      <c r="EJ46" s="614"/>
      <c r="EK46" s="614"/>
      <c r="EL46" s="614"/>
      <c r="EM46" s="614"/>
      <c r="EN46" s="614"/>
      <c r="EO46" s="614"/>
      <c r="EP46" s="614"/>
      <c r="EQ46" s="614"/>
      <c r="ER46" s="614"/>
      <c r="ES46" s="614"/>
      <c r="ET46" s="614"/>
      <c r="EU46" s="614"/>
      <c r="EV46" s="614"/>
      <c r="EW46" s="614"/>
      <c r="EX46" s="614"/>
      <c r="EY46" s="614"/>
      <c r="EZ46" s="614"/>
      <c r="FA46" s="614"/>
      <c r="FB46" s="614"/>
      <c r="FC46" s="614"/>
      <c r="FD46" s="614"/>
      <c r="FE46" s="614"/>
      <c r="FF46" s="614"/>
      <c r="FG46" s="614"/>
      <c r="FH46" s="614"/>
      <c r="FI46" s="614"/>
      <c r="FJ46" s="614"/>
      <c r="FK46" s="614"/>
      <c r="FL46" s="614"/>
      <c r="FM46" s="614"/>
      <c r="FN46" s="614"/>
      <c r="FO46" s="614"/>
      <c r="FP46" s="614"/>
      <c r="FQ46" s="614"/>
      <c r="FR46" s="614"/>
      <c r="FS46" s="614"/>
      <c r="FT46" s="614"/>
      <c r="FU46" s="614"/>
      <c r="FV46" s="614"/>
      <c r="FW46" s="614"/>
      <c r="FX46" s="614"/>
      <c r="FY46" s="614"/>
      <c r="FZ46" s="614"/>
      <c r="GA46" s="614"/>
      <c r="GB46" s="614"/>
      <c r="GC46" s="614"/>
      <c r="GD46" s="614"/>
      <c r="GE46" s="614"/>
      <c r="GF46" s="614"/>
      <c r="GG46" s="614"/>
      <c r="GH46" s="614"/>
      <c r="GI46" s="614"/>
      <c r="GJ46" s="614"/>
      <c r="GK46" s="614"/>
      <c r="GL46" s="614"/>
      <c r="GM46" s="614"/>
      <c r="GN46" s="614"/>
      <c r="GO46" s="614"/>
      <c r="GP46" s="614"/>
      <c r="GQ46" s="614"/>
      <c r="GR46" s="614"/>
      <c r="GS46" s="614"/>
      <c r="GT46" s="614"/>
      <c r="GU46" s="614"/>
      <c r="GV46" s="614"/>
      <c r="GW46" s="614"/>
      <c r="GX46" s="614"/>
      <c r="GY46" s="614"/>
      <c r="GZ46" s="614"/>
      <c r="HA46" s="614"/>
      <c r="HB46" s="614"/>
      <c r="HC46" s="614"/>
      <c r="HD46" s="614"/>
      <c r="HE46" s="614"/>
      <c r="HF46" s="614"/>
      <c r="HG46" s="614"/>
      <c r="HH46" s="614"/>
      <c r="HI46" s="614"/>
      <c r="HJ46" s="614"/>
      <c r="HK46" s="614"/>
      <c r="HL46" s="614"/>
      <c r="HM46" s="614"/>
      <c r="HN46" s="614"/>
      <c r="HO46" s="614"/>
      <c r="HP46" s="614"/>
      <c r="HQ46" s="614"/>
      <c r="HR46" s="614"/>
    </row>
    <row r="47" spans="1:226" s="663" customFormat="1" ht="13.5" x14ac:dyDescent="0.25">
      <c r="A47" s="666"/>
      <c r="B47" s="667" t="s">
        <v>510</v>
      </c>
      <c r="C47" s="654" t="s">
        <v>511</v>
      </c>
      <c r="D47" s="654" t="s">
        <v>519</v>
      </c>
      <c r="E47" s="655">
        <v>1</v>
      </c>
      <c r="F47" s="668"/>
      <c r="G47" s="669">
        <v>7000</v>
      </c>
      <c r="H47" s="658">
        <f>Table115[[#This Row],[Q]]*Table115[[#This Row],[$MXN OUT]]</f>
        <v>7000</v>
      </c>
      <c r="I47" s="660">
        <f t="shared" si="0"/>
        <v>388.88888888888891</v>
      </c>
      <c r="J47" s="665">
        <f t="shared" si="1"/>
        <v>388.88888888888891</v>
      </c>
      <c r="K47" s="614"/>
      <c r="L47" s="614"/>
      <c r="M47" s="614"/>
      <c r="N47" s="614"/>
      <c r="O47" s="614"/>
      <c r="P47" s="614"/>
      <c r="Q47" s="614"/>
      <c r="R47" s="614"/>
      <c r="S47" s="614"/>
      <c r="T47" s="614"/>
      <c r="U47" s="614"/>
      <c r="V47" s="614"/>
      <c r="W47" s="614"/>
      <c r="X47" s="614"/>
      <c r="Y47" s="614"/>
      <c r="Z47" s="614"/>
      <c r="AA47" s="614"/>
      <c r="AB47" s="614"/>
      <c r="AC47" s="614"/>
      <c r="AD47" s="614"/>
      <c r="AE47" s="614"/>
      <c r="AF47" s="614"/>
      <c r="AG47" s="614"/>
      <c r="AH47" s="614"/>
      <c r="AI47" s="614"/>
      <c r="AJ47" s="614"/>
      <c r="AK47" s="614"/>
      <c r="AL47" s="614"/>
      <c r="AM47" s="614"/>
      <c r="AN47" s="614"/>
      <c r="AO47" s="614"/>
      <c r="AP47" s="614"/>
      <c r="AQ47" s="614"/>
      <c r="AR47" s="614"/>
      <c r="AS47" s="614"/>
      <c r="AT47" s="614"/>
      <c r="AU47" s="614"/>
      <c r="AV47" s="614"/>
      <c r="AW47" s="614"/>
      <c r="AX47" s="614"/>
      <c r="AY47" s="614"/>
      <c r="AZ47" s="614"/>
      <c r="BA47" s="614"/>
      <c r="BB47" s="614"/>
      <c r="BC47" s="614"/>
      <c r="BD47" s="614"/>
      <c r="BE47" s="614"/>
      <c r="BF47" s="614"/>
      <c r="BG47" s="614"/>
      <c r="BH47" s="614"/>
      <c r="BI47" s="614"/>
      <c r="BJ47" s="614"/>
      <c r="BK47" s="614"/>
      <c r="BL47" s="614"/>
      <c r="BM47" s="614"/>
      <c r="BN47" s="614"/>
      <c r="BO47" s="614"/>
      <c r="BP47" s="614"/>
      <c r="BQ47" s="614"/>
      <c r="BR47" s="614"/>
      <c r="BS47" s="614"/>
      <c r="BT47" s="614"/>
      <c r="BU47" s="614"/>
      <c r="BV47" s="614"/>
      <c r="BW47" s="614"/>
      <c r="BX47" s="614"/>
      <c r="BY47" s="614"/>
      <c r="BZ47" s="614"/>
      <c r="CA47" s="614"/>
      <c r="CB47" s="614"/>
      <c r="CC47" s="614"/>
      <c r="CD47" s="614"/>
      <c r="CE47" s="614"/>
      <c r="CF47" s="614"/>
      <c r="CG47" s="614"/>
      <c r="CH47" s="614"/>
      <c r="CI47" s="614"/>
      <c r="CJ47" s="614"/>
      <c r="CK47" s="614"/>
      <c r="CL47" s="614"/>
      <c r="CM47" s="614"/>
      <c r="CN47" s="614"/>
      <c r="CO47" s="614"/>
      <c r="CP47" s="614"/>
      <c r="CQ47" s="614"/>
      <c r="CR47" s="614"/>
      <c r="CS47" s="614"/>
      <c r="CT47" s="614"/>
      <c r="CU47" s="614"/>
      <c r="CV47" s="614"/>
      <c r="CW47" s="614"/>
      <c r="CX47" s="614"/>
      <c r="CY47" s="614"/>
      <c r="CZ47" s="614"/>
      <c r="DA47" s="614"/>
      <c r="DB47" s="614"/>
      <c r="DC47" s="614"/>
      <c r="DD47" s="614"/>
      <c r="DE47" s="614"/>
      <c r="DF47" s="614"/>
      <c r="DG47" s="614"/>
      <c r="DH47" s="614"/>
      <c r="DI47" s="614"/>
      <c r="DJ47" s="614"/>
      <c r="DK47" s="614"/>
      <c r="DL47" s="614"/>
      <c r="DM47" s="614"/>
      <c r="DN47" s="614"/>
      <c r="DO47" s="614"/>
      <c r="DP47" s="614"/>
      <c r="DQ47" s="614"/>
      <c r="DR47" s="614"/>
      <c r="DS47" s="614"/>
      <c r="DT47" s="614"/>
      <c r="DU47" s="614"/>
      <c r="DV47" s="614"/>
      <c r="DW47" s="614"/>
      <c r="DX47" s="614"/>
      <c r="DY47" s="614"/>
      <c r="DZ47" s="614"/>
      <c r="EA47" s="614"/>
      <c r="EB47" s="614"/>
      <c r="EC47" s="614"/>
      <c r="ED47" s="614"/>
      <c r="EE47" s="614"/>
      <c r="EF47" s="614"/>
      <c r="EG47" s="614"/>
      <c r="EH47" s="614"/>
      <c r="EI47" s="614"/>
      <c r="EJ47" s="614"/>
      <c r="EK47" s="614"/>
      <c r="EL47" s="614"/>
      <c r="EM47" s="614"/>
      <c r="EN47" s="614"/>
      <c r="EO47" s="614"/>
      <c r="EP47" s="614"/>
      <c r="EQ47" s="614"/>
      <c r="ER47" s="614"/>
      <c r="ES47" s="614"/>
      <c r="ET47" s="614"/>
      <c r="EU47" s="614"/>
      <c r="EV47" s="614"/>
      <c r="EW47" s="614"/>
      <c r="EX47" s="614"/>
      <c r="EY47" s="614"/>
      <c r="EZ47" s="614"/>
      <c r="FA47" s="614"/>
      <c r="FB47" s="614"/>
      <c r="FC47" s="614"/>
      <c r="FD47" s="614"/>
      <c r="FE47" s="614"/>
      <c r="FF47" s="614"/>
      <c r="FG47" s="614"/>
      <c r="FH47" s="614"/>
      <c r="FI47" s="614"/>
      <c r="FJ47" s="614"/>
      <c r="FK47" s="614"/>
      <c r="FL47" s="614"/>
      <c r="FM47" s="614"/>
      <c r="FN47" s="614"/>
      <c r="FO47" s="614"/>
      <c r="FP47" s="614"/>
      <c r="FQ47" s="614"/>
      <c r="FR47" s="614"/>
      <c r="FS47" s="614"/>
      <c r="FT47" s="614"/>
      <c r="FU47" s="614"/>
      <c r="FV47" s="614"/>
      <c r="FW47" s="614"/>
      <c r="FX47" s="614"/>
      <c r="FY47" s="614"/>
      <c r="FZ47" s="614"/>
      <c r="GA47" s="614"/>
      <c r="GB47" s="614"/>
      <c r="GC47" s="614"/>
      <c r="GD47" s="614"/>
      <c r="GE47" s="614"/>
      <c r="GF47" s="614"/>
      <c r="GG47" s="614"/>
      <c r="GH47" s="614"/>
      <c r="GI47" s="614"/>
      <c r="GJ47" s="614"/>
      <c r="GK47" s="614"/>
      <c r="GL47" s="614"/>
      <c r="GM47" s="614"/>
      <c r="GN47" s="614"/>
      <c r="GO47" s="614"/>
      <c r="GP47" s="614"/>
      <c r="GQ47" s="614"/>
      <c r="GR47" s="614"/>
      <c r="GS47" s="614"/>
      <c r="GT47" s="614"/>
      <c r="GU47" s="614"/>
      <c r="GV47" s="614"/>
      <c r="GW47" s="614"/>
      <c r="GX47" s="614"/>
      <c r="GY47" s="614"/>
      <c r="GZ47" s="614"/>
      <c r="HA47" s="614"/>
      <c r="HB47" s="614"/>
      <c r="HC47" s="614"/>
      <c r="HD47" s="614"/>
      <c r="HE47" s="614"/>
      <c r="HF47" s="614"/>
      <c r="HG47" s="614"/>
      <c r="HH47" s="614"/>
      <c r="HI47" s="614"/>
      <c r="HJ47" s="614"/>
      <c r="HK47" s="614"/>
      <c r="HL47" s="614"/>
      <c r="HM47" s="614"/>
      <c r="HN47" s="614"/>
      <c r="HO47" s="614"/>
      <c r="HP47" s="614"/>
      <c r="HQ47" s="614"/>
      <c r="HR47" s="614"/>
    </row>
    <row r="48" spans="1:226" ht="13.5" x14ac:dyDescent="0.25">
      <c r="A48" s="666"/>
      <c r="B48" s="672" t="s">
        <v>520</v>
      </c>
      <c r="C48" s="654" t="s">
        <v>488</v>
      </c>
      <c r="D48" s="654"/>
      <c r="E48" s="655">
        <v>1</v>
      </c>
      <c r="F48" s="668"/>
      <c r="G48" s="669">
        <v>768</v>
      </c>
      <c r="H48" s="658">
        <f>Table115[[#This Row],[Q]]*Table115[[#This Row],[$MXN OUT]]</f>
        <v>768</v>
      </c>
      <c r="I48" s="660">
        <f t="shared" si="0"/>
        <v>42.666666666666664</v>
      </c>
      <c r="J48" s="665">
        <f t="shared" si="1"/>
        <v>42.666666666666664</v>
      </c>
    </row>
    <row r="49" spans="1:10" ht="13.5" x14ac:dyDescent="0.25">
      <c r="A49" s="666"/>
      <c r="B49" s="664" t="s">
        <v>521</v>
      </c>
      <c r="C49" s="654" t="s">
        <v>522</v>
      </c>
      <c r="D49" s="654" t="s">
        <v>523</v>
      </c>
      <c r="E49" s="655">
        <v>2</v>
      </c>
      <c r="F49" s="668"/>
      <c r="G49" s="669">
        <v>1624</v>
      </c>
      <c r="H49" s="658">
        <f>Table115[[#This Row],[Q]]*Table115[[#This Row],[$MXN OUT]]</f>
        <v>3248</v>
      </c>
      <c r="I49" s="660">
        <f t="shared" si="0"/>
        <v>90.222222222222229</v>
      </c>
      <c r="J49" s="665">
        <f t="shared" si="1"/>
        <v>180.44444444444446</v>
      </c>
    </row>
    <row r="50" spans="1:10" ht="13.5" x14ac:dyDescent="0.25">
      <c r="A50" s="666"/>
      <c r="B50" s="672" t="s">
        <v>524</v>
      </c>
      <c r="C50" s="654" t="s">
        <v>525</v>
      </c>
      <c r="D50" s="673"/>
      <c r="E50" s="655">
        <v>1</v>
      </c>
      <c r="F50" s="668"/>
      <c r="G50" s="669">
        <v>1000</v>
      </c>
      <c r="H50" s="658">
        <f>Table115[[#This Row],[Q]]*Table115[[#This Row],[$MXN OUT]]</f>
        <v>1000</v>
      </c>
      <c r="I50" s="660">
        <f t="shared" si="0"/>
        <v>55.555555555555557</v>
      </c>
      <c r="J50" s="665">
        <f t="shared" si="1"/>
        <v>55.555555555555557</v>
      </c>
    </row>
    <row r="51" spans="1:10" ht="13.5" x14ac:dyDescent="0.25">
      <c r="A51" s="666"/>
      <c r="B51" s="672" t="s">
        <v>526</v>
      </c>
      <c r="C51" s="654" t="s">
        <v>497</v>
      </c>
      <c r="D51" s="673"/>
      <c r="E51" s="655">
        <v>4</v>
      </c>
      <c r="F51" s="668"/>
      <c r="G51" s="669">
        <v>1000</v>
      </c>
      <c r="H51" s="658">
        <f>Table115[[#This Row],[Q]]*Table115[[#This Row],[$MXN OUT]]</f>
        <v>4000</v>
      </c>
      <c r="I51" s="660">
        <f t="shared" si="0"/>
        <v>55.555555555555557</v>
      </c>
      <c r="J51" s="665">
        <f t="shared" si="1"/>
        <v>222.22222222222223</v>
      </c>
    </row>
    <row r="52" spans="1:10" ht="13.5" x14ac:dyDescent="0.25">
      <c r="A52" s="666"/>
      <c r="B52" s="672" t="s">
        <v>526</v>
      </c>
      <c r="C52" s="654" t="s">
        <v>527</v>
      </c>
      <c r="D52" s="673" t="s">
        <v>504</v>
      </c>
      <c r="E52" s="655">
        <v>1</v>
      </c>
      <c r="F52" s="668"/>
      <c r="G52" s="669">
        <v>1000</v>
      </c>
      <c r="H52" s="658">
        <f>Table115[[#This Row],[Q]]*Table115[[#This Row],[$MXN OUT]]</f>
        <v>1000</v>
      </c>
      <c r="I52" s="660">
        <f t="shared" si="0"/>
        <v>55.555555555555557</v>
      </c>
      <c r="J52" s="665">
        <f t="shared" si="1"/>
        <v>55.555555555555557</v>
      </c>
    </row>
    <row r="53" spans="1:10" ht="13.5" x14ac:dyDescent="0.25">
      <c r="A53" s="666"/>
      <c r="B53" s="672" t="s">
        <v>528</v>
      </c>
      <c r="C53" s="654" t="s">
        <v>488</v>
      </c>
      <c r="D53" s="673" t="s">
        <v>523</v>
      </c>
      <c r="E53" s="655">
        <v>2</v>
      </c>
      <c r="F53" s="668"/>
      <c r="G53" s="669">
        <v>479</v>
      </c>
      <c r="H53" s="658">
        <f>Table115[[#This Row],[Q]]*Table115[[#This Row],[$MXN OUT]]</f>
        <v>958</v>
      </c>
      <c r="I53" s="660">
        <f t="shared" si="0"/>
        <v>26.611111111111111</v>
      </c>
      <c r="J53" s="665">
        <f t="shared" si="1"/>
        <v>53.222222222222221</v>
      </c>
    </row>
    <row r="54" spans="1:10" ht="13.5" x14ac:dyDescent="0.25">
      <c r="A54" s="666"/>
      <c r="B54" s="672" t="s">
        <v>529</v>
      </c>
      <c r="C54" s="654"/>
      <c r="D54" s="673"/>
      <c r="E54" s="655">
        <v>2</v>
      </c>
      <c r="F54" s="668"/>
      <c r="G54" s="669">
        <v>720</v>
      </c>
      <c r="H54" s="658">
        <f>Table115[[#This Row],[Q]]*Table115[[#This Row],[$MXN OUT]]</f>
        <v>1440</v>
      </c>
      <c r="I54" s="660">
        <f t="shared" si="0"/>
        <v>40</v>
      </c>
      <c r="J54" s="665">
        <f t="shared" si="1"/>
        <v>80</v>
      </c>
    </row>
    <row r="55" spans="1:10" ht="13.5" x14ac:dyDescent="0.25">
      <c r="A55" s="666">
        <v>46009</v>
      </c>
      <c r="B55" s="672" t="s">
        <v>530</v>
      </c>
      <c r="C55" s="654" t="s">
        <v>531</v>
      </c>
      <c r="D55" s="673"/>
      <c r="E55" s="655">
        <v>1</v>
      </c>
      <c r="F55" s="668"/>
      <c r="G55" s="669">
        <v>2000</v>
      </c>
      <c r="H55" s="658">
        <f>Table115[[#This Row],[Q]]*Table115[[#This Row],[$MXN OUT]]</f>
        <v>2000</v>
      </c>
      <c r="I55" s="660">
        <f t="shared" si="0"/>
        <v>111.11111111111111</v>
      </c>
      <c r="J55" s="665">
        <f t="shared" si="1"/>
        <v>111.11111111111111</v>
      </c>
    </row>
    <row r="56" spans="1:10" ht="13.5" x14ac:dyDescent="0.25">
      <c r="A56" s="666">
        <v>46008</v>
      </c>
      <c r="B56" s="672" t="s">
        <v>524</v>
      </c>
      <c r="C56" s="654"/>
      <c r="D56" s="673"/>
      <c r="E56" s="655">
        <v>1</v>
      </c>
      <c r="F56" s="668"/>
      <c r="G56" s="669">
        <v>300</v>
      </c>
      <c r="H56" s="658">
        <f>Table115[[#This Row],[Q]]*Table115[[#This Row],[$MXN OUT]]</f>
        <v>300</v>
      </c>
      <c r="I56" s="660">
        <f t="shared" si="0"/>
        <v>16.666666666666668</v>
      </c>
      <c r="J56" s="665">
        <f t="shared" si="1"/>
        <v>16.666666666666668</v>
      </c>
    </row>
    <row r="57" spans="1:10" ht="13.5" x14ac:dyDescent="0.25">
      <c r="A57" s="666"/>
      <c r="B57" s="672" t="s">
        <v>1352</v>
      </c>
      <c r="C57" s="654" t="s">
        <v>506</v>
      </c>
      <c r="D57" s="673"/>
      <c r="E57" s="655">
        <v>1</v>
      </c>
      <c r="F57" s="668"/>
      <c r="G57" s="669">
        <v>280</v>
      </c>
      <c r="H57" s="658">
        <f>Table115[[#This Row],[Q]]*Table115[[#This Row],[$MXN OUT]]</f>
        <v>280</v>
      </c>
      <c r="I57" s="660">
        <f t="shared" si="0"/>
        <v>15.555555555555555</v>
      </c>
      <c r="J57" s="665">
        <f t="shared" si="1"/>
        <v>15.555555555555555</v>
      </c>
    </row>
    <row r="58" spans="1:10" ht="13.5" x14ac:dyDescent="0.25">
      <c r="A58" s="666">
        <v>46014</v>
      </c>
      <c r="B58" s="672" t="s">
        <v>498</v>
      </c>
      <c r="C58" s="654" t="s">
        <v>532</v>
      </c>
      <c r="D58" s="673" t="s">
        <v>533</v>
      </c>
      <c r="E58" s="655">
        <v>1</v>
      </c>
      <c r="F58" s="668">
        <v>63594</v>
      </c>
      <c r="G58" s="669"/>
      <c r="H58" s="658">
        <f>Table115[[#This Row],[Q]]*Table115[[#This Row],[$MXN OUT]]</f>
        <v>0</v>
      </c>
      <c r="I58" s="660">
        <f t="shared" si="0"/>
        <v>0</v>
      </c>
      <c r="J58" s="665">
        <f t="shared" si="1"/>
        <v>0</v>
      </c>
    </row>
    <row r="59" spans="1:10" ht="13.5" x14ac:dyDescent="0.25">
      <c r="A59" s="674">
        <v>46036</v>
      </c>
      <c r="B59" s="633" t="s">
        <v>534</v>
      </c>
      <c r="C59" s="630" t="s">
        <v>535</v>
      </c>
      <c r="D59" s="675"/>
      <c r="E59" s="676">
        <v>1</v>
      </c>
      <c r="F59" s="678"/>
      <c r="G59" s="677">
        <v>12000</v>
      </c>
      <c r="H59" s="679">
        <f>Table115[[#This Row],[Q]]*Table115[[#This Row],[$MXN OUT]]</f>
        <v>12000</v>
      </c>
      <c r="I59" s="680">
        <f t="shared" si="0"/>
        <v>666.66666666666663</v>
      </c>
      <c r="J59" s="684">
        <f t="shared" si="1"/>
        <v>666.66666666666663</v>
      </c>
    </row>
    <row r="60" spans="1:10" ht="13.5" x14ac:dyDescent="0.25">
      <c r="A60" s="674">
        <v>46036</v>
      </c>
      <c r="B60" s="633" t="s">
        <v>496</v>
      </c>
      <c r="C60" s="630" t="s">
        <v>536</v>
      </c>
      <c r="D60" s="675"/>
      <c r="E60" s="676">
        <v>1</v>
      </c>
      <c r="F60" s="678"/>
      <c r="G60" s="677">
        <v>30849</v>
      </c>
      <c r="H60" s="679">
        <f>Table115[[#This Row],[Q]]*Table115[[#This Row],[$MXN OUT]]</f>
        <v>30849</v>
      </c>
      <c r="I60" s="680">
        <f t="shared" si="0"/>
        <v>1713.8333333333333</v>
      </c>
      <c r="J60" s="684">
        <f t="shared" si="1"/>
        <v>1713.8333333333333</v>
      </c>
    </row>
    <row r="61" spans="1:10" ht="13.5" x14ac:dyDescent="0.25">
      <c r="A61" s="674">
        <v>46036</v>
      </c>
      <c r="B61" s="633" t="s">
        <v>496</v>
      </c>
      <c r="C61" s="630" t="s">
        <v>537</v>
      </c>
      <c r="D61" s="675"/>
      <c r="E61" s="676">
        <v>1</v>
      </c>
      <c r="F61" s="678"/>
      <c r="G61" s="677">
        <v>600</v>
      </c>
      <c r="H61" s="679">
        <f>Table115[[#This Row],[Q]]*Table115[[#This Row],[$MXN OUT]]</f>
        <v>600</v>
      </c>
      <c r="I61" s="680">
        <f t="shared" si="0"/>
        <v>33.333333333333336</v>
      </c>
      <c r="J61" s="684">
        <f t="shared" si="1"/>
        <v>33.333333333333336</v>
      </c>
    </row>
    <row r="62" spans="1:10" ht="13.5" x14ac:dyDescent="0.25">
      <c r="A62" s="674">
        <v>46036</v>
      </c>
      <c r="B62" s="633" t="s">
        <v>528</v>
      </c>
      <c r="C62" s="630" t="s">
        <v>488</v>
      </c>
      <c r="D62" s="675" t="s">
        <v>538</v>
      </c>
      <c r="E62" s="676">
        <v>2</v>
      </c>
      <c r="F62" s="678"/>
      <c r="G62" s="677">
        <v>479</v>
      </c>
      <c r="H62" s="679">
        <f>Table115[[#This Row],[Q]]*Table115[[#This Row],[$MXN OUT]]</f>
        <v>958</v>
      </c>
      <c r="I62" s="680">
        <f t="shared" si="0"/>
        <v>26.611111111111111</v>
      </c>
      <c r="J62" s="684">
        <f t="shared" si="1"/>
        <v>53.222222222222221</v>
      </c>
    </row>
    <row r="63" spans="1:10" ht="13.5" x14ac:dyDescent="0.25">
      <c r="A63" s="674"/>
      <c r="B63" s="633" t="s">
        <v>539</v>
      </c>
      <c r="C63" s="630" t="s">
        <v>540</v>
      </c>
      <c r="D63" s="675" t="s">
        <v>541</v>
      </c>
      <c r="E63" s="676">
        <v>1</v>
      </c>
      <c r="F63" s="678"/>
      <c r="G63" s="677">
        <v>1624</v>
      </c>
      <c r="H63" s="679">
        <v>1624</v>
      </c>
      <c r="I63" s="680">
        <f t="shared" si="0"/>
        <v>90.222222222222229</v>
      </c>
      <c r="J63" s="684">
        <f t="shared" si="1"/>
        <v>90.222222222222229</v>
      </c>
    </row>
    <row r="64" spans="1:10" ht="13.5" x14ac:dyDescent="0.25">
      <c r="A64" s="674"/>
      <c r="B64" s="682" t="s">
        <v>524</v>
      </c>
      <c r="C64" s="630"/>
      <c r="D64" s="675"/>
      <c r="E64" s="676">
        <v>1</v>
      </c>
      <c r="F64" s="678"/>
      <c r="G64" s="677">
        <v>800</v>
      </c>
      <c r="H64" s="679">
        <v>800</v>
      </c>
      <c r="I64" s="680">
        <f t="shared" si="0"/>
        <v>44.444444444444443</v>
      </c>
      <c r="J64" s="684">
        <f t="shared" si="1"/>
        <v>44.444444444444443</v>
      </c>
    </row>
    <row r="65" spans="1:10" ht="13.5" x14ac:dyDescent="0.25">
      <c r="A65" s="632"/>
      <c r="B65" s="633" t="s">
        <v>542</v>
      </c>
      <c r="C65" s="634" t="s">
        <v>508</v>
      </c>
      <c r="D65" s="635"/>
      <c r="E65" s="636">
        <v>1</v>
      </c>
      <c r="F65" s="640"/>
      <c r="G65" s="641">
        <v>3000</v>
      </c>
      <c r="H65" s="642">
        <f>Table115[[#This Row],[Q]]*Table115[[#This Row],[$MXN OUT]]</f>
        <v>3000</v>
      </c>
      <c r="I65" s="680">
        <f t="shared" si="0"/>
        <v>166.66666666666666</v>
      </c>
      <c r="J65" s="684">
        <f t="shared" si="1"/>
        <v>166.66666666666666</v>
      </c>
    </row>
    <row r="66" spans="1:10" ht="13.5" x14ac:dyDescent="0.25">
      <c r="A66" s="632"/>
      <c r="B66" s="633" t="s">
        <v>492</v>
      </c>
      <c r="C66" s="634" t="s">
        <v>493</v>
      </c>
      <c r="D66" s="635"/>
      <c r="E66" s="636">
        <v>1</v>
      </c>
      <c r="F66" s="640"/>
      <c r="G66" s="641">
        <v>10000</v>
      </c>
      <c r="H66" s="642">
        <f>Table115[[#This Row],[Q]]*Table115[[#This Row],[$MXN OUT]]</f>
        <v>10000</v>
      </c>
      <c r="I66" s="680">
        <f t="shared" si="0"/>
        <v>555.55555555555554</v>
      </c>
      <c r="J66" s="684">
        <f t="shared" si="1"/>
        <v>555.55555555555554</v>
      </c>
    </row>
    <row r="67" spans="1:10" ht="13.5" x14ac:dyDescent="0.25">
      <c r="A67" s="632">
        <v>46042</v>
      </c>
      <c r="B67" s="633" t="s">
        <v>486</v>
      </c>
      <c r="C67" s="634" t="s">
        <v>486</v>
      </c>
      <c r="D67" s="635" t="s">
        <v>487</v>
      </c>
      <c r="E67" s="636">
        <v>1</v>
      </c>
      <c r="F67" s="640">
        <v>11500</v>
      </c>
      <c r="G67" s="641"/>
      <c r="H67" s="642">
        <f>Table115[[#This Row],[Q]]*Table115[[#This Row],[$MXN OUT]]</f>
        <v>0</v>
      </c>
      <c r="I67" s="680">
        <f t="shared" si="0"/>
        <v>0</v>
      </c>
      <c r="J67" s="684">
        <f t="shared" si="1"/>
        <v>0</v>
      </c>
    </row>
    <row r="68" spans="1:10" ht="13.5" x14ac:dyDescent="0.25">
      <c r="A68" s="632">
        <v>46045</v>
      </c>
      <c r="B68" s="633" t="s">
        <v>486</v>
      </c>
      <c r="C68" s="634" t="s">
        <v>486</v>
      </c>
      <c r="D68" s="635" t="s">
        <v>487</v>
      </c>
      <c r="E68" s="636">
        <v>1</v>
      </c>
      <c r="F68" s="640">
        <v>11000</v>
      </c>
      <c r="G68" s="641"/>
      <c r="H68" s="642">
        <f>Table115[[#This Row],[Q]]*Table115[[#This Row],[$MXN OUT]]</f>
        <v>0</v>
      </c>
      <c r="I68" s="680">
        <f t="shared" si="0"/>
        <v>0</v>
      </c>
      <c r="J68" s="684">
        <f t="shared" si="1"/>
        <v>0</v>
      </c>
    </row>
    <row r="69" spans="1:10" ht="13.5" x14ac:dyDescent="0.25">
      <c r="A69" s="674">
        <v>46046</v>
      </c>
      <c r="B69" s="633" t="s">
        <v>486</v>
      </c>
      <c r="C69" s="630" t="s">
        <v>486</v>
      </c>
      <c r="D69" s="675" t="s">
        <v>487</v>
      </c>
      <c r="E69" s="676">
        <v>1</v>
      </c>
      <c r="F69" s="678">
        <v>8000</v>
      </c>
      <c r="G69" s="677"/>
      <c r="H69" s="683">
        <f>Table115[[#This Row],[Q]]*Table115[[#This Row],[$MXN OUT]]</f>
        <v>0</v>
      </c>
      <c r="I69" s="680">
        <f t="shared" si="0"/>
        <v>0</v>
      </c>
      <c r="J69" s="684">
        <f t="shared" si="1"/>
        <v>0</v>
      </c>
    </row>
    <row r="70" spans="1:10" ht="13.5" x14ac:dyDescent="0.25">
      <c r="A70" s="674">
        <v>46049</v>
      </c>
      <c r="B70" s="633" t="s">
        <v>486</v>
      </c>
      <c r="C70" s="630" t="s">
        <v>486</v>
      </c>
      <c r="D70" s="675" t="s">
        <v>487</v>
      </c>
      <c r="E70" s="676">
        <v>1</v>
      </c>
      <c r="F70" s="678">
        <v>10500</v>
      </c>
      <c r="G70" s="677"/>
      <c r="H70" s="683">
        <f>Table115[[#This Row],[Q]]*Table115[[#This Row],[$MXN OUT]]</f>
        <v>0</v>
      </c>
      <c r="I70" s="680">
        <f t="shared" si="0"/>
        <v>0</v>
      </c>
      <c r="J70" s="684">
        <f t="shared" si="1"/>
        <v>0</v>
      </c>
    </row>
    <row r="71" spans="1:10" ht="13.5" x14ac:dyDescent="0.25">
      <c r="A71" s="674">
        <v>46050</v>
      </c>
      <c r="B71" s="682" t="s">
        <v>486</v>
      </c>
      <c r="C71" s="630" t="s">
        <v>486</v>
      </c>
      <c r="D71" s="675" t="s">
        <v>487</v>
      </c>
      <c r="E71" s="676">
        <v>1</v>
      </c>
      <c r="F71" s="678">
        <v>10500</v>
      </c>
      <c r="G71" s="677"/>
      <c r="H71" s="683">
        <f>Table115[[#This Row],[Q]]*Table115[[#This Row],[$MXN OUT]]</f>
        <v>0</v>
      </c>
      <c r="I71" s="680">
        <f t="shared" si="0"/>
        <v>0</v>
      </c>
      <c r="J71" s="684">
        <f t="shared" si="1"/>
        <v>0</v>
      </c>
    </row>
    <row r="72" spans="1:10" ht="13.5" x14ac:dyDescent="0.25">
      <c r="A72" s="632">
        <v>265196</v>
      </c>
      <c r="B72" s="633" t="s">
        <v>486</v>
      </c>
      <c r="C72" s="634" t="s">
        <v>486</v>
      </c>
      <c r="D72" s="635" t="s">
        <v>487</v>
      </c>
      <c r="E72" s="636"/>
      <c r="F72" s="640">
        <v>8300</v>
      </c>
      <c r="G72" s="641"/>
      <c r="H72" s="642">
        <f>Table115[[#This Row],[Q]]*Table115[[#This Row],[$MXN OUT]]</f>
        <v>0</v>
      </c>
      <c r="I72" s="680" t="str">
        <f t="shared" si="0"/>
        <v xml:space="preserve"> </v>
      </c>
      <c r="J72" s="684" t="str">
        <f t="shared" si="1"/>
        <v xml:space="preserve"> </v>
      </c>
    </row>
    <row r="73" spans="1:10" ht="13.5" x14ac:dyDescent="0.25">
      <c r="A73" s="632">
        <v>46040</v>
      </c>
      <c r="B73" s="633" t="s">
        <v>543</v>
      </c>
      <c r="C73" s="634" t="s">
        <v>544</v>
      </c>
      <c r="D73" s="635" t="s">
        <v>545</v>
      </c>
      <c r="E73" s="636">
        <v>1</v>
      </c>
      <c r="F73" s="640"/>
      <c r="G73" s="641">
        <v>2030</v>
      </c>
      <c r="H73" s="642">
        <f>Table115[[#This Row],[Q]]*Table115[[#This Row],[$MXN OUT]]</f>
        <v>2030</v>
      </c>
      <c r="I73" s="680">
        <f t="shared" si="0"/>
        <v>112.77777777777777</v>
      </c>
      <c r="J73" s="684">
        <f t="shared" si="1"/>
        <v>112.77777777777777</v>
      </c>
    </row>
    <row r="74" spans="1:10" ht="13.5" x14ac:dyDescent="0.25">
      <c r="A74" s="674">
        <v>46042</v>
      </c>
      <c r="B74" s="633"/>
      <c r="C74" s="630" t="s">
        <v>546</v>
      </c>
      <c r="D74" s="675"/>
      <c r="E74" s="676">
        <v>4</v>
      </c>
      <c r="F74" s="640"/>
      <c r="G74" s="677">
        <v>300</v>
      </c>
      <c r="H74" s="683">
        <f>Table115[[#This Row],[Q]]*Table115[[#This Row],[$MXN OUT]]</f>
        <v>1200</v>
      </c>
      <c r="I74" s="680">
        <f t="shared" si="0"/>
        <v>16.666666666666668</v>
      </c>
      <c r="J74" s="684">
        <f t="shared" si="1"/>
        <v>66.666666666666671</v>
      </c>
    </row>
    <row r="75" spans="1:10" ht="13.5" x14ac:dyDescent="0.25">
      <c r="A75" s="674">
        <v>46048</v>
      </c>
      <c r="B75" s="633" t="s">
        <v>539</v>
      </c>
      <c r="C75" s="630" t="s">
        <v>540</v>
      </c>
      <c r="D75" s="675" t="s">
        <v>547</v>
      </c>
      <c r="E75" s="676">
        <v>1</v>
      </c>
      <c r="F75" s="640"/>
      <c r="G75" s="677">
        <v>1624</v>
      </c>
      <c r="H75" s="683">
        <f>Table115[[#This Row],[Q]]*Table115[[#This Row],[$MXN OUT]]</f>
        <v>1624</v>
      </c>
      <c r="I75" s="680">
        <f t="shared" si="0"/>
        <v>90.222222222222229</v>
      </c>
      <c r="J75" s="684">
        <f t="shared" si="1"/>
        <v>90.222222222222229</v>
      </c>
    </row>
    <row r="76" spans="1:10" ht="13.5" x14ac:dyDescent="0.25">
      <c r="A76" s="674">
        <v>46048</v>
      </c>
      <c r="B76" s="682" t="s">
        <v>548</v>
      </c>
      <c r="C76" s="630" t="s">
        <v>549</v>
      </c>
      <c r="D76" s="675" t="s">
        <v>550</v>
      </c>
      <c r="E76" s="676">
        <v>2</v>
      </c>
      <c r="F76" s="640"/>
      <c r="G76" s="677">
        <v>800</v>
      </c>
      <c r="H76" s="683">
        <f>Table115[[#This Row],[Q]]*Table115[[#This Row],[$MXN OUT]]</f>
        <v>1600</v>
      </c>
      <c r="I76" s="680">
        <f t="shared" si="0"/>
        <v>44.444444444444443</v>
      </c>
      <c r="J76" s="684">
        <f t="shared" si="1"/>
        <v>88.888888888888886</v>
      </c>
    </row>
    <row r="77" spans="1:10" ht="13.5" x14ac:dyDescent="0.25">
      <c r="A77" s="674">
        <v>46041</v>
      </c>
      <c r="B77" s="633" t="s">
        <v>524</v>
      </c>
      <c r="C77" s="630"/>
      <c r="D77" s="675"/>
      <c r="E77" s="676">
        <v>1</v>
      </c>
      <c r="F77" s="678"/>
      <c r="G77" s="677">
        <v>500</v>
      </c>
      <c r="H77" s="683">
        <f>Table115[[#This Row],[Q]]*Table115[[#This Row],[$MXN OUT]]</f>
        <v>500</v>
      </c>
      <c r="I77" s="680">
        <f t="shared" si="0"/>
        <v>27.777777777777779</v>
      </c>
      <c r="J77" s="684">
        <f t="shared" si="1"/>
        <v>27.777777777777779</v>
      </c>
    </row>
    <row r="78" spans="1:10" ht="13.5" x14ac:dyDescent="0.25">
      <c r="A78" s="674"/>
      <c r="B78" s="633" t="s">
        <v>551</v>
      </c>
      <c r="C78" s="630" t="s">
        <v>528</v>
      </c>
      <c r="D78" s="675" t="s">
        <v>547</v>
      </c>
      <c r="E78" s="676">
        <v>1</v>
      </c>
      <c r="F78" s="678"/>
      <c r="G78" s="677">
        <v>479</v>
      </c>
      <c r="H78" s="683">
        <f>Table115[[#This Row],[Q]]*Table115[[#This Row],[$MXN OUT]]</f>
        <v>479</v>
      </c>
      <c r="I78" s="680">
        <f t="shared" si="0"/>
        <v>26.611111111111111</v>
      </c>
      <c r="J78" s="684">
        <f t="shared" si="1"/>
        <v>26.611111111111111</v>
      </c>
    </row>
    <row r="79" spans="1:10" ht="13.5" x14ac:dyDescent="0.25">
      <c r="A79" s="674"/>
      <c r="B79" s="633" t="s">
        <v>552</v>
      </c>
      <c r="C79" s="630" t="s">
        <v>520</v>
      </c>
      <c r="D79" s="675" t="s">
        <v>547</v>
      </c>
      <c r="E79" s="676">
        <v>1</v>
      </c>
      <c r="F79" s="678"/>
      <c r="G79" s="677">
        <v>952</v>
      </c>
      <c r="H79" s="683">
        <f>Table115[[#This Row],[Q]]*Table115[[#This Row],[$MXN OUT]]</f>
        <v>952</v>
      </c>
      <c r="I79" s="680">
        <f t="shared" si="0"/>
        <v>52.888888888888886</v>
      </c>
      <c r="J79" s="684">
        <f t="shared" si="1"/>
        <v>52.888888888888886</v>
      </c>
    </row>
    <row r="80" spans="1:10" ht="13.5" x14ac:dyDescent="0.25">
      <c r="A80" s="674"/>
      <c r="B80" s="633" t="s">
        <v>553</v>
      </c>
      <c r="C80" s="630" t="s">
        <v>554</v>
      </c>
      <c r="D80" s="675" t="s">
        <v>555</v>
      </c>
      <c r="E80" s="676">
        <v>1</v>
      </c>
      <c r="F80" s="678"/>
      <c r="G80" s="677">
        <v>7000</v>
      </c>
      <c r="H80" s="683">
        <f>Table115[[#This Row],[Q]]*Table115[[#This Row],[$MXN OUT]]</f>
        <v>7000</v>
      </c>
      <c r="I80" s="680">
        <f t="shared" si="0"/>
        <v>388.88888888888891</v>
      </c>
      <c r="J80" s="684">
        <f t="shared" si="1"/>
        <v>388.88888888888891</v>
      </c>
    </row>
    <row r="81" spans="1:10" ht="13.5" x14ac:dyDescent="0.25">
      <c r="A81" s="674"/>
      <c r="B81" s="633"/>
      <c r="C81" s="630"/>
      <c r="D81" s="675"/>
      <c r="E81" s="676"/>
      <c r="F81" s="678"/>
      <c r="G81" s="677"/>
      <c r="H81" s="683">
        <f>Table115[[#This Row],[Q]]*Table115[[#This Row],[$MXN OUT]]</f>
        <v>0</v>
      </c>
      <c r="I81" s="680" t="str">
        <f>IF(E81&gt;0.1,G81/#REF!," ")</f>
        <v xml:space="preserve"> </v>
      </c>
      <c r="J81" s="681" t="str">
        <f t="shared" si="1"/>
        <v xml:space="preserve"> </v>
      </c>
    </row>
    <row r="82" spans="1:10" ht="13.5" x14ac:dyDescent="0.25">
      <c r="A82" s="674"/>
      <c r="B82" s="633"/>
      <c r="C82" s="630"/>
      <c r="D82" s="675"/>
      <c r="E82" s="676"/>
      <c r="F82" s="678"/>
      <c r="G82" s="677"/>
      <c r="H82" s="683">
        <f>Table115[[#This Row],[Q]]*Table115[[#This Row],[$MXN OUT]]</f>
        <v>0</v>
      </c>
      <c r="I82" s="680" t="str">
        <f>IF(E82&gt;0.1,G82/#REF!," ")</f>
        <v xml:space="preserve"> </v>
      </c>
      <c r="J82" s="681" t="str">
        <f t="shared" si="1"/>
        <v xml:space="preserve"> </v>
      </c>
    </row>
    <row r="83" spans="1:10" ht="13.5" x14ac:dyDescent="0.25">
      <c r="A83" s="674"/>
      <c r="B83" s="633"/>
      <c r="C83" s="630"/>
      <c r="D83" s="675"/>
      <c r="E83" s="676"/>
      <c r="F83" s="678"/>
      <c r="G83" s="677"/>
      <c r="H83" s="683">
        <f>Table115[[#This Row],[Q]]*Table115[[#This Row],[$MXN OUT]]</f>
        <v>0</v>
      </c>
      <c r="I83" s="680" t="str">
        <f>IF(E83&gt;0.1,G83/#REF!," ")</f>
        <v xml:space="preserve"> </v>
      </c>
      <c r="J83" s="681" t="str">
        <f t="shared" si="1"/>
        <v xml:space="preserve"> </v>
      </c>
    </row>
    <row r="84" spans="1:10" ht="13.5" x14ac:dyDescent="0.25">
      <c r="A84" s="674"/>
      <c r="B84" s="633"/>
      <c r="C84" s="630"/>
      <c r="D84" s="675"/>
      <c r="E84" s="676"/>
      <c r="F84" s="678"/>
      <c r="G84" s="677"/>
      <c r="H84" s="683">
        <f>Table115[[#This Row],[Q]]*Table115[[#This Row],[$MXN OUT]]</f>
        <v>0</v>
      </c>
      <c r="I84" s="680" t="str">
        <f>IF(E84&gt;0.1,G84/#REF!," ")</f>
        <v xml:space="preserve"> </v>
      </c>
      <c r="J84" s="681" t="str">
        <f t="shared" si="1"/>
        <v xml:space="preserve"> </v>
      </c>
    </row>
    <row r="85" spans="1:10" ht="13.5" x14ac:dyDescent="0.25">
      <c r="A85" s="674"/>
      <c r="B85" s="633"/>
      <c r="C85" s="630"/>
      <c r="D85" s="675"/>
      <c r="E85" s="676"/>
      <c r="F85" s="678"/>
      <c r="G85" s="677"/>
      <c r="H85" s="683">
        <f>Table115[[#This Row],[Q]]*Table115[[#This Row],[$MXN OUT]]</f>
        <v>0</v>
      </c>
      <c r="I85" s="680" t="str">
        <f>IF(E85&gt;0.1,G85/#REF!," ")</f>
        <v xml:space="preserve"> </v>
      </c>
      <c r="J85" s="681" t="str">
        <f t="shared" si="1"/>
        <v xml:space="preserve"> </v>
      </c>
    </row>
    <row r="86" spans="1:10" ht="13.5" x14ac:dyDescent="0.25">
      <c r="A86" s="674"/>
      <c r="B86" s="682"/>
      <c r="C86" s="630"/>
      <c r="D86" s="675"/>
      <c r="E86" s="676"/>
      <c r="F86" s="678"/>
      <c r="G86" s="677"/>
      <c r="H86" s="683">
        <f>Table115[[#This Row],[Q]]*Table115[[#This Row],[$MXN OUT]]</f>
        <v>0</v>
      </c>
      <c r="I86" s="680" t="str">
        <f>IF(E86&gt;0.1,G86/#REF!," ")</f>
        <v xml:space="preserve"> </v>
      </c>
      <c r="J86" s="681" t="str">
        <f t="shared" si="1"/>
        <v xml:space="preserve"> </v>
      </c>
    </row>
    <row r="87" spans="1:10" x14ac:dyDescent="0.25">
      <c r="B87" s="614" t="s">
        <v>556</v>
      </c>
      <c r="C87" s="614" t="s">
        <v>540</v>
      </c>
      <c r="D87" t="s">
        <v>547</v>
      </c>
      <c r="G87" s="625">
        <v>1624</v>
      </c>
      <c r="H87" s="615"/>
    </row>
    <row r="88" spans="1:10" x14ac:dyDescent="0.25">
      <c r="H88" s="615"/>
    </row>
    <row r="89" spans="1:10" x14ac:dyDescent="0.25">
      <c r="H89" s="615"/>
    </row>
    <row r="90" spans="1:10" x14ac:dyDescent="0.25">
      <c r="H90" s="615"/>
    </row>
    <row r="91" spans="1:10" x14ac:dyDescent="0.25">
      <c r="H91" s="615"/>
    </row>
    <row r="92" spans="1:10" x14ac:dyDescent="0.25">
      <c r="H92" s="615"/>
    </row>
    <row r="93" spans="1:10" x14ac:dyDescent="0.25">
      <c r="H93" s="615"/>
    </row>
    <row r="94" spans="1:10" x14ac:dyDescent="0.25">
      <c r="H94" s="615"/>
    </row>
    <row r="95" spans="1:10" x14ac:dyDescent="0.25">
      <c r="H95" s="61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0C99-78A1-4938-AF4C-9C8388CEB58B}">
  <sheetPr>
    <tabColor rgb="FF7030A0"/>
  </sheetPr>
  <dimension ref="A1:R18"/>
  <sheetViews>
    <sheetView zoomScale="115" zoomScaleNormal="115" workbookViewId="0">
      <pane ySplit="5" topLeftCell="A6" activePane="bottomLeft" state="frozen"/>
      <selection activeCell="B2" sqref="B2"/>
      <selection pane="bottomLeft" activeCell="B4" sqref="B4"/>
    </sheetView>
  </sheetViews>
  <sheetFormatPr defaultColWidth="8.25" defaultRowHeight="15" x14ac:dyDescent="0.25"/>
  <cols>
    <col min="1" max="1" width="8.125" style="621" bestFit="1" customWidth="1"/>
    <col min="2" max="2" width="14.375" style="614" bestFit="1" customWidth="1"/>
    <col min="3" max="3" width="13.75" style="614" bestFit="1" customWidth="1"/>
    <col min="4" max="4" width="14.5" bestFit="1" customWidth="1"/>
    <col min="5" max="5" width="6.125" style="648" bestFit="1" customWidth="1"/>
    <col min="6" max="6" width="7" style="616" bestFit="1" customWidth="1"/>
    <col min="7" max="7" width="8.5" style="649" bestFit="1" customWidth="1"/>
    <col min="8" max="8" width="9" style="625" bestFit="1" customWidth="1"/>
    <col min="9" max="9" width="8.75" style="625" bestFit="1" customWidth="1"/>
    <col min="10" max="10" width="11.875" style="618" bestFit="1" customWidth="1"/>
    <col min="11" max="11" width="11.25" style="625" bestFit="1" customWidth="1"/>
    <col min="12" max="12" width="15.375" style="651" customWidth="1"/>
    <col min="13" max="13" width="10.875" style="650" bestFit="1" customWidth="1"/>
    <col min="14" max="14" width="7" style="615" bestFit="1" customWidth="1"/>
    <col min="15" max="15" width="6.75" style="616" bestFit="1" customWidth="1"/>
    <col min="16" max="16" width="13.125" style="614" bestFit="1" customWidth="1"/>
    <col min="17" max="17" width="8.875" style="614" bestFit="1" customWidth="1"/>
    <col min="18" max="18" width="15.25" style="614" customWidth="1"/>
    <col min="19" max="20" width="8.25" style="614"/>
    <col min="21" max="21" width="10.375" style="614" bestFit="1" customWidth="1"/>
    <col min="22" max="22" width="9.25" style="614" bestFit="1" customWidth="1"/>
    <col min="23" max="16384" width="8.25" style="614"/>
  </cols>
  <sheetData>
    <row r="1" spans="1:18" ht="24" customHeight="1" x14ac:dyDescent="0.3">
      <c r="A1" s="695" t="s">
        <v>459</v>
      </c>
      <c r="B1" s="714"/>
      <c r="C1" s="1059" t="s">
        <v>460</v>
      </c>
      <c r="E1" s="614"/>
      <c r="F1" s="614"/>
      <c r="G1" s="614"/>
      <c r="H1" s="614"/>
      <c r="I1" s="614"/>
      <c r="M1" s="615"/>
      <c r="R1" s="617">
        <f>R3-R2</f>
        <v>3096.9444444444443</v>
      </c>
    </row>
    <row r="2" spans="1:18" ht="16.5" x14ac:dyDescent="0.3">
      <c r="A2" s="695" t="s">
        <v>1460</v>
      </c>
      <c r="B2" s="715">
        <f>B3-B4</f>
        <v>-55745</v>
      </c>
      <c r="E2" s="614"/>
      <c r="F2" s="614"/>
      <c r="G2" s="614"/>
      <c r="H2" s="614"/>
      <c r="I2" s="614"/>
      <c r="M2" s="615"/>
      <c r="R2" s="617">
        <f>B3/18</f>
        <v>0</v>
      </c>
    </row>
    <row r="3" spans="1:18" x14ac:dyDescent="0.25">
      <c r="A3" s="619" t="s">
        <v>461</v>
      </c>
      <c r="B3" s="620">
        <f>SUM(Table11524[[#All],[$MSN IN]])</f>
        <v>0</v>
      </c>
      <c r="E3" s="614"/>
      <c r="F3" s="614"/>
      <c r="G3" s="614"/>
      <c r="H3" s="614"/>
      <c r="I3" s="614"/>
      <c r="M3" s="615"/>
      <c r="R3" s="624">
        <f>SUM(R6:R14)</f>
        <v>3096.9444444444443</v>
      </c>
    </row>
    <row r="4" spans="1:18" x14ac:dyDescent="0.25">
      <c r="A4" s="622" t="s">
        <v>462</v>
      </c>
      <c r="B4" s="623">
        <f>SUM(Table11524[TOTAL $])</f>
        <v>55745</v>
      </c>
      <c r="E4" s="614"/>
      <c r="F4" s="614"/>
      <c r="G4" s="614"/>
      <c r="H4" s="614"/>
      <c r="I4" s="614"/>
      <c r="K4" s="625" t="s">
        <v>463</v>
      </c>
      <c r="L4" s="626"/>
      <c r="M4" s="627"/>
      <c r="N4" s="627"/>
      <c r="O4" s="628"/>
      <c r="P4" s="629"/>
    </row>
    <row r="5" spans="1:18" s="631" customFormat="1" ht="13.5" x14ac:dyDescent="0.25">
      <c r="A5" s="696" t="s">
        <v>122</v>
      </c>
      <c r="B5" s="697" t="s">
        <v>464</v>
      </c>
      <c r="C5" s="698" t="s">
        <v>465</v>
      </c>
      <c r="D5" s="699" t="s">
        <v>466</v>
      </c>
      <c r="E5" s="700" t="s">
        <v>123</v>
      </c>
      <c r="F5" s="702" t="s">
        <v>124</v>
      </c>
      <c r="G5" s="702" t="s">
        <v>467</v>
      </c>
      <c r="H5" s="702" t="s">
        <v>125</v>
      </c>
      <c r="I5" s="702" t="s">
        <v>126</v>
      </c>
      <c r="J5" s="701" t="s">
        <v>468</v>
      </c>
      <c r="K5" s="702" t="s">
        <v>469</v>
      </c>
      <c r="L5" s="703" t="s">
        <v>470</v>
      </c>
      <c r="M5" s="716" t="s">
        <v>127</v>
      </c>
      <c r="N5" s="717" t="s">
        <v>471</v>
      </c>
      <c r="O5" s="717" t="s">
        <v>472</v>
      </c>
      <c r="P5" s="702" t="s">
        <v>473</v>
      </c>
      <c r="Q5" s="704" t="s">
        <v>474</v>
      </c>
      <c r="R5" s="705" t="s">
        <v>128</v>
      </c>
    </row>
    <row r="6" spans="1:18" ht="13.5" x14ac:dyDescent="0.25">
      <c r="A6" s="632">
        <v>46042</v>
      </c>
      <c r="B6" s="633" t="s">
        <v>475</v>
      </c>
      <c r="C6" s="634" t="s">
        <v>476</v>
      </c>
      <c r="D6" s="635" t="s">
        <v>477</v>
      </c>
      <c r="E6" s="636">
        <v>6</v>
      </c>
      <c r="F6" s="637"/>
      <c r="G6" s="638">
        <v>120</v>
      </c>
      <c r="H6" s="639">
        <v>150</v>
      </c>
      <c r="I6" s="639">
        <v>180</v>
      </c>
      <c r="J6" s="640"/>
      <c r="K6" s="641">
        <v>3000</v>
      </c>
      <c r="L6" s="642">
        <f>Table11524[[#This Row],[Q]]*Table11524[[#This Row],[$MXN OUT]]</f>
        <v>18000</v>
      </c>
      <c r="M6" s="643">
        <f t="shared" ref="M6:M12" si="0">F6*2.20462</f>
        <v>0</v>
      </c>
      <c r="N6" s="644">
        <f t="shared" ref="N6:P12" si="1">G6/2.54</f>
        <v>47.244094488188978</v>
      </c>
      <c r="O6" s="644">
        <f t="shared" si="1"/>
        <v>59.055118110236222</v>
      </c>
      <c r="P6" s="645">
        <f t="shared" si="1"/>
        <v>70.866141732283467</v>
      </c>
      <c r="Q6" s="646">
        <f t="shared" ref="Q6:Q12" si="2">IF(E6&gt;0.1,K6/18," ")</f>
        <v>166.66666666666666</v>
      </c>
      <c r="R6" s="647">
        <f t="shared" ref="R6:R12" si="3">IF(E6&gt;0.1,Q6*E6," ")</f>
        <v>1000</v>
      </c>
    </row>
    <row r="7" spans="1:18" ht="13.5" x14ac:dyDescent="0.25">
      <c r="A7" s="632"/>
      <c r="B7" s="633" t="s">
        <v>475</v>
      </c>
      <c r="C7" s="634" t="s">
        <v>478</v>
      </c>
      <c r="D7" s="635" t="s">
        <v>4</v>
      </c>
      <c r="E7" s="636">
        <v>2</v>
      </c>
      <c r="F7" s="637"/>
      <c r="G7" s="638">
        <v>120</v>
      </c>
      <c r="H7" s="639">
        <v>150</v>
      </c>
      <c r="I7" s="639">
        <v>180</v>
      </c>
      <c r="J7" s="640"/>
      <c r="K7" s="641">
        <v>4200</v>
      </c>
      <c r="L7" s="642">
        <f>Table11524[[#This Row],[Q]]*Table11524[[#This Row],[$MXN OUT]]</f>
        <v>8400</v>
      </c>
      <c r="M7" s="643">
        <f t="shared" si="0"/>
        <v>0</v>
      </c>
      <c r="N7" s="644">
        <f t="shared" si="1"/>
        <v>47.244094488188978</v>
      </c>
      <c r="O7" s="644">
        <f t="shared" si="1"/>
        <v>59.055118110236222</v>
      </c>
      <c r="P7" s="645">
        <f t="shared" si="1"/>
        <v>70.866141732283467</v>
      </c>
      <c r="Q7" s="646">
        <f t="shared" si="2"/>
        <v>233.33333333333334</v>
      </c>
      <c r="R7" s="647">
        <f t="shared" si="3"/>
        <v>466.66666666666669</v>
      </c>
    </row>
    <row r="8" spans="1:18" ht="13.5" x14ac:dyDescent="0.25">
      <c r="A8" s="632"/>
      <c r="B8" s="633" t="s">
        <v>475</v>
      </c>
      <c r="C8" s="634" t="s">
        <v>479</v>
      </c>
      <c r="D8" s="635" t="s">
        <v>480</v>
      </c>
      <c r="E8" s="636">
        <v>4</v>
      </c>
      <c r="F8" s="637"/>
      <c r="G8" s="638">
        <v>120</v>
      </c>
      <c r="H8" s="639">
        <v>120</v>
      </c>
      <c r="I8" s="639">
        <v>120</v>
      </c>
      <c r="J8" s="640"/>
      <c r="K8" s="641">
        <v>2150</v>
      </c>
      <c r="L8" s="642">
        <f>Table11524[[#This Row],[Q]]*Table11524[[#This Row],[$MXN OUT]]</f>
        <v>8600</v>
      </c>
      <c r="M8" s="643">
        <f t="shared" si="0"/>
        <v>0</v>
      </c>
      <c r="N8" s="644">
        <f t="shared" si="1"/>
        <v>47.244094488188978</v>
      </c>
      <c r="O8" s="644">
        <f t="shared" si="1"/>
        <v>47.244094488188978</v>
      </c>
      <c r="P8" s="645">
        <f t="shared" si="1"/>
        <v>47.244094488188978</v>
      </c>
      <c r="Q8" s="646">
        <f t="shared" si="2"/>
        <v>119.44444444444444</v>
      </c>
      <c r="R8" s="647">
        <f t="shared" si="3"/>
        <v>477.77777777777777</v>
      </c>
    </row>
    <row r="9" spans="1:18" ht="13.5" x14ac:dyDescent="0.25">
      <c r="A9" s="632"/>
      <c r="B9" s="633" t="s">
        <v>475</v>
      </c>
      <c r="C9" s="634" t="s">
        <v>481</v>
      </c>
      <c r="D9" s="635" t="s">
        <v>119</v>
      </c>
      <c r="E9" s="636">
        <v>2</v>
      </c>
      <c r="F9" s="637"/>
      <c r="G9" s="638">
        <v>120</v>
      </c>
      <c r="H9" s="639">
        <v>150</v>
      </c>
      <c r="I9" s="639">
        <v>170</v>
      </c>
      <c r="J9" s="640"/>
      <c r="K9" s="641">
        <v>2300</v>
      </c>
      <c r="L9" s="642">
        <f>Table11524[[#This Row],[Q]]*Table11524[[#This Row],[$MXN OUT]]</f>
        <v>4600</v>
      </c>
      <c r="M9" s="643">
        <f t="shared" si="0"/>
        <v>0</v>
      </c>
      <c r="N9" s="644">
        <f t="shared" si="1"/>
        <v>47.244094488188978</v>
      </c>
      <c r="O9" s="644">
        <f t="shared" si="1"/>
        <v>59.055118110236222</v>
      </c>
      <c r="P9" s="645">
        <f t="shared" si="1"/>
        <v>66.929133858267718</v>
      </c>
      <c r="Q9" s="646">
        <f t="shared" si="2"/>
        <v>127.77777777777777</v>
      </c>
      <c r="R9" s="647">
        <f t="shared" si="3"/>
        <v>255.55555555555554</v>
      </c>
    </row>
    <row r="10" spans="1:18" ht="13.5" x14ac:dyDescent="0.25">
      <c r="A10" s="632"/>
      <c r="B10" s="633" t="s">
        <v>475</v>
      </c>
      <c r="C10" s="634" t="s">
        <v>482</v>
      </c>
      <c r="D10" s="635" t="s">
        <v>114</v>
      </c>
      <c r="E10" s="636">
        <v>4</v>
      </c>
      <c r="F10" s="637"/>
      <c r="G10" s="638">
        <v>180</v>
      </c>
      <c r="H10" s="639">
        <v>60</v>
      </c>
      <c r="I10" s="639"/>
      <c r="J10" s="640"/>
      <c r="K10" s="641">
        <v>1100</v>
      </c>
      <c r="L10" s="642">
        <f>Table11524[[#This Row],[Q]]*Table11524[[#This Row],[$MXN OUT]]</f>
        <v>4400</v>
      </c>
      <c r="M10" s="643">
        <f t="shared" si="0"/>
        <v>0</v>
      </c>
      <c r="N10" s="644">
        <f t="shared" si="1"/>
        <v>70.866141732283467</v>
      </c>
      <c r="O10" s="644">
        <f t="shared" si="1"/>
        <v>23.622047244094489</v>
      </c>
      <c r="P10" s="645">
        <f t="shared" si="1"/>
        <v>0</v>
      </c>
      <c r="Q10" s="646">
        <f t="shared" si="2"/>
        <v>61.111111111111114</v>
      </c>
      <c r="R10" s="647">
        <f t="shared" si="3"/>
        <v>244.44444444444446</v>
      </c>
    </row>
    <row r="11" spans="1:18" ht="13.5" x14ac:dyDescent="0.25">
      <c r="A11" s="632"/>
      <c r="B11" s="633" t="s">
        <v>475</v>
      </c>
      <c r="C11" s="634" t="s">
        <v>481</v>
      </c>
      <c r="D11" s="635" t="s">
        <v>25</v>
      </c>
      <c r="E11" s="636">
        <v>1</v>
      </c>
      <c r="F11" s="637"/>
      <c r="G11" s="638">
        <v>185</v>
      </c>
      <c r="H11" s="639">
        <v>45</v>
      </c>
      <c r="I11" s="639">
        <v>75</v>
      </c>
      <c r="J11" s="640"/>
      <c r="K11" s="641">
        <v>1730</v>
      </c>
      <c r="L11" s="642">
        <f>Table11524[[#This Row],[Q]]*Table11524[[#This Row],[$MXN OUT]]</f>
        <v>1730</v>
      </c>
      <c r="M11" s="643">
        <f t="shared" si="0"/>
        <v>0</v>
      </c>
      <c r="N11" s="644">
        <f t="shared" si="1"/>
        <v>72.834645669291334</v>
      </c>
      <c r="O11" s="644">
        <f t="shared" si="1"/>
        <v>17.716535433070867</v>
      </c>
      <c r="P11" s="645">
        <f t="shared" si="1"/>
        <v>29.527559055118111</v>
      </c>
      <c r="Q11" s="646">
        <f t="shared" si="2"/>
        <v>96.111111111111114</v>
      </c>
      <c r="R11" s="647">
        <f t="shared" si="3"/>
        <v>96.111111111111114</v>
      </c>
    </row>
    <row r="12" spans="1:18" ht="13.5" x14ac:dyDescent="0.25">
      <c r="A12" s="632"/>
      <c r="B12" s="633" t="s">
        <v>475</v>
      </c>
      <c r="C12" s="634" t="s">
        <v>481</v>
      </c>
      <c r="D12" s="635" t="s">
        <v>25</v>
      </c>
      <c r="E12" s="636">
        <v>1</v>
      </c>
      <c r="F12" s="637"/>
      <c r="G12" s="638">
        <v>200</v>
      </c>
      <c r="H12" s="639">
        <v>140</v>
      </c>
      <c r="I12" s="639">
        <v>75</v>
      </c>
      <c r="J12" s="640"/>
      <c r="K12" s="641">
        <v>3765</v>
      </c>
      <c r="L12" s="642">
        <f>Table11524[[#This Row],[Q]]*Table11524[[#This Row],[$MXN OUT]]</f>
        <v>3765</v>
      </c>
      <c r="M12" s="643">
        <f t="shared" si="0"/>
        <v>0</v>
      </c>
      <c r="N12" s="644">
        <f t="shared" si="1"/>
        <v>78.740157480314963</v>
      </c>
      <c r="O12" s="644">
        <f t="shared" si="1"/>
        <v>55.118110236220474</v>
      </c>
      <c r="P12" s="645">
        <f t="shared" si="1"/>
        <v>29.527559055118111</v>
      </c>
      <c r="Q12" s="646">
        <f t="shared" si="2"/>
        <v>209.16666666666666</v>
      </c>
      <c r="R12" s="647">
        <f t="shared" si="3"/>
        <v>209.16666666666666</v>
      </c>
    </row>
    <row r="13" spans="1:18" ht="13.5" x14ac:dyDescent="0.25">
      <c r="A13" s="632"/>
      <c r="B13" s="633" t="s">
        <v>475</v>
      </c>
      <c r="C13" s="634" t="s">
        <v>479</v>
      </c>
      <c r="D13" s="635" t="s">
        <v>1351</v>
      </c>
      <c r="E13" s="636">
        <v>2</v>
      </c>
      <c r="F13" s="637"/>
      <c r="G13" s="638">
        <v>120</v>
      </c>
      <c r="H13" s="639">
        <v>150</v>
      </c>
      <c r="I13" s="639">
        <v>180</v>
      </c>
      <c r="J13" s="640"/>
      <c r="K13" s="641">
        <v>3000</v>
      </c>
      <c r="L13" s="642">
        <f>Table11524[[#This Row],[Q]]*Table11524[[#This Row],[$MXN OUT]]</f>
        <v>6000</v>
      </c>
      <c r="M13" s="643">
        <f>F13*2.20462</f>
        <v>0</v>
      </c>
      <c r="N13" s="644">
        <f t="shared" ref="N13:P14" si="4">G13/2.54</f>
        <v>47.244094488188978</v>
      </c>
      <c r="O13" s="644">
        <f t="shared" si="4"/>
        <v>59.055118110236222</v>
      </c>
      <c r="P13" s="645">
        <f t="shared" si="4"/>
        <v>70.866141732283467</v>
      </c>
      <c r="Q13" s="646">
        <f>IF(E13&gt;0.1,K13/18," ")</f>
        <v>166.66666666666666</v>
      </c>
      <c r="R13" s="647">
        <f>IF(E13&gt;0.1,Q13*E13," ")</f>
        <v>333.33333333333331</v>
      </c>
    </row>
    <row r="14" spans="1:18" ht="13.5" x14ac:dyDescent="0.25">
      <c r="A14" s="632"/>
      <c r="B14" s="633" t="s">
        <v>475</v>
      </c>
      <c r="C14" s="634" t="s">
        <v>1355</v>
      </c>
      <c r="D14" s="635" t="s">
        <v>1356</v>
      </c>
      <c r="E14" s="636">
        <v>1</v>
      </c>
      <c r="F14" s="637"/>
      <c r="G14" s="638">
        <v>85</v>
      </c>
      <c r="H14" s="639">
        <v>40</v>
      </c>
      <c r="I14" s="639">
        <v>15</v>
      </c>
      <c r="J14" s="640"/>
      <c r="K14" s="641">
        <v>250</v>
      </c>
      <c r="L14" s="642">
        <f>Table11524[[#This Row],[Q]]*Table11524[[#This Row],[$MXN OUT]]</f>
        <v>250</v>
      </c>
      <c r="M14" s="643">
        <f>F14*2.20462</f>
        <v>0</v>
      </c>
      <c r="N14" s="644">
        <f t="shared" si="4"/>
        <v>33.464566929133859</v>
      </c>
      <c r="O14" s="644">
        <f t="shared" si="4"/>
        <v>15.748031496062993</v>
      </c>
      <c r="P14" s="645">
        <f t="shared" si="4"/>
        <v>5.9055118110236222</v>
      </c>
      <c r="Q14" s="646">
        <f>IF(E14&gt;0.1,K14/18," ")</f>
        <v>13.888888888888889</v>
      </c>
      <c r="R14" s="647">
        <f>IF(E14&gt;0.1,Q14*E14," ")</f>
        <v>13.888888888888889</v>
      </c>
    </row>
    <row r="15" spans="1:18" x14ac:dyDescent="0.25">
      <c r="L15" s="615"/>
    </row>
    <row r="16" spans="1:18" x14ac:dyDescent="0.25">
      <c r="L16" s="615"/>
    </row>
    <row r="17" spans="12:12" x14ac:dyDescent="0.25">
      <c r="L17" s="615"/>
    </row>
    <row r="18" spans="12:12" x14ac:dyDescent="0.25">
      <c r="L18" s="61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3821-6F62-4AB5-B663-5B93552078B5}">
  <sheetPr>
    <tabColor rgb="FFFF3399"/>
  </sheetPr>
  <dimension ref="A1:U127"/>
  <sheetViews>
    <sheetView zoomScaleNormal="100" workbookViewId="0">
      <selection activeCell="E10" sqref="E10"/>
    </sheetView>
  </sheetViews>
  <sheetFormatPr defaultRowHeight="15" x14ac:dyDescent="0.25"/>
  <cols>
    <col min="1" max="1" width="5.25" customWidth="1"/>
    <col min="2" max="2" width="9.25" bestFit="1" customWidth="1"/>
    <col min="3" max="3" width="33.25" bestFit="1" customWidth="1"/>
    <col min="4" max="4" width="15.75" style="979" bestFit="1" customWidth="1"/>
    <col min="5" max="5" width="7.375" bestFit="1" customWidth="1"/>
    <col min="6" max="6" width="10.125" bestFit="1" customWidth="1"/>
    <col min="7" max="7" width="10.75" bestFit="1" customWidth="1"/>
    <col min="8" max="8" width="12" bestFit="1" customWidth="1"/>
    <col min="9" max="9" width="13.625" bestFit="1" customWidth="1"/>
    <col min="10" max="10" width="14.75" bestFit="1" customWidth="1"/>
    <col min="11" max="11" width="14.625" bestFit="1" customWidth="1"/>
    <col min="12" max="12" width="12.25" style="692" bestFit="1" customWidth="1"/>
    <col min="13" max="13" width="17.875" bestFit="1" customWidth="1"/>
    <col min="14" max="14" width="19.5" customWidth="1"/>
    <col min="15" max="18" width="10.125" style="486" customWidth="1"/>
    <col min="19" max="19" width="15.125" bestFit="1" customWidth="1"/>
    <col min="20" max="20" width="19.25" bestFit="1" customWidth="1"/>
    <col min="21" max="21" width="16.375" bestFit="1" customWidth="1"/>
  </cols>
  <sheetData>
    <row r="1" spans="1:21" x14ac:dyDescent="0.25">
      <c r="A1" s="977"/>
      <c r="B1" s="977"/>
      <c r="C1" s="977"/>
      <c r="D1" s="978"/>
      <c r="E1" s="977"/>
      <c r="F1" s="977"/>
      <c r="G1" s="977"/>
      <c r="H1" s="977"/>
      <c r="I1" s="977"/>
      <c r="J1" s="977"/>
      <c r="K1" s="977"/>
      <c r="L1" s="977"/>
      <c r="M1" s="977"/>
      <c r="N1" s="977"/>
      <c r="O1" s="977"/>
      <c r="P1" s="977"/>
      <c r="Q1" s="977"/>
      <c r="R1" s="977"/>
      <c r="S1" s="977"/>
      <c r="T1" s="977"/>
      <c r="U1" s="977"/>
    </row>
    <row r="2" spans="1:21" s="485" customFormat="1" ht="23.25" x14ac:dyDescent="0.35">
      <c r="A2" s="990" t="s">
        <v>935</v>
      </c>
      <c r="B2" s="977"/>
      <c r="C2" s="985"/>
      <c r="D2" s="989">
        <v>45887</v>
      </c>
      <c r="E2" s="977"/>
      <c r="F2" s="977"/>
      <c r="G2" s="977"/>
      <c r="H2" s="977"/>
      <c r="I2" s="985"/>
      <c r="J2" s="985"/>
      <c r="K2" s="985" t="s">
        <v>0</v>
      </c>
      <c r="L2" s="977"/>
      <c r="M2" s="985"/>
      <c r="N2" s="991">
        <f>SUM(N5:N128)</f>
        <v>666790</v>
      </c>
      <c r="O2" s="986"/>
      <c r="P2" s="986"/>
      <c r="Q2" s="986"/>
      <c r="R2" s="986"/>
      <c r="S2" s="985"/>
      <c r="T2" s="985"/>
      <c r="U2" s="985"/>
    </row>
    <row r="3" spans="1:21" x14ac:dyDescent="0.25">
      <c r="A3" s="977"/>
      <c r="B3" s="977"/>
      <c r="C3" s="977"/>
      <c r="D3" s="978"/>
      <c r="E3" s="977"/>
      <c r="F3" s="977"/>
      <c r="G3" s="977"/>
      <c r="H3" s="977"/>
      <c r="I3" s="977"/>
      <c r="J3" s="977"/>
      <c r="K3" s="977"/>
      <c r="L3" s="987"/>
      <c r="M3" s="977"/>
      <c r="N3" s="977"/>
      <c r="O3" s="988"/>
      <c r="P3" s="988"/>
      <c r="Q3" s="988"/>
      <c r="R3" s="988"/>
      <c r="S3" s="977"/>
      <c r="T3" s="977"/>
      <c r="U3" s="977"/>
    </row>
    <row r="4" spans="1:21" s="689" customFormat="1" ht="24" customHeight="1" thickBot="1" x14ac:dyDescent="0.3">
      <c r="A4" s="996"/>
      <c r="B4" s="997" t="s">
        <v>559</v>
      </c>
      <c r="C4" s="994" t="s">
        <v>560</v>
      </c>
      <c r="D4" s="994" t="s">
        <v>561</v>
      </c>
      <c r="E4" s="994" t="s">
        <v>1</v>
      </c>
      <c r="F4" s="994" t="s">
        <v>562</v>
      </c>
      <c r="G4" s="994" t="s">
        <v>2</v>
      </c>
      <c r="H4" s="994" t="s">
        <v>563</v>
      </c>
      <c r="I4" s="994" t="s">
        <v>564</v>
      </c>
      <c r="J4" s="994" t="s">
        <v>565</v>
      </c>
      <c r="K4" s="994" t="s">
        <v>566</v>
      </c>
      <c r="L4" s="994" t="s">
        <v>567</v>
      </c>
      <c r="M4" s="994" t="s">
        <v>568</v>
      </c>
      <c r="N4" s="998" t="s">
        <v>569</v>
      </c>
      <c r="O4" s="999" t="s">
        <v>570</v>
      </c>
      <c r="P4" s="1000" t="s">
        <v>571</v>
      </c>
      <c r="Q4" s="1000" t="s">
        <v>572</v>
      </c>
      <c r="R4" s="1000" t="s">
        <v>573</v>
      </c>
      <c r="S4" s="1001" t="s">
        <v>574</v>
      </c>
      <c r="T4" s="1002" t="s">
        <v>575</v>
      </c>
      <c r="U4" s="994" t="s">
        <v>3</v>
      </c>
    </row>
    <row r="5" spans="1:21" x14ac:dyDescent="0.25">
      <c r="A5" t="s">
        <v>4</v>
      </c>
      <c r="B5" s="690" t="s">
        <v>1153</v>
      </c>
      <c r="C5" t="s">
        <v>5</v>
      </c>
      <c r="D5" s="980" t="s">
        <v>6</v>
      </c>
      <c r="E5" t="s">
        <v>1012</v>
      </c>
      <c r="F5" t="s">
        <v>661</v>
      </c>
      <c r="G5" s="693">
        <v>1768</v>
      </c>
      <c r="H5">
        <v>1</v>
      </c>
      <c r="I5">
        <v>228</v>
      </c>
      <c r="J5">
        <v>129</v>
      </c>
      <c r="K5">
        <v>42</v>
      </c>
      <c r="L5" s="692">
        <v>21</v>
      </c>
      <c r="M5" s="693">
        <v>2850</v>
      </c>
      <c r="N5" s="693">
        <v>2850</v>
      </c>
      <c r="O5" s="486">
        <v>502.65336000000002</v>
      </c>
      <c r="P5" s="486">
        <v>50.787401574803148</v>
      </c>
      <c r="Q5" s="486">
        <v>16.535433070866141</v>
      </c>
      <c r="R5" s="486">
        <v>8.2677165354330704</v>
      </c>
      <c r="S5" s="693">
        <v>158.33000000000001</v>
      </c>
      <c r="T5" s="693">
        <v>158.33000000000001</v>
      </c>
      <c r="U5" s="693"/>
    </row>
    <row r="6" spans="1:21" x14ac:dyDescent="0.25">
      <c r="A6" t="s">
        <v>4</v>
      </c>
      <c r="B6">
        <v>2</v>
      </c>
      <c r="C6" t="s">
        <v>5</v>
      </c>
      <c r="D6" s="980" t="s">
        <v>7</v>
      </c>
      <c r="E6" t="s">
        <v>1013</v>
      </c>
      <c r="F6" t="s">
        <v>1014</v>
      </c>
      <c r="G6" s="693">
        <v>2008</v>
      </c>
      <c r="H6">
        <v>1</v>
      </c>
      <c r="I6">
        <v>257</v>
      </c>
      <c r="J6">
        <v>95</v>
      </c>
      <c r="K6">
        <v>45</v>
      </c>
      <c r="L6" s="692">
        <v>27</v>
      </c>
      <c r="M6" s="693">
        <v>3212.5</v>
      </c>
      <c r="N6" s="693">
        <v>3212.5</v>
      </c>
      <c r="O6" s="486">
        <v>566.58733999999993</v>
      </c>
      <c r="P6" s="486">
        <v>37.401574803149607</v>
      </c>
      <c r="Q6" s="486">
        <v>17.716535433070867</v>
      </c>
      <c r="R6" s="486">
        <v>10.62992125984252</v>
      </c>
      <c r="S6" s="693">
        <v>178.47</v>
      </c>
      <c r="T6" s="693">
        <v>178.47</v>
      </c>
      <c r="U6" s="693"/>
    </row>
    <row r="7" spans="1:21" x14ac:dyDescent="0.25">
      <c r="A7" t="s">
        <v>4</v>
      </c>
      <c r="B7">
        <v>3</v>
      </c>
      <c r="C7" t="s">
        <v>5</v>
      </c>
      <c r="D7" s="980" t="s">
        <v>8</v>
      </c>
      <c r="E7" t="s">
        <v>9</v>
      </c>
      <c r="F7" t="s">
        <v>644</v>
      </c>
      <c r="G7" s="693">
        <v>1744</v>
      </c>
      <c r="H7">
        <v>1</v>
      </c>
      <c r="I7">
        <v>224</v>
      </c>
      <c r="J7">
        <v>95</v>
      </c>
      <c r="K7">
        <v>45</v>
      </c>
      <c r="L7" s="692">
        <v>23</v>
      </c>
      <c r="M7" s="693">
        <v>2800</v>
      </c>
      <c r="N7" s="693">
        <v>2800</v>
      </c>
      <c r="O7" s="486">
        <v>493.83487999999994</v>
      </c>
      <c r="P7" s="486">
        <v>37.401574803149607</v>
      </c>
      <c r="Q7" s="486">
        <v>17.716535433070867</v>
      </c>
      <c r="R7" s="486">
        <v>9.0551181102362204</v>
      </c>
      <c r="S7" s="693">
        <v>155.56</v>
      </c>
      <c r="T7" s="693">
        <v>155.56</v>
      </c>
      <c r="U7" s="693"/>
    </row>
    <row r="8" spans="1:21" x14ac:dyDescent="0.25">
      <c r="A8" t="s">
        <v>4</v>
      </c>
      <c r="B8">
        <v>4</v>
      </c>
      <c r="C8" t="s">
        <v>5</v>
      </c>
      <c r="D8" s="980" t="s">
        <v>10</v>
      </c>
      <c r="E8" t="s">
        <v>1015</v>
      </c>
      <c r="F8" t="s">
        <v>1016</v>
      </c>
      <c r="G8" s="693">
        <v>984</v>
      </c>
      <c r="H8">
        <v>1</v>
      </c>
      <c r="I8">
        <v>126</v>
      </c>
      <c r="J8">
        <v>100</v>
      </c>
      <c r="K8">
        <v>40</v>
      </c>
      <c r="L8" s="692">
        <v>23</v>
      </c>
      <c r="M8" s="693">
        <v>1575</v>
      </c>
      <c r="N8" s="693">
        <v>1575</v>
      </c>
      <c r="O8" s="486">
        <v>277.78211999999996</v>
      </c>
      <c r="P8" s="486">
        <v>39.370078740157481</v>
      </c>
      <c r="Q8" s="486">
        <v>15.748031496062993</v>
      </c>
      <c r="R8" s="486">
        <v>9.0551181102362204</v>
      </c>
      <c r="S8" s="693">
        <v>87.5</v>
      </c>
      <c r="T8" s="693">
        <v>87.5</v>
      </c>
      <c r="U8" s="693"/>
    </row>
    <row r="9" spans="1:21" x14ac:dyDescent="0.25">
      <c r="A9" t="s">
        <v>4</v>
      </c>
      <c r="B9">
        <v>5</v>
      </c>
      <c r="C9" t="s">
        <v>5</v>
      </c>
      <c r="D9" s="980" t="s">
        <v>11</v>
      </c>
      <c r="E9" t="s">
        <v>1017</v>
      </c>
      <c r="F9" t="s">
        <v>1018</v>
      </c>
      <c r="G9" s="693">
        <v>1680</v>
      </c>
      <c r="H9">
        <v>1</v>
      </c>
      <c r="I9">
        <v>216</v>
      </c>
      <c r="J9">
        <v>100</v>
      </c>
      <c r="K9">
        <v>45</v>
      </c>
      <c r="L9" s="692">
        <v>29</v>
      </c>
      <c r="M9" s="693">
        <v>2700</v>
      </c>
      <c r="N9" s="693">
        <v>2700</v>
      </c>
      <c r="O9" s="486">
        <v>476.19791999999995</v>
      </c>
      <c r="P9" s="486">
        <v>39.370078740157481</v>
      </c>
      <c r="Q9" s="486">
        <v>17.716535433070867</v>
      </c>
      <c r="R9" s="486">
        <v>11.417322834645669</v>
      </c>
      <c r="S9" s="693">
        <v>150</v>
      </c>
      <c r="T9" s="693">
        <v>150</v>
      </c>
      <c r="U9" s="693"/>
    </row>
    <row r="10" spans="1:21" x14ac:dyDescent="0.25">
      <c r="A10" t="s">
        <v>4</v>
      </c>
      <c r="B10">
        <v>6</v>
      </c>
      <c r="C10" t="s">
        <v>5</v>
      </c>
      <c r="D10" s="980" t="s">
        <v>12</v>
      </c>
      <c r="E10" t="s">
        <v>1019</v>
      </c>
      <c r="F10" t="s">
        <v>13</v>
      </c>
      <c r="G10" s="693">
        <v>720</v>
      </c>
      <c r="H10">
        <v>1</v>
      </c>
      <c r="I10">
        <v>92</v>
      </c>
      <c r="J10">
        <v>68</v>
      </c>
      <c r="K10">
        <v>33</v>
      </c>
      <c r="L10" s="692">
        <v>23</v>
      </c>
      <c r="M10" s="693">
        <v>1150</v>
      </c>
      <c r="N10" s="693">
        <v>1150</v>
      </c>
      <c r="O10" s="486">
        <v>202.82503999999997</v>
      </c>
      <c r="P10" s="486">
        <v>26.771653543307085</v>
      </c>
      <c r="Q10" s="486">
        <v>12.992125984251969</v>
      </c>
      <c r="R10" s="486">
        <v>9.0551181102362204</v>
      </c>
      <c r="S10" s="693">
        <v>63.89</v>
      </c>
      <c r="T10" s="693">
        <v>63.89</v>
      </c>
      <c r="U10" s="693"/>
    </row>
    <row r="11" spans="1:21" x14ac:dyDescent="0.25">
      <c r="A11" t="s">
        <v>4</v>
      </c>
      <c r="B11">
        <v>7</v>
      </c>
      <c r="C11" t="s">
        <v>14</v>
      </c>
      <c r="D11" s="980" t="s">
        <v>15</v>
      </c>
      <c r="E11" t="s">
        <v>1020</v>
      </c>
      <c r="F11" t="s">
        <v>1021</v>
      </c>
      <c r="G11" s="693">
        <v>2024</v>
      </c>
      <c r="H11">
        <v>1</v>
      </c>
      <c r="I11">
        <v>260</v>
      </c>
      <c r="J11">
        <v>93</v>
      </c>
      <c r="K11">
        <v>37</v>
      </c>
      <c r="L11" s="692">
        <v>40</v>
      </c>
      <c r="M11" s="693">
        <v>3250</v>
      </c>
      <c r="N11" s="693">
        <v>3250</v>
      </c>
      <c r="O11" s="486">
        <v>573.20119999999997</v>
      </c>
      <c r="P11" s="486">
        <v>36.614173228346459</v>
      </c>
      <c r="Q11" s="486">
        <v>14.566929133858267</v>
      </c>
      <c r="R11" s="486">
        <v>15.748031496062993</v>
      </c>
      <c r="S11" s="693">
        <v>180.56</v>
      </c>
      <c r="T11" s="693">
        <v>180.56</v>
      </c>
      <c r="U11" s="693"/>
    </row>
    <row r="12" spans="1:21" x14ac:dyDescent="0.25">
      <c r="A12" t="s">
        <v>4</v>
      </c>
      <c r="B12">
        <v>8</v>
      </c>
      <c r="C12" t="s">
        <v>14</v>
      </c>
      <c r="D12" s="980" t="s">
        <v>16</v>
      </c>
      <c r="E12" t="s">
        <v>1017</v>
      </c>
      <c r="F12" t="s">
        <v>1018</v>
      </c>
      <c r="G12" s="693">
        <v>1680</v>
      </c>
      <c r="H12">
        <v>1</v>
      </c>
      <c r="I12">
        <v>216</v>
      </c>
      <c r="J12">
        <v>91</v>
      </c>
      <c r="K12">
        <v>42</v>
      </c>
      <c r="L12" s="692">
        <v>32</v>
      </c>
      <c r="M12" s="693">
        <v>2700</v>
      </c>
      <c r="N12" s="693">
        <v>2700</v>
      </c>
      <c r="O12" s="486">
        <v>476.19791999999995</v>
      </c>
      <c r="P12" s="486">
        <v>35.826771653543304</v>
      </c>
      <c r="Q12" s="486">
        <v>16.535433070866141</v>
      </c>
      <c r="R12" s="486">
        <v>12.598425196850393</v>
      </c>
      <c r="S12" s="693">
        <v>150</v>
      </c>
      <c r="T12" s="693">
        <v>150</v>
      </c>
      <c r="U12" s="693"/>
    </row>
    <row r="13" spans="1:21" x14ac:dyDescent="0.25">
      <c r="A13" t="s">
        <v>4</v>
      </c>
      <c r="B13">
        <v>9</v>
      </c>
      <c r="C13" t="s">
        <v>14</v>
      </c>
      <c r="D13" s="980" t="s">
        <v>17</v>
      </c>
      <c r="E13" t="s">
        <v>1022</v>
      </c>
      <c r="F13" t="s">
        <v>1023</v>
      </c>
      <c r="G13" s="693">
        <v>1176</v>
      </c>
      <c r="H13">
        <v>1</v>
      </c>
      <c r="I13">
        <v>151</v>
      </c>
      <c r="J13">
        <v>88</v>
      </c>
      <c r="K13">
        <v>49</v>
      </c>
      <c r="L13" s="692">
        <v>25</v>
      </c>
      <c r="M13" s="693">
        <v>1887.5</v>
      </c>
      <c r="N13" s="693">
        <v>1887.5</v>
      </c>
      <c r="O13" s="486">
        <v>332.89761999999996</v>
      </c>
      <c r="P13" s="486">
        <v>34.645669291338585</v>
      </c>
      <c r="Q13" s="486">
        <v>19.291338582677167</v>
      </c>
      <c r="R13" s="486">
        <v>9.8425196850393704</v>
      </c>
      <c r="S13" s="693">
        <v>104.86</v>
      </c>
      <c r="T13" s="693">
        <v>104.86</v>
      </c>
      <c r="U13" s="693"/>
    </row>
    <row r="14" spans="1:21" x14ac:dyDescent="0.25">
      <c r="A14" t="s">
        <v>4</v>
      </c>
      <c r="B14">
        <v>10</v>
      </c>
      <c r="C14" t="s">
        <v>14</v>
      </c>
      <c r="D14" s="980" t="s">
        <v>18</v>
      </c>
      <c r="E14" t="s">
        <v>628</v>
      </c>
      <c r="F14" t="s">
        <v>1024</v>
      </c>
      <c r="G14" s="693">
        <v>1792</v>
      </c>
      <c r="H14">
        <v>1</v>
      </c>
      <c r="I14">
        <v>230</v>
      </c>
      <c r="J14">
        <v>85</v>
      </c>
      <c r="K14">
        <v>40</v>
      </c>
      <c r="L14" s="692">
        <v>34</v>
      </c>
      <c r="M14" s="693">
        <v>2875</v>
      </c>
      <c r="N14" s="693">
        <v>2875</v>
      </c>
      <c r="O14" s="486">
        <v>507.06259999999997</v>
      </c>
      <c r="P14" s="486">
        <v>33.464566929133859</v>
      </c>
      <c r="Q14" s="486">
        <v>15.748031496062993</v>
      </c>
      <c r="R14" s="486">
        <v>13.385826771653543</v>
      </c>
      <c r="S14" s="693">
        <v>159.72</v>
      </c>
      <c r="T14" s="693">
        <v>159.72</v>
      </c>
      <c r="U14" s="693"/>
    </row>
    <row r="15" spans="1:21" x14ac:dyDescent="0.25">
      <c r="A15" t="s">
        <v>4</v>
      </c>
      <c r="B15">
        <v>11</v>
      </c>
      <c r="C15" t="s">
        <v>19</v>
      </c>
      <c r="D15" s="980" t="s">
        <v>20</v>
      </c>
      <c r="E15" t="s">
        <v>624</v>
      </c>
      <c r="F15" t="s">
        <v>625</v>
      </c>
      <c r="G15" s="693">
        <v>3248</v>
      </c>
      <c r="H15">
        <v>1</v>
      </c>
      <c r="I15">
        <v>417</v>
      </c>
      <c r="J15">
        <v>68</v>
      </c>
      <c r="K15">
        <v>99</v>
      </c>
      <c r="L15" s="692">
        <v>42</v>
      </c>
      <c r="M15" s="693">
        <v>5212.5</v>
      </c>
      <c r="N15" s="693">
        <v>5212.5</v>
      </c>
      <c r="O15" s="486">
        <v>919.32653999999991</v>
      </c>
      <c r="P15" s="486">
        <v>26.771653543307085</v>
      </c>
      <c r="Q15" s="486">
        <v>38.976377952755904</v>
      </c>
      <c r="R15" s="486">
        <v>16.535433070866141</v>
      </c>
      <c r="S15" s="693">
        <v>289.58</v>
      </c>
      <c r="T15" s="693">
        <v>289.58</v>
      </c>
      <c r="U15" s="693"/>
    </row>
    <row r="16" spans="1:21" x14ac:dyDescent="0.25">
      <c r="A16" t="s">
        <v>4</v>
      </c>
      <c r="B16">
        <v>12</v>
      </c>
      <c r="C16" t="s">
        <v>19</v>
      </c>
      <c r="D16" s="980" t="s">
        <v>21</v>
      </c>
      <c r="E16" t="s">
        <v>890</v>
      </c>
      <c r="F16" t="s">
        <v>741</v>
      </c>
      <c r="G16" s="693">
        <v>640</v>
      </c>
      <c r="H16">
        <v>1</v>
      </c>
      <c r="I16">
        <v>82</v>
      </c>
      <c r="J16">
        <v>80</v>
      </c>
      <c r="K16">
        <v>31</v>
      </c>
      <c r="L16" s="692">
        <v>18</v>
      </c>
      <c r="M16" s="693">
        <v>1025</v>
      </c>
      <c r="N16" s="693">
        <v>1025</v>
      </c>
      <c r="O16" s="486">
        <v>180.77883999999997</v>
      </c>
      <c r="P16" s="486">
        <v>31.496062992125985</v>
      </c>
      <c r="Q16" s="486">
        <v>12.204724409448819</v>
      </c>
      <c r="R16" s="486">
        <v>7.0866141732283463</v>
      </c>
      <c r="S16" s="693">
        <v>56.94</v>
      </c>
      <c r="T16" s="693">
        <v>56.94</v>
      </c>
      <c r="U16" s="693"/>
    </row>
    <row r="17" spans="1:21" x14ac:dyDescent="0.25">
      <c r="A17" t="s">
        <v>4</v>
      </c>
      <c r="B17">
        <v>13</v>
      </c>
      <c r="C17" t="s">
        <v>19</v>
      </c>
      <c r="D17" s="980" t="s">
        <v>22</v>
      </c>
      <c r="E17" t="s">
        <v>1013</v>
      </c>
      <c r="F17" t="s">
        <v>1014</v>
      </c>
      <c r="G17" s="693">
        <v>2008</v>
      </c>
      <c r="H17">
        <v>1</v>
      </c>
      <c r="I17">
        <v>257</v>
      </c>
      <c r="J17">
        <v>121</v>
      </c>
      <c r="K17">
        <v>60</v>
      </c>
      <c r="L17" s="692">
        <v>27</v>
      </c>
      <c r="M17" s="693">
        <v>3212.5</v>
      </c>
      <c r="N17" s="693">
        <v>3212.5</v>
      </c>
      <c r="O17" s="486">
        <v>566.58733999999993</v>
      </c>
      <c r="P17" s="486">
        <v>47.637795275590548</v>
      </c>
      <c r="Q17" s="486">
        <v>23.622047244094489</v>
      </c>
      <c r="R17" s="486">
        <v>10.62992125984252</v>
      </c>
      <c r="S17" s="693">
        <v>178.47</v>
      </c>
      <c r="T17" s="693">
        <v>178.47</v>
      </c>
      <c r="U17" s="693"/>
    </row>
    <row r="18" spans="1:21" x14ac:dyDescent="0.25">
      <c r="A18" t="s">
        <v>4</v>
      </c>
      <c r="B18">
        <v>14</v>
      </c>
      <c r="C18" t="s">
        <v>5</v>
      </c>
      <c r="D18" s="980" t="s">
        <v>23</v>
      </c>
      <c r="E18" t="s">
        <v>1025</v>
      </c>
      <c r="F18" t="s">
        <v>1026</v>
      </c>
      <c r="G18" s="693">
        <v>1344</v>
      </c>
      <c r="H18">
        <v>1</v>
      </c>
      <c r="I18">
        <v>172</v>
      </c>
      <c r="J18">
        <v>121</v>
      </c>
      <c r="K18">
        <v>35</v>
      </c>
      <c r="L18" s="692">
        <v>19</v>
      </c>
      <c r="M18" s="693">
        <v>2150</v>
      </c>
      <c r="N18" s="693">
        <v>2150</v>
      </c>
      <c r="O18" s="486">
        <v>379.19463999999999</v>
      </c>
      <c r="P18" s="486">
        <v>47.637795275590548</v>
      </c>
      <c r="Q18" s="486">
        <v>13.779527559055119</v>
      </c>
      <c r="R18" s="486">
        <v>7.4803149606299213</v>
      </c>
      <c r="S18" s="693">
        <v>119.44</v>
      </c>
      <c r="T18" s="693">
        <v>119.44</v>
      </c>
      <c r="U18" s="693"/>
    </row>
    <row r="19" spans="1:21" x14ac:dyDescent="0.25">
      <c r="A19" t="s">
        <v>4</v>
      </c>
      <c r="B19">
        <v>15</v>
      </c>
      <c r="C19" t="s">
        <v>5</v>
      </c>
      <c r="D19" s="980" t="s">
        <v>24</v>
      </c>
      <c r="E19" t="s">
        <v>662</v>
      </c>
      <c r="F19" t="s">
        <v>25</v>
      </c>
      <c r="G19" s="693">
        <v>904</v>
      </c>
      <c r="H19">
        <v>1</v>
      </c>
      <c r="I19">
        <v>117</v>
      </c>
      <c r="J19">
        <v>106</v>
      </c>
      <c r="K19">
        <v>35</v>
      </c>
      <c r="L19" s="692">
        <v>23</v>
      </c>
      <c r="M19" s="693">
        <v>1462.5</v>
      </c>
      <c r="N19" s="693">
        <v>1462.5</v>
      </c>
      <c r="O19" s="486">
        <v>257.94054</v>
      </c>
      <c r="P19" s="486">
        <v>41.732283464566926</v>
      </c>
      <c r="Q19" s="486">
        <v>13.779527559055119</v>
      </c>
      <c r="R19" s="486">
        <v>9.0551181102362204</v>
      </c>
      <c r="S19" s="693">
        <v>81.25</v>
      </c>
      <c r="T19" s="693">
        <v>81.25</v>
      </c>
      <c r="U19" s="693"/>
    </row>
    <row r="20" spans="1:21" x14ac:dyDescent="0.25">
      <c r="A20" t="s">
        <v>4</v>
      </c>
      <c r="B20">
        <v>16</v>
      </c>
      <c r="C20" t="s">
        <v>5</v>
      </c>
      <c r="D20" s="980" t="s">
        <v>26</v>
      </c>
      <c r="E20" t="s">
        <v>722</v>
      </c>
      <c r="F20" t="s">
        <v>723</v>
      </c>
      <c r="G20" s="693">
        <v>672</v>
      </c>
      <c r="H20">
        <v>1</v>
      </c>
      <c r="I20">
        <v>86</v>
      </c>
      <c r="J20">
        <v>87</v>
      </c>
      <c r="K20">
        <v>29</v>
      </c>
      <c r="L20" s="692">
        <v>32</v>
      </c>
      <c r="M20" s="693">
        <v>1075</v>
      </c>
      <c r="N20" s="693">
        <v>1075</v>
      </c>
      <c r="O20" s="486">
        <v>189.59732</v>
      </c>
      <c r="P20" s="486">
        <v>34.251968503937007</v>
      </c>
      <c r="Q20" s="486">
        <v>11.417322834645669</v>
      </c>
      <c r="R20" s="486">
        <v>12.598425196850393</v>
      </c>
      <c r="S20" s="693">
        <v>59.72</v>
      </c>
      <c r="T20" s="693">
        <v>59.72</v>
      </c>
      <c r="U20" s="693"/>
    </row>
    <row r="21" spans="1:21" x14ac:dyDescent="0.25">
      <c r="A21" t="s">
        <v>4</v>
      </c>
      <c r="B21">
        <v>17</v>
      </c>
      <c r="C21" t="s">
        <v>5</v>
      </c>
      <c r="D21" s="980" t="s">
        <v>27</v>
      </c>
      <c r="E21" t="s">
        <v>890</v>
      </c>
      <c r="F21" t="s">
        <v>741</v>
      </c>
      <c r="G21" s="693">
        <v>640</v>
      </c>
      <c r="H21">
        <v>1</v>
      </c>
      <c r="I21">
        <v>82</v>
      </c>
      <c r="J21">
        <v>70</v>
      </c>
      <c r="K21">
        <v>34</v>
      </c>
      <c r="L21" s="692">
        <v>18</v>
      </c>
      <c r="M21" s="693">
        <v>1025</v>
      </c>
      <c r="N21" s="693">
        <v>1025</v>
      </c>
      <c r="O21" s="486">
        <v>180.77883999999997</v>
      </c>
      <c r="P21" s="486">
        <v>27.559055118110237</v>
      </c>
      <c r="Q21" s="486">
        <v>13.385826771653543</v>
      </c>
      <c r="R21" s="486">
        <v>7.0866141732283463</v>
      </c>
      <c r="S21" s="693">
        <v>56.94</v>
      </c>
      <c r="T21" s="693">
        <v>56.94</v>
      </c>
      <c r="U21" s="693"/>
    </row>
    <row r="22" spans="1:21" x14ac:dyDescent="0.25">
      <c r="A22" t="s">
        <v>4</v>
      </c>
      <c r="B22">
        <v>20</v>
      </c>
      <c r="C22" t="s">
        <v>28</v>
      </c>
      <c r="D22" s="980" t="s">
        <v>1027</v>
      </c>
      <c r="E22" t="s">
        <v>635</v>
      </c>
      <c r="F22" t="s">
        <v>636</v>
      </c>
      <c r="G22" s="693">
        <v>3168</v>
      </c>
      <c r="H22">
        <v>1</v>
      </c>
      <c r="I22">
        <v>30</v>
      </c>
      <c r="J22">
        <v>150</v>
      </c>
      <c r="K22">
        <v>80</v>
      </c>
      <c r="M22" s="693">
        <v>5100</v>
      </c>
      <c r="N22" s="693">
        <v>5100</v>
      </c>
      <c r="O22" s="486">
        <v>66.138599999999997</v>
      </c>
      <c r="P22" s="486">
        <v>59.055118110236222</v>
      </c>
      <c r="Q22" s="486">
        <v>31.496062992125985</v>
      </c>
      <c r="R22" s="486">
        <v>0</v>
      </c>
      <c r="S22" s="693">
        <v>283.33</v>
      </c>
      <c r="T22" s="693">
        <v>283.33</v>
      </c>
      <c r="U22" s="693"/>
    </row>
    <row r="23" spans="1:21" x14ac:dyDescent="0.25">
      <c r="A23" t="s">
        <v>4</v>
      </c>
      <c r="B23">
        <v>21</v>
      </c>
      <c r="C23" t="s">
        <v>29</v>
      </c>
      <c r="D23" s="980" t="s">
        <v>1028</v>
      </c>
      <c r="E23" t="s">
        <v>635</v>
      </c>
      <c r="F23" t="s">
        <v>636</v>
      </c>
      <c r="G23" s="693">
        <v>3168</v>
      </c>
      <c r="H23">
        <v>1</v>
      </c>
      <c r="I23">
        <v>30</v>
      </c>
      <c r="J23">
        <v>150</v>
      </c>
      <c r="K23">
        <v>80</v>
      </c>
      <c r="M23" s="693">
        <v>5100</v>
      </c>
      <c r="N23" s="693">
        <v>5100</v>
      </c>
      <c r="O23" s="486">
        <v>66.138599999999997</v>
      </c>
      <c r="P23" s="486">
        <v>59.055118110236222</v>
      </c>
      <c r="Q23" s="486">
        <v>31.496062992125985</v>
      </c>
      <c r="R23" s="486">
        <v>0</v>
      </c>
      <c r="S23" s="693">
        <v>283.33</v>
      </c>
      <c r="T23" s="693">
        <v>283.33</v>
      </c>
      <c r="U23" s="693"/>
    </row>
    <row r="24" spans="1:21" x14ac:dyDescent="0.25">
      <c r="A24" t="s">
        <v>4</v>
      </c>
      <c r="B24">
        <v>22</v>
      </c>
      <c r="C24" t="s">
        <v>30</v>
      </c>
      <c r="D24" s="980" t="s">
        <v>1029</v>
      </c>
      <c r="E24" t="s">
        <v>635</v>
      </c>
      <c r="F24" t="s">
        <v>636</v>
      </c>
      <c r="G24" s="693">
        <v>3168</v>
      </c>
      <c r="H24">
        <v>1</v>
      </c>
      <c r="I24">
        <v>30</v>
      </c>
      <c r="J24">
        <v>150</v>
      </c>
      <c r="K24">
        <v>80</v>
      </c>
      <c r="M24" s="693">
        <v>5100</v>
      </c>
      <c r="N24" s="693">
        <v>5100</v>
      </c>
      <c r="O24" s="486">
        <v>66.138599999999997</v>
      </c>
      <c r="P24" s="486">
        <v>59.055118110236222</v>
      </c>
      <c r="Q24" s="486">
        <v>31.496062992125985</v>
      </c>
      <c r="R24" s="486">
        <v>0</v>
      </c>
      <c r="S24" s="693">
        <v>283.33</v>
      </c>
      <c r="T24" s="693">
        <v>283.33</v>
      </c>
      <c r="U24" s="693"/>
    </row>
    <row r="25" spans="1:21" x14ac:dyDescent="0.25">
      <c r="A25" t="s">
        <v>4</v>
      </c>
      <c r="B25">
        <v>23</v>
      </c>
      <c r="C25" t="s">
        <v>30</v>
      </c>
      <c r="D25" s="980" t="s">
        <v>1030</v>
      </c>
      <c r="E25" t="s">
        <v>635</v>
      </c>
      <c r="F25" t="s">
        <v>636</v>
      </c>
      <c r="G25" s="693">
        <v>3168</v>
      </c>
      <c r="H25">
        <v>1</v>
      </c>
      <c r="I25">
        <v>30</v>
      </c>
      <c r="J25">
        <v>150</v>
      </c>
      <c r="K25">
        <v>80</v>
      </c>
      <c r="M25" s="693">
        <v>5100</v>
      </c>
      <c r="N25" s="693">
        <v>5100</v>
      </c>
      <c r="O25" s="486">
        <v>66.138599999999997</v>
      </c>
      <c r="P25" s="486">
        <v>59.055118110236222</v>
      </c>
      <c r="Q25" s="486">
        <v>31.496062992125985</v>
      </c>
      <c r="R25" s="486">
        <v>0</v>
      </c>
      <c r="S25" s="693">
        <v>283.33</v>
      </c>
      <c r="T25" s="693">
        <v>283.33</v>
      </c>
      <c r="U25" s="693"/>
    </row>
    <row r="26" spans="1:21" x14ac:dyDescent="0.25">
      <c r="A26" t="s">
        <v>4</v>
      </c>
      <c r="B26">
        <v>24</v>
      </c>
      <c r="C26" t="s">
        <v>31</v>
      </c>
      <c r="D26" s="980" t="s">
        <v>1031</v>
      </c>
      <c r="E26" t="s">
        <v>635</v>
      </c>
      <c r="F26" t="s">
        <v>636</v>
      </c>
      <c r="G26" s="693">
        <v>3168</v>
      </c>
      <c r="H26">
        <v>1</v>
      </c>
      <c r="I26">
        <v>30</v>
      </c>
      <c r="J26">
        <v>150</v>
      </c>
      <c r="K26">
        <v>80</v>
      </c>
      <c r="M26" s="693">
        <v>5100</v>
      </c>
      <c r="N26" s="693">
        <v>5100</v>
      </c>
      <c r="O26" s="486">
        <v>66.138599999999997</v>
      </c>
      <c r="P26" s="486">
        <v>59.055118110236222</v>
      </c>
      <c r="Q26" s="486">
        <v>31.496062992125985</v>
      </c>
      <c r="R26" s="486">
        <v>0</v>
      </c>
      <c r="S26" s="693">
        <v>283.33</v>
      </c>
      <c r="T26" s="693">
        <v>283.33</v>
      </c>
      <c r="U26" s="693"/>
    </row>
    <row r="27" spans="1:21" x14ac:dyDescent="0.25">
      <c r="A27" t="s">
        <v>4</v>
      </c>
      <c r="B27">
        <v>25</v>
      </c>
      <c r="C27" t="s">
        <v>32</v>
      </c>
      <c r="D27" s="980" t="s">
        <v>1032</v>
      </c>
      <c r="E27" t="s">
        <v>635</v>
      </c>
      <c r="F27" t="s">
        <v>636</v>
      </c>
      <c r="G27" s="693">
        <v>3168</v>
      </c>
      <c r="H27">
        <v>1</v>
      </c>
      <c r="I27">
        <v>30</v>
      </c>
      <c r="J27">
        <v>150</v>
      </c>
      <c r="K27">
        <v>80</v>
      </c>
      <c r="M27" s="693">
        <v>5100</v>
      </c>
      <c r="N27" s="693">
        <v>5100</v>
      </c>
      <c r="O27" s="486">
        <v>66.138599999999997</v>
      </c>
      <c r="P27" s="486">
        <v>59.055118110236222</v>
      </c>
      <c r="Q27" s="486">
        <v>31.496062992125985</v>
      </c>
      <c r="R27" s="486">
        <v>0</v>
      </c>
      <c r="S27" s="693">
        <v>283.33</v>
      </c>
      <c r="T27" s="693">
        <v>283.33</v>
      </c>
      <c r="U27" s="693"/>
    </row>
    <row r="28" spans="1:21" x14ac:dyDescent="0.25">
      <c r="A28" t="s">
        <v>4</v>
      </c>
      <c r="B28">
        <v>26</v>
      </c>
      <c r="C28" t="s">
        <v>33</v>
      </c>
      <c r="D28" s="980" t="s">
        <v>1033</v>
      </c>
      <c r="E28" t="s">
        <v>635</v>
      </c>
      <c r="F28" t="s">
        <v>636</v>
      </c>
      <c r="G28" s="693">
        <v>3168</v>
      </c>
      <c r="H28">
        <v>1</v>
      </c>
      <c r="I28">
        <v>30</v>
      </c>
      <c r="J28">
        <v>150</v>
      </c>
      <c r="K28">
        <v>80</v>
      </c>
      <c r="M28" s="693">
        <v>5100</v>
      </c>
      <c r="N28" s="693">
        <v>5100</v>
      </c>
      <c r="O28" s="486">
        <v>66.138599999999997</v>
      </c>
      <c r="P28" s="486">
        <v>59.055118110236222</v>
      </c>
      <c r="Q28" s="486">
        <v>31.496062992125985</v>
      </c>
      <c r="R28" s="486">
        <v>0</v>
      </c>
      <c r="S28" s="693">
        <v>283.33</v>
      </c>
      <c r="T28" s="693">
        <v>283.33</v>
      </c>
      <c r="U28" s="693"/>
    </row>
    <row r="29" spans="1:21" x14ac:dyDescent="0.25">
      <c r="A29" t="s">
        <v>4</v>
      </c>
      <c r="B29">
        <v>27</v>
      </c>
      <c r="C29" t="s">
        <v>33</v>
      </c>
      <c r="D29" s="980" t="s">
        <v>1034</v>
      </c>
      <c r="E29" t="s">
        <v>635</v>
      </c>
      <c r="F29" t="s">
        <v>636</v>
      </c>
      <c r="G29" s="693">
        <v>3168</v>
      </c>
      <c r="H29">
        <v>1</v>
      </c>
      <c r="I29">
        <v>30</v>
      </c>
      <c r="J29">
        <v>150</v>
      </c>
      <c r="K29">
        <v>80</v>
      </c>
      <c r="M29" s="693">
        <v>5100</v>
      </c>
      <c r="N29" s="693">
        <v>5100</v>
      </c>
      <c r="O29" s="486">
        <v>66.138599999999997</v>
      </c>
      <c r="P29" s="486">
        <v>59.055118110236222</v>
      </c>
      <c r="Q29" s="486">
        <v>31.496062992125985</v>
      </c>
      <c r="R29" s="486">
        <v>0</v>
      </c>
      <c r="S29" s="693">
        <v>283.33</v>
      </c>
      <c r="T29" s="693">
        <v>283.33</v>
      </c>
      <c r="U29" s="693"/>
    </row>
    <row r="30" spans="1:21" x14ac:dyDescent="0.25">
      <c r="A30" t="s">
        <v>4</v>
      </c>
      <c r="B30">
        <v>28</v>
      </c>
      <c r="C30" t="s">
        <v>33</v>
      </c>
      <c r="D30" s="980" t="s">
        <v>1035</v>
      </c>
      <c r="E30" t="s">
        <v>635</v>
      </c>
      <c r="F30" t="s">
        <v>636</v>
      </c>
      <c r="G30" s="693">
        <v>3168</v>
      </c>
      <c r="H30">
        <v>1</v>
      </c>
      <c r="I30">
        <v>30</v>
      </c>
      <c r="J30">
        <v>150</v>
      </c>
      <c r="K30">
        <v>80</v>
      </c>
      <c r="M30" s="693">
        <v>5100</v>
      </c>
      <c r="N30" s="693">
        <v>5100</v>
      </c>
      <c r="O30" s="486">
        <v>66.138599999999997</v>
      </c>
      <c r="P30" s="486">
        <v>59.055118110236222</v>
      </c>
      <c r="Q30" s="486">
        <v>31.496062992125985</v>
      </c>
      <c r="R30" s="486">
        <v>0</v>
      </c>
      <c r="S30" s="693">
        <v>283.33</v>
      </c>
      <c r="T30" s="693">
        <v>283.33</v>
      </c>
      <c r="U30" s="693"/>
    </row>
    <row r="31" spans="1:21" x14ac:dyDescent="0.25">
      <c r="A31" t="s">
        <v>4</v>
      </c>
      <c r="B31">
        <v>29</v>
      </c>
      <c r="C31" t="s">
        <v>33</v>
      </c>
      <c r="D31" s="980" t="s">
        <v>1036</v>
      </c>
      <c r="E31" t="s">
        <v>635</v>
      </c>
      <c r="F31" t="s">
        <v>636</v>
      </c>
      <c r="G31" s="693">
        <v>3168</v>
      </c>
      <c r="H31">
        <v>1</v>
      </c>
      <c r="I31">
        <v>30</v>
      </c>
      <c r="J31">
        <v>150</v>
      </c>
      <c r="K31">
        <v>80</v>
      </c>
      <c r="M31" s="693">
        <v>5100</v>
      </c>
      <c r="N31" s="693">
        <v>5100</v>
      </c>
      <c r="O31" s="486">
        <v>66.138599999999997</v>
      </c>
      <c r="P31" s="486">
        <v>59.055118110236222</v>
      </c>
      <c r="Q31" s="486">
        <v>31.496062992125985</v>
      </c>
      <c r="R31" s="486">
        <v>0</v>
      </c>
      <c r="S31" s="693">
        <v>283.33</v>
      </c>
      <c r="T31" s="693">
        <v>283.33</v>
      </c>
      <c r="U31" s="693"/>
    </row>
    <row r="32" spans="1:21" x14ac:dyDescent="0.25">
      <c r="A32" t="s">
        <v>4</v>
      </c>
      <c r="B32">
        <v>30</v>
      </c>
      <c r="C32" t="s">
        <v>33</v>
      </c>
      <c r="D32" s="980" t="s">
        <v>1037</v>
      </c>
      <c r="E32" t="s">
        <v>635</v>
      </c>
      <c r="F32" t="s">
        <v>636</v>
      </c>
      <c r="G32" s="693">
        <v>3168</v>
      </c>
      <c r="H32">
        <v>1</v>
      </c>
      <c r="I32">
        <v>30</v>
      </c>
      <c r="J32">
        <v>150</v>
      </c>
      <c r="K32">
        <v>80</v>
      </c>
      <c r="M32" s="693">
        <v>5100</v>
      </c>
      <c r="N32" s="693">
        <v>5100</v>
      </c>
      <c r="O32" s="486">
        <v>66.138599999999997</v>
      </c>
      <c r="P32" s="486">
        <v>59.055118110236222</v>
      </c>
      <c r="Q32" s="486">
        <v>31.496062992125985</v>
      </c>
      <c r="R32" s="486">
        <v>0</v>
      </c>
      <c r="S32" s="693">
        <v>283.33</v>
      </c>
      <c r="T32" s="693">
        <v>283.33</v>
      </c>
      <c r="U32" s="693"/>
    </row>
    <row r="33" spans="1:21" x14ac:dyDescent="0.25">
      <c r="A33" t="s">
        <v>4</v>
      </c>
      <c r="B33">
        <v>31</v>
      </c>
      <c r="C33" t="s">
        <v>33</v>
      </c>
      <c r="D33" s="980" t="s">
        <v>1038</v>
      </c>
      <c r="E33" t="s">
        <v>635</v>
      </c>
      <c r="F33" t="s">
        <v>636</v>
      </c>
      <c r="G33" s="693">
        <v>3168</v>
      </c>
      <c r="H33">
        <v>1</v>
      </c>
      <c r="I33">
        <v>30</v>
      </c>
      <c r="J33">
        <v>150</v>
      </c>
      <c r="K33">
        <v>80</v>
      </c>
      <c r="M33" s="693">
        <v>5100</v>
      </c>
      <c r="N33" s="693">
        <v>5100</v>
      </c>
      <c r="O33" s="486">
        <v>66.138599999999997</v>
      </c>
      <c r="P33" s="486">
        <v>59.055118110236222</v>
      </c>
      <c r="Q33" s="486">
        <v>31.496062992125985</v>
      </c>
      <c r="R33" s="486">
        <v>0</v>
      </c>
      <c r="S33" s="693">
        <v>283.33</v>
      </c>
      <c r="T33" s="693">
        <v>283.33</v>
      </c>
      <c r="U33" s="693"/>
    </row>
    <row r="34" spans="1:21" x14ac:dyDescent="0.25">
      <c r="A34" t="s">
        <v>4</v>
      </c>
      <c r="B34">
        <v>32</v>
      </c>
      <c r="C34" t="s">
        <v>34</v>
      </c>
      <c r="D34" s="980" t="s">
        <v>1039</v>
      </c>
      <c r="E34" t="s">
        <v>639</v>
      </c>
      <c r="F34" t="s">
        <v>640</v>
      </c>
      <c r="G34" s="693">
        <v>2608</v>
      </c>
      <c r="H34">
        <v>1</v>
      </c>
      <c r="I34">
        <v>27</v>
      </c>
      <c r="J34">
        <v>100</v>
      </c>
      <c r="K34">
        <v>100</v>
      </c>
      <c r="M34" s="693">
        <v>4200</v>
      </c>
      <c r="N34" s="693">
        <v>4200</v>
      </c>
      <c r="O34" s="486">
        <v>59.524739999999994</v>
      </c>
      <c r="P34" s="486">
        <v>39.370078740157481</v>
      </c>
      <c r="Q34" s="486">
        <v>39.370078740157481</v>
      </c>
      <c r="R34" s="486">
        <v>0</v>
      </c>
      <c r="S34" s="693">
        <v>233.33</v>
      </c>
      <c r="T34" s="693">
        <v>233.33</v>
      </c>
      <c r="U34" s="693"/>
    </row>
    <row r="35" spans="1:21" x14ac:dyDescent="0.25">
      <c r="A35" t="s">
        <v>4</v>
      </c>
      <c r="B35">
        <v>33</v>
      </c>
      <c r="C35" t="s">
        <v>35</v>
      </c>
      <c r="D35" s="980" t="s">
        <v>1040</v>
      </c>
      <c r="E35" t="s">
        <v>639</v>
      </c>
      <c r="F35" t="s">
        <v>640</v>
      </c>
      <c r="G35" s="693">
        <v>2608</v>
      </c>
      <c r="H35">
        <v>1</v>
      </c>
      <c r="I35">
        <v>27</v>
      </c>
      <c r="J35">
        <v>100</v>
      </c>
      <c r="K35">
        <v>100</v>
      </c>
      <c r="M35" s="693">
        <v>4200</v>
      </c>
      <c r="N35" s="693">
        <v>4200</v>
      </c>
      <c r="O35" s="486">
        <v>59.524739999999994</v>
      </c>
      <c r="P35" s="486">
        <v>39.370078740157481</v>
      </c>
      <c r="Q35" s="486">
        <v>39.370078740157481</v>
      </c>
      <c r="R35" s="486">
        <v>0</v>
      </c>
      <c r="S35" s="693">
        <v>233.33</v>
      </c>
      <c r="T35" s="693">
        <v>233.33</v>
      </c>
      <c r="U35" s="693"/>
    </row>
    <row r="36" spans="1:21" x14ac:dyDescent="0.25">
      <c r="A36" t="s">
        <v>4</v>
      </c>
      <c r="B36">
        <v>34</v>
      </c>
      <c r="C36" t="s">
        <v>35</v>
      </c>
      <c r="D36" s="980" t="s">
        <v>1041</v>
      </c>
      <c r="E36" t="s">
        <v>639</v>
      </c>
      <c r="F36" t="s">
        <v>640</v>
      </c>
      <c r="G36" s="693">
        <v>2608</v>
      </c>
      <c r="H36">
        <v>1</v>
      </c>
      <c r="I36">
        <v>27</v>
      </c>
      <c r="J36">
        <v>100</v>
      </c>
      <c r="K36">
        <v>100</v>
      </c>
      <c r="M36" s="693">
        <v>4200</v>
      </c>
      <c r="N36" s="693">
        <v>4200</v>
      </c>
      <c r="O36" s="486">
        <v>59.524739999999994</v>
      </c>
      <c r="P36" s="486">
        <v>39.370078740157481</v>
      </c>
      <c r="Q36" s="486">
        <v>39.370078740157481</v>
      </c>
      <c r="R36" s="486">
        <v>0</v>
      </c>
      <c r="S36" s="693">
        <v>233.33</v>
      </c>
      <c r="T36" s="693">
        <v>233.33</v>
      </c>
      <c r="U36" s="693"/>
    </row>
    <row r="37" spans="1:21" x14ac:dyDescent="0.25">
      <c r="A37" t="s">
        <v>4</v>
      </c>
      <c r="B37">
        <v>35</v>
      </c>
      <c r="C37" t="s">
        <v>35</v>
      </c>
      <c r="D37" s="980" t="s">
        <v>1042</v>
      </c>
      <c r="E37" t="s">
        <v>639</v>
      </c>
      <c r="F37" t="s">
        <v>640</v>
      </c>
      <c r="G37" s="693">
        <v>2608</v>
      </c>
      <c r="H37">
        <v>1</v>
      </c>
      <c r="I37">
        <v>27</v>
      </c>
      <c r="J37">
        <v>100</v>
      </c>
      <c r="K37">
        <v>100</v>
      </c>
      <c r="M37" s="693">
        <v>4200</v>
      </c>
      <c r="N37" s="693">
        <v>4200</v>
      </c>
      <c r="O37" s="486">
        <v>59.524739999999994</v>
      </c>
      <c r="P37" s="486">
        <v>39.370078740157481</v>
      </c>
      <c r="Q37" s="486">
        <v>39.370078740157481</v>
      </c>
      <c r="R37" s="486">
        <v>0</v>
      </c>
      <c r="S37" s="693">
        <v>233.33</v>
      </c>
      <c r="T37" s="693">
        <v>233.33</v>
      </c>
      <c r="U37" s="693"/>
    </row>
    <row r="38" spans="1:21" x14ac:dyDescent="0.25">
      <c r="A38" t="s">
        <v>4</v>
      </c>
      <c r="B38">
        <v>36</v>
      </c>
      <c r="C38" t="s">
        <v>36</v>
      </c>
      <c r="D38" s="980" t="s">
        <v>1043</v>
      </c>
      <c r="E38" t="s">
        <v>639</v>
      </c>
      <c r="F38" t="s">
        <v>640</v>
      </c>
      <c r="G38" s="693">
        <v>2608</v>
      </c>
      <c r="H38">
        <v>1</v>
      </c>
      <c r="I38">
        <v>27</v>
      </c>
      <c r="J38">
        <v>100</v>
      </c>
      <c r="K38">
        <v>100</v>
      </c>
      <c r="M38" s="693">
        <v>4200</v>
      </c>
      <c r="N38" s="693">
        <v>4200</v>
      </c>
      <c r="O38" s="486">
        <v>59.524739999999994</v>
      </c>
      <c r="P38" s="486">
        <v>39.370078740157481</v>
      </c>
      <c r="Q38" s="486">
        <v>39.370078740157481</v>
      </c>
      <c r="R38" s="486">
        <v>0</v>
      </c>
      <c r="S38" s="693">
        <v>233.33</v>
      </c>
      <c r="T38" s="693">
        <v>233.33</v>
      </c>
      <c r="U38" s="693"/>
    </row>
    <row r="39" spans="1:21" x14ac:dyDescent="0.25">
      <c r="A39" t="s">
        <v>4</v>
      </c>
      <c r="B39">
        <v>37</v>
      </c>
      <c r="C39" t="s">
        <v>36</v>
      </c>
      <c r="D39" s="980" t="s">
        <v>1044</v>
      </c>
      <c r="E39" t="s">
        <v>639</v>
      </c>
      <c r="F39" t="s">
        <v>640</v>
      </c>
      <c r="G39" s="693">
        <v>2608</v>
      </c>
      <c r="H39">
        <v>1</v>
      </c>
      <c r="I39">
        <v>27</v>
      </c>
      <c r="J39">
        <v>100</v>
      </c>
      <c r="K39">
        <v>100</v>
      </c>
      <c r="M39" s="693">
        <v>4200</v>
      </c>
      <c r="N39" s="693">
        <v>4200</v>
      </c>
      <c r="O39" s="486">
        <v>59.524739999999994</v>
      </c>
      <c r="P39" s="486">
        <v>39.370078740157481</v>
      </c>
      <c r="Q39" s="486">
        <v>39.370078740157481</v>
      </c>
      <c r="R39" s="486">
        <v>0</v>
      </c>
      <c r="S39" s="693">
        <v>233.33</v>
      </c>
      <c r="T39" s="693">
        <v>233.33</v>
      </c>
      <c r="U39" s="693"/>
    </row>
    <row r="40" spans="1:21" x14ac:dyDescent="0.25">
      <c r="A40" t="s">
        <v>4</v>
      </c>
      <c r="B40">
        <v>38</v>
      </c>
      <c r="C40" t="s">
        <v>37</v>
      </c>
      <c r="D40" s="980" t="s">
        <v>1045</v>
      </c>
      <c r="E40" t="s">
        <v>38</v>
      </c>
      <c r="F40" t="s">
        <v>642</v>
      </c>
      <c r="G40" s="693">
        <v>2120</v>
      </c>
      <c r="H40">
        <v>1</v>
      </c>
      <c r="I40">
        <v>19</v>
      </c>
      <c r="J40">
        <v>110</v>
      </c>
      <c r="K40">
        <v>60</v>
      </c>
      <c r="M40" s="693">
        <v>3400</v>
      </c>
      <c r="N40" s="693">
        <v>3400</v>
      </c>
      <c r="O40" s="486">
        <v>41.887779999999999</v>
      </c>
      <c r="P40" s="486">
        <v>43.30708661417323</v>
      </c>
      <c r="Q40" s="486">
        <v>23.622047244094489</v>
      </c>
      <c r="R40" s="486">
        <v>0</v>
      </c>
      <c r="S40" s="693">
        <v>188.89</v>
      </c>
      <c r="T40" s="693">
        <v>188.89</v>
      </c>
      <c r="U40" s="693"/>
    </row>
    <row r="41" spans="1:21" x14ac:dyDescent="0.25">
      <c r="A41" t="s">
        <v>4</v>
      </c>
      <c r="B41">
        <v>39</v>
      </c>
      <c r="C41" t="s">
        <v>37</v>
      </c>
      <c r="D41" s="980" t="s">
        <v>1046</v>
      </c>
      <c r="E41" t="s">
        <v>38</v>
      </c>
      <c r="F41" t="s">
        <v>642</v>
      </c>
      <c r="G41" s="693">
        <v>2120</v>
      </c>
      <c r="H41">
        <v>1</v>
      </c>
      <c r="I41">
        <v>19</v>
      </c>
      <c r="J41">
        <v>110</v>
      </c>
      <c r="K41">
        <v>60</v>
      </c>
      <c r="M41" s="693">
        <v>3400</v>
      </c>
      <c r="N41" s="693">
        <v>3400</v>
      </c>
      <c r="O41" s="486">
        <v>41.887779999999999</v>
      </c>
      <c r="P41" s="486">
        <v>43.30708661417323</v>
      </c>
      <c r="Q41" s="486">
        <v>23.622047244094489</v>
      </c>
      <c r="R41" s="486">
        <v>0</v>
      </c>
      <c r="S41" s="693">
        <v>188.89</v>
      </c>
      <c r="T41" s="693">
        <v>188.89</v>
      </c>
      <c r="U41" s="693"/>
    </row>
    <row r="42" spans="1:21" x14ac:dyDescent="0.25">
      <c r="A42" t="s">
        <v>4</v>
      </c>
      <c r="B42">
        <v>40</v>
      </c>
      <c r="C42" t="s">
        <v>37</v>
      </c>
      <c r="D42" s="980" t="s">
        <v>1047</v>
      </c>
      <c r="E42" t="s">
        <v>38</v>
      </c>
      <c r="F42" t="s">
        <v>642</v>
      </c>
      <c r="G42" s="693">
        <v>2120</v>
      </c>
      <c r="H42">
        <v>1</v>
      </c>
      <c r="I42">
        <v>19</v>
      </c>
      <c r="J42">
        <v>110</v>
      </c>
      <c r="K42">
        <v>60</v>
      </c>
      <c r="M42" s="693">
        <v>3400</v>
      </c>
      <c r="N42" s="693">
        <v>3400</v>
      </c>
      <c r="O42" s="486">
        <v>41.887779999999999</v>
      </c>
      <c r="P42" s="486">
        <v>43.30708661417323</v>
      </c>
      <c r="Q42" s="486">
        <v>23.622047244094489</v>
      </c>
      <c r="R42" s="486">
        <v>0</v>
      </c>
      <c r="S42" s="693">
        <v>188.89</v>
      </c>
      <c r="T42" s="693">
        <v>188.89</v>
      </c>
      <c r="U42" s="693"/>
    </row>
    <row r="43" spans="1:21" x14ac:dyDescent="0.25">
      <c r="A43" t="s">
        <v>4</v>
      </c>
      <c r="B43">
        <v>41</v>
      </c>
      <c r="C43" t="s">
        <v>37</v>
      </c>
      <c r="D43" s="980" t="s">
        <v>1048</v>
      </c>
      <c r="E43" t="s">
        <v>38</v>
      </c>
      <c r="F43" t="s">
        <v>642</v>
      </c>
      <c r="G43" s="693">
        <v>2120</v>
      </c>
      <c r="H43">
        <v>1</v>
      </c>
      <c r="I43">
        <v>19</v>
      </c>
      <c r="J43">
        <v>110</v>
      </c>
      <c r="K43">
        <v>60</v>
      </c>
      <c r="M43" s="693">
        <v>3400</v>
      </c>
      <c r="N43" s="693">
        <v>3400</v>
      </c>
      <c r="O43" s="486">
        <v>41.887779999999999</v>
      </c>
      <c r="P43" s="486">
        <v>43.30708661417323</v>
      </c>
      <c r="Q43" s="486">
        <v>23.622047244094489</v>
      </c>
      <c r="R43" s="486">
        <v>0</v>
      </c>
      <c r="S43" s="693">
        <v>188.89</v>
      </c>
      <c r="T43" s="693">
        <v>188.89</v>
      </c>
      <c r="U43" s="693"/>
    </row>
    <row r="44" spans="1:21" x14ac:dyDescent="0.25">
      <c r="A44" t="s">
        <v>4</v>
      </c>
      <c r="B44">
        <v>42</v>
      </c>
      <c r="C44" t="s">
        <v>37</v>
      </c>
      <c r="D44" s="980" t="s">
        <v>1049</v>
      </c>
      <c r="E44" t="s">
        <v>38</v>
      </c>
      <c r="F44" t="s">
        <v>642</v>
      </c>
      <c r="G44" s="693">
        <v>2120</v>
      </c>
      <c r="H44">
        <v>1</v>
      </c>
      <c r="I44">
        <v>19</v>
      </c>
      <c r="J44">
        <v>110</v>
      </c>
      <c r="K44">
        <v>60</v>
      </c>
      <c r="M44" s="693">
        <v>3400</v>
      </c>
      <c r="N44" s="693">
        <v>3400</v>
      </c>
      <c r="O44" s="486">
        <v>41.887779999999999</v>
      </c>
      <c r="P44" s="486">
        <v>43.30708661417323</v>
      </c>
      <c r="Q44" s="486">
        <v>23.622047244094489</v>
      </c>
      <c r="R44" s="486">
        <v>0</v>
      </c>
      <c r="S44" s="693">
        <v>188.89</v>
      </c>
      <c r="T44" s="693">
        <v>188.89</v>
      </c>
      <c r="U44" s="693"/>
    </row>
    <row r="45" spans="1:21" x14ac:dyDescent="0.25">
      <c r="A45" t="s">
        <v>4</v>
      </c>
      <c r="B45">
        <v>43</v>
      </c>
      <c r="C45" t="s">
        <v>39</v>
      </c>
      <c r="D45" s="980" t="s">
        <v>1050</v>
      </c>
      <c r="E45" t="s">
        <v>685</v>
      </c>
      <c r="F45" t="s">
        <v>686</v>
      </c>
      <c r="G45" s="693">
        <v>472</v>
      </c>
      <c r="H45">
        <v>25</v>
      </c>
      <c r="I45">
        <v>6.8</v>
      </c>
      <c r="J45">
        <v>45</v>
      </c>
      <c r="K45">
        <v>15</v>
      </c>
      <c r="M45" s="693">
        <v>750</v>
      </c>
      <c r="N45" s="693">
        <v>18750</v>
      </c>
      <c r="O45" s="486">
        <v>14.991415999999997</v>
      </c>
      <c r="P45" s="486">
        <v>17.716535433070867</v>
      </c>
      <c r="Q45" s="486">
        <v>5.9055118110236222</v>
      </c>
      <c r="R45" s="486">
        <v>0</v>
      </c>
      <c r="S45" s="693">
        <v>41.67</v>
      </c>
      <c r="T45" s="693">
        <v>1041.67</v>
      </c>
      <c r="U45" s="693"/>
    </row>
    <row r="46" spans="1:21" x14ac:dyDescent="0.25">
      <c r="A46" t="s">
        <v>4</v>
      </c>
      <c r="B46">
        <v>44</v>
      </c>
      <c r="C46" t="s">
        <v>39</v>
      </c>
      <c r="D46" s="980" t="s">
        <v>1051</v>
      </c>
      <c r="E46" t="s">
        <v>738</v>
      </c>
      <c r="F46" t="s">
        <v>716</v>
      </c>
      <c r="G46" s="693">
        <v>400</v>
      </c>
      <c r="H46">
        <v>9</v>
      </c>
      <c r="I46">
        <v>5.2</v>
      </c>
      <c r="J46">
        <v>40</v>
      </c>
      <c r="K46">
        <v>15</v>
      </c>
      <c r="M46" s="693">
        <v>648</v>
      </c>
      <c r="N46" s="693">
        <v>5832</v>
      </c>
      <c r="O46" s="486">
        <v>11.464024</v>
      </c>
      <c r="P46" s="486">
        <v>15.748031496062993</v>
      </c>
      <c r="Q46" s="486">
        <v>5.9055118110236222</v>
      </c>
      <c r="R46" s="486">
        <v>0</v>
      </c>
      <c r="S46" s="693">
        <v>36</v>
      </c>
      <c r="T46" s="693">
        <v>324</v>
      </c>
      <c r="U46" s="693"/>
    </row>
    <row r="47" spans="1:21" x14ac:dyDescent="0.25">
      <c r="A47" t="s">
        <v>4</v>
      </c>
      <c r="B47">
        <v>45</v>
      </c>
      <c r="C47" t="s">
        <v>39</v>
      </c>
      <c r="D47" s="980" t="s">
        <v>1052</v>
      </c>
      <c r="E47" t="s">
        <v>855</v>
      </c>
      <c r="F47" t="s">
        <v>688</v>
      </c>
      <c r="G47" s="693">
        <v>360</v>
      </c>
      <c r="H47">
        <v>2</v>
      </c>
      <c r="I47">
        <v>5</v>
      </c>
      <c r="J47">
        <v>35</v>
      </c>
      <c r="K47">
        <v>15</v>
      </c>
      <c r="M47" s="693">
        <v>567</v>
      </c>
      <c r="N47" s="693">
        <v>1134</v>
      </c>
      <c r="O47" s="486">
        <v>11.023099999999999</v>
      </c>
      <c r="P47" s="486">
        <v>13.779527559055119</v>
      </c>
      <c r="Q47" s="486">
        <v>5.9055118110236222</v>
      </c>
      <c r="R47" s="486">
        <v>0</v>
      </c>
      <c r="S47" s="693">
        <v>31.5</v>
      </c>
      <c r="T47" s="693">
        <v>63</v>
      </c>
      <c r="U47" s="693"/>
    </row>
    <row r="48" spans="1:21" x14ac:dyDescent="0.25">
      <c r="A48" t="s">
        <v>4</v>
      </c>
      <c r="B48">
        <v>46</v>
      </c>
      <c r="C48" t="s">
        <v>40</v>
      </c>
      <c r="D48" s="980" t="s">
        <v>1053</v>
      </c>
      <c r="E48" t="s">
        <v>779</v>
      </c>
      <c r="F48" t="s">
        <v>763</v>
      </c>
      <c r="G48" s="693">
        <v>280</v>
      </c>
      <c r="H48">
        <v>16</v>
      </c>
      <c r="I48">
        <v>3.2</v>
      </c>
      <c r="J48">
        <v>35</v>
      </c>
      <c r="K48">
        <v>12</v>
      </c>
      <c r="M48" s="693">
        <v>440</v>
      </c>
      <c r="N48" s="693">
        <v>7040</v>
      </c>
      <c r="O48" s="486">
        <v>7.0547839999999997</v>
      </c>
      <c r="P48" s="486">
        <v>13.779527559055119</v>
      </c>
      <c r="Q48" s="486">
        <v>4.7244094488188972</v>
      </c>
      <c r="R48" s="486">
        <v>0</v>
      </c>
      <c r="S48" s="693">
        <v>24.44</v>
      </c>
      <c r="T48" s="693">
        <v>391.11</v>
      </c>
      <c r="U48" s="693"/>
    </row>
    <row r="49" spans="1:21" x14ac:dyDescent="0.25">
      <c r="A49" t="s">
        <v>4</v>
      </c>
      <c r="B49">
        <v>47</v>
      </c>
      <c r="C49" t="s">
        <v>40</v>
      </c>
      <c r="D49" s="980" t="s">
        <v>1054</v>
      </c>
      <c r="E49" t="s">
        <v>827</v>
      </c>
      <c r="F49" t="s">
        <v>759</v>
      </c>
      <c r="G49" s="693">
        <v>232</v>
      </c>
      <c r="H49">
        <v>21</v>
      </c>
      <c r="I49">
        <v>2.8</v>
      </c>
      <c r="J49">
        <v>30</v>
      </c>
      <c r="K49">
        <v>12</v>
      </c>
      <c r="M49" s="693">
        <v>380</v>
      </c>
      <c r="N49" s="693">
        <v>7980</v>
      </c>
      <c r="O49" s="486">
        <v>6.1729359999999991</v>
      </c>
      <c r="P49" s="486">
        <v>11.811023622047244</v>
      </c>
      <c r="Q49" s="486">
        <v>4.7244094488188972</v>
      </c>
      <c r="R49" s="486">
        <v>0</v>
      </c>
      <c r="S49" s="693">
        <v>21.11</v>
      </c>
      <c r="T49" s="693">
        <v>443.33</v>
      </c>
      <c r="U49" s="693"/>
    </row>
    <row r="50" spans="1:21" x14ac:dyDescent="0.25">
      <c r="A50" t="s">
        <v>4</v>
      </c>
      <c r="B50">
        <v>48</v>
      </c>
      <c r="C50" t="s">
        <v>41</v>
      </c>
      <c r="D50" s="980" t="s">
        <v>1055</v>
      </c>
      <c r="E50" t="s">
        <v>712</v>
      </c>
      <c r="F50" t="s">
        <v>713</v>
      </c>
      <c r="G50" s="693">
        <v>312</v>
      </c>
      <c r="H50">
        <v>19</v>
      </c>
      <c r="I50">
        <v>4</v>
      </c>
      <c r="J50">
        <v>40</v>
      </c>
      <c r="K50">
        <v>12</v>
      </c>
      <c r="M50" s="693">
        <v>500</v>
      </c>
      <c r="N50" s="693">
        <v>9500</v>
      </c>
      <c r="O50" s="486">
        <v>8.8184799999999992</v>
      </c>
      <c r="P50" s="486">
        <v>15.748031496062993</v>
      </c>
      <c r="Q50" s="486">
        <v>4.7244094488188972</v>
      </c>
      <c r="R50" s="486">
        <v>0</v>
      </c>
      <c r="S50" s="693">
        <v>27.78</v>
      </c>
      <c r="T50" s="693">
        <v>527.78</v>
      </c>
      <c r="U50" s="693"/>
    </row>
    <row r="51" spans="1:21" x14ac:dyDescent="0.25">
      <c r="A51" t="s">
        <v>4</v>
      </c>
      <c r="B51">
        <v>49</v>
      </c>
      <c r="C51" t="s">
        <v>40</v>
      </c>
      <c r="D51" s="980" t="s">
        <v>1056</v>
      </c>
      <c r="E51" t="s">
        <v>691</v>
      </c>
      <c r="F51" t="s">
        <v>692</v>
      </c>
      <c r="G51" s="693">
        <v>272</v>
      </c>
      <c r="H51">
        <v>7</v>
      </c>
      <c r="I51">
        <v>3.4</v>
      </c>
      <c r="J51">
        <v>40</v>
      </c>
      <c r="K51">
        <v>10</v>
      </c>
      <c r="M51" s="693">
        <v>430</v>
      </c>
      <c r="N51" s="693">
        <v>3010</v>
      </c>
      <c r="O51" s="486">
        <v>7.4957079999999987</v>
      </c>
      <c r="P51" s="486">
        <v>15.748031496062993</v>
      </c>
      <c r="Q51" s="486">
        <v>3.9370078740157481</v>
      </c>
      <c r="R51" s="486">
        <v>0</v>
      </c>
      <c r="S51" s="693">
        <v>23.89</v>
      </c>
      <c r="T51" s="693">
        <v>167.22</v>
      </c>
      <c r="U51" s="693"/>
    </row>
    <row r="52" spans="1:21" x14ac:dyDescent="0.25">
      <c r="A52" t="s">
        <v>4</v>
      </c>
      <c r="B52">
        <v>50</v>
      </c>
      <c r="C52" t="s">
        <v>42</v>
      </c>
      <c r="D52" s="980" t="s">
        <v>1057</v>
      </c>
      <c r="E52" t="s">
        <v>691</v>
      </c>
      <c r="F52" t="s">
        <v>692</v>
      </c>
      <c r="G52" s="693">
        <v>272</v>
      </c>
      <c r="H52">
        <v>11</v>
      </c>
      <c r="I52">
        <v>3.4</v>
      </c>
      <c r="J52">
        <v>40</v>
      </c>
      <c r="K52">
        <v>10</v>
      </c>
      <c r="M52" s="693">
        <v>430</v>
      </c>
      <c r="N52" s="693">
        <v>4730</v>
      </c>
      <c r="O52" s="486">
        <v>7.4957079999999987</v>
      </c>
      <c r="P52" s="486">
        <v>15.748031496062993</v>
      </c>
      <c r="Q52" s="486">
        <v>3.9370078740157481</v>
      </c>
      <c r="R52" s="486">
        <v>0</v>
      </c>
      <c r="S52" s="693">
        <v>23.89</v>
      </c>
      <c r="T52" s="693">
        <v>262.77999999999997</v>
      </c>
      <c r="U52" s="693"/>
    </row>
    <row r="53" spans="1:21" x14ac:dyDescent="0.25">
      <c r="A53" t="s">
        <v>4</v>
      </c>
      <c r="B53">
        <v>51</v>
      </c>
      <c r="C53" t="s">
        <v>43</v>
      </c>
      <c r="D53" s="980" t="s">
        <v>1058</v>
      </c>
      <c r="E53" t="s">
        <v>691</v>
      </c>
      <c r="F53" t="s">
        <v>692</v>
      </c>
      <c r="G53" s="693">
        <v>272</v>
      </c>
      <c r="H53">
        <v>4</v>
      </c>
      <c r="I53">
        <v>3.4</v>
      </c>
      <c r="J53">
        <v>40</v>
      </c>
      <c r="K53">
        <v>10</v>
      </c>
      <c r="M53" s="693">
        <v>430</v>
      </c>
      <c r="N53" s="693">
        <v>1720</v>
      </c>
      <c r="O53" s="486">
        <v>7.4957079999999987</v>
      </c>
      <c r="P53" s="486">
        <v>15.748031496062993</v>
      </c>
      <c r="Q53" s="486">
        <v>3.9370078740157481</v>
      </c>
      <c r="R53" s="486">
        <v>0</v>
      </c>
      <c r="S53" s="693">
        <v>23.89</v>
      </c>
      <c r="T53" s="693">
        <v>95.56</v>
      </c>
      <c r="U53" s="693"/>
    </row>
    <row r="54" spans="1:21" x14ac:dyDescent="0.25">
      <c r="A54" t="s">
        <v>4</v>
      </c>
      <c r="B54">
        <v>52</v>
      </c>
      <c r="C54" t="s">
        <v>41</v>
      </c>
      <c r="D54" s="980" t="s">
        <v>1059</v>
      </c>
      <c r="E54" t="s">
        <v>691</v>
      </c>
      <c r="F54" t="s">
        <v>692</v>
      </c>
      <c r="G54" s="693">
        <v>272</v>
      </c>
      <c r="H54">
        <v>11</v>
      </c>
      <c r="I54">
        <v>3.4</v>
      </c>
      <c r="J54">
        <v>10</v>
      </c>
      <c r="K54">
        <v>10</v>
      </c>
      <c r="M54" s="693">
        <v>430</v>
      </c>
      <c r="N54" s="693">
        <v>4730</v>
      </c>
      <c r="O54" s="486">
        <v>7.4957079999999987</v>
      </c>
      <c r="P54" s="486">
        <v>3.9370078740157481</v>
      </c>
      <c r="Q54" s="486">
        <v>3.9370078740157481</v>
      </c>
      <c r="R54" s="486">
        <v>0</v>
      </c>
      <c r="S54" s="693">
        <v>23.89</v>
      </c>
      <c r="T54" s="693">
        <v>262.77999999999997</v>
      </c>
      <c r="U54" s="693"/>
    </row>
    <row r="55" spans="1:21" x14ac:dyDescent="0.25">
      <c r="A55" t="s">
        <v>4</v>
      </c>
      <c r="B55">
        <v>53</v>
      </c>
      <c r="C55" t="s">
        <v>44</v>
      </c>
      <c r="D55" s="980" t="s">
        <v>1060</v>
      </c>
      <c r="E55" t="s">
        <v>827</v>
      </c>
      <c r="F55" t="s">
        <v>759</v>
      </c>
      <c r="G55" s="693">
        <v>232</v>
      </c>
      <c r="H55">
        <v>9</v>
      </c>
      <c r="I55">
        <v>3</v>
      </c>
      <c r="J55">
        <v>35</v>
      </c>
      <c r="K55">
        <v>10</v>
      </c>
      <c r="M55" s="693">
        <v>380</v>
      </c>
      <c r="N55" s="693">
        <v>3420</v>
      </c>
      <c r="O55" s="486">
        <v>6.613859999999999</v>
      </c>
      <c r="P55" s="486">
        <v>13.779527559055119</v>
      </c>
      <c r="Q55" s="486">
        <v>3.9370078740157481</v>
      </c>
      <c r="R55" s="486">
        <v>0</v>
      </c>
      <c r="S55" s="693">
        <v>21.11</v>
      </c>
      <c r="T55" s="693">
        <v>190</v>
      </c>
      <c r="U55" s="693"/>
    </row>
    <row r="56" spans="1:21" x14ac:dyDescent="0.25">
      <c r="A56" t="s">
        <v>4</v>
      </c>
      <c r="B56">
        <v>54</v>
      </c>
      <c r="C56" t="s">
        <v>41</v>
      </c>
      <c r="D56" s="980" t="s">
        <v>1061</v>
      </c>
      <c r="E56" t="s">
        <v>827</v>
      </c>
      <c r="F56" t="s">
        <v>759</v>
      </c>
      <c r="G56" s="693">
        <v>232</v>
      </c>
      <c r="H56">
        <v>2</v>
      </c>
      <c r="I56">
        <v>3</v>
      </c>
      <c r="J56">
        <v>35</v>
      </c>
      <c r="K56">
        <v>10</v>
      </c>
      <c r="M56" s="693">
        <v>380</v>
      </c>
      <c r="N56" s="693">
        <v>760</v>
      </c>
      <c r="O56" s="486">
        <v>6.613859999999999</v>
      </c>
      <c r="P56" s="486">
        <v>13.779527559055119</v>
      </c>
      <c r="Q56" s="486">
        <v>3.9370078740157481</v>
      </c>
      <c r="R56" s="486">
        <v>0</v>
      </c>
      <c r="S56" s="693">
        <v>21.11</v>
      </c>
      <c r="T56" s="693">
        <v>42.22</v>
      </c>
      <c r="U56" s="693"/>
    </row>
    <row r="57" spans="1:21" x14ac:dyDescent="0.25">
      <c r="A57" t="s">
        <v>4</v>
      </c>
      <c r="B57">
        <v>55</v>
      </c>
      <c r="C57" t="s">
        <v>45</v>
      </c>
      <c r="D57" s="980" t="s">
        <v>1062</v>
      </c>
      <c r="E57" t="s">
        <v>827</v>
      </c>
      <c r="F57" t="s">
        <v>759</v>
      </c>
      <c r="G57" s="693">
        <v>232</v>
      </c>
      <c r="H57">
        <v>2</v>
      </c>
      <c r="I57">
        <v>3</v>
      </c>
      <c r="J57">
        <v>35</v>
      </c>
      <c r="K57">
        <v>10</v>
      </c>
      <c r="M57" s="693">
        <v>380</v>
      </c>
      <c r="N57" s="693">
        <v>760</v>
      </c>
      <c r="O57" s="486">
        <v>6.613859999999999</v>
      </c>
      <c r="P57" s="486">
        <v>13.779527559055119</v>
      </c>
      <c r="Q57" s="486">
        <v>3.9370078740157481</v>
      </c>
      <c r="R57" s="486">
        <v>0</v>
      </c>
      <c r="S57" s="693">
        <v>21.11</v>
      </c>
      <c r="T57" s="693">
        <v>42.22</v>
      </c>
      <c r="U57" s="693"/>
    </row>
    <row r="58" spans="1:21" x14ac:dyDescent="0.25">
      <c r="A58" t="s">
        <v>4</v>
      </c>
      <c r="B58">
        <v>56</v>
      </c>
      <c r="C58" t="s">
        <v>46</v>
      </c>
      <c r="D58" s="980" t="s">
        <v>1063</v>
      </c>
      <c r="E58" t="s">
        <v>763</v>
      </c>
      <c r="F58" t="s">
        <v>764</v>
      </c>
      <c r="G58" s="693">
        <v>200</v>
      </c>
      <c r="H58">
        <v>4</v>
      </c>
      <c r="I58">
        <v>2.4</v>
      </c>
      <c r="J58">
        <v>30</v>
      </c>
      <c r="K58">
        <v>10</v>
      </c>
      <c r="M58" s="693">
        <v>330</v>
      </c>
      <c r="N58" s="693">
        <v>1320</v>
      </c>
      <c r="O58" s="486">
        <v>5.2910879999999993</v>
      </c>
      <c r="P58" s="486">
        <v>11.811023622047244</v>
      </c>
      <c r="Q58" s="486">
        <v>3.9370078740157481</v>
      </c>
      <c r="R58" s="486">
        <v>0</v>
      </c>
      <c r="S58" s="693">
        <v>18.329999999999998</v>
      </c>
      <c r="T58" s="693">
        <v>73.33</v>
      </c>
      <c r="U58" s="693"/>
    </row>
    <row r="59" spans="1:21" x14ac:dyDescent="0.25">
      <c r="A59" t="s">
        <v>4</v>
      </c>
      <c r="B59">
        <v>57</v>
      </c>
      <c r="C59" t="s">
        <v>41</v>
      </c>
      <c r="D59" s="980" t="s">
        <v>1064</v>
      </c>
      <c r="E59" t="s">
        <v>763</v>
      </c>
      <c r="F59" t="s">
        <v>764</v>
      </c>
      <c r="G59" s="693">
        <v>200</v>
      </c>
      <c r="H59">
        <v>8</v>
      </c>
      <c r="I59">
        <v>2.4</v>
      </c>
      <c r="J59">
        <v>30</v>
      </c>
      <c r="K59">
        <v>10</v>
      </c>
      <c r="M59" s="693">
        <v>330</v>
      </c>
      <c r="N59" s="693">
        <v>2640</v>
      </c>
      <c r="O59" s="486">
        <v>5.2910879999999993</v>
      </c>
      <c r="P59" s="486">
        <v>11.811023622047244</v>
      </c>
      <c r="Q59" s="486">
        <v>3.9370078740157481</v>
      </c>
      <c r="R59" s="486">
        <v>0</v>
      </c>
      <c r="S59" s="693">
        <v>18.329999999999998</v>
      </c>
      <c r="T59" s="693">
        <v>146.66999999999999</v>
      </c>
      <c r="U59" s="693"/>
    </row>
    <row r="60" spans="1:21" x14ac:dyDescent="0.25">
      <c r="A60" t="s">
        <v>4</v>
      </c>
      <c r="B60">
        <v>58</v>
      </c>
      <c r="C60" t="s">
        <v>44</v>
      </c>
      <c r="D60" s="980" t="s">
        <v>1065</v>
      </c>
      <c r="E60" t="s">
        <v>763</v>
      </c>
      <c r="F60" t="s">
        <v>764</v>
      </c>
      <c r="G60" s="693">
        <v>200</v>
      </c>
      <c r="H60">
        <v>2</v>
      </c>
      <c r="I60">
        <v>2.4</v>
      </c>
      <c r="J60">
        <v>30</v>
      </c>
      <c r="K60">
        <v>10</v>
      </c>
      <c r="M60" s="693">
        <v>330</v>
      </c>
      <c r="N60" s="693">
        <v>660</v>
      </c>
      <c r="O60" s="486">
        <v>5.2910879999999993</v>
      </c>
      <c r="P60" s="486">
        <v>11.811023622047244</v>
      </c>
      <c r="Q60" s="486">
        <v>3.9370078740157481</v>
      </c>
      <c r="R60" s="486">
        <v>0</v>
      </c>
      <c r="S60" s="693">
        <v>18.329999999999998</v>
      </c>
      <c r="T60" s="693">
        <v>36.67</v>
      </c>
      <c r="U60" s="693"/>
    </row>
    <row r="61" spans="1:21" x14ac:dyDescent="0.25">
      <c r="A61" t="s">
        <v>4</v>
      </c>
      <c r="B61">
        <v>59</v>
      </c>
      <c r="C61" t="s">
        <v>47</v>
      </c>
      <c r="D61" s="980" t="s">
        <v>1066</v>
      </c>
      <c r="E61" t="s">
        <v>688</v>
      </c>
      <c r="F61" t="s">
        <v>689</v>
      </c>
      <c r="G61" s="693">
        <v>256</v>
      </c>
      <c r="H61">
        <v>14</v>
      </c>
      <c r="I61">
        <v>5.2</v>
      </c>
      <c r="J61">
        <v>35</v>
      </c>
      <c r="K61">
        <v>15</v>
      </c>
      <c r="M61" s="693">
        <v>420</v>
      </c>
      <c r="N61" s="693">
        <v>5880</v>
      </c>
      <c r="O61" s="486">
        <v>11.464024</v>
      </c>
      <c r="P61" s="486">
        <v>13.779527559055119</v>
      </c>
      <c r="Q61" s="486">
        <v>5.9055118110236222</v>
      </c>
      <c r="R61" s="486">
        <v>0</v>
      </c>
      <c r="S61" s="693">
        <v>23.33</v>
      </c>
      <c r="T61" s="693">
        <v>326.67</v>
      </c>
      <c r="U61" s="693"/>
    </row>
    <row r="62" spans="1:21" x14ac:dyDescent="0.25">
      <c r="A62" t="s">
        <v>4</v>
      </c>
      <c r="B62">
        <v>60</v>
      </c>
      <c r="C62" t="s">
        <v>48</v>
      </c>
      <c r="D62" s="980" t="s">
        <v>1067</v>
      </c>
      <c r="E62" t="s">
        <v>635</v>
      </c>
      <c r="F62" t="s">
        <v>636</v>
      </c>
      <c r="G62" s="693">
        <v>3168</v>
      </c>
      <c r="H62">
        <v>1</v>
      </c>
      <c r="I62">
        <v>30</v>
      </c>
      <c r="J62">
        <v>150</v>
      </c>
      <c r="K62">
        <v>80</v>
      </c>
      <c r="M62" s="693">
        <v>5100</v>
      </c>
      <c r="N62" s="693">
        <v>5100</v>
      </c>
      <c r="O62" s="486">
        <v>66.138599999999997</v>
      </c>
      <c r="P62" s="486">
        <v>59.055118110236222</v>
      </c>
      <c r="Q62" s="486">
        <v>31.496062992125985</v>
      </c>
      <c r="R62" s="486">
        <v>0</v>
      </c>
      <c r="S62" s="693">
        <v>283.33</v>
      </c>
      <c r="T62" s="693">
        <v>283.33</v>
      </c>
      <c r="U62" s="693"/>
    </row>
    <row r="63" spans="1:21" x14ac:dyDescent="0.25">
      <c r="A63" t="s">
        <v>4</v>
      </c>
      <c r="B63">
        <v>61</v>
      </c>
      <c r="C63" t="s">
        <v>48</v>
      </c>
      <c r="D63" s="980" t="s">
        <v>1068</v>
      </c>
      <c r="E63" t="s">
        <v>635</v>
      </c>
      <c r="F63" t="s">
        <v>636</v>
      </c>
      <c r="G63" s="693">
        <v>3168</v>
      </c>
      <c r="H63">
        <v>1</v>
      </c>
      <c r="I63">
        <v>30</v>
      </c>
      <c r="J63">
        <v>150</v>
      </c>
      <c r="K63">
        <v>80</v>
      </c>
      <c r="M63" s="693">
        <v>5100</v>
      </c>
      <c r="N63" s="693">
        <v>5100</v>
      </c>
      <c r="O63" s="486">
        <v>66.138599999999997</v>
      </c>
      <c r="P63" s="486">
        <v>59.055118110236222</v>
      </c>
      <c r="Q63" s="486">
        <v>31.496062992125985</v>
      </c>
      <c r="R63" s="486">
        <v>0</v>
      </c>
      <c r="S63" s="693">
        <v>283.33</v>
      </c>
      <c r="T63" s="693">
        <v>283.33</v>
      </c>
      <c r="U63" s="693"/>
    </row>
    <row r="64" spans="1:21" x14ac:dyDescent="0.25">
      <c r="A64" t="s">
        <v>4</v>
      </c>
      <c r="B64">
        <v>62</v>
      </c>
      <c r="C64" t="s">
        <v>49</v>
      </c>
      <c r="D64" s="980" t="s">
        <v>1069</v>
      </c>
      <c r="E64" t="s">
        <v>639</v>
      </c>
      <c r="F64" t="s">
        <v>640</v>
      </c>
      <c r="G64" s="693">
        <v>2608</v>
      </c>
      <c r="H64">
        <v>1</v>
      </c>
      <c r="I64">
        <v>27</v>
      </c>
      <c r="J64">
        <v>100</v>
      </c>
      <c r="K64">
        <v>100</v>
      </c>
      <c r="M64" s="693">
        <v>4200</v>
      </c>
      <c r="N64" s="693">
        <v>4200</v>
      </c>
      <c r="O64" s="486">
        <v>59.524739999999994</v>
      </c>
      <c r="P64" s="486">
        <v>39.370078740157481</v>
      </c>
      <c r="Q64" s="486">
        <v>39.370078740157481</v>
      </c>
      <c r="R64" s="486">
        <v>0</v>
      </c>
      <c r="S64" s="693">
        <v>233.33</v>
      </c>
      <c r="T64" s="693">
        <v>233.33</v>
      </c>
      <c r="U64" s="693"/>
    </row>
    <row r="65" spans="1:21" x14ac:dyDescent="0.25">
      <c r="A65" t="s">
        <v>4</v>
      </c>
      <c r="B65">
        <v>63</v>
      </c>
      <c r="C65" t="s">
        <v>50</v>
      </c>
      <c r="D65" s="980" t="s">
        <v>1070</v>
      </c>
      <c r="E65" t="s">
        <v>38</v>
      </c>
      <c r="F65" t="s">
        <v>642</v>
      </c>
      <c r="G65" s="693">
        <v>2120</v>
      </c>
      <c r="H65">
        <v>1</v>
      </c>
      <c r="I65">
        <v>19</v>
      </c>
      <c r="J65">
        <v>110</v>
      </c>
      <c r="K65">
        <v>60</v>
      </c>
      <c r="M65" s="693">
        <v>3400</v>
      </c>
      <c r="N65" s="693">
        <v>3400</v>
      </c>
      <c r="O65" s="486">
        <v>41.887779999999999</v>
      </c>
      <c r="P65" s="486">
        <v>43.30708661417323</v>
      </c>
      <c r="Q65" s="486">
        <v>23.622047244094489</v>
      </c>
      <c r="R65" s="486">
        <v>0</v>
      </c>
      <c r="S65" s="693">
        <v>188.89</v>
      </c>
      <c r="T65" s="693">
        <v>188.89</v>
      </c>
      <c r="U65" s="693"/>
    </row>
    <row r="66" spans="1:21" x14ac:dyDescent="0.25">
      <c r="A66" t="s">
        <v>4</v>
      </c>
      <c r="B66">
        <v>64</v>
      </c>
      <c r="C66" t="s">
        <v>50</v>
      </c>
      <c r="D66" s="980" t="s">
        <v>1071</v>
      </c>
      <c r="E66" t="s">
        <v>38</v>
      </c>
      <c r="F66" t="s">
        <v>642</v>
      </c>
      <c r="G66" s="693">
        <v>2120</v>
      </c>
      <c r="H66">
        <v>1</v>
      </c>
      <c r="I66">
        <v>19</v>
      </c>
      <c r="J66">
        <v>110</v>
      </c>
      <c r="K66">
        <v>60</v>
      </c>
      <c r="M66" s="693">
        <v>3400</v>
      </c>
      <c r="N66" s="693">
        <v>3400</v>
      </c>
      <c r="O66" s="486">
        <v>41.887779999999999</v>
      </c>
      <c r="P66" s="486">
        <v>43.30708661417323</v>
      </c>
      <c r="Q66" s="486">
        <v>23.622047244094489</v>
      </c>
      <c r="R66" s="486">
        <v>0</v>
      </c>
      <c r="S66" s="693">
        <v>188.89</v>
      </c>
      <c r="T66" s="693">
        <v>188.89</v>
      </c>
      <c r="U66" s="693"/>
    </row>
    <row r="67" spans="1:21" x14ac:dyDescent="0.25">
      <c r="A67" t="s">
        <v>4</v>
      </c>
      <c r="B67">
        <v>65</v>
      </c>
      <c r="C67" t="s">
        <v>50</v>
      </c>
      <c r="D67" s="980" t="s">
        <v>1072</v>
      </c>
      <c r="E67" t="s">
        <v>38</v>
      </c>
      <c r="F67" t="s">
        <v>642</v>
      </c>
      <c r="G67" s="693">
        <v>2120</v>
      </c>
      <c r="H67">
        <v>1</v>
      </c>
      <c r="I67">
        <v>19</v>
      </c>
      <c r="J67">
        <v>110</v>
      </c>
      <c r="K67">
        <v>60</v>
      </c>
      <c r="M67" s="693">
        <v>3400</v>
      </c>
      <c r="N67" s="693">
        <v>3400</v>
      </c>
      <c r="O67" s="486">
        <v>41.887779999999999</v>
      </c>
      <c r="P67" s="486">
        <v>43.30708661417323</v>
      </c>
      <c r="Q67" s="486">
        <v>23.622047244094489</v>
      </c>
      <c r="R67" s="486">
        <v>0</v>
      </c>
      <c r="S67" s="693">
        <v>188.89</v>
      </c>
      <c r="T67" s="693">
        <v>188.89</v>
      </c>
      <c r="U67" s="693"/>
    </row>
    <row r="68" spans="1:21" x14ac:dyDescent="0.25">
      <c r="A68" t="s">
        <v>4</v>
      </c>
      <c r="B68">
        <v>66</v>
      </c>
      <c r="C68" t="s">
        <v>50</v>
      </c>
      <c r="D68" s="980" t="s">
        <v>1073</v>
      </c>
      <c r="E68" t="s">
        <v>38</v>
      </c>
      <c r="F68" t="s">
        <v>642</v>
      </c>
      <c r="G68" s="693">
        <v>2120</v>
      </c>
      <c r="H68">
        <v>1</v>
      </c>
      <c r="I68">
        <v>19</v>
      </c>
      <c r="J68">
        <v>110</v>
      </c>
      <c r="K68">
        <v>60</v>
      </c>
      <c r="M68" s="693">
        <v>3400</v>
      </c>
      <c r="N68" s="693">
        <v>3400</v>
      </c>
      <c r="O68" s="486">
        <v>41.887779999999999</v>
      </c>
      <c r="P68" s="486">
        <v>43.30708661417323</v>
      </c>
      <c r="Q68" s="486">
        <v>23.622047244094489</v>
      </c>
      <c r="R68" s="486">
        <v>0</v>
      </c>
      <c r="S68" s="693">
        <v>188.89</v>
      </c>
      <c r="T68" s="693">
        <v>188.89</v>
      </c>
      <c r="U68" s="693"/>
    </row>
    <row r="69" spans="1:21" x14ac:dyDescent="0.25">
      <c r="A69" t="s">
        <v>4</v>
      </c>
      <c r="B69">
        <v>67</v>
      </c>
      <c r="C69" t="s">
        <v>48</v>
      </c>
      <c r="D69" s="980" t="s">
        <v>1074</v>
      </c>
      <c r="E69" t="s">
        <v>38</v>
      </c>
      <c r="F69" t="s">
        <v>642</v>
      </c>
      <c r="G69" s="693">
        <v>2120</v>
      </c>
      <c r="H69">
        <v>1</v>
      </c>
      <c r="I69">
        <v>19</v>
      </c>
      <c r="J69">
        <v>110</v>
      </c>
      <c r="K69">
        <v>60</v>
      </c>
      <c r="M69" s="693">
        <v>3400</v>
      </c>
      <c r="N69" s="693">
        <v>3400</v>
      </c>
      <c r="O69" s="486">
        <v>41.887779999999999</v>
      </c>
      <c r="P69" s="486">
        <v>43.30708661417323</v>
      </c>
      <c r="Q69" s="486">
        <v>23.622047244094489</v>
      </c>
      <c r="R69" s="486">
        <v>0</v>
      </c>
      <c r="S69" s="693">
        <v>188.89</v>
      </c>
      <c r="T69" s="693">
        <v>188.89</v>
      </c>
      <c r="U69" s="693"/>
    </row>
    <row r="70" spans="1:21" x14ac:dyDescent="0.25">
      <c r="A70" t="s">
        <v>4</v>
      </c>
      <c r="B70">
        <v>68</v>
      </c>
      <c r="C70" t="s">
        <v>51</v>
      </c>
      <c r="D70" s="980" t="s">
        <v>1075</v>
      </c>
      <c r="E70" t="s">
        <v>685</v>
      </c>
      <c r="F70" t="s">
        <v>686</v>
      </c>
      <c r="G70" s="693">
        <v>472</v>
      </c>
      <c r="H70">
        <v>13</v>
      </c>
      <c r="I70">
        <v>7</v>
      </c>
      <c r="J70">
        <v>45</v>
      </c>
      <c r="K70">
        <v>15</v>
      </c>
      <c r="M70" s="693">
        <v>750</v>
      </c>
      <c r="N70" s="693">
        <v>9750</v>
      </c>
      <c r="O70" s="486">
        <v>15.432339999999998</v>
      </c>
      <c r="P70" s="486">
        <v>17.716535433070867</v>
      </c>
      <c r="Q70" s="486">
        <v>5.9055118110236222</v>
      </c>
      <c r="R70" s="486">
        <v>0</v>
      </c>
      <c r="S70" s="693">
        <v>41.67</v>
      </c>
      <c r="T70" s="693">
        <v>541.66999999999996</v>
      </c>
      <c r="U70" s="693"/>
    </row>
    <row r="71" spans="1:21" x14ac:dyDescent="0.25">
      <c r="A71" t="s">
        <v>4</v>
      </c>
      <c r="B71">
        <v>69</v>
      </c>
      <c r="C71" t="s">
        <v>51</v>
      </c>
      <c r="D71" s="980" t="s">
        <v>1076</v>
      </c>
      <c r="E71" t="s">
        <v>712</v>
      </c>
      <c r="F71" t="s">
        <v>713</v>
      </c>
      <c r="G71" s="693">
        <v>312</v>
      </c>
      <c r="H71">
        <v>4</v>
      </c>
      <c r="I71">
        <v>4</v>
      </c>
      <c r="J71">
        <v>40</v>
      </c>
      <c r="K71">
        <v>12</v>
      </c>
      <c r="M71" s="693">
        <v>500</v>
      </c>
      <c r="N71" s="693">
        <v>2000</v>
      </c>
      <c r="O71" s="486">
        <v>8.8184799999999992</v>
      </c>
      <c r="P71" s="486">
        <v>15.748031496062993</v>
      </c>
      <c r="Q71" s="486">
        <v>4.7244094488188972</v>
      </c>
      <c r="R71" s="486">
        <v>0</v>
      </c>
      <c r="S71" s="693">
        <v>27.78</v>
      </c>
      <c r="T71" s="693">
        <v>111.11</v>
      </c>
      <c r="U71" s="693"/>
    </row>
    <row r="72" spans="1:21" x14ac:dyDescent="0.25">
      <c r="A72" t="s">
        <v>4</v>
      </c>
      <c r="B72">
        <v>70</v>
      </c>
      <c r="C72" t="s">
        <v>52</v>
      </c>
      <c r="D72" s="980" t="s">
        <v>1077</v>
      </c>
      <c r="E72" t="s">
        <v>779</v>
      </c>
      <c r="F72" t="s">
        <v>763</v>
      </c>
      <c r="G72" s="693">
        <v>280</v>
      </c>
      <c r="H72">
        <v>1</v>
      </c>
      <c r="I72">
        <v>3</v>
      </c>
      <c r="J72">
        <v>35</v>
      </c>
      <c r="K72">
        <v>12</v>
      </c>
      <c r="M72" s="693">
        <v>440</v>
      </c>
      <c r="N72" s="693">
        <v>440</v>
      </c>
      <c r="O72" s="486">
        <v>6.613859999999999</v>
      </c>
      <c r="P72" s="486">
        <v>13.779527559055119</v>
      </c>
      <c r="Q72" s="486">
        <v>4.7244094488188972</v>
      </c>
      <c r="R72" s="486">
        <v>0</v>
      </c>
      <c r="S72" s="693">
        <v>24.44</v>
      </c>
      <c r="T72" s="693">
        <v>24.44</v>
      </c>
      <c r="U72" s="693"/>
    </row>
    <row r="73" spans="1:21" x14ac:dyDescent="0.25">
      <c r="A73" t="s">
        <v>4</v>
      </c>
      <c r="B73">
        <v>71</v>
      </c>
      <c r="C73" t="s">
        <v>52</v>
      </c>
      <c r="D73" s="980" t="s">
        <v>1078</v>
      </c>
      <c r="E73" t="s">
        <v>827</v>
      </c>
      <c r="F73" t="s">
        <v>759</v>
      </c>
      <c r="G73" s="693">
        <v>232</v>
      </c>
      <c r="H73">
        <v>4</v>
      </c>
      <c r="I73">
        <v>3</v>
      </c>
      <c r="J73">
        <v>30</v>
      </c>
      <c r="K73">
        <v>12</v>
      </c>
      <c r="M73" s="693">
        <v>380</v>
      </c>
      <c r="N73" s="693">
        <v>1520</v>
      </c>
      <c r="O73" s="486">
        <v>6.613859999999999</v>
      </c>
      <c r="P73" s="486">
        <v>11.811023622047244</v>
      </c>
      <c r="Q73" s="486">
        <v>4.7244094488188972</v>
      </c>
      <c r="R73" s="486">
        <v>0</v>
      </c>
      <c r="S73" s="693">
        <v>21.11</v>
      </c>
      <c r="T73" s="693">
        <v>84.44</v>
      </c>
      <c r="U73" s="693"/>
    </row>
    <row r="74" spans="1:21" x14ac:dyDescent="0.25">
      <c r="A74" t="s">
        <v>4</v>
      </c>
      <c r="B74">
        <v>72</v>
      </c>
      <c r="C74" t="s">
        <v>48</v>
      </c>
      <c r="D74" s="980" t="s">
        <v>1079</v>
      </c>
      <c r="E74" t="s">
        <v>635</v>
      </c>
      <c r="F74" t="s">
        <v>636</v>
      </c>
      <c r="G74" s="693">
        <v>3168</v>
      </c>
      <c r="H74">
        <v>1</v>
      </c>
      <c r="I74">
        <v>30</v>
      </c>
      <c r="J74">
        <v>150</v>
      </c>
      <c r="K74">
        <v>80</v>
      </c>
      <c r="M74" s="693">
        <v>5100</v>
      </c>
      <c r="N74" s="693">
        <v>5100</v>
      </c>
      <c r="O74" s="486">
        <v>66.138599999999997</v>
      </c>
      <c r="P74" s="486">
        <v>59.055118110236222</v>
      </c>
      <c r="Q74" s="486">
        <v>31.496062992125985</v>
      </c>
      <c r="R74" s="486">
        <v>0</v>
      </c>
      <c r="S74" s="693">
        <v>283.33</v>
      </c>
      <c r="T74" s="693">
        <v>283.33</v>
      </c>
      <c r="U74" s="693"/>
    </row>
    <row r="75" spans="1:21" x14ac:dyDescent="0.25">
      <c r="A75" t="s">
        <v>4</v>
      </c>
      <c r="B75">
        <v>73</v>
      </c>
      <c r="C75" t="s">
        <v>53</v>
      </c>
      <c r="D75" s="980" t="s">
        <v>1080</v>
      </c>
      <c r="E75" t="s">
        <v>639</v>
      </c>
      <c r="F75" t="s">
        <v>640</v>
      </c>
      <c r="G75" s="693">
        <v>2608</v>
      </c>
      <c r="H75">
        <v>6</v>
      </c>
      <c r="I75">
        <v>13</v>
      </c>
      <c r="J75">
        <v>80</v>
      </c>
      <c r="M75" s="693">
        <v>4200</v>
      </c>
      <c r="N75" s="693">
        <v>25200</v>
      </c>
      <c r="O75" s="486">
        <v>28.660059999999998</v>
      </c>
      <c r="P75" s="486">
        <v>31.496062992125985</v>
      </c>
      <c r="Q75" s="486">
        <v>0</v>
      </c>
      <c r="R75" s="486">
        <v>0</v>
      </c>
      <c r="S75" s="693">
        <v>233.33</v>
      </c>
      <c r="T75" s="693">
        <v>1400</v>
      </c>
      <c r="U75" s="693"/>
    </row>
    <row r="76" spans="1:21" x14ac:dyDescent="0.25">
      <c r="A76" t="s">
        <v>4</v>
      </c>
      <c r="B76">
        <v>74</v>
      </c>
      <c r="C76" t="s">
        <v>48</v>
      </c>
      <c r="D76" s="980" t="s">
        <v>1081</v>
      </c>
      <c r="E76" t="s">
        <v>38</v>
      </c>
      <c r="F76" t="s">
        <v>642</v>
      </c>
      <c r="G76" s="693">
        <v>2120</v>
      </c>
      <c r="H76">
        <v>5</v>
      </c>
      <c r="I76">
        <v>19</v>
      </c>
      <c r="J76">
        <v>110</v>
      </c>
      <c r="K76">
        <v>60</v>
      </c>
      <c r="M76" s="693">
        <v>3400</v>
      </c>
      <c r="N76" s="693">
        <v>17000</v>
      </c>
      <c r="O76" s="486">
        <v>41.887779999999999</v>
      </c>
      <c r="P76" s="486">
        <v>43.30708661417323</v>
      </c>
      <c r="Q76" s="486">
        <v>23.622047244094489</v>
      </c>
      <c r="R76" s="486">
        <v>0</v>
      </c>
      <c r="S76" s="693">
        <v>188.89</v>
      </c>
      <c r="T76" s="693">
        <v>944.44</v>
      </c>
      <c r="U76" s="693"/>
    </row>
    <row r="77" spans="1:21" x14ac:dyDescent="0.25">
      <c r="A77" t="s">
        <v>4</v>
      </c>
      <c r="B77">
        <v>75</v>
      </c>
      <c r="C77" t="s">
        <v>54</v>
      </c>
      <c r="D77" s="980" t="s">
        <v>1082</v>
      </c>
      <c r="E77" t="s">
        <v>653</v>
      </c>
      <c r="F77" t="s">
        <v>654</v>
      </c>
      <c r="G77" s="693">
        <v>4984</v>
      </c>
      <c r="H77">
        <v>1</v>
      </c>
      <c r="I77">
        <v>52</v>
      </c>
      <c r="J77">
        <v>86</v>
      </c>
      <c r="K77">
        <v>86</v>
      </c>
      <c r="L77" s="692">
        <v>50</v>
      </c>
      <c r="M77" s="693">
        <v>8000</v>
      </c>
      <c r="N77" s="693">
        <v>8000</v>
      </c>
      <c r="O77" s="486">
        <v>114.64023999999999</v>
      </c>
      <c r="P77" s="486">
        <v>33.85826771653543</v>
      </c>
      <c r="Q77" s="486">
        <v>33.85826771653543</v>
      </c>
      <c r="R77" s="486">
        <v>19.685039370078741</v>
      </c>
      <c r="S77" s="693">
        <v>444.44</v>
      </c>
      <c r="T77" s="693">
        <v>444.44</v>
      </c>
      <c r="U77" s="693"/>
    </row>
    <row r="78" spans="1:21" x14ac:dyDescent="0.25">
      <c r="A78" t="s">
        <v>55</v>
      </c>
      <c r="B78">
        <v>1</v>
      </c>
      <c r="C78" t="s">
        <v>56</v>
      </c>
      <c r="D78" s="981" t="s">
        <v>1083</v>
      </c>
      <c r="E78" t="s">
        <v>1084</v>
      </c>
      <c r="F78" t="s">
        <v>1085</v>
      </c>
      <c r="G78" s="693">
        <v>13696</v>
      </c>
      <c r="H78">
        <v>1</v>
      </c>
      <c r="I78">
        <v>155</v>
      </c>
      <c r="J78">
        <v>210</v>
      </c>
      <c r="K78">
        <v>40</v>
      </c>
      <c r="L78" s="692">
        <v>10</v>
      </c>
      <c r="M78" s="693">
        <v>22015</v>
      </c>
      <c r="N78" s="693">
        <v>22015</v>
      </c>
      <c r="O78" s="486">
        <v>341.71609999999998</v>
      </c>
      <c r="P78" s="486">
        <v>82.677165354330711</v>
      </c>
      <c r="Q78" s="486">
        <v>15.748031496062993</v>
      </c>
      <c r="R78" s="486">
        <v>3.9370078740157481</v>
      </c>
      <c r="S78" s="693">
        <v>1223.06</v>
      </c>
      <c r="T78" s="693">
        <v>1223.06</v>
      </c>
      <c r="U78" s="693"/>
    </row>
    <row r="79" spans="1:21" x14ac:dyDescent="0.25">
      <c r="A79" t="s">
        <v>55</v>
      </c>
      <c r="B79">
        <v>2</v>
      </c>
      <c r="C79" t="s">
        <v>57</v>
      </c>
      <c r="D79" s="981" t="s">
        <v>1086</v>
      </c>
      <c r="E79" t="s">
        <v>1087</v>
      </c>
      <c r="F79" t="s">
        <v>1088</v>
      </c>
      <c r="G79" s="693">
        <v>15288</v>
      </c>
      <c r="H79">
        <v>1</v>
      </c>
      <c r="I79">
        <v>250</v>
      </c>
      <c r="J79">
        <v>170</v>
      </c>
      <c r="M79" s="693">
        <v>24565</v>
      </c>
      <c r="N79" s="693">
        <v>24565</v>
      </c>
      <c r="O79" s="486">
        <v>551.15499999999997</v>
      </c>
      <c r="P79" s="486">
        <v>66.929133858267718</v>
      </c>
      <c r="Q79" s="486">
        <v>0</v>
      </c>
      <c r="R79" s="486">
        <v>0</v>
      </c>
      <c r="S79" s="693">
        <v>1364.72</v>
      </c>
      <c r="T79" s="693">
        <v>1364.72</v>
      </c>
      <c r="U79" s="693"/>
    </row>
    <row r="80" spans="1:21" x14ac:dyDescent="0.25">
      <c r="A80" t="s">
        <v>55</v>
      </c>
      <c r="B80">
        <v>3</v>
      </c>
      <c r="C80" t="s">
        <v>58</v>
      </c>
      <c r="D80" s="981" t="s">
        <v>1089</v>
      </c>
      <c r="E80" t="s">
        <v>1090</v>
      </c>
      <c r="F80" t="s">
        <v>1091</v>
      </c>
      <c r="G80" s="693">
        <v>12400</v>
      </c>
      <c r="H80">
        <v>1</v>
      </c>
      <c r="I80">
        <v>120</v>
      </c>
      <c r="J80">
        <v>190</v>
      </c>
      <c r="K80">
        <v>60</v>
      </c>
      <c r="L80" s="692">
        <v>10</v>
      </c>
      <c r="M80" s="693">
        <v>19932.5</v>
      </c>
      <c r="N80" s="693">
        <v>19932.5</v>
      </c>
      <c r="O80" s="486">
        <v>264.55439999999999</v>
      </c>
      <c r="P80" s="486">
        <v>74.803149606299215</v>
      </c>
      <c r="Q80" s="486">
        <v>23.622047244094489</v>
      </c>
      <c r="R80" s="486">
        <v>3.9370078740157481</v>
      </c>
      <c r="S80" s="693">
        <v>1107.3599999999999</v>
      </c>
      <c r="T80" s="693">
        <v>1107.3599999999999</v>
      </c>
      <c r="U80" s="693"/>
    </row>
    <row r="81" spans="1:21" x14ac:dyDescent="0.25">
      <c r="A81" t="s">
        <v>55</v>
      </c>
      <c r="B81">
        <v>4</v>
      </c>
      <c r="C81" t="s">
        <v>59</v>
      </c>
      <c r="D81" s="981" t="s">
        <v>1092</v>
      </c>
      <c r="E81" t="s">
        <v>1093</v>
      </c>
      <c r="F81" t="s">
        <v>1094</v>
      </c>
      <c r="G81" s="693">
        <v>13840</v>
      </c>
      <c r="H81">
        <v>1</v>
      </c>
      <c r="I81">
        <v>50</v>
      </c>
      <c r="J81">
        <v>160</v>
      </c>
      <c r="K81">
        <v>30</v>
      </c>
      <c r="L81" s="692">
        <v>30</v>
      </c>
      <c r="M81" s="693">
        <v>22240</v>
      </c>
      <c r="N81" s="693">
        <v>22240</v>
      </c>
      <c r="O81" s="486">
        <v>110.23099999999999</v>
      </c>
      <c r="P81" s="486">
        <v>62.99212598425197</v>
      </c>
      <c r="Q81" s="486">
        <v>11.811023622047244</v>
      </c>
      <c r="R81" s="486">
        <v>11.811023622047244</v>
      </c>
      <c r="S81" s="693">
        <v>1235.56</v>
      </c>
      <c r="T81" s="693">
        <v>1235.56</v>
      </c>
      <c r="U81" s="693"/>
    </row>
    <row r="82" spans="1:21" x14ac:dyDescent="0.25">
      <c r="A82" t="s">
        <v>55</v>
      </c>
      <c r="B82">
        <v>5</v>
      </c>
      <c r="C82" t="s">
        <v>59</v>
      </c>
      <c r="D82" s="981" t="s">
        <v>1095</v>
      </c>
      <c r="E82" t="s">
        <v>1096</v>
      </c>
      <c r="F82" t="s">
        <v>1097</v>
      </c>
      <c r="G82" s="693">
        <v>12568</v>
      </c>
      <c r="H82">
        <v>1</v>
      </c>
      <c r="I82">
        <v>45</v>
      </c>
      <c r="J82">
        <v>145</v>
      </c>
      <c r="K82">
        <v>30</v>
      </c>
      <c r="L82" s="692">
        <v>30</v>
      </c>
      <c r="M82" s="693">
        <v>20200</v>
      </c>
      <c r="N82" s="693">
        <v>20200</v>
      </c>
      <c r="O82" s="486">
        <v>99.207899999999995</v>
      </c>
      <c r="P82" s="486">
        <v>57.086614173228348</v>
      </c>
      <c r="Q82" s="486">
        <v>11.811023622047244</v>
      </c>
      <c r="R82" s="486">
        <v>11.811023622047244</v>
      </c>
      <c r="S82" s="693">
        <v>1122.22</v>
      </c>
      <c r="T82" s="693">
        <v>1122.22</v>
      </c>
      <c r="U82" s="693"/>
    </row>
    <row r="83" spans="1:21" x14ac:dyDescent="0.25">
      <c r="A83" t="s">
        <v>55</v>
      </c>
      <c r="B83">
        <v>6</v>
      </c>
      <c r="C83" t="s">
        <v>59</v>
      </c>
      <c r="D83" s="981" t="s">
        <v>1098</v>
      </c>
      <c r="E83" t="s">
        <v>1099</v>
      </c>
      <c r="F83" t="s">
        <v>1100</v>
      </c>
      <c r="G83" s="693">
        <v>11344</v>
      </c>
      <c r="H83">
        <v>1</v>
      </c>
      <c r="I83">
        <v>40</v>
      </c>
      <c r="J83">
        <v>130</v>
      </c>
      <c r="K83">
        <v>30</v>
      </c>
      <c r="L83" s="692">
        <v>30</v>
      </c>
      <c r="M83" s="693">
        <v>18224</v>
      </c>
      <c r="N83" s="693">
        <v>18224</v>
      </c>
      <c r="O83" s="486">
        <v>88.184799999999996</v>
      </c>
      <c r="P83" s="486">
        <v>51.181102362204726</v>
      </c>
      <c r="Q83" s="486">
        <v>11.811023622047244</v>
      </c>
      <c r="R83" s="486">
        <v>11.811023622047244</v>
      </c>
      <c r="S83" s="693">
        <v>1012.44</v>
      </c>
      <c r="T83" s="693">
        <v>1012.44</v>
      </c>
      <c r="U83" s="693"/>
    </row>
    <row r="84" spans="1:21" x14ac:dyDescent="0.25">
      <c r="A84" t="s">
        <v>55</v>
      </c>
      <c r="B84">
        <v>7</v>
      </c>
      <c r="C84" t="s">
        <v>60</v>
      </c>
      <c r="D84" s="981" t="s">
        <v>1101</v>
      </c>
      <c r="E84" t="s">
        <v>1102</v>
      </c>
      <c r="F84" t="s">
        <v>1103</v>
      </c>
      <c r="G84" s="693">
        <v>5432</v>
      </c>
      <c r="H84">
        <v>1</v>
      </c>
      <c r="I84">
        <v>52</v>
      </c>
      <c r="J84">
        <v>100</v>
      </c>
      <c r="M84" s="693">
        <v>8720</v>
      </c>
      <c r="N84" s="693">
        <v>8720</v>
      </c>
      <c r="O84" s="486">
        <v>114.64023999999999</v>
      </c>
      <c r="P84" s="486">
        <v>39.370078740157481</v>
      </c>
      <c r="Q84" s="486">
        <v>0</v>
      </c>
      <c r="R84" s="486">
        <v>0</v>
      </c>
      <c r="S84" s="693">
        <v>484.44</v>
      </c>
      <c r="T84" s="693">
        <v>484.44</v>
      </c>
      <c r="U84" s="693"/>
    </row>
    <row r="85" spans="1:21" x14ac:dyDescent="0.25">
      <c r="A85" t="s">
        <v>55</v>
      </c>
      <c r="B85">
        <v>8</v>
      </c>
      <c r="C85" t="s">
        <v>61</v>
      </c>
      <c r="D85" s="981" t="s">
        <v>1104</v>
      </c>
      <c r="E85" t="s">
        <v>609</v>
      </c>
      <c r="F85" t="s">
        <v>610</v>
      </c>
      <c r="G85" s="693">
        <v>1240</v>
      </c>
      <c r="H85">
        <v>3</v>
      </c>
      <c r="I85">
        <v>8</v>
      </c>
      <c r="J85">
        <v>60</v>
      </c>
      <c r="K85">
        <v>20</v>
      </c>
      <c r="L85" s="692">
        <v>20</v>
      </c>
      <c r="M85" s="693">
        <v>1992</v>
      </c>
      <c r="N85" s="693">
        <v>5976</v>
      </c>
      <c r="O85" s="486">
        <v>17.636959999999998</v>
      </c>
      <c r="P85" s="486">
        <v>23.622047244094489</v>
      </c>
      <c r="Q85" s="486">
        <v>7.8740157480314963</v>
      </c>
      <c r="R85" s="486">
        <v>7.8740157480314963</v>
      </c>
      <c r="S85" s="693">
        <v>110.67</v>
      </c>
      <c r="T85" s="693">
        <v>332</v>
      </c>
      <c r="U85" s="693"/>
    </row>
    <row r="86" spans="1:21" x14ac:dyDescent="0.25">
      <c r="A86" t="s">
        <v>55</v>
      </c>
      <c r="B86">
        <v>9</v>
      </c>
      <c r="C86" t="s">
        <v>61</v>
      </c>
      <c r="D86" s="981" t="s">
        <v>1105</v>
      </c>
      <c r="E86" t="s">
        <v>1023</v>
      </c>
      <c r="F86" t="s">
        <v>1106</v>
      </c>
      <c r="G86" s="693">
        <v>840</v>
      </c>
      <c r="H86">
        <v>2</v>
      </c>
      <c r="I86">
        <v>7</v>
      </c>
      <c r="J86">
        <v>50</v>
      </c>
      <c r="K86">
        <v>20</v>
      </c>
      <c r="L86" s="692">
        <v>20</v>
      </c>
      <c r="M86" s="693">
        <v>1352</v>
      </c>
      <c r="N86" s="693">
        <v>2704</v>
      </c>
      <c r="O86" s="486">
        <v>15.432339999999998</v>
      </c>
      <c r="P86" s="486">
        <v>19.685039370078741</v>
      </c>
      <c r="Q86" s="486">
        <v>7.8740157480314963</v>
      </c>
      <c r="R86" s="486">
        <v>7.8740157480314963</v>
      </c>
      <c r="S86" s="693">
        <v>75.11</v>
      </c>
      <c r="T86" s="693">
        <v>150.22</v>
      </c>
      <c r="U86" s="693"/>
    </row>
    <row r="87" spans="1:21" x14ac:dyDescent="0.25">
      <c r="A87" t="s">
        <v>55</v>
      </c>
      <c r="B87">
        <v>10</v>
      </c>
      <c r="C87" t="s">
        <v>61</v>
      </c>
      <c r="D87" s="981" t="s">
        <v>1107</v>
      </c>
      <c r="E87" t="s">
        <v>815</v>
      </c>
      <c r="F87" t="s">
        <v>778</v>
      </c>
      <c r="G87" s="693">
        <v>552</v>
      </c>
      <c r="H87">
        <v>1</v>
      </c>
      <c r="I87">
        <v>5</v>
      </c>
      <c r="J87">
        <v>30</v>
      </c>
      <c r="K87">
        <v>20</v>
      </c>
      <c r="L87" s="692">
        <v>20</v>
      </c>
      <c r="M87" s="693">
        <v>880</v>
      </c>
      <c r="N87" s="693">
        <v>880</v>
      </c>
      <c r="O87" s="486">
        <v>11.023099999999999</v>
      </c>
      <c r="P87" s="486">
        <v>11.811023622047244</v>
      </c>
      <c r="Q87" s="486">
        <v>7.8740157480314963</v>
      </c>
      <c r="R87" s="486">
        <v>7.8740157480314963</v>
      </c>
      <c r="S87" s="693">
        <v>48.89</v>
      </c>
      <c r="T87" s="693">
        <v>48.89</v>
      </c>
      <c r="U87" s="693"/>
    </row>
    <row r="88" spans="1:21" x14ac:dyDescent="0.25">
      <c r="A88" t="s">
        <v>55</v>
      </c>
      <c r="B88">
        <v>13</v>
      </c>
      <c r="C88" t="s">
        <v>62</v>
      </c>
      <c r="D88" s="981" t="s">
        <v>1108</v>
      </c>
      <c r="E88" t="s">
        <v>1109</v>
      </c>
      <c r="F88" t="s">
        <v>1110</v>
      </c>
      <c r="G88" s="693">
        <v>22624</v>
      </c>
      <c r="H88">
        <v>1</v>
      </c>
      <c r="I88">
        <v>320</v>
      </c>
      <c r="M88" s="693">
        <v>36365</v>
      </c>
      <c r="N88" s="693">
        <v>36365</v>
      </c>
      <c r="O88" s="486">
        <v>705.47839999999997</v>
      </c>
      <c r="S88" s="693">
        <v>2020.28</v>
      </c>
      <c r="T88" s="693">
        <v>2020.28</v>
      </c>
      <c r="U88" s="693"/>
    </row>
    <row r="89" spans="1:21" x14ac:dyDescent="0.25">
      <c r="A89" t="s">
        <v>63</v>
      </c>
      <c r="B89">
        <v>1</v>
      </c>
      <c r="C89" t="s">
        <v>64</v>
      </c>
      <c r="D89" s="982" t="s">
        <v>1111</v>
      </c>
      <c r="E89" t="s">
        <v>1112</v>
      </c>
      <c r="F89" t="s">
        <v>849</v>
      </c>
      <c r="G89" s="693">
        <v>1576</v>
      </c>
      <c r="H89">
        <v>7</v>
      </c>
      <c r="I89">
        <v>30</v>
      </c>
      <c r="J89">
        <v>100</v>
      </c>
      <c r="K89">
        <v>25</v>
      </c>
      <c r="L89" s="692">
        <v>25</v>
      </c>
      <c r="M89" s="693">
        <v>2125</v>
      </c>
      <c r="N89" s="693">
        <v>14875</v>
      </c>
      <c r="O89" s="486">
        <v>66.14</v>
      </c>
      <c r="P89" s="486">
        <v>39.370078740157481</v>
      </c>
      <c r="Q89" s="486">
        <v>9.8425196850393704</v>
      </c>
      <c r="R89" s="486">
        <v>9.8425196850393704</v>
      </c>
      <c r="S89" s="693">
        <v>118.06</v>
      </c>
      <c r="T89" s="693">
        <v>826.39</v>
      </c>
      <c r="U89" s="693"/>
    </row>
    <row r="90" spans="1:21" x14ac:dyDescent="0.25">
      <c r="A90" t="s">
        <v>63</v>
      </c>
      <c r="B90">
        <v>2</v>
      </c>
      <c r="C90" t="s">
        <v>64</v>
      </c>
      <c r="D90" s="982" t="s">
        <v>1113</v>
      </c>
      <c r="E90" t="s">
        <v>1114</v>
      </c>
      <c r="F90" t="s">
        <v>1115</v>
      </c>
      <c r="G90" s="693">
        <v>1424</v>
      </c>
      <c r="H90">
        <v>2</v>
      </c>
      <c r="I90">
        <v>28</v>
      </c>
      <c r="J90">
        <v>90</v>
      </c>
      <c r="K90">
        <v>25</v>
      </c>
      <c r="L90" s="692">
        <v>25</v>
      </c>
      <c r="M90" s="693">
        <v>1925</v>
      </c>
      <c r="N90" s="693">
        <v>3850</v>
      </c>
      <c r="O90" s="486">
        <v>61.73</v>
      </c>
      <c r="P90" s="486">
        <v>35.433070866141733</v>
      </c>
      <c r="Q90" s="486">
        <v>9.8425196850393704</v>
      </c>
      <c r="R90" s="486">
        <v>9.8425196850393704</v>
      </c>
      <c r="S90" s="693">
        <v>106.94</v>
      </c>
      <c r="T90" s="693">
        <v>213.89</v>
      </c>
      <c r="U90" s="693"/>
    </row>
    <row r="91" spans="1:21" x14ac:dyDescent="0.25">
      <c r="A91" t="s">
        <v>63</v>
      </c>
      <c r="B91">
        <v>3</v>
      </c>
      <c r="C91" t="s">
        <v>64</v>
      </c>
      <c r="D91" s="982" t="s">
        <v>1116</v>
      </c>
      <c r="E91" t="s">
        <v>1024</v>
      </c>
      <c r="F91" t="s">
        <v>1117</v>
      </c>
      <c r="G91" s="693">
        <v>1280</v>
      </c>
      <c r="H91">
        <v>2</v>
      </c>
      <c r="I91">
        <v>26</v>
      </c>
      <c r="J91">
        <v>80</v>
      </c>
      <c r="K91">
        <v>25</v>
      </c>
      <c r="L91" s="692">
        <v>25</v>
      </c>
      <c r="M91" s="693">
        <v>1725</v>
      </c>
      <c r="N91" s="693">
        <v>3450</v>
      </c>
      <c r="O91" s="486">
        <v>57.32</v>
      </c>
      <c r="P91" s="486">
        <v>31.496062992125985</v>
      </c>
      <c r="Q91" s="486">
        <v>9.8425196850393704</v>
      </c>
      <c r="R91" s="486">
        <v>9.8425196850393704</v>
      </c>
      <c r="S91" s="693">
        <v>95.83</v>
      </c>
      <c r="T91" s="693">
        <v>191.67</v>
      </c>
      <c r="U91" s="693"/>
    </row>
    <row r="92" spans="1:21" x14ac:dyDescent="0.25">
      <c r="A92" t="s">
        <v>63</v>
      </c>
      <c r="B92">
        <v>4</v>
      </c>
      <c r="C92" t="s">
        <v>64</v>
      </c>
      <c r="D92" s="982" t="s">
        <v>1118</v>
      </c>
      <c r="E92" t="s">
        <v>1119</v>
      </c>
      <c r="F92" t="s">
        <v>905</v>
      </c>
      <c r="G92" s="693">
        <v>1136</v>
      </c>
      <c r="H92">
        <v>1</v>
      </c>
      <c r="I92">
        <v>24</v>
      </c>
      <c r="J92">
        <v>70</v>
      </c>
      <c r="K92">
        <v>25</v>
      </c>
      <c r="L92" s="692">
        <v>25</v>
      </c>
      <c r="M92" s="693">
        <v>1525</v>
      </c>
      <c r="N92" s="693">
        <v>1525</v>
      </c>
      <c r="O92" s="486">
        <v>52.91</v>
      </c>
      <c r="P92" s="486">
        <v>27.559055118110237</v>
      </c>
      <c r="Q92" s="486">
        <v>9.8425196850393704</v>
      </c>
      <c r="R92" s="486">
        <v>9.8425196850393704</v>
      </c>
      <c r="S92" s="693">
        <v>84.72</v>
      </c>
      <c r="T92" s="693">
        <v>84.72</v>
      </c>
      <c r="U92" s="693"/>
    </row>
    <row r="93" spans="1:21" x14ac:dyDescent="0.25">
      <c r="A93" t="s">
        <v>63</v>
      </c>
      <c r="B93">
        <v>5</v>
      </c>
      <c r="C93" t="s">
        <v>64</v>
      </c>
      <c r="D93" s="982" t="s">
        <v>1120</v>
      </c>
      <c r="E93" t="s">
        <v>1121</v>
      </c>
      <c r="F93" t="s">
        <v>771</v>
      </c>
      <c r="G93" s="693">
        <v>896</v>
      </c>
      <c r="H93">
        <v>1</v>
      </c>
      <c r="I93">
        <v>18</v>
      </c>
      <c r="J93">
        <v>70</v>
      </c>
      <c r="K93">
        <v>20</v>
      </c>
      <c r="L93" s="692">
        <v>20</v>
      </c>
      <c r="M93" s="693">
        <v>1200</v>
      </c>
      <c r="N93" s="693">
        <v>1200</v>
      </c>
      <c r="O93" s="486">
        <v>39.68</v>
      </c>
      <c r="P93" s="486">
        <v>27.559055118110237</v>
      </c>
      <c r="Q93" s="486">
        <v>7.8740157480314963</v>
      </c>
      <c r="R93" s="486">
        <v>7.8740157480314963</v>
      </c>
      <c r="S93" s="693">
        <v>66.67</v>
      </c>
      <c r="T93" s="693">
        <v>66.67</v>
      </c>
      <c r="U93" s="693"/>
    </row>
    <row r="94" spans="1:21" x14ac:dyDescent="0.25">
      <c r="A94" t="s">
        <v>63</v>
      </c>
      <c r="B94">
        <v>6</v>
      </c>
      <c r="C94" t="s">
        <v>65</v>
      </c>
      <c r="D94" s="982" t="s">
        <v>1122</v>
      </c>
      <c r="E94" t="s">
        <v>723</v>
      </c>
      <c r="F94" t="s">
        <v>716</v>
      </c>
      <c r="G94" s="693">
        <v>480</v>
      </c>
      <c r="H94">
        <v>2</v>
      </c>
      <c r="I94">
        <v>8</v>
      </c>
      <c r="J94">
        <v>50</v>
      </c>
      <c r="K94">
        <v>15</v>
      </c>
      <c r="L94" s="692">
        <v>15</v>
      </c>
      <c r="M94" s="693">
        <v>645</v>
      </c>
      <c r="N94" s="693">
        <v>1290</v>
      </c>
      <c r="O94" s="486">
        <v>17.64</v>
      </c>
      <c r="P94" s="486">
        <v>19.685039370078741</v>
      </c>
      <c r="Q94" s="486">
        <v>5.9055118110236222</v>
      </c>
      <c r="R94" s="486">
        <v>5.9055118110236222</v>
      </c>
      <c r="S94" s="693">
        <v>35.83</v>
      </c>
      <c r="T94" s="693">
        <v>71.67</v>
      </c>
      <c r="U94" s="693"/>
    </row>
    <row r="95" spans="1:21" x14ac:dyDescent="0.25">
      <c r="A95" t="s">
        <v>63</v>
      </c>
      <c r="B95">
        <v>7</v>
      </c>
      <c r="C95" t="s">
        <v>65</v>
      </c>
      <c r="D95" s="982" t="s">
        <v>1123</v>
      </c>
      <c r="E95" t="s">
        <v>772</v>
      </c>
      <c r="F95" t="s">
        <v>827</v>
      </c>
      <c r="G95" s="693">
        <v>384</v>
      </c>
      <c r="H95">
        <v>3</v>
      </c>
      <c r="I95">
        <v>7</v>
      </c>
      <c r="J95">
        <v>40</v>
      </c>
      <c r="K95">
        <v>15</v>
      </c>
      <c r="L95" s="692">
        <v>15</v>
      </c>
      <c r="M95" s="693">
        <v>525</v>
      </c>
      <c r="N95" s="693">
        <v>1575</v>
      </c>
      <c r="O95" s="486">
        <v>15.43</v>
      </c>
      <c r="P95" s="486">
        <v>15.748031496062993</v>
      </c>
      <c r="Q95" s="486">
        <v>5.9055118110236222</v>
      </c>
      <c r="R95" s="486">
        <v>5.9055118110236222</v>
      </c>
      <c r="S95" s="693">
        <v>29.17</v>
      </c>
      <c r="T95" s="693">
        <v>87.5</v>
      </c>
      <c r="U95" s="693"/>
    </row>
    <row r="96" spans="1:21" x14ac:dyDescent="0.25">
      <c r="A96" t="s">
        <v>63</v>
      </c>
      <c r="B96">
        <v>8</v>
      </c>
      <c r="C96" t="s">
        <v>65</v>
      </c>
      <c r="D96" s="982" t="s">
        <v>1124</v>
      </c>
      <c r="E96" t="s">
        <v>831</v>
      </c>
      <c r="F96" t="s">
        <v>689</v>
      </c>
      <c r="G96" s="693">
        <v>304</v>
      </c>
      <c r="H96">
        <v>22</v>
      </c>
      <c r="I96">
        <v>5</v>
      </c>
      <c r="J96">
        <v>30</v>
      </c>
      <c r="K96">
        <v>15</v>
      </c>
      <c r="L96" s="692">
        <v>15</v>
      </c>
      <c r="M96" s="693">
        <v>405</v>
      </c>
      <c r="N96" s="693">
        <v>8910</v>
      </c>
      <c r="O96" s="486">
        <v>11.02</v>
      </c>
      <c r="P96" s="486">
        <v>11.811023622047244</v>
      </c>
      <c r="Q96" s="486">
        <v>5.9055118110236222</v>
      </c>
      <c r="R96" s="486">
        <v>5.9055118110236222</v>
      </c>
      <c r="S96" s="693">
        <v>22.5</v>
      </c>
      <c r="T96" s="693">
        <v>495</v>
      </c>
      <c r="U96" s="693"/>
    </row>
    <row r="97" spans="1:21" x14ac:dyDescent="0.25">
      <c r="A97" t="s">
        <v>63</v>
      </c>
      <c r="B97">
        <v>9</v>
      </c>
      <c r="C97" t="s">
        <v>66</v>
      </c>
      <c r="D97" s="982" t="s">
        <v>1125</v>
      </c>
      <c r="E97" t="s">
        <v>1126</v>
      </c>
      <c r="F97" t="s">
        <v>1127</v>
      </c>
      <c r="G97" s="693">
        <v>440</v>
      </c>
      <c r="H97">
        <v>10</v>
      </c>
      <c r="I97">
        <v>8</v>
      </c>
      <c r="J97">
        <v>50</v>
      </c>
      <c r="K97">
        <v>15</v>
      </c>
      <c r="L97" s="692">
        <v>15</v>
      </c>
      <c r="M97" s="693">
        <v>600</v>
      </c>
      <c r="N97" s="693">
        <v>6000</v>
      </c>
      <c r="O97" s="486">
        <v>17.64</v>
      </c>
      <c r="P97" s="486">
        <v>19.685039370078741</v>
      </c>
      <c r="Q97" s="486">
        <v>5.9055118110236222</v>
      </c>
      <c r="R97" s="486">
        <v>5.9055118110236222</v>
      </c>
      <c r="S97" s="693">
        <v>33.33</v>
      </c>
      <c r="T97" s="693">
        <v>333.33</v>
      </c>
      <c r="U97" s="693"/>
    </row>
    <row r="98" spans="1:21" x14ac:dyDescent="0.25">
      <c r="A98" t="s">
        <v>63</v>
      </c>
      <c r="B98">
        <v>10</v>
      </c>
      <c r="C98" t="s">
        <v>66</v>
      </c>
      <c r="D98" s="982" t="s">
        <v>1128</v>
      </c>
      <c r="E98" t="s">
        <v>855</v>
      </c>
      <c r="F98" t="s">
        <v>832</v>
      </c>
      <c r="G98" s="693">
        <v>360</v>
      </c>
      <c r="H98">
        <v>40</v>
      </c>
      <c r="I98">
        <v>6.5</v>
      </c>
      <c r="J98">
        <v>40</v>
      </c>
      <c r="K98">
        <v>15</v>
      </c>
      <c r="L98" s="692">
        <v>15</v>
      </c>
      <c r="M98" s="693">
        <v>480</v>
      </c>
      <c r="N98" s="693">
        <v>19200</v>
      </c>
      <c r="O98" s="486">
        <v>14.33</v>
      </c>
      <c r="P98" s="486">
        <v>15.748031496062993</v>
      </c>
      <c r="Q98" s="486">
        <v>5.9055118110236222</v>
      </c>
      <c r="R98" s="486">
        <v>5.9055118110236222</v>
      </c>
      <c r="S98" s="693">
        <v>26.67</v>
      </c>
      <c r="T98" s="693">
        <v>1066.67</v>
      </c>
      <c r="U98" s="693"/>
    </row>
    <row r="99" spans="1:21" x14ac:dyDescent="0.25">
      <c r="A99" t="s">
        <v>63</v>
      </c>
      <c r="B99">
        <v>11</v>
      </c>
      <c r="C99" t="s">
        <v>67</v>
      </c>
      <c r="D99" s="982" t="s">
        <v>1129</v>
      </c>
      <c r="E99" t="s">
        <v>1130</v>
      </c>
      <c r="F99" t="s">
        <v>1112</v>
      </c>
      <c r="G99" s="693">
        <v>2624</v>
      </c>
      <c r="H99">
        <v>2</v>
      </c>
      <c r="I99">
        <v>40</v>
      </c>
      <c r="J99">
        <v>140</v>
      </c>
      <c r="K99">
        <v>30</v>
      </c>
      <c r="L99" s="692">
        <v>30</v>
      </c>
      <c r="M99" s="693">
        <v>3540</v>
      </c>
      <c r="N99" s="693">
        <v>7080</v>
      </c>
      <c r="O99" s="486">
        <v>88.18</v>
      </c>
      <c r="P99" s="486">
        <v>55.118110236220474</v>
      </c>
      <c r="Q99" s="486">
        <v>11.811023622047244</v>
      </c>
      <c r="R99" s="486">
        <v>11.811023622047244</v>
      </c>
      <c r="S99" s="693">
        <v>196.67</v>
      </c>
      <c r="T99" s="693">
        <v>393.33</v>
      </c>
      <c r="U99" s="693"/>
    </row>
    <row r="100" spans="1:21" x14ac:dyDescent="0.25">
      <c r="A100" t="s">
        <v>63</v>
      </c>
      <c r="B100">
        <v>12</v>
      </c>
      <c r="C100" t="s">
        <v>66</v>
      </c>
      <c r="D100" s="982" t="s">
        <v>1131</v>
      </c>
      <c r="E100" t="s">
        <v>831</v>
      </c>
      <c r="F100" t="s">
        <v>689</v>
      </c>
      <c r="G100" s="693">
        <v>304</v>
      </c>
      <c r="H100">
        <v>4</v>
      </c>
      <c r="I100">
        <v>5.5</v>
      </c>
      <c r="J100">
        <v>35</v>
      </c>
      <c r="K100">
        <v>15</v>
      </c>
      <c r="L100" s="692">
        <v>15</v>
      </c>
      <c r="M100" s="693">
        <v>420</v>
      </c>
      <c r="N100" s="693">
        <v>1680</v>
      </c>
      <c r="O100" s="486">
        <v>12.13</v>
      </c>
      <c r="P100" s="486">
        <v>13.779527559055119</v>
      </c>
      <c r="Q100" s="486">
        <v>5.9055118110236222</v>
      </c>
      <c r="R100" s="486">
        <v>5.9055118110236222</v>
      </c>
      <c r="S100" s="693">
        <v>23.33</v>
      </c>
      <c r="T100" s="693">
        <v>93.33</v>
      </c>
      <c r="U100" s="693"/>
    </row>
    <row r="101" spans="1:21" x14ac:dyDescent="0.25">
      <c r="A101" t="s">
        <v>63</v>
      </c>
      <c r="B101">
        <v>13</v>
      </c>
      <c r="C101" t="s">
        <v>66</v>
      </c>
      <c r="D101" s="982" t="s">
        <v>1132</v>
      </c>
      <c r="E101" t="s">
        <v>1127</v>
      </c>
      <c r="F101" t="s">
        <v>789</v>
      </c>
      <c r="G101" s="693">
        <v>264</v>
      </c>
      <c r="H101">
        <v>12</v>
      </c>
      <c r="I101">
        <v>5</v>
      </c>
      <c r="J101">
        <v>30</v>
      </c>
      <c r="K101">
        <v>15</v>
      </c>
      <c r="L101" s="692">
        <v>15</v>
      </c>
      <c r="M101" s="693">
        <v>360</v>
      </c>
      <c r="N101" s="693">
        <v>4320</v>
      </c>
      <c r="O101" s="486">
        <v>11.02</v>
      </c>
      <c r="P101" s="486">
        <v>11.811023622047244</v>
      </c>
      <c r="Q101" s="486">
        <v>5.9055118110236222</v>
      </c>
      <c r="R101" s="486">
        <v>5.9055118110236222</v>
      </c>
      <c r="S101" s="693">
        <v>20</v>
      </c>
      <c r="T101" s="693">
        <v>240</v>
      </c>
      <c r="U101" s="693"/>
    </row>
    <row r="102" spans="1:21" x14ac:dyDescent="0.25">
      <c r="A102" t="s">
        <v>13</v>
      </c>
      <c r="B102">
        <v>1</v>
      </c>
      <c r="C102" t="s">
        <v>68</v>
      </c>
      <c r="D102" s="983" t="s">
        <v>69</v>
      </c>
      <c r="E102" t="s">
        <v>1133</v>
      </c>
      <c r="F102" t="s">
        <v>1134</v>
      </c>
      <c r="G102" s="693">
        <v>40</v>
      </c>
      <c r="H102">
        <v>100</v>
      </c>
      <c r="I102">
        <v>0.5</v>
      </c>
      <c r="J102">
        <v>8</v>
      </c>
      <c r="M102" s="693">
        <v>58</v>
      </c>
      <c r="N102" s="693">
        <v>5800</v>
      </c>
      <c r="O102" s="486">
        <v>1.1000000000000001</v>
      </c>
      <c r="P102" s="486">
        <v>3.1496062992125982</v>
      </c>
      <c r="Q102" s="486">
        <v>0</v>
      </c>
      <c r="R102" s="486">
        <v>0</v>
      </c>
      <c r="S102" s="693">
        <v>3.22</v>
      </c>
      <c r="T102" s="693">
        <v>322.22000000000003</v>
      </c>
      <c r="U102" s="693"/>
    </row>
    <row r="103" spans="1:21" x14ac:dyDescent="0.25">
      <c r="A103" t="s">
        <v>13</v>
      </c>
      <c r="B103">
        <v>2</v>
      </c>
      <c r="C103" t="s">
        <v>70</v>
      </c>
      <c r="D103" s="983" t="s">
        <v>71</v>
      </c>
      <c r="E103" t="s">
        <v>1133</v>
      </c>
      <c r="F103" t="s">
        <v>1134</v>
      </c>
      <c r="G103" s="693">
        <v>40</v>
      </c>
      <c r="H103">
        <v>50</v>
      </c>
      <c r="I103">
        <v>0.5</v>
      </c>
      <c r="J103">
        <v>8</v>
      </c>
      <c r="M103" s="693">
        <v>58</v>
      </c>
      <c r="N103" s="693">
        <v>2900</v>
      </c>
      <c r="O103" s="486">
        <v>1.1000000000000001</v>
      </c>
      <c r="P103" s="486">
        <v>3.1496062992125982</v>
      </c>
      <c r="Q103" s="486">
        <v>0</v>
      </c>
      <c r="R103" s="486">
        <v>0</v>
      </c>
      <c r="S103" s="693">
        <v>3.22</v>
      </c>
      <c r="T103" s="693">
        <v>161.11000000000001</v>
      </c>
      <c r="U103" s="693"/>
    </row>
    <row r="104" spans="1:21" x14ac:dyDescent="0.25">
      <c r="A104" t="s">
        <v>13</v>
      </c>
      <c r="B104">
        <v>3</v>
      </c>
      <c r="C104" t="s">
        <v>72</v>
      </c>
      <c r="D104" s="983" t="s">
        <v>73</v>
      </c>
      <c r="E104" t="s">
        <v>1133</v>
      </c>
      <c r="F104" t="s">
        <v>1134</v>
      </c>
      <c r="G104" s="693">
        <v>40</v>
      </c>
      <c r="H104">
        <v>50</v>
      </c>
      <c r="I104">
        <v>0.5</v>
      </c>
      <c r="J104">
        <v>8</v>
      </c>
      <c r="M104" s="693">
        <v>58</v>
      </c>
      <c r="N104" s="693">
        <v>2900</v>
      </c>
      <c r="O104" s="486">
        <v>1.1000000000000001</v>
      </c>
      <c r="P104" s="486">
        <v>3.1496062992125982</v>
      </c>
      <c r="Q104" s="486">
        <v>0</v>
      </c>
      <c r="R104" s="486">
        <v>0</v>
      </c>
      <c r="S104" s="693">
        <v>3.22</v>
      </c>
      <c r="T104" s="693">
        <v>161.11000000000001</v>
      </c>
      <c r="U104" s="693"/>
    </row>
    <row r="105" spans="1:21" x14ac:dyDescent="0.25">
      <c r="A105" t="s">
        <v>13</v>
      </c>
      <c r="B105">
        <v>4</v>
      </c>
      <c r="C105" t="s">
        <v>74</v>
      </c>
      <c r="D105" s="983" t="s">
        <v>75</v>
      </c>
      <c r="E105" t="s">
        <v>763</v>
      </c>
      <c r="F105" t="s">
        <v>750</v>
      </c>
      <c r="G105" s="693">
        <v>200</v>
      </c>
      <c r="H105">
        <v>30</v>
      </c>
      <c r="I105">
        <v>2.5</v>
      </c>
      <c r="J105">
        <v>14</v>
      </c>
      <c r="K105">
        <v>16</v>
      </c>
      <c r="M105" s="693">
        <v>260</v>
      </c>
      <c r="N105" s="693">
        <v>7800</v>
      </c>
      <c r="O105" s="486">
        <v>5.51</v>
      </c>
      <c r="P105" s="486">
        <v>5.5118110236220472</v>
      </c>
      <c r="Q105" s="486">
        <v>6.2992125984251963</v>
      </c>
      <c r="R105" s="486">
        <v>0</v>
      </c>
      <c r="S105" s="693">
        <v>14.44</v>
      </c>
      <c r="T105" s="693">
        <v>433.33</v>
      </c>
      <c r="U105" s="693"/>
    </row>
    <row r="106" spans="1:21" x14ac:dyDescent="0.25">
      <c r="A106" t="s">
        <v>13</v>
      </c>
      <c r="B106">
        <v>5</v>
      </c>
      <c r="C106" t="s">
        <v>76</v>
      </c>
      <c r="D106" s="983" t="s">
        <v>77</v>
      </c>
      <c r="E106" t="s">
        <v>779</v>
      </c>
      <c r="F106" t="s">
        <v>759</v>
      </c>
      <c r="G106" s="693">
        <v>280</v>
      </c>
      <c r="H106">
        <v>3</v>
      </c>
      <c r="I106">
        <v>5</v>
      </c>
      <c r="J106">
        <v>25</v>
      </c>
      <c r="M106" s="693">
        <v>380</v>
      </c>
      <c r="N106" s="693">
        <v>1140</v>
      </c>
      <c r="O106" s="486">
        <v>11.02</v>
      </c>
      <c r="P106" s="486">
        <v>9.8425196850393704</v>
      </c>
      <c r="Q106" s="486">
        <v>0</v>
      </c>
      <c r="R106" s="486">
        <v>0</v>
      </c>
      <c r="S106" s="693">
        <v>21.11</v>
      </c>
      <c r="T106" s="693">
        <v>63.33</v>
      </c>
      <c r="U106" s="693"/>
    </row>
    <row r="107" spans="1:21" x14ac:dyDescent="0.25">
      <c r="A107" t="s">
        <v>13</v>
      </c>
      <c r="B107">
        <v>6</v>
      </c>
      <c r="C107" t="s">
        <v>78</v>
      </c>
      <c r="D107" s="983" t="s">
        <v>79</v>
      </c>
      <c r="E107" t="s">
        <v>779</v>
      </c>
      <c r="F107" t="s">
        <v>759</v>
      </c>
      <c r="G107" s="693">
        <v>280</v>
      </c>
      <c r="H107">
        <v>3</v>
      </c>
      <c r="I107">
        <v>5</v>
      </c>
      <c r="J107">
        <v>25</v>
      </c>
      <c r="M107" s="693">
        <v>380</v>
      </c>
      <c r="N107" s="693">
        <v>1140</v>
      </c>
      <c r="O107" s="486">
        <v>11.02</v>
      </c>
      <c r="P107" s="486">
        <v>9.8425196850393704</v>
      </c>
      <c r="Q107" s="486">
        <v>0</v>
      </c>
      <c r="R107" s="486">
        <v>0</v>
      </c>
      <c r="S107" s="693">
        <v>21.11</v>
      </c>
      <c r="T107" s="693">
        <v>63.33</v>
      </c>
      <c r="U107" s="693"/>
    </row>
    <row r="108" spans="1:21" x14ac:dyDescent="0.25">
      <c r="A108" t="s">
        <v>13</v>
      </c>
      <c r="B108">
        <v>7</v>
      </c>
      <c r="C108" t="s">
        <v>80</v>
      </c>
      <c r="D108" s="983" t="s">
        <v>81</v>
      </c>
      <c r="E108" t="s">
        <v>779</v>
      </c>
      <c r="F108" t="s">
        <v>759</v>
      </c>
      <c r="G108" s="693">
        <v>280</v>
      </c>
      <c r="H108">
        <v>3</v>
      </c>
      <c r="I108">
        <v>5</v>
      </c>
      <c r="J108">
        <v>25</v>
      </c>
      <c r="M108" s="693">
        <v>380</v>
      </c>
      <c r="N108" s="693">
        <v>1140</v>
      </c>
      <c r="O108" s="486">
        <v>11.02</v>
      </c>
      <c r="P108" s="486">
        <v>9.8425196850393704</v>
      </c>
      <c r="Q108" s="486">
        <v>0</v>
      </c>
      <c r="R108" s="486">
        <v>0</v>
      </c>
      <c r="S108" s="693">
        <v>21.11</v>
      </c>
      <c r="T108" s="693">
        <v>63.33</v>
      </c>
      <c r="U108" s="693"/>
    </row>
    <row r="109" spans="1:21" x14ac:dyDescent="0.25">
      <c r="A109" t="s">
        <v>13</v>
      </c>
      <c r="B109">
        <v>8</v>
      </c>
      <c r="C109" t="s">
        <v>82</v>
      </c>
      <c r="D109" s="983" t="s">
        <v>83</v>
      </c>
      <c r="E109" t="s">
        <v>779</v>
      </c>
      <c r="F109" t="s">
        <v>759</v>
      </c>
      <c r="G109" s="693">
        <v>280</v>
      </c>
      <c r="H109">
        <v>3</v>
      </c>
      <c r="I109">
        <v>5</v>
      </c>
      <c r="J109">
        <v>25</v>
      </c>
      <c r="M109" s="693">
        <v>380</v>
      </c>
      <c r="N109" s="693">
        <v>1140</v>
      </c>
      <c r="O109" s="486">
        <v>11.02</v>
      </c>
      <c r="P109" s="486">
        <v>9.8425196850393704</v>
      </c>
      <c r="Q109" s="486">
        <v>0</v>
      </c>
      <c r="R109" s="486">
        <v>0</v>
      </c>
      <c r="S109" s="693">
        <v>21.11</v>
      </c>
      <c r="T109" s="693">
        <v>63.33</v>
      </c>
      <c r="U109" s="693"/>
    </row>
    <row r="110" spans="1:21" x14ac:dyDescent="0.25">
      <c r="A110" t="s">
        <v>13</v>
      </c>
      <c r="B110">
        <v>9</v>
      </c>
      <c r="C110" t="s">
        <v>84</v>
      </c>
      <c r="D110" s="983" t="s">
        <v>85</v>
      </c>
      <c r="E110" t="s">
        <v>779</v>
      </c>
      <c r="F110" t="s">
        <v>759</v>
      </c>
      <c r="G110" s="693">
        <v>280</v>
      </c>
      <c r="H110">
        <v>8</v>
      </c>
      <c r="I110">
        <v>5</v>
      </c>
      <c r="J110">
        <v>25</v>
      </c>
      <c r="M110" s="693">
        <v>380</v>
      </c>
      <c r="N110" s="693">
        <v>3040</v>
      </c>
      <c r="O110" s="486">
        <v>11.02</v>
      </c>
      <c r="P110" s="486">
        <v>9.8425196850393704</v>
      </c>
      <c r="Q110" s="486">
        <v>0</v>
      </c>
      <c r="R110" s="486">
        <v>0</v>
      </c>
      <c r="S110" s="693">
        <v>21.11</v>
      </c>
      <c r="T110" s="693">
        <v>168.89</v>
      </c>
      <c r="U110" s="693"/>
    </row>
    <row r="111" spans="1:21" x14ac:dyDescent="0.25">
      <c r="A111" t="s">
        <v>86</v>
      </c>
      <c r="B111">
        <v>1</v>
      </c>
      <c r="C111" t="s">
        <v>87</v>
      </c>
      <c r="D111" s="983" t="s">
        <v>88</v>
      </c>
      <c r="E111" t="s">
        <v>1127</v>
      </c>
      <c r="F111" t="s">
        <v>789</v>
      </c>
      <c r="G111" s="693">
        <v>264</v>
      </c>
      <c r="H111">
        <v>10</v>
      </c>
      <c r="I111">
        <v>5</v>
      </c>
      <c r="J111">
        <v>4</v>
      </c>
      <c r="K111">
        <v>4</v>
      </c>
      <c r="M111" s="693">
        <v>360</v>
      </c>
      <c r="N111" s="693">
        <v>3600</v>
      </c>
      <c r="O111" s="486">
        <v>11.02</v>
      </c>
      <c r="P111" s="486">
        <v>1.5748031496062991</v>
      </c>
      <c r="Q111" s="486">
        <v>1.5748031496062991</v>
      </c>
      <c r="R111" s="486">
        <v>0</v>
      </c>
      <c r="S111" s="693">
        <v>20</v>
      </c>
      <c r="T111" s="693">
        <v>200</v>
      </c>
      <c r="U111" s="693"/>
    </row>
    <row r="112" spans="1:21" x14ac:dyDescent="0.25">
      <c r="A112" t="s">
        <v>86</v>
      </c>
      <c r="B112">
        <v>2</v>
      </c>
      <c r="C112" t="s">
        <v>89</v>
      </c>
      <c r="D112" s="983" t="s">
        <v>90</v>
      </c>
      <c r="E112" t="s">
        <v>764</v>
      </c>
      <c r="F112" t="s">
        <v>91</v>
      </c>
      <c r="G112" s="693">
        <v>144</v>
      </c>
      <c r="H112">
        <v>10</v>
      </c>
      <c r="I112">
        <v>4</v>
      </c>
      <c r="J112">
        <v>2</v>
      </c>
      <c r="K112">
        <v>2</v>
      </c>
      <c r="M112" s="693">
        <v>190</v>
      </c>
      <c r="N112" s="693">
        <v>1900</v>
      </c>
      <c r="O112" s="486">
        <v>8.82</v>
      </c>
      <c r="P112" s="486">
        <v>0.78740157480314954</v>
      </c>
      <c r="Q112" s="486">
        <v>0.78740157480314954</v>
      </c>
      <c r="R112" s="486">
        <v>0</v>
      </c>
      <c r="S112" s="693">
        <v>10.56</v>
      </c>
      <c r="T112" s="693">
        <v>105.56</v>
      </c>
      <c r="U112" s="693"/>
    </row>
    <row r="113" spans="1:21" x14ac:dyDescent="0.25">
      <c r="A113" t="s">
        <v>86</v>
      </c>
      <c r="B113">
        <v>3</v>
      </c>
      <c r="C113" t="s">
        <v>92</v>
      </c>
      <c r="D113" s="983" t="s">
        <v>93</v>
      </c>
      <c r="E113" t="s">
        <v>852</v>
      </c>
      <c r="F113" t="s">
        <v>713</v>
      </c>
      <c r="G113" s="693">
        <v>376</v>
      </c>
      <c r="H113">
        <v>10</v>
      </c>
      <c r="I113">
        <v>4</v>
      </c>
      <c r="J113">
        <v>3</v>
      </c>
      <c r="K113">
        <v>3</v>
      </c>
      <c r="M113" s="693">
        <v>500</v>
      </c>
      <c r="N113" s="693">
        <v>5000</v>
      </c>
      <c r="O113" s="486">
        <v>8.82</v>
      </c>
      <c r="P113" s="486">
        <v>1.1811023622047243</v>
      </c>
      <c r="Q113" s="486">
        <v>1.1811023622047243</v>
      </c>
      <c r="R113" s="486">
        <v>0</v>
      </c>
      <c r="S113" s="693">
        <v>27.78</v>
      </c>
      <c r="T113" s="693">
        <v>277.77999999999997</v>
      </c>
      <c r="U113" s="693"/>
    </row>
    <row r="114" spans="1:21" x14ac:dyDescent="0.25">
      <c r="A114" t="s">
        <v>86</v>
      </c>
      <c r="B114">
        <v>4</v>
      </c>
      <c r="C114" t="s">
        <v>94</v>
      </c>
      <c r="D114" s="983" t="s">
        <v>95</v>
      </c>
      <c r="E114" t="s">
        <v>689</v>
      </c>
      <c r="F114" t="s">
        <v>752</v>
      </c>
      <c r="G114" s="693">
        <v>184</v>
      </c>
      <c r="H114">
        <v>10</v>
      </c>
      <c r="I114">
        <v>4</v>
      </c>
      <c r="J114">
        <v>2</v>
      </c>
      <c r="K114">
        <v>2</v>
      </c>
      <c r="M114" s="693">
        <v>250</v>
      </c>
      <c r="N114" s="693">
        <v>2500</v>
      </c>
      <c r="O114" s="486">
        <v>8.82</v>
      </c>
      <c r="P114" s="486">
        <v>0.78740157480314954</v>
      </c>
      <c r="Q114" s="486">
        <v>0.78740157480314954</v>
      </c>
      <c r="R114" s="486">
        <v>0</v>
      </c>
      <c r="S114" s="693">
        <v>13.89</v>
      </c>
      <c r="T114" s="693">
        <v>138.88999999999999</v>
      </c>
      <c r="U114" s="693"/>
    </row>
    <row r="115" spans="1:21" x14ac:dyDescent="0.25">
      <c r="A115" t="s">
        <v>86</v>
      </c>
      <c r="B115">
        <v>5</v>
      </c>
      <c r="C115" t="s">
        <v>96</v>
      </c>
      <c r="D115" s="983" t="s">
        <v>97</v>
      </c>
      <c r="E115" t="s">
        <v>689</v>
      </c>
      <c r="F115" t="s">
        <v>752</v>
      </c>
      <c r="G115" s="693">
        <v>184</v>
      </c>
      <c r="H115">
        <v>10</v>
      </c>
      <c r="I115">
        <v>4</v>
      </c>
      <c r="J115">
        <v>2</v>
      </c>
      <c r="K115">
        <v>2</v>
      </c>
      <c r="M115" s="693">
        <v>250</v>
      </c>
      <c r="N115" s="693">
        <v>2500</v>
      </c>
      <c r="O115" s="486">
        <v>8.82</v>
      </c>
      <c r="P115" s="486">
        <v>0.78740157480314954</v>
      </c>
      <c r="Q115" s="486">
        <v>0.78740157480314954</v>
      </c>
      <c r="R115" s="486">
        <v>0</v>
      </c>
      <c r="S115" s="693">
        <v>13.89</v>
      </c>
      <c r="T115" s="693">
        <v>138.88999999999999</v>
      </c>
      <c r="U115" s="693"/>
    </row>
    <row r="116" spans="1:21" x14ac:dyDescent="0.25">
      <c r="A116" t="s">
        <v>86</v>
      </c>
      <c r="B116">
        <v>6</v>
      </c>
      <c r="C116" t="s">
        <v>98</v>
      </c>
      <c r="D116" s="983" t="s">
        <v>99</v>
      </c>
      <c r="E116" t="s">
        <v>689</v>
      </c>
      <c r="F116" t="s">
        <v>752</v>
      </c>
      <c r="G116" s="693">
        <v>184</v>
      </c>
      <c r="H116">
        <v>10</v>
      </c>
      <c r="I116">
        <v>4</v>
      </c>
      <c r="J116">
        <v>2</v>
      </c>
      <c r="K116">
        <v>2</v>
      </c>
      <c r="M116" s="693">
        <v>250</v>
      </c>
      <c r="N116" s="693">
        <v>2500</v>
      </c>
      <c r="O116" s="486">
        <v>8.82</v>
      </c>
      <c r="P116" s="486">
        <v>0.78740157480314954</v>
      </c>
      <c r="Q116" s="486">
        <v>0.78740157480314954</v>
      </c>
      <c r="R116" s="486">
        <v>0</v>
      </c>
      <c r="S116" s="693">
        <v>13.89</v>
      </c>
      <c r="T116" s="693">
        <v>138.88999999999999</v>
      </c>
      <c r="U116" s="693"/>
    </row>
    <row r="117" spans="1:21" x14ac:dyDescent="0.25">
      <c r="A117" t="s">
        <v>100</v>
      </c>
      <c r="B117">
        <v>16</v>
      </c>
      <c r="C117" t="s">
        <v>101</v>
      </c>
      <c r="D117" s="983" t="s">
        <v>1135</v>
      </c>
      <c r="E117" t="s">
        <v>1136</v>
      </c>
      <c r="F117" t="s">
        <v>1133</v>
      </c>
      <c r="G117" s="693">
        <v>64</v>
      </c>
      <c r="H117">
        <v>15</v>
      </c>
      <c r="I117">
        <v>1</v>
      </c>
      <c r="J117">
        <v>8</v>
      </c>
      <c r="M117" s="693">
        <v>85</v>
      </c>
      <c r="N117" s="693">
        <v>1275</v>
      </c>
      <c r="O117" s="486">
        <v>2.2000000000000002</v>
      </c>
      <c r="P117" s="486">
        <v>3.1496062992125982</v>
      </c>
      <c r="Q117" s="486">
        <v>0</v>
      </c>
      <c r="R117" s="486">
        <v>0</v>
      </c>
      <c r="S117" s="693">
        <v>4.72</v>
      </c>
      <c r="T117" s="693">
        <v>70.83</v>
      </c>
      <c r="U117" s="693"/>
    </row>
    <row r="118" spans="1:21" x14ac:dyDescent="0.25">
      <c r="A118" t="s">
        <v>100</v>
      </c>
      <c r="B118">
        <v>17</v>
      </c>
      <c r="C118" t="s">
        <v>1137</v>
      </c>
      <c r="D118" s="983" t="s">
        <v>1138</v>
      </c>
      <c r="E118" t="s">
        <v>1136</v>
      </c>
      <c r="F118" t="s">
        <v>1133</v>
      </c>
      <c r="G118" s="693">
        <v>64</v>
      </c>
      <c r="H118">
        <v>20</v>
      </c>
      <c r="I118">
        <v>1</v>
      </c>
      <c r="J118">
        <v>8</v>
      </c>
      <c r="M118" s="693">
        <v>85</v>
      </c>
      <c r="N118" s="693">
        <v>1700</v>
      </c>
      <c r="O118" s="486">
        <v>2.2000000000000002</v>
      </c>
      <c r="P118" s="486">
        <v>3.1496062992125982</v>
      </c>
      <c r="Q118" s="486">
        <v>0</v>
      </c>
      <c r="R118" s="486">
        <v>0</v>
      </c>
      <c r="S118" s="693">
        <v>4.72</v>
      </c>
      <c r="T118" s="693">
        <v>94.44</v>
      </c>
      <c r="U118" s="693"/>
    </row>
    <row r="119" spans="1:21" x14ac:dyDescent="0.25">
      <c r="A119" t="s">
        <v>100</v>
      </c>
      <c r="B119">
        <v>18</v>
      </c>
      <c r="C119" t="s">
        <v>102</v>
      </c>
      <c r="D119" s="983" t="s">
        <v>1139</v>
      </c>
      <c r="E119" t="s">
        <v>1136</v>
      </c>
      <c r="F119" t="s">
        <v>1133</v>
      </c>
      <c r="G119" s="693">
        <v>64</v>
      </c>
      <c r="H119">
        <v>10</v>
      </c>
      <c r="I119">
        <v>1</v>
      </c>
      <c r="J119">
        <v>8</v>
      </c>
      <c r="M119" s="693">
        <v>85</v>
      </c>
      <c r="N119" s="693">
        <v>850</v>
      </c>
      <c r="O119" s="486">
        <v>2.2000000000000002</v>
      </c>
      <c r="P119" s="486">
        <v>3.1496062992125982</v>
      </c>
      <c r="Q119" s="486">
        <v>0</v>
      </c>
      <c r="R119" s="486">
        <v>0</v>
      </c>
      <c r="S119" s="693">
        <v>4.72</v>
      </c>
      <c r="T119" s="693">
        <v>47.22</v>
      </c>
      <c r="U119" s="693"/>
    </row>
    <row r="120" spans="1:21" x14ac:dyDescent="0.25">
      <c r="A120" t="s">
        <v>100</v>
      </c>
      <c r="B120">
        <v>19</v>
      </c>
      <c r="C120" t="s">
        <v>103</v>
      </c>
      <c r="D120" s="983" t="s">
        <v>1140</v>
      </c>
      <c r="E120" t="s">
        <v>753</v>
      </c>
      <c r="F120" t="s">
        <v>1141</v>
      </c>
      <c r="G120" s="693">
        <v>80</v>
      </c>
      <c r="H120">
        <v>15</v>
      </c>
      <c r="I120">
        <v>2</v>
      </c>
      <c r="J120">
        <v>10</v>
      </c>
      <c r="M120" s="693">
        <v>110</v>
      </c>
      <c r="N120" s="693">
        <v>1650</v>
      </c>
      <c r="O120" s="486">
        <v>4.41</v>
      </c>
      <c r="P120" s="486">
        <v>3.9370078740157481</v>
      </c>
      <c r="Q120" s="486">
        <v>0</v>
      </c>
      <c r="R120" s="486">
        <v>0</v>
      </c>
      <c r="S120" s="693">
        <v>6.11</v>
      </c>
      <c r="T120" s="693">
        <v>91.67</v>
      </c>
      <c r="U120" s="693"/>
    </row>
    <row r="121" spans="1:21" x14ac:dyDescent="0.25">
      <c r="A121" t="s">
        <v>100</v>
      </c>
      <c r="B121">
        <v>20</v>
      </c>
      <c r="C121" t="s">
        <v>104</v>
      </c>
      <c r="D121" s="983" t="s">
        <v>1142</v>
      </c>
      <c r="E121" t="s">
        <v>753</v>
      </c>
      <c r="F121" t="s">
        <v>1141</v>
      </c>
      <c r="G121" s="693">
        <v>80</v>
      </c>
      <c r="H121">
        <v>15</v>
      </c>
      <c r="I121">
        <v>1.5</v>
      </c>
      <c r="J121">
        <v>10</v>
      </c>
      <c r="M121" s="693">
        <v>100</v>
      </c>
      <c r="N121" s="693">
        <v>1500</v>
      </c>
      <c r="O121" s="486">
        <v>3.31</v>
      </c>
      <c r="P121" s="486">
        <v>3.9370078740157481</v>
      </c>
      <c r="Q121" s="486">
        <v>0</v>
      </c>
      <c r="R121" s="486">
        <v>0</v>
      </c>
      <c r="S121" s="693">
        <v>5.56</v>
      </c>
      <c r="T121" s="693">
        <v>83.33</v>
      </c>
      <c r="U121" s="693"/>
    </row>
    <row r="122" spans="1:21" x14ac:dyDescent="0.25">
      <c r="A122" t="s">
        <v>91</v>
      </c>
      <c r="B122">
        <v>21</v>
      </c>
      <c r="C122" t="s">
        <v>105</v>
      </c>
      <c r="D122" s="983" t="s">
        <v>1143</v>
      </c>
      <c r="E122" t="s">
        <v>713</v>
      </c>
      <c r="F122" t="s">
        <v>757</v>
      </c>
      <c r="G122" s="693">
        <v>224</v>
      </c>
      <c r="H122">
        <v>4</v>
      </c>
      <c r="J122">
        <v>26</v>
      </c>
      <c r="K122">
        <v>14</v>
      </c>
      <c r="M122" s="693">
        <v>300</v>
      </c>
      <c r="N122" s="693">
        <v>1200</v>
      </c>
      <c r="O122" s="486">
        <v>0</v>
      </c>
      <c r="P122" s="486">
        <v>10.236220472440944</v>
      </c>
      <c r="Q122" s="486">
        <v>5.5118110236220472</v>
      </c>
      <c r="R122" s="486">
        <v>0</v>
      </c>
      <c r="S122" s="693">
        <v>16.670000000000002</v>
      </c>
      <c r="T122" s="693">
        <v>66.67</v>
      </c>
      <c r="U122" s="693"/>
    </row>
    <row r="123" spans="1:21" x14ac:dyDescent="0.25">
      <c r="A123" t="s">
        <v>91</v>
      </c>
      <c r="B123">
        <v>22</v>
      </c>
      <c r="C123" t="s">
        <v>106</v>
      </c>
      <c r="D123" s="983" t="s">
        <v>1144</v>
      </c>
      <c r="E123" t="s">
        <v>1127</v>
      </c>
      <c r="F123" t="s">
        <v>789</v>
      </c>
      <c r="G123" s="693">
        <v>264</v>
      </c>
      <c r="H123">
        <v>2</v>
      </c>
      <c r="J123">
        <v>30</v>
      </c>
      <c r="K123">
        <v>20</v>
      </c>
      <c r="M123" s="693">
        <v>350</v>
      </c>
      <c r="N123" s="693">
        <v>700</v>
      </c>
      <c r="O123" s="486">
        <v>0</v>
      </c>
      <c r="P123" s="486">
        <v>11.811023622047244</v>
      </c>
      <c r="Q123" s="486">
        <v>7.8740157480314963</v>
      </c>
      <c r="R123" s="486">
        <v>0</v>
      </c>
      <c r="S123" s="693">
        <v>19.440000000000001</v>
      </c>
      <c r="T123" s="693">
        <v>38.89</v>
      </c>
      <c r="U123" s="693"/>
    </row>
    <row r="124" spans="1:21" x14ac:dyDescent="0.25">
      <c r="A124" t="s">
        <v>91</v>
      </c>
      <c r="B124">
        <v>23</v>
      </c>
      <c r="C124" t="s">
        <v>107</v>
      </c>
      <c r="D124" s="983" t="s">
        <v>1145</v>
      </c>
      <c r="E124" t="s">
        <v>1146</v>
      </c>
      <c r="F124" t="s">
        <v>720</v>
      </c>
      <c r="G124" s="693">
        <v>296</v>
      </c>
      <c r="H124">
        <v>4</v>
      </c>
      <c r="J124">
        <v>40</v>
      </c>
      <c r="K124">
        <v>20</v>
      </c>
      <c r="M124" s="693">
        <v>400</v>
      </c>
      <c r="N124" s="693">
        <v>1600</v>
      </c>
      <c r="O124" s="486">
        <v>0</v>
      </c>
      <c r="P124" s="486">
        <v>15.748031496062993</v>
      </c>
      <c r="Q124" s="486">
        <v>7.8740157480314963</v>
      </c>
      <c r="R124" s="486">
        <v>0</v>
      </c>
      <c r="S124" s="693">
        <v>22.22</v>
      </c>
      <c r="T124" s="693">
        <v>88.89</v>
      </c>
      <c r="U124" s="693"/>
    </row>
    <row r="125" spans="1:21" x14ac:dyDescent="0.25">
      <c r="A125" t="s">
        <v>91</v>
      </c>
      <c r="B125">
        <v>24</v>
      </c>
      <c r="C125" t="s">
        <v>107</v>
      </c>
      <c r="D125" s="983" t="s">
        <v>1147</v>
      </c>
      <c r="E125" t="s">
        <v>1127</v>
      </c>
      <c r="F125" t="s">
        <v>789</v>
      </c>
      <c r="G125" s="693">
        <v>264</v>
      </c>
      <c r="H125">
        <v>2</v>
      </c>
      <c r="J125">
        <v>35</v>
      </c>
      <c r="K125">
        <v>20</v>
      </c>
      <c r="M125" s="693">
        <v>350</v>
      </c>
      <c r="N125" s="693">
        <v>700</v>
      </c>
      <c r="O125" s="486">
        <v>0</v>
      </c>
      <c r="P125" s="486">
        <v>13.779527559055119</v>
      </c>
      <c r="Q125" s="486">
        <v>7.8740157480314963</v>
      </c>
      <c r="R125" s="486">
        <v>0</v>
      </c>
      <c r="S125" s="693">
        <v>19.440000000000001</v>
      </c>
      <c r="T125" s="693">
        <v>38.89</v>
      </c>
      <c r="U125" s="693"/>
    </row>
    <row r="126" spans="1:21" x14ac:dyDescent="0.25">
      <c r="A126" t="s">
        <v>100</v>
      </c>
      <c r="B126">
        <v>32</v>
      </c>
      <c r="D126" s="983" t="s">
        <v>1148</v>
      </c>
      <c r="E126" t="s">
        <v>1149</v>
      </c>
      <c r="F126" t="s">
        <v>1149</v>
      </c>
      <c r="G126" s="693">
        <v>0</v>
      </c>
      <c r="M126" s="693"/>
      <c r="N126" s="693">
        <v>0</v>
      </c>
      <c r="O126" s="486">
        <v>0</v>
      </c>
      <c r="P126" s="486">
        <v>0</v>
      </c>
      <c r="Q126" s="486">
        <v>0</v>
      </c>
      <c r="R126" s="486">
        <v>0</v>
      </c>
      <c r="S126" s="693">
        <v>0</v>
      </c>
      <c r="T126" s="693">
        <v>0</v>
      </c>
      <c r="U126" s="693"/>
    </row>
    <row r="127" spans="1:21" x14ac:dyDescent="0.25">
      <c r="A127" t="s">
        <v>108</v>
      </c>
      <c r="B127">
        <v>3</v>
      </c>
      <c r="C127" t="s">
        <v>109</v>
      </c>
      <c r="D127" s="984" t="s">
        <v>1150</v>
      </c>
      <c r="E127" t="s">
        <v>1151</v>
      </c>
      <c r="F127" t="s">
        <v>1152</v>
      </c>
      <c r="G127" s="693">
        <v>7416</v>
      </c>
      <c r="H127">
        <v>3</v>
      </c>
      <c r="I127">
        <v>32</v>
      </c>
      <c r="J127">
        <v>96</v>
      </c>
      <c r="M127" s="693">
        <v>10000</v>
      </c>
      <c r="N127" s="693">
        <v>30000</v>
      </c>
      <c r="O127" s="486">
        <v>70.547839999999994</v>
      </c>
      <c r="P127" s="486">
        <v>37.795275590551178</v>
      </c>
      <c r="Q127" s="486">
        <v>0</v>
      </c>
      <c r="R127" s="486">
        <v>0</v>
      </c>
      <c r="S127" s="693">
        <v>555.55999999999995</v>
      </c>
      <c r="T127" s="693">
        <v>1666.67</v>
      </c>
      <c r="U127" s="693"/>
    </row>
  </sheetData>
  <dataValidations count="7">
    <dataValidation allowBlank="1" showInputMessage="1" showErrorMessage="1" prompt="Enter a description of the item in this column" sqref="E4" xr:uid="{675C20D3-AB14-4638-8897-2AD51A1026B3}"/>
    <dataValidation allowBlank="1" showInputMessage="1" showErrorMessage="1" prompt="Enter the unit price of each item in this column" sqref="F4" xr:uid="{E7017C90-E89A-41FC-BCC6-FD56C4888424}"/>
    <dataValidation allowBlank="1" showInputMessage="1" showErrorMessage="1" prompt="Enter the quantity in stock for each item in this column" sqref="G4" xr:uid="{0C33FBC5-27FA-43AE-9B65-4B4F70A04C68}"/>
    <dataValidation allowBlank="1" showInputMessage="1" showErrorMessage="1" prompt="This is an automated column._x000a__x000a_The inventory value for each item is automatically calculated in this column." sqref="H4" xr:uid="{DEE807E7-8353-4C9D-A404-F5D1B8708129}"/>
    <dataValidation allowBlank="1" showInputMessage="1" showErrorMessage="1" prompt="Enter the reorder level for each item in this column" sqref="I4" xr:uid="{AB3D2647-25C8-4776-9526-22F5186185C9}"/>
    <dataValidation allowBlank="1" showInputMessage="1" showErrorMessage="1" prompt="Enter the name of the item in this column" sqref="D4" xr:uid="{8BC21CFE-58CC-480C-814D-930BD79EECC4}"/>
    <dataValidation allowBlank="1" showInputMessage="1" showErrorMessage="1" prompt="Enter the item inventory ID in this column" sqref="C4" xr:uid="{C1320405-430A-4588-BF97-22D11602F014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329B-86B5-48FA-BB81-B838DBA01B21}">
  <sheetPr>
    <tabColor rgb="FFFFFF00"/>
  </sheetPr>
  <dimension ref="A1:T65"/>
  <sheetViews>
    <sheetView workbookViewId="0">
      <selection activeCell="D2" sqref="D2"/>
    </sheetView>
  </sheetViews>
  <sheetFormatPr defaultRowHeight="15" x14ac:dyDescent="0.25"/>
  <cols>
    <col min="1" max="2" width="9" style="979"/>
    <col min="3" max="3" width="30.5" style="1011" bestFit="1" customWidth="1"/>
    <col min="4" max="4" width="16.625" style="1011" bestFit="1" customWidth="1"/>
    <col min="5" max="12" width="9" style="1011"/>
    <col min="13" max="13" width="13.625" style="1012" bestFit="1" customWidth="1"/>
    <col min="14" max="14" width="20" style="1012" bestFit="1" customWidth="1"/>
    <col min="15" max="15" width="9" style="1011"/>
    <col min="16" max="18" width="9" style="1026"/>
    <col min="19" max="19" width="11.375" style="1012" customWidth="1"/>
    <col min="20" max="20" width="12.25" style="1012" customWidth="1"/>
  </cols>
  <sheetData>
    <row r="1" spans="1:20" x14ac:dyDescent="0.25">
      <c r="A1" s="1003"/>
      <c r="B1" s="1003"/>
      <c r="C1" s="1007"/>
      <c r="D1" s="1007"/>
      <c r="E1" s="1007"/>
      <c r="F1" s="1007"/>
      <c r="G1" s="1007"/>
      <c r="H1" s="1007"/>
      <c r="I1" s="1007"/>
      <c r="J1" s="1007"/>
      <c r="K1" s="1007"/>
      <c r="L1" s="1007"/>
      <c r="M1" s="1027"/>
      <c r="N1" s="1027"/>
      <c r="O1" s="1007"/>
      <c r="P1" s="1022"/>
      <c r="Q1" s="1022"/>
      <c r="R1" s="1022"/>
      <c r="S1" s="1027"/>
      <c r="T1" s="1027"/>
    </row>
    <row r="2" spans="1:20" ht="23.25" x14ac:dyDescent="0.35">
      <c r="A2" s="1014" t="s">
        <v>936</v>
      </c>
      <c r="B2" s="1003"/>
      <c r="C2" s="1008"/>
      <c r="D2" s="1009"/>
      <c r="E2" s="1007"/>
      <c r="F2" s="1007"/>
      <c r="G2" s="1007"/>
      <c r="H2" s="1007"/>
      <c r="I2" s="1008"/>
      <c r="J2" s="1008"/>
      <c r="K2" s="1008" t="s">
        <v>0</v>
      </c>
      <c r="L2" s="1007"/>
      <c r="M2" s="1028"/>
      <c r="N2" s="1030">
        <f>SUM(N5:N128)</f>
        <v>493962.5400000001</v>
      </c>
      <c r="O2" s="1019"/>
      <c r="P2" s="1023"/>
      <c r="Q2" s="1023"/>
      <c r="R2" s="1023"/>
      <c r="S2" s="1028"/>
      <c r="T2" s="1028"/>
    </row>
    <row r="3" spans="1:20" x14ac:dyDescent="0.25">
      <c r="A3" s="1003"/>
      <c r="B3" s="1003"/>
      <c r="C3" s="1007"/>
      <c r="D3" s="1007"/>
      <c r="E3" s="1007"/>
      <c r="F3" s="1007"/>
      <c r="G3" s="1007"/>
      <c r="H3" s="1007"/>
      <c r="I3" s="1007"/>
      <c r="J3" s="1007"/>
      <c r="K3" s="1007"/>
      <c r="L3" s="1010"/>
      <c r="M3" s="1027"/>
      <c r="N3" s="1027"/>
      <c r="O3" s="1020"/>
      <c r="P3" s="1022"/>
      <c r="Q3" s="1022"/>
      <c r="R3" s="1022"/>
      <c r="S3" s="1027"/>
      <c r="T3" s="1027"/>
    </row>
    <row r="4" spans="1:20" ht="15.75" thickBot="1" x14ac:dyDescent="0.3">
      <c r="A4" s="992"/>
      <c r="B4" s="993" t="s">
        <v>559</v>
      </c>
      <c r="C4" s="995" t="s">
        <v>560</v>
      </c>
      <c r="D4" s="995" t="s">
        <v>561</v>
      </c>
      <c r="E4" s="995" t="s">
        <v>1</v>
      </c>
      <c r="F4" s="995" t="s">
        <v>562</v>
      </c>
      <c r="G4" s="995" t="s">
        <v>2</v>
      </c>
      <c r="H4" s="995" t="s">
        <v>563</v>
      </c>
      <c r="I4" s="995" t="s">
        <v>564</v>
      </c>
      <c r="J4" s="995" t="s">
        <v>565</v>
      </c>
      <c r="K4" s="995" t="s">
        <v>566</v>
      </c>
      <c r="L4" s="1004" t="s">
        <v>567</v>
      </c>
      <c r="M4" s="1005" t="s">
        <v>568</v>
      </c>
      <c r="N4" s="1005" t="s">
        <v>569</v>
      </c>
      <c r="O4" s="1015" t="s">
        <v>570</v>
      </c>
      <c r="P4" s="1024" t="s">
        <v>571</v>
      </c>
      <c r="Q4" s="1024" t="s">
        <v>572</v>
      </c>
      <c r="R4" s="1024" t="s">
        <v>573</v>
      </c>
      <c r="S4" s="1005" t="s">
        <v>574</v>
      </c>
      <c r="T4" s="1005" t="s">
        <v>575</v>
      </c>
    </row>
    <row r="5" spans="1:20" x14ac:dyDescent="0.25">
      <c r="A5" s="875"/>
      <c r="B5" s="875"/>
      <c r="C5" s="1021" t="s">
        <v>323</v>
      </c>
      <c r="D5" s="972" t="s">
        <v>1154</v>
      </c>
      <c r="E5" s="1021" t="s">
        <v>688</v>
      </c>
      <c r="F5" s="1021" t="s">
        <v>689</v>
      </c>
      <c r="G5" s="1021"/>
      <c r="H5" s="1021">
        <v>12</v>
      </c>
      <c r="I5" s="1021"/>
      <c r="J5" s="1021">
        <v>40</v>
      </c>
      <c r="K5" s="1021">
        <v>12</v>
      </c>
      <c r="L5" s="1021">
        <v>12</v>
      </c>
      <c r="M5" s="1029">
        <v>420</v>
      </c>
      <c r="N5" s="1029">
        <f>M5*H5</f>
        <v>5040</v>
      </c>
      <c r="O5" s="1021" t="str">
        <f>IF(I5&gt;0.1,I5*2.20462," ")</f>
        <v xml:space="preserve"> </v>
      </c>
      <c r="P5" s="1025">
        <f>J5/2.54</f>
        <v>15.748031496062993</v>
      </c>
      <c r="Q5" s="1025">
        <f>K5/2.54</f>
        <v>4.7244094488188972</v>
      </c>
      <c r="R5" s="1025">
        <f>L5/2.54</f>
        <v>4.7244094488188972</v>
      </c>
      <c r="S5" s="1029">
        <f>M5/18</f>
        <v>23.333333333333332</v>
      </c>
      <c r="T5" s="1029">
        <f>S5*H5</f>
        <v>280</v>
      </c>
    </row>
    <row r="6" spans="1:20" x14ac:dyDescent="0.25">
      <c r="A6"/>
      <c r="B6"/>
      <c r="C6" s="1011" t="s">
        <v>323</v>
      </c>
      <c r="D6" s="972" t="s">
        <v>1155</v>
      </c>
      <c r="E6" s="1011" t="s">
        <v>772</v>
      </c>
      <c r="F6" s="1011" t="s">
        <v>691</v>
      </c>
      <c r="H6" s="1011">
        <v>5</v>
      </c>
      <c r="J6" s="1011">
        <v>40</v>
      </c>
      <c r="K6" s="1011">
        <v>16</v>
      </c>
      <c r="L6" s="1011">
        <v>16</v>
      </c>
      <c r="M6" s="1012">
        <v>605</v>
      </c>
      <c r="N6" s="1012">
        <f t="shared" ref="N6:N65" si="0">M6*H6</f>
        <v>3025</v>
      </c>
      <c r="O6" s="1011" t="str">
        <f t="shared" ref="O6:O65" si="1">IF(I6&gt;0.1,I6*2.20462," ")</f>
        <v xml:space="preserve"> </v>
      </c>
      <c r="P6" s="1026">
        <f t="shared" ref="P6:P65" si="2">J6/2.54</f>
        <v>15.748031496062993</v>
      </c>
      <c r="Q6" s="1026">
        <f t="shared" ref="Q6:Q65" si="3">K6/2.54</f>
        <v>6.2992125984251963</v>
      </c>
      <c r="R6" s="1026">
        <f t="shared" ref="R6:R65" si="4">L6/2.54</f>
        <v>6.2992125984251963</v>
      </c>
      <c r="S6" s="1012">
        <f t="shared" ref="S6:S65" si="5">M6/18</f>
        <v>33.611111111111114</v>
      </c>
      <c r="T6" s="1012">
        <f t="shared" ref="T6:T65" si="6">S6*H6</f>
        <v>168.05555555555557</v>
      </c>
    </row>
    <row r="7" spans="1:20" x14ac:dyDescent="0.25">
      <c r="A7" s="875"/>
      <c r="B7" s="875"/>
      <c r="C7" s="1021" t="s">
        <v>323</v>
      </c>
      <c r="D7" s="972" t="s">
        <v>1156</v>
      </c>
      <c r="E7" s="1021" t="s">
        <v>688</v>
      </c>
      <c r="F7" s="1021" t="s">
        <v>689</v>
      </c>
      <c r="G7" s="1021"/>
      <c r="H7" s="1021">
        <v>10</v>
      </c>
      <c r="I7" s="1021"/>
      <c r="J7" s="1021">
        <v>35</v>
      </c>
      <c r="K7" s="1021">
        <v>12</v>
      </c>
      <c r="L7" s="1021">
        <v>12</v>
      </c>
      <c r="M7" s="1029">
        <v>410</v>
      </c>
      <c r="N7" s="1029">
        <f t="shared" si="0"/>
        <v>4100</v>
      </c>
      <c r="O7" s="1021" t="str">
        <f t="shared" si="1"/>
        <v xml:space="preserve"> </v>
      </c>
      <c r="P7" s="1025">
        <f t="shared" si="2"/>
        <v>13.779527559055119</v>
      </c>
      <c r="Q7" s="1025">
        <f t="shared" si="3"/>
        <v>4.7244094488188972</v>
      </c>
      <c r="R7" s="1025">
        <f t="shared" si="4"/>
        <v>4.7244094488188972</v>
      </c>
      <c r="S7" s="1029">
        <f t="shared" si="5"/>
        <v>22.777777777777779</v>
      </c>
      <c r="T7" s="1029">
        <f t="shared" si="6"/>
        <v>227.77777777777777</v>
      </c>
    </row>
    <row r="8" spans="1:20" x14ac:dyDescent="0.25">
      <c r="A8"/>
      <c r="B8"/>
      <c r="C8" s="1011" t="s">
        <v>323</v>
      </c>
      <c r="D8" s="972" t="s">
        <v>1157</v>
      </c>
      <c r="E8" s="1011" t="s">
        <v>713</v>
      </c>
      <c r="F8" s="1011" t="s">
        <v>789</v>
      </c>
      <c r="H8" s="1011">
        <v>23</v>
      </c>
      <c r="J8" s="1011">
        <v>30</v>
      </c>
      <c r="K8" s="1011">
        <v>12</v>
      </c>
      <c r="L8" s="1011">
        <v>12</v>
      </c>
      <c r="M8" s="1012">
        <v>350</v>
      </c>
      <c r="N8" s="1012">
        <f t="shared" si="0"/>
        <v>8050</v>
      </c>
      <c r="O8" s="1011" t="str">
        <f t="shared" si="1"/>
        <v xml:space="preserve"> </v>
      </c>
      <c r="P8" s="1026">
        <f t="shared" si="2"/>
        <v>11.811023622047244</v>
      </c>
      <c r="Q8" s="1026">
        <f t="shared" si="3"/>
        <v>4.7244094488188972</v>
      </c>
      <c r="R8" s="1026">
        <f t="shared" si="4"/>
        <v>4.7244094488188972</v>
      </c>
      <c r="S8" s="1012">
        <f t="shared" si="5"/>
        <v>19.444444444444443</v>
      </c>
      <c r="T8" s="1012">
        <f t="shared" si="6"/>
        <v>447.22222222222217</v>
      </c>
    </row>
    <row r="9" spans="1:20" x14ac:dyDescent="0.25">
      <c r="A9" s="875"/>
      <c r="B9" s="875"/>
      <c r="C9" s="1021" t="s">
        <v>323</v>
      </c>
      <c r="D9" s="972" t="s">
        <v>1158</v>
      </c>
      <c r="E9" s="1021" t="s">
        <v>716</v>
      </c>
      <c r="F9" s="1021" t="s">
        <v>717</v>
      </c>
      <c r="G9" s="1021"/>
      <c r="H9" s="1021">
        <v>7</v>
      </c>
      <c r="I9" s="1021"/>
      <c r="J9" s="1021">
        <v>30</v>
      </c>
      <c r="K9" s="1021">
        <v>16</v>
      </c>
      <c r="L9" s="1021">
        <v>16</v>
      </c>
      <c r="M9" s="1029">
        <v>460</v>
      </c>
      <c r="N9" s="1029">
        <f t="shared" si="0"/>
        <v>3220</v>
      </c>
      <c r="O9" s="1021" t="str">
        <f t="shared" si="1"/>
        <v xml:space="preserve"> </v>
      </c>
      <c r="P9" s="1025">
        <f t="shared" si="2"/>
        <v>11.811023622047244</v>
      </c>
      <c r="Q9" s="1025">
        <f t="shared" si="3"/>
        <v>6.2992125984251963</v>
      </c>
      <c r="R9" s="1025">
        <f t="shared" si="4"/>
        <v>6.2992125984251963</v>
      </c>
      <c r="S9" s="1029">
        <f t="shared" si="5"/>
        <v>25.555555555555557</v>
      </c>
      <c r="T9" s="1029">
        <f t="shared" si="6"/>
        <v>178.88888888888891</v>
      </c>
    </row>
    <row r="10" spans="1:20" x14ac:dyDescent="0.25">
      <c r="A10"/>
      <c r="B10"/>
      <c r="C10" s="1011" t="s">
        <v>323</v>
      </c>
      <c r="D10" s="972" t="s">
        <v>1159</v>
      </c>
      <c r="E10" s="1011" t="s">
        <v>752</v>
      </c>
      <c r="F10" s="1011" t="s">
        <v>753</v>
      </c>
      <c r="H10" s="1011">
        <v>5</v>
      </c>
      <c r="J10" s="1011">
        <v>25</v>
      </c>
      <c r="K10" s="1011">
        <v>8</v>
      </c>
      <c r="L10" s="1011">
        <v>8</v>
      </c>
      <c r="M10" s="1012">
        <v>180</v>
      </c>
      <c r="N10" s="1012">
        <f t="shared" si="0"/>
        <v>900</v>
      </c>
      <c r="O10" s="1011" t="str">
        <f t="shared" si="1"/>
        <v xml:space="preserve"> </v>
      </c>
      <c r="P10" s="1026">
        <f t="shared" si="2"/>
        <v>9.8425196850393704</v>
      </c>
      <c r="Q10" s="1026">
        <f t="shared" si="3"/>
        <v>3.1496062992125982</v>
      </c>
      <c r="R10" s="1026">
        <f t="shared" si="4"/>
        <v>3.1496062992125982</v>
      </c>
      <c r="S10" s="1012">
        <f t="shared" si="5"/>
        <v>10</v>
      </c>
      <c r="T10" s="1012">
        <f t="shared" si="6"/>
        <v>50</v>
      </c>
    </row>
    <row r="11" spans="1:20" x14ac:dyDescent="0.25">
      <c r="A11" s="875"/>
      <c r="B11" s="875"/>
      <c r="C11" s="1021" t="s">
        <v>294</v>
      </c>
      <c r="D11" s="970" t="s">
        <v>1160</v>
      </c>
      <c r="E11" s="1021" t="s">
        <v>635</v>
      </c>
      <c r="F11" s="1021" t="s">
        <v>636</v>
      </c>
      <c r="G11" s="1021"/>
      <c r="H11" s="1021">
        <v>2</v>
      </c>
      <c r="I11" s="1021">
        <v>30</v>
      </c>
      <c r="J11" s="1021">
        <v>150</v>
      </c>
      <c r="K11" s="1021">
        <v>80</v>
      </c>
      <c r="L11" s="1021">
        <v>10</v>
      </c>
      <c r="M11" s="1029">
        <v>5100</v>
      </c>
      <c r="N11" s="1029">
        <f t="shared" si="0"/>
        <v>10200</v>
      </c>
      <c r="O11" s="1021">
        <f t="shared" si="1"/>
        <v>66.138599999999997</v>
      </c>
      <c r="P11" s="1025">
        <f t="shared" si="2"/>
        <v>59.055118110236222</v>
      </c>
      <c r="Q11" s="1025">
        <f t="shared" si="3"/>
        <v>31.496062992125985</v>
      </c>
      <c r="R11" s="1025">
        <f t="shared" si="4"/>
        <v>3.9370078740157481</v>
      </c>
      <c r="S11" s="1029">
        <f t="shared" si="5"/>
        <v>283.33333333333331</v>
      </c>
      <c r="T11" s="1029">
        <f t="shared" si="6"/>
        <v>566.66666666666663</v>
      </c>
    </row>
    <row r="12" spans="1:20" x14ac:dyDescent="0.25">
      <c r="A12"/>
      <c r="B12"/>
      <c r="C12" s="1011" t="s">
        <v>295</v>
      </c>
      <c r="D12" s="970" t="s">
        <v>1161</v>
      </c>
      <c r="E12" s="1011" t="s">
        <v>635</v>
      </c>
      <c r="F12" s="1011" t="s">
        <v>636</v>
      </c>
      <c r="H12" s="1011">
        <v>4</v>
      </c>
      <c r="I12" s="1011">
        <v>30</v>
      </c>
      <c r="J12" s="1011">
        <v>150</v>
      </c>
      <c r="K12" s="1011">
        <v>80</v>
      </c>
      <c r="L12" s="1011">
        <v>10</v>
      </c>
      <c r="M12" s="1012">
        <v>5100</v>
      </c>
      <c r="N12" s="1012">
        <f t="shared" si="0"/>
        <v>20400</v>
      </c>
      <c r="O12" s="1011">
        <f t="shared" si="1"/>
        <v>66.138599999999997</v>
      </c>
      <c r="P12" s="1026">
        <f t="shared" si="2"/>
        <v>59.055118110236222</v>
      </c>
      <c r="Q12" s="1026">
        <f t="shared" si="3"/>
        <v>31.496062992125985</v>
      </c>
      <c r="R12" s="1026">
        <f t="shared" si="4"/>
        <v>3.9370078740157481</v>
      </c>
      <c r="S12" s="1012">
        <f t="shared" si="5"/>
        <v>283.33333333333331</v>
      </c>
      <c r="T12" s="1012">
        <f t="shared" si="6"/>
        <v>1133.3333333333333</v>
      </c>
    </row>
    <row r="13" spans="1:20" x14ac:dyDescent="0.25">
      <c r="A13" s="875"/>
      <c r="B13" s="875"/>
      <c r="C13" s="1021" t="s">
        <v>296</v>
      </c>
      <c r="D13" s="970" t="s">
        <v>1162</v>
      </c>
      <c r="E13" s="1021" t="s">
        <v>1164</v>
      </c>
      <c r="F13" s="1021" t="s">
        <v>1163</v>
      </c>
      <c r="G13" s="1021"/>
      <c r="H13" s="1021">
        <v>1</v>
      </c>
      <c r="I13" s="1021">
        <v>40</v>
      </c>
      <c r="J13" s="1021">
        <v>183</v>
      </c>
      <c r="K13" s="1021">
        <v>102</v>
      </c>
      <c r="L13" s="1021">
        <v>10</v>
      </c>
      <c r="M13" s="1029">
        <v>7600</v>
      </c>
      <c r="N13" s="1029">
        <f t="shared" si="0"/>
        <v>7600</v>
      </c>
      <c r="O13" s="1021">
        <f t="shared" si="1"/>
        <v>88.184799999999996</v>
      </c>
      <c r="P13" s="1025">
        <f t="shared" si="2"/>
        <v>72.047244094488192</v>
      </c>
      <c r="Q13" s="1025">
        <f t="shared" si="3"/>
        <v>40.15748031496063</v>
      </c>
      <c r="R13" s="1025">
        <f t="shared" si="4"/>
        <v>3.9370078740157481</v>
      </c>
      <c r="S13" s="1029">
        <f t="shared" si="5"/>
        <v>422.22222222222223</v>
      </c>
      <c r="T13" s="1029">
        <f t="shared" si="6"/>
        <v>422.22222222222223</v>
      </c>
    </row>
    <row r="14" spans="1:20" x14ac:dyDescent="0.25">
      <c r="A14"/>
      <c r="B14"/>
      <c r="C14" s="1011" t="s">
        <v>49</v>
      </c>
      <c r="D14" s="970" t="s">
        <v>1165</v>
      </c>
      <c r="E14" s="1011" t="s">
        <v>639</v>
      </c>
      <c r="F14" s="1011" t="s">
        <v>640</v>
      </c>
      <c r="H14" s="1011">
        <v>3</v>
      </c>
      <c r="I14" s="1011">
        <v>27</v>
      </c>
      <c r="J14" s="1011">
        <v>100</v>
      </c>
      <c r="K14" s="1011">
        <v>100</v>
      </c>
      <c r="L14" s="1011">
        <v>10</v>
      </c>
      <c r="M14" s="1012">
        <v>4200</v>
      </c>
      <c r="N14" s="1012">
        <f t="shared" si="0"/>
        <v>12600</v>
      </c>
      <c r="O14" s="1011">
        <f t="shared" si="1"/>
        <v>59.524739999999994</v>
      </c>
      <c r="P14" s="1026">
        <f t="shared" si="2"/>
        <v>39.370078740157481</v>
      </c>
      <c r="Q14" s="1026">
        <f t="shared" si="3"/>
        <v>39.370078740157481</v>
      </c>
      <c r="R14" s="1026">
        <f t="shared" si="4"/>
        <v>3.9370078740157481</v>
      </c>
      <c r="S14" s="1012">
        <f t="shared" si="5"/>
        <v>233.33333333333334</v>
      </c>
      <c r="T14" s="1012">
        <f t="shared" si="6"/>
        <v>700</v>
      </c>
    </row>
    <row r="15" spans="1:20" x14ac:dyDescent="0.25">
      <c r="A15" s="875"/>
      <c r="B15" s="875"/>
      <c r="C15" s="1021" t="s">
        <v>295</v>
      </c>
      <c r="D15" s="970" t="s">
        <v>1166</v>
      </c>
      <c r="E15" s="1021" t="s">
        <v>38</v>
      </c>
      <c r="F15" s="1021" t="s">
        <v>642</v>
      </c>
      <c r="G15" s="1021"/>
      <c r="H15" s="1021">
        <v>2</v>
      </c>
      <c r="I15" s="1021">
        <v>19</v>
      </c>
      <c r="J15" s="1021">
        <v>110</v>
      </c>
      <c r="K15" s="1021">
        <v>60</v>
      </c>
      <c r="L15" s="1021">
        <v>10</v>
      </c>
      <c r="M15" s="1029">
        <v>3400</v>
      </c>
      <c r="N15" s="1029">
        <f t="shared" si="0"/>
        <v>6800</v>
      </c>
      <c r="O15" s="1021">
        <f t="shared" si="1"/>
        <v>41.887779999999999</v>
      </c>
      <c r="P15" s="1025">
        <f t="shared" si="2"/>
        <v>43.30708661417323</v>
      </c>
      <c r="Q15" s="1025">
        <f t="shared" si="3"/>
        <v>23.622047244094489</v>
      </c>
      <c r="R15" s="1025">
        <f t="shared" si="4"/>
        <v>3.9370078740157481</v>
      </c>
      <c r="S15" s="1029">
        <f t="shared" si="5"/>
        <v>188.88888888888889</v>
      </c>
      <c r="T15" s="1029">
        <f t="shared" si="6"/>
        <v>377.77777777777777</v>
      </c>
    </row>
    <row r="16" spans="1:20" x14ac:dyDescent="0.25">
      <c r="A16"/>
      <c r="B16"/>
      <c r="C16" s="1011" t="s">
        <v>297</v>
      </c>
      <c r="D16" s="970" t="s">
        <v>1167</v>
      </c>
      <c r="E16" s="1011" t="s">
        <v>1169</v>
      </c>
      <c r="F16" s="1011" t="s">
        <v>1168</v>
      </c>
      <c r="H16" s="1011">
        <v>1</v>
      </c>
      <c r="J16" s="1011">
        <v>120</v>
      </c>
      <c r="K16" s="1011">
        <v>22</v>
      </c>
      <c r="L16" s="1011">
        <v>11</v>
      </c>
      <c r="M16" s="1012">
        <v>3484</v>
      </c>
      <c r="N16" s="1012">
        <f t="shared" si="0"/>
        <v>3484</v>
      </c>
      <c r="O16" s="1011" t="str">
        <f t="shared" si="1"/>
        <v xml:space="preserve"> </v>
      </c>
      <c r="P16" s="1026">
        <f t="shared" si="2"/>
        <v>47.244094488188978</v>
      </c>
      <c r="Q16" s="1026">
        <f t="shared" si="3"/>
        <v>8.6614173228346463</v>
      </c>
      <c r="R16" s="1026">
        <f t="shared" si="4"/>
        <v>4.3307086614173231</v>
      </c>
      <c r="S16" s="1012">
        <f t="shared" si="5"/>
        <v>193.55555555555554</v>
      </c>
      <c r="T16" s="1012">
        <f t="shared" si="6"/>
        <v>193.55555555555554</v>
      </c>
    </row>
    <row r="17" spans="1:20" x14ac:dyDescent="0.25">
      <c r="A17" s="875"/>
      <c r="B17" s="875"/>
      <c r="C17" s="1021" t="s">
        <v>297</v>
      </c>
      <c r="D17" s="970" t="s">
        <v>1170</v>
      </c>
      <c r="E17" s="1021" t="s">
        <v>1172</v>
      </c>
      <c r="F17" s="1021" t="s">
        <v>1171</v>
      </c>
      <c r="G17" s="1021"/>
      <c r="H17" s="1021">
        <v>1</v>
      </c>
      <c r="I17" s="1021"/>
      <c r="J17" s="1021">
        <v>115</v>
      </c>
      <c r="K17" s="1021">
        <v>22</v>
      </c>
      <c r="L17" s="1021">
        <v>11</v>
      </c>
      <c r="M17" s="1029">
        <v>3339</v>
      </c>
      <c r="N17" s="1029">
        <f t="shared" si="0"/>
        <v>3339</v>
      </c>
      <c r="O17" s="1021" t="str">
        <f t="shared" si="1"/>
        <v xml:space="preserve"> </v>
      </c>
      <c r="P17" s="1025">
        <f t="shared" si="2"/>
        <v>45.275590551181104</v>
      </c>
      <c r="Q17" s="1025">
        <f t="shared" si="3"/>
        <v>8.6614173228346463</v>
      </c>
      <c r="R17" s="1025">
        <f t="shared" si="4"/>
        <v>4.3307086614173231</v>
      </c>
      <c r="S17" s="1029">
        <f t="shared" si="5"/>
        <v>185.5</v>
      </c>
      <c r="T17" s="1029">
        <f t="shared" si="6"/>
        <v>185.5</v>
      </c>
    </row>
    <row r="18" spans="1:20" x14ac:dyDescent="0.25">
      <c r="A18"/>
      <c r="B18"/>
      <c r="C18" s="1011" t="s">
        <v>298</v>
      </c>
      <c r="D18" s="970" t="s">
        <v>1173</v>
      </c>
      <c r="E18" s="1011" t="s">
        <v>1174</v>
      </c>
      <c r="F18" s="1011" t="s">
        <v>1114</v>
      </c>
      <c r="H18" s="1011">
        <v>3</v>
      </c>
      <c r="J18" s="1011">
        <v>110</v>
      </c>
      <c r="K18" s="1011">
        <v>22</v>
      </c>
      <c r="L18" s="1011">
        <v>11</v>
      </c>
      <c r="M18" s="1012">
        <v>3194</v>
      </c>
      <c r="N18" s="1012">
        <f t="shared" si="0"/>
        <v>9582</v>
      </c>
      <c r="O18" s="1011" t="str">
        <f t="shared" si="1"/>
        <v xml:space="preserve"> </v>
      </c>
      <c r="P18" s="1026">
        <f t="shared" si="2"/>
        <v>43.30708661417323</v>
      </c>
      <c r="Q18" s="1026">
        <f t="shared" si="3"/>
        <v>8.6614173228346463</v>
      </c>
      <c r="R18" s="1026">
        <f t="shared" si="4"/>
        <v>4.3307086614173231</v>
      </c>
      <c r="S18" s="1012">
        <f t="shared" si="5"/>
        <v>177.44444444444446</v>
      </c>
      <c r="T18" s="1012">
        <f t="shared" si="6"/>
        <v>532.33333333333337</v>
      </c>
    </row>
    <row r="19" spans="1:20" x14ac:dyDescent="0.25">
      <c r="A19" s="875"/>
      <c r="B19" s="875"/>
      <c r="C19" s="1021" t="s">
        <v>297</v>
      </c>
      <c r="D19" s="970" t="s">
        <v>1175</v>
      </c>
      <c r="E19" s="1021" t="s">
        <v>1177</v>
      </c>
      <c r="F19" s="1021" t="s">
        <v>1176</v>
      </c>
      <c r="G19" s="1021"/>
      <c r="H19" s="1021">
        <v>2</v>
      </c>
      <c r="I19" s="1021"/>
      <c r="J19" s="1021">
        <v>110</v>
      </c>
      <c r="K19" s="1021">
        <v>22</v>
      </c>
      <c r="L19" s="1021">
        <v>11</v>
      </c>
      <c r="M19" s="1029">
        <v>2904</v>
      </c>
      <c r="N19" s="1029">
        <f t="shared" si="0"/>
        <v>5808</v>
      </c>
      <c r="O19" s="1021" t="str">
        <f t="shared" si="1"/>
        <v xml:space="preserve"> </v>
      </c>
      <c r="P19" s="1025">
        <f t="shared" si="2"/>
        <v>43.30708661417323</v>
      </c>
      <c r="Q19" s="1025">
        <f t="shared" si="3"/>
        <v>8.6614173228346463</v>
      </c>
      <c r="R19" s="1025">
        <f t="shared" si="4"/>
        <v>4.3307086614173231</v>
      </c>
      <c r="S19" s="1029">
        <f t="shared" si="5"/>
        <v>161.33333333333334</v>
      </c>
      <c r="T19" s="1029">
        <f t="shared" si="6"/>
        <v>322.66666666666669</v>
      </c>
    </row>
    <row r="20" spans="1:20" x14ac:dyDescent="0.25">
      <c r="A20"/>
      <c r="B20"/>
      <c r="C20" s="1011" t="s">
        <v>299</v>
      </c>
      <c r="D20" s="970" t="s">
        <v>1178</v>
      </c>
      <c r="E20" s="1011" t="s">
        <v>661</v>
      </c>
      <c r="F20" s="1011" t="s">
        <v>662</v>
      </c>
      <c r="H20" s="1011">
        <v>2</v>
      </c>
      <c r="J20" s="1011">
        <v>70</v>
      </c>
      <c r="K20" s="1011">
        <v>22</v>
      </c>
      <c r="L20" s="1011">
        <v>11</v>
      </c>
      <c r="M20" s="1012">
        <v>2032</v>
      </c>
      <c r="N20" s="1012">
        <f t="shared" si="0"/>
        <v>4064</v>
      </c>
      <c r="O20" s="1011" t="str">
        <f t="shared" si="1"/>
        <v xml:space="preserve"> </v>
      </c>
      <c r="P20" s="1026">
        <f t="shared" si="2"/>
        <v>27.559055118110237</v>
      </c>
      <c r="Q20" s="1026">
        <f t="shared" si="3"/>
        <v>8.6614173228346463</v>
      </c>
      <c r="R20" s="1026">
        <f t="shared" si="4"/>
        <v>4.3307086614173231</v>
      </c>
      <c r="S20" s="1012">
        <f t="shared" si="5"/>
        <v>112.88888888888889</v>
      </c>
      <c r="T20" s="1012">
        <f t="shared" si="6"/>
        <v>225.77777777777777</v>
      </c>
    </row>
    <row r="21" spans="1:20" x14ac:dyDescent="0.25">
      <c r="A21" s="875"/>
      <c r="B21" s="875"/>
      <c r="C21" s="1021" t="s">
        <v>300</v>
      </c>
      <c r="D21" s="970" t="s">
        <v>1179</v>
      </c>
      <c r="E21" s="1021" t="s">
        <v>685</v>
      </c>
      <c r="F21" s="1021" t="s">
        <v>686</v>
      </c>
      <c r="G21" s="1021"/>
      <c r="H21" s="1021">
        <v>18</v>
      </c>
      <c r="I21" s="1021">
        <v>7</v>
      </c>
      <c r="J21" s="1021">
        <v>45</v>
      </c>
      <c r="K21" s="1021">
        <v>15</v>
      </c>
      <c r="L21" s="1021">
        <v>15</v>
      </c>
      <c r="M21" s="1029">
        <v>750</v>
      </c>
      <c r="N21" s="1029">
        <f t="shared" si="0"/>
        <v>13500</v>
      </c>
      <c r="O21" s="1021">
        <f t="shared" si="1"/>
        <v>15.432339999999998</v>
      </c>
      <c r="P21" s="1025">
        <f t="shared" si="2"/>
        <v>17.716535433070867</v>
      </c>
      <c r="Q21" s="1025">
        <f t="shared" si="3"/>
        <v>5.9055118110236222</v>
      </c>
      <c r="R21" s="1025">
        <f t="shared" si="4"/>
        <v>5.9055118110236222</v>
      </c>
      <c r="S21" s="1029">
        <f t="shared" si="5"/>
        <v>41.666666666666664</v>
      </c>
      <c r="T21" s="1029">
        <f t="shared" si="6"/>
        <v>750</v>
      </c>
    </row>
    <row r="22" spans="1:20" x14ac:dyDescent="0.25">
      <c r="A22"/>
      <c r="B22"/>
      <c r="C22" s="1011" t="s">
        <v>301</v>
      </c>
      <c r="D22" s="970" t="s">
        <v>1180</v>
      </c>
      <c r="E22" s="1011" t="s">
        <v>712</v>
      </c>
      <c r="F22" s="1011" t="s">
        <v>713</v>
      </c>
      <c r="H22" s="1011">
        <v>12</v>
      </c>
      <c r="I22" s="1011">
        <v>4</v>
      </c>
      <c r="J22" s="1011">
        <v>40</v>
      </c>
      <c r="K22" s="1011">
        <v>12</v>
      </c>
      <c r="L22" s="1011">
        <v>12</v>
      </c>
      <c r="M22" s="1012">
        <v>500</v>
      </c>
      <c r="N22" s="1012">
        <f t="shared" si="0"/>
        <v>6000</v>
      </c>
      <c r="O22" s="1011">
        <f t="shared" si="1"/>
        <v>8.8184799999999992</v>
      </c>
      <c r="P22" s="1026">
        <f t="shared" si="2"/>
        <v>15.748031496062993</v>
      </c>
      <c r="Q22" s="1026">
        <f t="shared" si="3"/>
        <v>4.7244094488188972</v>
      </c>
      <c r="R22" s="1026">
        <f t="shared" si="4"/>
        <v>4.7244094488188972</v>
      </c>
      <c r="S22" s="1012">
        <f t="shared" si="5"/>
        <v>27.777777777777779</v>
      </c>
      <c r="T22" s="1012">
        <f t="shared" si="6"/>
        <v>333.33333333333337</v>
      </c>
    </row>
    <row r="23" spans="1:20" x14ac:dyDescent="0.25">
      <c r="A23" s="875"/>
      <c r="B23" s="875"/>
      <c r="C23" s="1021" t="s">
        <v>301</v>
      </c>
      <c r="D23" s="970" t="s">
        <v>1181</v>
      </c>
      <c r="E23" s="1021" t="s">
        <v>827</v>
      </c>
      <c r="F23" s="1021" t="s">
        <v>759</v>
      </c>
      <c r="G23" s="1021"/>
      <c r="H23" s="1021">
        <v>18</v>
      </c>
      <c r="I23" s="1021">
        <v>3</v>
      </c>
      <c r="J23" s="1021">
        <v>35</v>
      </c>
      <c r="K23" s="1021">
        <v>10</v>
      </c>
      <c r="L23" s="1021">
        <v>10</v>
      </c>
      <c r="M23" s="1029">
        <v>380</v>
      </c>
      <c r="N23" s="1029">
        <f t="shared" si="0"/>
        <v>6840</v>
      </c>
      <c r="O23" s="1021">
        <f t="shared" si="1"/>
        <v>6.613859999999999</v>
      </c>
      <c r="P23" s="1025">
        <f t="shared" si="2"/>
        <v>13.779527559055119</v>
      </c>
      <c r="Q23" s="1025">
        <f t="shared" si="3"/>
        <v>3.9370078740157481</v>
      </c>
      <c r="R23" s="1025">
        <f t="shared" si="4"/>
        <v>3.9370078740157481</v>
      </c>
      <c r="S23" s="1029">
        <f t="shared" si="5"/>
        <v>21.111111111111111</v>
      </c>
      <c r="T23" s="1029">
        <f t="shared" si="6"/>
        <v>380</v>
      </c>
    </row>
    <row r="24" spans="1:20" x14ac:dyDescent="0.25">
      <c r="A24"/>
      <c r="B24"/>
      <c r="C24" s="1011" t="s">
        <v>46</v>
      </c>
      <c r="D24" s="970" t="s">
        <v>1182</v>
      </c>
      <c r="E24" s="1011" t="s">
        <v>827</v>
      </c>
      <c r="F24" s="1011" t="s">
        <v>759</v>
      </c>
      <c r="H24" s="1011">
        <v>13</v>
      </c>
      <c r="I24" s="1011">
        <v>3</v>
      </c>
      <c r="J24" s="1011">
        <v>35</v>
      </c>
      <c r="K24" s="1011">
        <v>10</v>
      </c>
      <c r="L24" s="1011">
        <v>10</v>
      </c>
      <c r="M24" s="1012">
        <v>380</v>
      </c>
      <c r="N24" s="1012">
        <f t="shared" si="0"/>
        <v>4940</v>
      </c>
      <c r="O24" s="1011">
        <f t="shared" si="1"/>
        <v>6.613859999999999</v>
      </c>
      <c r="P24" s="1026">
        <f t="shared" si="2"/>
        <v>13.779527559055119</v>
      </c>
      <c r="Q24" s="1026">
        <f t="shared" si="3"/>
        <v>3.9370078740157481</v>
      </c>
      <c r="R24" s="1026">
        <f t="shared" si="4"/>
        <v>3.9370078740157481</v>
      </c>
      <c r="S24" s="1012">
        <f t="shared" si="5"/>
        <v>21.111111111111111</v>
      </c>
      <c r="T24" s="1012">
        <f t="shared" si="6"/>
        <v>274.44444444444446</v>
      </c>
    </row>
    <row r="25" spans="1:20" x14ac:dyDescent="0.25">
      <c r="A25" s="875"/>
      <c r="B25" s="875"/>
      <c r="C25" s="1021" t="s">
        <v>302</v>
      </c>
      <c r="D25" s="970" t="s">
        <v>1183</v>
      </c>
      <c r="E25" s="1021" t="s">
        <v>827</v>
      </c>
      <c r="F25" s="1021" t="s">
        <v>759</v>
      </c>
      <c r="G25" s="1021"/>
      <c r="H25" s="1021">
        <v>23</v>
      </c>
      <c r="I25" s="1021">
        <v>3</v>
      </c>
      <c r="J25" s="1021">
        <v>35</v>
      </c>
      <c r="K25" s="1021">
        <v>10</v>
      </c>
      <c r="L25" s="1021">
        <v>10</v>
      </c>
      <c r="M25" s="1029">
        <v>380</v>
      </c>
      <c r="N25" s="1029">
        <f t="shared" si="0"/>
        <v>8740</v>
      </c>
      <c r="O25" s="1021">
        <f t="shared" si="1"/>
        <v>6.613859999999999</v>
      </c>
      <c r="P25" s="1025">
        <f t="shared" si="2"/>
        <v>13.779527559055119</v>
      </c>
      <c r="Q25" s="1025">
        <f t="shared" si="3"/>
        <v>3.9370078740157481</v>
      </c>
      <c r="R25" s="1025">
        <f t="shared" si="4"/>
        <v>3.9370078740157481</v>
      </c>
      <c r="S25" s="1029">
        <f t="shared" si="5"/>
        <v>21.111111111111111</v>
      </c>
      <c r="T25" s="1029">
        <f t="shared" si="6"/>
        <v>485.55555555555554</v>
      </c>
    </row>
    <row r="26" spans="1:20" x14ac:dyDescent="0.25">
      <c r="A26"/>
      <c r="B26"/>
      <c r="C26" s="1011" t="s">
        <v>301</v>
      </c>
      <c r="D26" s="970" t="s">
        <v>1184</v>
      </c>
      <c r="E26" s="1011" t="s">
        <v>779</v>
      </c>
      <c r="F26" s="1011" t="s">
        <v>763</v>
      </c>
      <c r="H26" s="1011">
        <v>14</v>
      </c>
      <c r="I26" s="1011">
        <v>3</v>
      </c>
      <c r="J26" s="1011">
        <v>35</v>
      </c>
      <c r="K26" s="1011">
        <v>12</v>
      </c>
      <c r="L26" s="1011">
        <v>12</v>
      </c>
      <c r="M26" s="1012">
        <v>440</v>
      </c>
      <c r="N26" s="1012">
        <f t="shared" si="0"/>
        <v>6160</v>
      </c>
      <c r="O26" s="1011">
        <f t="shared" si="1"/>
        <v>6.613859999999999</v>
      </c>
      <c r="P26" s="1026">
        <f t="shared" si="2"/>
        <v>13.779527559055119</v>
      </c>
      <c r="Q26" s="1026">
        <f t="shared" si="3"/>
        <v>4.7244094488188972</v>
      </c>
      <c r="R26" s="1026">
        <f t="shared" si="4"/>
        <v>4.7244094488188972</v>
      </c>
      <c r="S26" s="1012">
        <f t="shared" si="5"/>
        <v>24.444444444444443</v>
      </c>
      <c r="T26" s="1012">
        <f t="shared" si="6"/>
        <v>342.22222222222217</v>
      </c>
    </row>
    <row r="27" spans="1:20" x14ac:dyDescent="0.25">
      <c r="A27" s="875"/>
      <c r="B27" s="875"/>
      <c r="C27" s="1021" t="s">
        <v>320</v>
      </c>
      <c r="D27" s="971" t="s">
        <v>1185</v>
      </c>
      <c r="E27" s="1021" t="s">
        <v>1187</v>
      </c>
      <c r="F27" s="1021" t="s">
        <v>1186</v>
      </c>
      <c r="G27" s="1021"/>
      <c r="H27" s="1021">
        <v>1</v>
      </c>
      <c r="I27" s="1021"/>
      <c r="J27" s="1021">
        <v>130</v>
      </c>
      <c r="K27" s="1021">
        <v>24</v>
      </c>
      <c r="L27" s="1021">
        <v>10</v>
      </c>
      <c r="M27" s="1029">
        <v>7400</v>
      </c>
      <c r="N27" s="1029">
        <f t="shared" si="0"/>
        <v>7400</v>
      </c>
      <c r="O27" s="1021" t="str">
        <f t="shared" si="1"/>
        <v xml:space="preserve"> </v>
      </c>
      <c r="P27" s="1025">
        <f t="shared" si="2"/>
        <v>51.181102362204726</v>
      </c>
      <c r="Q27" s="1025">
        <f t="shared" si="3"/>
        <v>9.4488188976377945</v>
      </c>
      <c r="R27" s="1025">
        <f t="shared" si="4"/>
        <v>3.9370078740157481</v>
      </c>
      <c r="S27" s="1029">
        <f t="shared" si="5"/>
        <v>411.11111111111109</v>
      </c>
      <c r="T27" s="1029">
        <f t="shared" si="6"/>
        <v>411.11111111111109</v>
      </c>
    </row>
    <row r="28" spans="1:20" x14ac:dyDescent="0.25">
      <c r="A28"/>
      <c r="B28"/>
      <c r="C28" s="1011" t="s">
        <v>320</v>
      </c>
      <c r="D28" s="971" t="s">
        <v>1188</v>
      </c>
      <c r="E28" s="1011" t="s">
        <v>1190</v>
      </c>
      <c r="F28" s="1011" t="s">
        <v>1189</v>
      </c>
      <c r="H28" s="1011">
        <v>1</v>
      </c>
      <c r="J28" s="1011">
        <v>150</v>
      </c>
      <c r="K28" s="1011">
        <v>24</v>
      </c>
      <c r="L28" s="1011">
        <v>24</v>
      </c>
      <c r="M28" s="1012">
        <v>9600</v>
      </c>
      <c r="N28" s="1012">
        <f t="shared" si="0"/>
        <v>9600</v>
      </c>
      <c r="O28" s="1011" t="str">
        <f t="shared" si="1"/>
        <v xml:space="preserve"> </v>
      </c>
      <c r="P28" s="1026">
        <f t="shared" si="2"/>
        <v>59.055118110236222</v>
      </c>
      <c r="Q28" s="1026">
        <f t="shared" si="3"/>
        <v>9.4488188976377945</v>
      </c>
      <c r="R28" s="1026">
        <f t="shared" si="4"/>
        <v>9.4488188976377945</v>
      </c>
      <c r="S28" s="1012">
        <f t="shared" si="5"/>
        <v>533.33333333333337</v>
      </c>
      <c r="T28" s="1012">
        <f t="shared" si="6"/>
        <v>533.33333333333337</v>
      </c>
    </row>
    <row r="29" spans="1:20" x14ac:dyDescent="0.25">
      <c r="A29" s="875"/>
      <c r="B29" s="875"/>
      <c r="C29" s="1021" t="s">
        <v>320</v>
      </c>
      <c r="D29" s="971" t="s">
        <v>1191</v>
      </c>
      <c r="E29" s="1021" t="s">
        <v>1192</v>
      </c>
      <c r="F29" s="1021" t="s">
        <v>1126</v>
      </c>
      <c r="G29" s="1021"/>
      <c r="H29" s="1021">
        <v>1</v>
      </c>
      <c r="I29" s="1021"/>
      <c r="J29" s="1021">
        <v>130</v>
      </c>
      <c r="K29" s="1021">
        <v>24</v>
      </c>
      <c r="L29" s="1021">
        <v>24</v>
      </c>
      <c r="M29" s="1029">
        <v>1400</v>
      </c>
      <c r="N29" s="1029">
        <f t="shared" si="0"/>
        <v>1400</v>
      </c>
      <c r="O29" s="1021" t="str">
        <f t="shared" si="1"/>
        <v xml:space="preserve"> </v>
      </c>
      <c r="P29" s="1025">
        <f t="shared" si="2"/>
        <v>51.181102362204726</v>
      </c>
      <c r="Q29" s="1025">
        <f t="shared" si="3"/>
        <v>9.4488188976377945</v>
      </c>
      <c r="R29" s="1025">
        <f t="shared" si="4"/>
        <v>9.4488188976377945</v>
      </c>
      <c r="S29" s="1029">
        <f t="shared" si="5"/>
        <v>77.777777777777771</v>
      </c>
      <c r="T29" s="1029">
        <f t="shared" si="6"/>
        <v>77.777777777777771</v>
      </c>
    </row>
    <row r="30" spans="1:20" x14ac:dyDescent="0.25">
      <c r="A30"/>
      <c r="B30"/>
      <c r="C30" s="1011" t="s">
        <v>320</v>
      </c>
      <c r="D30" s="971" t="s">
        <v>1193</v>
      </c>
      <c r="E30" s="1011" t="s">
        <v>1190</v>
      </c>
      <c r="F30" s="1011" t="s">
        <v>1189</v>
      </c>
      <c r="H30" s="1011">
        <v>1</v>
      </c>
      <c r="J30" s="1011">
        <v>150</v>
      </c>
      <c r="K30" s="1011">
        <v>24</v>
      </c>
      <c r="L30" s="1011">
        <v>24</v>
      </c>
      <c r="M30" s="1012">
        <v>9600</v>
      </c>
      <c r="N30" s="1012">
        <f t="shared" si="0"/>
        <v>9600</v>
      </c>
      <c r="O30" s="1011" t="str">
        <f t="shared" si="1"/>
        <v xml:space="preserve"> </v>
      </c>
      <c r="P30" s="1026">
        <f t="shared" si="2"/>
        <v>59.055118110236222</v>
      </c>
      <c r="Q30" s="1026">
        <f t="shared" si="3"/>
        <v>9.4488188976377945</v>
      </c>
      <c r="R30" s="1026">
        <f t="shared" si="4"/>
        <v>9.4488188976377945</v>
      </c>
      <c r="S30" s="1012">
        <f t="shared" si="5"/>
        <v>533.33333333333337</v>
      </c>
      <c r="T30" s="1012">
        <f t="shared" si="6"/>
        <v>533.33333333333337</v>
      </c>
    </row>
    <row r="31" spans="1:20" x14ac:dyDescent="0.25">
      <c r="A31" s="875"/>
      <c r="B31" s="875"/>
      <c r="C31" s="1021" t="s">
        <v>320</v>
      </c>
      <c r="D31" s="971" t="s">
        <v>1194</v>
      </c>
      <c r="E31" s="1021" t="s">
        <v>1196</v>
      </c>
      <c r="F31" s="1021" t="s">
        <v>1195</v>
      </c>
      <c r="G31" s="1021"/>
      <c r="H31" s="1021">
        <v>1</v>
      </c>
      <c r="I31" s="1021"/>
      <c r="J31" s="1021">
        <v>140</v>
      </c>
      <c r="K31" s="1021">
        <v>24</v>
      </c>
      <c r="L31" s="1021">
        <v>24</v>
      </c>
      <c r="M31" s="1029">
        <v>8400</v>
      </c>
      <c r="N31" s="1029">
        <f t="shared" si="0"/>
        <v>8400</v>
      </c>
      <c r="O31" s="1021" t="str">
        <f t="shared" si="1"/>
        <v xml:space="preserve"> </v>
      </c>
      <c r="P31" s="1025">
        <f t="shared" si="2"/>
        <v>55.118110236220474</v>
      </c>
      <c r="Q31" s="1025">
        <f t="shared" si="3"/>
        <v>9.4488188976377945</v>
      </c>
      <c r="R31" s="1025">
        <f t="shared" si="4"/>
        <v>9.4488188976377945</v>
      </c>
      <c r="S31" s="1029">
        <f t="shared" si="5"/>
        <v>466.66666666666669</v>
      </c>
      <c r="T31" s="1029">
        <f t="shared" si="6"/>
        <v>466.66666666666669</v>
      </c>
    </row>
    <row r="32" spans="1:20" x14ac:dyDescent="0.25">
      <c r="A32"/>
      <c r="B32"/>
      <c r="C32" s="1011" t="s">
        <v>320</v>
      </c>
      <c r="D32" s="971" t="s">
        <v>1197</v>
      </c>
      <c r="E32" s="1011" t="s">
        <v>325</v>
      </c>
      <c r="F32" s="1011" t="s">
        <v>324</v>
      </c>
      <c r="H32" s="1011">
        <v>1</v>
      </c>
      <c r="J32" s="1011">
        <v>95</v>
      </c>
      <c r="K32" s="1011">
        <v>24</v>
      </c>
      <c r="L32" s="1011">
        <v>24</v>
      </c>
      <c r="M32" s="1012">
        <v>5000</v>
      </c>
      <c r="N32" s="1012">
        <f t="shared" si="0"/>
        <v>5000</v>
      </c>
      <c r="O32" s="1011" t="str">
        <f t="shared" si="1"/>
        <v xml:space="preserve"> </v>
      </c>
      <c r="P32" s="1026">
        <f t="shared" si="2"/>
        <v>37.401574803149607</v>
      </c>
      <c r="Q32" s="1026">
        <f t="shared" si="3"/>
        <v>9.4488188976377945</v>
      </c>
      <c r="R32" s="1026">
        <f t="shared" si="4"/>
        <v>9.4488188976377945</v>
      </c>
      <c r="S32" s="1012">
        <f t="shared" si="5"/>
        <v>277.77777777777777</v>
      </c>
      <c r="T32" s="1012">
        <f t="shared" si="6"/>
        <v>277.77777777777777</v>
      </c>
    </row>
    <row r="33" spans="1:20" x14ac:dyDescent="0.25">
      <c r="A33" s="875"/>
      <c r="B33" s="875"/>
      <c r="C33" s="1021" t="s">
        <v>321</v>
      </c>
      <c r="D33" s="971" t="s">
        <v>1198</v>
      </c>
      <c r="E33" s="1021" t="s">
        <v>656</v>
      </c>
      <c r="F33" s="1021" t="s">
        <v>657</v>
      </c>
      <c r="G33" s="1021"/>
      <c r="H33" s="1021">
        <v>1</v>
      </c>
      <c r="I33" s="1021"/>
      <c r="J33" s="1021">
        <v>60</v>
      </c>
      <c r="K33" s="1021">
        <v>60</v>
      </c>
      <c r="L33" s="1021">
        <v>9</v>
      </c>
      <c r="M33" s="1029">
        <v>10000</v>
      </c>
      <c r="N33" s="1029">
        <f t="shared" si="0"/>
        <v>10000</v>
      </c>
      <c r="O33" s="1021" t="str">
        <f t="shared" si="1"/>
        <v xml:space="preserve"> </v>
      </c>
      <c r="P33" s="1025">
        <f t="shared" si="2"/>
        <v>23.622047244094489</v>
      </c>
      <c r="Q33" s="1025">
        <f t="shared" si="3"/>
        <v>23.622047244094489</v>
      </c>
      <c r="R33" s="1025">
        <f t="shared" si="4"/>
        <v>3.5433070866141732</v>
      </c>
      <c r="S33" s="1029">
        <f t="shared" si="5"/>
        <v>555.55555555555554</v>
      </c>
      <c r="T33" s="1029">
        <f t="shared" si="6"/>
        <v>555.55555555555554</v>
      </c>
    </row>
    <row r="34" spans="1:20" x14ac:dyDescent="0.25">
      <c r="A34"/>
      <c r="B34"/>
      <c r="C34" s="1011" t="s">
        <v>320</v>
      </c>
      <c r="D34" s="971" t="s">
        <v>1199</v>
      </c>
      <c r="E34" s="1011" t="s">
        <v>1187</v>
      </c>
      <c r="F34" s="1011" t="s">
        <v>1186</v>
      </c>
      <c r="H34" s="1011">
        <v>1</v>
      </c>
      <c r="J34" s="1011">
        <v>130</v>
      </c>
      <c r="K34" s="1011">
        <v>23</v>
      </c>
      <c r="L34" s="1011">
        <v>10</v>
      </c>
      <c r="M34" s="1012">
        <v>7400</v>
      </c>
      <c r="N34" s="1012">
        <f t="shared" si="0"/>
        <v>7400</v>
      </c>
      <c r="O34" s="1011" t="str">
        <f t="shared" si="1"/>
        <v xml:space="preserve"> </v>
      </c>
      <c r="P34" s="1026">
        <f t="shared" si="2"/>
        <v>51.181102362204726</v>
      </c>
      <c r="Q34" s="1026">
        <f t="shared" si="3"/>
        <v>9.0551181102362204</v>
      </c>
      <c r="R34" s="1026">
        <f t="shared" si="4"/>
        <v>3.9370078740157481</v>
      </c>
      <c r="S34" s="1012">
        <f t="shared" si="5"/>
        <v>411.11111111111109</v>
      </c>
      <c r="T34" s="1012">
        <f t="shared" si="6"/>
        <v>411.11111111111109</v>
      </c>
    </row>
    <row r="35" spans="1:20" x14ac:dyDescent="0.25">
      <c r="A35" s="875"/>
      <c r="B35" s="875"/>
      <c r="C35" s="1021" t="s">
        <v>320</v>
      </c>
      <c r="D35" s="971" t="s">
        <v>1200</v>
      </c>
      <c r="E35" s="1021" t="s">
        <v>1196</v>
      </c>
      <c r="F35" s="1021" t="s">
        <v>1195</v>
      </c>
      <c r="G35" s="1021"/>
      <c r="H35" s="1021">
        <v>1</v>
      </c>
      <c r="I35" s="1021"/>
      <c r="J35" s="1021">
        <v>140</v>
      </c>
      <c r="K35" s="1021">
        <v>23</v>
      </c>
      <c r="L35" s="1021">
        <v>10</v>
      </c>
      <c r="M35" s="1029">
        <v>8400</v>
      </c>
      <c r="N35" s="1029">
        <f t="shared" si="0"/>
        <v>8400</v>
      </c>
      <c r="O35" s="1021" t="str">
        <f t="shared" si="1"/>
        <v xml:space="preserve"> </v>
      </c>
      <c r="P35" s="1025">
        <f t="shared" si="2"/>
        <v>55.118110236220474</v>
      </c>
      <c r="Q35" s="1025">
        <f t="shared" si="3"/>
        <v>9.0551181102362204</v>
      </c>
      <c r="R35" s="1025">
        <f t="shared" si="4"/>
        <v>3.9370078740157481</v>
      </c>
      <c r="S35" s="1029">
        <f t="shared" si="5"/>
        <v>466.66666666666669</v>
      </c>
      <c r="T35" s="1029">
        <f t="shared" si="6"/>
        <v>466.66666666666669</v>
      </c>
    </row>
    <row r="36" spans="1:20" x14ac:dyDescent="0.25">
      <c r="A36"/>
      <c r="B36"/>
      <c r="C36" s="1011" t="s">
        <v>320</v>
      </c>
      <c r="D36" s="971" t="s">
        <v>1201</v>
      </c>
      <c r="E36" s="1011" t="s">
        <v>1187</v>
      </c>
      <c r="F36" s="1011" t="s">
        <v>1186</v>
      </c>
      <c r="H36" s="1011">
        <v>1</v>
      </c>
      <c r="J36" s="1011">
        <v>130</v>
      </c>
      <c r="K36" s="1011">
        <v>23</v>
      </c>
      <c r="L36" s="1011">
        <v>10</v>
      </c>
      <c r="M36" s="1012">
        <v>7400</v>
      </c>
      <c r="N36" s="1012">
        <f t="shared" si="0"/>
        <v>7400</v>
      </c>
      <c r="O36" s="1011" t="str">
        <f t="shared" si="1"/>
        <v xml:space="preserve"> </v>
      </c>
      <c r="P36" s="1026">
        <f t="shared" si="2"/>
        <v>51.181102362204726</v>
      </c>
      <c r="Q36" s="1026">
        <f t="shared" si="3"/>
        <v>9.0551181102362204</v>
      </c>
      <c r="R36" s="1026">
        <f t="shared" si="4"/>
        <v>3.9370078740157481</v>
      </c>
      <c r="S36" s="1012">
        <f t="shared" si="5"/>
        <v>411.11111111111109</v>
      </c>
      <c r="T36" s="1012">
        <f t="shared" si="6"/>
        <v>411.11111111111109</v>
      </c>
    </row>
    <row r="37" spans="1:20" x14ac:dyDescent="0.25">
      <c r="A37" s="875"/>
      <c r="B37" s="875"/>
      <c r="C37" s="1021" t="s">
        <v>320</v>
      </c>
      <c r="D37" s="971" t="s">
        <v>1202</v>
      </c>
      <c r="E37" s="1021" t="s">
        <v>1187</v>
      </c>
      <c r="F37" s="1021" t="s">
        <v>1186</v>
      </c>
      <c r="G37" s="1021"/>
      <c r="H37" s="1021">
        <v>1</v>
      </c>
      <c r="I37" s="1021"/>
      <c r="J37" s="1021">
        <v>130</v>
      </c>
      <c r="K37" s="1021">
        <v>23</v>
      </c>
      <c r="L37" s="1021">
        <v>10</v>
      </c>
      <c r="M37" s="1029">
        <v>7400</v>
      </c>
      <c r="N37" s="1029">
        <f t="shared" si="0"/>
        <v>7400</v>
      </c>
      <c r="O37" s="1021" t="str">
        <f t="shared" si="1"/>
        <v xml:space="preserve"> </v>
      </c>
      <c r="P37" s="1025">
        <f t="shared" si="2"/>
        <v>51.181102362204726</v>
      </c>
      <c r="Q37" s="1025">
        <f t="shared" si="3"/>
        <v>9.0551181102362204</v>
      </c>
      <c r="R37" s="1025">
        <f t="shared" si="4"/>
        <v>3.9370078740157481</v>
      </c>
      <c r="S37" s="1029">
        <f t="shared" si="5"/>
        <v>411.11111111111109</v>
      </c>
      <c r="T37" s="1029">
        <f t="shared" si="6"/>
        <v>411.11111111111109</v>
      </c>
    </row>
    <row r="38" spans="1:20" x14ac:dyDescent="0.25">
      <c r="A38"/>
      <c r="B38"/>
      <c r="C38" s="1011" t="s">
        <v>321</v>
      </c>
      <c r="D38" s="971" t="s">
        <v>1203</v>
      </c>
      <c r="E38" s="1011" t="s">
        <v>1205</v>
      </c>
      <c r="F38" s="1011" t="s">
        <v>1204</v>
      </c>
      <c r="H38" s="1011">
        <v>1</v>
      </c>
      <c r="J38" s="1011">
        <v>86</v>
      </c>
      <c r="K38" s="1011">
        <v>23</v>
      </c>
      <c r="L38" s="1011">
        <v>24</v>
      </c>
      <c r="M38" s="1012">
        <v>25000</v>
      </c>
      <c r="N38" s="1012">
        <f t="shared" si="0"/>
        <v>25000</v>
      </c>
      <c r="O38" s="1011" t="str">
        <f t="shared" si="1"/>
        <v xml:space="preserve"> </v>
      </c>
      <c r="P38" s="1026">
        <f t="shared" si="2"/>
        <v>33.85826771653543</v>
      </c>
      <c r="Q38" s="1026">
        <f t="shared" si="3"/>
        <v>9.0551181102362204</v>
      </c>
      <c r="R38" s="1026">
        <f t="shared" si="4"/>
        <v>9.4488188976377945</v>
      </c>
      <c r="S38" s="1012">
        <f t="shared" si="5"/>
        <v>1388.8888888888889</v>
      </c>
      <c r="T38" s="1012">
        <f t="shared" si="6"/>
        <v>1388.8888888888889</v>
      </c>
    </row>
    <row r="39" spans="1:20" x14ac:dyDescent="0.25">
      <c r="A39" s="875"/>
      <c r="B39" s="875"/>
      <c r="C39" s="1021" t="s">
        <v>172</v>
      </c>
      <c r="D39" s="1016" t="s">
        <v>1206</v>
      </c>
      <c r="E39" s="1021" t="s">
        <v>1208</v>
      </c>
      <c r="F39" s="1021" t="s">
        <v>1207</v>
      </c>
      <c r="G39" s="1021"/>
      <c r="H39" s="1021">
        <v>1</v>
      </c>
      <c r="I39" s="1021">
        <v>476</v>
      </c>
      <c r="J39" s="1021">
        <v>147</v>
      </c>
      <c r="K39" s="1021">
        <v>34</v>
      </c>
      <c r="L39" s="1021">
        <v>40</v>
      </c>
      <c r="M39" s="1029">
        <v>6254.64</v>
      </c>
      <c r="N39" s="1029">
        <f t="shared" si="0"/>
        <v>6254.64</v>
      </c>
      <c r="O39" s="1021">
        <f t="shared" si="1"/>
        <v>1049.3991199999998</v>
      </c>
      <c r="P39" s="1025">
        <f t="shared" si="2"/>
        <v>57.874015748031496</v>
      </c>
      <c r="Q39" s="1025">
        <f t="shared" si="3"/>
        <v>13.385826771653543</v>
      </c>
      <c r="R39" s="1025">
        <f t="shared" si="4"/>
        <v>15.748031496062993</v>
      </c>
      <c r="S39" s="1029">
        <f t="shared" si="5"/>
        <v>347.48</v>
      </c>
      <c r="T39" s="1029">
        <f t="shared" si="6"/>
        <v>347.48</v>
      </c>
    </row>
    <row r="40" spans="1:20" x14ac:dyDescent="0.25">
      <c r="A40"/>
      <c r="B40"/>
      <c r="C40" s="1011" t="s">
        <v>172</v>
      </c>
      <c r="D40" s="1016" t="s">
        <v>1209</v>
      </c>
      <c r="E40" s="1011" t="s">
        <v>1211</v>
      </c>
      <c r="F40" s="1011" t="s">
        <v>1210</v>
      </c>
      <c r="H40" s="1011">
        <v>1</v>
      </c>
      <c r="I40" s="1011">
        <v>1017</v>
      </c>
      <c r="J40" s="1011">
        <v>167</v>
      </c>
      <c r="K40" s="1011">
        <v>65</v>
      </c>
      <c r="L40" s="1011">
        <v>50</v>
      </c>
      <c r="M40" s="1012">
        <v>13363.380000000001</v>
      </c>
      <c r="N40" s="1012">
        <f t="shared" si="0"/>
        <v>13363.380000000001</v>
      </c>
      <c r="O40" s="1011">
        <f t="shared" si="1"/>
        <v>2242.09854</v>
      </c>
      <c r="P40" s="1026">
        <f t="shared" si="2"/>
        <v>65.748031496062993</v>
      </c>
      <c r="Q40" s="1026">
        <f t="shared" si="3"/>
        <v>25.590551181102363</v>
      </c>
      <c r="R40" s="1026">
        <f t="shared" si="4"/>
        <v>19.685039370078741</v>
      </c>
      <c r="S40" s="1012">
        <f t="shared" si="5"/>
        <v>742.41000000000008</v>
      </c>
      <c r="T40" s="1012">
        <f t="shared" si="6"/>
        <v>742.41000000000008</v>
      </c>
    </row>
    <row r="41" spans="1:20" x14ac:dyDescent="0.25">
      <c r="A41" s="875"/>
      <c r="B41" s="875"/>
      <c r="C41" s="1021" t="s">
        <v>172</v>
      </c>
      <c r="D41" s="1016" t="s">
        <v>1212</v>
      </c>
      <c r="E41" s="1021" t="s">
        <v>1214</v>
      </c>
      <c r="F41" s="1021" t="s">
        <v>1213</v>
      </c>
      <c r="G41" s="1021"/>
      <c r="H41" s="1021">
        <v>1</v>
      </c>
      <c r="I41" s="1021">
        <v>1047</v>
      </c>
      <c r="J41" s="1021">
        <v>155</v>
      </c>
      <c r="K41" s="1021">
        <v>80</v>
      </c>
      <c r="L41" s="1021">
        <v>56</v>
      </c>
      <c r="M41" s="1029">
        <v>13757.58</v>
      </c>
      <c r="N41" s="1029">
        <f t="shared" si="0"/>
        <v>13757.58</v>
      </c>
      <c r="O41" s="1021">
        <f t="shared" si="1"/>
        <v>2308.2371399999997</v>
      </c>
      <c r="P41" s="1025">
        <f t="shared" si="2"/>
        <v>61.023622047244096</v>
      </c>
      <c r="Q41" s="1025">
        <f t="shared" si="3"/>
        <v>31.496062992125985</v>
      </c>
      <c r="R41" s="1025">
        <f t="shared" si="4"/>
        <v>22.047244094488189</v>
      </c>
      <c r="S41" s="1029">
        <f t="shared" si="5"/>
        <v>764.31</v>
      </c>
      <c r="T41" s="1029">
        <f t="shared" si="6"/>
        <v>764.31</v>
      </c>
    </row>
    <row r="42" spans="1:20" x14ac:dyDescent="0.25">
      <c r="A42"/>
      <c r="B42"/>
      <c r="C42" s="1011" t="s">
        <v>172</v>
      </c>
      <c r="D42" s="1016" t="s">
        <v>1215</v>
      </c>
      <c r="E42" s="1011" t="s">
        <v>1217</v>
      </c>
      <c r="F42" s="1011" t="s">
        <v>1216</v>
      </c>
      <c r="H42" s="1011">
        <v>1</v>
      </c>
      <c r="I42" s="1011">
        <v>545</v>
      </c>
      <c r="J42" s="1011">
        <v>171</v>
      </c>
      <c r="K42" s="1011">
        <v>35</v>
      </c>
      <c r="L42" s="1011">
        <v>38</v>
      </c>
      <c r="M42" s="1012">
        <v>7161.3</v>
      </c>
      <c r="N42" s="1012">
        <f t="shared" si="0"/>
        <v>7161.3</v>
      </c>
      <c r="O42" s="1011">
        <f t="shared" si="1"/>
        <v>1201.5178999999998</v>
      </c>
      <c r="P42" s="1026">
        <f t="shared" si="2"/>
        <v>67.322834645669289</v>
      </c>
      <c r="Q42" s="1026">
        <f t="shared" si="3"/>
        <v>13.779527559055119</v>
      </c>
      <c r="R42" s="1026">
        <f t="shared" si="4"/>
        <v>14.960629921259843</v>
      </c>
      <c r="S42" s="1012">
        <f t="shared" si="5"/>
        <v>397.85</v>
      </c>
      <c r="T42" s="1012">
        <f t="shared" si="6"/>
        <v>397.85</v>
      </c>
    </row>
    <row r="43" spans="1:20" x14ac:dyDescent="0.25">
      <c r="A43" s="875"/>
      <c r="B43" s="875"/>
      <c r="C43" s="1021" t="s">
        <v>173</v>
      </c>
      <c r="D43" s="1016" t="s">
        <v>1218</v>
      </c>
      <c r="E43" s="1021" t="s">
        <v>1220</v>
      </c>
      <c r="F43" s="1021" t="s">
        <v>1219</v>
      </c>
      <c r="G43" s="1021"/>
      <c r="H43" s="1021">
        <v>1</v>
      </c>
      <c r="I43" s="1021">
        <v>507</v>
      </c>
      <c r="J43" s="1021">
        <v>140</v>
      </c>
      <c r="K43" s="1021">
        <v>52</v>
      </c>
      <c r="L43" s="1021">
        <v>50</v>
      </c>
      <c r="M43" s="1029">
        <v>6661.9800000000005</v>
      </c>
      <c r="N43" s="1029">
        <f t="shared" si="0"/>
        <v>6661.9800000000005</v>
      </c>
      <c r="O43" s="1021">
        <f t="shared" si="1"/>
        <v>1117.74234</v>
      </c>
      <c r="P43" s="1025">
        <f t="shared" si="2"/>
        <v>55.118110236220474</v>
      </c>
      <c r="Q43" s="1025">
        <f t="shared" si="3"/>
        <v>20.472440944881889</v>
      </c>
      <c r="R43" s="1025">
        <f t="shared" si="4"/>
        <v>19.685039370078741</v>
      </c>
      <c r="S43" s="1029">
        <f t="shared" si="5"/>
        <v>370.11</v>
      </c>
      <c r="T43" s="1029">
        <f t="shared" si="6"/>
        <v>370.11</v>
      </c>
    </row>
    <row r="44" spans="1:20" x14ac:dyDescent="0.25">
      <c r="A44"/>
      <c r="B44"/>
      <c r="C44" s="1011" t="s">
        <v>173</v>
      </c>
      <c r="D44" s="1016" t="s">
        <v>1221</v>
      </c>
      <c r="E44" s="1011" t="s">
        <v>1223</v>
      </c>
      <c r="F44" s="1011" t="s">
        <v>1222</v>
      </c>
      <c r="H44" s="1011">
        <v>1</v>
      </c>
      <c r="I44" s="1011">
        <v>835</v>
      </c>
      <c r="J44" s="1011">
        <v>213</v>
      </c>
      <c r="K44" s="1011">
        <v>50</v>
      </c>
      <c r="L44" s="1011">
        <v>31</v>
      </c>
      <c r="M44" s="1012">
        <v>10971.9</v>
      </c>
      <c r="N44" s="1012">
        <f t="shared" si="0"/>
        <v>10971.9</v>
      </c>
      <c r="O44" s="1011">
        <f t="shared" si="1"/>
        <v>1840.8576999999998</v>
      </c>
      <c r="P44" s="1026">
        <f t="shared" si="2"/>
        <v>83.858267716535437</v>
      </c>
      <c r="Q44" s="1026">
        <f t="shared" si="3"/>
        <v>19.685039370078741</v>
      </c>
      <c r="R44" s="1026">
        <f t="shared" si="4"/>
        <v>12.204724409448819</v>
      </c>
      <c r="S44" s="1012">
        <f t="shared" si="5"/>
        <v>609.54999999999995</v>
      </c>
      <c r="T44" s="1012">
        <f t="shared" si="6"/>
        <v>609.54999999999995</v>
      </c>
    </row>
    <row r="45" spans="1:20" x14ac:dyDescent="0.25">
      <c r="A45" s="875"/>
      <c r="B45" s="875"/>
      <c r="C45" s="1021" t="s">
        <v>173</v>
      </c>
      <c r="D45" s="1016" t="s">
        <v>1224</v>
      </c>
      <c r="E45" s="1021" t="s">
        <v>1226</v>
      </c>
      <c r="F45" s="1021" t="s">
        <v>1225</v>
      </c>
      <c r="G45" s="1021"/>
      <c r="H45" s="1021">
        <v>1</v>
      </c>
      <c r="I45" s="1021">
        <v>586</v>
      </c>
      <c r="J45" s="1021">
        <v>175</v>
      </c>
      <c r="K45" s="1021">
        <v>56</v>
      </c>
      <c r="L45" s="1021">
        <v>29</v>
      </c>
      <c r="M45" s="1029">
        <v>7700.04</v>
      </c>
      <c r="N45" s="1029">
        <f t="shared" si="0"/>
        <v>7700.04</v>
      </c>
      <c r="O45" s="1021">
        <f t="shared" si="1"/>
        <v>1291.9073199999998</v>
      </c>
      <c r="P45" s="1025">
        <f t="shared" si="2"/>
        <v>68.897637795275585</v>
      </c>
      <c r="Q45" s="1025">
        <f t="shared" si="3"/>
        <v>22.047244094488189</v>
      </c>
      <c r="R45" s="1025">
        <f t="shared" si="4"/>
        <v>11.417322834645669</v>
      </c>
      <c r="S45" s="1029">
        <f t="shared" si="5"/>
        <v>427.78</v>
      </c>
      <c r="T45" s="1029">
        <f t="shared" si="6"/>
        <v>427.78</v>
      </c>
    </row>
    <row r="46" spans="1:20" x14ac:dyDescent="0.25">
      <c r="A46"/>
      <c r="B46"/>
      <c r="C46" s="1011" t="s">
        <v>173</v>
      </c>
      <c r="D46" s="1016" t="s">
        <v>1227</v>
      </c>
      <c r="E46" s="1011" t="s">
        <v>1229</v>
      </c>
      <c r="F46" s="1011" t="s">
        <v>1228</v>
      </c>
      <c r="H46" s="1011">
        <v>1</v>
      </c>
      <c r="I46" s="1011">
        <v>656</v>
      </c>
      <c r="J46" s="1011">
        <v>190</v>
      </c>
      <c r="K46" s="1011">
        <v>50</v>
      </c>
      <c r="L46" s="1011">
        <v>34</v>
      </c>
      <c r="M46" s="1012">
        <v>8619.84</v>
      </c>
      <c r="N46" s="1012">
        <f t="shared" si="0"/>
        <v>8619.84</v>
      </c>
      <c r="O46" s="1011">
        <f t="shared" si="1"/>
        <v>1446.2307199999998</v>
      </c>
      <c r="P46" s="1026">
        <f t="shared" si="2"/>
        <v>74.803149606299215</v>
      </c>
      <c r="Q46" s="1026">
        <f t="shared" si="3"/>
        <v>19.685039370078741</v>
      </c>
      <c r="R46" s="1026">
        <f t="shared" si="4"/>
        <v>13.385826771653543</v>
      </c>
      <c r="S46" s="1012">
        <f t="shared" si="5"/>
        <v>478.88</v>
      </c>
      <c r="T46" s="1012">
        <f t="shared" si="6"/>
        <v>478.88</v>
      </c>
    </row>
    <row r="47" spans="1:20" x14ac:dyDescent="0.25">
      <c r="A47" s="875"/>
      <c r="B47" s="875"/>
      <c r="C47" s="1021" t="s">
        <v>173</v>
      </c>
      <c r="D47" s="1016" t="s">
        <v>1230</v>
      </c>
      <c r="E47" s="1021" t="s">
        <v>1231</v>
      </c>
      <c r="F47" s="1021" t="s">
        <v>649</v>
      </c>
      <c r="G47" s="1021"/>
      <c r="H47" s="1021">
        <v>1</v>
      </c>
      <c r="I47" s="1021">
        <v>566</v>
      </c>
      <c r="J47" s="1021">
        <v>175</v>
      </c>
      <c r="K47" s="1021">
        <v>40</v>
      </c>
      <c r="L47" s="1021">
        <v>30</v>
      </c>
      <c r="M47" s="1029">
        <v>7437.2400000000007</v>
      </c>
      <c r="N47" s="1029">
        <f t="shared" si="0"/>
        <v>7437.2400000000007</v>
      </c>
      <c r="O47" s="1021">
        <f t="shared" si="1"/>
        <v>1247.8149199999998</v>
      </c>
      <c r="P47" s="1025">
        <f t="shared" si="2"/>
        <v>68.897637795275585</v>
      </c>
      <c r="Q47" s="1025">
        <f t="shared" si="3"/>
        <v>15.748031496062993</v>
      </c>
      <c r="R47" s="1025">
        <f t="shared" si="4"/>
        <v>11.811023622047244</v>
      </c>
      <c r="S47" s="1029">
        <f t="shared" si="5"/>
        <v>413.18000000000006</v>
      </c>
      <c r="T47" s="1029">
        <f t="shared" si="6"/>
        <v>413.18000000000006</v>
      </c>
    </row>
    <row r="48" spans="1:20" x14ac:dyDescent="0.25">
      <c r="A48"/>
      <c r="B48"/>
      <c r="C48" s="1011" t="s">
        <v>311</v>
      </c>
      <c r="D48" s="1016" t="s">
        <v>1232</v>
      </c>
      <c r="E48" s="1011" t="s">
        <v>1234</v>
      </c>
      <c r="F48" s="1011" t="s">
        <v>1233</v>
      </c>
      <c r="H48" s="1011">
        <v>1</v>
      </c>
      <c r="I48" s="1011">
        <v>456</v>
      </c>
      <c r="J48" s="1011">
        <v>183</v>
      </c>
      <c r="K48" s="1011">
        <v>40</v>
      </c>
      <c r="L48" s="1011">
        <v>20</v>
      </c>
      <c r="M48" s="1012">
        <v>5991.84</v>
      </c>
      <c r="N48" s="1012">
        <f t="shared" si="0"/>
        <v>5991.84</v>
      </c>
      <c r="O48" s="1011">
        <f t="shared" si="1"/>
        <v>1005.3067199999999</v>
      </c>
      <c r="P48" s="1026">
        <f t="shared" si="2"/>
        <v>72.047244094488192</v>
      </c>
      <c r="Q48" s="1026">
        <f t="shared" si="3"/>
        <v>15.748031496062993</v>
      </c>
      <c r="R48" s="1026">
        <f t="shared" si="4"/>
        <v>7.8740157480314963</v>
      </c>
      <c r="S48" s="1012">
        <f t="shared" si="5"/>
        <v>332.88</v>
      </c>
      <c r="T48" s="1012">
        <f t="shared" si="6"/>
        <v>332.88</v>
      </c>
    </row>
    <row r="49" spans="1:20" x14ac:dyDescent="0.25">
      <c r="A49" s="875"/>
      <c r="B49" s="875"/>
      <c r="C49" s="1021" t="s">
        <v>311</v>
      </c>
      <c r="D49" s="1016" t="s">
        <v>1235</v>
      </c>
      <c r="E49" s="1021" t="s">
        <v>1237</v>
      </c>
      <c r="F49" s="1021" t="s">
        <v>1236</v>
      </c>
      <c r="G49" s="1021"/>
      <c r="H49" s="1021">
        <v>1</v>
      </c>
      <c r="I49" s="1021">
        <v>443</v>
      </c>
      <c r="J49" s="1021">
        <v>175</v>
      </c>
      <c r="K49" s="1021">
        <v>30</v>
      </c>
      <c r="L49" s="1021">
        <v>26</v>
      </c>
      <c r="M49" s="1029">
        <v>5821.02</v>
      </c>
      <c r="N49" s="1029">
        <f t="shared" si="0"/>
        <v>5821.02</v>
      </c>
      <c r="O49" s="1021">
        <f t="shared" si="1"/>
        <v>976.64665999999988</v>
      </c>
      <c r="P49" s="1025">
        <f t="shared" si="2"/>
        <v>68.897637795275585</v>
      </c>
      <c r="Q49" s="1025">
        <f t="shared" si="3"/>
        <v>11.811023622047244</v>
      </c>
      <c r="R49" s="1025">
        <f t="shared" si="4"/>
        <v>10.236220472440944</v>
      </c>
      <c r="S49" s="1029">
        <f t="shared" si="5"/>
        <v>323.39000000000004</v>
      </c>
      <c r="T49" s="1029">
        <f t="shared" si="6"/>
        <v>323.39000000000004</v>
      </c>
    </row>
    <row r="50" spans="1:20" x14ac:dyDescent="0.25">
      <c r="A50"/>
      <c r="B50"/>
      <c r="C50" s="1011" t="s">
        <v>311</v>
      </c>
      <c r="D50" s="1016" t="s">
        <v>1238</v>
      </c>
      <c r="E50" s="1011" t="s">
        <v>1240</v>
      </c>
      <c r="F50" s="1011" t="s">
        <v>1239</v>
      </c>
      <c r="H50" s="1011">
        <v>1</v>
      </c>
      <c r="I50" s="1011">
        <v>485</v>
      </c>
      <c r="J50" s="1011">
        <v>180</v>
      </c>
      <c r="K50" s="1011">
        <v>40</v>
      </c>
      <c r="L50" s="1011">
        <v>38</v>
      </c>
      <c r="M50" s="1012">
        <v>6372.9000000000005</v>
      </c>
      <c r="N50" s="1012">
        <f t="shared" si="0"/>
        <v>6372.9000000000005</v>
      </c>
      <c r="O50" s="1011">
        <f t="shared" si="1"/>
        <v>1069.2406999999998</v>
      </c>
      <c r="P50" s="1026">
        <f t="shared" si="2"/>
        <v>70.866141732283467</v>
      </c>
      <c r="Q50" s="1026">
        <f t="shared" si="3"/>
        <v>15.748031496062993</v>
      </c>
      <c r="R50" s="1026">
        <f t="shared" si="4"/>
        <v>14.960629921259843</v>
      </c>
      <c r="S50" s="1012">
        <f t="shared" si="5"/>
        <v>354.05</v>
      </c>
      <c r="T50" s="1012">
        <f t="shared" si="6"/>
        <v>354.05</v>
      </c>
    </row>
    <row r="51" spans="1:20" x14ac:dyDescent="0.25">
      <c r="A51" s="875"/>
      <c r="B51" s="875"/>
      <c r="C51" s="1021" t="s">
        <v>311</v>
      </c>
      <c r="D51" s="1016" t="s">
        <v>1241</v>
      </c>
      <c r="E51" s="1021" t="s">
        <v>1243</v>
      </c>
      <c r="F51" s="1021" t="s">
        <v>1242</v>
      </c>
      <c r="G51" s="1021"/>
      <c r="H51" s="1021">
        <v>1</v>
      </c>
      <c r="I51" s="1021">
        <v>422</v>
      </c>
      <c r="J51" s="1021">
        <v>190</v>
      </c>
      <c r="K51" s="1021">
        <v>45</v>
      </c>
      <c r="L51" s="1021">
        <v>25</v>
      </c>
      <c r="M51" s="1029">
        <v>5545.08</v>
      </c>
      <c r="N51" s="1029">
        <f t="shared" si="0"/>
        <v>5545.08</v>
      </c>
      <c r="O51" s="1021">
        <f t="shared" si="1"/>
        <v>930.34963999999991</v>
      </c>
      <c r="P51" s="1025">
        <f t="shared" si="2"/>
        <v>74.803149606299215</v>
      </c>
      <c r="Q51" s="1025">
        <f t="shared" si="3"/>
        <v>17.716535433070867</v>
      </c>
      <c r="R51" s="1025">
        <f t="shared" si="4"/>
        <v>9.8425196850393704</v>
      </c>
      <c r="S51" s="1029">
        <f t="shared" si="5"/>
        <v>308.06</v>
      </c>
      <c r="T51" s="1029">
        <f t="shared" si="6"/>
        <v>308.06</v>
      </c>
    </row>
    <row r="52" spans="1:20" x14ac:dyDescent="0.25">
      <c r="A52"/>
      <c r="B52"/>
      <c r="C52" s="1011" t="s">
        <v>311</v>
      </c>
      <c r="D52" s="1016" t="s">
        <v>1244</v>
      </c>
      <c r="E52" s="1011" t="s">
        <v>666</v>
      </c>
      <c r="F52" s="1011" t="s">
        <v>667</v>
      </c>
      <c r="H52" s="1011">
        <v>1</v>
      </c>
      <c r="I52" s="1011">
        <v>434</v>
      </c>
      <c r="J52" s="1011">
        <v>142</v>
      </c>
      <c r="K52" s="1011">
        <v>37</v>
      </c>
      <c r="L52" s="1011">
        <v>18</v>
      </c>
      <c r="M52" s="1012">
        <v>5702.76</v>
      </c>
      <c r="N52" s="1012">
        <f t="shared" si="0"/>
        <v>5702.76</v>
      </c>
      <c r="O52" s="1011">
        <f t="shared" si="1"/>
        <v>956.80507999999986</v>
      </c>
      <c r="P52" s="1026">
        <f t="shared" si="2"/>
        <v>55.905511811023622</v>
      </c>
      <c r="Q52" s="1026">
        <f t="shared" si="3"/>
        <v>14.566929133858267</v>
      </c>
      <c r="R52" s="1026">
        <f t="shared" si="4"/>
        <v>7.0866141732283463</v>
      </c>
      <c r="S52" s="1012">
        <f t="shared" si="5"/>
        <v>316.82</v>
      </c>
      <c r="T52" s="1012">
        <f t="shared" si="6"/>
        <v>316.82</v>
      </c>
    </row>
    <row r="53" spans="1:20" x14ac:dyDescent="0.25">
      <c r="A53" s="875"/>
      <c r="B53" s="875"/>
      <c r="C53" s="1021" t="s">
        <v>311</v>
      </c>
      <c r="D53" s="1016" t="s">
        <v>1245</v>
      </c>
      <c r="E53" s="1021" t="s">
        <v>1190</v>
      </c>
      <c r="F53" s="1021" t="s">
        <v>1189</v>
      </c>
      <c r="G53" s="1021"/>
      <c r="H53" s="1021">
        <v>1</v>
      </c>
      <c r="I53" s="1021">
        <v>511</v>
      </c>
      <c r="J53" s="1021">
        <v>192</v>
      </c>
      <c r="K53" s="1021">
        <v>36</v>
      </c>
      <c r="L53" s="1021">
        <v>33</v>
      </c>
      <c r="M53" s="1029">
        <v>6714.54</v>
      </c>
      <c r="N53" s="1029">
        <f t="shared" si="0"/>
        <v>6714.54</v>
      </c>
      <c r="O53" s="1021">
        <f t="shared" si="1"/>
        <v>1126.5608199999999</v>
      </c>
      <c r="P53" s="1025">
        <f t="shared" si="2"/>
        <v>75.590551181102356</v>
      </c>
      <c r="Q53" s="1025">
        <f t="shared" si="3"/>
        <v>14.173228346456693</v>
      </c>
      <c r="R53" s="1025">
        <f t="shared" si="4"/>
        <v>12.992125984251969</v>
      </c>
      <c r="S53" s="1029">
        <f t="shared" si="5"/>
        <v>373.03</v>
      </c>
      <c r="T53" s="1029">
        <f t="shared" si="6"/>
        <v>373.03</v>
      </c>
    </row>
    <row r="54" spans="1:20" x14ac:dyDescent="0.25">
      <c r="A54"/>
      <c r="B54"/>
      <c r="C54" s="1011" t="s">
        <v>326</v>
      </c>
      <c r="D54" s="1017" t="s">
        <v>1246</v>
      </c>
      <c r="E54" s="1011" t="s">
        <v>1248</v>
      </c>
      <c r="F54" s="1011" t="s">
        <v>1247</v>
      </c>
      <c r="H54" s="1011">
        <v>1</v>
      </c>
      <c r="I54" s="1011">
        <v>327</v>
      </c>
      <c r="J54" s="1011">
        <v>60.96</v>
      </c>
      <c r="K54" s="1011">
        <v>48.26</v>
      </c>
      <c r="L54" s="1011">
        <v>54.61</v>
      </c>
      <c r="M54" s="1012">
        <v>4087.5</v>
      </c>
      <c r="N54" s="1012">
        <f t="shared" si="0"/>
        <v>4087.5</v>
      </c>
      <c r="O54" s="1011">
        <f t="shared" si="1"/>
        <v>720.91073999999992</v>
      </c>
      <c r="P54" s="1026">
        <f t="shared" si="2"/>
        <v>24</v>
      </c>
      <c r="Q54" s="1026">
        <f t="shared" si="3"/>
        <v>19</v>
      </c>
      <c r="R54" s="1026">
        <f t="shared" si="4"/>
        <v>21.5</v>
      </c>
      <c r="S54" s="1012">
        <f t="shared" si="5"/>
        <v>227.08333333333334</v>
      </c>
      <c r="T54" s="1012">
        <f t="shared" si="6"/>
        <v>227.08333333333334</v>
      </c>
    </row>
    <row r="55" spans="1:20" x14ac:dyDescent="0.25">
      <c r="A55" s="875"/>
      <c r="B55" s="875"/>
      <c r="C55" s="1021" t="s">
        <v>326</v>
      </c>
      <c r="D55" s="1017" t="s">
        <v>1249</v>
      </c>
      <c r="E55" s="1021" t="s">
        <v>1251</v>
      </c>
      <c r="F55" s="1021" t="s">
        <v>1250</v>
      </c>
      <c r="G55" s="1021"/>
      <c r="H55" s="1021">
        <v>1</v>
      </c>
      <c r="I55" s="1021">
        <v>770</v>
      </c>
      <c r="J55" s="1021">
        <v>127</v>
      </c>
      <c r="K55" s="1021">
        <v>48.26</v>
      </c>
      <c r="L55" s="1021">
        <v>44.45</v>
      </c>
      <c r="M55" s="1029">
        <v>9240</v>
      </c>
      <c r="N55" s="1029">
        <f t="shared" si="0"/>
        <v>9240</v>
      </c>
      <c r="O55" s="1021">
        <f t="shared" si="1"/>
        <v>1697.5573999999999</v>
      </c>
      <c r="P55" s="1025">
        <f t="shared" si="2"/>
        <v>50</v>
      </c>
      <c r="Q55" s="1025">
        <f t="shared" si="3"/>
        <v>19</v>
      </c>
      <c r="R55" s="1025">
        <f t="shared" si="4"/>
        <v>17.5</v>
      </c>
      <c r="S55" s="1029">
        <f t="shared" si="5"/>
        <v>513.33333333333337</v>
      </c>
      <c r="T55" s="1029">
        <f t="shared" si="6"/>
        <v>513.33333333333337</v>
      </c>
    </row>
    <row r="56" spans="1:20" x14ac:dyDescent="0.25">
      <c r="A56"/>
      <c r="B56"/>
      <c r="C56" s="1011" t="s">
        <v>326</v>
      </c>
      <c r="D56" s="1017" t="s">
        <v>1252</v>
      </c>
      <c r="E56" s="1011" t="s">
        <v>1254</v>
      </c>
      <c r="F56" s="1011" t="s">
        <v>1253</v>
      </c>
      <c r="H56" s="1011">
        <v>1</v>
      </c>
      <c r="I56" s="1011">
        <v>959</v>
      </c>
      <c r="J56" s="1011">
        <v>124.46000000000001</v>
      </c>
      <c r="K56" s="1011">
        <v>63.5</v>
      </c>
      <c r="L56" s="1011">
        <v>33.020000000000003</v>
      </c>
      <c r="M56" s="1012">
        <v>11508</v>
      </c>
      <c r="N56" s="1012">
        <f t="shared" si="0"/>
        <v>11508</v>
      </c>
      <c r="O56" s="1011">
        <f t="shared" si="1"/>
        <v>2114.2305799999999</v>
      </c>
      <c r="P56" s="1026">
        <f t="shared" si="2"/>
        <v>49</v>
      </c>
      <c r="Q56" s="1026">
        <f t="shared" si="3"/>
        <v>25</v>
      </c>
      <c r="R56" s="1026">
        <f t="shared" si="4"/>
        <v>13.000000000000002</v>
      </c>
      <c r="S56" s="1012">
        <f t="shared" si="5"/>
        <v>639.33333333333337</v>
      </c>
      <c r="T56" s="1012">
        <f t="shared" si="6"/>
        <v>639.33333333333337</v>
      </c>
    </row>
    <row r="57" spans="1:20" x14ac:dyDescent="0.25">
      <c r="A57" s="875"/>
      <c r="B57" s="875"/>
      <c r="C57" s="1021" t="s">
        <v>326</v>
      </c>
      <c r="D57" s="1017" t="s">
        <v>1255</v>
      </c>
      <c r="E57" s="1021" t="s">
        <v>1237</v>
      </c>
      <c r="F57" s="1021" t="s">
        <v>1236</v>
      </c>
      <c r="G57" s="1021"/>
      <c r="H57" s="1021">
        <v>1</v>
      </c>
      <c r="I57" s="1021">
        <v>485</v>
      </c>
      <c r="J57" s="1021">
        <v>71.12</v>
      </c>
      <c r="K57" s="1021">
        <v>33.020000000000003</v>
      </c>
      <c r="L57" s="1021">
        <v>53.34</v>
      </c>
      <c r="M57" s="1029">
        <v>5820</v>
      </c>
      <c r="N57" s="1029">
        <f t="shared" si="0"/>
        <v>5820</v>
      </c>
      <c r="O57" s="1021">
        <f t="shared" si="1"/>
        <v>1069.2406999999998</v>
      </c>
      <c r="P57" s="1025">
        <f t="shared" si="2"/>
        <v>28</v>
      </c>
      <c r="Q57" s="1025">
        <f t="shared" si="3"/>
        <v>13.000000000000002</v>
      </c>
      <c r="R57" s="1025">
        <f t="shared" si="4"/>
        <v>21</v>
      </c>
      <c r="S57" s="1029">
        <f t="shared" si="5"/>
        <v>323.33333333333331</v>
      </c>
      <c r="T57" s="1029">
        <f t="shared" si="6"/>
        <v>323.33333333333331</v>
      </c>
    </row>
    <row r="58" spans="1:20" x14ac:dyDescent="0.25">
      <c r="A58"/>
      <c r="B58"/>
      <c r="C58" s="1011" t="s">
        <v>326</v>
      </c>
      <c r="D58" s="1017" t="s">
        <v>1256</v>
      </c>
      <c r="E58" s="1011" t="s">
        <v>1258</v>
      </c>
      <c r="F58" s="1011" t="s">
        <v>1257</v>
      </c>
      <c r="H58" s="1011">
        <v>1</v>
      </c>
      <c r="I58" s="1011">
        <v>979</v>
      </c>
      <c r="J58" s="1011">
        <v>129.54</v>
      </c>
      <c r="K58" s="1011">
        <v>38.1</v>
      </c>
      <c r="L58" s="1011">
        <v>66.040000000000006</v>
      </c>
      <c r="M58" s="1012">
        <v>11748</v>
      </c>
      <c r="N58" s="1012">
        <f t="shared" si="0"/>
        <v>11748</v>
      </c>
      <c r="O58" s="1011">
        <f t="shared" si="1"/>
        <v>2158.3229799999999</v>
      </c>
      <c r="P58" s="1026">
        <f t="shared" si="2"/>
        <v>50.999999999999993</v>
      </c>
      <c r="Q58" s="1026">
        <f t="shared" si="3"/>
        <v>15</v>
      </c>
      <c r="R58" s="1026">
        <f t="shared" si="4"/>
        <v>26.000000000000004</v>
      </c>
      <c r="S58" s="1012">
        <f t="shared" si="5"/>
        <v>652.66666666666663</v>
      </c>
      <c r="T58" s="1012">
        <f t="shared" si="6"/>
        <v>652.66666666666663</v>
      </c>
    </row>
    <row r="59" spans="1:20" x14ac:dyDescent="0.25">
      <c r="A59" s="875"/>
      <c r="B59" s="875"/>
      <c r="C59" s="1021" t="s">
        <v>326</v>
      </c>
      <c r="D59" s="1017" t="s">
        <v>1259</v>
      </c>
      <c r="E59" s="1021" t="s">
        <v>1261</v>
      </c>
      <c r="F59" s="1021" t="s">
        <v>1260</v>
      </c>
      <c r="G59" s="1021"/>
      <c r="H59" s="1021">
        <v>1</v>
      </c>
      <c r="I59" s="1021">
        <v>1098</v>
      </c>
      <c r="J59" s="1021">
        <v>195.58</v>
      </c>
      <c r="K59" s="1021">
        <v>40.64</v>
      </c>
      <c r="L59" s="1021">
        <v>60.96</v>
      </c>
      <c r="M59" s="1029">
        <v>13176</v>
      </c>
      <c r="N59" s="1029">
        <f t="shared" si="0"/>
        <v>13176</v>
      </c>
      <c r="O59" s="1021">
        <f t="shared" si="1"/>
        <v>2420.6727599999999</v>
      </c>
      <c r="P59" s="1025">
        <f t="shared" si="2"/>
        <v>77</v>
      </c>
      <c r="Q59" s="1025">
        <f t="shared" si="3"/>
        <v>16</v>
      </c>
      <c r="R59" s="1025">
        <f t="shared" si="4"/>
        <v>24</v>
      </c>
      <c r="S59" s="1029">
        <f t="shared" si="5"/>
        <v>732</v>
      </c>
      <c r="T59" s="1029">
        <f t="shared" si="6"/>
        <v>732</v>
      </c>
    </row>
    <row r="60" spans="1:20" x14ac:dyDescent="0.25">
      <c r="A60"/>
      <c r="B60"/>
      <c r="C60" s="1011" t="s">
        <v>304</v>
      </c>
      <c r="D60" s="973" t="s">
        <v>310</v>
      </c>
      <c r="E60" s="1011" t="s">
        <v>1263</v>
      </c>
      <c r="F60" s="1011" t="s">
        <v>1262</v>
      </c>
      <c r="H60" s="1011">
        <v>2</v>
      </c>
      <c r="I60" s="1011">
        <v>110</v>
      </c>
      <c r="J60" s="1011">
        <v>105</v>
      </c>
      <c r="L60" s="1011">
        <v>80</v>
      </c>
      <c r="M60" s="1012">
        <v>26900</v>
      </c>
      <c r="N60" s="1012">
        <f t="shared" si="0"/>
        <v>53800</v>
      </c>
      <c r="O60" s="1011">
        <f t="shared" si="1"/>
        <v>242.50819999999999</v>
      </c>
      <c r="P60" s="1026">
        <f t="shared" si="2"/>
        <v>41.338582677165356</v>
      </c>
      <c r="Q60" s="1026">
        <f t="shared" si="3"/>
        <v>0</v>
      </c>
      <c r="R60" s="1026">
        <f t="shared" si="4"/>
        <v>31.496062992125985</v>
      </c>
      <c r="S60" s="1012">
        <f t="shared" si="5"/>
        <v>1494.4444444444443</v>
      </c>
      <c r="T60" s="1012">
        <f t="shared" si="6"/>
        <v>2988.8888888888887</v>
      </c>
    </row>
    <row r="61" spans="1:20" x14ac:dyDescent="0.25">
      <c r="A61" s="875"/>
      <c r="B61" s="875"/>
      <c r="C61" s="1021" t="s">
        <v>289</v>
      </c>
      <c r="D61" s="1018" t="s">
        <v>305</v>
      </c>
      <c r="E61" s="1021" t="s">
        <v>1264</v>
      </c>
      <c r="F61" s="1021" t="s">
        <v>1264</v>
      </c>
      <c r="G61" s="1021"/>
      <c r="H61" s="1021">
        <v>60</v>
      </c>
      <c r="I61" s="1021"/>
      <c r="J61" s="1021">
        <v>8</v>
      </c>
      <c r="K61" s="1021"/>
      <c r="L61" s="1021">
        <v>1</v>
      </c>
      <c r="M61" s="1029">
        <v>10</v>
      </c>
      <c r="N61" s="1029">
        <f t="shared" si="0"/>
        <v>600</v>
      </c>
      <c r="O61" s="1021" t="str">
        <f t="shared" si="1"/>
        <v xml:space="preserve"> </v>
      </c>
      <c r="P61" s="1025">
        <f t="shared" si="2"/>
        <v>3.1496062992125982</v>
      </c>
      <c r="Q61" s="1025">
        <f t="shared" si="3"/>
        <v>0</v>
      </c>
      <c r="R61" s="1025">
        <f t="shared" si="4"/>
        <v>0.39370078740157477</v>
      </c>
      <c r="S61" s="1029">
        <f t="shared" si="5"/>
        <v>0.55555555555555558</v>
      </c>
      <c r="T61" s="1029">
        <f t="shared" si="6"/>
        <v>33.333333333333336</v>
      </c>
    </row>
    <row r="62" spans="1:20" x14ac:dyDescent="0.25">
      <c r="A62"/>
      <c r="B62"/>
      <c r="C62" s="1011" t="s">
        <v>290</v>
      </c>
      <c r="D62" s="1018" t="s">
        <v>306</v>
      </c>
      <c r="E62" s="1011" t="s">
        <v>1264</v>
      </c>
      <c r="F62" s="1011" t="s">
        <v>1264</v>
      </c>
      <c r="H62" s="1011">
        <v>120</v>
      </c>
      <c r="J62" s="1011">
        <v>8</v>
      </c>
      <c r="L62" s="1011">
        <v>1</v>
      </c>
      <c r="M62" s="1012">
        <v>10</v>
      </c>
      <c r="N62" s="1012">
        <f t="shared" si="0"/>
        <v>1200</v>
      </c>
      <c r="O62" s="1011" t="str">
        <f t="shared" si="1"/>
        <v xml:space="preserve"> </v>
      </c>
      <c r="P62" s="1026">
        <f t="shared" si="2"/>
        <v>3.1496062992125982</v>
      </c>
      <c r="Q62" s="1026">
        <f t="shared" si="3"/>
        <v>0</v>
      </c>
      <c r="R62" s="1026">
        <f t="shared" si="4"/>
        <v>0.39370078740157477</v>
      </c>
      <c r="S62" s="1012">
        <f t="shared" si="5"/>
        <v>0.55555555555555558</v>
      </c>
      <c r="T62" s="1012">
        <f t="shared" si="6"/>
        <v>66.666666666666671</v>
      </c>
    </row>
    <row r="63" spans="1:20" x14ac:dyDescent="0.25">
      <c r="A63" s="875"/>
      <c r="B63" s="875"/>
      <c r="C63" s="1021" t="s">
        <v>288</v>
      </c>
      <c r="D63" s="1018" t="s">
        <v>307</v>
      </c>
      <c r="E63" s="1021" t="s">
        <v>1265</v>
      </c>
      <c r="F63" s="1021" t="s">
        <v>1133</v>
      </c>
      <c r="G63" s="1021"/>
      <c r="H63" s="1021">
        <v>13</v>
      </c>
      <c r="I63" s="1021"/>
      <c r="J63" s="1021">
        <v>8</v>
      </c>
      <c r="K63" s="1021"/>
      <c r="L63" s="1021">
        <v>1</v>
      </c>
      <c r="M63" s="1029">
        <v>85</v>
      </c>
      <c r="N63" s="1029">
        <f t="shared" si="0"/>
        <v>1105</v>
      </c>
      <c r="O63" s="1021" t="str">
        <f t="shared" si="1"/>
        <v xml:space="preserve"> </v>
      </c>
      <c r="P63" s="1025">
        <f t="shared" si="2"/>
        <v>3.1496062992125982</v>
      </c>
      <c r="Q63" s="1025">
        <f t="shared" si="3"/>
        <v>0</v>
      </c>
      <c r="R63" s="1025">
        <f t="shared" si="4"/>
        <v>0.39370078740157477</v>
      </c>
      <c r="S63" s="1029">
        <f t="shared" si="5"/>
        <v>4.7222222222222223</v>
      </c>
      <c r="T63" s="1029">
        <f t="shared" si="6"/>
        <v>61.388888888888893</v>
      </c>
    </row>
    <row r="64" spans="1:20" x14ac:dyDescent="0.25">
      <c r="A64"/>
      <c r="B64"/>
      <c r="C64" s="1011" t="s">
        <v>292</v>
      </c>
      <c r="D64" s="1018" t="s">
        <v>308</v>
      </c>
      <c r="E64" s="1011" t="s">
        <v>1265</v>
      </c>
      <c r="F64" s="1011" t="s">
        <v>1133</v>
      </c>
      <c r="H64" s="1011">
        <v>13</v>
      </c>
      <c r="J64" s="1011">
        <v>8</v>
      </c>
      <c r="L64" s="1011">
        <v>1</v>
      </c>
      <c r="M64" s="1012">
        <v>85</v>
      </c>
      <c r="N64" s="1012">
        <f t="shared" si="0"/>
        <v>1105</v>
      </c>
      <c r="O64" s="1011" t="str">
        <f t="shared" si="1"/>
        <v xml:space="preserve"> </v>
      </c>
      <c r="P64" s="1026">
        <f t="shared" si="2"/>
        <v>3.1496062992125982</v>
      </c>
      <c r="Q64" s="1026">
        <f t="shared" si="3"/>
        <v>0</v>
      </c>
      <c r="R64" s="1026">
        <f t="shared" si="4"/>
        <v>0.39370078740157477</v>
      </c>
      <c r="S64" s="1012">
        <f t="shared" si="5"/>
        <v>4.7222222222222223</v>
      </c>
      <c r="T64" s="1012">
        <f t="shared" si="6"/>
        <v>61.388888888888893</v>
      </c>
    </row>
    <row r="65" spans="1:20" x14ac:dyDescent="0.25">
      <c r="A65" s="875"/>
      <c r="B65" s="875"/>
      <c r="C65" s="1021" t="s">
        <v>293</v>
      </c>
      <c r="D65" s="1018" t="s">
        <v>309</v>
      </c>
      <c r="E65" s="1021" t="s">
        <v>1265</v>
      </c>
      <c r="F65" s="1021" t="s">
        <v>1133</v>
      </c>
      <c r="G65" s="1021"/>
      <c r="H65" s="1021">
        <v>13</v>
      </c>
      <c r="I65" s="1021"/>
      <c r="J65" s="1021">
        <v>8</v>
      </c>
      <c r="K65" s="1021"/>
      <c r="L65" s="1021">
        <v>1</v>
      </c>
      <c r="M65" s="1029">
        <v>85</v>
      </c>
      <c r="N65" s="1029">
        <f t="shared" si="0"/>
        <v>1105</v>
      </c>
      <c r="O65" s="1021" t="str">
        <f t="shared" si="1"/>
        <v xml:space="preserve"> </v>
      </c>
      <c r="P65" s="1025">
        <f t="shared" si="2"/>
        <v>3.1496062992125982</v>
      </c>
      <c r="Q65" s="1025">
        <f t="shared" si="3"/>
        <v>0</v>
      </c>
      <c r="R65" s="1025">
        <f t="shared" si="4"/>
        <v>0.39370078740157477</v>
      </c>
      <c r="S65" s="1029">
        <f t="shared" si="5"/>
        <v>4.7222222222222223</v>
      </c>
      <c r="T65" s="1029">
        <f t="shared" si="6"/>
        <v>61.388888888888893</v>
      </c>
    </row>
  </sheetData>
  <dataValidations disablePrompts="1" count="7">
    <dataValidation allowBlank="1" showInputMessage="1" showErrorMessage="1" prompt="Enter a description of the item in this column" sqref="E4" xr:uid="{EE40A508-1942-4436-9167-65452BF1D7A4}"/>
    <dataValidation allowBlank="1" showInputMessage="1" showErrorMessage="1" prompt="Enter the unit price of each item in this column" sqref="F4" xr:uid="{4C150B78-C91B-484A-96A9-E7D63FD70531}"/>
    <dataValidation allowBlank="1" showInputMessage="1" showErrorMessage="1" prompt="Enter the quantity in stock for each item in this column" sqref="G4" xr:uid="{CCEB395F-341D-432B-802B-90FB04EFF26C}"/>
    <dataValidation allowBlank="1" showInputMessage="1" showErrorMessage="1" prompt="This is an automated column._x000a__x000a_The inventory value for each item is automatically calculated in this column." sqref="H4" xr:uid="{B4597055-58C1-4F41-812D-19FD0FC0BDE9}"/>
    <dataValidation allowBlank="1" showInputMessage="1" showErrorMessage="1" prompt="Enter the reorder level for each item in this column" sqref="I4" xr:uid="{1E78D7AB-9513-49CA-B19B-F416B8ADD9B2}"/>
    <dataValidation allowBlank="1" showInputMessage="1" showErrorMessage="1" prompt="Enter the name of the item in this column" sqref="D4" xr:uid="{FA275D92-BBC3-43C4-B191-85161D1F8C41}"/>
    <dataValidation allowBlank="1" showInputMessage="1" showErrorMessage="1" prompt="Enter the item inventory ID in this column" sqref="C4" xr:uid="{65AA4215-B5CB-4A0E-9D9B-1E123840CBB2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4F35-B137-4B70-8441-D6D4051509DD}">
  <sheetPr>
    <tabColor rgb="FF00B0F0"/>
  </sheetPr>
  <dimension ref="A1:T37"/>
  <sheetViews>
    <sheetView workbookViewId="0">
      <selection activeCell="F25" sqref="F25"/>
    </sheetView>
  </sheetViews>
  <sheetFormatPr defaultRowHeight="15" x14ac:dyDescent="0.25"/>
  <cols>
    <col min="2" max="2" width="7.625" customWidth="1"/>
    <col min="3" max="3" width="28.25" bestFit="1" customWidth="1"/>
    <col min="4" max="4" width="15.625" bestFit="1" customWidth="1"/>
    <col min="5" max="5" width="6.75" bestFit="1" customWidth="1"/>
    <col min="6" max="6" width="7.375" bestFit="1" customWidth="1"/>
    <col min="7" max="7" width="10.25" customWidth="1"/>
    <col min="8" max="8" width="6.75" bestFit="1" customWidth="1"/>
    <col min="9" max="10" width="9.5" style="1013" bestFit="1" customWidth="1"/>
    <col min="11" max="11" width="9.25" style="1013" bestFit="1" customWidth="1"/>
    <col min="12" max="12" width="7" style="1013" bestFit="1" customWidth="1"/>
    <col min="13" max="13" width="13.625" style="1006" bestFit="1" customWidth="1"/>
    <col min="14" max="14" width="20" style="1006" bestFit="1" customWidth="1"/>
    <col min="15" max="15" width="9.125" style="1013" customWidth="1"/>
    <col min="16" max="16" width="12.25" style="1013" bestFit="1" customWidth="1"/>
    <col min="17" max="18" width="11.875" style="1013" bestFit="1" customWidth="1"/>
    <col min="19" max="19" width="12" style="691" bestFit="1" customWidth="1"/>
    <col min="20" max="20" width="15.75" style="691" bestFit="1" customWidth="1"/>
  </cols>
  <sheetData>
    <row r="1" spans="1:20" x14ac:dyDescent="0.25">
      <c r="A1" s="1035"/>
      <c r="B1" s="1035"/>
      <c r="C1" s="1036"/>
      <c r="D1" s="1036"/>
      <c r="E1" s="1036"/>
      <c r="F1" s="1036"/>
      <c r="G1" s="1036"/>
      <c r="H1" s="1036"/>
      <c r="I1" s="1038"/>
      <c r="J1" s="1038"/>
      <c r="K1" s="1038"/>
      <c r="L1" s="1038"/>
      <c r="M1" s="1037"/>
      <c r="N1" s="1037"/>
      <c r="O1" s="1038"/>
      <c r="P1" s="1038"/>
      <c r="Q1" s="1038"/>
      <c r="R1" s="1038"/>
      <c r="S1" s="1037"/>
      <c r="T1" s="1037"/>
    </row>
    <row r="2" spans="1:20" ht="23.25" x14ac:dyDescent="0.35">
      <c r="A2" s="1039" t="s">
        <v>937</v>
      </c>
      <c r="B2" s="1035"/>
      <c r="C2" s="1040"/>
      <c r="D2" s="1041"/>
      <c r="E2" s="1036" t="s">
        <v>1354</v>
      </c>
      <c r="F2" s="1036"/>
      <c r="G2" s="1036"/>
      <c r="H2" s="1036"/>
      <c r="I2" s="1044"/>
      <c r="J2" s="1044"/>
      <c r="K2" s="1044" t="s">
        <v>0</v>
      </c>
      <c r="L2" s="1038"/>
      <c r="M2" s="1042"/>
      <c r="N2" s="1043">
        <f>SUM(N5:N127)</f>
        <v>253320.36000000004</v>
      </c>
      <c r="O2" s="1044"/>
      <c r="P2" s="1044"/>
      <c r="Q2" s="1044"/>
      <c r="R2" s="1044"/>
      <c r="S2" s="1042"/>
      <c r="T2" s="1042"/>
    </row>
    <row r="3" spans="1:20" x14ac:dyDescent="0.25">
      <c r="A3" s="1035"/>
      <c r="B3" s="1035"/>
      <c r="C3" s="1036"/>
      <c r="D3" s="1036"/>
      <c r="E3" s="1036"/>
      <c r="F3" s="1036"/>
      <c r="G3" s="1036"/>
      <c r="H3" s="1036"/>
      <c r="I3" s="1038"/>
      <c r="J3" s="1038"/>
      <c r="K3" s="1038"/>
      <c r="L3" s="1046"/>
      <c r="M3" s="1037"/>
      <c r="N3" s="1037"/>
      <c r="O3" s="1038"/>
      <c r="P3" s="1038"/>
      <c r="Q3" s="1038"/>
      <c r="R3" s="1038"/>
      <c r="S3" s="1037"/>
      <c r="T3" s="1037"/>
    </row>
    <row r="4" spans="1:20" ht="15.75" thickBot="1" x14ac:dyDescent="0.3">
      <c r="A4" s="992"/>
      <c r="B4" s="1031" t="s">
        <v>559</v>
      </c>
      <c r="C4" s="1032" t="s">
        <v>560</v>
      </c>
      <c r="D4" s="1032" t="s">
        <v>561</v>
      </c>
      <c r="E4" s="1032" t="s">
        <v>1</v>
      </c>
      <c r="F4" s="1032" t="s">
        <v>562</v>
      </c>
      <c r="G4" s="1032" t="s">
        <v>2</v>
      </c>
      <c r="H4" s="1032" t="s">
        <v>563</v>
      </c>
      <c r="I4" s="1047" t="s">
        <v>564</v>
      </c>
      <c r="J4" s="1047" t="s">
        <v>565</v>
      </c>
      <c r="K4" s="1047" t="s">
        <v>566</v>
      </c>
      <c r="L4" s="1033" t="s">
        <v>567</v>
      </c>
      <c r="M4" s="1045" t="s">
        <v>568</v>
      </c>
      <c r="N4" s="1045" t="s">
        <v>569</v>
      </c>
      <c r="O4" s="1033" t="s">
        <v>570</v>
      </c>
      <c r="P4" s="1033" t="s">
        <v>571</v>
      </c>
      <c r="Q4" s="1033" t="s">
        <v>572</v>
      </c>
      <c r="R4" s="1033" t="s">
        <v>573</v>
      </c>
      <c r="S4" s="1045" t="s">
        <v>574</v>
      </c>
      <c r="T4" s="1045" t="s">
        <v>575</v>
      </c>
    </row>
    <row r="5" spans="1:20" x14ac:dyDescent="0.25">
      <c r="A5" s="1011"/>
      <c r="B5" s="1011"/>
      <c r="C5" s="1011" t="s">
        <v>340</v>
      </c>
      <c r="D5" s="1053" t="s">
        <v>1266</v>
      </c>
      <c r="E5" s="1011" t="s">
        <v>1268</v>
      </c>
      <c r="F5" s="1011" t="s">
        <v>1267</v>
      </c>
      <c r="G5" s="1011"/>
      <c r="H5" s="1011">
        <v>1</v>
      </c>
      <c r="I5" s="1026">
        <v>385</v>
      </c>
      <c r="J5" s="1026">
        <v>60</v>
      </c>
      <c r="K5" s="1026">
        <v>32</v>
      </c>
      <c r="L5" s="1026"/>
      <c r="M5" s="1012">
        <v>12000</v>
      </c>
      <c r="N5" s="1012">
        <f>M5*H5</f>
        <v>12000</v>
      </c>
      <c r="O5" s="1026">
        <f>IF(I5&gt;0.1,I5*2.20462," ")</f>
        <v>848.77869999999996</v>
      </c>
      <c r="P5" s="1026">
        <f>J5/2.54</f>
        <v>23.622047244094489</v>
      </c>
      <c r="Q5" s="1026">
        <f t="shared" ref="Q5:R19" si="0">K5/2.54</f>
        <v>12.598425196850393</v>
      </c>
      <c r="R5" s="1026">
        <f t="shared" si="0"/>
        <v>0</v>
      </c>
      <c r="S5" s="1012">
        <f>M5/18</f>
        <v>666.66666666666663</v>
      </c>
      <c r="T5" s="1012">
        <f>S5*H5</f>
        <v>666.66666666666663</v>
      </c>
    </row>
    <row r="6" spans="1:20" x14ac:dyDescent="0.25">
      <c r="A6" s="1011"/>
      <c r="B6" s="1011"/>
      <c r="C6" s="1011" t="s">
        <v>323</v>
      </c>
      <c r="D6" s="972" t="s">
        <v>1269</v>
      </c>
      <c r="E6" s="1011" t="s">
        <v>772</v>
      </c>
      <c r="F6" s="1011" t="s">
        <v>691</v>
      </c>
      <c r="G6" s="1011"/>
      <c r="H6" s="1011">
        <v>6</v>
      </c>
      <c r="I6" s="1026">
        <v>8</v>
      </c>
      <c r="J6" s="1026">
        <v>40</v>
      </c>
      <c r="K6" s="1026">
        <v>16</v>
      </c>
      <c r="L6" s="1026"/>
      <c r="M6" s="1012">
        <v>605</v>
      </c>
      <c r="N6" s="1012">
        <f t="shared" ref="N6:N37" si="1">M6*H6</f>
        <v>3630</v>
      </c>
      <c r="O6" s="1026">
        <f t="shared" ref="O6:O37" si="2">IF(I6&gt;0.1,I6*2.20462," ")</f>
        <v>17.636959999999998</v>
      </c>
      <c r="P6" s="1026">
        <f t="shared" ref="P6:P37" si="3">J6/2.54</f>
        <v>15.748031496062993</v>
      </c>
      <c r="Q6" s="1026">
        <f t="shared" si="0"/>
        <v>6.2992125984251963</v>
      </c>
      <c r="R6" s="1026">
        <f t="shared" si="0"/>
        <v>0</v>
      </c>
      <c r="S6" s="1012">
        <f t="shared" ref="S6:S37" si="4">M6/18</f>
        <v>33.611111111111114</v>
      </c>
      <c r="T6" s="1012">
        <f t="shared" ref="T6:T37" si="5">S6*H6</f>
        <v>201.66666666666669</v>
      </c>
    </row>
    <row r="7" spans="1:20" x14ac:dyDescent="0.25">
      <c r="A7" s="1021"/>
      <c r="B7" s="1021"/>
      <c r="C7" s="1021" t="s">
        <v>339</v>
      </c>
      <c r="D7" s="1050" t="s">
        <v>1270</v>
      </c>
      <c r="E7" s="1021" t="s">
        <v>1272</v>
      </c>
      <c r="F7" s="1021" t="s">
        <v>1271</v>
      </c>
      <c r="G7" s="1021"/>
      <c r="H7" s="1021">
        <v>2</v>
      </c>
      <c r="I7" s="1025">
        <v>480</v>
      </c>
      <c r="J7" s="1025">
        <v>70</v>
      </c>
      <c r="K7" s="1025"/>
      <c r="L7" s="1025"/>
      <c r="M7" s="1029">
        <v>15000</v>
      </c>
      <c r="N7" s="1029">
        <f t="shared" si="1"/>
        <v>30000</v>
      </c>
      <c r="O7" s="1025">
        <f t="shared" si="2"/>
        <v>1058.2175999999999</v>
      </c>
      <c r="P7" s="1025">
        <f t="shared" si="3"/>
        <v>27.559055118110237</v>
      </c>
      <c r="Q7" s="1025">
        <f t="shared" si="0"/>
        <v>0</v>
      </c>
      <c r="R7" s="1025">
        <f t="shared" si="0"/>
        <v>0</v>
      </c>
      <c r="S7" s="1029">
        <f t="shared" si="4"/>
        <v>833.33333333333337</v>
      </c>
      <c r="T7" s="1029">
        <f t="shared" si="5"/>
        <v>1666.6666666666667</v>
      </c>
    </row>
    <row r="8" spans="1:20" x14ac:dyDescent="0.25">
      <c r="A8" s="1011"/>
      <c r="B8" s="1011"/>
      <c r="C8" s="1011" t="s">
        <v>181</v>
      </c>
      <c r="D8" s="1016" t="s">
        <v>182</v>
      </c>
      <c r="E8" s="1011" t="s">
        <v>1274</v>
      </c>
      <c r="F8" s="1011" t="s">
        <v>1273</v>
      </c>
      <c r="G8" s="1011"/>
      <c r="H8" s="1011">
        <v>1</v>
      </c>
      <c r="I8" s="1026">
        <v>563</v>
      </c>
      <c r="J8" s="1026"/>
      <c r="K8" s="1026"/>
      <c r="L8" s="1026"/>
      <c r="M8" s="1012">
        <v>7397.8200000000006</v>
      </c>
      <c r="N8" s="1012">
        <f t="shared" si="1"/>
        <v>7397.8200000000006</v>
      </c>
      <c r="O8" s="1026">
        <f t="shared" si="2"/>
        <v>1241.2010599999999</v>
      </c>
      <c r="P8" s="1026">
        <f t="shared" si="3"/>
        <v>0</v>
      </c>
      <c r="Q8" s="1026">
        <f t="shared" si="0"/>
        <v>0</v>
      </c>
      <c r="R8" s="1026">
        <f t="shared" si="0"/>
        <v>0</v>
      </c>
      <c r="S8" s="1012">
        <f t="shared" si="4"/>
        <v>410.99</v>
      </c>
      <c r="T8" s="1012">
        <f t="shared" si="5"/>
        <v>410.99</v>
      </c>
    </row>
    <row r="9" spans="1:20" x14ac:dyDescent="0.25">
      <c r="A9" s="1021"/>
      <c r="B9" s="1021"/>
      <c r="C9" s="1021" t="s">
        <v>311</v>
      </c>
      <c r="D9" s="1052" t="s">
        <v>1275</v>
      </c>
      <c r="E9" s="1021" t="s">
        <v>1277</v>
      </c>
      <c r="F9" s="1021" t="s">
        <v>1276</v>
      </c>
      <c r="G9" s="1021"/>
      <c r="H9" s="1021">
        <v>1</v>
      </c>
      <c r="I9" s="1025">
        <v>672</v>
      </c>
      <c r="J9" s="1025"/>
      <c r="K9" s="1025"/>
      <c r="L9" s="1025"/>
      <c r="M9" s="1029">
        <v>8830.08</v>
      </c>
      <c r="N9" s="1029">
        <f t="shared" si="1"/>
        <v>8830.08</v>
      </c>
      <c r="O9" s="1025">
        <f t="shared" si="2"/>
        <v>1481.5046399999999</v>
      </c>
      <c r="P9" s="1025">
        <f t="shared" si="3"/>
        <v>0</v>
      </c>
      <c r="Q9" s="1025">
        <f t="shared" si="0"/>
        <v>0</v>
      </c>
      <c r="R9" s="1025">
        <f t="shared" si="0"/>
        <v>0</v>
      </c>
      <c r="S9" s="1029">
        <f t="shared" si="4"/>
        <v>490.56</v>
      </c>
      <c r="T9" s="1029">
        <f t="shared" si="5"/>
        <v>490.56</v>
      </c>
    </row>
    <row r="10" spans="1:20" x14ac:dyDescent="0.25">
      <c r="A10" s="1011"/>
      <c r="B10" s="1011"/>
      <c r="C10" s="1011" t="s">
        <v>311</v>
      </c>
      <c r="D10" s="1016" t="s">
        <v>1278</v>
      </c>
      <c r="E10" s="1011" t="s">
        <v>1280</v>
      </c>
      <c r="F10" s="1011" t="s">
        <v>1279</v>
      </c>
      <c r="G10" s="1011"/>
      <c r="H10" s="1011">
        <v>1</v>
      </c>
      <c r="I10" s="1026">
        <v>551</v>
      </c>
      <c r="J10" s="1026"/>
      <c r="K10" s="1026"/>
      <c r="L10" s="1026"/>
      <c r="M10" s="1012">
        <v>7240.14</v>
      </c>
      <c r="N10" s="1012">
        <f t="shared" si="1"/>
        <v>7240.14</v>
      </c>
      <c r="O10" s="1026">
        <f t="shared" si="2"/>
        <v>1214.7456199999999</v>
      </c>
      <c r="P10" s="1026">
        <f t="shared" si="3"/>
        <v>0</v>
      </c>
      <c r="Q10" s="1026">
        <f t="shared" si="0"/>
        <v>0</v>
      </c>
      <c r="R10" s="1026">
        <f t="shared" si="0"/>
        <v>0</v>
      </c>
      <c r="S10" s="1012">
        <f t="shared" si="4"/>
        <v>402.23</v>
      </c>
      <c r="T10" s="1012">
        <f t="shared" si="5"/>
        <v>402.23</v>
      </c>
    </row>
    <row r="11" spans="1:20" x14ac:dyDescent="0.25">
      <c r="A11" s="1021"/>
      <c r="B11" s="1021"/>
      <c r="C11" s="1034" t="s">
        <v>311</v>
      </c>
      <c r="D11" s="1052" t="s">
        <v>1281</v>
      </c>
      <c r="E11" s="1021" t="s">
        <v>606</v>
      </c>
      <c r="F11" s="1021" t="s">
        <v>607</v>
      </c>
      <c r="G11" s="1021"/>
      <c r="H11" s="1021">
        <v>1</v>
      </c>
      <c r="I11" s="1025">
        <v>725</v>
      </c>
      <c r="J11" s="1025"/>
      <c r="K11" s="1025"/>
      <c r="L11" s="1025"/>
      <c r="M11" s="1029">
        <v>9526.5</v>
      </c>
      <c r="N11" s="1029">
        <f t="shared" si="1"/>
        <v>9526.5</v>
      </c>
      <c r="O11" s="1025">
        <f t="shared" si="2"/>
        <v>1598.3494999999998</v>
      </c>
      <c r="P11" s="1025">
        <f t="shared" si="3"/>
        <v>0</v>
      </c>
      <c r="Q11" s="1025">
        <f t="shared" si="0"/>
        <v>0</v>
      </c>
      <c r="R11" s="1025">
        <f t="shared" si="0"/>
        <v>0</v>
      </c>
      <c r="S11" s="1029">
        <f t="shared" si="4"/>
        <v>529.25</v>
      </c>
      <c r="T11" s="1029">
        <f t="shared" si="5"/>
        <v>529.25</v>
      </c>
    </row>
    <row r="12" spans="1:20" x14ac:dyDescent="0.25">
      <c r="A12" s="1011"/>
      <c r="B12" s="1011"/>
      <c r="C12" s="1011" t="s">
        <v>311</v>
      </c>
      <c r="D12" s="1016" t="s">
        <v>1282</v>
      </c>
      <c r="E12" s="1011" t="s">
        <v>1284</v>
      </c>
      <c r="F12" s="1011" t="s">
        <v>1283</v>
      </c>
      <c r="G12" s="1011"/>
      <c r="H12" s="1011">
        <v>1</v>
      </c>
      <c r="I12" s="1026">
        <v>793</v>
      </c>
      <c r="J12" s="1026"/>
      <c r="K12" s="1026"/>
      <c r="L12" s="1026"/>
      <c r="M12" s="1012">
        <v>10420.02</v>
      </c>
      <c r="N12" s="1012">
        <f t="shared" si="1"/>
        <v>10420.02</v>
      </c>
      <c r="O12" s="1026">
        <f t="shared" si="2"/>
        <v>1748.2636599999998</v>
      </c>
      <c r="P12" s="1026">
        <f t="shared" si="3"/>
        <v>0</v>
      </c>
      <c r="Q12" s="1026">
        <f t="shared" si="0"/>
        <v>0</v>
      </c>
      <c r="R12" s="1026">
        <f t="shared" si="0"/>
        <v>0</v>
      </c>
      <c r="S12" s="1012">
        <f t="shared" si="4"/>
        <v>578.89</v>
      </c>
      <c r="T12" s="1012">
        <f t="shared" si="5"/>
        <v>578.89</v>
      </c>
    </row>
    <row r="13" spans="1:20" x14ac:dyDescent="0.25">
      <c r="A13" s="1021"/>
      <c r="B13" s="1021"/>
      <c r="C13" s="1021" t="s">
        <v>311</v>
      </c>
      <c r="D13" s="1052" t="s">
        <v>1285</v>
      </c>
      <c r="E13" s="1021" t="s">
        <v>607</v>
      </c>
      <c r="F13" s="1021" t="s">
        <v>1286</v>
      </c>
      <c r="G13" s="1021"/>
      <c r="H13" s="1021">
        <v>1</v>
      </c>
      <c r="I13" s="1025">
        <v>518</v>
      </c>
      <c r="J13" s="1025"/>
      <c r="K13" s="1025"/>
      <c r="L13" s="1025"/>
      <c r="M13" s="1029">
        <v>6806.52</v>
      </c>
      <c r="N13" s="1029">
        <f t="shared" si="1"/>
        <v>6806.52</v>
      </c>
      <c r="O13" s="1025">
        <f t="shared" si="2"/>
        <v>1141.99316</v>
      </c>
      <c r="P13" s="1025">
        <f t="shared" si="3"/>
        <v>0</v>
      </c>
      <c r="Q13" s="1025">
        <f t="shared" si="0"/>
        <v>0</v>
      </c>
      <c r="R13" s="1025">
        <f t="shared" si="0"/>
        <v>0</v>
      </c>
      <c r="S13" s="1029">
        <f t="shared" si="4"/>
        <v>378.14000000000004</v>
      </c>
      <c r="T13" s="1029">
        <f t="shared" si="5"/>
        <v>378.14000000000004</v>
      </c>
    </row>
    <row r="14" spans="1:20" x14ac:dyDescent="0.25">
      <c r="A14" s="1011"/>
      <c r="B14" s="1011"/>
      <c r="C14" s="1011" t="s">
        <v>311</v>
      </c>
      <c r="D14" s="1016" t="s">
        <v>1287</v>
      </c>
      <c r="E14" s="1011" t="s">
        <v>1289</v>
      </c>
      <c r="F14" s="1011" t="s">
        <v>1288</v>
      </c>
      <c r="G14" s="1011"/>
      <c r="H14" s="1011">
        <v>1</v>
      </c>
      <c r="I14" s="1026">
        <v>741</v>
      </c>
      <c r="J14" s="1026"/>
      <c r="K14" s="1026"/>
      <c r="L14" s="1026"/>
      <c r="M14" s="1012">
        <v>9736.74</v>
      </c>
      <c r="N14" s="1012">
        <f t="shared" si="1"/>
        <v>9736.74</v>
      </c>
      <c r="O14" s="1026">
        <f t="shared" si="2"/>
        <v>1633.6234199999999</v>
      </c>
      <c r="P14" s="1026">
        <f t="shared" si="3"/>
        <v>0</v>
      </c>
      <c r="Q14" s="1026">
        <f t="shared" si="0"/>
        <v>0</v>
      </c>
      <c r="R14" s="1026">
        <f t="shared" si="0"/>
        <v>0</v>
      </c>
      <c r="S14" s="1012">
        <f t="shared" si="4"/>
        <v>540.92999999999995</v>
      </c>
      <c r="T14" s="1012">
        <f t="shared" si="5"/>
        <v>540.92999999999995</v>
      </c>
    </row>
    <row r="15" spans="1:20" x14ac:dyDescent="0.25">
      <c r="A15" s="1021"/>
      <c r="B15" s="1021"/>
      <c r="C15" s="1021" t="s">
        <v>311</v>
      </c>
      <c r="D15" s="1052" t="s">
        <v>1290</v>
      </c>
      <c r="E15" s="1021" t="s">
        <v>1292</v>
      </c>
      <c r="F15" s="1021" t="s">
        <v>1291</v>
      </c>
      <c r="G15" s="1021"/>
      <c r="H15" s="1021">
        <v>1</v>
      </c>
      <c r="I15" s="1025">
        <v>690</v>
      </c>
      <c r="J15" s="1025"/>
      <c r="K15" s="1025"/>
      <c r="L15" s="1025"/>
      <c r="M15" s="1029">
        <v>9066.6</v>
      </c>
      <c r="N15" s="1029">
        <f t="shared" si="1"/>
        <v>9066.6</v>
      </c>
      <c r="O15" s="1025">
        <f t="shared" si="2"/>
        <v>1521.1877999999999</v>
      </c>
      <c r="P15" s="1025">
        <f t="shared" si="3"/>
        <v>0</v>
      </c>
      <c r="Q15" s="1025">
        <f t="shared" si="0"/>
        <v>0</v>
      </c>
      <c r="R15" s="1025">
        <f t="shared" si="0"/>
        <v>0</v>
      </c>
      <c r="S15" s="1029">
        <f t="shared" si="4"/>
        <v>503.70000000000005</v>
      </c>
      <c r="T15" s="1029">
        <f t="shared" si="5"/>
        <v>503.70000000000005</v>
      </c>
    </row>
    <row r="16" spans="1:20" x14ac:dyDescent="0.25">
      <c r="A16" s="1011"/>
      <c r="B16" s="1011"/>
      <c r="C16" s="1011" t="s">
        <v>311</v>
      </c>
      <c r="D16" s="1016" t="s">
        <v>1293</v>
      </c>
      <c r="E16" s="1011" t="s">
        <v>1295</v>
      </c>
      <c r="F16" s="1011" t="s">
        <v>1294</v>
      </c>
      <c r="G16" s="1011"/>
      <c r="H16" s="1011">
        <v>1</v>
      </c>
      <c r="I16" s="1026">
        <v>822</v>
      </c>
      <c r="J16" s="1026"/>
      <c r="K16" s="1026"/>
      <c r="L16" s="1026"/>
      <c r="M16" s="1012">
        <v>10801.08</v>
      </c>
      <c r="N16" s="1012">
        <f t="shared" si="1"/>
        <v>10801.08</v>
      </c>
      <c r="O16" s="1026">
        <f t="shared" si="2"/>
        <v>1812.1976399999999</v>
      </c>
      <c r="P16" s="1026">
        <f t="shared" si="3"/>
        <v>0</v>
      </c>
      <c r="Q16" s="1026">
        <f t="shared" si="0"/>
        <v>0</v>
      </c>
      <c r="R16" s="1026">
        <f t="shared" si="0"/>
        <v>0</v>
      </c>
      <c r="S16" s="1012">
        <f t="shared" si="4"/>
        <v>600.05999999999995</v>
      </c>
      <c r="T16" s="1012">
        <f t="shared" si="5"/>
        <v>600.05999999999995</v>
      </c>
    </row>
    <row r="17" spans="1:20" x14ac:dyDescent="0.25">
      <c r="A17" s="1021"/>
      <c r="B17" s="1021"/>
      <c r="C17" s="1021" t="s">
        <v>311</v>
      </c>
      <c r="D17" s="1052" t="s">
        <v>1296</v>
      </c>
      <c r="E17" s="1021" t="s">
        <v>1298</v>
      </c>
      <c r="F17" s="1021" t="s">
        <v>1297</v>
      </c>
      <c r="G17" s="1021"/>
      <c r="H17" s="1021">
        <v>1</v>
      </c>
      <c r="I17" s="1025">
        <v>603</v>
      </c>
      <c r="J17" s="1025"/>
      <c r="K17" s="1025"/>
      <c r="L17" s="1025"/>
      <c r="M17" s="1029">
        <v>7923.42</v>
      </c>
      <c r="N17" s="1029">
        <f t="shared" si="1"/>
        <v>7923.42</v>
      </c>
      <c r="O17" s="1025">
        <f t="shared" si="2"/>
        <v>1329.3858599999999</v>
      </c>
      <c r="P17" s="1025">
        <f t="shared" si="3"/>
        <v>0</v>
      </c>
      <c r="Q17" s="1025">
        <f t="shared" si="0"/>
        <v>0</v>
      </c>
      <c r="R17" s="1025">
        <f t="shared" si="0"/>
        <v>0</v>
      </c>
      <c r="S17" s="1029">
        <f t="shared" si="4"/>
        <v>440.19</v>
      </c>
      <c r="T17" s="1029">
        <f t="shared" si="5"/>
        <v>440.19</v>
      </c>
    </row>
    <row r="18" spans="1:20" x14ac:dyDescent="0.25">
      <c r="A18" s="1011"/>
      <c r="B18" s="1011"/>
      <c r="C18" s="1011" t="s">
        <v>172</v>
      </c>
      <c r="D18" s="1016" t="s">
        <v>1299</v>
      </c>
      <c r="E18" s="1011" t="s">
        <v>1301</v>
      </c>
      <c r="F18" s="1011" t="s">
        <v>1300</v>
      </c>
      <c r="G18" s="1011"/>
      <c r="H18" s="1011">
        <v>1</v>
      </c>
      <c r="I18" s="1026">
        <v>463</v>
      </c>
      <c r="J18" s="1026"/>
      <c r="K18" s="1026"/>
      <c r="L18" s="1026"/>
      <c r="M18" s="1012">
        <v>6083.8200000000006</v>
      </c>
      <c r="N18" s="1012">
        <f t="shared" si="1"/>
        <v>6083.8200000000006</v>
      </c>
      <c r="O18" s="1026">
        <f t="shared" si="2"/>
        <v>1020.7390599999999</v>
      </c>
      <c r="P18" s="1026">
        <f t="shared" si="3"/>
        <v>0</v>
      </c>
      <c r="Q18" s="1026">
        <f t="shared" si="0"/>
        <v>0</v>
      </c>
      <c r="R18" s="1026">
        <f t="shared" si="0"/>
        <v>0</v>
      </c>
      <c r="S18" s="1012">
        <f t="shared" si="4"/>
        <v>337.99</v>
      </c>
      <c r="T18" s="1012">
        <f t="shared" si="5"/>
        <v>337.99</v>
      </c>
    </row>
    <row r="19" spans="1:20" x14ac:dyDescent="0.25">
      <c r="A19" s="1021"/>
      <c r="B19" s="1021"/>
      <c r="C19" s="1021" t="s">
        <v>172</v>
      </c>
      <c r="D19" s="1052" t="s">
        <v>1302</v>
      </c>
      <c r="E19" s="1021" t="s">
        <v>656</v>
      </c>
      <c r="F19" s="1021" t="s">
        <v>657</v>
      </c>
      <c r="G19" s="1021"/>
      <c r="H19" s="1021">
        <v>1</v>
      </c>
      <c r="I19" s="1025">
        <v>533</v>
      </c>
      <c r="J19" s="1025"/>
      <c r="K19" s="1025"/>
      <c r="L19" s="1025"/>
      <c r="M19" s="1029">
        <v>7003.62</v>
      </c>
      <c r="N19" s="1029">
        <f t="shared" si="1"/>
        <v>7003.62</v>
      </c>
      <c r="O19" s="1025">
        <f t="shared" si="2"/>
        <v>1175.0624599999999</v>
      </c>
      <c r="P19" s="1025">
        <f t="shared" si="3"/>
        <v>0</v>
      </c>
      <c r="Q19" s="1025">
        <f t="shared" si="0"/>
        <v>0</v>
      </c>
      <c r="R19" s="1025">
        <f t="shared" si="0"/>
        <v>0</v>
      </c>
      <c r="S19" s="1029">
        <f t="shared" si="4"/>
        <v>389.09</v>
      </c>
      <c r="T19" s="1029">
        <f t="shared" si="5"/>
        <v>389.09</v>
      </c>
    </row>
    <row r="20" spans="1:20" x14ac:dyDescent="0.25">
      <c r="A20" s="1011"/>
      <c r="B20" s="1011"/>
      <c r="C20" s="1011" t="s">
        <v>326</v>
      </c>
      <c r="D20" s="1017" t="s">
        <v>1303</v>
      </c>
      <c r="E20" s="1011" t="s">
        <v>145</v>
      </c>
      <c r="F20" s="1011" t="s">
        <v>1304</v>
      </c>
      <c r="G20" s="1011"/>
      <c r="H20" s="1011">
        <v>1</v>
      </c>
      <c r="I20" s="1026">
        <v>739</v>
      </c>
      <c r="J20" s="1026"/>
      <c r="K20" s="1026"/>
      <c r="L20" s="1026"/>
      <c r="M20" s="1012">
        <v>8868</v>
      </c>
      <c r="N20" s="1012">
        <f t="shared" si="1"/>
        <v>8868</v>
      </c>
      <c r="O20" s="1026">
        <f t="shared" si="2"/>
        <v>1629.2141799999999</v>
      </c>
      <c r="P20" s="1026">
        <f t="shared" si="3"/>
        <v>0</v>
      </c>
      <c r="Q20" s="1026">
        <f t="shared" ref="Q20:Q37" si="6">K20/2.54</f>
        <v>0</v>
      </c>
      <c r="R20" s="1026">
        <f t="shared" ref="R20:R37" si="7">L20/2.54</f>
        <v>0</v>
      </c>
      <c r="S20" s="1012">
        <f t="shared" si="4"/>
        <v>492.66666666666669</v>
      </c>
      <c r="T20" s="1012">
        <f t="shared" si="5"/>
        <v>492.66666666666669</v>
      </c>
    </row>
    <row r="21" spans="1:20" x14ac:dyDescent="0.25">
      <c r="A21" s="1021"/>
      <c r="B21" s="1021"/>
      <c r="C21" s="1021" t="s">
        <v>326</v>
      </c>
      <c r="D21" s="1051" t="s">
        <v>1305</v>
      </c>
      <c r="E21" s="1021" t="s">
        <v>1307</v>
      </c>
      <c r="F21" s="1021" t="s">
        <v>1306</v>
      </c>
      <c r="G21" s="1021"/>
      <c r="H21" s="1021">
        <v>1</v>
      </c>
      <c r="I21" s="1025">
        <v>874</v>
      </c>
      <c r="J21" s="1025"/>
      <c r="K21" s="1025"/>
      <c r="L21" s="1025"/>
      <c r="M21" s="1029">
        <v>10488</v>
      </c>
      <c r="N21" s="1029">
        <f t="shared" si="1"/>
        <v>10488</v>
      </c>
      <c r="O21" s="1025">
        <f t="shared" si="2"/>
        <v>1926.8378799999998</v>
      </c>
      <c r="P21" s="1025">
        <f t="shared" si="3"/>
        <v>0</v>
      </c>
      <c r="Q21" s="1025">
        <f t="shared" si="6"/>
        <v>0</v>
      </c>
      <c r="R21" s="1025">
        <f t="shared" si="7"/>
        <v>0</v>
      </c>
      <c r="S21" s="1029">
        <f t="shared" si="4"/>
        <v>582.66666666666663</v>
      </c>
      <c r="T21" s="1029">
        <f t="shared" si="5"/>
        <v>582.66666666666663</v>
      </c>
    </row>
    <row r="22" spans="1:20" x14ac:dyDescent="0.25">
      <c r="A22" s="1011"/>
      <c r="B22" s="1011"/>
      <c r="C22" s="1011" t="s">
        <v>326</v>
      </c>
      <c r="D22" s="1017" t="s">
        <v>1308</v>
      </c>
      <c r="E22" s="1011" t="s">
        <v>1310</v>
      </c>
      <c r="F22" s="1011" t="s">
        <v>1309</v>
      </c>
      <c r="G22" s="1011"/>
      <c r="H22" s="1011">
        <v>1</v>
      </c>
      <c r="I22" s="1026">
        <v>1228</v>
      </c>
      <c r="J22" s="1026"/>
      <c r="K22" s="1026"/>
      <c r="L22" s="1026"/>
      <c r="M22" s="1012">
        <v>14736</v>
      </c>
      <c r="N22" s="1012">
        <f t="shared" si="1"/>
        <v>14736</v>
      </c>
      <c r="O22" s="1026">
        <f t="shared" si="2"/>
        <v>2707.2733599999997</v>
      </c>
      <c r="P22" s="1026">
        <f t="shared" si="3"/>
        <v>0</v>
      </c>
      <c r="Q22" s="1026">
        <f t="shared" si="6"/>
        <v>0</v>
      </c>
      <c r="R22" s="1026">
        <f t="shared" si="7"/>
        <v>0</v>
      </c>
      <c r="S22" s="1012">
        <f t="shared" si="4"/>
        <v>818.66666666666663</v>
      </c>
      <c r="T22" s="1012">
        <f t="shared" si="5"/>
        <v>818.66666666666663</v>
      </c>
    </row>
    <row r="23" spans="1:20" x14ac:dyDescent="0.25">
      <c r="A23" s="1021"/>
      <c r="B23" s="1021"/>
      <c r="C23" s="1021" t="s">
        <v>326</v>
      </c>
      <c r="D23" s="1051" t="s">
        <v>1311</v>
      </c>
      <c r="E23" s="1021" t="s">
        <v>1313</v>
      </c>
      <c r="F23" s="1021" t="s">
        <v>1312</v>
      </c>
      <c r="G23" s="1021"/>
      <c r="H23" s="1021">
        <v>1</v>
      </c>
      <c r="I23" s="1025">
        <v>828</v>
      </c>
      <c r="J23" s="1025"/>
      <c r="K23" s="1025"/>
      <c r="L23" s="1025"/>
      <c r="M23" s="1029">
        <v>9936</v>
      </c>
      <c r="N23" s="1029">
        <f t="shared" si="1"/>
        <v>9936</v>
      </c>
      <c r="O23" s="1025">
        <f t="shared" si="2"/>
        <v>1825.4253599999997</v>
      </c>
      <c r="P23" s="1025">
        <f t="shared" si="3"/>
        <v>0</v>
      </c>
      <c r="Q23" s="1025">
        <f t="shared" si="6"/>
        <v>0</v>
      </c>
      <c r="R23" s="1025">
        <f t="shared" si="7"/>
        <v>0</v>
      </c>
      <c r="S23" s="1029">
        <f t="shared" si="4"/>
        <v>552</v>
      </c>
      <c r="T23" s="1029">
        <f t="shared" si="5"/>
        <v>552</v>
      </c>
    </row>
    <row r="24" spans="1:20" x14ac:dyDescent="0.25">
      <c r="A24" s="1011"/>
      <c r="B24" s="1011"/>
      <c r="C24" s="1011" t="s">
        <v>326</v>
      </c>
      <c r="D24" s="1017" t="s">
        <v>1314</v>
      </c>
      <c r="E24" s="1011" t="s">
        <v>1316</v>
      </c>
      <c r="F24" s="1011" t="s">
        <v>1315</v>
      </c>
      <c r="G24" s="1011"/>
      <c r="H24" s="1011">
        <v>1</v>
      </c>
      <c r="I24" s="1026">
        <v>891</v>
      </c>
      <c r="J24" s="1026"/>
      <c r="K24" s="1026"/>
      <c r="L24" s="1026"/>
      <c r="M24" s="1012">
        <v>10692</v>
      </c>
      <c r="N24" s="1012">
        <f t="shared" si="1"/>
        <v>10692</v>
      </c>
      <c r="O24" s="1026">
        <f t="shared" si="2"/>
        <v>1964.3164199999999</v>
      </c>
      <c r="P24" s="1026">
        <f t="shared" si="3"/>
        <v>0</v>
      </c>
      <c r="Q24" s="1026">
        <f t="shared" si="6"/>
        <v>0</v>
      </c>
      <c r="R24" s="1026">
        <f t="shared" si="7"/>
        <v>0</v>
      </c>
      <c r="S24" s="1012">
        <f t="shared" si="4"/>
        <v>594</v>
      </c>
      <c r="T24" s="1012">
        <f t="shared" si="5"/>
        <v>594</v>
      </c>
    </row>
    <row r="25" spans="1:20" x14ac:dyDescent="0.25">
      <c r="A25" s="1021"/>
      <c r="B25" s="1021"/>
      <c r="C25" s="1021" t="s">
        <v>274</v>
      </c>
      <c r="D25" s="1050" t="s">
        <v>1317</v>
      </c>
      <c r="E25" s="1021" t="s">
        <v>1319</v>
      </c>
      <c r="F25" s="1021" t="s">
        <v>1318</v>
      </c>
      <c r="G25" s="1021"/>
      <c r="H25" s="1021">
        <v>1</v>
      </c>
      <c r="I25" s="1025">
        <v>717</v>
      </c>
      <c r="J25" s="1025"/>
      <c r="K25" s="1025"/>
      <c r="L25" s="1025"/>
      <c r="M25" s="1029">
        <v>7658</v>
      </c>
      <c r="N25" s="1029">
        <f t="shared" si="1"/>
        <v>7658</v>
      </c>
      <c r="O25" s="1025">
        <f t="shared" si="2"/>
        <v>1580.7125399999998</v>
      </c>
      <c r="P25" s="1025">
        <f t="shared" si="3"/>
        <v>0</v>
      </c>
      <c r="Q25" s="1025">
        <f t="shared" si="6"/>
        <v>0</v>
      </c>
      <c r="R25" s="1025">
        <f t="shared" si="7"/>
        <v>0</v>
      </c>
      <c r="S25" s="1029">
        <f t="shared" si="4"/>
        <v>425.44444444444446</v>
      </c>
      <c r="T25" s="1029">
        <f t="shared" si="5"/>
        <v>425.44444444444446</v>
      </c>
    </row>
    <row r="26" spans="1:20" x14ac:dyDescent="0.25">
      <c r="A26" s="1011"/>
      <c r="B26" s="1011"/>
      <c r="C26" s="1011" t="s">
        <v>274</v>
      </c>
      <c r="D26" s="973" t="s">
        <v>1320</v>
      </c>
      <c r="E26" s="1011" t="s">
        <v>1322</v>
      </c>
      <c r="F26" s="1011" t="s">
        <v>1321</v>
      </c>
      <c r="G26" s="1011"/>
      <c r="H26" s="1011">
        <v>1</v>
      </c>
      <c r="I26" s="1026">
        <v>504</v>
      </c>
      <c r="J26" s="1026"/>
      <c r="K26" s="1026"/>
      <c r="L26" s="1026"/>
      <c r="M26" s="1012">
        <v>5336</v>
      </c>
      <c r="N26" s="1012">
        <f t="shared" si="1"/>
        <v>5336</v>
      </c>
      <c r="O26" s="1026">
        <f t="shared" si="2"/>
        <v>1111.1284799999999</v>
      </c>
      <c r="P26" s="1026">
        <f t="shared" si="3"/>
        <v>0</v>
      </c>
      <c r="Q26" s="1026">
        <f t="shared" si="6"/>
        <v>0</v>
      </c>
      <c r="R26" s="1026">
        <f t="shared" si="7"/>
        <v>0</v>
      </c>
      <c r="S26" s="1012">
        <f t="shared" si="4"/>
        <v>296.44444444444446</v>
      </c>
      <c r="T26" s="1012">
        <f t="shared" si="5"/>
        <v>296.44444444444446</v>
      </c>
    </row>
    <row r="27" spans="1:20" x14ac:dyDescent="0.25">
      <c r="A27" s="1021"/>
      <c r="B27" s="1021"/>
      <c r="C27" s="1021" t="s">
        <v>283</v>
      </c>
      <c r="D27" s="1049" t="s">
        <v>1323</v>
      </c>
      <c r="E27" s="1021" t="s">
        <v>1325</v>
      </c>
      <c r="F27" s="1021" t="s">
        <v>1324</v>
      </c>
      <c r="G27" s="1021"/>
      <c r="H27" s="1021">
        <v>1</v>
      </c>
      <c r="I27" s="1025">
        <v>473</v>
      </c>
      <c r="J27" s="1025">
        <v>140</v>
      </c>
      <c r="K27" s="1025">
        <v>55</v>
      </c>
      <c r="L27" s="1025">
        <v>40</v>
      </c>
      <c r="M27" s="1029">
        <v>5676</v>
      </c>
      <c r="N27" s="1029">
        <f t="shared" si="1"/>
        <v>5676</v>
      </c>
      <c r="O27" s="1025">
        <f t="shared" si="2"/>
        <v>1042.7852599999999</v>
      </c>
      <c r="P27" s="1025">
        <f t="shared" si="3"/>
        <v>55.118110236220474</v>
      </c>
      <c r="Q27" s="1025">
        <f t="shared" si="6"/>
        <v>21.653543307086615</v>
      </c>
      <c r="R27" s="1025">
        <f t="shared" si="7"/>
        <v>15.748031496062993</v>
      </c>
      <c r="S27" s="1029">
        <f t="shared" si="4"/>
        <v>315.33333333333331</v>
      </c>
      <c r="T27" s="1029">
        <f t="shared" si="5"/>
        <v>315.33333333333331</v>
      </c>
    </row>
    <row r="28" spans="1:20" x14ac:dyDescent="0.25">
      <c r="A28" s="1011"/>
      <c r="B28" s="1011"/>
      <c r="C28" s="1011" t="s">
        <v>283</v>
      </c>
      <c r="D28" s="976" t="s">
        <v>1326</v>
      </c>
      <c r="E28" s="1011" t="s">
        <v>1328</v>
      </c>
      <c r="F28" s="1011" t="s">
        <v>1327</v>
      </c>
      <c r="G28" s="1011"/>
      <c r="H28" s="1011">
        <v>1</v>
      </c>
      <c r="I28" s="1026">
        <v>308</v>
      </c>
      <c r="J28" s="1026">
        <v>140</v>
      </c>
      <c r="K28" s="1026">
        <v>48</v>
      </c>
      <c r="L28" s="1026">
        <v>30</v>
      </c>
      <c r="M28" s="1012">
        <v>3696</v>
      </c>
      <c r="N28" s="1012">
        <f t="shared" si="1"/>
        <v>3696</v>
      </c>
      <c r="O28" s="1026">
        <f t="shared" si="2"/>
        <v>679.0229599999999</v>
      </c>
      <c r="P28" s="1026">
        <f t="shared" si="3"/>
        <v>55.118110236220474</v>
      </c>
      <c r="Q28" s="1026">
        <f t="shared" si="6"/>
        <v>18.897637795275589</v>
      </c>
      <c r="R28" s="1026">
        <f t="shared" si="7"/>
        <v>11.811023622047244</v>
      </c>
      <c r="S28" s="1012">
        <f t="shared" si="4"/>
        <v>205.33333333333334</v>
      </c>
      <c r="T28" s="1012">
        <f t="shared" si="5"/>
        <v>205.33333333333334</v>
      </c>
    </row>
    <row r="29" spans="1:20" x14ac:dyDescent="0.25">
      <c r="A29" s="1021"/>
      <c r="B29" s="1021"/>
      <c r="C29" s="1021" t="s">
        <v>284</v>
      </c>
      <c r="D29" s="1049" t="s">
        <v>1329</v>
      </c>
      <c r="E29" s="1021" t="s">
        <v>1330</v>
      </c>
      <c r="F29" s="1021" t="s">
        <v>1015</v>
      </c>
      <c r="G29" s="1021"/>
      <c r="H29" s="1021">
        <v>1</v>
      </c>
      <c r="I29" s="1025">
        <v>185</v>
      </c>
      <c r="J29" s="1025">
        <v>70</v>
      </c>
      <c r="K29" s="1025">
        <v>42</v>
      </c>
      <c r="L29" s="1025">
        <v>30</v>
      </c>
      <c r="M29" s="1029">
        <v>2220</v>
      </c>
      <c r="N29" s="1029">
        <f t="shared" si="1"/>
        <v>2220</v>
      </c>
      <c r="O29" s="1025">
        <f t="shared" si="2"/>
        <v>407.85469999999998</v>
      </c>
      <c r="P29" s="1025">
        <f t="shared" si="3"/>
        <v>27.559055118110237</v>
      </c>
      <c r="Q29" s="1025">
        <f t="shared" si="6"/>
        <v>16.535433070866141</v>
      </c>
      <c r="R29" s="1025">
        <f t="shared" si="7"/>
        <v>11.811023622047244</v>
      </c>
      <c r="S29" s="1029">
        <f t="shared" si="4"/>
        <v>123.33333333333333</v>
      </c>
      <c r="T29" s="1029">
        <f t="shared" si="5"/>
        <v>123.33333333333333</v>
      </c>
    </row>
    <row r="30" spans="1:20" x14ac:dyDescent="0.25">
      <c r="A30" s="1011"/>
      <c r="B30" s="1011"/>
      <c r="C30" s="1011" t="s">
        <v>285</v>
      </c>
      <c r="D30" s="976" t="s">
        <v>1331</v>
      </c>
      <c r="E30" s="1011" t="s">
        <v>1333</v>
      </c>
      <c r="F30" s="1011" t="s">
        <v>1332</v>
      </c>
      <c r="G30" s="1011"/>
      <c r="H30" s="1011">
        <v>1</v>
      </c>
      <c r="I30" s="1026">
        <v>285</v>
      </c>
      <c r="J30" s="1026">
        <v>60</v>
      </c>
      <c r="K30" s="1026">
        <v>45</v>
      </c>
      <c r="L30" s="1026">
        <v>38</v>
      </c>
      <c r="M30" s="1012">
        <v>3420</v>
      </c>
      <c r="N30" s="1012">
        <f t="shared" si="1"/>
        <v>3420</v>
      </c>
      <c r="O30" s="1026">
        <f t="shared" si="2"/>
        <v>628.31669999999997</v>
      </c>
      <c r="P30" s="1026">
        <f t="shared" si="3"/>
        <v>23.622047244094489</v>
      </c>
      <c r="Q30" s="1026">
        <f t="shared" si="6"/>
        <v>17.716535433070867</v>
      </c>
      <c r="R30" s="1026">
        <f t="shared" si="7"/>
        <v>14.960629921259843</v>
      </c>
      <c r="S30" s="1012">
        <f t="shared" si="4"/>
        <v>190</v>
      </c>
      <c r="T30" s="1012">
        <f t="shared" si="5"/>
        <v>190</v>
      </c>
    </row>
    <row r="31" spans="1:20" x14ac:dyDescent="0.25">
      <c r="A31" s="1021"/>
      <c r="B31" s="1021"/>
      <c r="C31" s="1021" t="s">
        <v>286</v>
      </c>
      <c r="D31" s="1049" t="s">
        <v>1334</v>
      </c>
      <c r="E31" s="1021" t="s">
        <v>1336</v>
      </c>
      <c r="F31" s="1021" t="s">
        <v>1335</v>
      </c>
      <c r="G31" s="1021"/>
      <c r="H31" s="1021">
        <v>1</v>
      </c>
      <c r="I31" s="1025">
        <v>198</v>
      </c>
      <c r="J31" s="1025">
        <v>80</v>
      </c>
      <c r="K31" s="1025">
        <v>80</v>
      </c>
      <c r="L31" s="1025">
        <v>29</v>
      </c>
      <c r="M31" s="1029">
        <v>2376</v>
      </c>
      <c r="N31" s="1029">
        <f t="shared" si="1"/>
        <v>2376</v>
      </c>
      <c r="O31" s="1025">
        <f t="shared" si="2"/>
        <v>436.51475999999997</v>
      </c>
      <c r="P31" s="1025">
        <f t="shared" si="3"/>
        <v>31.496062992125985</v>
      </c>
      <c r="Q31" s="1025">
        <f t="shared" si="6"/>
        <v>31.496062992125985</v>
      </c>
      <c r="R31" s="1025">
        <f t="shared" si="7"/>
        <v>11.417322834645669</v>
      </c>
      <c r="S31" s="1029">
        <f t="shared" si="4"/>
        <v>132</v>
      </c>
      <c r="T31" s="1029">
        <f t="shared" si="5"/>
        <v>132</v>
      </c>
    </row>
    <row r="32" spans="1:20" x14ac:dyDescent="0.25">
      <c r="A32" s="1011"/>
      <c r="B32" s="1011"/>
      <c r="C32" s="1011" t="s">
        <v>286</v>
      </c>
      <c r="D32" s="976" t="s">
        <v>1337</v>
      </c>
      <c r="E32" s="1011" t="s">
        <v>1338</v>
      </c>
      <c r="F32" s="1011" t="s">
        <v>848</v>
      </c>
      <c r="G32" s="1011"/>
      <c r="H32" s="1011">
        <v>1</v>
      </c>
      <c r="I32" s="1026">
        <v>247</v>
      </c>
      <c r="J32" s="1026">
        <v>66</v>
      </c>
      <c r="K32" s="1026">
        <v>45</v>
      </c>
      <c r="L32" s="1026">
        <v>36</v>
      </c>
      <c r="M32" s="1012">
        <v>2964</v>
      </c>
      <c r="N32" s="1012">
        <f t="shared" si="1"/>
        <v>2964</v>
      </c>
      <c r="O32" s="1026">
        <f t="shared" si="2"/>
        <v>544.54113999999993</v>
      </c>
      <c r="P32" s="1026">
        <f t="shared" si="3"/>
        <v>25.984251968503937</v>
      </c>
      <c r="Q32" s="1026">
        <f t="shared" si="6"/>
        <v>17.716535433070867</v>
      </c>
      <c r="R32" s="1026">
        <f t="shared" si="7"/>
        <v>14.173228346456693</v>
      </c>
      <c r="S32" s="1012">
        <f t="shared" si="4"/>
        <v>164.66666666666666</v>
      </c>
      <c r="T32" s="1012">
        <f t="shared" si="5"/>
        <v>164.66666666666666</v>
      </c>
    </row>
    <row r="33" spans="1:20" x14ac:dyDescent="0.25">
      <c r="A33" s="1021"/>
      <c r="B33" s="1021"/>
      <c r="C33" s="1021" t="s">
        <v>287</v>
      </c>
      <c r="D33" s="1049" t="s">
        <v>1339</v>
      </c>
      <c r="E33" s="1021" t="s">
        <v>1341</v>
      </c>
      <c r="F33" s="1021" t="s">
        <v>1340</v>
      </c>
      <c r="G33" s="1021"/>
      <c r="H33" s="1021">
        <v>1</v>
      </c>
      <c r="I33" s="1025">
        <v>254</v>
      </c>
      <c r="J33" s="1025">
        <v>80</v>
      </c>
      <c r="K33" s="1025">
        <v>50</v>
      </c>
      <c r="L33" s="1025">
        <v>35</v>
      </c>
      <c r="M33" s="1029">
        <v>3048</v>
      </c>
      <c r="N33" s="1029">
        <f t="shared" si="1"/>
        <v>3048</v>
      </c>
      <c r="O33" s="1025">
        <f t="shared" si="2"/>
        <v>559.97348</v>
      </c>
      <c r="P33" s="1025">
        <f t="shared" si="3"/>
        <v>31.496062992125985</v>
      </c>
      <c r="Q33" s="1025">
        <f t="shared" si="6"/>
        <v>19.685039370078741</v>
      </c>
      <c r="R33" s="1025">
        <f t="shared" si="7"/>
        <v>13.779527559055119</v>
      </c>
      <c r="S33" s="1029">
        <f t="shared" si="4"/>
        <v>169.33333333333334</v>
      </c>
      <c r="T33" s="1029">
        <f t="shared" si="5"/>
        <v>169.33333333333334</v>
      </c>
    </row>
    <row r="34" spans="1:20" x14ac:dyDescent="0.25">
      <c r="A34" s="1011"/>
      <c r="B34" s="1011"/>
      <c r="C34" s="1011" t="s">
        <v>286</v>
      </c>
      <c r="D34" s="976" t="s">
        <v>1342</v>
      </c>
      <c r="E34" s="1011" t="s">
        <v>1344</v>
      </c>
      <c r="F34" s="1011" t="s">
        <v>1343</v>
      </c>
      <c r="G34" s="1011"/>
      <c r="H34" s="1011">
        <v>1</v>
      </c>
      <c r="I34" s="1026">
        <v>350</v>
      </c>
      <c r="J34" s="1026"/>
      <c r="K34" s="1026"/>
      <c r="L34" s="1026"/>
      <c r="M34" s="1012">
        <v>3850</v>
      </c>
      <c r="N34" s="1012">
        <f t="shared" si="1"/>
        <v>3850</v>
      </c>
      <c r="O34" s="1026">
        <f t="shared" si="2"/>
        <v>771.61699999999996</v>
      </c>
      <c r="P34" s="1026">
        <f t="shared" si="3"/>
        <v>0</v>
      </c>
      <c r="Q34" s="1026">
        <f t="shared" si="6"/>
        <v>0</v>
      </c>
      <c r="R34" s="1026">
        <f t="shared" si="7"/>
        <v>0</v>
      </c>
      <c r="S34" s="1012">
        <f t="shared" si="4"/>
        <v>213.88888888888889</v>
      </c>
      <c r="T34" s="1012">
        <f t="shared" si="5"/>
        <v>213.88888888888889</v>
      </c>
    </row>
    <row r="35" spans="1:20" x14ac:dyDescent="0.25">
      <c r="A35" s="1021"/>
      <c r="B35" s="1021"/>
      <c r="C35" s="1021" t="s">
        <v>287</v>
      </c>
      <c r="D35" s="1049" t="s">
        <v>1345</v>
      </c>
      <c r="E35" s="1021" t="s">
        <v>1344</v>
      </c>
      <c r="F35" s="1021" t="s">
        <v>1343</v>
      </c>
      <c r="G35" s="1021"/>
      <c r="H35" s="1021">
        <v>1</v>
      </c>
      <c r="I35" s="1025">
        <v>350</v>
      </c>
      <c r="J35" s="1025"/>
      <c r="K35" s="1025"/>
      <c r="L35" s="1025"/>
      <c r="M35" s="1029">
        <v>3850</v>
      </c>
      <c r="N35" s="1029">
        <f t="shared" si="1"/>
        <v>3850</v>
      </c>
      <c r="O35" s="1025">
        <f t="shared" si="2"/>
        <v>771.61699999999996</v>
      </c>
      <c r="P35" s="1025">
        <f t="shared" si="3"/>
        <v>0</v>
      </c>
      <c r="Q35" s="1025">
        <f t="shared" si="6"/>
        <v>0</v>
      </c>
      <c r="R35" s="1025">
        <f t="shared" si="7"/>
        <v>0</v>
      </c>
      <c r="S35" s="1029">
        <f t="shared" si="4"/>
        <v>213.88888888888889</v>
      </c>
      <c r="T35" s="1029">
        <f t="shared" si="5"/>
        <v>213.88888888888889</v>
      </c>
    </row>
    <row r="36" spans="1:20" x14ac:dyDescent="0.25">
      <c r="A36" s="1011"/>
      <c r="B36" s="1011"/>
      <c r="C36" s="1011" t="s">
        <v>335</v>
      </c>
      <c r="D36" s="970" t="s">
        <v>658</v>
      </c>
      <c r="E36" s="1011" t="s">
        <v>647</v>
      </c>
      <c r="F36" s="1011" t="s">
        <v>659</v>
      </c>
      <c r="G36" s="1011"/>
      <c r="H36" s="1011">
        <v>1</v>
      </c>
      <c r="I36" s="1026">
        <v>36</v>
      </c>
      <c r="J36" s="1026">
        <v>90</v>
      </c>
      <c r="K36" s="1026">
        <v>59</v>
      </c>
      <c r="L36" s="1026"/>
      <c r="M36" s="1012">
        <v>4500</v>
      </c>
      <c r="N36" s="1012">
        <f t="shared" si="1"/>
        <v>4500</v>
      </c>
      <c r="O36" s="1026">
        <f t="shared" si="2"/>
        <v>79.366319999999988</v>
      </c>
      <c r="P36" s="1026">
        <f t="shared" si="3"/>
        <v>35.433070866141733</v>
      </c>
      <c r="Q36" s="1026">
        <f t="shared" si="6"/>
        <v>23.228346456692915</v>
      </c>
      <c r="R36" s="1026">
        <f t="shared" si="7"/>
        <v>0</v>
      </c>
      <c r="S36" s="1012">
        <f t="shared" si="4"/>
        <v>250</v>
      </c>
      <c r="T36" s="1012">
        <f t="shared" si="5"/>
        <v>250</v>
      </c>
    </row>
    <row r="37" spans="1:20" x14ac:dyDescent="0.25">
      <c r="A37" s="1021"/>
      <c r="B37" s="1021"/>
      <c r="C37" s="1021" t="s">
        <v>274</v>
      </c>
      <c r="D37" s="1048" t="s">
        <v>1346</v>
      </c>
      <c r="E37" s="1021" t="s">
        <v>342</v>
      </c>
      <c r="F37" s="1021" t="s">
        <v>1347</v>
      </c>
      <c r="G37" s="1021"/>
      <c r="H37" s="1021">
        <v>1</v>
      </c>
      <c r="I37" s="1025">
        <v>295</v>
      </c>
      <c r="J37" s="1025"/>
      <c r="K37" s="1025"/>
      <c r="L37" s="1025"/>
      <c r="M37" s="1029">
        <v>3540</v>
      </c>
      <c r="N37" s="1012">
        <f t="shared" si="1"/>
        <v>3540</v>
      </c>
      <c r="O37" s="1025">
        <f t="shared" si="2"/>
        <v>650.36289999999997</v>
      </c>
      <c r="P37" s="1025">
        <f t="shared" si="3"/>
        <v>0</v>
      </c>
      <c r="Q37" s="1025">
        <f t="shared" si="6"/>
        <v>0</v>
      </c>
      <c r="R37" s="1025">
        <f t="shared" si="7"/>
        <v>0</v>
      </c>
      <c r="S37" s="1029">
        <f t="shared" si="4"/>
        <v>196.66666666666666</v>
      </c>
      <c r="T37" s="1029">
        <f t="shared" si="5"/>
        <v>196.66666666666666</v>
      </c>
    </row>
  </sheetData>
  <conditionalFormatting sqref="D5">
    <cfRule type="containsText" dxfId="1" priority="1" operator="containsText" text="TE">
      <formula>NOT(ISERROR(SEARCH("TE",D5)))</formula>
    </cfRule>
    <cfRule type="containsText" dxfId="0" priority="2" operator="containsText" text="EM">
      <formula>NOT(ISERROR(SEARCH("EM",D5)))</formula>
    </cfRule>
  </conditionalFormatting>
  <dataValidations count="7">
    <dataValidation allowBlank="1" showInputMessage="1" showErrorMessage="1" prompt="Enter a description of the item in this column" sqref="E4" xr:uid="{031EB383-D7A1-4F36-BFF5-A62FD3D3EF92}"/>
    <dataValidation allowBlank="1" showInputMessage="1" showErrorMessage="1" prompt="Enter the unit price of each item in this column" sqref="F4" xr:uid="{9490EC7F-34DF-4D8E-86D1-0618B2D97F84}"/>
    <dataValidation allowBlank="1" showInputMessage="1" showErrorMessage="1" prompt="Enter the quantity in stock for each item in this column" sqref="G4" xr:uid="{0F732956-824E-41B2-AF64-1F8AC750CA82}"/>
    <dataValidation allowBlank="1" showInputMessage="1" showErrorMessage="1" prompt="This is an automated column._x000a__x000a_The inventory value for each item is automatically calculated in this column." sqref="H4" xr:uid="{D6345EA3-C763-4098-8E03-444776BA67A3}"/>
    <dataValidation allowBlank="1" showInputMessage="1" showErrorMessage="1" prompt="Enter the reorder level for each item in this column" sqref="I4" xr:uid="{C2AF98D7-28E0-4CB2-A743-BBEF4B4C59DA}"/>
    <dataValidation allowBlank="1" showInputMessage="1" showErrorMessage="1" prompt="Enter the name of the item in this column" sqref="D4" xr:uid="{8E9EE0F4-D847-46EA-80B5-48829B9F340F}"/>
    <dataValidation allowBlank="1" showInputMessage="1" showErrorMessage="1" prompt="Enter the item inventory ID in this column" sqref="C4" xr:uid="{738392C2-9CFB-4818-8A4B-DC01E1A7A62F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901C-39BE-4E16-8EED-81C2A8444C1D}">
  <sheetPr>
    <tabColor rgb="FF98FB98"/>
  </sheetPr>
  <dimension ref="A1:U204"/>
  <sheetViews>
    <sheetView topLeftCell="A17" zoomScaleNormal="100" workbookViewId="0">
      <selection activeCell="F43" sqref="B43:F43"/>
    </sheetView>
  </sheetViews>
  <sheetFormatPr defaultColWidth="25.75" defaultRowHeight="15" x14ac:dyDescent="0.25"/>
  <cols>
    <col min="1" max="1" width="10" customWidth="1"/>
    <col min="2" max="2" width="37.75" customWidth="1"/>
    <col min="3" max="3" width="19" style="694" bestFit="1" customWidth="1"/>
    <col min="4" max="4" width="8.25" bestFit="1" customWidth="1"/>
    <col min="5" max="5" width="8.125" customWidth="1"/>
    <col min="6" max="6" width="11.875" bestFit="1" customWidth="1"/>
    <col min="7" max="7" width="5.875" customWidth="1"/>
    <col min="8" max="8" width="8.5" customWidth="1"/>
    <col min="9" max="9" width="7.125" customWidth="1"/>
    <col min="10" max="10" width="5.75" customWidth="1"/>
    <col min="11" max="11" width="6" style="692" customWidth="1"/>
    <col min="12" max="12" width="12.75" customWidth="1"/>
    <col min="13" max="13" width="11.875" customWidth="1"/>
    <col min="14" max="14" width="3.75" style="486" customWidth="1"/>
    <col min="15" max="15" width="10" style="486" customWidth="1"/>
    <col min="16" max="16" width="6" style="486" customWidth="1"/>
    <col min="17" max="17" width="9.125" style="486" customWidth="1"/>
    <col min="18" max="18" width="19.375" customWidth="1"/>
    <col min="19" max="19" width="13.375" customWidth="1"/>
    <col min="20" max="20" width="5.625" customWidth="1"/>
    <col min="21" max="21" width="13.375" customWidth="1"/>
    <col min="22" max="22" width="5.625" customWidth="1"/>
  </cols>
  <sheetData>
    <row r="1" spans="1:21" x14ac:dyDescent="0.25">
      <c r="A1" s="688"/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</row>
    <row r="2" spans="1:21" s="485" customFormat="1" ht="23.25" x14ac:dyDescent="0.3">
      <c r="A2" s="685" t="s">
        <v>557</v>
      </c>
      <c r="B2" s="686" t="s">
        <v>558</v>
      </c>
      <c r="C2" s="859"/>
      <c r="D2" s="688"/>
      <c r="E2" s="688"/>
      <c r="F2" s="688"/>
      <c r="G2" s="688"/>
      <c r="H2" s="861"/>
      <c r="I2" s="861"/>
      <c r="J2" s="861"/>
      <c r="K2" s="861"/>
      <c r="L2" s="861"/>
      <c r="M2" s="861"/>
      <c r="N2" s="861"/>
      <c r="O2" s="864" t="s">
        <v>0</v>
      </c>
      <c r="P2" s="864"/>
      <c r="Q2" s="864"/>
      <c r="R2" s="865">
        <f>SUM(M5:M204)</f>
        <v>1470629.5</v>
      </c>
      <c r="S2" s="860"/>
    </row>
    <row r="3" spans="1:21" x14ac:dyDescent="0.25">
      <c r="A3" s="688"/>
      <c r="B3" s="688"/>
      <c r="C3" s="687"/>
      <c r="D3" s="688"/>
      <c r="E3" s="688"/>
      <c r="F3" s="688"/>
      <c r="G3" s="688"/>
      <c r="H3" s="688"/>
      <c r="I3" s="688"/>
      <c r="J3" s="688"/>
      <c r="K3" s="862"/>
      <c r="L3" s="688"/>
      <c r="M3" s="688"/>
      <c r="N3" s="863"/>
      <c r="O3" s="863"/>
      <c r="P3" s="863"/>
      <c r="Q3" s="863"/>
      <c r="R3" s="688"/>
      <c r="S3" s="688"/>
    </row>
    <row r="4" spans="1:21" s="689" customFormat="1" ht="24" customHeight="1" thickBot="1" x14ac:dyDescent="0.3">
      <c r="A4" s="870" t="s">
        <v>559</v>
      </c>
      <c r="B4" s="871" t="s">
        <v>560</v>
      </c>
      <c r="C4" s="871" t="s">
        <v>561</v>
      </c>
      <c r="D4" s="871" t="s">
        <v>1</v>
      </c>
      <c r="E4" s="871" t="s">
        <v>562</v>
      </c>
      <c r="F4" s="871" t="s">
        <v>2</v>
      </c>
      <c r="G4" s="871" t="s">
        <v>563</v>
      </c>
      <c r="H4" s="871" t="s">
        <v>564</v>
      </c>
      <c r="I4" s="871" t="s">
        <v>565</v>
      </c>
      <c r="J4" s="871" t="s">
        <v>566</v>
      </c>
      <c r="K4" s="871" t="s">
        <v>567</v>
      </c>
      <c r="L4" s="871" t="s">
        <v>568</v>
      </c>
      <c r="M4" s="872" t="s">
        <v>569</v>
      </c>
      <c r="N4" s="866" t="s">
        <v>570</v>
      </c>
      <c r="O4" s="867" t="s">
        <v>571</v>
      </c>
      <c r="P4" s="867" t="s">
        <v>572</v>
      </c>
      <c r="Q4" s="867" t="s">
        <v>573</v>
      </c>
      <c r="R4" s="868" t="s">
        <v>574</v>
      </c>
      <c r="S4" s="869" t="s">
        <v>575</v>
      </c>
    </row>
    <row r="5" spans="1:21" x14ac:dyDescent="0.25">
      <c r="A5" s="690"/>
      <c r="B5" t="s">
        <v>374</v>
      </c>
      <c r="C5" s="968" t="s">
        <v>576</v>
      </c>
      <c r="D5" t="s">
        <v>577</v>
      </c>
      <c r="E5" t="s">
        <v>578</v>
      </c>
      <c r="F5" s="691">
        <v>5320</v>
      </c>
      <c r="G5">
        <v>1</v>
      </c>
      <c r="H5">
        <v>44</v>
      </c>
      <c r="I5">
        <v>150</v>
      </c>
      <c r="J5">
        <v>60</v>
      </c>
      <c r="K5" s="692">
        <v>10</v>
      </c>
      <c r="L5" s="693">
        <v>8550</v>
      </c>
      <c r="M5" s="693">
        <f>Table623[[#This Row],[Per piece Pesos]]*Table623[[#This Row],[Quantity]]</f>
        <v>8550</v>
      </c>
      <c r="N5" s="486">
        <v>97.00327999999999</v>
      </c>
      <c r="O5" s="486">
        <v>59.055118110236222</v>
      </c>
      <c r="P5" s="486">
        <v>23.622047244094489</v>
      </c>
      <c r="Q5" s="486">
        <v>3.9370078740157481</v>
      </c>
      <c r="R5" s="693">
        <v>475</v>
      </c>
      <c r="S5" s="693">
        <f>Table623[[#This Row],[Per Piece US$]]*Table623[[#This Row],[Quantity]]</f>
        <v>475</v>
      </c>
    </row>
    <row r="6" spans="1:21" x14ac:dyDescent="0.25">
      <c r="B6" t="s">
        <v>374</v>
      </c>
      <c r="C6" s="968" t="s">
        <v>579</v>
      </c>
      <c r="D6" t="s">
        <v>580</v>
      </c>
      <c r="E6" t="s">
        <v>581</v>
      </c>
      <c r="F6" s="691">
        <v>6024</v>
      </c>
      <c r="G6">
        <v>1</v>
      </c>
      <c r="H6">
        <v>49</v>
      </c>
      <c r="I6">
        <v>173</v>
      </c>
      <c r="J6">
        <v>60</v>
      </c>
      <c r="K6" s="692">
        <v>10</v>
      </c>
      <c r="L6" s="693">
        <v>9684</v>
      </c>
      <c r="M6" s="693">
        <f>Table623[[#This Row],[Per piece Pesos]]*Table623[[#This Row],[Quantity]]</f>
        <v>9684</v>
      </c>
      <c r="N6" s="486">
        <v>108.02637999999999</v>
      </c>
      <c r="O6" s="486">
        <v>68.110236220472444</v>
      </c>
      <c r="P6" s="486">
        <v>23.622047244094489</v>
      </c>
      <c r="Q6" s="486">
        <v>3.9370078740157481</v>
      </c>
      <c r="R6" s="693">
        <v>538</v>
      </c>
      <c r="S6" s="693">
        <f>Table623[[#This Row],[Per Piece US$]]*Table623[[#This Row],[Quantity]]</f>
        <v>538</v>
      </c>
    </row>
    <row r="7" spans="1:21" x14ac:dyDescent="0.25">
      <c r="B7" t="s">
        <v>375</v>
      </c>
      <c r="C7" s="968" t="s">
        <v>582</v>
      </c>
      <c r="D7" t="s">
        <v>583</v>
      </c>
      <c r="E7" t="s">
        <v>584</v>
      </c>
      <c r="F7" s="691">
        <v>5760</v>
      </c>
      <c r="G7">
        <v>1</v>
      </c>
      <c r="H7">
        <v>48</v>
      </c>
      <c r="I7">
        <v>166</v>
      </c>
      <c r="J7">
        <v>60</v>
      </c>
      <c r="K7" s="692">
        <v>10</v>
      </c>
      <c r="L7" s="693">
        <v>9250</v>
      </c>
      <c r="M7" s="693">
        <f>Table623[[#This Row],[Per piece Pesos]]*Table623[[#This Row],[Quantity]]</f>
        <v>9250</v>
      </c>
      <c r="N7" s="486">
        <v>105.82175999999998</v>
      </c>
      <c r="O7" s="486">
        <v>65.354330708661422</v>
      </c>
      <c r="P7" s="486">
        <v>23.622047244094489</v>
      </c>
      <c r="Q7" s="486">
        <v>3.9370078740157481</v>
      </c>
      <c r="R7" s="693">
        <v>514</v>
      </c>
      <c r="S7" s="693">
        <f>Table623[[#This Row],[Per Piece US$]]*Table623[[#This Row],[Quantity]]</f>
        <v>514</v>
      </c>
    </row>
    <row r="8" spans="1:21" x14ac:dyDescent="0.25">
      <c r="B8" t="s">
        <v>376</v>
      </c>
      <c r="C8" s="968" t="s">
        <v>585</v>
      </c>
      <c r="D8" t="s">
        <v>586</v>
      </c>
      <c r="E8" t="s">
        <v>587</v>
      </c>
      <c r="F8" s="691">
        <v>6128</v>
      </c>
      <c r="G8">
        <v>1</v>
      </c>
      <c r="H8">
        <v>50</v>
      </c>
      <c r="I8">
        <v>177</v>
      </c>
      <c r="J8">
        <v>60</v>
      </c>
      <c r="K8" s="692">
        <v>10</v>
      </c>
      <c r="L8" s="693">
        <v>9840</v>
      </c>
      <c r="M8" s="693">
        <f>Table623[[#This Row],[Per piece Pesos]]*Table623[[#This Row],[Quantity]]</f>
        <v>9840</v>
      </c>
      <c r="N8" s="486">
        <v>110.23099999999999</v>
      </c>
      <c r="O8" s="486">
        <v>69.685039370078741</v>
      </c>
      <c r="P8" s="486">
        <v>23.622047244094489</v>
      </c>
      <c r="Q8" s="486">
        <v>3.9370078740157481</v>
      </c>
      <c r="R8" s="693">
        <v>547</v>
      </c>
      <c r="S8" s="693">
        <f>Table623[[#This Row],[Per Piece US$]]*Table623[[#This Row],[Quantity]]</f>
        <v>547</v>
      </c>
    </row>
    <row r="9" spans="1:21" x14ac:dyDescent="0.25">
      <c r="B9" t="s">
        <v>374</v>
      </c>
      <c r="C9" s="968" t="s">
        <v>588</v>
      </c>
      <c r="D9" t="s">
        <v>589</v>
      </c>
      <c r="E9" t="s">
        <v>590</v>
      </c>
      <c r="F9" s="691">
        <v>6096</v>
      </c>
      <c r="G9">
        <v>1</v>
      </c>
      <c r="H9">
        <v>50</v>
      </c>
      <c r="I9">
        <v>175</v>
      </c>
      <c r="J9">
        <v>60</v>
      </c>
      <c r="K9" s="692">
        <v>10</v>
      </c>
      <c r="L9" s="693">
        <v>9792</v>
      </c>
      <c r="M9" s="693">
        <f>Table623[[#This Row],[Per piece Pesos]]*Table623[[#This Row],[Quantity]]</f>
        <v>9792</v>
      </c>
      <c r="N9" s="486">
        <v>110.23099999999999</v>
      </c>
      <c r="O9" s="486">
        <v>68.897637795275585</v>
      </c>
      <c r="P9" s="486">
        <v>23.622047244094489</v>
      </c>
      <c r="Q9" s="486">
        <v>3.9370078740157481</v>
      </c>
      <c r="R9" s="693">
        <v>544</v>
      </c>
      <c r="S9" s="693">
        <f>Table623[[#This Row],[Per Piece US$]]*Table623[[#This Row],[Quantity]]</f>
        <v>544</v>
      </c>
    </row>
    <row r="10" spans="1:21" x14ac:dyDescent="0.25">
      <c r="B10" t="s">
        <v>374</v>
      </c>
      <c r="C10" s="968" t="s">
        <v>591</v>
      </c>
      <c r="D10" t="s">
        <v>592</v>
      </c>
      <c r="E10" t="s">
        <v>593</v>
      </c>
      <c r="F10" s="691">
        <v>6272</v>
      </c>
      <c r="G10">
        <v>1</v>
      </c>
      <c r="H10">
        <v>51</v>
      </c>
      <c r="I10">
        <v>180</v>
      </c>
      <c r="J10">
        <v>60</v>
      </c>
      <c r="K10" s="692">
        <v>10</v>
      </c>
      <c r="L10" s="693">
        <v>10073</v>
      </c>
      <c r="M10" s="693">
        <f>Table623[[#This Row],[Per piece Pesos]]*Table623[[#This Row],[Quantity]]</f>
        <v>10073</v>
      </c>
      <c r="N10" s="486">
        <v>112.43561999999999</v>
      </c>
      <c r="O10" s="486">
        <v>70.866141732283467</v>
      </c>
      <c r="P10" s="486">
        <v>23.622047244094489</v>
      </c>
      <c r="Q10" s="486">
        <v>3.9370078740157481</v>
      </c>
      <c r="R10" s="693">
        <v>560</v>
      </c>
      <c r="S10" s="693">
        <f>Table623[[#This Row],[Per Piece US$]]*Table623[[#This Row],[Quantity]]</f>
        <v>560</v>
      </c>
    </row>
    <row r="11" spans="1:21" x14ac:dyDescent="0.25">
      <c r="B11" t="s">
        <v>374</v>
      </c>
      <c r="C11" s="968" t="s">
        <v>594</v>
      </c>
      <c r="D11" t="s">
        <v>595</v>
      </c>
      <c r="E11" t="s">
        <v>596</v>
      </c>
      <c r="F11" s="691">
        <v>5264</v>
      </c>
      <c r="G11">
        <v>1</v>
      </c>
      <c r="H11">
        <v>43</v>
      </c>
      <c r="I11">
        <v>144</v>
      </c>
      <c r="J11">
        <v>60</v>
      </c>
      <c r="K11" s="692">
        <v>10</v>
      </c>
      <c r="L11" s="693">
        <v>8461</v>
      </c>
      <c r="M11" s="693">
        <f>Table623[[#This Row],[Per piece Pesos]]*Table623[[#This Row],[Quantity]]</f>
        <v>8461</v>
      </c>
      <c r="N11" s="486">
        <v>94.798659999999998</v>
      </c>
      <c r="O11" s="486">
        <v>56.69291338582677</v>
      </c>
      <c r="P11" s="486">
        <v>23.622047244094489</v>
      </c>
      <c r="Q11" s="486">
        <v>3.9370078740157481</v>
      </c>
      <c r="R11" s="693">
        <v>470</v>
      </c>
      <c r="S11" s="693">
        <f>Table623[[#This Row],[Per Piece US$]]*Table623[[#This Row],[Quantity]]</f>
        <v>470</v>
      </c>
    </row>
    <row r="12" spans="1:21" x14ac:dyDescent="0.25">
      <c r="B12" t="s">
        <v>374</v>
      </c>
      <c r="C12" s="968" t="s">
        <v>597</v>
      </c>
      <c r="D12" t="s">
        <v>598</v>
      </c>
      <c r="E12" t="s">
        <v>599</v>
      </c>
      <c r="F12" s="691">
        <v>5792</v>
      </c>
      <c r="G12">
        <v>1</v>
      </c>
      <c r="H12">
        <v>47</v>
      </c>
      <c r="I12">
        <v>162</v>
      </c>
      <c r="J12">
        <v>60</v>
      </c>
      <c r="K12" s="692">
        <v>10</v>
      </c>
      <c r="L12" s="693">
        <v>9300</v>
      </c>
      <c r="M12" s="693">
        <f>Table623[[#This Row],[Per piece Pesos]]*Table623[[#This Row],[Quantity]]</f>
        <v>9300</v>
      </c>
      <c r="N12" s="486">
        <v>103.61713999999999</v>
      </c>
      <c r="O12" s="486">
        <v>63.779527559055119</v>
      </c>
      <c r="P12" s="486">
        <v>23.622047244094489</v>
      </c>
      <c r="Q12" s="486">
        <v>3.9370078740157481</v>
      </c>
      <c r="R12" s="693">
        <v>517</v>
      </c>
      <c r="S12" s="693">
        <f>Table623[[#This Row],[Per Piece US$]]*Table623[[#This Row],[Quantity]]</f>
        <v>517</v>
      </c>
    </row>
    <row r="13" spans="1:21" x14ac:dyDescent="0.25">
      <c r="B13" t="s">
        <v>375</v>
      </c>
      <c r="C13" s="968" t="s">
        <v>600</v>
      </c>
      <c r="D13" t="s">
        <v>592</v>
      </c>
      <c r="E13" t="s">
        <v>593</v>
      </c>
      <c r="F13" s="691">
        <v>6272</v>
      </c>
      <c r="G13">
        <v>1</v>
      </c>
      <c r="H13">
        <v>51</v>
      </c>
      <c r="I13">
        <v>180</v>
      </c>
      <c r="J13">
        <v>60</v>
      </c>
      <c r="K13" s="692">
        <v>10</v>
      </c>
      <c r="L13" s="693">
        <v>10073</v>
      </c>
      <c r="M13" s="693">
        <f>Table623[[#This Row],[Per piece Pesos]]*Table623[[#This Row],[Quantity]]</f>
        <v>10073</v>
      </c>
      <c r="N13" s="486">
        <v>112.43561999999999</v>
      </c>
      <c r="O13" s="486">
        <v>70.866141732283467</v>
      </c>
      <c r="P13" s="486">
        <v>23.622047244094489</v>
      </c>
      <c r="Q13" s="486">
        <v>3.9370078740157481</v>
      </c>
      <c r="R13" s="693">
        <v>560</v>
      </c>
      <c r="S13" s="693">
        <f>Table623[[#This Row],[Per Piece US$]]*Table623[[#This Row],[Quantity]]</f>
        <v>560</v>
      </c>
    </row>
    <row r="14" spans="1:21" x14ac:dyDescent="0.25">
      <c r="B14" t="s">
        <v>374</v>
      </c>
      <c r="C14" s="968" t="s">
        <v>601</v>
      </c>
      <c r="D14" t="s">
        <v>592</v>
      </c>
      <c r="E14" t="s">
        <v>593</v>
      </c>
      <c r="F14" s="691">
        <v>6272</v>
      </c>
      <c r="G14">
        <v>1</v>
      </c>
      <c r="H14">
        <v>51</v>
      </c>
      <c r="I14">
        <v>180</v>
      </c>
      <c r="J14">
        <v>60</v>
      </c>
      <c r="K14" s="692">
        <v>10</v>
      </c>
      <c r="L14" s="693">
        <v>10073</v>
      </c>
      <c r="M14" s="693">
        <f>Table623[[#This Row],[Per piece Pesos]]*Table623[[#This Row],[Quantity]]</f>
        <v>10073</v>
      </c>
      <c r="N14" s="486">
        <v>112.43561999999999</v>
      </c>
      <c r="O14" s="486">
        <v>70.866141732283467</v>
      </c>
      <c r="P14" s="486">
        <v>23.622047244094489</v>
      </c>
      <c r="Q14" s="486">
        <v>3.9370078740157481</v>
      </c>
      <c r="R14" s="693">
        <v>560</v>
      </c>
      <c r="S14" s="693">
        <f>Table623[[#This Row],[Per Piece US$]]*Table623[[#This Row],[Quantity]]</f>
        <v>560</v>
      </c>
    </row>
    <row r="15" spans="1:21" x14ac:dyDescent="0.25">
      <c r="B15" t="s">
        <v>374</v>
      </c>
      <c r="C15" s="968" t="s">
        <v>602</v>
      </c>
      <c r="D15" t="s">
        <v>603</v>
      </c>
      <c r="E15" t="s">
        <v>604</v>
      </c>
      <c r="F15" s="691">
        <v>5992</v>
      </c>
      <c r="G15">
        <v>1</v>
      </c>
      <c r="H15">
        <v>49</v>
      </c>
      <c r="I15">
        <v>172</v>
      </c>
      <c r="J15">
        <v>60</v>
      </c>
      <c r="K15" s="692">
        <v>10</v>
      </c>
      <c r="L15" s="693">
        <v>9628</v>
      </c>
      <c r="M15" s="693">
        <f>Table623[[#This Row],[Per piece Pesos]]*Table623[[#This Row],[Quantity]]</f>
        <v>9628</v>
      </c>
      <c r="N15" s="486">
        <v>108.02637999999999</v>
      </c>
      <c r="O15" s="486">
        <v>67.71653543307086</v>
      </c>
      <c r="P15" s="486">
        <v>23.622047244094489</v>
      </c>
      <c r="Q15" s="486">
        <v>3.9370078740157481</v>
      </c>
      <c r="R15" s="693">
        <v>535</v>
      </c>
      <c r="S15" s="693">
        <f>Table623[[#This Row],[Per Piece US$]]*Table623[[#This Row],[Quantity]]</f>
        <v>535</v>
      </c>
    </row>
    <row r="16" spans="1:21" x14ac:dyDescent="0.25">
      <c r="B16" t="s">
        <v>375</v>
      </c>
      <c r="C16" s="968" t="s">
        <v>605</v>
      </c>
      <c r="D16" t="s">
        <v>606</v>
      </c>
      <c r="E16" t="s">
        <v>607</v>
      </c>
      <c r="F16" s="691">
        <v>5928</v>
      </c>
      <c r="G16">
        <v>1</v>
      </c>
      <c r="H16">
        <v>49</v>
      </c>
      <c r="I16">
        <v>170</v>
      </c>
      <c r="J16">
        <v>60</v>
      </c>
      <c r="K16" s="692">
        <v>10</v>
      </c>
      <c r="L16" s="693">
        <v>9516</v>
      </c>
      <c r="M16" s="693">
        <f>Table623[[#This Row],[Per piece Pesos]]*Table623[[#This Row],[Quantity]]</f>
        <v>9516</v>
      </c>
      <c r="N16" s="486">
        <v>108.02637999999999</v>
      </c>
      <c r="O16" s="486">
        <v>66.929133858267718</v>
      </c>
      <c r="P16" s="486">
        <v>23.622047244094489</v>
      </c>
      <c r="Q16" s="486">
        <v>3.9370078740157481</v>
      </c>
      <c r="R16" s="693">
        <v>529</v>
      </c>
      <c r="S16" s="693">
        <f>Table623[[#This Row],[Per Piece US$]]*Table623[[#This Row],[Quantity]]</f>
        <v>529</v>
      </c>
      <c r="U16" s="693"/>
    </row>
    <row r="17" spans="2:21" x14ac:dyDescent="0.25">
      <c r="B17" t="s">
        <v>377</v>
      </c>
      <c r="C17" s="969" t="s">
        <v>608</v>
      </c>
      <c r="D17" t="s">
        <v>609</v>
      </c>
      <c r="E17" t="s">
        <v>610</v>
      </c>
      <c r="F17" s="691">
        <v>1240</v>
      </c>
      <c r="G17">
        <v>10</v>
      </c>
      <c r="I17">
        <v>30</v>
      </c>
      <c r="J17">
        <v>15</v>
      </c>
      <c r="K17" s="692">
        <v>15</v>
      </c>
      <c r="L17" s="693">
        <v>2000</v>
      </c>
      <c r="M17" s="693">
        <f>Table623[[#This Row],[Per piece Pesos]]*Table623[[#This Row],[Quantity]]</f>
        <v>20000</v>
      </c>
      <c r="O17" s="486">
        <v>11.811023622047244</v>
      </c>
      <c r="P17" s="486">
        <v>5.9055118110236222</v>
      </c>
      <c r="Q17" s="486">
        <v>5.9055118110236222</v>
      </c>
      <c r="R17" s="693">
        <v>111</v>
      </c>
      <c r="S17" s="693">
        <f>Table623[[#This Row],[Per Piece US$]]*Table623[[#This Row],[Quantity]]</f>
        <v>1110</v>
      </c>
    </row>
    <row r="18" spans="2:21" x14ac:dyDescent="0.25">
      <c r="B18" t="s">
        <v>377</v>
      </c>
      <c r="C18" s="969" t="s">
        <v>611</v>
      </c>
      <c r="D18" t="s">
        <v>612</v>
      </c>
      <c r="E18" t="s">
        <v>613</v>
      </c>
      <c r="F18" s="691">
        <v>1600</v>
      </c>
      <c r="G18">
        <v>10</v>
      </c>
      <c r="I18">
        <v>40</v>
      </c>
      <c r="J18">
        <v>15</v>
      </c>
      <c r="K18" s="692">
        <v>15</v>
      </c>
      <c r="L18" s="693">
        <v>2570</v>
      </c>
      <c r="M18" s="693">
        <f>Table623[[#This Row],[Per piece Pesos]]*Table623[[#This Row],[Quantity]]</f>
        <v>25700</v>
      </c>
      <c r="O18" s="486">
        <v>15.748031496062993</v>
      </c>
      <c r="P18" s="486">
        <v>5.9055118110236222</v>
      </c>
      <c r="Q18" s="486">
        <v>5.9055118110236222</v>
      </c>
      <c r="R18" s="693">
        <v>143</v>
      </c>
      <c r="S18" s="693">
        <f>Table623[[#This Row],[Per Piece US$]]*Table623[[#This Row],[Quantity]]</f>
        <v>1430</v>
      </c>
    </row>
    <row r="19" spans="2:21" x14ac:dyDescent="0.25">
      <c r="B19" t="s">
        <v>378</v>
      </c>
      <c r="C19" s="969" t="s">
        <v>614</v>
      </c>
      <c r="D19" t="s">
        <v>615</v>
      </c>
      <c r="E19" t="s">
        <v>616</v>
      </c>
      <c r="F19" s="691">
        <v>1632</v>
      </c>
      <c r="G19">
        <v>2</v>
      </c>
      <c r="I19">
        <v>20</v>
      </c>
      <c r="J19">
        <v>20</v>
      </c>
      <c r="K19" s="692">
        <v>20</v>
      </c>
      <c r="L19" s="693">
        <v>2630</v>
      </c>
      <c r="M19" s="693">
        <f>Table623[[#This Row],[Per piece Pesos]]*Table623[[#This Row],[Quantity]]</f>
        <v>5260</v>
      </c>
      <c r="O19" s="486">
        <v>7.8740157480314963</v>
      </c>
      <c r="P19" s="486">
        <v>7.8740157480314963</v>
      </c>
      <c r="Q19" s="486">
        <v>7.8740157480314963</v>
      </c>
      <c r="R19" s="693">
        <v>146</v>
      </c>
      <c r="S19" s="693">
        <f>Table623[[#This Row],[Per Piece US$]]*Table623[[#This Row],[Quantity]]</f>
        <v>292</v>
      </c>
    </row>
    <row r="20" spans="2:21" x14ac:dyDescent="0.25">
      <c r="B20" t="s">
        <v>379</v>
      </c>
      <c r="C20" s="969" t="s">
        <v>617</v>
      </c>
      <c r="D20" t="s">
        <v>618</v>
      </c>
      <c r="E20" t="s">
        <v>619</v>
      </c>
      <c r="F20" s="691">
        <v>2880</v>
      </c>
      <c r="G20">
        <v>1</v>
      </c>
      <c r="I20">
        <v>130</v>
      </c>
      <c r="J20">
        <v>30</v>
      </c>
      <c r="K20" s="692">
        <v>30</v>
      </c>
      <c r="L20" s="693">
        <v>4625</v>
      </c>
      <c r="M20" s="693">
        <f>Table623[[#This Row],[Per piece Pesos]]*Table623[[#This Row],[Quantity]]</f>
        <v>4625</v>
      </c>
      <c r="O20" s="486">
        <v>51.181102362204726</v>
      </c>
      <c r="P20" s="486">
        <v>11.811023622047244</v>
      </c>
      <c r="Q20" s="486">
        <v>11.811023622047244</v>
      </c>
      <c r="R20" s="693">
        <v>257</v>
      </c>
      <c r="S20" s="693">
        <f>Table623[[#This Row],[Per Piece US$]]*Table623[[#This Row],[Quantity]]</f>
        <v>257</v>
      </c>
    </row>
    <row r="21" spans="2:21" x14ac:dyDescent="0.25">
      <c r="B21" t="s">
        <v>379</v>
      </c>
      <c r="C21" s="969" t="s">
        <v>620</v>
      </c>
      <c r="D21" t="s">
        <v>621</v>
      </c>
      <c r="E21" t="s">
        <v>622</v>
      </c>
      <c r="F21" s="691">
        <v>3072</v>
      </c>
      <c r="G21">
        <v>1</v>
      </c>
      <c r="I21">
        <v>140</v>
      </c>
      <c r="J21">
        <v>30</v>
      </c>
      <c r="K21" s="692">
        <v>30</v>
      </c>
      <c r="L21" s="693">
        <v>4925</v>
      </c>
      <c r="M21" s="693">
        <f>Table623[[#This Row],[Per piece Pesos]]*Table623[[#This Row],[Quantity]]</f>
        <v>4925</v>
      </c>
      <c r="O21" s="486">
        <v>55.118110236220474</v>
      </c>
      <c r="P21" s="486">
        <v>11.811023622047244</v>
      </c>
      <c r="Q21" s="486">
        <v>11.811023622047244</v>
      </c>
      <c r="R21" s="693">
        <v>274</v>
      </c>
      <c r="S21" s="693">
        <f>Table623[[#This Row],[Per Piece US$]]*Table623[[#This Row],[Quantity]]</f>
        <v>274</v>
      </c>
    </row>
    <row r="22" spans="2:21" x14ac:dyDescent="0.25">
      <c r="B22" t="s">
        <v>379</v>
      </c>
      <c r="C22" s="969" t="s">
        <v>623</v>
      </c>
      <c r="D22" t="s">
        <v>624</v>
      </c>
      <c r="E22" t="s">
        <v>625</v>
      </c>
      <c r="F22" s="691">
        <v>3248</v>
      </c>
      <c r="G22">
        <v>1</v>
      </c>
      <c r="I22">
        <v>150</v>
      </c>
      <c r="J22">
        <v>30</v>
      </c>
      <c r="K22" s="692">
        <v>30</v>
      </c>
      <c r="L22" s="693">
        <v>5225</v>
      </c>
      <c r="M22" s="693">
        <f>Table623[[#This Row],[Per piece Pesos]]*Table623[[#This Row],[Quantity]]</f>
        <v>5225</v>
      </c>
      <c r="O22" s="486">
        <v>59.055118110236222</v>
      </c>
      <c r="P22" s="486">
        <v>11.811023622047244</v>
      </c>
      <c r="Q22" s="486">
        <v>11.811023622047244</v>
      </c>
      <c r="R22" s="693">
        <v>290</v>
      </c>
      <c r="S22" s="693">
        <f>Table623[[#This Row],[Per Piece US$]]*Table623[[#This Row],[Quantity]]</f>
        <v>290</v>
      </c>
    </row>
    <row r="23" spans="2:21" x14ac:dyDescent="0.25">
      <c r="B23" t="s">
        <v>380</v>
      </c>
      <c r="C23" s="969" t="s">
        <v>626</v>
      </c>
      <c r="D23" t="s">
        <v>627</v>
      </c>
      <c r="E23" t="s">
        <v>628</v>
      </c>
      <c r="F23" s="691">
        <v>2512</v>
      </c>
      <c r="G23">
        <v>1</v>
      </c>
      <c r="I23">
        <v>135</v>
      </c>
      <c r="J23">
        <v>25</v>
      </c>
      <c r="K23" s="692">
        <v>25</v>
      </c>
      <c r="L23" s="693">
        <v>4025</v>
      </c>
      <c r="M23" s="693">
        <f>Table623[[#This Row],[Per piece Pesos]]*Table623[[#This Row],[Quantity]]</f>
        <v>4025</v>
      </c>
      <c r="O23" s="486">
        <v>53.1496062992126</v>
      </c>
      <c r="P23" s="486">
        <v>9.8425196850393704</v>
      </c>
      <c r="Q23" s="486">
        <v>9.8425196850393704</v>
      </c>
      <c r="R23" s="693">
        <v>224</v>
      </c>
      <c r="S23" s="693">
        <f>Table623[[#This Row],[Per Piece US$]]*Table623[[#This Row],[Quantity]]</f>
        <v>224</v>
      </c>
    </row>
    <row r="24" spans="2:21" x14ac:dyDescent="0.25">
      <c r="B24" t="s">
        <v>380</v>
      </c>
      <c r="C24" s="969" t="s">
        <v>629</v>
      </c>
      <c r="D24" t="s">
        <v>630</v>
      </c>
      <c r="E24" t="s">
        <v>631</v>
      </c>
      <c r="F24" s="691">
        <v>2432</v>
      </c>
      <c r="G24">
        <v>1</v>
      </c>
      <c r="I24">
        <v>130</v>
      </c>
      <c r="J24">
        <v>25</v>
      </c>
      <c r="K24" s="692">
        <v>25</v>
      </c>
      <c r="L24" s="693">
        <v>3900</v>
      </c>
      <c r="M24" s="693">
        <f>Table623[[#This Row],[Per piece Pesos]]*Table623[[#This Row],[Quantity]]</f>
        <v>3900</v>
      </c>
      <c r="O24" s="486">
        <v>51.181102362204726</v>
      </c>
      <c r="P24" s="486">
        <v>9.8425196850393704</v>
      </c>
      <c r="Q24" s="486">
        <v>9.8425196850393704</v>
      </c>
      <c r="R24" s="693">
        <v>217</v>
      </c>
      <c r="S24" s="693">
        <f>Table623[[#This Row],[Per Piece US$]]*Table623[[#This Row],[Quantity]]</f>
        <v>217</v>
      </c>
    </row>
    <row r="25" spans="2:21" x14ac:dyDescent="0.25">
      <c r="B25" t="s">
        <v>380</v>
      </c>
      <c r="C25" s="969" t="s">
        <v>632</v>
      </c>
      <c r="D25" t="s">
        <v>622</v>
      </c>
      <c r="E25" t="s">
        <v>633</v>
      </c>
      <c r="F25" s="691">
        <v>2192</v>
      </c>
      <c r="G25">
        <v>1</v>
      </c>
      <c r="I25">
        <v>115</v>
      </c>
      <c r="J25">
        <v>25</v>
      </c>
      <c r="K25" s="692">
        <v>25</v>
      </c>
      <c r="L25" s="693">
        <v>3525</v>
      </c>
      <c r="M25" s="693">
        <f>Table623[[#This Row],[Per piece Pesos]]*Table623[[#This Row],[Quantity]]</f>
        <v>3525</v>
      </c>
      <c r="O25" s="486">
        <v>45.275590551181104</v>
      </c>
      <c r="P25" s="486">
        <v>9.8425196850393704</v>
      </c>
      <c r="Q25" s="486">
        <v>9.8425196850393704</v>
      </c>
      <c r="R25" s="693">
        <v>196</v>
      </c>
      <c r="S25" s="693">
        <f>Table623[[#This Row],[Per Piece US$]]*Table623[[#This Row],[Quantity]]</f>
        <v>196</v>
      </c>
      <c r="U25" s="693"/>
    </row>
    <row r="26" spans="2:21" x14ac:dyDescent="0.25">
      <c r="B26" t="s">
        <v>327</v>
      </c>
      <c r="C26" s="970" t="s">
        <v>634</v>
      </c>
      <c r="D26" t="s">
        <v>635</v>
      </c>
      <c r="E26" t="s">
        <v>636</v>
      </c>
      <c r="F26" s="691">
        <v>3168</v>
      </c>
      <c r="G26">
        <v>9</v>
      </c>
      <c r="H26">
        <v>30</v>
      </c>
      <c r="I26">
        <v>150</v>
      </c>
      <c r="J26">
        <v>80</v>
      </c>
      <c r="K26" s="692">
        <v>10</v>
      </c>
      <c r="L26" s="693">
        <v>5100</v>
      </c>
      <c r="M26" s="693">
        <f>Table623[[#This Row],[Per piece Pesos]]*Table623[[#This Row],[Quantity]]</f>
        <v>45900</v>
      </c>
      <c r="N26" s="486">
        <v>66.138599999999997</v>
      </c>
      <c r="O26" s="486">
        <v>59.055118110236222</v>
      </c>
      <c r="P26" s="486">
        <v>31.496062992125985</v>
      </c>
      <c r="Q26" s="486">
        <v>3.9370078740157481</v>
      </c>
      <c r="R26" s="693">
        <v>283</v>
      </c>
      <c r="S26" s="693">
        <f>Table623[[#This Row],[Per Piece US$]]*Table623[[#This Row],[Quantity]]</f>
        <v>2547</v>
      </c>
    </row>
    <row r="27" spans="2:21" x14ac:dyDescent="0.25">
      <c r="B27" t="s">
        <v>328</v>
      </c>
      <c r="C27" s="970" t="s">
        <v>637</v>
      </c>
      <c r="D27" t="s">
        <v>635</v>
      </c>
      <c r="E27" t="s">
        <v>636</v>
      </c>
      <c r="F27" s="691">
        <v>3168</v>
      </c>
      <c r="G27">
        <v>6</v>
      </c>
      <c r="H27">
        <v>30</v>
      </c>
      <c r="I27">
        <v>150</v>
      </c>
      <c r="J27">
        <v>80</v>
      </c>
      <c r="K27" s="692">
        <v>10</v>
      </c>
      <c r="L27" s="693">
        <v>5100</v>
      </c>
      <c r="M27" s="693">
        <f>Table623[[#This Row],[Per piece Pesos]]*Table623[[#This Row],[Quantity]]</f>
        <v>30600</v>
      </c>
      <c r="N27" s="486">
        <v>66.138599999999997</v>
      </c>
      <c r="O27" s="486">
        <v>59.055118110236222</v>
      </c>
      <c r="P27" s="486">
        <v>31.496062992125985</v>
      </c>
      <c r="Q27" s="486">
        <v>3.9370078740157481</v>
      </c>
      <c r="R27" s="693">
        <v>283</v>
      </c>
      <c r="S27" s="693">
        <f>Table623[[#This Row],[Per Piece US$]]*Table623[[#This Row],[Quantity]]</f>
        <v>1698</v>
      </c>
    </row>
    <row r="28" spans="2:21" x14ac:dyDescent="0.25">
      <c r="B28" t="s">
        <v>49</v>
      </c>
      <c r="C28" s="970" t="s">
        <v>638</v>
      </c>
      <c r="D28" t="s">
        <v>639</v>
      </c>
      <c r="E28" t="s">
        <v>640</v>
      </c>
      <c r="F28" s="691">
        <v>2608</v>
      </c>
      <c r="G28">
        <v>6</v>
      </c>
      <c r="H28">
        <v>23</v>
      </c>
      <c r="I28">
        <v>100</v>
      </c>
      <c r="J28">
        <v>100</v>
      </c>
      <c r="K28" s="692">
        <v>10</v>
      </c>
      <c r="L28" s="693">
        <v>4200</v>
      </c>
      <c r="M28" s="693">
        <f>Table623[[#This Row],[Per piece Pesos]]*Table623[[#This Row],[Quantity]]</f>
        <v>25200</v>
      </c>
      <c r="N28" s="486">
        <v>50.706259999999993</v>
      </c>
      <c r="O28" s="486">
        <v>39.370078740157481</v>
      </c>
      <c r="P28" s="486">
        <v>39.370078740157481</v>
      </c>
      <c r="Q28" s="486">
        <v>3.9370078740157481</v>
      </c>
      <c r="R28" s="693">
        <v>233</v>
      </c>
      <c r="S28" s="693">
        <f>Table623[[#This Row],[Per Piece US$]]*Table623[[#This Row],[Quantity]]</f>
        <v>1398</v>
      </c>
    </row>
    <row r="29" spans="2:21" x14ac:dyDescent="0.25">
      <c r="B29" t="s">
        <v>329</v>
      </c>
      <c r="C29" s="970" t="s">
        <v>641</v>
      </c>
      <c r="D29" t="s">
        <v>38</v>
      </c>
      <c r="E29" t="s">
        <v>642</v>
      </c>
      <c r="F29" s="691">
        <v>2120</v>
      </c>
      <c r="G29">
        <v>7</v>
      </c>
      <c r="H29">
        <v>19</v>
      </c>
      <c r="I29">
        <v>110</v>
      </c>
      <c r="J29">
        <v>60</v>
      </c>
      <c r="K29" s="692">
        <v>10</v>
      </c>
      <c r="L29" s="693">
        <v>3400</v>
      </c>
      <c r="M29" s="693">
        <f>Table623[[#This Row],[Per piece Pesos]]*Table623[[#This Row],[Quantity]]</f>
        <v>23800</v>
      </c>
      <c r="N29" s="486">
        <v>41.887779999999999</v>
      </c>
      <c r="O29" s="486">
        <v>43.30708661417323</v>
      </c>
      <c r="P29" s="486">
        <v>23.622047244094489</v>
      </c>
      <c r="Q29" s="486">
        <v>3.9370078740157481</v>
      </c>
      <c r="R29" s="693">
        <v>189</v>
      </c>
      <c r="S29" s="693">
        <f>Table623[[#This Row],[Per Piece US$]]*Table623[[#This Row],[Quantity]]</f>
        <v>1323</v>
      </c>
    </row>
    <row r="30" spans="2:21" x14ac:dyDescent="0.25">
      <c r="B30" t="s">
        <v>330</v>
      </c>
      <c r="C30" s="970" t="s">
        <v>643</v>
      </c>
      <c r="D30" t="s">
        <v>9</v>
      </c>
      <c r="E30" t="s">
        <v>644</v>
      </c>
      <c r="F30" s="691">
        <v>1744</v>
      </c>
      <c r="G30">
        <v>5</v>
      </c>
      <c r="H30">
        <v>16</v>
      </c>
      <c r="I30">
        <v>100</v>
      </c>
      <c r="J30">
        <v>60</v>
      </c>
      <c r="K30" s="692">
        <v>10</v>
      </c>
      <c r="L30" s="693">
        <v>2800</v>
      </c>
      <c r="M30" s="693">
        <f>Table623[[#This Row],[Per piece Pesos]]*Table623[[#This Row],[Quantity]]</f>
        <v>14000</v>
      </c>
      <c r="N30" s="486">
        <v>35.273919999999997</v>
      </c>
      <c r="O30" s="486">
        <v>39.370078740157481</v>
      </c>
      <c r="P30" s="486">
        <v>23.622047244094489</v>
      </c>
      <c r="Q30" s="486">
        <v>3.9370078740157481</v>
      </c>
      <c r="R30" s="693">
        <v>156</v>
      </c>
      <c r="S30" s="693">
        <f>Table623[[#This Row],[Per Piece US$]]*Table623[[#This Row],[Quantity]]</f>
        <v>780</v>
      </c>
    </row>
    <row r="31" spans="2:21" x14ac:dyDescent="0.25">
      <c r="B31" t="s">
        <v>331</v>
      </c>
      <c r="C31" s="970" t="s">
        <v>645</v>
      </c>
      <c r="D31" t="s">
        <v>646</v>
      </c>
      <c r="E31" t="s">
        <v>647</v>
      </c>
      <c r="F31" s="691">
        <v>3920</v>
      </c>
      <c r="G31">
        <v>1</v>
      </c>
      <c r="H31">
        <v>30</v>
      </c>
      <c r="I31">
        <v>155</v>
      </c>
      <c r="J31">
        <v>100</v>
      </c>
      <c r="K31" s="692">
        <v>10</v>
      </c>
      <c r="L31" s="693">
        <v>6300</v>
      </c>
      <c r="M31" s="693">
        <f>Table623[[#This Row],[Per piece Pesos]]*Table623[[#This Row],[Quantity]]</f>
        <v>6300</v>
      </c>
      <c r="N31" s="486">
        <v>66.138599999999997</v>
      </c>
      <c r="O31" s="486">
        <v>61.023622047244096</v>
      </c>
      <c r="P31" s="486">
        <v>39.370078740157481</v>
      </c>
      <c r="Q31" s="486">
        <v>3.9370078740157481</v>
      </c>
      <c r="R31" s="693">
        <v>350</v>
      </c>
      <c r="S31" s="693">
        <f>Table623[[#This Row],[Per Piece US$]]*Table623[[#This Row],[Quantity]]</f>
        <v>350</v>
      </c>
    </row>
    <row r="32" spans="2:21" x14ac:dyDescent="0.25">
      <c r="B32" t="s">
        <v>332</v>
      </c>
      <c r="C32" s="970" t="s">
        <v>648</v>
      </c>
      <c r="D32" t="s">
        <v>649</v>
      </c>
      <c r="E32" t="s">
        <v>650</v>
      </c>
      <c r="F32" s="691">
        <v>3304</v>
      </c>
      <c r="G32">
        <v>3</v>
      </c>
      <c r="H32">
        <v>23</v>
      </c>
      <c r="I32">
        <v>100</v>
      </c>
      <c r="J32">
        <v>100</v>
      </c>
      <c r="K32" s="692">
        <v>10</v>
      </c>
      <c r="L32" s="693">
        <v>5300</v>
      </c>
      <c r="M32" s="693">
        <f>Table623[[#This Row],[Per piece Pesos]]*Table623[[#This Row],[Quantity]]</f>
        <v>15900</v>
      </c>
      <c r="N32" s="486">
        <v>50.706259999999993</v>
      </c>
      <c r="O32" s="486">
        <v>39.370078740157481</v>
      </c>
      <c r="P32" s="486">
        <v>39.370078740157481</v>
      </c>
      <c r="Q32" s="486">
        <v>3.9370078740157481</v>
      </c>
      <c r="R32" s="693">
        <v>295</v>
      </c>
      <c r="S32" s="693">
        <f>Table623[[#This Row],[Per Piece US$]]*Table623[[#This Row],[Quantity]]</f>
        <v>885</v>
      </c>
    </row>
    <row r="33" spans="2:19" x14ac:dyDescent="0.25">
      <c r="B33" t="s">
        <v>333</v>
      </c>
      <c r="C33" s="970" t="s">
        <v>651</v>
      </c>
      <c r="D33" t="s">
        <v>639</v>
      </c>
      <c r="E33" t="s">
        <v>640</v>
      </c>
      <c r="F33" s="691">
        <v>2608</v>
      </c>
      <c r="G33">
        <v>3</v>
      </c>
      <c r="H33">
        <v>16</v>
      </c>
      <c r="I33">
        <v>80</v>
      </c>
      <c r="J33">
        <v>100</v>
      </c>
      <c r="K33" s="692">
        <v>10</v>
      </c>
      <c r="L33" s="693">
        <v>4200</v>
      </c>
      <c r="M33" s="693">
        <f>Table623[[#This Row],[Per piece Pesos]]*Table623[[#This Row],[Quantity]]</f>
        <v>12600</v>
      </c>
      <c r="N33" s="486">
        <v>35.273919999999997</v>
      </c>
      <c r="O33" s="486">
        <v>31.496062992125985</v>
      </c>
      <c r="P33" s="486">
        <v>39.370078740157481</v>
      </c>
      <c r="Q33" s="486">
        <v>3.9370078740157481</v>
      </c>
      <c r="R33" s="693">
        <v>233</v>
      </c>
      <c r="S33" s="693">
        <f>Table623[[#This Row],[Per Piece US$]]*Table623[[#This Row],[Quantity]]</f>
        <v>699</v>
      </c>
    </row>
    <row r="34" spans="2:19" x14ac:dyDescent="0.25">
      <c r="B34" t="s">
        <v>334</v>
      </c>
      <c r="C34" s="970" t="s">
        <v>652</v>
      </c>
      <c r="D34" t="s">
        <v>653</v>
      </c>
      <c r="E34" t="s">
        <v>654</v>
      </c>
      <c r="F34" s="691">
        <v>4984</v>
      </c>
      <c r="G34">
        <v>1</v>
      </c>
      <c r="H34">
        <v>52</v>
      </c>
      <c r="I34">
        <v>96</v>
      </c>
      <c r="J34">
        <v>96</v>
      </c>
      <c r="K34" s="692">
        <v>50</v>
      </c>
      <c r="L34" s="693">
        <v>8000</v>
      </c>
      <c r="M34" s="693">
        <f>Table623[[#This Row],[Per piece Pesos]]*Table623[[#This Row],[Quantity]]</f>
        <v>8000</v>
      </c>
      <c r="N34" s="486">
        <v>114.64023999999999</v>
      </c>
      <c r="O34" s="486">
        <v>37.795275590551178</v>
      </c>
      <c r="P34" s="486">
        <v>37.795275590551178</v>
      </c>
      <c r="Q34" s="486">
        <v>19.685039370078741</v>
      </c>
      <c r="R34" s="693">
        <v>445</v>
      </c>
      <c r="S34" s="693">
        <f>Table623[[#This Row],[Per Piece US$]]*Table623[[#This Row],[Quantity]]</f>
        <v>445</v>
      </c>
    </row>
    <row r="35" spans="2:19" x14ac:dyDescent="0.25">
      <c r="B35" t="s">
        <v>334</v>
      </c>
      <c r="C35" s="970" t="s">
        <v>655</v>
      </c>
      <c r="D35" t="s">
        <v>656</v>
      </c>
      <c r="E35" t="s">
        <v>657</v>
      </c>
      <c r="F35" s="691">
        <v>4360</v>
      </c>
      <c r="G35">
        <v>1</v>
      </c>
      <c r="H35">
        <v>38</v>
      </c>
      <c r="I35">
        <v>77</v>
      </c>
      <c r="J35">
        <v>77</v>
      </c>
      <c r="K35" s="692">
        <v>46</v>
      </c>
      <c r="L35" s="693">
        <v>7000</v>
      </c>
      <c r="M35" s="693">
        <f>Table623[[#This Row],[Per piece Pesos]]*Table623[[#This Row],[Quantity]]</f>
        <v>7000</v>
      </c>
      <c r="N35" s="486">
        <v>83.775559999999999</v>
      </c>
      <c r="O35" s="486">
        <v>30.314960629921259</v>
      </c>
      <c r="P35" s="486">
        <v>30.314960629921259</v>
      </c>
      <c r="Q35" s="486">
        <v>18.110236220472441</v>
      </c>
      <c r="R35" s="693">
        <v>389</v>
      </c>
      <c r="S35" s="693">
        <f>Table623[[#This Row],[Per Piece US$]]*Table623[[#This Row],[Quantity]]</f>
        <v>389</v>
      </c>
    </row>
    <row r="36" spans="2:19" x14ac:dyDescent="0.25">
      <c r="B36" t="s">
        <v>335</v>
      </c>
      <c r="C36" s="970" t="s">
        <v>658</v>
      </c>
      <c r="D36" t="s">
        <v>647</v>
      </c>
      <c r="E36" t="s">
        <v>659</v>
      </c>
      <c r="F36" s="691">
        <v>2800</v>
      </c>
      <c r="G36">
        <v>4</v>
      </c>
      <c r="H36">
        <v>36</v>
      </c>
      <c r="I36">
        <v>90</v>
      </c>
      <c r="J36">
        <v>59</v>
      </c>
      <c r="K36" s="692">
        <v>10</v>
      </c>
      <c r="L36" s="693">
        <v>4500</v>
      </c>
      <c r="M36" s="693">
        <f>Table623[[#This Row],[Per piece Pesos]]*Table623[[#This Row],[Quantity]]</f>
        <v>18000</v>
      </c>
      <c r="N36" s="486">
        <v>79.366319999999988</v>
      </c>
      <c r="O36" s="486">
        <v>35.433070866141733</v>
      </c>
      <c r="P36" s="486">
        <v>23.228346456692915</v>
      </c>
      <c r="Q36" s="486">
        <v>3.9370078740157481</v>
      </c>
      <c r="R36" s="693">
        <v>250</v>
      </c>
      <c r="S36" s="693">
        <f>Table623[[#This Row],[Per Piece US$]]*Table623[[#This Row],[Quantity]]</f>
        <v>1000</v>
      </c>
    </row>
    <row r="37" spans="2:19" x14ac:dyDescent="0.25">
      <c r="B37" t="s">
        <v>336</v>
      </c>
      <c r="C37" s="970" t="s">
        <v>660</v>
      </c>
      <c r="D37" t="s">
        <v>661</v>
      </c>
      <c r="E37" t="s">
        <v>662</v>
      </c>
      <c r="F37" s="691">
        <v>1264</v>
      </c>
      <c r="G37">
        <v>2</v>
      </c>
      <c r="H37">
        <v>4.8</v>
      </c>
      <c r="I37">
        <v>70</v>
      </c>
      <c r="J37">
        <v>22</v>
      </c>
      <c r="K37" s="692">
        <v>11</v>
      </c>
      <c r="L37" s="693">
        <v>2032</v>
      </c>
      <c r="M37" s="693">
        <f>Table623[[#This Row],[Per piece Pesos]]*Table623[[#This Row],[Quantity]]</f>
        <v>4064</v>
      </c>
      <c r="N37" s="486">
        <v>10.582175999999999</v>
      </c>
      <c r="O37" s="486">
        <v>27.559055118110237</v>
      </c>
      <c r="P37" s="486">
        <v>8.6614173228346463</v>
      </c>
      <c r="Q37" s="486">
        <v>4.3307086614173231</v>
      </c>
      <c r="R37" s="693">
        <v>113</v>
      </c>
      <c r="S37" s="693">
        <f>Table623[[#This Row],[Per Piece US$]]*Table623[[#This Row],[Quantity]]</f>
        <v>226</v>
      </c>
    </row>
    <row r="38" spans="2:19" x14ac:dyDescent="0.25">
      <c r="B38" t="s">
        <v>350</v>
      </c>
      <c r="C38" s="970" t="s">
        <v>663</v>
      </c>
      <c r="D38" t="s">
        <v>593</v>
      </c>
      <c r="E38" t="s">
        <v>664</v>
      </c>
      <c r="F38" s="691">
        <v>4480</v>
      </c>
      <c r="G38">
        <v>2</v>
      </c>
      <c r="H38">
        <v>30</v>
      </c>
      <c r="I38">
        <v>180</v>
      </c>
      <c r="J38">
        <v>80</v>
      </c>
      <c r="K38" s="692">
        <v>10</v>
      </c>
      <c r="L38" s="693">
        <v>7200</v>
      </c>
      <c r="M38" s="693">
        <f>Table623[[#This Row],[Per piece Pesos]]*Table623[[#This Row],[Quantity]]</f>
        <v>14400</v>
      </c>
      <c r="N38" s="486">
        <v>66.138599999999997</v>
      </c>
      <c r="O38" s="486">
        <v>70.866141732283467</v>
      </c>
      <c r="P38" s="486">
        <v>31.496062992125985</v>
      </c>
      <c r="Q38" s="486">
        <v>3.9370078740157481</v>
      </c>
      <c r="R38" s="693">
        <v>400</v>
      </c>
      <c r="S38" s="693">
        <f>Table623[[#This Row],[Per Piece US$]]*Table623[[#This Row],[Quantity]]</f>
        <v>800</v>
      </c>
    </row>
    <row r="39" spans="2:19" x14ac:dyDescent="0.25">
      <c r="B39" t="s">
        <v>358</v>
      </c>
      <c r="C39" s="970" t="s">
        <v>665</v>
      </c>
      <c r="D39" t="s">
        <v>666</v>
      </c>
      <c r="E39" t="s">
        <v>667</v>
      </c>
      <c r="F39" s="691">
        <v>3552</v>
      </c>
      <c r="G39">
        <v>3</v>
      </c>
      <c r="H39">
        <v>32</v>
      </c>
      <c r="I39">
        <v>170</v>
      </c>
      <c r="J39">
        <v>30</v>
      </c>
      <c r="K39" s="692">
        <v>30</v>
      </c>
      <c r="L39" s="693">
        <v>5712</v>
      </c>
      <c r="M39" s="693">
        <f>Table623[[#This Row],[Per piece Pesos]]*Table623[[#This Row],[Quantity]]</f>
        <v>17136</v>
      </c>
      <c r="N39" s="486">
        <v>70.547839999999994</v>
      </c>
      <c r="O39" s="486">
        <v>66.929133858267718</v>
      </c>
      <c r="P39" s="486">
        <v>11.811023622047244</v>
      </c>
      <c r="Q39" s="486">
        <v>11.811023622047244</v>
      </c>
      <c r="R39" s="693">
        <v>317</v>
      </c>
      <c r="S39" s="693">
        <f>Table623[[#This Row],[Per Piece US$]]*Table623[[#This Row],[Quantity]]</f>
        <v>951</v>
      </c>
    </row>
    <row r="40" spans="2:19" x14ac:dyDescent="0.25">
      <c r="B40" t="s">
        <v>358</v>
      </c>
      <c r="C40" s="970" t="s">
        <v>668</v>
      </c>
      <c r="D40" t="s">
        <v>669</v>
      </c>
      <c r="E40" t="s">
        <v>670</v>
      </c>
      <c r="F40" s="691">
        <v>3352</v>
      </c>
      <c r="G40">
        <v>1</v>
      </c>
      <c r="H40">
        <v>30</v>
      </c>
      <c r="I40">
        <v>160</v>
      </c>
      <c r="J40">
        <v>30</v>
      </c>
      <c r="K40" s="692">
        <v>30</v>
      </c>
      <c r="L40" s="693">
        <v>5376</v>
      </c>
      <c r="M40" s="693">
        <f>Table623[[#This Row],[Per piece Pesos]]*Table623[[#This Row],[Quantity]]</f>
        <v>5376</v>
      </c>
      <c r="N40" s="486">
        <v>66.138599999999997</v>
      </c>
      <c r="O40" s="486">
        <v>62.99212598425197</v>
      </c>
      <c r="P40" s="486">
        <v>11.811023622047244</v>
      </c>
      <c r="Q40" s="486">
        <v>11.811023622047244</v>
      </c>
      <c r="R40" s="693">
        <v>299</v>
      </c>
      <c r="S40" s="693">
        <f>Table623[[#This Row],[Per Piece US$]]*Table623[[#This Row],[Quantity]]</f>
        <v>299</v>
      </c>
    </row>
    <row r="41" spans="2:19" x14ac:dyDescent="0.25">
      <c r="B41" t="s">
        <v>358</v>
      </c>
      <c r="C41" s="970" t="s">
        <v>671</v>
      </c>
      <c r="D41" t="s">
        <v>672</v>
      </c>
      <c r="E41" t="s">
        <v>673</v>
      </c>
      <c r="F41" s="691">
        <v>3240</v>
      </c>
      <c r="G41">
        <v>1</v>
      </c>
      <c r="H41">
        <v>26</v>
      </c>
      <c r="I41">
        <v>155</v>
      </c>
      <c r="J41">
        <v>30</v>
      </c>
      <c r="K41" s="692">
        <v>30</v>
      </c>
      <c r="L41" s="693">
        <v>5208</v>
      </c>
      <c r="M41" s="693">
        <f>Table623[[#This Row],[Per piece Pesos]]*Table623[[#This Row],[Quantity]]</f>
        <v>5208</v>
      </c>
      <c r="N41" s="486">
        <v>57.320119999999996</v>
      </c>
      <c r="O41" s="486">
        <v>61.023622047244096</v>
      </c>
      <c r="P41" s="486">
        <v>11.811023622047244</v>
      </c>
      <c r="Q41" s="486">
        <v>11.811023622047244</v>
      </c>
      <c r="R41" s="693">
        <v>289</v>
      </c>
      <c r="S41" s="693">
        <f>Table623[[#This Row],[Per Piece US$]]*Table623[[#This Row],[Quantity]]</f>
        <v>289</v>
      </c>
    </row>
    <row r="42" spans="2:19" x14ac:dyDescent="0.25">
      <c r="B42" t="s">
        <v>358</v>
      </c>
      <c r="C42" s="970" t="s">
        <v>674</v>
      </c>
      <c r="D42" t="s">
        <v>675</v>
      </c>
      <c r="E42" t="s">
        <v>676</v>
      </c>
      <c r="F42" s="691">
        <v>3136</v>
      </c>
      <c r="G42">
        <v>3</v>
      </c>
      <c r="H42">
        <v>25</v>
      </c>
      <c r="I42">
        <v>150</v>
      </c>
      <c r="J42">
        <v>30</v>
      </c>
      <c r="K42" s="692">
        <v>30</v>
      </c>
      <c r="L42" s="693">
        <v>5040</v>
      </c>
      <c r="M42" s="693">
        <f>Table623[[#This Row],[Per piece Pesos]]*Table623[[#This Row],[Quantity]]</f>
        <v>15120</v>
      </c>
      <c r="N42" s="486">
        <v>55.115499999999997</v>
      </c>
      <c r="O42" s="486">
        <v>59.055118110236222</v>
      </c>
      <c r="P42" s="486">
        <v>11.811023622047244</v>
      </c>
      <c r="Q42" s="486">
        <v>11.811023622047244</v>
      </c>
      <c r="R42" s="693">
        <v>280</v>
      </c>
      <c r="S42" s="693">
        <f>Table623[[#This Row],[Per Piece US$]]*Table623[[#This Row],[Quantity]]</f>
        <v>840</v>
      </c>
    </row>
    <row r="43" spans="2:19" x14ac:dyDescent="0.25">
      <c r="B43" t="s">
        <v>358</v>
      </c>
      <c r="C43" s="970" t="s">
        <v>677</v>
      </c>
      <c r="D43" t="s">
        <v>678</v>
      </c>
      <c r="E43" t="s">
        <v>679</v>
      </c>
      <c r="F43" s="691">
        <v>2824</v>
      </c>
      <c r="G43">
        <v>1</v>
      </c>
      <c r="H43">
        <v>23</v>
      </c>
      <c r="I43">
        <v>135</v>
      </c>
      <c r="J43">
        <v>30</v>
      </c>
      <c r="K43" s="692">
        <v>30</v>
      </c>
      <c r="L43" s="693">
        <v>4536</v>
      </c>
      <c r="M43" s="693">
        <f>Table623[[#This Row],[Per piece Pesos]]*Table623[[#This Row],[Quantity]]</f>
        <v>4536</v>
      </c>
      <c r="N43" s="486">
        <v>50.706259999999993</v>
      </c>
      <c r="O43" s="486">
        <v>53.1496062992126</v>
      </c>
      <c r="P43" s="486">
        <v>11.811023622047244</v>
      </c>
      <c r="Q43" s="486">
        <v>11.811023622047244</v>
      </c>
      <c r="R43" s="693">
        <v>252</v>
      </c>
      <c r="S43" s="693">
        <f>Table623[[#This Row],[Per Piece US$]]*Table623[[#This Row],[Quantity]]</f>
        <v>252</v>
      </c>
    </row>
    <row r="44" spans="2:19" x14ac:dyDescent="0.25">
      <c r="B44" t="s">
        <v>358</v>
      </c>
      <c r="C44" s="970" t="s">
        <v>680</v>
      </c>
      <c r="D44" t="s">
        <v>681</v>
      </c>
      <c r="E44" t="s">
        <v>682</v>
      </c>
      <c r="F44" s="691">
        <v>2720</v>
      </c>
      <c r="G44">
        <v>1</v>
      </c>
      <c r="H44">
        <v>22</v>
      </c>
      <c r="I44">
        <v>130</v>
      </c>
      <c r="J44">
        <v>30</v>
      </c>
      <c r="K44" s="692">
        <v>30</v>
      </c>
      <c r="L44" s="693">
        <v>4368</v>
      </c>
      <c r="M44" s="693">
        <f>Table623[[#This Row],[Per piece Pesos]]*Table623[[#This Row],[Quantity]]</f>
        <v>4368</v>
      </c>
      <c r="N44" s="486">
        <v>48.501639999999995</v>
      </c>
      <c r="O44" s="486">
        <v>51.181102362204726</v>
      </c>
      <c r="P44" s="486">
        <v>11.811023622047244</v>
      </c>
      <c r="Q44" s="486">
        <v>11.811023622047244</v>
      </c>
      <c r="R44" s="693">
        <v>243</v>
      </c>
      <c r="S44" s="693">
        <f>Table623[[#This Row],[Per Piece US$]]*Table623[[#This Row],[Quantity]]</f>
        <v>243</v>
      </c>
    </row>
    <row r="45" spans="2:19" x14ac:dyDescent="0.25">
      <c r="B45" t="s">
        <v>358</v>
      </c>
      <c r="C45" s="970" t="s">
        <v>683</v>
      </c>
      <c r="D45" t="s">
        <v>627</v>
      </c>
      <c r="E45" t="s">
        <v>628</v>
      </c>
      <c r="F45" s="691">
        <v>2512</v>
      </c>
      <c r="G45">
        <v>1</v>
      </c>
      <c r="H45">
        <v>20</v>
      </c>
      <c r="I45">
        <v>120</v>
      </c>
      <c r="J45">
        <v>30</v>
      </c>
      <c r="K45" s="692">
        <v>30</v>
      </c>
      <c r="L45" s="693">
        <v>4032</v>
      </c>
      <c r="M45" s="693">
        <f>Table623[[#This Row],[Per piece Pesos]]*Table623[[#This Row],[Quantity]]</f>
        <v>4032</v>
      </c>
      <c r="N45" s="486">
        <v>44.092399999999998</v>
      </c>
      <c r="O45" s="486">
        <v>47.244094488188978</v>
      </c>
      <c r="P45" s="486">
        <v>11.811023622047244</v>
      </c>
      <c r="Q45" s="486">
        <v>11.811023622047244</v>
      </c>
      <c r="R45" s="693">
        <v>224</v>
      </c>
      <c r="S45" s="693">
        <f>Table623[[#This Row],[Per Piece US$]]*Table623[[#This Row],[Quantity]]</f>
        <v>224</v>
      </c>
    </row>
    <row r="46" spans="2:19" x14ac:dyDescent="0.25">
      <c r="B46" t="s">
        <v>359</v>
      </c>
      <c r="C46" s="970" t="s">
        <v>684</v>
      </c>
      <c r="D46" t="s">
        <v>685</v>
      </c>
      <c r="E46" t="s">
        <v>686</v>
      </c>
      <c r="F46" s="691">
        <v>472</v>
      </c>
      <c r="G46">
        <v>16</v>
      </c>
      <c r="H46">
        <v>6</v>
      </c>
      <c r="I46">
        <v>45</v>
      </c>
      <c r="J46">
        <v>15</v>
      </c>
      <c r="K46" s="692">
        <v>15</v>
      </c>
      <c r="L46" s="693">
        <v>750</v>
      </c>
      <c r="M46" s="693">
        <f>Table623[[#This Row],[Per piece Pesos]]*Table623[[#This Row],[Quantity]]</f>
        <v>12000</v>
      </c>
      <c r="N46" s="486">
        <v>13.227719999999998</v>
      </c>
      <c r="O46" s="486">
        <v>17.716535433070867</v>
      </c>
      <c r="P46" s="486">
        <v>5.9055118110236222</v>
      </c>
      <c r="Q46" s="486">
        <v>5.9055118110236222</v>
      </c>
      <c r="R46" s="693">
        <v>42</v>
      </c>
      <c r="S46" s="693">
        <f>Table623[[#This Row],[Per Piece US$]]*Table623[[#This Row],[Quantity]]</f>
        <v>672</v>
      </c>
    </row>
    <row r="47" spans="2:19" x14ac:dyDescent="0.25">
      <c r="B47" t="s">
        <v>360</v>
      </c>
      <c r="C47" s="970" t="s">
        <v>687</v>
      </c>
      <c r="D47" t="s">
        <v>688</v>
      </c>
      <c r="E47" t="s">
        <v>689</v>
      </c>
      <c r="F47" s="691">
        <v>256</v>
      </c>
      <c r="G47">
        <v>1</v>
      </c>
      <c r="H47">
        <v>5</v>
      </c>
      <c r="I47">
        <v>35</v>
      </c>
      <c r="J47">
        <v>15</v>
      </c>
      <c r="K47" s="692">
        <v>15</v>
      </c>
      <c r="L47" s="693">
        <v>420</v>
      </c>
      <c r="M47" s="693">
        <f>Table623[[#This Row],[Per piece Pesos]]*Table623[[#This Row],[Quantity]]</f>
        <v>420</v>
      </c>
      <c r="N47" s="486">
        <v>11.023099999999999</v>
      </c>
      <c r="O47" s="486">
        <v>13.779527559055119</v>
      </c>
      <c r="P47" s="486">
        <v>5.9055118110236222</v>
      </c>
      <c r="Q47" s="486">
        <v>5.9055118110236222</v>
      </c>
      <c r="R47" s="693">
        <v>23</v>
      </c>
      <c r="S47" s="693">
        <f>Table623[[#This Row],[Per Piece US$]]*Table623[[#This Row],[Quantity]]</f>
        <v>23</v>
      </c>
    </row>
    <row r="48" spans="2:19" x14ac:dyDescent="0.25">
      <c r="B48" t="s">
        <v>361</v>
      </c>
      <c r="C48" s="970" t="s">
        <v>690</v>
      </c>
      <c r="D48" t="s">
        <v>691</v>
      </c>
      <c r="E48" t="s">
        <v>692</v>
      </c>
      <c r="F48" s="691">
        <v>272</v>
      </c>
      <c r="G48">
        <v>14</v>
      </c>
      <c r="H48">
        <v>4</v>
      </c>
      <c r="I48">
        <v>40</v>
      </c>
      <c r="J48">
        <v>10</v>
      </c>
      <c r="K48" s="692">
        <v>10</v>
      </c>
      <c r="L48" s="693">
        <v>430</v>
      </c>
      <c r="M48" s="693">
        <f>Table623[[#This Row],[Per piece Pesos]]*Table623[[#This Row],[Quantity]]</f>
        <v>6020</v>
      </c>
      <c r="N48" s="486">
        <v>8.8184799999999992</v>
      </c>
      <c r="O48" s="486">
        <v>15.748031496062993</v>
      </c>
      <c r="P48" s="486">
        <v>3.9370078740157481</v>
      </c>
      <c r="Q48" s="486">
        <v>3.9370078740157481</v>
      </c>
      <c r="R48" s="693">
        <v>24</v>
      </c>
      <c r="S48" s="693">
        <f>Table623[[#This Row],[Per Piece US$]]*Table623[[#This Row],[Quantity]]</f>
        <v>336</v>
      </c>
    </row>
    <row r="49" spans="2:21" x14ac:dyDescent="0.25">
      <c r="B49" t="s">
        <v>296</v>
      </c>
      <c r="C49" s="970" t="s">
        <v>693</v>
      </c>
      <c r="D49" t="s">
        <v>635</v>
      </c>
      <c r="E49" t="s">
        <v>636</v>
      </c>
      <c r="F49" s="691">
        <v>3168</v>
      </c>
      <c r="G49">
        <v>2</v>
      </c>
      <c r="H49">
        <v>30</v>
      </c>
      <c r="I49">
        <v>150</v>
      </c>
      <c r="J49">
        <v>80</v>
      </c>
      <c r="K49" s="692">
        <v>10</v>
      </c>
      <c r="L49" s="693">
        <v>5100</v>
      </c>
      <c r="M49" s="693">
        <f>Table623[[#This Row],[Per piece Pesos]]*Table623[[#This Row],[Quantity]]</f>
        <v>10200</v>
      </c>
      <c r="N49" s="486">
        <v>66.138599999999997</v>
      </c>
      <c r="O49" s="486">
        <v>59.055118110236222</v>
      </c>
      <c r="P49" s="486">
        <v>31.496062992125985</v>
      </c>
      <c r="Q49" s="486">
        <v>3.9370078740157481</v>
      </c>
      <c r="R49" s="693">
        <v>283</v>
      </c>
      <c r="S49" s="693">
        <f>Table623[[#This Row],[Per Piece US$]]*Table623[[#This Row],[Quantity]]</f>
        <v>566</v>
      </c>
    </row>
    <row r="50" spans="2:21" x14ac:dyDescent="0.25">
      <c r="B50" t="s">
        <v>362</v>
      </c>
      <c r="C50" s="970" t="s">
        <v>694</v>
      </c>
      <c r="D50" t="s">
        <v>639</v>
      </c>
      <c r="E50" t="s">
        <v>640</v>
      </c>
      <c r="F50" s="691">
        <v>2608</v>
      </c>
      <c r="G50">
        <v>1</v>
      </c>
      <c r="H50">
        <v>16</v>
      </c>
      <c r="I50">
        <v>80</v>
      </c>
      <c r="J50">
        <v>80</v>
      </c>
      <c r="K50" s="692">
        <v>10</v>
      </c>
      <c r="L50" s="693">
        <v>4200</v>
      </c>
      <c r="M50" s="693">
        <f>Table623[[#This Row],[Per piece Pesos]]*Table623[[#This Row],[Quantity]]</f>
        <v>4200</v>
      </c>
      <c r="N50" s="486">
        <v>35.273919999999997</v>
      </c>
      <c r="O50" s="486">
        <v>31.496062992125985</v>
      </c>
      <c r="P50" s="486">
        <v>31.496062992125985</v>
      </c>
      <c r="Q50" s="486">
        <v>3.9370078740157481</v>
      </c>
      <c r="R50" s="693">
        <v>233</v>
      </c>
      <c r="S50" s="693">
        <f>Table623[[#This Row],[Per Piece US$]]*Table623[[#This Row],[Quantity]]</f>
        <v>233</v>
      </c>
    </row>
    <row r="51" spans="2:21" x14ac:dyDescent="0.25">
      <c r="B51" t="s">
        <v>695</v>
      </c>
      <c r="C51" s="970" t="s">
        <v>696</v>
      </c>
      <c r="D51" t="s">
        <v>697</v>
      </c>
      <c r="E51" t="s">
        <v>698</v>
      </c>
      <c r="F51" s="691">
        <v>3440</v>
      </c>
      <c r="G51">
        <v>2</v>
      </c>
      <c r="H51">
        <v>38</v>
      </c>
      <c r="I51">
        <v>180</v>
      </c>
      <c r="J51">
        <v>49</v>
      </c>
      <c r="K51" s="692">
        <v>10</v>
      </c>
      <c r="L51" s="693">
        <v>5520</v>
      </c>
      <c r="M51" s="693">
        <f>Table623[[#This Row],[Per piece Pesos]]*Table623[[#This Row],[Quantity]]</f>
        <v>11040</v>
      </c>
      <c r="N51" s="486">
        <v>83.775559999999999</v>
      </c>
      <c r="O51" s="486">
        <v>70.866141732283467</v>
      </c>
      <c r="P51" s="486">
        <v>19.291338582677167</v>
      </c>
      <c r="Q51" s="486">
        <v>3.9370078740157481</v>
      </c>
      <c r="R51" s="693">
        <v>307</v>
      </c>
      <c r="S51" s="693">
        <f>Table623[[#This Row],[Per Piece US$]]*Table623[[#This Row],[Quantity]]</f>
        <v>614</v>
      </c>
      <c r="U51" s="693"/>
    </row>
    <row r="52" spans="2:21" x14ac:dyDescent="0.25">
      <c r="B52" t="s">
        <v>320</v>
      </c>
      <c r="C52" s="971" t="s">
        <v>930</v>
      </c>
      <c r="D52" s="691" t="s">
        <v>325</v>
      </c>
      <c r="E52" t="s">
        <v>324</v>
      </c>
      <c r="F52" s="691">
        <v>2184</v>
      </c>
      <c r="G52">
        <v>1</v>
      </c>
      <c r="H52">
        <v>7</v>
      </c>
      <c r="I52">
        <v>90</v>
      </c>
      <c r="J52">
        <v>23</v>
      </c>
      <c r="K52" s="692">
        <v>10</v>
      </c>
      <c r="L52" s="693">
        <v>3500</v>
      </c>
      <c r="M52" s="693">
        <f>Table623[[#This Row],[Per piece Pesos]]*Table623[[#This Row],[Quantity]]</f>
        <v>3500</v>
      </c>
      <c r="N52" s="486">
        <v>15.432339999999998</v>
      </c>
      <c r="O52" s="486">
        <v>35.433070866141733</v>
      </c>
      <c r="P52" s="486">
        <v>9.0551181102362204</v>
      </c>
      <c r="Q52" s="486">
        <v>3.9370078740157481</v>
      </c>
      <c r="R52" s="693">
        <v>195</v>
      </c>
      <c r="S52" s="693">
        <f>Table623[[#This Row],[Per Piece US$]]*Table623[[#This Row],[Quantity]]</f>
        <v>195</v>
      </c>
    </row>
    <row r="53" spans="2:21" x14ac:dyDescent="0.25">
      <c r="B53" t="s">
        <v>320</v>
      </c>
      <c r="C53" s="971" t="s">
        <v>931</v>
      </c>
      <c r="D53" s="691" t="s">
        <v>424</v>
      </c>
      <c r="E53" t="s">
        <v>423</v>
      </c>
      <c r="F53" s="691">
        <v>1912</v>
      </c>
      <c r="G53">
        <v>1</v>
      </c>
      <c r="H53">
        <v>7</v>
      </c>
      <c r="I53">
        <v>80</v>
      </c>
      <c r="J53">
        <v>23</v>
      </c>
      <c r="K53" s="692">
        <v>10</v>
      </c>
      <c r="L53" s="693">
        <v>3080</v>
      </c>
      <c r="M53" s="693">
        <f>Table623[[#This Row],[Per piece Pesos]]*Table623[[#This Row],[Quantity]]</f>
        <v>3080</v>
      </c>
      <c r="N53" s="486">
        <v>15.432339999999998</v>
      </c>
      <c r="O53" s="486">
        <v>31.496062992125985</v>
      </c>
      <c r="P53" s="486">
        <v>9.0551181102362204</v>
      </c>
      <c r="Q53" s="486">
        <v>3.9370078740157481</v>
      </c>
      <c r="R53" s="693">
        <v>171</v>
      </c>
      <c r="S53" s="693">
        <f>Table623[[#This Row],[Per Piece US$]]*Table623[[#This Row],[Quantity]]</f>
        <v>171</v>
      </c>
    </row>
    <row r="54" spans="2:21" x14ac:dyDescent="0.25">
      <c r="B54" t="s">
        <v>320</v>
      </c>
      <c r="C54" s="971" t="s">
        <v>932</v>
      </c>
      <c r="D54" s="691" t="s">
        <v>342</v>
      </c>
      <c r="E54" t="s">
        <v>9</v>
      </c>
      <c r="F54" s="691">
        <v>2440</v>
      </c>
      <c r="G54">
        <v>1</v>
      </c>
      <c r="I54">
        <v>100</v>
      </c>
      <c r="J54">
        <v>23</v>
      </c>
      <c r="K54" s="692">
        <v>10</v>
      </c>
      <c r="L54" s="693">
        <v>3919.9999999999995</v>
      </c>
      <c r="M54" s="693">
        <f>Table623[[#This Row],[Per piece Pesos]]*Table623[[#This Row],[Quantity]]</f>
        <v>3919.9999999999995</v>
      </c>
      <c r="N54" s="486">
        <v>0</v>
      </c>
      <c r="O54" s="486">
        <v>39.370078740157481</v>
      </c>
      <c r="P54" s="486">
        <v>9.0551181102362204</v>
      </c>
      <c r="Q54" s="486">
        <v>3.9370078740157481</v>
      </c>
      <c r="R54" s="693">
        <v>218</v>
      </c>
      <c r="S54" s="693">
        <f>Table623[[#This Row],[Per Piece US$]]*Table623[[#This Row],[Quantity]]</f>
        <v>218</v>
      </c>
    </row>
    <row r="55" spans="2:21" x14ac:dyDescent="0.25">
      <c r="B55" t="s">
        <v>271</v>
      </c>
      <c r="C55" s="971" t="s">
        <v>933</v>
      </c>
      <c r="D55" s="691" t="s">
        <v>427</v>
      </c>
      <c r="E55" t="s">
        <v>426</v>
      </c>
      <c r="F55" s="691">
        <v>10448</v>
      </c>
      <c r="G55">
        <v>3</v>
      </c>
      <c r="H55">
        <v>55</v>
      </c>
      <c r="I55">
        <v>170</v>
      </c>
      <c r="J55">
        <v>56</v>
      </c>
      <c r="K55" s="692">
        <v>10</v>
      </c>
      <c r="L55" s="693">
        <v>16800</v>
      </c>
      <c r="M55" s="693">
        <f>Table623[[#This Row],[Per piece Pesos]]*Table623[[#This Row],[Quantity]]</f>
        <v>50400</v>
      </c>
      <c r="N55" s="486">
        <v>121.25409999999999</v>
      </c>
      <c r="O55" s="486">
        <v>66.929133858267718</v>
      </c>
      <c r="P55" s="486">
        <v>22.047244094488189</v>
      </c>
      <c r="Q55" s="486">
        <v>3.9370078740157481</v>
      </c>
      <c r="R55" s="693">
        <v>933</v>
      </c>
      <c r="S55" s="693">
        <f>Table623[[#This Row],[Per Piece US$]]*Table623[[#This Row],[Quantity]]</f>
        <v>2799</v>
      </c>
    </row>
    <row r="56" spans="2:21" x14ac:dyDescent="0.25">
      <c r="B56" t="s">
        <v>422</v>
      </c>
      <c r="C56" s="971" t="s">
        <v>699</v>
      </c>
      <c r="D56" s="691" t="s">
        <v>325</v>
      </c>
      <c r="E56" t="s">
        <v>324</v>
      </c>
      <c r="F56" s="691">
        <v>2184</v>
      </c>
      <c r="G56">
        <v>1</v>
      </c>
      <c r="H56">
        <v>9</v>
      </c>
      <c r="I56">
        <v>90</v>
      </c>
      <c r="J56">
        <v>23</v>
      </c>
      <c r="K56" s="692">
        <v>10</v>
      </c>
      <c r="L56" s="693">
        <v>3500</v>
      </c>
      <c r="M56" s="693">
        <f>Table623[[#This Row],[Per piece Pesos]]*Table623[[#This Row],[Quantity]]</f>
        <v>3500</v>
      </c>
      <c r="N56" s="486">
        <v>0</v>
      </c>
      <c r="O56" s="486">
        <v>35.433070866141733</v>
      </c>
      <c r="P56" s="486">
        <v>9.0551181102362204</v>
      </c>
      <c r="Q56" s="486">
        <v>3.9370078740157481</v>
      </c>
      <c r="R56" s="693">
        <v>195</v>
      </c>
      <c r="S56" s="693">
        <f>Table623[[#This Row],[Per Piece US$]]*Table623[[#This Row],[Quantity]]</f>
        <v>195</v>
      </c>
    </row>
    <row r="57" spans="2:21" x14ac:dyDescent="0.25">
      <c r="B57" t="s">
        <v>422</v>
      </c>
      <c r="C57" s="971" t="s">
        <v>700</v>
      </c>
      <c r="D57" s="691" t="s">
        <v>424</v>
      </c>
      <c r="E57" t="s">
        <v>423</v>
      </c>
      <c r="F57" s="691">
        <v>1912</v>
      </c>
      <c r="G57">
        <v>1</v>
      </c>
      <c r="H57">
        <v>7</v>
      </c>
      <c r="I57">
        <v>80</v>
      </c>
      <c r="J57">
        <v>23</v>
      </c>
      <c r="K57" s="692">
        <v>10</v>
      </c>
      <c r="L57" s="693">
        <v>3080</v>
      </c>
      <c r="M57" s="693">
        <f>Table623[[#This Row],[Per piece Pesos]]*Table623[[#This Row],[Quantity]]</f>
        <v>3080</v>
      </c>
      <c r="N57" s="486">
        <v>0</v>
      </c>
      <c r="O57" s="486">
        <v>31.496062992125985</v>
      </c>
      <c r="P57" s="486">
        <v>9.0551181102362204</v>
      </c>
      <c r="Q57" s="486">
        <v>3.9370078740157481</v>
      </c>
      <c r="R57" s="693">
        <v>171</v>
      </c>
      <c r="S57" s="693">
        <f>Table623[[#This Row],[Per Piece US$]]*Table623[[#This Row],[Quantity]]</f>
        <v>171</v>
      </c>
    </row>
    <row r="58" spans="2:21" x14ac:dyDescent="0.25">
      <c r="B58" t="s">
        <v>422</v>
      </c>
      <c r="C58" s="971" t="s">
        <v>701</v>
      </c>
      <c r="D58" s="691" t="s">
        <v>342</v>
      </c>
      <c r="E58" t="s">
        <v>9</v>
      </c>
      <c r="F58" s="691">
        <v>2440</v>
      </c>
      <c r="G58">
        <v>1</v>
      </c>
      <c r="H58">
        <v>10</v>
      </c>
      <c r="I58">
        <v>100</v>
      </c>
      <c r="J58">
        <v>23</v>
      </c>
      <c r="K58" s="692">
        <v>10</v>
      </c>
      <c r="L58" s="693">
        <v>3919.9999999999995</v>
      </c>
      <c r="M58" s="693">
        <f>Table623[[#This Row],[Per piece Pesos]]*Table623[[#This Row],[Quantity]]</f>
        <v>3919.9999999999995</v>
      </c>
      <c r="N58" s="486">
        <v>0</v>
      </c>
      <c r="O58" s="486">
        <v>39.370078740157481</v>
      </c>
      <c r="P58" s="486">
        <v>9.0551181102362204</v>
      </c>
      <c r="Q58" s="486">
        <v>3.9370078740157481</v>
      </c>
      <c r="R58" s="693">
        <v>218</v>
      </c>
      <c r="S58" s="693">
        <f>Table623[[#This Row],[Per Piece US$]]*Table623[[#This Row],[Quantity]]</f>
        <v>218</v>
      </c>
    </row>
    <row r="59" spans="2:21" x14ac:dyDescent="0.25">
      <c r="B59" t="s">
        <v>422</v>
      </c>
      <c r="C59" s="971" t="s">
        <v>702</v>
      </c>
      <c r="D59" s="691" t="s">
        <v>424</v>
      </c>
      <c r="E59" t="s">
        <v>423</v>
      </c>
      <c r="F59" s="691">
        <v>1912</v>
      </c>
      <c r="G59">
        <v>1</v>
      </c>
      <c r="H59">
        <v>7</v>
      </c>
      <c r="I59">
        <v>80</v>
      </c>
      <c r="J59">
        <v>23</v>
      </c>
      <c r="K59" s="692">
        <v>10</v>
      </c>
      <c r="L59" s="693">
        <v>3080</v>
      </c>
      <c r="M59" s="693">
        <f>Table623[[#This Row],[Per piece Pesos]]*Table623[[#This Row],[Quantity]]</f>
        <v>3080</v>
      </c>
      <c r="N59" s="486">
        <v>0</v>
      </c>
      <c r="O59" s="486">
        <v>31.496062992125985</v>
      </c>
      <c r="P59" s="486">
        <v>9.0551181102362204</v>
      </c>
      <c r="Q59" s="486">
        <v>3.9370078740157481</v>
      </c>
      <c r="R59" s="693">
        <v>171</v>
      </c>
      <c r="S59" s="693">
        <f>Table623[[#This Row],[Per Piece US$]]*Table623[[#This Row],[Quantity]]</f>
        <v>171</v>
      </c>
    </row>
    <row r="60" spans="2:21" x14ac:dyDescent="0.25">
      <c r="B60" t="s">
        <v>425</v>
      </c>
      <c r="C60" s="971" t="s">
        <v>703</v>
      </c>
      <c r="D60" s="691" t="s">
        <v>427</v>
      </c>
      <c r="E60" t="s">
        <v>426</v>
      </c>
      <c r="F60" s="691">
        <v>10448</v>
      </c>
      <c r="G60">
        <v>2</v>
      </c>
      <c r="H60">
        <v>55</v>
      </c>
      <c r="I60">
        <v>170</v>
      </c>
      <c r="J60">
        <v>58</v>
      </c>
      <c r="K60" s="692">
        <v>10</v>
      </c>
      <c r="L60" s="693">
        <v>16800</v>
      </c>
      <c r="M60" s="693">
        <f>Table623[[#This Row],[Per piece Pesos]]*Table623[[#This Row],[Quantity]]</f>
        <v>33600</v>
      </c>
      <c r="N60" s="486">
        <v>0</v>
      </c>
      <c r="O60" s="486">
        <v>66.929133858267718</v>
      </c>
      <c r="P60" s="486">
        <v>22.834645669291337</v>
      </c>
      <c r="Q60" s="486">
        <v>3.9370078740157481</v>
      </c>
      <c r="R60" s="693">
        <v>933</v>
      </c>
      <c r="S60" s="693">
        <f>Table623[[#This Row],[Per Piece US$]]*Table623[[#This Row],[Quantity]]</f>
        <v>1866</v>
      </c>
    </row>
    <row r="61" spans="2:21" x14ac:dyDescent="0.25">
      <c r="B61" t="s">
        <v>422</v>
      </c>
      <c r="C61" s="971" t="s">
        <v>704</v>
      </c>
      <c r="D61" s="691" t="s">
        <v>428</v>
      </c>
      <c r="E61" t="s">
        <v>38</v>
      </c>
      <c r="F61" s="691">
        <v>2968</v>
      </c>
      <c r="G61">
        <v>1</v>
      </c>
      <c r="H61">
        <v>11</v>
      </c>
      <c r="I61">
        <v>120</v>
      </c>
      <c r="J61">
        <v>23</v>
      </c>
      <c r="K61" s="692">
        <v>10</v>
      </c>
      <c r="L61" s="693">
        <v>4760</v>
      </c>
      <c r="M61" s="693">
        <f>Table623[[#This Row],[Per piece Pesos]]*Table623[[#This Row],[Quantity]]</f>
        <v>4760</v>
      </c>
      <c r="N61" s="486">
        <v>0</v>
      </c>
      <c r="O61" s="486">
        <v>47.244094488188978</v>
      </c>
      <c r="P61" s="486">
        <v>9.0551181102362204</v>
      </c>
      <c r="Q61" s="486">
        <v>3.9370078740157481</v>
      </c>
      <c r="R61" s="693">
        <v>265</v>
      </c>
      <c r="S61" s="693">
        <f>Table623[[#This Row],[Per Piece US$]]*Table623[[#This Row],[Quantity]]</f>
        <v>265</v>
      </c>
    </row>
    <row r="62" spans="2:21" x14ac:dyDescent="0.25">
      <c r="B62" t="s">
        <v>422</v>
      </c>
      <c r="C62" s="971" t="s">
        <v>705</v>
      </c>
      <c r="D62" s="691" t="s">
        <v>430</v>
      </c>
      <c r="E62" t="s">
        <v>429</v>
      </c>
      <c r="F62" s="691">
        <v>1656</v>
      </c>
      <c r="G62">
        <v>1</v>
      </c>
      <c r="H62">
        <v>7</v>
      </c>
      <c r="I62">
        <v>70</v>
      </c>
      <c r="J62">
        <v>24</v>
      </c>
      <c r="K62" s="692">
        <v>11</v>
      </c>
      <c r="L62" s="693">
        <v>2660</v>
      </c>
      <c r="M62" s="693">
        <f>Table623[[#This Row],[Per piece Pesos]]*Table623[[#This Row],[Quantity]]</f>
        <v>2660</v>
      </c>
      <c r="N62" s="486">
        <v>0</v>
      </c>
      <c r="O62" s="486">
        <v>27.559055118110237</v>
      </c>
      <c r="P62" s="486">
        <v>9.4488188976377945</v>
      </c>
      <c r="Q62" s="486">
        <v>4.3307086614173231</v>
      </c>
      <c r="R62" s="693">
        <v>148</v>
      </c>
      <c r="S62" s="693">
        <f>Table623[[#This Row],[Per Piece US$]]*Table623[[#This Row],[Quantity]]</f>
        <v>148</v>
      </c>
    </row>
    <row r="63" spans="2:21" x14ac:dyDescent="0.25">
      <c r="B63" t="s">
        <v>431</v>
      </c>
      <c r="C63" s="971" t="s">
        <v>706</v>
      </c>
      <c r="D63" s="691" t="s">
        <v>433</v>
      </c>
      <c r="E63" t="s">
        <v>432</v>
      </c>
      <c r="F63" s="691">
        <v>8280</v>
      </c>
      <c r="G63">
        <v>1</v>
      </c>
      <c r="H63">
        <v>12</v>
      </c>
      <c r="I63">
        <v>50</v>
      </c>
      <c r="J63">
        <v>30</v>
      </c>
      <c r="K63" s="692">
        <v>20</v>
      </c>
      <c r="L63" s="693">
        <v>13300</v>
      </c>
      <c r="M63" s="693">
        <f>Table623[[#This Row],[Per piece Pesos]]*Table623[[#This Row],[Quantity]]</f>
        <v>13300</v>
      </c>
      <c r="N63" s="486">
        <v>0</v>
      </c>
      <c r="O63" s="486">
        <v>19.685039370078741</v>
      </c>
      <c r="P63" s="486">
        <v>11.811023622047244</v>
      </c>
      <c r="Q63" s="486">
        <v>0</v>
      </c>
      <c r="R63" s="693">
        <v>739</v>
      </c>
      <c r="S63" s="693">
        <f>Table623[[#This Row],[Per Piece US$]]*Table623[[#This Row],[Quantity]]</f>
        <v>739</v>
      </c>
    </row>
    <row r="64" spans="2:21" x14ac:dyDescent="0.25">
      <c r="B64" t="s">
        <v>431</v>
      </c>
      <c r="C64" s="971" t="s">
        <v>707</v>
      </c>
      <c r="D64" s="691" t="s">
        <v>435</v>
      </c>
      <c r="E64" t="s">
        <v>434</v>
      </c>
      <c r="F64" s="691">
        <v>4960</v>
      </c>
      <c r="G64">
        <v>1</v>
      </c>
      <c r="H64">
        <v>12</v>
      </c>
      <c r="I64">
        <v>55</v>
      </c>
      <c r="J64">
        <v>49</v>
      </c>
      <c r="K64" s="692">
        <v>35</v>
      </c>
      <c r="L64" s="693">
        <v>7979.9999999999991</v>
      </c>
      <c r="M64" s="693">
        <f>Table623[[#This Row],[Per piece Pesos]]*Table623[[#This Row],[Quantity]]</f>
        <v>7979.9999999999991</v>
      </c>
      <c r="N64" s="486">
        <v>0</v>
      </c>
      <c r="O64" s="486">
        <v>21.653543307086615</v>
      </c>
      <c r="P64" s="486">
        <v>19.291338582677167</v>
      </c>
      <c r="Q64" s="486">
        <v>13.779527559055119</v>
      </c>
      <c r="R64" s="693">
        <v>443</v>
      </c>
      <c r="S64" s="693">
        <f>Table623[[#This Row],[Per Piece US$]]*Table623[[#This Row],[Quantity]]</f>
        <v>443</v>
      </c>
    </row>
    <row r="65" spans="2:19" x14ac:dyDescent="0.25">
      <c r="B65" t="s">
        <v>436</v>
      </c>
      <c r="C65" s="971" t="s">
        <v>708</v>
      </c>
      <c r="D65" s="691" t="s">
        <v>438</v>
      </c>
      <c r="E65" t="s">
        <v>437</v>
      </c>
      <c r="F65" s="691">
        <v>22208</v>
      </c>
      <c r="G65">
        <v>2</v>
      </c>
      <c r="H65">
        <v>65</v>
      </c>
      <c r="I65">
        <v>200</v>
      </c>
      <c r="J65">
        <v>40</v>
      </c>
      <c r="K65" s="692">
        <v>10</v>
      </c>
      <c r="L65" s="693">
        <v>35700</v>
      </c>
      <c r="M65" s="693">
        <f>Table623[[#This Row],[Per piece Pesos]]*Table623[[#This Row],[Quantity]]</f>
        <v>71400</v>
      </c>
      <c r="N65" s="486">
        <v>0</v>
      </c>
      <c r="O65" s="486">
        <v>78.740157480314963</v>
      </c>
      <c r="P65" s="486">
        <v>15.748031496062993</v>
      </c>
      <c r="Q65" s="486">
        <v>3.9370078740157481</v>
      </c>
      <c r="R65" s="693">
        <v>1983</v>
      </c>
      <c r="S65" s="693">
        <f>Table623[[#This Row],[Per Piece US$]]*Table623[[#This Row],[Quantity]]</f>
        <v>3966</v>
      </c>
    </row>
    <row r="66" spans="2:19" x14ac:dyDescent="0.25">
      <c r="B66" t="s">
        <v>436</v>
      </c>
      <c r="C66" s="971" t="s">
        <v>709</v>
      </c>
      <c r="D66" s="691" t="s">
        <v>440</v>
      </c>
      <c r="E66" t="s">
        <v>439</v>
      </c>
      <c r="F66" s="691">
        <v>17424</v>
      </c>
      <c r="G66">
        <v>6</v>
      </c>
      <c r="H66">
        <v>85</v>
      </c>
      <c r="I66">
        <v>300</v>
      </c>
      <c r="J66">
        <v>50</v>
      </c>
      <c r="K66" s="692">
        <v>10</v>
      </c>
      <c r="L66" s="693">
        <v>28000</v>
      </c>
      <c r="M66" s="693">
        <f>Table623[[#This Row],[Per piece Pesos]]*Table623[[#This Row],[Quantity]]</f>
        <v>168000</v>
      </c>
      <c r="N66" s="486">
        <v>0</v>
      </c>
      <c r="O66" s="486">
        <v>118.11023622047244</v>
      </c>
      <c r="P66" s="486">
        <v>19.685039370078741</v>
      </c>
      <c r="Q66" s="486">
        <v>3.9370078740157481</v>
      </c>
      <c r="R66" s="693">
        <v>1556</v>
      </c>
      <c r="S66" s="693">
        <f>Table623[[#This Row],[Per Piece US$]]*Table623[[#This Row],[Quantity]]</f>
        <v>9336</v>
      </c>
    </row>
    <row r="67" spans="2:19" x14ac:dyDescent="0.25">
      <c r="B67" t="s">
        <v>436</v>
      </c>
      <c r="C67" s="971" t="s">
        <v>710</v>
      </c>
      <c r="D67" s="691" t="s">
        <v>440</v>
      </c>
      <c r="E67" t="s">
        <v>439</v>
      </c>
      <c r="F67" s="691">
        <v>17424</v>
      </c>
      <c r="G67">
        <v>2</v>
      </c>
      <c r="H67">
        <v>80</v>
      </c>
      <c r="I67">
        <v>290</v>
      </c>
      <c r="J67">
        <v>50</v>
      </c>
      <c r="K67" s="692">
        <v>10</v>
      </c>
      <c r="L67" s="693">
        <v>28000</v>
      </c>
      <c r="M67" s="693">
        <f>Table623[[#This Row],[Per piece Pesos]]*Table623[[#This Row],[Quantity]]</f>
        <v>56000</v>
      </c>
      <c r="N67" s="486">
        <v>0</v>
      </c>
      <c r="O67" s="486">
        <v>114.1732283464567</v>
      </c>
      <c r="P67" s="486">
        <v>19.685039370078741</v>
      </c>
      <c r="Q67" s="486">
        <v>3.9370078740157481</v>
      </c>
      <c r="R67" s="693">
        <v>1556</v>
      </c>
      <c r="S67" s="693">
        <f>Table623[[#This Row],[Per Piece US$]]*Table623[[#This Row],[Quantity]]</f>
        <v>3112</v>
      </c>
    </row>
    <row r="68" spans="2:19" x14ac:dyDescent="0.25">
      <c r="B68" t="s">
        <v>349</v>
      </c>
      <c r="C68" s="972" t="s">
        <v>711</v>
      </c>
      <c r="D68" s="691" t="s">
        <v>712</v>
      </c>
      <c r="E68" t="s">
        <v>713</v>
      </c>
      <c r="F68" s="691">
        <v>312</v>
      </c>
      <c r="G68">
        <v>10</v>
      </c>
      <c r="H68">
        <v>4</v>
      </c>
      <c r="I68">
        <v>40</v>
      </c>
      <c r="J68">
        <v>12</v>
      </c>
      <c r="K68" s="692">
        <v>12</v>
      </c>
      <c r="L68" s="693">
        <v>510</v>
      </c>
      <c r="M68" s="693">
        <f>Table623[[#This Row],[Per piece Pesos]]*Table623[[#This Row],[Quantity]]</f>
        <v>5100</v>
      </c>
      <c r="N68" s="486">
        <v>8.8184799999999992</v>
      </c>
      <c r="O68" s="486">
        <v>15.748031496062993</v>
      </c>
      <c r="P68" s="486">
        <v>4.7244094488188972</v>
      </c>
      <c r="Q68" s="486">
        <v>4.7244094488188972</v>
      </c>
      <c r="R68" s="693">
        <v>28</v>
      </c>
      <c r="S68" s="693">
        <f>Table623[[#This Row],[Per Piece US$]]*Table623[[#This Row],[Quantity]]</f>
        <v>280</v>
      </c>
    </row>
    <row r="69" spans="2:19" x14ac:dyDescent="0.25">
      <c r="B69" t="s">
        <v>349</v>
      </c>
      <c r="C69" s="972" t="s">
        <v>714</v>
      </c>
      <c r="D69" s="691" t="s">
        <v>685</v>
      </c>
      <c r="E69" t="s">
        <v>686</v>
      </c>
      <c r="F69" s="691">
        <v>472</v>
      </c>
      <c r="G69">
        <v>9</v>
      </c>
      <c r="H69">
        <v>6</v>
      </c>
      <c r="I69">
        <v>40</v>
      </c>
      <c r="J69">
        <v>16</v>
      </c>
      <c r="K69" s="692">
        <v>16</v>
      </c>
      <c r="L69" s="693">
        <v>755</v>
      </c>
      <c r="M69" s="693">
        <f>Table623[[#This Row],[Per piece Pesos]]*Table623[[#This Row],[Quantity]]</f>
        <v>6795</v>
      </c>
      <c r="N69" s="486">
        <v>13.227719999999998</v>
      </c>
      <c r="O69" s="486">
        <v>15.748031496062993</v>
      </c>
      <c r="P69" s="486">
        <v>6.2992125984251963</v>
      </c>
      <c r="Q69" s="486">
        <v>6.2992125984251963</v>
      </c>
      <c r="R69" s="693">
        <v>42</v>
      </c>
      <c r="S69" s="693">
        <f>Table623[[#This Row],[Per Piece US$]]*Table623[[#This Row],[Quantity]]</f>
        <v>378</v>
      </c>
    </row>
    <row r="70" spans="2:19" x14ac:dyDescent="0.25">
      <c r="B70" t="s">
        <v>349</v>
      </c>
      <c r="C70" s="972" t="s">
        <v>715</v>
      </c>
      <c r="D70" s="691" t="s">
        <v>716</v>
      </c>
      <c r="E70" t="s">
        <v>717</v>
      </c>
      <c r="F70" s="691">
        <v>288</v>
      </c>
      <c r="G70">
        <v>2</v>
      </c>
      <c r="H70">
        <v>3</v>
      </c>
      <c r="I70">
        <v>30</v>
      </c>
      <c r="J70">
        <v>12</v>
      </c>
      <c r="K70" s="692">
        <v>12</v>
      </c>
      <c r="L70" s="693">
        <v>475</v>
      </c>
      <c r="M70" s="693">
        <f>Table623[[#This Row],[Per piece Pesos]]*Table623[[#This Row],[Quantity]]</f>
        <v>950</v>
      </c>
      <c r="N70" s="486">
        <v>6.613859999999999</v>
      </c>
      <c r="O70" s="486">
        <v>11.811023622047244</v>
      </c>
      <c r="P70" s="486">
        <v>4.7244094488188972</v>
      </c>
      <c r="Q70" s="486">
        <v>4.7244094488188972</v>
      </c>
      <c r="R70" s="693">
        <v>26</v>
      </c>
      <c r="S70" s="693">
        <f>Table623[[#This Row],[Per Piece US$]]*Table623[[#This Row],[Quantity]]</f>
        <v>52</v>
      </c>
    </row>
    <row r="71" spans="2:19" x14ac:dyDescent="0.25">
      <c r="B71" t="s">
        <v>349</v>
      </c>
      <c r="C71" s="972" t="s">
        <v>718</v>
      </c>
      <c r="D71" s="691" t="s">
        <v>716</v>
      </c>
      <c r="E71" t="s">
        <v>717</v>
      </c>
      <c r="F71" s="691">
        <v>288</v>
      </c>
      <c r="G71">
        <v>2</v>
      </c>
      <c r="H71">
        <v>4</v>
      </c>
      <c r="I71">
        <v>30</v>
      </c>
      <c r="J71">
        <v>16</v>
      </c>
      <c r="K71" s="692">
        <v>16</v>
      </c>
      <c r="L71" s="693">
        <v>460</v>
      </c>
      <c r="M71" s="693">
        <f>Table623[[#This Row],[Per piece Pesos]]*Table623[[#This Row],[Quantity]]</f>
        <v>920</v>
      </c>
      <c r="N71" s="486">
        <v>8.8184799999999992</v>
      </c>
      <c r="O71" s="486">
        <v>11.811023622047244</v>
      </c>
      <c r="P71" s="486">
        <v>6.2992125984251963</v>
      </c>
      <c r="Q71" s="486">
        <v>6.2992125984251963</v>
      </c>
      <c r="R71" s="693">
        <v>26</v>
      </c>
      <c r="S71" s="693">
        <f>Table623[[#This Row],[Per Piece US$]]*Table623[[#This Row],[Quantity]]</f>
        <v>52</v>
      </c>
    </row>
    <row r="72" spans="2:19" x14ac:dyDescent="0.25">
      <c r="B72" t="s">
        <v>349</v>
      </c>
      <c r="C72" s="972" t="s">
        <v>719</v>
      </c>
      <c r="D72" s="691" t="s">
        <v>720</v>
      </c>
      <c r="E72" t="s">
        <v>119</v>
      </c>
      <c r="F72" s="691">
        <v>176</v>
      </c>
      <c r="G72">
        <v>17</v>
      </c>
      <c r="H72">
        <v>3</v>
      </c>
      <c r="I72">
        <v>35</v>
      </c>
      <c r="J72">
        <v>8</v>
      </c>
      <c r="K72" s="692">
        <v>8</v>
      </c>
      <c r="L72" s="693">
        <v>280</v>
      </c>
      <c r="M72" s="693">
        <f>Table623[[#This Row],[Per piece Pesos]]*Table623[[#This Row],[Quantity]]</f>
        <v>4760</v>
      </c>
      <c r="N72" s="486">
        <v>6.613859999999999</v>
      </c>
      <c r="O72" s="486">
        <v>13.779527559055119</v>
      </c>
      <c r="P72" s="486">
        <v>3.1496062992125982</v>
      </c>
      <c r="Q72" s="486">
        <v>3.1496062992125982</v>
      </c>
      <c r="R72" s="693">
        <v>16</v>
      </c>
      <c r="S72" s="693">
        <f>Table623[[#This Row],[Per Piece US$]]*Table623[[#This Row],[Quantity]]</f>
        <v>272</v>
      </c>
    </row>
    <row r="73" spans="2:19" x14ac:dyDescent="0.25">
      <c r="B73" t="s">
        <v>382</v>
      </c>
      <c r="C73" s="972" t="s">
        <v>721</v>
      </c>
      <c r="D73" s="691" t="s">
        <v>722</v>
      </c>
      <c r="E73" t="s">
        <v>723</v>
      </c>
      <c r="F73" s="691">
        <v>672</v>
      </c>
      <c r="G73">
        <v>2</v>
      </c>
      <c r="H73">
        <v>8</v>
      </c>
      <c r="I73">
        <v>50</v>
      </c>
      <c r="J73">
        <v>20</v>
      </c>
      <c r="K73" s="692">
        <v>20</v>
      </c>
      <c r="L73" s="693">
        <v>1075</v>
      </c>
      <c r="M73" s="693">
        <f>Table623[[#This Row],[Per piece Pesos]]*Table623[[#This Row],[Quantity]]</f>
        <v>2150</v>
      </c>
      <c r="N73" s="486">
        <v>17.636959999999998</v>
      </c>
      <c r="O73" s="486">
        <v>19.685039370078741</v>
      </c>
      <c r="P73" s="486">
        <v>7.8740157480314963</v>
      </c>
      <c r="Q73" s="486">
        <v>7.8740157480314963</v>
      </c>
      <c r="R73" s="693">
        <v>60</v>
      </c>
      <c r="S73" s="693">
        <f>Table623[[#This Row],[Per Piece US$]]*Table623[[#This Row],[Quantity]]</f>
        <v>120</v>
      </c>
    </row>
    <row r="74" spans="2:19" x14ac:dyDescent="0.25">
      <c r="B74" t="s">
        <v>383</v>
      </c>
      <c r="C74" s="972" t="s">
        <v>724</v>
      </c>
      <c r="D74" s="691" t="s">
        <v>725</v>
      </c>
      <c r="E74" t="s">
        <v>726</v>
      </c>
      <c r="F74" s="691">
        <v>496</v>
      </c>
      <c r="G74">
        <v>10</v>
      </c>
      <c r="H74">
        <v>7</v>
      </c>
      <c r="I74">
        <v>50</v>
      </c>
      <c r="J74">
        <v>16</v>
      </c>
      <c r="K74" s="692">
        <v>16</v>
      </c>
      <c r="L74" s="693">
        <v>795</v>
      </c>
      <c r="M74" s="693">
        <f>Table623[[#This Row],[Per piece Pesos]]*Table623[[#This Row],[Quantity]]</f>
        <v>7950</v>
      </c>
      <c r="N74" s="486">
        <v>15.432339999999998</v>
      </c>
      <c r="O74" s="486">
        <v>19.685039370078741</v>
      </c>
      <c r="P74" s="486">
        <v>6.2992125984251963</v>
      </c>
      <c r="Q74" s="486">
        <v>6.2992125984251963</v>
      </c>
      <c r="R74" s="693">
        <v>44</v>
      </c>
      <c r="S74" s="693">
        <f>Table623[[#This Row],[Per Piece US$]]*Table623[[#This Row],[Quantity]]</f>
        <v>440</v>
      </c>
    </row>
    <row r="75" spans="2:19" x14ac:dyDescent="0.25">
      <c r="B75" t="s">
        <v>349</v>
      </c>
      <c r="C75" s="972" t="s">
        <v>727</v>
      </c>
      <c r="D75" s="691" t="s">
        <v>728</v>
      </c>
      <c r="E75" t="s">
        <v>729</v>
      </c>
      <c r="F75" s="691">
        <v>624</v>
      </c>
      <c r="G75">
        <v>2</v>
      </c>
      <c r="H75">
        <v>8</v>
      </c>
      <c r="I75">
        <v>60</v>
      </c>
      <c r="J75">
        <v>16</v>
      </c>
      <c r="K75" s="692">
        <v>16</v>
      </c>
      <c r="L75" s="693">
        <v>1015</v>
      </c>
      <c r="M75" s="693">
        <f>Table623[[#This Row],[Per piece Pesos]]*Table623[[#This Row],[Quantity]]</f>
        <v>2030</v>
      </c>
      <c r="N75" s="486">
        <v>17.636959999999998</v>
      </c>
      <c r="O75" s="486">
        <v>23.622047244094489</v>
      </c>
      <c r="P75" s="486">
        <v>6.2992125984251963</v>
      </c>
      <c r="Q75" s="486">
        <v>6.2992125984251963</v>
      </c>
      <c r="R75" s="693">
        <v>56</v>
      </c>
      <c r="S75" s="693">
        <f>Table623[[#This Row],[Per Piece US$]]*Table623[[#This Row],[Quantity]]</f>
        <v>112</v>
      </c>
    </row>
    <row r="76" spans="2:19" x14ac:dyDescent="0.25">
      <c r="B76" t="s">
        <v>349</v>
      </c>
      <c r="C76" s="972" t="s">
        <v>730</v>
      </c>
      <c r="D76" s="691" t="s">
        <v>731</v>
      </c>
      <c r="E76" t="s">
        <v>732</v>
      </c>
      <c r="F76" s="691">
        <v>808</v>
      </c>
      <c r="G76">
        <v>2</v>
      </c>
      <c r="H76">
        <v>10</v>
      </c>
      <c r="I76">
        <v>60</v>
      </c>
      <c r="J76">
        <v>20</v>
      </c>
      <c r="K76" s="692">
        <v>20</v>
      </c>
      <c r="L76" s="693">
        <v>1295</v>
      </c>
      <c r="M76" s="693">
        <f>Table623[[#This Row],[Per piece Pesos]]*Table623[[#This Row],[Quantity]]</f>
        <v>2590</v>
      </c>
      <c r="N76" s="486">
        <v>22.046199999999999</v>
      </c>
      <c r="O76" s="486">
        <v>23.622047244094489</v>
      </c>
      <c r="P76" s="486">
        <v>7.8740157480314963</v>
      </c>
      <c r="Q76" s="486">
        <v>7.8740157480314963</v>
      </c>
      <c r="R76" s="693">
        <v>72</v>
      </c>
      <c r="S76" s="693">
        <f>Table623[[#This Row],[Per Piece US$]]*Table623[[#This Row],[Quantity]]</f>
        <v>144</v>
      </c>
    </row>
    <row r="77" spans="2:19" x14ac:dyDescent="0.25">
      <c r="B77" t="s">
        <v>349</v>
      </c>
      <c r="C77" s="972" t="s">
        <v>733</v>
      </c>
      <c r="D77" s="691" t="s">
        <v>722</v>
      </c>
      <c r="E77" t="s">
        <v>723</v>
      </c>
      <c r="F77" s="691">
        <v>672</v>
      </c>
      <c r="G77">
        <v>1</v>
      </c>
      <c r="H77">
        <v>8</v>
      </c>
      <c r="I77">
        <v>50</v>
      </c>
      <c r="J77">
        <v>20</v>
      </c>
      <c r="K77" s="692">
        <v>20</v>
      </c>
      <c r="L77" s="693">
        <v>1075</v>
      </c>
      <c r="M77" s="693">
        <f>Table623[[#This Row],[Per piece Pesos]]*Table623[[#This Row],[Quantity]]</f>
        <v>1075</v>
      </c>
      <c r="N77" s="486">
        <v>17.636959999999998</v>
      </c>
      <c r="O77" s="486">
        <v>19.685039370078741</v>
      </c>
      <c r="P77" s="486">
        <v>7.8740157480314963</v>
      </c>
      <c r="Q77" s="486">
        <v>7.8740157480314963</v>
      </c>
      <c r="R77" s="693">
        <v>60</v>
      </c>
      <c r="S77" s="693">
        <f>Table623[[#This Row],[Per Piece US$]]*Table623[[#This Row],[Quantity]]</f>
        <v>60</v>
      </c>
    </row>
    <row r="78" spans="2:19" x14ac:dyDescent="0.25">
      <c r="B78" t="s">
        <v>349</v>
      </c>
      <c r="C78" s="972" t="s">
        <v>734</v>
      </c>
      <c r="D78" s="691" t="s">
        <v>685</v>
      </c>
      <c r="E78" t="s">
        <v>686</v>
      </c>
      <c r="F78" s="691">
        <v>472</v>
      </c>
      <c r="G78">
        <v>6</v>
      </c>
      <c r="H78">
        <v>6</v>
      </c>
      <c r="I78">
        <v>40</v>
      </c>
      <c r="J78">
        <v>16</v>
      </c>
      <c r="K78" s="692">
        <v>16</v>
      </c>
      <c r="L78" s="693">
        <v>755</v>
      </c>
      <c r="M78" s="693">
        <f>Table623[[#This Row],[Per piece Pesos]]*Table623[[#This Row],[Quantity]]</f>
        <v>4530</v>
      </c>
      <c r="N78" s="486">
        <v>13.227719999999998</v>
      </c>
      <c r="O78" s="486">
        <v>15.748031496062993</v>
      </c>
      <c r="P78" s="486">
        <v>6.2992125984251963</v>
      </c>
      <c r="Q78" s="486">
        <v>6.2992125984251963</v>
      </c>
      <c r="R78" s="693">
        <v>42</v>
      </c>
      <c r="S78" s="693">
        <f>Table623[[#This Row],[Per Piece US$]]*Table623[[#This Row],[Quantity]]</f>
        <v>252</v>
      </c>
    </row>
    <row r="79" spans="2:19" x14ac:dyDescent="0.25">
      <c r="B79" t="s">
        <v>349</v>
      </c>
      <c r="C79" s="972" t="s">
        <v>735</v>
      </c>
      <c r="D79" s="691" t="s">
        <v>725</v>
      </c>
      <c r="E79" t="s">
        <v>726</v>
      </c>
      <c r="F79" s="691">
        <v>496</v>
      </c>
      <c r="G79">
        <v>2</v>
      </c>
      <c r="H79">
        <v>7</v>
      </c>
      <c r="I79">
        <v>50</v>
      </c>
      <c r="J79">
        <v>16</v>
      </c>
      <c r="K79" s="692">
        <v>16</v>
      </c>
      <c r="L79" s="693">
        <v>795</v>
      </c>
      <c r="M79" s="693">
        <f>Table623[[#This Row],[Per piece Pesos]]*Table623[[#This Row],[Quantity]]</f>
        <v>1590</v>
      </c>
      <c r="N79" s="486">
        <v>15.432339999999998</v>
      </c>
      <c r="O79" s="486">
        <v>19.685039370078741</v>
      </c>
      <c r="P79" s="486">
        <v>6.2992125984251963</v>
      </c>
      <c r="Q79" s="486">
        <v>6.2992125984251963</v>
      </c>
      <c r="R79" s="693">
        <v>44</v>
      </c>
      <c r="S79" s="693">
        <f>Table623[[#This Row],[Per Piece US$]]*Table623[[#This Row],[Quantity]]</f>
        <v>88</v>
      </c>
    </row>
    <row r="80" spans="2:19" x14ac:dyDescent="0.25">
      <c r="B80" t="s">
        <v>382</v>
      </c>
      <c r="C80" s="972" t="s">
        <v>736</v>
      </c>
      <c r="D80" s="691" t="s">
        <v>712</v>
      </c>
      <c r="E80" t="s">
        <v>713</v>
      </c>
      <c r="F80" s="691">
        <v>312</v>
      </c>
      <c r="G80">
        <v>6</v>
      </c>
      <c r="H80">
        <v>4</v>
      </c>
      <c r="I80">
        <v>40</v>
      </c>
      <c r="J80">
        <v>12</v>
      </c>
      <c r="K80" s="692">
        <v>12</v>
      </c>
      <c r="L80" s="693">
        <v>510</v>
      </c>
      <c r="M80" s="693">
        <f>Table623[[#This Row],[Per piece Pesos]]*Table623[[#This Row],[Quantity]]</f>
        <v>3060</v>
      </c>
      <c r="N80" s="486">
        <v>8.8184799999999992</v>
      </c>
      <c r="O80" s="486">
        <v>15.748031496062993</v>
      </c>
      <c r="P80" s="486">
        <v>4.7244094488188972</v>
      </c>
      <c r="Q80" s="486">
        <v>4.7244094488188972</v>
      </c>
      <c r="R80" s="693">
        <v>28</v>
      </c>
      <c r="S80" s="693">
        <f>Table623[[#This Row],[Per Piece US$]]*Table623[[#This Row],[Quantity]]</f>
        <v>168</v>
      </c>
    </row>
    <row r="81" spans="2:19" x14ac:dyDescent="0.25">
      <c r="B81" t="s">
        <v>390</v>
      </c>
      <c r="C81" s="972" t="s">
        <v>737</v>
      </c>
      <c r="D81" s="691" t="s">
        <v>738</v>
      </c>
      <c r="E81" t="s">
        <v>716</v>
      </c>
      <c r="F81" s="691">
        <v>400</v>
      </c>
      <c r="G81">
        <v>4</v>
      </c>
      <c r="H81">
        <v>5</v>
      </c>
      <c r="I81">
        <v>50</v>
      </c>
      <c r="J81">
        <v>12</v>
      </c>
      <c r="K81" s="692">
        <v>12</v>
      </c>
      <c r="L81" s="693">
        <v>655</v>
      </c>
      <c r="M81" s="693">
        <f>Table623[[#This Row],[Per piece Pesos]]*Table623[[#This Row],[Quantity]]</f>
        <v>2620</v>
      </c>
      <c r="N81" s="486">
        <v>11.023099999999999</v>
      </c>
      <c r="O81" s="486">
        <v>19.685039370078741</v>
      </c>
      <c r="P81" s="486">
        <v>4.7244094488188972</v>
      </c>
      <c r="Q81" s="486">
        <v>4.7244094488188972</v>
      </c>
      <c r="R81" s="693">
        <v>36</v>
      </c>
      <c r="S81" s="693">
        <f>Table623[[#This Row],[Per Piece US$]]*Table623[[#This Row],[Quantity]]</f>
        <v>144</v>
      </c>
    </row>
    <row r="82" spans="2:19" x14ac:dyDescent="0.25">
      <c r="B82" t="s">
        <v>390</v>
      </c>
      <c r="C82" s="972" t="s">
        <v>739</v>
      </c>
      <c r="D82" s="691" t="s">
        <v>685</v>
      </c>
      <c r="E82" t="s">
        <v>686</v>
      </c>
      <c r="F82" s="691">
        <v>472</v>
      </c>
      <c r="G82">
        <v>25</v>
      </c>
      <c r="H82">
        <v>6</v>
      </c>
      <c r="I82">
        <v>40</v>
      </c>
      <c r="J82">
        <v>16</v>
      </c>
      <c r="K82" s="692">
        <v>16</v>
      </c>
      <c r="L82" s="693">
        <v>755</v>
      </c>
      <c r="M82" s="693">
        <f>Table623[[#This Row],[Per piece Pesos]]*Table623[[#This Row],[Quantity]]</f>
        <v>18875</v>
      </c>
      <c r="N82" s="486">
        <v>13.227719999999998</v>
      </c>
      <c r="O82" s="486">
        <v>15.748031496062993</v>
      </c>
      <c r="P82" s="486">
        <v>6.2992125984251963</v>
      </c>
      <c r="Q82" s="486">
        <v>6.2992125984251963</v>
      </c>
      <c r="R82" s="693">
        <v>42</v>
      </c>
      <c r="S82" s="693">
        <f>Table623[[#This Row],[Per Piece US$]]*Table623[[#This Row],[Quantity]]</f>
        <v>1050</v>
      </c>
    </row>
    <row r="83" spans="2:19" x14ac:dyDescent="0.25">
      <c r="B83" t="s">
        <v>390</v>
      </c>
      <c r="C83" s="972" t="s">
        <v>740</v>
      </c>
      <c r="D83" s="691" t="s">
        <v>741</v>
      </c>
      <c r="E83" t="s">
        <v>742</v>
      </c>
      <c r="F83" s="691">
        <v>456</v>
      </c>
      <c r="G83">
        <v>3</v>
      </c>
      <c r="H83">
        <v>5</v>
      </c>
      <c r="I83">
        <v>35</v>
      </c>
      <c r="J83">
        <v>16</v>
      </c>
      <c r="K83" s="692">
        <v>16</v>
      </c>
      <c r="L83" s="693">
        <v>740</v>
      </c>
      <c r="M83" s="693">
        <f>Table623[[#This Row],[Per piece Pesos]]*Table623[[#This Row],[Quantity]]</f>
        <v>2220</v>
      </c>
      <c r="N83" s="486">
        <v>11.023099999999999</v>
      </c>
      <c r="O83" s="486">
        <v>13.779527559055119</v>
      </c>
      <c r="P83" s="486">
        <v>6.2992125984251963</v>
      </c>
      <c r="Q83" s="486">
        <v>6.2992125984251963</v>
      </c>
      <c r="R83" s="693">
        <v>41</v>
      </c>
      <c r="S83" s="693">
        <f>Table623[[#This Row],[Per Piece US$]]*Table623[[#This Row],[Quantity]]</f>
        <v>123</v>
      </c>
    </row>
    <row r="84" spans="2:19" x14ac:dyDescent="0.25">
      <c r="B84" t="s">
        <v>390</v>
      </c>
      <c r="C84" s="972" t="s">
        <v>743</v>
      </c>
      <c r="D84" s="691" t="s">
        <v>744</v>
      </c>
      <c r="E84" t="s">
        <v>745</v>
      </c>
      <c r="F84" s="691">
        <v>344</v>
      </c>
      <c r="G84">
        <v>21</v>
      </c>
      <c r="H84">
        <v>4</v>
      </c>
      <c r="I84">
        <v>40</v>
      </c>
      <c r="J84">
        <v>12</v>
      </c>
      <c r="K84" s="692">
        <v>12</v>
      </c>
      <c r="L84" s="693">
        <v>552</v>
      </c>
      <c r="M84" s="693">
        <f>Table623[[#This Row],[Per piece Pesos]]*Table623[[#This Row],[Quantity]]</f>
        <v>11592</v>
      </c>
      <c r="N84" s="486">
        <v>8.8184799999999992</v>
      </c>
      <c r="O84" s="486">
        <v>15.748031496062993</v>
      </c>
      <c r="P84" s="486">
        <v>4.7244094488188972</v>
      </c>
      <c r="Q84" s="486">
        <v>4.7244094488188972</v>
      </c>
      <c r="R84" s="693">
        <v>31</v>
      </c>
      <c r="S84" s="693">
        <f>Table623[[#This Row],[Per Piece US$]]*Table623[[#This Row],[Quantity]]</f>
        <v>651</v>
      </c>
    </row>
    <row r="85" spans="2:19" x14ac:dyDescent="0.25">
      <c r="B85" t="s">
        <v>384</v>
      </c>
      <c r="C85" s="972" t="s">
        <v>746</v>
      </c>
      <c r="D85" s="691" t="s">
        <v>685</v>
      </c>
      <c r="E85" t="s">
        <v>686</v>
      </c>
      <c r="F85" s="691">
        <v>472</v>
      </c>
      <c r="G85">
        <v>8</v>
      </c>
      <c r="H85">
        <v>6</v>
      </c>
      <c r="I85">
        <v>40</v>
      </c>
      <c r="J85">
        <v>16</v>
      </c>
      <c r="K85" s="692">
        <v>16</v>
      </c>
      <c r="L85" s="693">
        <v>755</v>
      </c>
      <c r="M85" s="693">
        <f>Table623[[#This Row],[Per piece Pesos]]*Table623[[#This Row],[Quantity]]</f>
        <v>6040</v>
      </c>
      <c r="N85" s="486">
        <v>13.227719999999998</v>
      </c>
      <c r="O85" s="486">
        <v>15.748031496062993</v>
      </c>
      <c r="P85" s="486">
        <v>6.2992125984251963</v>
      </c>
      <c r="Q85" s="486">
        <v>6.2992125984251963</v>
      </c>
      <c r="R85" s="693">
        <v>42</v>
      </c>
      <c r="S85" s="693">
        <f>Table623[[#This Row],[Per Piece US$]]*Table623[[#This Row],[Quantity]]</f>
        <v>336</v>
      </c>
    </row>
    <row r="86" spans="2:19" x14ac:dyDescent="0.25">
      <c r="B86" t="s">
        <v>384</v>
      </c>
      <c r="C86" s="972" t="s">
        <v>747</v>
      </c>
      <c r="D86" s="691" t="s">
        <v>712</v>
      </c>
      <c r="E86" t="s">
        <v>713</v>
      </c>
      <c r="F86" s="691">
        <v>312</v>
      </c>
      <c r="G86">
        <v>4</v>
      </c>
      <c r="H86">
        <v>4</v>
      </c>
      <c r="I86">
        <v>40</v>
      </c>
      <c r="J86">
        <v>12</v>
      </c>
      <c r="K86" s="692">
        <v>12</v>
      </c>
      <c r="L86" s="693">
        <v>510</v>
      </c>
      <c r="M86" s="693">
        <f>Table623[[#This Row],[Per piece Pesos]]*Table623[[#This Row],[Quantity]]</f>
        <v>2040</v>
      </c>
      <c r="N86" s="486">
        <v>8.8184799999999992</v>
      </c>
      <c r="O86" s="486">
        <v>15.748031496062993</v>
      </c>
      <c r="P86" s="486">
        <v>4.7244094488188972</v>
      </c>
      <c r="Q86" s="486">
        <v>4.7244094488188972</v>
      </c>
      <c r="R86" s="693">
        <v>28</v>
      </c>
      <c r="S86" s="693">
        <f>Table623[[#This Row],[Per Piece US$]]*Table623[[#This Row],[Quantity]]</f>
        <v>112</v>
      </c>
    </row>
    <row r="87" spans="2:19" x14ac:dyDescent="0.25">
      <c r="B87" t="s">
        <v>384</v>
      </c>
      <c r="C87" s="972" t="s">
        <v>748</v>
      </c>
      <c r="D87" s="691" t="s">
        <v>712</v>
      </c>
      <c r="E87" t="s">
        <v>713</v>
      </c>
      <c r="F87" s="691">
        <v>312</v>
      </c>
      <c r="G87">
        <v>1</v>
      </c>
      <c r="H87">
        <v>4</v>
      </c>
      <c r="I87">
        <v>35</v>
      </c>
      <c r="J87">
        <v>12</v>
      </c>
      <c r="K87" s="692">
        <v>12</v>
      </c>
      <c r="L87" s="693">
        <v>500</v>
      </c>
      <c r="M87" s="693">
        <f>Table623[[#This Row],[Per piece Pesos]]*Table623[[#This Row],[Quantity]]</f>
        <v>500</v>
      </c>
      <c r="N87" s="486">
        <v>8.8184799999999992</v>
      </c>
      <c r="O87" s="486">
        <v>13.779527559055119</v>
      </c>
      <c r="P87" s="486">
        <v>4.7244094488188972</v>
      </c>
      <c r="Q87" s="486">
        <v>4.7244094488188972</v>
      </c>
      <c r="R87" s="693">
        <v>28</v>
      </c>
      <c r="S87" s="693">
        <f>Table623[[#This Row],[Per Piece US$]]*Table623[[#This Row],[Quantity]]</f>
        <v>28</v>
      </c>
    </row>
    <row r="88" spans="2:19" x14ac:dyDescent="0.25">
      <c r="B88" t="s">
        <v>385</v>
      </c>
      <c r="C88" s="972" t="s">
        <v>749</v>
      </c>
      <c r="D88" s="691" t="s">
        <v>750</v>
      </c>
      <c r="E88" t="s">
        <v>91</v>
      </c>
      <c r="F88" s="691">
        <v>120</v>
      </c>
      <c r="G88">
        <v>8</v>
      </c>
      <c r="H88">
        <v>3</v>
      </c>
      <c r="I88">
        <v>35</v>
      </c>
      <c r="J88">
        <v>8</v>
      </c>
      <c r="K88" s="692">
        <v>8</v>
      </c>
      <c r="L88" s="693">
        <v>190</v>
      </c>
      <c r="M88" s="693">
        <f>Table623[[#This Row],[Per piece Pesos]]*Table623[[#This Row],[Quantity]]</f>
        <v>1520</v>
      </c>
      <c r="N88" s="486">
        <v>6.613859999999999</v>
      </c>
      <c r="O88" s="486">
        <v>13.779527559055119</v>
      </c>
      <c r="P88" s="486">
        <v>3.1496062992125982</v>
      </c>
      <c r="Q88" s="486">
        <v>3.1496062992125982</v>
      </c>
      <c r="R88" s="693">
        <v>11</v>
      </c>
      <c r="S88" s="693">
        <f>Table623[[#This Row],[Per Piece US$]]*Table623[[#This Row],[Quantity]]</f>
        <v>88</v>
      </c>
    </row>
    <row r="89" spans="2:19" x14ac:dyDescent="0.25">
      <c r="B89" t="s">
        <v>385</v>
      </c>
      <c r="C89" s="972" t="s">
        <v>751</v>
      </c>
      <c r="D89" s="691" t="s">
        <v>752</v>
      </c>
      <c r="E89" t="s">
        <v>753</v>
      </c>
      <c r="F89" s="691">
        <v>112</v>
      </c>
      <c r="G89">
        <v>20</v>
      </c>
      <c r="H89">
        <v>2</v>
      </c>
      <c r="I89">
        <v>30</v>
      </c>
      <c r="J89">
        <v>8</v>
      </c>
      <c r="K89" s="692">
        <v>8</v>
      </c>
      <c r="L89" s="693">
        <v>180</v>
      </c>
      <c r="M89" s="693">
        <f>Table623[[#This Row],[Per piece Pesos]]*Table623[[#This Row],[Quantity]]</f>
        <v>3600</v>
      </c>
      <c r="N89" s="486">
        <v>4.4092399999999996</v>
      </c>
      <c r="O89" s="486">
        <v>11.811023622047244</v>
      </c>
      <c r="P89" s="486">
        <v>3.1496062992125982</v>
      </c>
      <c r="Q89" s="486">
        <v>3.1496062992125982</v>
      </c>
      <c r="R89" s="693">
        <v>10</v>
      </c>
      <c r="S89" s="693">
        <f>Table623[[#This Row],[Per Piece US$]]*Table623[[#This Row],[Quantity]]</f>
        <v>200</v>
      </c>
    </row>
    <row r="90" spans="2:19" x14ac:dyDescent="0.25">
      <c r="B90" t="s">
        <v>385</v>
      </c>
      <c r="C90" s="972" t="s">
        <v>754</v>
      </c>
      <c r="D90" s="691" t="s">
        <v>752</v>
      </c>
      <c r="E90" t="s">
        <v>753</v>
      </c>
      <c r="F90" s="691">
        <v>112</v>
      </c>
      <c r="G90">
        <v>2</v>
      </c>
      <c r="H90">
        <v>2</v>
      </c>
      <c r="I90">
        <v>25</v>
      </c>
      <c r="J90">
        <v>8</v>
      </c>
      <c r="K90" s="692">
        <v>8</v>
      </c>
      <c r="L90" s="693">
        <v>180</v>
      </c>
      <c r="M90" s="693">
        <f>Table623[[#This Row],[Per piece Pesos]]*Table623[[#This Row],[Quantity]]</f>
        <v>360</v>
      </c>
      <c r="N90" s="486">
        <v>4.4092399999999996</v>
      </c>
      <c r="O90" s="486">
        <v>9.8425196850393704</v>
      </c>
      <c r="P90" s="486">
        <v>3.1496062992125982</v>
      </c>
      <c r="Q90" s="486">
        <v>3.1496062992125982</v>
      </c>
      <c r="R90" s="693">
        <v>10</v>
      </c>
      <c r="S90" s="693">
        <f>Table623[[#This Row],[Per Piece US$]]*Table623[[#This Row],[Quantity]]</f>
        <v>20</v>
      </c>
    </row>
    <row r="91" spans="2:19" x14ac:dyDescent="0.25">
      <c r="B91" t="s">
        <v>385</v>
      </c>
      <c r="C91" s="972" t="s">
        <v>755</v>
      </c>
      <c r="D91" s="691" t="s">
        <v>745</v>
      </c>
      <c r="E91" t="s">
        <v>720</v>
      </c>
      <c r="F91" s="691">
        <v>248</v>
      </c>
      <c r="G91">
        <v>6</v>
      </c>
      <c r="H91">
        <v>4</v>
      </c>
      <c r="I91">
        <v>35</v>
      </c>
      <c r="J91">
        <v>12</v>
      </c>
      <c r="K91" s="692">
        <v>12</v>
      </c>
      <c r="L91" s="693">
        <v>400</v>
      </c>
      <c r="M91" s="693">
        <f>Table623[[#This Row],[Per piece Pesos]]*Table623[[#This Row],[Quantity]]</f>
        <v>2400</v>
      </c>
      <c r="N91" s="486">
        <v>8.8184799999999992</v>
      </c>
      <c r="O91" s="486">
        <v>13.779527559055119</v>
      </c>
      <c r="P91" s="486">
        <v>4.7244094488188972</v>
      </c>
      <c r="Q91" s="486">
        <v>4.7244094488188972</v>
      </c>
      <c r="R91" s="693">
        <v>22</v>
      </c>
      <c r="S91" s="693">
        <f>Table623[[#This Row],[Per Piece US$]]*Table623[[#This Row],[Quantity]]</f>
        <v>132</v>
      </c>
    </row>
    <row r="92" spans="2:19" x14ac:dyDescent="0.25">
      <c r="B92" t="s">
        <v>389</v>
      </c>
      <c r="C92" s="972" t="s">
        <v>756</v>
      </c>
      <c r="D92" s="691" t="s">
        <v>692</v>
      </c>
      <c r="E92" t="s">
        <v>757</v>
      </c>
      <c r="F92" s="691">
        <v>192</v>
      </c>
      <c r="G92">
        <v>15</v>
      </c>
      <c r="H92">
        <v>5</v>
      </c>
      <c r="I92">
        <v>35</v>
      </c>
      <c r="J92">
        <v>10</v>
      </c>
      <c r="K92" s="692">
        <v>10</v>
      </c>
      <c r="L92" s="693">
        <v>310</v>
      </c>
      <c r="M92" s="693">
        <f>Table623[[#This Row],[Per piece Pesos]]*Table623[[#This Row],[Quantity]]</f>
        <v>4650</v>
      </c>
      <c r="N92" s="486">
        <v>11.023099999999999</v>
      </c>
      <c r="O92" s="486">
        <v>13.779527559055119</v>
      </c>
      <c r="P92" s="486">
        <v>3.9370078740157481</v>
      </c>
      <c r="Q92" s="486">
        <v>3.9370078740157481</v>
      </c>
      <c r="R92" s="693">
        <v>17</v>
      </c>
      <c r="S92" s="693">
        <f>Table623[[#This Row],[Per Piece US$]]*Table623[[#This Row],[Quantity]]</f>
        <v>255</v>
      </c>
    </row>
    <row r="93" spans="2:19" x14ac:dyDescent="0.25">
      <c r="B93" t="s">
        <v>389</v>
      </c>
      <c r="C93" s="972" t="s">
        <v>758</v>
      </c>
      <c r="D93" s="691" t="s">
        <v>759</v>
      </c>
      <c r="E93" t="s">
        <v>750</v>
      </c>
      <c r="F93" s="691">
        <v>168</v>
      </c>
      <c r="G93">
        <v>6</v>
      </c>
      <c r="H93">
        <v>4</v>
      </c>
      <c r="I93">
        <v>30</v>
      </c>
      <c r="J93">
        <v>10</v>
      </c>
      <c r="K93" s="692">
        <v>10</v>
      </c>
      <c r="L93" s="693">
        <v>270</v>
      </c>
      <c r="M93" s="693">
        <f>Table623[[#This Row],[Per piece Pesos]]*Table623[[#This Row],[Quantity]]</f>
        <v>1620</v>
      </c>
      <c r="N93" s="486">
        <v>8.8184799999999992</v>
      </c>
      <c r="O93" s="486">
        <v>11.811023622047244</v>
      </c>
      <c r="P93" s="486">
        <v>3.9370078740157481</v>
      </c>
      <c r="Q93" s="486">
        <v>3.9370078740157481</v>
      </c>
      <c r="R93" s="693">
        <v>15</v>
      </c>
      <c r="S93" s="693">
        <f>Table623[[#This Row],[Per Piece US$]]*Table623[[#This Row],[Quantity]]</f>
        <v>90</v>
      </c>
    </row>
    <row r="94" spans="2:19" x14ac:dyDescent="0.25">
      <c r="B94" t="s">
        <v>389</v>
      </c>
      <c r="C94" s="972" t="s">
        <v>760</v>
      </c>
      <c r="D94" s="691" t="s">
        <v>757</v>
      </c>
      <c r="E94" t="s">
        <v>761</v>
      </c>
      <c r="F94" s="691">
        <v>136</v>
      </c>
      <c r="G94">
        <v>3</v>
      </c>
      <c r="H94">
        <v>4</v>
      </c>
      <c r="I94">
        <v>25</v>
      </c>
      <c r="J94">
        <v>10</v>
      </c>
      <c r="K94" s="692">
        <v>10</v>
      </c>
      <c r="L94" s="693">
        <v>220</v>
      </c>
      <c r="M94" s="693">
        <f>Table623[[#This Row],[Per piece Pesos]]*Table623[[#This Row],[Quantity]]</f>
        <v>660</v>
      </c>
      <c r="N94" s="486">
        <v>8.8184799999999992</v>
      </c>
      <c r="O94" s="486">
        <v>9.8425196850393704</v>
      </c>
      <c r="P94" s="486">
        <v>3.9370078740157481</v>
      </c>
      <c r="Q94" s="486">
        <v>3.9370078740157481</v>
      </c>
      <c r="R94" s="693">
        <v>12</v>
      </c>
      <c r="S94" s="693">
        <f>Table623[[#This Row],[Per Piece US$]]*Table623[[#This Row],[Quantity]]</f>
        <v>36</v>
      </c>
    </row>
    <row r="95" spans="2:19" x14ac:dyDescent="0.25">
      <c r="B95" t="s">
        <v>388</v>
      </c>
      <c r="C95" s="972" t="s">
        <v>762</v>
      </c>
      <c r="D95" s="691" t="s">
        <v>763</v>
      </c>
      <c r="E95" t="s">
        <v>764</v>
      </c>
      <c r="F95" s="691">
        <v>200</v>
      </c>
      <c r="G95">
        <v>3</v>
      </c>
      <c r="H95">
        <v>3</v>
      </c>
      <c r="I95">
        <v>30</v>
      </c>
      <c r="J95">
        <v>12</v>
      </c>
      <c r="K95" s="692">
        <v>12</v>
      </c>
      <c r="L95" s="693">
        <v>320</v>
      </c>
      <c r="M95" s="693">
        <f>Table623[[#This Row],[Per piece Pesos]]*Table623[[#This Row],[Quantity]]</f>
        <v>960</v>
      </c>
      <c r="N95" s="486">
        <v>6.613859999999999</v>
      </c>
      <c r="O95" s="486">
        <v>11.811023622047244</v>
      </c>
      <c r="P95" s="486">
        <v>4.7244094488188972</v>
      </c>
      <c r="Q95" s="486">
        <v>4.7244094488188972</v>
      </c>
      <c r="R95" s="693">
        <v>18</v>
      </c>
      <c r="S95" s="693">
        <f>Table623[[#This Row],[Per Piece US$]]*Table623[[#This Row],[Quantity]]</f>
        <v>54</v>
      </c>
    </row>
    <row r="96" spans="2:19" x14ac:dyDescent="0.25">
      <c r="B96" t="s">
        <v>386</v>
      </c>
      <c r="C96" s="972" t="s">
        <v>765</v>
      </c>
      <c r="D96" s="691" t="s">
        <v>716</v>
      </c>
      <c r="E96" t="s">
        <v>717</v>
      </c>
      <c r="F96" s="691">
        <v>288</v>
      </c>
      <c r="G96">
        <v>9</v>
      </c>
      <c r="H96">
        <v>4</v>
      </c>
      <c r="I96">
        <v>40</v>
      </c>
      <c r="J96">
        <v>12</v>
      </c>
      <c r="K96" s="692">
        <v>12</v>
      </c>
      <c r="L96" s="693">
        <v>460</v>
      </c>
      <c r="M96" s="693">
        <f>Table623[[#This Row],[Per piece Pesos]]*Table623[[#This Row],[Quantity]]</f>
        <v>4140</v>
      </c>
      <c r="N96" s="486">
        <v>8.8184799999999992</v>
      </c>
      <c r="O96" s="486">
        <v>15.748031496062993</v>
      </c>
      <c r="P96" s="486">
        <v>4.7244094488188972</v>
      </c>
      <c r="Q96" s="486">
        <v>4.7244094488188972</v>
      </c>
      <c r="R96" s="693">
        <v>26</v>
      </c>
      <c r="S96" s="693">
        <f>Table623[[#This Row],[Per Piece US$]]*Table623[[#This Row],[Quantity]]</f>
        <v>234</v>
      </c>
    </row>
    <row r="97" spans="2:19" x14ac:dyDescent="0.25">
      <c r="B97" t="s">
        <v>387</v>
      </c>
      <c r="C97" s="972" t="s">
        <v>766</v>
      </c>
      <c r="D97" s="691" t="s">
        <v>688</v>
      </c>
      <c r="E97" t="s">
        <v>689</v>
      </c>
      <c r="F97" s="691">
        <v>256</v>
      </c>
      <c r="G97">
        <v>3</v>
      </c>
      <c r="H97">
        <v>4</v>
      </c>
      <c r="I97">
        <v>40</v>
      </c>
      <c r="J97">
        <v>12</v>
      </c>
      <c r="K97" s="692">
        <v>12</v>
      </c>
      <c r="L97" s="693">
        <v>420</v>
      </c>
      <c r="M97" s="693">
        <f>Table623[[#This Row],[Per piece Pesos]]*Table623[[#This Row],[Quantity]]</f>
        <v>1260</v>
      </c>
      <c r="N97" s="486">
        <v>8.8184799999999992</v>
      </c>
      <c r="O97" s="486">
        <v>15.748031496062993</v>
      </c>
      <c r="P97" s="486">
        <v>4.7244094488188972</v>
      </c>
      <c r="Q97" s="486">
        <v>4.7244094488188972</v>
      </c>
      <c r="R97" s="693">
        <v>23</v>
      </c>
      <c r="S97" s="693">
        <f>Table623[[#This Row],[Per Piece US$]]*Table623[[#This Row],[Quantity]]</f>
        <v>69</v>
      </c>
    </row>
    <row r="98" spans="2:19" x14ac:dyDescent="0.25">
      <c r="B98" t="s">
        <v>387</v>
      </c>
      <c r="C98" s="972" t="s">
        <v>767</v>
      </c>
      <c r="D98" s="691" t="s">
        <v>750</v>
      </c>
      <c r="E98" t="s">
        <v>91</v>
      </c>
      <c r="F98" s="691">
        <v>120</v>
      </c>
      <c r="G98">
        <v>6</v>
      </c>
      <c r="H98">
        <v>3</v>
      </c>
      <c r="I98">
        <v>35</v>
      </c>
      <c r="J98">
        <v>8</v>
      </c>
      <c r="K98" s="692">
        <v>8</v>
      </c>
      <c r="L98" s="693">
        <v>190</v>
      </c>
      <c r="M98" s="693">
        <f>Table623[[#This Row],[Per piece Pesos]]*Table623[[#This Row],[Quantity]]</f>
        <v>1140</v>
      </c>
      <c r="N98" s="486">
        <v>6.613859999999999</v>
      </c>
      <c r="O98" s="486">
        <v>13.779527559055119</v>
      </c>
      <c r="P98" s="486">
        <v>3.1496062992125982</v>
      </c>
      <c r="Q98" s="486">
        <v>3.1496062992125982</v>
      </c>
      <c r="R98" s="693">
        <v>11</v>
      </c>
      <c r="S98" s="693">
        <f>Table623[[#This Row],[Per Piece US$]]*Table623[[#This Row],[Quantity]]</f>
        <v>66</v>
      </c>
    </row>
    <row r="99" spans="2:19" x14ac:dyDescent="0.25">
      <c r="B99" t="s">
        <v>388</v>
      </c>
      <c r="C99" s="972" t="s">
        <v>768</v>
      </c>
      <c r="D99" s="691" t="s">
        <v>757</v>
      </c>
      <c r="E99" t="s">
        <v>761</v>
      </c>
      <c r="F99" s="691">
        <v>136</v>
      </c>
      <c r="G99">
        <v>30</v>
      </c>
      <c r="H99">
        <v>3</v>
      </c>
      <c r="I99">
        <v>35</v>
      </c>
      <c r="J99">
        <v>8</v>
      </c>
      <c r="K99" s="692">
        <v>8</v>
      </c>
      <c r="L99" s="693">
        <v>220</v>
      </c>
      <c r="M99" s="693">
        <f>Table623[[#This Row],[Per piece Pesos]]*Table623[[#This Row],[Quantity]]</f>
        <v>6600</v>
      </c>
      <c r="N99" s="486">
        <v>6.613859999999999</v>
      </c>
      <c r="O99" s="486">
        <v>13.779527559055119</v>
      </c>
      <c r="P99" s="486">
        <v>3.1496062992125982</v>
      </c>
      <c r="Q99" s="486">
        <v>3.1496062992125982</v>
      </c>
      <c r="R99" s="693">
        <v>12</v>
      </c>
      <c r="S99" s="693">
        <f>Table623[[#This Row],[Per Piece US$]]*Table623[[#This Row],[Quantity]]</f>
        <v>360</v>
      </c>
    </row>
    <row r="100" spans="2:19" x14ac:dyDescent="0.25">
      <c r="B100" t="s">
        <v>388</v>
      </c>
      <c r="C100" s="972" t="s">
        <v>769</v>
      </c>
      <c r="D100" s="691" t="s">
        <v>757</v>
      </c>
      <c r="E100" t="s">
        <v>761</v>
      </c>
      <c r="F100" s="691">
        <v>136</v>
      </c>
      <c r="G100">
        <v>4</v>
      </c>
      <c r="H100">
        <v>2</v>
      </c>
      <c r="I100">
        <v>30</v>
      </c>
      <c r="J100">
        <v>8</v>
      </c>
      <c r="K100" s="692">
        <v>8</v>
      </c>
      <c r="L100" s="693">
        <v>210</v>
      </c>
      <c r="M100" s="693">
        <f>Table623[[#This Row],[Per piece Pesos]]*Table623[[#This Row],[Quantity]]</f>
        <v>840</v>
      </c>
      <c r="N100" s="486">
        <v>4.4092399999999996</v>
      </c>
      <c r="O100" s="486">
        <v>11.811023622047244</v>
      </c>
      <c r="P100" s="486">
        <v>3.1496062992125982</v>
      </c>
      <c r="Q100" s="486">
        <v>3.1496062992125982</v>
      </c>
      <c r="R100" s="693">
        <v>12</v>
      </c>
      <c r="S100" s="693">
        <f>Table623[[#This Row],[Per Piece US$]]*Table623[[#This Row],[Quantity]]</f>
        <v>48</v>
      </c>
    </row>
    <row r="101" spans="2:19" x14ac:dyDescent="0.25">
      <c r="B101" t="s">
        <v>390</v>
      </c>
      <c r="C101" s="972" t="s">
        <v>770</v>
      </c>
      <c r="D101" s="691" t="s">
        <v>771</v>
      </c>
      <c r="E101" t="s">
        <v>772</v>
      </c>
      <c r="F101" s="691">
        <v>536</v>
      </c>
      <c r="G101">
        <v>2</v>
      </c>
      <c r="H101">
        <v>7</v>
      </c>
      <c r="I101">
        <v>50</v>
      </c>
      <c r="J101">
        <v>16</v>
      </c>
      <c r="K101" s="692">
        <v>16</v>
      </c>
      <c r="L101" s="693">
        <v>860</v>
      </c>
      <c r="M101" s="693">
        <f>Table623[[#This Row],[Per piece Pesos]]*Table623[[#This Row],[Quantity]]</f>
        <v>1720</v>
      </c>
      <c r="N101" s="486">
        <v>15.432339999999998</v>
      </c>
      <c r="O101" s="486">
        <v>19.685039370078741</v>
      </c>
      <c r="P101" s="486">
        <v>6.2992125984251963</v>
      </c>
      <c r="Q101" s="486">
        <v>6.2992125984251963</v>
      </c>
      <c r="R101" s="693">
        <v>48</v>
      </c>
      <c r="S101" s="693">
        <f>Table623[[#This Row],[Per Piece US$]]*Table623[[#This Row],[Quantity]]</f>
        <v>96</v>
      </c>
    </row>
    <row r="102" spans="2:19" x14ac:dyDescent="0.25">
      <c r="B102" t="s">
        <v>390</v>
      </c>
      <c r="C102" s="972" t="s">
        <v>773</v>
      </c>
      <c r="D102" s="691" t="s">
        <v>774</v>
      </c>
      <c r="E102" t="s">
        <v>775</v>
      </c>
      <c r="F102" s="691">
        <v>728</v>
      </c>
      <c r="G102">
        <v>2</v>
      </c>
      <c r="H102">
        <v>8</v>
      </c>
      <c r="I102">
        <v>50</v>
      </c>
      <c r="J102">
        <v>20</v>
      </c>
      <c r="K102" s="692">
        <v>20</v>
      </c>
      <c r="L102" s="693">
        <v>1160</v>
      </c>
      <c r="M102" s="693">
        <f>Table623[[#This Row],[Per piece Pesos]]*Table623[[#This Row],[Quantity]]</f>
        <v>2320</v>
      </c>
      <c r="N102" s="486">
        <v>17.636959999999998</v>
      </c>
      <c r="O102" s="486">
        <v>19.685039370078741</v>
      </c>
      <c r="P102" s="486">
        <v>7.8740157480314963</v>
      </c>
      <c r="Q102" s="486">
        <v>7.8740157480314963</v>
      </c>
      <c r="R102" s="693">
        <v>65</v>
      </c>
      <c r="S102" s="693">
        <f>Table623[[#This Row],[Per Piece US$]]*Table623[[#This Row],[Quantity]]</f>
        <v>130</v>
      </c>
    </row>
    <row r="103" spans="2:19" x14ac:dyDescent="0.25">
      <c r="B103" t="s">
        <v>419</v>
      </c>
      <c r="C103" s="972" t="s">
        <v>776</v>
      </c>
      <c r="D103" s="691" t="s">
        <v>725</v>
      </c>
      <c r="E103" t="s">
        <v>726</v>
      </c>
      <c r="F103" s="691">
        <v>496</v>
      </c>
      <c r="G103">
        <v>9</v>
      </c>
      <c r="H103">
        <v>7</v>
      </c>
      <c r="I103">
        <v>50</v>
      </c>
      <c r="J103">
        <v>16</v>
      </c>
      <c r="K103" s="692">
        <v>16</v>
      </c>
      <c r="L103" s="693">
        <v>795</v>
      </c>
      <c r="M103" s="693">
        <f>Table623[[#This Row],[Per piece Pesos]]*Table623[[#This Row],[Quantity]]</f>
        <v>7155</v>
      </c>
      <c r="N103" s="486">
        <v>15.432339999999998</v>
      </c>
      <c r="O103" s="486">
        <v>19.685039370078741</v>
      </c>
      <c r="P103" s="486">
        <v>6.2992125984251963</v>
      </c>
      <c r="Q103" s="486">
        <v>6.2992125984251963</v>
      </c>
      <c r="R103" s="693">
        <v>44</v>
      </c>
      <c r="S103" s="693">
        <f>Table623[[#This Row],[Per Piece US$]]*Table623[[#This Row],[Quantity]]</f>
        <v>396</v>
      </c>
    </row>
    <row r="104" spans="2:19" x14ac:dyDescent="0.25">
      <c r="B104" t="s">
        <v>419</v>
      </c>
      <c r="C104" s="972" t="s">
        <v>777</v>
      </c>
      <c r="D104" s="691" t="s">
        <v>778</v>
      </c>
      <c r="E104" t="s">
        <v>779</v>
      </c>
      <c r="F104" s="691">
        <v>392</v>
      </c>
      <c r="G104">
        <v>8</v>
      </c>
      <c r="H104">
        <v>5</v>
      </c>
      <c r="I104">
        <v>50</v>
      </c>
      <c r="J104">
        <v>12</v>
      </c>
      <c r="K104" s="692">
        <v>12</v>
      </c>
      <c r="L104" s="693">
        <v>620</v>
      </c>
      <c r="M104" s="693">
        <f>Table623[[#This Row],[Per piece Pesos]]*Table623[[#This Row],[Quantity]]</f>
        <v>4960</v>
      </c>
      <c r="N104" s="486">
        <v>11.023099999999999</v>
      </c>
      <c r="O104" s="486">
        <v>19.685039370078741</v>
      </c>
      <c r="P104" s="486">
        <v>4.7244094488188972</v>
      </c>
      <c r="Q104" s="486">
        <v>4.7244094488188972</v>
      </c>
      <c r="R104" s="693">
        <v>35</v>
      </c>
      <c r="S104" s="693">
        <f>Table623[[#This Row],[Per Piece US$]]*Table623[[#This Row],[Quantity]]</f>
        <v>280</v>
      </c>
    </row>
    <row r="105" spans="2:19" x14ac:dyDescent="0.25">
      <c r="B105" t="s">
        <v>419</v>
      </c>
      <c r="C105" s="972" t="s">
        <v>780</v>
      </c>
      <c r="D105" s="691" t="s">
        <v>712</v>
      </c>
      <c r="E105" t="s">
        <v>713</v>
      </c>
      <c r="F105" s="691">
        <v>312</v>
      </c>
      <c r="G105">
        <v>5</v>
      </c>
      <c r="H105">
        <v>4</v>
      </c>
      <c r="I105">
        <v>35</v>
      </c>
      <c r="J105">
        <v>12</v>
      </c>
      <c r="K105" s="692">
        <v>12</v>
      </c>
      <c r="L105" s="693">
        <v>495</v>
      </c>
      <c r="M105" s="693">
        <f>Table623[[#This Row],[Per piece Pesos]]*Table623[[#This Row],[Quantity]]</f>
        <v>2475</v>
      </c>
      <c r="N105" s="486">
        <v>8.8184799999999992</v>
      </c>
      <c r="O105" s="486">
        <v>13.779527559055119</v>
      </c>
      <c r="P105" s="486">
        <v>4.7244094488188972</v>
      </c>
      <c r="Q105" s="486">
        <v>4.7244094488188972</v>
      </c>
      <c r="R105" s="693">
        <v>28</v>
      </c>
      <c r="S105" s="693">
        <f>Table623[[#This Row],[Per Piece US$]]*Table623[[#This Row],[Quantity]]</f>
        <v>140</v>
      </c>
    </row>
    <row r="106" spans="2:19" x14ac:dyDescent="0.25">
      <c r="B106" t="s">
        <v>419</v>
      </c>
      <c r="C106" s="972" t="s">
        <v>781</v>
      </c>
      <c r="D106" s="691" t="s">
        <v>712</v>
      </c>
      <c r="E106" t="s">
        <v>713</v>
      </c>
      <c r="F106" s="691">
        <v>312</v>
      </c>
      <c r="G106">
        <v>6</v>
      </c>
      <c r="H106">
        <v>4</v>
      </c>
      <c r="I106">
        <v>40</v>
      </c>
      <c r="J106">
        <v>12</v>
      </c>
      <c r="K106" s="692">
        <v>12</v>
      </c>
      <c r="L106" s="693">
        <v>510</v>
      </c>
      <c r="M106" s="693">
        <f>Table623[[#This Row],[Per piece Pesos]]*Table623[[#This Row],[Quantity]]</f>
        <v>3060</v>
      </c>
      <c r="N106" s="486">
        <v>8.8184799999999992</v>
      </c>
      <c r="O106" s="486">
        <v>15.748031496062993</v>
      </c>
      <c r="P106" s="486">
        <v>4.7244094488188972</v>
      </c>
      <c r="Q106" s="486">
        <v>4.7244094488188972</v>
      </c>
      <c r="R106" s="693">
        <v>28</v>
      </c>
      <c r="S106" s="693">
        <f>Table623[[#This Row],[Per Piece US$]]*Table623[[#This Row],[Quantity]]</f>
        <v>168</v>
      </c>
    </row>
    <row r="107" spans="2:19" x14ac:dyDescent="0.25">
      <c r="B107" t="s">
        <v>419</v>
      </c>
      <c r="C107" s="972" t="s">
        <v>782</v>
      </c>
      <c r="D107" s="691" t="s">
        <v>685</v>
      </c>
      <c r="E107" t="s">
        <v>686</v>
      </c>
      <c r="F107" s="691">
        <v>472</v>
      </c>
      <c r="G107">
        <v>7</v>
      </c>
      <c r="H107">
        <v>6</v>
      </c>
      <c r="I107">
        <v>40</v>
      </c>
      <c r="J107">
        <v>16</v>
      </c>
      <c r="K107" s="692">
        <v>16</v>
      </c>
      <c r="L107" s="693">
        <v>755</v>
      </c>
      <c r="M107" s="693">
        <f>Table623[[#This Row],[Per piece Pesos]]*Table623[[#This Row],[Quantity]]</f>
        <v>5285</v>
      </c>
      <c r="N107" s="486">
        <v>13.227719999999998</v>
      </c>
      <c r="O107" s="486">
        <v>15.748031496062993</v>
      </c>
      <c r="P107" s="486">
        <v>6.2992125984251963</v>
      </c>
      <c r="Q107" s="486">
        <v>6.2992125984251963</v>
      </c>
      <c r="R107" s="693">
        <v>42</v>
      </c>
      <c r="S107" s="693">
        <f>Table623[[#This Row],[Per Piece US$]]*Table623[[#This Row],[Quantity]]</f>
        <v>294</v>
      </c>
    </row>
    <row r="108" spans="2:19" x14ac:dyDescent="0.25">
      <c r="B108" t="s">
        <v>420</v>
      </c>
      <c r="C108" s="972" t="s">
        <v>783</v>
      </c>
      <c r="D108" s="691" t="s">
        <v>750</v>
      </c>
      <c r="E108" t="s">
        <v>91</v>
      </c>
      <c r="F108" s="691">
        <v>120</v>
      </c>
      <c r="G108">
        <v>18</v>
      </c>
      <c r="H108">
        <v>3</v>
      </c>
      <c r="I108">
        <v>35</v>
      </c>
      <c r="J108">
        <v>8</v>
      </c>
      <c r="K108" s="692">
        <v>8</v>
      </c>
      <c r="L108" s="693">
        <v>190</v>
      </c>
      <c r="M108" s="693">
        <f>Table623[[#This Row],[Per piece Pesos]]*Table623[[#This Row],[Quantity]]</f>
        <v>3420</v>
      </c>
      <c r="N108" s="486">
        <v>6.613859999999999</v>
      </c>
      <c r="O108" s="486">
        <v>13.779527559055119</v>
      </c>
      <c r="P108" s="486">
        <v>3.1496062992125982</v>
      </c>
      <c r="Q108" s="486">
        <v>3.1496062992125982</v>
      </c>
      <c r="R108" s="693">
        <v>11</v>
      </c>
      <c r="S108" s="693">
        <f>Table623[[#This Row],[Per Piece US$]]*Table623[[#This Row],[Quantity]]</f>
        <v>198</v>
      </c>
    </row>
    <row r="109" spans="2:19" x14ac:dyDescent="0.25">
      <c r="B109" t="s">
        <v>784</v>
      </c>
      <c r="C109" s="972" t="s">
        <v>785</v>
      </c>
      <c r="D109" s="691" t="s">
        <v>692</v>
      </c>
      <c r="E109" t="s">
        <v>757</v>
      </c>
      <c r="F109" s="691">
        <v>192</v>
      </c>
      <c r="G109">
        <v>12</v>
      </c>
      <c r="H109">
        <v>4.2</v>
      </c>
      <c r="I109">
        <v>35</v>
      </c>
      <c r="J109">
        <v>10</v>
      </c>
      <c r="K109" s="692">
        <v>10</v>
      </c>
      <c r="L109" s="693">
        <v>310</v>
      </c>
      <c r="M109" s="693">
        <f>Table623[[#This Row],[Per piece Pesos]]*Table623[[#This Row],[Quantity]]</f>
        <v>3720</v>
      </c>
      <c r="N109" s="486">
        <v>9.259404</v>
      </c>
      <c r="O109" s="486">
        <v>13.779527559055119</v>
      </c>
      <c r="P109" s="486">
        <v>3.9370078740157481</v>
      </c>
      <c r="Q109" s="486">
        <v>3.9370078740157481</v>
      </c>
      <c r="R109" s="693">
        <v>17</v>
      </c>
      <c r="S109" s="693">
        <f>Table623[[#This Row],[Per Piece US$]]*Table623[[#This Row],[Quantity]]</f>
        <v>204</v>
      </c>
    </row>
    <row r="110" spans="2:19" x14ac:dyDescent="0.25">
      <c r="B110" t="s">
        <v>784</v>
      </c>
      <c r="C110" s="972" t="s">
        <v>786</v>
      </c>
      <c r="D110" s="691" t="s">
        <v>759</v>
      </c>
      <c r="E110" t="s">
        <v>750</v>
      </c>
      <c r="F110" s="691">
        <v>168</v>
      </c>
      <c r="G110">
        <v>12</v>
      </c>
      <c r="H110">
        <v>3.6</v>
      </c>
      <c r="I110">
        <v>30</v>
      </c>
      <c r="J110">
        <v>10</v>
      </c>
      <c r="K110" s="692">
        <v>10</v>
      </c>
      <c r="L110" s="693">
        <v>270</v>
      </c>
      <c r="M110" s="693">
        <f>Table623[[#This Row],[Per piece Pesos]]*Table623[[#This Row],[Quantity]]</f>
        <v>3240</v>
      </c>
      <c r="N110" s="486">
        <v>7.9366319999999995</v>
      </c>
      <c r="O110" s="486">
        <v>11.811023622047244</v>
      </c>
      <c r="P110" s="486">
        <v>3.9370078740157481</v>
      </c>
      <c r="Q110" s="486">
        <v>3.9370078740157481</v>
      </c>
      <c r="R110" s="693">
        <v>15</v>
      </c>
      <c r="S110" s="693">
        <f>Table623[[#This Row],[Per Piece US$]]*Table623[[#This Row],[Quantity]]</f>
        <v>180</v>
      </c>
    </row>
    <row r="111" spans="2:19" x14ac:dyDescent="0.25">
      <c r="B111" t="s">
        <v>787</v>
      </c>
      <c r="C111" s="972" t="s">
        <v>788</v>
      </c>
      <c r="D111" s="691" t="s">
        <v>789</v>
      </c>
      <c r="E111" t="s">
        <v>752</v>
      </c>
      <c r="F111" s="691">
        <v>160</v>
      </c>
      <c r="G111">
        <v>15</v>
      </c>
      <c r="H111">
        <v>4.2</v>
      </c>
      <c r="I111">
        <v>35</v>
      </c>
      <c r="J111">
        <v>10</v>
      </c>
      <c r="K111" s="692">
        <v>10</v>
      </c>
      <c r="L111" s="693">
        <v>255</v>
      </c>
      <c r="M111" s="693">
        <f>Table623[[#This Row],[Per piece Pesos]]*Table623[[#This Row],[Quantity]]</f>
        <v>3825</v>
      </c>
      <c r="N111" s="486">
        <v>9.259404</v>
      </c>
      <c r="O111" s="486">
        <v>13.779527559055119</v>
      </c>
      <c r="P111" s="486">
        <v>3.9370078740157481</v>
      </c>
      <c r="Q111" s="486">
        <v>3.9370078740157481</v>
      </c>
      <c r="R111" s="693">
        <v>14</v>
      </c>
      <c r="S111" s="693">
        <f>Table623[[#This Row],[Per Piece US$]]*Table623[[#This Row],[Quantity]]</f>
        <v>210</v>
      </c>
    </row>
    <row r="112" spans="2:19" x14ac:dyDescent="0.25">
      <c r="B112" t="s">
        <v>787</v>
      </c>
      <c r="C112" s="972" t="s">
        <v>790</v>
      </c>
      <c r="D112" s="691" t="s">
        <v>720</v>
      </c>
      <c r="E112" t="s">
        <v>119</v>
      </c>
      <c r="F112" s="691">
        <v>176</v>
      </c>
      <c r="G112">
        <v>4</v>
      </c>
      <c r="H112">
        <v>4.8</v>
      </c>
      <c r="I112">
        <v>40</v>
      </c>
      <c r="J112">
        <v>10</v>
      </c>
      <c r="K112" s="692">
        <v>10</v>
      </c>
      <c r="L112" s="693">
        <v>290</v>
      </c>
      <c r="M112" s="693">
        <f>Table623[[#This Row],[Per piece Pesos]]*Table623[[#This Row],[Quantity]]</f>
        <v>1160</v>
      </c>
      <c r="N112" s="486">
        <v>10.582175999999999</v>
      </c>
      <c r="O112" s="486">
        <v>15.748031496062993</v>
      </c>
      <c r="P112" s="486">
        <v>3.9370078740157481</v>
      </c>
      <c r="Q112" s="486">
        <v>3.9370078740157481</v>
      </c>
      <c r="R112" s="693">
        <v>16</v>
      </c>
      <c r="S112" s="693">
        <f>Table623[[#This Row],[Per Piece US$]]*Table623[[#This Row],[Quantity]]</f>
        <v>64</v>
      </c>
    </row>
    <row r="113" spans="2:21" x14ac:dyDescent="0.25">
      <c r="B113" t="s">
        <v>787</v>
      </c>
      <c r="C113" s="972" t="s">
        <v>791</v>
      </c>
      <c r="D113" s="691" t="s">
        <v>752</v>
      </c>
      <c r="E113" t="s">
        <v>753</v>
      </c>
      <c r="F113" s="691">
        <v>112</v>
      </c>
      <c r="G113">
        <v>3</v>
      </c>
      <c r="H113">
        <v>3</v>
      </c>
      <c r="I113">
        <v>25</v>
      </c>
      <c r="J113">
        <v>10</v>
      </c>
      <c r="K113" s="692">
        <v>10</v>
      </c>
      <c r="L113" s="693">
        <v>180</v>
      </c>
      <c r="M113" s="693">
        <f>Table623[[#This Row],[Per piece Pesos]]*Table623[[#This Row],[Quantity]]</f>
        <v>540</v>
      </c>
      <c r="N113" s="486">
        <v>6.613859999999999</v>
      </c>
      <c r="O113" s="486">
        <v>9.8425196850393704</v>
      </c>
      <c r="P113" s="486">
        <v>3.9370078740157481</v>
      </c>
      <c r="Q113" s="486">
        <v>3.9370078740157481</v>
      </c>
      <c r="R113" s="693">
        <v>10</v>
      </c>
      <c r="S113" s="693">
        <f>Table623[[#This Row],[Per Piece US$]]*Table623[[#This Row],[Quantity]]</f>
        <v>30</v>
      </c>
    </row>
    <row r="114" spans="2:21" x14ac:dyDescent="0.25">
      <c r="B114" t="s">
        <v>792</v>
      </c>
      <c r="C114" s="972" t="s">
        <v>793</v>
      </c>
      <c r="D114" s="691" t="s">
        <v>720</v>
      </c>
      <c r="E114" t="s">
        <v>119</v>
      </c>
      <c r="F114" s="691">
        <v>176</v>
      </c>
      <c r="G114">
        <v>12</v>
      </c>
      <c r="H114">
        <v>4.8</v>
      </c>
      <c r="I114">
        <v>40</v>
      </c>
      <c r="J114">
        <v>10</v>
      </c>
      <c r="K114" s="692">
        <v>10</v>
      </c>
      <c r="L114" s="693">
        <v>290</v>
      </c>
      <c r="M114" s="693">
        <f>Table623[[#This Row],[Per piece Pesos]]*Table623[[#This Row],[Quantity]]</f>
        <v>3480</v>
      </c>
      <c r="N114" s="486">
        <v>10.582175999999999</v>
      </c>
      <c r="O114" s="486">
        <v>15.748031496062993</v>
      </c>
      <c r="P114" s="486">
        <v>3.9370078740157481</v>
      </c>
      <c r="Q114" s="486">
        <v>3.9370078740157481</v>
      </c>
      <c r="R114" s="693">
        <v>16</v>
      </c>
      <c r="S114" s="693">
        <f>Table623[[#This Row],[Per Piece US$]]*Table623[[#This Row],[Quantity]]</f>
        <v>192</v>
      </c>
    </row>
    <row r="115" spans="2:21" x14ac:dyDescent="0.25">
      <c r="B115" t="s">
        <v>792</v>
      </c>
      <c r="C115" s="972" t="s">
        <v>794</v>
      </c>
      <c r="D115" s="691" t="s">
        <v>789</v>
      </c>
      <c r="E115" t="s">
        <v>752</v>
      </c>
      <c r="F115" s="691">
        <v>160</v>
      </c>
      <c r="G115">
        <v>4</v>
      </c>
      <c r="H115">
        <v>4.2</v>
      </c>
      <c r="I115">
        <v>35</v>
      </c>
      <c r="J115">
        <v>10</v>
      </c>
      <c r="K115" s="692">
        <v>10</v>
      </c>
      <c r="L115" s="693">
        <v>255</v>
      </c>
      <c r="M115" s="693">
        <f>Table623[[#This Row],[Per piece Pesos]]*Table623[[#This Row],[Quantity]]</f>
        <v>1020</v>
      </c>
      <c r="N115" s="486">
        <v>9.259404</v>
      </c>
      <c r="O115" s="486">
        <v>13.779527559055119</v>
      </c>
      <c r="P115" s="486">
        <v>3.9370078740157481</v>
      </c>
      <c r="Q115" s="486">
        <v>3.9370078740157481</v>
      </c>
      <c r="R115" s="693">
        <v>14</v>
      </c>
      <c r="S115" s="693">
        <f>Table623[[#This Row],[Per Piece US$]]*Table623[[#This Row],[Quantity]]</f>
        <v>56</v>
      </c>
      <c r="U115" s="693"/>
    </row>
    <row r="116" spans="2:21" x14ac:dyDescent="0.25">
      <c r="B116" t="s">
        <v>371</v>
      </c>
      <c r="C116" s="973" t="s">
        <v>795</v>
      </c>
      <c r="D116" s="691" t="s">
        <v>796</v>
      </c>
      <c r="E116" t="s">
        <v>797</v>
      </c>
      <c r="F116" s="691">
        <v>9096</v>
      </c>
      <c r="G116">
        <v>1</v>
      </c>
      <c r="H116">
        <v>65</v>
      </c>
      <c r="I116">
        <v>160</v>
      </c>
      <c r="J116">
        <v>60</v>
      </c>
      <c r="K116" s="692">
        <v>10</v>
      </c>
      <c r="L116" s="693">
        <v>14620</v>
      </c>
      <c r="M116" s="693">
        <f>Table623[[#This Row],[Per piece Pesos]]*Table623[[#This Row],[Quantity]]</f>
        <v>14620</v>
      </c>
      <c r="N116" s="486">
        <v>143.30029999999999</v>
      </c>
      <c r="O116" s="486">
        <v>62.99212598425197</v>
      </c>
      <c r="P116" s="486">
        <v>23.622047244094489</v>
      </c>
      <c r="Q116" s="486">
        <v>3.9370078740157481</v>
      </c>
      <c r="R116" s="693">
        <v>812</v>
      </c>
      <c r="S116" s="693">
        <f>Table623[[#This Row],[Per Piece US$]]*Table623[[#This Row],[Quantity]]</f>
        <v>812</v>
      </c>
    </row>
    <row r="117" spans="2:21" x14ac:dyDescent="0.25">
      <c r="B117" t="s">
        <v>354</v>
      </c>
      <c r="C117" s="973" t="s">
        <v>798</v>
      </c>
      <c r="D117" s="691" t="s">
        <v>799</v>
      </c>
      <c r="E117" t="s">
        <v>800</v>
      </c>
      <c r="F117" s="691">
        <v>19888</v>
      </c>
      <c r="G117">
        <v>1</v>
      </c>
      <c r="H117">
        <v>65</v>
      </c>
      <c r="I117">
        <v>160</v>
      </c>
      <c r="J117">
        <v>50</v>
      </c>
      <c r="K117" s="692">
        <v>10</v>
      </c>
      <c r="L117" s="693">
        <v>31960</v>
      </c>
      <c r="M117" s="693">
        <f>Table623[[#This Row],[Per piece Pesos]]*Table623[[#This Row],[Quantity]]</f>
        <v>31960</v>
      </c>
      <c r="N117" s="486">
        <v>143.30029999999999</v>
      </c>
      <c r="O117" s="486">
        <v>62.99212598425197</v>
      </c>
      <c r="P117" s="486">
        <v>19.685039370078741</v>
      </c>
      <c r="Q117" s="486">
        <v>3.9370078740157481</v>
      </c>
      <c r="R117" s="693">
        <v>1776</v>
      </c>
      <c r="S117" s="693">
        <f>Table623[[#This Row],[Per Piece US$]]*Table623[[#This Row],[Quantity]]</f>
        <v>1776</v>
      </c>
    </row>
    <row r="118" spans="2:21" x14ac:dyDescent="0.25">
      <c r="B118" t="s">
        <v>366</v>
      </c>
      <c r="C118" s="973" t="s">
        <v>801</v>
      </c>
      <c r="D118" s="691" t="s">
        <v>802</v>
      </c>
      <c r="E118" t="s">
        <v>639</v>
      </c>
      <c r="F118" s="691">
        <v>3648</v>
      </c>
      <c r="G118">
        <v>1</v>
      </c>
      <c r="H118">
        <v>30</v>
      </c>
      <c r="I118">
        <v>65</v>
      </c>
      <c r="J118">
        <v>30</v>
      </c>
      <c r="K118" s="692">
        <v>10</v>
      </c>
      <c r="L118" s="693">
        <v>5865</v>
      </c>
      <c r="M118" s="693">
        <f>Table623[[#This Row],[Per piece Pesos]]*Table623[[#This Row],[Quantity]]</f>
        <v>5865</v>
      </c>
      <c r="N118" s="486">
        <v>66.138599999999997</v>
      </c>
      <c r="O118" s="486">
        <v>25.590551181102363</v>
      </c>
      <c r="P118" s="486">
        <v>11.811023622047244</v>
      </c>
      <c r="Q118" s="486">
        <v>3.9370078740157481</v>
      </c>
      <c r="R118" s="693">
        <v>326</v>
      </c>
      <c r="S118" s="693">
        <f>Table623[[#This Row],[Per Piece US$]]*Table623[[#This Row],[Quantity]]</f>
        <v>326</v>
      </c>
    </row>
    <row r="119" spans="2:21" x14ac:dyDescent="0.25">
      <c r="B119" t="s">
        <v>355</v>
      </c>
      <c r="C119" s="973" t="s">
        <v>803</v>
      </c>
      <c r="D119" s="691" t="s">
        <v>804</v>
      </c>
      <c r="E119" t="s">
        <v>805</v>
      </c>
      <c r="F119" s="691">
        <v>16872</v>
      </c>
      <c r="G119">
        <v>1</v>
      </c>
      <c r="H119">
        <v>100</v>
      </c>
      <c r="I119">
        <v>79</v>
      </c>
      <c r="J119">
        <v>180</v>
      </c>
      <c r="K119" s="692">
        <v>100</v>
      </c>
      <c r="L119" s="693">
        <v>27115</v>
      </c>
      <c r="M119" s="693">
        <f>Table623[[#This Row],[Per piece Pesos]]*Table623[[#This Row],[Quantity]]</f>
        <v>27115</v>
      </c>
      <c r="N119" s="486">
        <v>220.46199999999999</v>
      </c>
      <c r="O119" s="486">
        <v>31.102362204724407</v>
      </c>
      <c r="P119" s="486">
        <v>70.866141732283467</v>
      </c>
      <c r="Q119" s="486">
        <v>39.370078740157481</v>
      </c>
      <c r="R119" s="693">
        <v>1506</v>
      </c>
      <c r="S119" s="693">
        <f>Table623[[#This Row],[Per Piece US$]]*Table623[[#This Row],[Quantity]]</f>
        <v>1506</v>
      </c>
    </row>
    <row r="120" spans="2:21" x14ac:dyDescent="0.25">
      <c r="B120" t="s">
        <v>367</v>
      </c>
      <c r="C120" s="973" t="s">
        <v>806</v>
      </c>
      <c r="D120" s="691" t="s">
        <v>807</v>
      </c>
      <c r="E120" t="s">
        <v>808</v>
      </c>
      <c r="F120" s="691">
        <v>1536</v>
      </c>
      <c r="G120">
        <v>4</v>
      </c>
      <c r="I120">
        <v>50</v>
      </c>
      <c r="L120" s="693">
        <v>2465</v>
      </c>
      <c r="M120" s="693">
        <f>Table623[[#This Row],[Per piece Pesos]]*Table623[[#This Row],[Quantity]]</f>
        <v>9860</v>
      </c>
      <c r="N120" s="486">
        <v>0</v>
      </c>
      <c r="O120" s="486">
        <v>19.685039370078741</v>
      </c>
      <c r="P120" s="486">
        <v>0</v>
      </c>
      <c r="Q120" s="486">
        <v>0</v>
      </c>
      <c r="R120" s="693">
        <v>137</v>
      </c>
      <c r="S120" s="693">
        <f>Table623[[#This Row],[Per Piece US$]]*Table623[[#This Row],[Quantity]]</f>
        <v>548</v>
      </c>
    </row>
    <row r="121" spans="2:21" x14ac:dyDescent="0.25">
      <c r="B121" t="s">
        <v>368</v>
      </c>
      <c r="C121" s="973" t="s">
        <v>809</v>
      </c>
      <c r="D121" s="691" t="s">
        <v>807</v>
      </c>
      <c r="E121" t="s">
        <v>808</v>
      </c>
      <c r="F121" s="691">
        <v>1536</v>
      </c>
      <c r="G121">
        <v>1</v>
      </c>
      <c r="I121">
        <v>50</v>
      </c>
      <c r="L121" s="693">
        <v>2465</v>
      </c>
      <c r="M121" s="693">
        <f>Table623[[#This Row],[Per piece Pesos]]*Table623[[#This Row],[Quantity]]</f>
        <v>2465</v>
      </c>
      <c r="N121" s="486">
        <v>0</v>
      </c>
      <c r="O121" s="486">
        <v>19.685039370078741</v>
      </c>
      <c r="P121" s="486">
        <v>0</v>
      </c>
      <c r="Q121" s="486">
        <v>0</v>
      </c>
      <c r="R121" s="693">
        <v>137</v>
      </c>
      <c r="S121" s="693">
        <f>Table623[[#This Row],[Per Piece US$]]*Table623[[#This Row],[Quantity]]</f>
        <v>137</v>
      </c>
    </row>
    <row r="122" spans="2:21" x14ac:dyDescent="0.25">
      <c r="B122" t="s">
        <v>369</v>
      </c>
      <c r="C122" s="973" t="s">
        <v>810</v>
      </c>
      <c r="D122" s="691" t="s">
        <v>616</v>
      </c>
      <c r="E122" t="s">
        <v>811</v>
      </c>
      <c r="F122" s="691">
        <v>1168</v>
      </c>
      <c r="G122">
        <v>1</v>
      </c>
      <c r="I122">
        <v>40</v>
      </c>
      <c r="L122" s="693">
        <v>1870</v>
      </c>
      <c r="M122" s="693">
        <f>Table623[[#This Row],[Per piece Pesos]]*Table623[[#This Row],[Quantity]]</f>
        <v>1870</v>
      </c>
      <c r="N122" s="486">
        <v>0</v>
      </c>
      <c r="O122" s="486">
        <v>15.748031496062993</v>
      </c>
      <c r="P122" s="486">
        <v>0</v>
      </c>
      <c r="Q122" s="486">
        <v>0</v>
      </c>
      <c r="R122" s="693">
        <v>104</v>
      </c>
      <c r="S122" s="693">
        <f>Table623[[#This Row],[Per Piece US$]]*Table623[[#This Row],[Quantity]]</f>
        <v>104</v>
      </c>
    </row>
    <row r="123" spans="2:21" x14ac:dyDescent="0.25">
      <c r="B123" t="s">
        <v>367</v>
      </c>
      <c r="C123" s="973" t="s">
        <v>812</v>
      </c>
      <c r="D123" s="691" t="s">
        <v>616</v>
      </c>
      <c r="E123" t="s">
        <v>811</v>
      </c>
      <c r="F123" s="691">
        <v>1168</v>
      </c>
      <c r="G123">
        <v>1</v>
      </c>
      <c r="I123">
        <v>40</v>
      </c>
      <c r="L123" s="693">
        <v>1870</v>
      </c>
      <c r="M123" s="693">
        <f>Table623[[#This Row],[Per piece Pesos]]*Table623[[#This Row],[Quantity]]</f>
        <v>1870</v>
      </c>
      <c r="N123" s="486">
        <v>0</v>
      </c>
      <c r="O123" s="486">
        <v>15.748031496062993</v>
      </c>
      <c r="P123" s="486">
        <v>0</v>
      </c>
      <c r="Q123" s="486">
        <v>0</v>
      </c>
      <c r="R123" s="693">
        <v>104</v>
      </c>
      <c r="S123" s="693">
        <f>Table623[[#This Row],[Per Piece US$]]*Table623[[#This Row],[Quantity]]</f>
        <v>104</v>
      </c>
    </row>
    <row r="124" spans="2:21" x14ac:dyDescent="0.25">
      <c r="B124" t="s">
        <v>368</v>
      </c>
      <c r="C124" s="973" t="s">
        <v>813</v>
      </c>
      <c r="D124" s="691" t="s">
        <v>814</v>
      </c>
      <c r="E124" t="s">
        <v>815</v>
      </c>
      <c r="F124" s="691">
        <v>776</v>
      </c>
      <c r="G124">
        <v>1</v>
      </c>
      <c r="I124">
        <v>30</v>
      </c>
      <c r="L124" s="693">
        <v>1232.5</v>
      </c>
      <c r="M124" s="693">
        <f>Table623[[#This Row],[Per piece Pesos]]*Table623[[#This Row],[Quantity]]</f>
        <v>1232.5</v>
      </c>
      <c r="N124" s="486">
        <v>0</v>
      </c>
      <c r="O124" s="486">
        <v>11.811023622047244</v>
      </c>
      <c r="P124" s="486">
        <v>0</v>
      </c>
      <c r="Q124" s="486">
        <v>0</v>
      </c>
      <c r="R124" s="693">
        <v>69</v>
      </c>
      <c r="S124" s="693">
        <f>Table623[[#This Row],[Per Piece US$]]*Table623[[#This Row],[Quantity]]</f>
        <v>69</v>
      </c>
    </row>
    <row r="125" spans="2:21" x14ac:dyDescent="0.25">
      <c r="B125" t="s">
        <v>370</v>
      </c>
      <c r="C125" s="973" t="s">
        <v>816</v>
      </c>
      <c r="D125" s="691" t="s">
        <v>817</v>
      </c>
      <c r="E125" t="s">
        <v>818</v>
      </c>
      <c r="F125" s="691">
        <v>5240</v>
      </c>
      <c r="G125">
        <v>1</v>
      </c>
      <c r="I125">
        <v>80</v>
      </c>
      <c r="L125" s="693">
        <v>8415</v>
      </c>
      <c r="M125" s="693">
        <f>Table623[[#This Row],[Per piece Pesos]]*Table623[[#This Row],[Quantity]]</f>
        <v>8415</v>
      </c>
      <c r="N125" s="486">
        <v>0</v>
      </c>
      <c r="O125" s="486">
        <v>31.496062992125985</v>
      </c>
      <c r="P125" s="486">
        <v>0</v>
      </c>
      <c r="Q125" s="486">
        <v>0</v>
      </c>
      <c r="R125" s="693">
        <v>468</v>
      </c>
      <c r="S125" s="693">
        <f>Table623[[#This Row],[Per Piece US$]]*Table623[[#This Row],[Quantity]]</f>
        <v>468</v>
      </c>
    </row>
    <row r="126" spans="2:21" x14ac:dyDescent="0.25">
      <c r="B126" t="s">
        <v>372</v>
      </c>
      <c r="C126" s="973" t="s">
        <v>819</v>
      </c>
      <c r="D126" s="691" t="s">
        <v>820</v>
      </c>
      <c r="E126" t="s">
        <v>821</v>
      </c>
      <c r="F126" s="691">
        <v>10528</v>
      </c>
      <c r="G126">
        <v>1</v>
      </c>
      <c r="I126">
        <v>170</v>
      </c>
      <c r="J126">
        <v>60</v>
      </c>
      <c r="K126" s="692">
        <v>10</v>
      </c>
      <c r="L126" s="693">
        <v>16915</v>
      </c>
      <c r="M126" s="693">
        <f>Table623[[#This Row],[Per piece Pesos]]*Table623[[#This Row],[Quantity]]</f>
        <v>16915</v>
      </c>
      <c r="N126" s="486">
        <v>0</v>
      </c>
      <c r="O126" s="486">
        <v>66.929133858267718</v>
      </c>
      <c r="P126" s="486">
        <v>23.622047244094489</v>
      </c>
      <c r="Q126" s="486">
        <v>3.9370078740157481</v>
      </c>
      <c r="R126" s="693">
        <v>940</v>
      </c>
      <c r="S126" s="693">
        <f>Table623[[#This Row],[Per Piece US$]]*Table623[[#This Row],[Quantity]]</f>
        <v>940</v>
      </c>
    </row>
    <row r="127" spans="2:21" x14ac:dyDescent="0.25">
      <c r="B127" t="s">
        <v>354</v>
      </c>
      <c r="C127" s="973" t="s">
        <v>822</v>
      </c>
      <c r="D127" s="691" t="s">
        <v>823</v>
      </c>
      <c r="E127" t="s">
        <v>824</v>
      </c>
      <c r="F127" s="691">
        <v>21056</v>
      </c>
      <c r="G127">
        <v>1</v>
      </c>
      <c r="I127">
        <v>150</v>
      </c>
      <c r="J127">
        <v>50</v>
      </c>
      <c r="K127" s="692">
        <v>10</v>
      </c>
      <c r="L127" s="693">
        <v>33830</v>
      </c>
      <c r="M127" s="693">
        <f>Table623[[#This Row],[Per piece Pesos]]*Table623[[#This Row],[Quantity]]</f>
        <v>33830</v>
      </c>
      <c r="N127" s="486">
        <v>0</v>
      </c>
      <c r="O127" s="486">
        <v>59.055118110236222</v>
      </c>
      <c r="P127" s="486">
        <v>19.685039370078741</v>
      </c>
      <c r="Q127" s="486">
        <v>3.9370078740157481</v>
      </c>
      <c r="R127" s="693">
        <v>1880</v>
      </c>
      <c r="S127" s="693">
        <f>Table623[[#This Row],[Per Piece US$]]*Table623[[#This Row],[Quantity]]</f>
        <v>1880</v>
      </c>
    </row>
    <row r="128" spans="2:21" x14ac:dyDescent="0.25">
      <c r="B128" t="s">
        <v>343</v>
      </c>
      <c r="C128" s="974" t="s">
        <v>825</v>
      </c>
      <c r="D128" s="691" t="s">
        <v>738</v>
      </c>
      <c r="E128" t="s">
        <v>716</v>
      </c>
      <c r="F128" s="691">
        <v>400</v>
      </c>
      <c r="G128">
        <v>18</v>
      </c>
      <c r="H128">
        <v>7</v>
      </c>
      <c r="I128">
        <v>50</v>
      </c>
      <c r="J128">
        <v>15</v>
      </c>
      <c r="K128" s="692">
        <v>15</v>
      </c>
      <c r="L128" s="693">
        <v>645</v>
      </c>
      <c r="M128" s="693">
        <f>Table623[[#This Row],[Per piece Pesos]]*Table623[[#This Row],[Quantity]]</f>
        <v>11610</v>
      </c>
      <c r="N128" s="486">
        <v>15.432339999999998</v>
      </c>
      <c r="O128" s="486">
        <v>19.685039370078741</v>
      </c>
      <c r="P128" s="486">
        <v>5.9055118110236222</v>
      </c>
      <c r="Q128" s="486">
        <v>5.9055118110236222</v>
      </c>
      <c r="R128" s="693">
        <v>36</v>
      </c>
      <c r="S128" s="693">
        <f>Table623[[#This Row],[Per Piece US$]]*Table623[[#This Row],[Quantity]]</f>
        <v>648</v>
      </c>
    </row>
    <row r="129" spans="2:19" x14ac:dyDescent="0.25">
      <c r="B129" t="s">
        <v>343</v>
      </c>
      <c r="C129" s="974" t="s">
        <v>826</v>
      </c>
      <c r="D129" s="691" t="s">
        <v>742</v>
      </c>
      <c r="E129" t="s">
        <v>827</v>
      </c>
      <c r="F129" s="691">
        <v>328</v>
      </c>
      <c r="G129">
        <v>12</v>
      </c>
      <c r="H129">
        <v>6</v>
      </c>
      <c r="I129">
        <v>40</v>
      </c>
      <c r="J129">
        <v>15</v>
      </c>
      <c r="K129" s="692">
        <v>15</v>
      </c>
      <c r="L129" s="693">
        <v>525</v>
      </c>
      <c r="M129" s="693">
        <f>Table623[[#This Row],[Per piece Pesos]]*Table623[[#This Row],[Quantity]]</f>
        <v>6300</v>
      </c>
      <c r="N129" s="486">
        <v>13.227719999999998</v>
      </c>
      <c r="O129" s="486">
        <v>15.748031496062993</v>
      </c>
      <c r="P129" s="486">
        <v>5.9055118110236222</v>
      </c>
      <c r="Q129" s="486">
        <v>5.9055118110236222</v>
      </c>
      <c r="R129" s="693">
        <v>29</v>
      </c>
      <c r="S129" s="693">
        <f>Table623[[#This Row],[Per Piece US$]]*Table623[[#This Row],[Quantity]]</f>
        <v>348</v>
      </c>
    </row>
    <row r="130" spans="2:19" x14ac:dyDescent="0.25">
      <c r="B130" t="s">
        <v>344</v>
      </c>
      <c r="C130" s="974" t="s">
        <v>828</v>
      </c>
      <c r="D130" s="691" t="s">
        <v>686</v>
      </c>
      <c r="E130" t="s">
        <v>829</v>
      </c>
      <c r="F130" s="691">
        <v>336</v>
      </c>
      <c r="G130">
        <v>4</v>
      </c>
      <c r="H130">
        <v>6</v>
      </c>
      <c r="I130">
        <v>45</v>
      </c>
      <c r="J130">
        <v>15</v>
      </c>
      <c r="K130" s="692">
        <v>15</v>
      </c>
      <c r="L130" s="693">
        <v>540</v>
      </c>
      <c r="M130" s="693">
        <f>Table623[[#This Row],[Per piece Pesos]]*Table623[[#This Row],[Quantity]]</f>
        <v>2160</v>
      </c>
      <c r="N130" s="486">
        <v>13.227719999999998</v>
      </c>
      <c r="O130" s="486">
        <v>17.716535433070867</v>
      </c>
      <c r="P130" s="486">
        <v>5.9055118110236222</v>
      </c>
      <c r="Q130" s="486">
        <v>5.9055118110236222</v>
      </c>
      <c r="R130" s="693">
        <v>30</v>
      </c>
      <c r="S130" s="693">
        <f>Table623[[#This Row],[Per Piece US$]]*Table623[[#This Row],[Quantity]]</f>
        <v>120</v>
      </c>
    </row>
    <row r="131" spans="2:19" x14ac:dyDescent="0.25">
      <c r="B131" t="s">
        <v>345</v>
      </c>
      <c r="C131" s="974" t="s">
        <v>830</v>
      </c>
      <c r="D131" s="691" t="s">
        <v>831</v>
      </c>
      <c r="E131" t="s">
        <v>832</v>
      </c>
      <c r="F131" s="691">
        <v>304</v>
      </c>
      <c r="G131">
        <v>23</v>
      </c>
      <c r="H131">
        <v>6</v>
      </c>
      <c r="I131">
        <v>40</v>
      </c>
      <c r="J131">
        <v>15</v>
      </c>
      <c r="K131" s="692">
        <v>15</v>
      </c>
      <c r="L131" s="693">
        <v>480</v>
      </c>
      <c r="M131" s="693">
        <f>Table623[[#This Row],[Per piece Pesos]]*Table623[[#This Row],[Quantity]]</f>
        <v>11040</v>
      </c>
      <c r="N131" s="486">
        <v>13.227719999999998</v>
      </c>
      <c r="O131" s="486">
        <v>15.748031496062993</v>
      </c>
      <c r="P131" s="486">
        <v>5.9055118110236222</v>
      </c>
      <c r="Q131" s="486">
        <v>5.9055118110236222</v>
      </c>
      <c r="R131" s="693">
        <v>27</v>
      </c>
      <c r="S131" s="693">
        <f>Table623[[#This Row],[Per Piece US$]]*Table623[[#This Row],[Quantity]]</f>
        <v>621</v>
      </c>
    </row>
    <row r="132" spans="2:19" x14ac:dyDescent="0.25">
      <c r="B132" t="s">
        <v>345</v>
      </c>
      <c r="C132" s="974" t="s">
        <v>833</v>
      </c>
      <c r="D132" s="691" t="s">
        <v>688</v>
      </c>
      <c r="E132" t="s">
        <v>689</v>
      </c>
      <c r="F132" s="691">
        <v>256</v>
      </c>
      <c r="G132">
        <v>5</v>
      </c>
      <c r="H132">
        <v>5</v>
      </c>
      <c r="I132">
        <v>35</v>
      </c>
      <c r="J132">
        <v>15</v>
      </c>
      <c r="K132" s="692">
        <v>15</v>
      </c>
      <c r="L132" s="693">
        <v>420</v>
      </c>
      <c r="M132" s="693">
        <f>Table623[[#This Row],[Per piece Pesos]]*Table623[[#This Row],[Quantity]]</f>
        <v>2100</v>
      </c>
      <c r="N132" s="486">
        <v>11.023099999999999</v>
      </c>
      <c r="O132" s="486">
        <v>13.779527559055119</v>
      </c>
      <c r="P132" s="486">
        <v>5.9055118110236222</v>
      </c>
      <c r="Q132" s="486">
        <v>5.9055118110236222</v>
      </c>
      <c r="R132" s="693">
        <v>23</v>
      </c>
      <c r="S132" s="693">
        <f>Table623[[#This Row],[Per Piece US$]]*Table623[[#This Row],[Quantity]]</f>
        <v>115</v>
      </c>
    </row>
    <row r="133" spans="2:19" x14ac:dyDescent="0.25">
      <c r="B133" t="s">
        <v>345</v>
      </c>
      <c r="C133" s="974" t="s">
        <v>834</v>
      </c>
      <c r="D133" s="691" t="s">
        <v>713</v>
      </c>
      <c r="E133" t="s">
        <v>789</v>
      </c>
      <c r="F133" s="691">
        <v>224</v>
      </c>
      <c r="G133">
        <v>5</v>
      </c>
      <c r="H133">
        <v>5</v>
      </c>
      <c r="I133">
        <v>30</v>
      </c>
      <c r="J133">
        <v>15</v>
      </c>
      <c r="K133" s="692">
        <v>15</v>
      </c>
      <c r="L133" s="693">
        <v>360</v>
      </c>
      <c r="M133" s="693">
        <f>Table623[[#This Row],[Per piece Pesos]]*Table623[[#This Row],[Quantity]]</f>
        <v>1800</v>
      </c>
      <c r="N133" s="486">
        <v>11.023099999999999</v>
      </c>
      <c r="O133" s="486">
        <v>11.811023622047244</v>
      </c>
      <c r="P133" s="486">
        <v>5.9055118110236222</v>
      </c>
      <c r="Q133" s="486">
        <v>5.9055118110236222</v>
      </c>
      <c r="R133" s="693">
        <v>20</v>
      </c>
      <c r="S133" s="693">
        <f>Table623[[#This Row],[Per Piece US$]]*Table623[[#This Row],[Quantity]]</f>
        <v>100</v>
      </c>
    </row>
    <row r="134" spans="2:19" x14ac:dyDescent="0.25">
      <c r="B134" t="s">
        <v>346</v>
      </c>
      <c r="C134" s="974" t="s">
        <v>835</v>
      </c>
      <c r="D134" s="691" t="s">
        <v>836</v>
      </c>
      <c r="E134" t="s">
        <v>837</v>
      </c>
      <c r="F134" s="691">
        <v>848</v>
      </c>
      <c r="G134">
        <v>3</v>
      </c>
      <c r="H134">
        <v>17</v>
      </c>
      <c r="I134">
        <v>80</v>
      </c>
      <c r="J134">
        <v>20</v>
      </c>
      <c r="K134" s="692">
        <v>20</v>
      </c>
      <c r="L134" s="693">
        <v>1360</v>
      </c>
      <c r="M134" s="693">
        <f>Table623[[#This Row],[Per piece Pesos]]*Table623[[#This Row],[Quantity]]</f>
        <v>4080</v>
      </c>
      <c r="N134" s="486">
        <v>37.478539999999995</v>
      </c>
      <c r="O134" s="486">
        <v>31.496062992125985</v>
      </c>
      <c r="P134" s="486">
        <v>7.8740157480314963</v>
      </c>
      <c r="Q134" s="486">
        <v>7.8740157480314963</v>
      </c>
      <c r="R134" s="693">
        <v>76</v>
      </c>
      <c r="S134" s="693">
        <f>Table623[[#This Row],[Per Piece US$]]*Table623[[#This Row],[Quantity]]</f>
        <v>228</v>
      </c>
    </row>
    <row r="135" spans="2:19" x14ac:dyDescent="0.25">
      <c r="B135" t="s">
        <v>347</v>
      </c>
      <c r="C135" s="974" t="s">
        <v>838</v>
      </c>
      <c r="D135" s="691" t="s">
        <v>839</v>
      </c>
      <c r="E135" t="s">
        <v>771</v>
      </c>
      <c r="F135" s="691">
        <v>752</v>
      </c>
      <c r="G135">
        <v>1</v>
      </c>
      <c r="H135">
        <v>15</v>
      </c>
      <c r="I135">
        <v>70</v>
      </c>
      <c r="J135">
        <v>20</v>
      </c>
      <c r="K135" s="692">
        <v>20</v>
      </c>
      <c r="L135" s="693">
        <v>1200</v>
      </c>
      <c r="M135" s="693">
        <f>Table623[[#This Row],[Per piece Pesos]]*Table623[[#This Row],[Quantity]]</f>
        <v>1200</v>
      </c>
      <c r="N135" s="486">
        <v>33.069299999999998</v>
      </c>
      <c r="O135" s="486">
        <v>27.559055118110237</v>
      </c>
      <c r="P135" s="486">
        <v>7.8740157480314963</v>
      </c>
      <c r="Q135" s="486">
        <v>7.8740157480314963</v>
      </c>
      <c r="R135" s="693">
        <v>67</v>
      </c>
      <c r="S135" s="693">
        <f>Table623[[#This Row],[Per Piece US$]]*Table623[[#This Row],[Quantity]]</f>
        <v>67</v>
      </c>
    </row>
    <row r="136" spans="2:19" x14ac:dyDescent="0.25">
      <c r="B136" t="s">
        <v>347</v>
      </c>
      <c r="C136" s="974" t="s">
        <v>840</v>
      </c>
      <c r="D136" s="691" t="s">
        <v>815</v>
      </c>
      <c r="E136" t="s">
        <v>778</v>
      </c>
      <c r="F136" s="691">
        <v>552</v>
      </c>
      <c r="G136">
        <v>1</v>
      </c>
      <c r="H136">
        <v>11</v>
      </c>
      <c r="I136">
        <v>50</v>
      </c>
      <c r="J136">
        <v>20</v>
      </c>
      <c r="K136" s="692">
        <v>20</v>
      </c>
      <c r="L136" s="693">
        <v>880</v>
      </c>
      <c r="M136" s="693">
        <f>Table623[[#This Row],[Per piece Pesos]]*Table623[[#This Row],[Quantity]]</f>
        <v>880</v>
      </c>
      <c r="N136" s="486">
        <v>24.250819999999997</v>
      </c>
      <c r="O136" s="486">
        <v>19.685039370078741</v>
      </c>
      <c r="P136" s="486">
        <v>7.8740157480314963</v>
      </c>
      <c r="Q136" s="486">
        <v>7.8740157480314963</v>
      </c>
      <c r="R136" s="693">
        <v>49</v>
      </c>
      <c r="S136" s="693">
        <f>Table623[[#This Row],[Per Piece US$]]*Table623[[#This Row],[Quantity]]</f>
        <v>49</v>
      </c>
    </row>
    <row r="137" spans="2:19" x14ac:dyDescent="0.25">
      <c r="B137" t="s">
        <v>348</v>
      </c>
      <c r="C137" s="974" t="s">
        <v>841</v>
      </c>
      <c r="D137" s="691" t="s">
        <v>842</v>
      </c>
      <c r="E137" t="s">
        <v>843</v>
      </c>
      <c r="F137" s="691">
        <v>1904</v>
      </c>
      <c r="G137">
        <v>2</v>
      </c>
      <c r="H137">
        <v>34</v>
      </c>
      <c r="I137">
        <v>120</v>
      </c>
      <c r="J137">
        <v>30</v>
      </c>
      <c r="K137" s="692">
        <v>30</v>
      </c>
      <c r="L137" s="693">
        <v>3060</v>
      </c>
      <c r="M137" s="693">
        <f>Table623[[#This Row],[Per piece Pesos]]*Table623[[#This Row],[Quantity]]</f>
        <v>6120</v>
      </c>
      <c r="N137" s="486">
        <v>74.957079999999991</v>
      </c>
      <c r="O137" s="486">
        <v>47.244094488188978</v>
      </c>
      <c r="P137" s="486">
        <v>11.811023622047244</v>
      </c>
      <c r="Q137" s="486">
        <v>11.811023622047244</v>
      </c>
      <c r="R137" s="693">
        <v>170</v>
      </c>
      <c r="S137" s="693">
        <f>Table623[[#This Row],[Per Piece US$]]*Table623[[#This Row],[Quantity]]</f>
        <v>340</v>
      </c>
    </row>
    <row r="138" spans="2:19" x14ac:dyDescent="0.25">
      <c r="B138" t="s">
        <v>348</v>
      </c>
      <c r="C138" s="974" t="s">
        <v>844</v>
      </c>
      <c r="D138" s="691" t="s">
        <v>845</v>
      </c>
      <c r="E138" t="s">
        <v>846</v>
      </c>
      <c r="F138" s="691">
        <v>1232</v>
      </c>
      <c r="G138">
        <v>1</v>
      </c>
      <c r="H138">
        <v>24</v>
      </c>
      <c r="I138">
        <v>75</v>
      </c>
      <c r="J138">
        <v>30</v>
      </c>
      <c r="K138" s="692">
        <v>30</v>
      </c>
      <c r="L138" s="693">
        <v>1980</v>
      </c>
      <c r="M138" s="693">
        <f>Table623[[#This Row],[Per piece Pesos]]*Table623[[#This Row],[Quantity]]</f>
        <v>1980</v>
      </c>
      <c r="N138" s="486">
        <v>52.910879999999992</v>
      </c>
      <c r="O138" s="486">
        <v>29.527559055118111</v>
      </c>
      <c r="P138" s="486">
        <v>11.811023622047244</v>
      </c>
      <c r="Q138" s="486">
        <v>11.811023622047244</v>
      </c>
      <c r="R138" s="693">
        <v>110</v>
      </c>
      <c r="S138" s="693">
        <f>Table623[[#This Row],[Per Piece US$]]*Table623[[#This Row],[Quantity]]</f>
        <v>110</v>
      </c>
    </row>
    <row r="139" spans="2:19" x14ac:dyDescent="0.25">
      <c r="B139" t="s">
        <v>348</v>
      </c>
      <c r="C139" s="974" t="s">
        <v>847</v>
      </c>
      <c r="D139" s="691" t="s">
        <v>848</v>
      </c>
      <c r="E139" t="s">
        <v>849</v>
      </c>
      <c r="F139" s="691">
        <v>1320</v>
      </c>
      <c r="G139">
        <v>1</v>
      </c>
      <c r="H139">
        <v>26</v>
      </c>
      <c r="I139">
        <v>100</v>
      </c>
      <c r="J139">
        <v>25</v>
      </c>
      <c r="K139" s="692">
        <v>25</v>
      </c>
      <c r="L139" s="693">
        <v>2125</v>
      </c>
      <c r="M139" s="693">
        <f>Table623[[#This Row],[Per piece Pesos]]*Table623[[#This Row],[Quantity]]</f>
        <v>2125</v>
      </c>
      <c r="N139" s="486">
        <v>57.320119999999996</v>
      </c>
      <c r="O139" s="486">
        <v>39.370078740157481</v>
      </c>
      <c r="P139" s="486">
        <v>9.8425196850393704</v>
      </c>
      <c r="Q139" s="486">
        <v>9.8425196850393704</v>
      </c>
      <c r="R139" s="693">
        <v>118</v>
      </c>
      <c r="S139" s="693">
        <f>Table623[[#This Row],[Per Piece US$]]*Table623[[#This Row],[Quantity]]</f>
        <v>118</v>
      </c>
    </row>
    <row r="140" spans="2:19" x14ac:dyDescent="0.25">
      <c r="B140" t="s">
        <v>349</v>
      </c>
      <c r="C140" s="974" t="s">
        <v>850</v>
      </c>
      <c r="D140" s="691" t="s">
        <v>851</v>
      </c>
      <c r="E140" t="s">
        <v>852</v>
      </c>
      <c r="F140" s="691">
        <v>528</v>
      </c>
      <c r="G140">
        <v>2</v>
      </c>
      <c r="H140">
        <v>7</v>
      </c>
      <c r="I140">
        <v>50</v>
      </c>
      <c r="J140">
        <v>15</v>
      </c>
      <c r="K140" s="692">
        <v>15</v>
      </c>
      <c r="L140" s="693">
        <v>850</v>
      </c>
      <c r="M140" s="693">
        <f>Table623[[#This Row],[Per piece Pesos]]*Table623[[#This Row],[Quantity]]</f>
        <v>1700</v>
      </c>
      <c r="N140" s="486">
        <v>15.432339999999998</v>
      </c>
      <c r="O140" s="486">
        <v>19.685039370078741</v>
      </c>
      <c r="P140" s="486">
        <v>5.9055118110236222</v>
      </c>
      <c r="Q140" s="486">
        <v>5.9055118110236222</v>
      </c>
      <c r="R140" s="693">
        <v>47</v>
      </c>
      <c r="S140" s="693">
        <f>Table623[[#This Row],[Per Piece US$]]*Table623[[#This Row],[Quantity]]</f>
        <v>94</v>
      </c>
    </row>
    <row r="141" spans="2:19" x14ac:dyDescent="0.25">
      <c r="B141" t="s">
        <v>349</v>
      </c>
      <c r="C141" s="974" t="s">
        <v>853</v>
      </c>
      <c r="D141" s="691" t="s">
        <v>854</v>
      </c>
      <c r="E141" t="s">
        <v>855</v>
      </c>
      <c r="F141" s="691">
        <v>504</v>
      </c>
      <c r="G141">
        <v>1</v>
      </c>
      <c r="H141">
        <v>6</v>
      </c>
      <c r="I141">
        <v>45</v>
      </c>
      <c r="J141">
        <v>15</v>
      </c>
      <c r="K141" s="692">
        <v>15</v>
      </c>
      <c r="L141" s="693">
        <v>800</v>
      </c>
      <c r="M141" s="693">
        <f>Table623[[#This Row],[Per piece Pesos]]*Table623[[#This Row],[Quantity]]</f>
        <v>800</v>
      </c>
      <c r="N141" s="486">
        <v>13.227719999999998</v>
      </c>
      <c r="O141" s="486">
        <v>17.716535433070867</v>
      </c>
      <c r="P141" s="486">
        <v>5.9055118110236222</v>
      </c>
      <c r="Q141" s="486">
        <v>5.9055118110236222</v>
      </c>
      <c r="R141" s="693">
        <v>45</v>
      </c>
      <c r="S141" s="693">
        <f>Table623[[#This Row],[Per Piece US$]]*Table623[[#This Row],[Quantity]]</f>
        <v>45</v>
      </c>
    </row>
    <row r="142" spans="2:19" x14ac:dyDescent="0.25">
      <c r="B142" t="s">
        <v>349</v>
      </c>
      <c r="C142" s="974" t="s">
        <v>856</v>
      </c>
      <c r="D142" s="691" t="s">
        <v>738</v>
      </c>
      <c r="E142" t="s">
        <v>716</v>
      </c>
      <c r="F142" s="691">
        <v>400</v>
      </c>
      <c r="G142">
        <v>2</v>
      </c>
      <c r="H142">
        <v>7</v>
      </c>
      <c r="I142">
        <v>50</v>
      </c>
      <c r="J142">
        <v>12</v>
      </c>
      <c r="K142" s="692">
        <v>15</v>
      </c>
      <c r="L142" s="693">
        <v>650</v>
      </c>
      <c r="M142" s="693">
        <f>Table623[[#This Row],[Per piece Pesos]]*Table623[[#This Row],[Quantity]]</f>
        <v>1300</v>
      </c>
      <c r="N142" s="486">
        <v>15.432339999999998</v>
      </c>
      <c r="O142" s="486">
        <v>19.685039370078741</v>
      </c>
      <c r="P142" s="486">
        <v>4.7244094488188972</v>
      </c>
      <c r="Q142" s="486">
        <v>5.9055118110236222</v>
      </c>
      <c r="R142" s="693">
        <v>36</v>
      </c>
      <c r="S142" s="693">
        <f>Table623[[#This Row],[Per Piece US$]]*Table623[[#This Row],[Quantity]]</f>
        <v>72</v>
      </c>
    </row>
    <row r="143" spans="2:19" x14ac:dyDescent="0.25">
      <c r="B143" t="s">
        <v>351</v>
      </c>
      <c r="C143" s="974" t="s">
        <v>857</v>
      </c>
      <c r="D143" s="691" t="s">
        <v>723</v>
      </c>
      <c r="E143" t="s">
        <v>744</v>
      </c>
      <c r="F143" s="691">
        <v>480</v>
      </c>
      <c r="G143">
        <v>1</v>
      </c>
      <c r="H143">
        <v>7</v>
      </c>
      <c r="I143">
        <v>60</v>
      </c>
      <c r="J143">
        <v>15</v>
      </c>
      <c r="K143" s="692">
        <v>15</v>
      </c>
      <c r="L143" s="693">
        <v>765</v>
      </c>
      <c r="M143" s="693">
        <f>Table623[[#This Row],[Per piece Pesos]]*Table623[[#This Row],[Quantity]]</f>
        <v>765</v>
      </c>
      <c r="N143" s="486">
        <v>15.432339999999998</v>
      </c>
      <c r="O143" s="486">
        <v>23.622047244094489</v>
      </c>
      <c r="P143" s="486">
        <v>5.9055118110236222</v>
      </c>
      <c r="Q143" s="486">
        <v>5.9055118110236222</v>
      </c>
      <c r="R143" s="693">
        <v>43</v>
      </c>
      <c r="S143" s="693">
        <f>Table623[[#This Row],[Per Piece US$]]*Table623[[#This Row],[Quantity]]</f>
        <v>43</v>
      </c>
    </row>
    <row r="144" spans="2:19" x14ac:dyDescent="0.25">
      <c r="B144" t="s">
        <v>351</v>
      </c>
      <c r="C144" s="974" t="s">
        <v>858</v>
      </c>
      <c r="D144" s="691" t="s">
        <v>738</v>
      </c>
      <c r="E144" t="s">
        <v>716</v>
      </c>
      <c r="F144" s="691">
        <v>400</v>
      </c>
      <c r="G144">
        <v>2</v>
      </c>
      <c r="H144">
        <v>7</v>
      </c>
      <c r="I144">
        <v>50</v>
      </c>
      <c r="J144">
        <v>15</v>
      </c>
      <c r="K144" s="692">
        <v>15</v>
      </c>
      <c r="L144" s="693">
        <v>645</v>
      </c>
      <c r="M144" s="693">
        <f>Table623[[#This Row],[Per piece Pesos]]*Table623[[#This Row],[Quantity]]</f>
        <v>1290</v>
      </c>
      <c r="N144" s="486">
        <v>15.432339999999998</v>
      </c>
      <c r="O144" s="486">
        <v>19.685039370078741</v>
      </c>
      <c r="P144" s="486">
        <v>5.9055118110236222</v>
      </c>
      <c r="Q144" s="486">
        <v>5.9055118110236222</v>
      </c>
      <c r="R144" s="693">
        <v>36</v>
      </c>
      <c r="S144" s="693">
        <f>Table623[[#This Row],[Per Piece US$]]*Table623[[#This Row],[Quantity]]</f>
        <v>72</v>
      </c>
    </row>
    <row r="145" spans="2:19" x14ac:dyDescent="0.25">
      <c r="B145" t="s">
        <v>351</v>
      </c>
      <c r="C145" s="974" t="s">
        <v>859</v>
      </c>
      <c r="D145" s="691" t="s">
        <v>742</v>
      </c>
      <c r="E145" t="s">
        <v>827</v>
      </c>
      <c r="F145" s="691">
        <v>328</v>
      </c>
      <c r="G145">
        <v>3</v>
      </c>
      <c r="H145">
        <v>6</v>
      </c>
      <c r="I145">
        <v>40</v>
      </c>
      <c r="J145">
        <v>15</v>
      </c>
      <c r="K145" s="692">
        <v>15</v>
      </c>
      <c r="L145" s="693">
        <v>525</v>
      </c>
      <c r="M145" s="693">
        <f>Table623[[#This Row],[Per piece Pesos]]*Table623[[#This Row],[Quantity]]</f>
        <v>1575</v>
      </c>
      <c r="N145" s="486">
        <v>13.227719999999998</v>
      </c>
      <c r="O145" s="486">
        <v>15.748031496062993</v>
      </c>
      <c r="P145" s="486">
        <v>5.9055118110236222</v>
      </c>
      <c r="Q145" s="486">
        <v>5.9055118110236222</v>
      </c>
      <c r="R145" s="693">
        <v>29</v>
      </c>
      <c r="S145" s="693">
        <f>Table623[[#This Row],[Per Piece US$]]*Table623[[#This Row],[Quantity]]</f>
        <v>87</v>
      </c>
    </row>
    <row r="146" spans="2:19" x14ac:dyDescent="0.25">
      <c r="B146" t="s">
        <v>351</v>
      </c>
      <c r="C146" s="974" t="s">
        <v>860</v>
      </c>
      <c r="D146" s="691" t="s">
        <v>688</v>
      </c>
      <c r="E146" t="s">
        <v>689</v>
      </c>
      <c r="F146" s="691">
        <v>256</v>
      </c>
      <c r="G146">
        <v>4</v>
      </c>
      <c r="H146">
        <v>5</v>
      </c>
      <c r="I146">
        <v>30</v>
      </c>
      <c r="J146">
        <v>15</v>
      </c>
      <c r="K146" s="692">
        <v>15</v>
      </c>
      <c r="L146" s="693">
        <v>405</v>
      </c>
      <c r="M146" s="693">
        <f>Table623[[#This Row],[Per piece Pesos]]*Table623[[#This Row],[Quantity]]</f>
        <v>1620</v>
      </c>
      <c r="N146" s="486">
        <v>11.023099999999999</v>
      </c>
      <c r="O146" s="486">
        <v>11.811023622047244</v>
      </c>
      <c r="P146" s="486">
        <v>5.9055118110236222</v>
      </c>
      <c r="Q146" s="486">
        <v>5.9055118110236222</v>
      </c>
      <c r="R146" s="693">
        <v>23</v>
      </c>
      <c r="S146" s="693">
        <f>Table623[[#This Row],[Per Piece US$]]*Table623[[#This Row],[Quantity]]</f>
        <v>92</v>
      </c>
    </row>
    <row r="147" spans="2:19" x14ac:dyDescent="0.25">
      <c r="B147" t="s">
        <v>352</v>
      </c>
      <c r="C147" s="974" t="s">
        <v>861</v>
      </c>
      <c r="D147" s="691" t="s">
        <v>742</v>
      </c>
      <c r="E147" t="s">
        <v>827</v>
      </c>
      <c r="F147" s="691">
        <v>328</v>
      </c>
      <c r="G147">
        <v>6</v>
      </c>
      <c r="H147">
        <v>6</v>
      </c>
      <c r="I147">
        <v>40</v>
      </c>
      <c r="J147">
        <v>15</v>
      </c>
      <c r="K147" s="692">
        <v>15</v>
      </c>
      <c r="L147" s="693">
        <v>525</v>
      </c>
      <c r="M147" s="693">
        <f>Table623[[#This Row],[Per piece Pesos]]*Table623[[#This Row],[Quantity]]</f>
        <v>3150</v>
      </c>
      <c r="N147" s="486">
        <v>13.227719999999998</v>
      </c>
      <c r="O147" s="486">
        <v>15.748031496062993</v>
      </c>
      <c r="P147" s="486">
        <v>5.9055118110236222</v>
      </c>
      <c r="Q147" s="486">
        <v>5.9055118110236222</v>
      </c>
      <c r="R147" s="693">
        <v>29</v>
      </c>
      <c r="S147" s="693">
        <f>Table623[[#This Row],[Per Piece US$]]*Table623[[#This Row],[Quantity]]</f>
        <v>174</v>
      </c>
    </row>
    <row r="148" spans="2:19" x14ac:dyDescent="0.25">
      <c r="B148" t="s">
        <v>352</v>
      </c>
      <c r="C148" s="974" t="s">
        <v>862</v>
      </c>
      <c r="D148" s="691" t="s">
        <v>688</v>
      </c>
      <c r="E148" t="s">
        <v>689</v>
      </c>
      <c r="F148" s="691">
        <v>256</v>
      </c>
      <c r="G148">
        <v>2</v>
      </c>
      <c r="H148">
        <v>5</v>
      </c>
      <c r="I148">
        <v>30</v>
      </c>
      <c r="J148">
        <v>15</v>
      </c>
      <c r="K148" s="692">
        <v>15</v>
      </c>
      <c r="L148" s="693">
        <v>405</v>
      </c>
      <c r="M148" s="693">
        <f>Table623[[#This Row],[Per piece Pesos]]*Table623[[#This Row],[Quantity]]</f>
        <v>810</v>
      </c>
      <c r="N148" s="486">
        <v>11.023099999999999</v>
      </c>
      <c r="O148" s="486">
        <v>11.811023622047244</v>
      </c>
      <c r="P148" s="486">
        <v>5.9055118110236222</v>
      </c>
      <c r="Q148" s="486">
        <v>5.9055118110236222</v>
      </c>
      <c r="R148" s="693">
        <v>23</v>
      </c>
      <c r="S148" s="693">
        <f>Table623[[#This Row],[Per Piece US$]]*Table623[[#This Row],[Quantity]]</f>
        <v>46</v>
      </c>
    </row>
    <row r="149" spans="2:19" x14ac:dyDescent="0.25">
      <c r="B149" t="s">
        <v>352</v>
      </c>
      <c r="C149" s="974" t="s">
        <v>863</v>
      </c>
      <c r="D149" s="691" t="s">
        <v>738</v>
      </c>
      <c r="E149" t="s">
        <v>716</v>
      </c>
      <c r="F149" s="691">
        <v>400</v>
      </c>
      <c r="G149">
        <v>3</v>
      </c>
      <c r="H149">
        <v>7</v>
      </c>
      <c r="I149">
        <v>50</v>
      </c>
      <c r="J149">
        <v>15</v>
      </c>
      <c r="K149" s="692">
        <v>15</v>
      </c>
      <c r="L149" s="693">
        <v>645</v>
      </c>
      <c r="M149" s="693">
        <f>Table623[[#This Row],[Per piece Pesos]]*Table623[[#This Row],[Quantity]]</f>
        <v>1935</v>
      </c>
      <c r="N149" s="486">
        <v>15.432339999999998</v>
      </c>
      <c r="O149" s="486">
        <v>19.685039370078741</v>
      </c>
      <c r="P149" s="486">
        <v>5.9055118110236222</v>
      </c>
      <c r="Q149" s="486">
        <v>5.9055118110236222</v>
      </c>
      <c r="R149" s="693">
        <v>36</v>
      </c>
      <c r="S149" s="693">
        <f>Table623[[#This Row],[Per Piece US$]]*Table623[[#This Row],[Quantity]]</f>
        <v>108</v>
      </c>
    </row>
    <row r="150" spans="2:19" x14ac:dyDescent="0.25">
      <c r="B150" t="s">
        <v>353</v>
      </c>
      <c r="C150" s="974" t="s">
        <v>864</v>
      </c>
      <c r="D150" s="691" t="s">
        <v>742</v>
      </c>
      <c r="E150" t="s">
        <v>827</v>
      </c>
      <c r="F150" s="691">
        <v>328</v>
      </c>
      <c r="G150">
        <v>4</v>
      </c>
      <c r="H150">
        <v>6</v>
      </c>
      <c r="I150">
        <v>40</v>
      </c>
      <c r="J150">
        <v>15</v>
      </c>
      <c r="K150" s="692">
        <v>15</v>
      </c>
      <c r="L150" s="693">
        <v>525</v>
      </c>
      <c r="M150" s="693">
        <f>Table623[[#This Row],[Per piece Pesos]]*Table623[[#This Row],[Quantity]]</f>
        <v>2100</v>
      </c>
      <c r="N150" s="486">
        <v>13.227719999999998</v>
      </c>
      <c r="O150" s="486">
        <v>15.748031496062993</v>
      </c>
      <c r="P150" s="486">
        <v>5.9055118110236222</v>
      </c>
      <c r="Q150" s="486">
        <v>5.9055118110236222</v>
      </c>
      <c r="R150" s="693">
        <v>29</v>
      </c>
      <c r="S150" s="693">
        <f>Table623[[#This Row],[Per Piece US$]]*Table623[[#This Row],[Quantity]]</f>
        <v>116</v>
      </c>
    </row>
    <row r="151" spans="2:19" x14ac:dyDescent="0.25">
      <c r="B151" t="s">
        <v>353</v>
      </c>
      <c r="C151" s="974" t="s">
        <v>865</v>
      </c>
      <c r="D151" s="691" t="s">
        <v>688</v>
      </c>
      <c r="E151" t="s">
        <v>689</v>
      </c>
      <c r="F151" s="691">
        <v>256</v>
      </c>
      <c r="G151">
        <v>3</v>
      </c>
      <c r="H151">
        <v>6</v>
      </c>
      <c r="I151">
        <v>30</v>
      </c>
      <c r="J151">
        <v>15</v>
      </c>
      <c r="K151" s="692">
        <v>15</v>
      </c>
      <c r="L151" s="693">
        <v>405</v>
      </c>
      <c r="M151" s="693">
        <f>Table623[[#This Row],[Per piece Pesos]]*Table623[[#This Row],[Quantity]]</f>
        <v>1215</v>
      </c>
      <c r="N151" s="486">
        <v>13.227719999999998</v>
      </c>
      <c r="O151" s="486">
        <v>11.811023622047244</v>
      </c>
      <c r="P151" s="486">
        <v>5.9055118110236222</v>
      </c>
      <c r="Q151" s="486">
        <v>5.9055118110236222</v>
      </c>
      <c r="R151" s="693">
        <v>23</v>
      </c>
      <c r="S151" s="693">
        <f>Table623[[#This Row],[Per Piece US$]]*Table623[[#This Row],[Quantity]]</f>
        <v>69</v>
      </c>
    </row>
    <row r="152" spans="2:19" x14ac:dyDescent="0.25">
      <c r="B152" t="s">
        <v>392</v>
      </c>
      <c r="C152" s="975" t="s">
        <v>866</v>
      </c>
      <c r="D152" s="691" t="s">
        <v>712</v>
      </c>
      <c r="E152" t="s">
        <v>713</v>
      </c>
      <c r="F152" s="691">
        <v>312</v>
      </c>
      <c r="G152">
        <v>8</v>
      </c>
      <c r="I152">
        <v>30</v>
      </c>
      <c r="J152">
        <v>15</v>
      </c>
      <c r="K152" s="692">
        <v>15</v>
      </c>
      <c r="L152" s="693">
        <v>500</v>
      </c>
      <c r="M152" s="693">
        <f>Table623[[#This Row],[Per piece Pesos]]*Table623[[#This Row],[Quantity]]</f>
        <v>4000</v>
      </c>
      <c r="N152" s="486">
        <v>0</v>
      </c>
      <c r="O152" s="486">
        <v>11.811023622047244</v>
      </c>
      <c r="P152" s="486">
        <v>5.9055118110236222</v>
      </c>
      <c r="Q152" s="486">
        <v>5.9055118110236222</v>
      </c>
      <c r="R152" s="693">
        <v>28</v>
      </c>
      <c r="S152" s="693">
        <f>Table623[[#This Row],[Per Piece US$]]*Table623[[#This Row],[Quantity]]</f>
        <v>224</v>
      </c>
    </row>
    <row r="153" spans="2:19" x14ac:dyDescent="0.25">
      <c r="B153" t="s">
        <v>392</v>
      </c>
      <c r="C153" s="975" t="s">
        <v>867</v>
      </c>
      <c r="D153" s="691" t="s">
        <v>855</v>
      </c>
      <c r="E153" t="s">
        <v>688</v>
      </c>
      <c r="F153" s="691">
        <v>360</v>
      </c>
      <c r="G153">
        <v>15</v>
      </c>
      <c r="I153">
        <v>35</v>
      </c>
      <c r="J153">
        <v>15</v>
      </c>
      <c r="K153" s="692">
        <v>15</v>
      </c>
      <c r="L153" s="693">
        <v>575</v>
      </c>
      <c r="M153" s="693">
        <f>Table623[[#This Row],[Per piece Pesos]]*Table623[[#This Row],[Quantity]]</f>
        <v>8625</v>
      </c>
      <c r="N153" s="486">
        <v>0</v>
      </c>
      <c r="O153" s="486">
        <v>13.779527559055119</v>
      </c>
      <c r="P153" s="486">
        <v>5.9055118110236222</v>
      </c>
      <c r="Q153" s="486">
        <v>5.9055118110236222</v>
      </c>
      <c r="R153" s="693">
        <v>32</v>
      </c>
      <c r="S153" s="693">
        <f>Table623[[#This Row],[Per Piece US$]]*Table623[[#This Row],[Quantity]]</f>
        <v>480</v>
      </c>
    </row>
    <row r="154" spans="2:19" x14ac:dyDescent="0.25">
      <c r="B154" t="s">
        <v>393</v>
      </c>
      <c r="C154" s="975" t="s">
        <v>868</v>
      </c>
      <c r="D154" s="691" t="s">
        <v>738</v>
      </c>
      <c r="E154" t="s">
        <v>716</v>
      </c>
      <c r="F154" s="691">
        <v>400</v>
      </c>
      <c r="G154">
        <v>18</v>
      </c>
      <c r="I154">
        <v>40</v>
      </c>
      <c r="J154">
        <v>15</v>
      </c>
      <c r="K154" s="692">
        <v>15</v>
      </c>
      <c r="L154" s="693">
        <v>650</v>
      </c>
      <c r="M154" s="693">
        <f>Table623[[#This Row],[Per piece Pesos]]*Table623[[#This Row],[Quantity]]</f>
        <v>11700</v>
      </c>
      <c r="N154" s="486">
        <v>0</v>
      </c>
      <c r="O154" s="486">
        <v>15.748031496062993</v>
      </c>
      <c r="P154" s="486">
        <v>5.9055118110236222</v>
      </c>
      <c r="Q154" s="486">
        <v>5.9055118110236222</v>
      </c>
      <c r="R154" s="693">
        <v>36</v>
      </c>
      <c r="S154" s="693">
        <f>Table623[[#This Row],[Per Piece US$]]*Table623[[#This Row],[Quantity]]</f>
        <v>648</v>
      </c>
    </row>
    <row r="155" spans="2:19" x14ac:dyDescent="0.25">
      <c r="B155" t="s">
        <v>392</v>
      </c>
      <c r="C155" s="975" t="s">
        <v>869</v>
      </c>
      <c r="D155" s="691" t="s">
        <v>738</v>
      </c>
      <c r="E155" t="s">
        <v>716</v>
      </c>
      <c r="F155" s="691">
        <v>400</v>
      </c>
      <c r="G155">
        <v>12</v>
      </c>
      <c r="I155">
        <v>40</v>
      </c>
      <c r="J155">
        <v>15</v>
      </c>
      <c r="K155" s="692">
        <v>15</v>
      </c>
      <c r="L155" s="693">
        <v>650</v>
      </c>
      <c r="M155" s="693">
        <f>Table623[[#This Row],[Per piece Pesos]]*Table623[[#This Row],[Quantity]]</f>
        <v>7800</v>
      </c>
      <c r="N155" s="486">
        <v>0</v>
      </c>
      <c r="O155" s="486">
        <v>15.748031496062993</v>
      </c>
      <c r="P155" s="486">
        <v>5.9055118110236222</v>
      </c>
      <c r="Q155" s="486">
        <v>5.9055118110236222</v>
      </c>
      <c r="R155" s="693">
        <v>36</v>
      </c>
      <c r="S155" s="693">
        <f>Table623[[#This Row],[Per Piece US$]]*Table623[[#This Row],[Quantity]]</f>
        <v>432</v>
      </c>
    </row>
    <row r="156" spans="2:19" x14ac:dyDescent="0.25">
      <c r="B156" t="s">
        <v>394</v>
      </c>
      <c r="C156" s="975" t="s">
        <v>870</v>
      </c>
      <c r="D156" s="691" t="s">
        <v>729</v>
      </c>
      <c r="E156" t="s">
        <v>871</v>
      </c>
      <c r="F156" s="691">
        <v>448</v>
      </c>
      <c r="G156">
        <v>3</v>
      </c>
      <c r="I156">
        <v>45</v>
      </c>
      <c r="J156">
        <v>15</v>
      </c>
      <c r="K156" s="692">
        <v>15</v>
      </c>
      <c r="L156" s="693">
        <v>725</v>
      </c>
      <c r="M156" s="693">
        <f>Table623[[#This Row],[Per piece Pesos]]*Table623[[#This Row],[Quantity]]</f>
        <v>2175</v>
      </c>
      <c r="N156" s="486">
        <v>0</v>
      </c>
      <c r="O156" s="486">
        <v>17.716535433070867</v>
      </c>
      <c r="P156" s="486">
        <v>5.9055118110236222</v>
      </c>
      <c r="Q156" s="486">
        <v>5.9055118110236222</v>
      </c>
      <c r="R156" s="693">
        <v>40</v>
      </c>
      <c r="S156" s="693">
        <f>Table623[[#This Row],[Per Piece US$]]*Table623[[#This Row],[Quantity]]</f>
        <v>120</v>
      </c>
    </row>
    <row r="157" spans="2:19" x14ac:dyDescent="0.25">
      <c r="B157" t="s">
        <v>395</v>
      </c>
      <c r="C157" s="975" t="s">
        <v>872</v>
      </c>
      <c r="D157" s="691" t="s">
        <v>738</v>
      </c>
      <c r="E157" t="s">
        <v>716</v>
      </c>
      <c r="F157" s="691">
        <v>400</v>
      </c>
      <c r="G157">
        <v>7</v>
      </c>
      <c r="I157">
        <v>40</v>
      </c>
      <c r="J157">
        <v>15</v>
      </c>
      <c r="K157" s="692">
        <v>15</v>
      </c>
      <c r="L157" s="693">
        <v>650</v>
      </c>
      <c r="M157" s="693">
        <f>Table623[[#This Row],[Per piece Pesos]]*Table623[[#This Row],[Quantity]]</f>
        <v>4550</v>
      </c>
      <c r="N157" s="486">
        <v>0</v>
      </c>
      <c r="O157" s="486">
        <v>15.748031496062993</v>
      </c>
      <c r="P157" s="486">
        <v>5.9055118110236222</v>
      </c>
      <c r="Q157" s="486">
        <v>5.9055118110236222</v>
      </c>
      <c r="R157" s="693">
        <v>36</v>
      </c>
      <c r="S157" s="693">
        <f>Table623[[#This Row],[Per Piece US$]]*Table623[[#This Row],[Quantity]]</f>
        <v>252</v>
      </c>
    </row>
    <row r="158" spans="2:19" x14ac:dyDescent="0.25">
      <c r="B158" t="s">
        <v>396</v>
      </c>
      <c r="C158" s="975" t="s">
        <v>873</v>
      </c>
      <c r="D158" s="691" t="s">
        <v>738</v>
      </c>
      <c r="E158" t="s">
        <v>716</v>
      </c>
      <c r="F158" s="691">
        <v>400</v>
      </c>
      <c r="G158">
        <v>1</v>
      </c>
      <c r="I158">
        <v>40</v>
      </c>
      <c r="J158">
        <v>15</v>
      </c>
      <c r="K158" s="692">
        <v>15</v>
      </c>
      <c r="L158" s="693">
        <v>650</v>
      </c>
      <c r="M158" s="693">
        <f>Table623[[#This Row],[Per piece Pesos]]*Table623[[#This Row],[Quantity]]</f>
        <v>650</v>
      </c>
      <c r="N158" s="486">
        <v>0</v>
      </c>
      <c r="O158" s="486">
        <v>15.748031496062993</v>
      </c>
      <c r="P158" s="486">
        <v>5.9055118110236222</v>
      </c>
      <c r="Q158" s="486">
        <v>5.9055118110236222</v>
      </c>
      <c r="R158" s="693">
        <v>36</v>
      </c>
      <c r="S158" s="693">
        <f>Table623[[#This Row],[Per Piece US$]]*Table623[[#This Row],[Quantity]]</f>
        <v>36</v>
      </c>
    </row>
    <row r="159" spans="2:19" x14ac:dyDescent="0.25">
      <c r="B159" t="s">
        <v>393</v>
      </c>
      <c r="C159" s="975" t="s">
        <v>874</v>
      </c>
      <c r="D159" s="691" t="s">
        <v>685</v>
      </c>
      <c r="E159" t="s">
        <v>686</v>
      </c>
      <c r="F159" s="691">
        <v>472</v>
      </c>
      <c r="G159">
        <v>1</v>
      </c>
      <c r="I159">
        <v>50</v>
      </c>
      <c r="J159">
        <v>15</v>
      </c>
      <c r="K159" s="692">
        <v>15</v>
      </c>
      <c r="L159" s="693">
        <v>750</v>
      </c>
      <c r="M159" s="693">
        <f>Table623[[#This Row],[Per piece Pesos]]*Table623[[#This Row],[Quantity]]</f>
        <v>750</v>
      </c>
      <c r="N159" s="486">
        <v>0</v>
      </c>
      <c r="O159" s="486">
        <v>19.685039370078741</v>
      </c>
      <c r="P159" s="486">
        <v>5.9055118110236222</v>
      </c>
      <c r="Q159" s="486">
        <v>5.9055118110236222</v>
      </c>
      <c r="R159" s="693">
        <v>42</v>
      </c>
      <c r="S159" s="693">
        <f>Table623[[#This Row],[Per Piece US$]]*Table623[[#This Row],[Quantity]]</f>
        <v>42</v>
      </c>
    </row>
    <row r="160" spans="2:19" x14ac:dyDescent="0.25">
      <c r="B160" t="s">
        <v>393</v>
      </c>
      <c r="C160" s="975" t="s">
        <v>875</v>
      </c>
      <c r="D160" s="691" t="s">
        <v>712</v>
      </c>
      <c r="E160" t="s">
        <v>713</v>
      </c>
      <c r="F160" s="691">
        <v>312</v>
      </c>
      <c r="G160">
        <v>3</v>
      </c>
      <c r="I160">
        <v>30</v>
      </c>
      <c r="J160">
        <v>15</v>
      </c>
      <c r="K160" s="692">
        <v>15</v>
      </c>
      <c r="L160" s="693">
        <v>500</v>
      </c>
      <c r="M160" s="693">
        <f>Table623[[#This Row],[Per piece Pesos]]*Table623[[#This Row],[Quantity]]</f>
        <v>1500</v>
      </c>
      <c r="N160" s="486">
        <v>0</v>
      </c>
      <c r="O160" s="486">
        <v>11.811023622047244</v>
      </c>
      <c r="P160" s="486">
        <v>5.9055118110236222</v>
      </c>
      <c r="Q160" s="486">
        <v>5.9055118110236222</v>
      </c>
      <c r="R160" s="693">
        <v>28</v>
      </c>
      <c r="S160" s="693">
        <f>Table623[[#This Row],[Per Piece US$]]*Table623[[#This Row],[Quantity]]</f>
        <v>84</v>
      </c>
    </row>
    <row r="161" spans="2:19" x14ac:dyDescent="0.25">
      <c r="B161" t="s">
        <v>397</v>
      </c>
      <c r="C161" s="975" t="s">
        <v>876</v>
      </c>
      <c r="D161" s="691" t="s">
        <v>712</v>
      </c>
      <c r="E161" t="s">
        <v>713</v>
      </c>
      <c r="F161" s="691">
        <v>312</v>
      </c>
      <c r="G161">
        <v>2</v>
      </c>
      <c r="I161">
        <v>30</v>
      </c>
      <c r="J161">
        <v>15</v>
      </c>
      <c r="K161" s="692">
        <v>15</v>
      </c>
      <c r="L161" s="693">
        <v>500</v>
      </c>
      <c r="M161" s="693">
        <f>Table623[[#This Row],[Per piece Pesos]]*Table623[[#This Row],[Quantity]]</f>
        <v>1000</v>
      </c>
      <c r="N161" s="486">
        <v>0</v>
      </c>
      <c r="O161" s="486">
        <v>11.811023622047244</v>
      </c>
      <c r="P161" s="486">
        <v>5.9055118110236222</v>
      </c>
      <c r="Q161" s="486">
        <v>5.9055118110236222</v>
      </c>
      <c r="R161" s="693">
        <v>28</v>
      </c>
      <c r="S161" s="693">
        <f>Table623[[#This Row],[Per Piece US$]]*Table623[[#This Row],[Quantity]]</f>
        <v>56</v>
      </c>
    </row>
    <row r="162" spans="2:19" x14ac:dyDescent="0.25">
      <c r="B162" t="s">
        <v>396</v>
      </c>
      <c r="C162" s="975" t="s">
        <v>877</v>
      </c>
      <c r="D162" s="691" t="s">
        <v>685</v>
      </c>
      <c r="E162" t="s">
        <v>686</v>
      </c>
      <c r="F162" s="691">
        <v>472</v>
      </c>
      <c r="G162">
        <v>1</v>
      </c>
      <c r="I162">
        <v>50</v>
      </c>
      <c r="J162">
        <v>15</v>
      </c>
      <c r="K162" s="692">
        <v>15</v>
      </c>
      <c r="L162" s="693">
        <v>750</v>
      </c>
      <c r="M162" s="693">
        <f>Table623[[#This Row],[Per piece Pesos]]*Table623[[#This Row],[Quantity]]</f>
        <v>750</v>
      </c>
      <c r="N162" s="486">
        <v>0</v>
      </c>
      <c r="O162" s="486">
        <v>19.685039370078741</v>
      </c>
      <c r="P162" s="486">
        <v>5.9055118110236222</v>
      </c>
      <c r="Q162" s="486">
        <v>5.9055118110236222</v>
      </c>
      <c r="R162" s="693">
        <v>42</v>
      </c>
      <c r="S162" s="693">
        <f>Table623[[#This Row],[Per Piece US$]]*Table623[[#This Row],[Quantity]]</f>
        <v>42</v>
      </c>
    </row>
    <row r="163" spans="2:19" x14ac:dyDescent="0.25">
      <c r="B163" t="s">
        <v>398</v>
      </c>
      <c r="C163" s="975" t="s">
        <v>878</v>
      </c>
      <c r="D163" s="691" t="s">
        <v>729</v>
      </c>
      <c r="E163" t="s">
        <v>871</v>
      </c>
      <c r="F163" s="691">
        <v>448</v>
      </c>
      <c r="G163">
        <v>1</v>
      </c>
      <c r="I163">
        <v>45</v>
      </c>
      <c r="J163">
        <v>15</v>
      </c>
      <c r="K163" s="692">
        <v>15</v>
      </c>
      <c r="L163" s="693">
        <v>725</v>
      </c>
      <c r="M163" s="693">
        <f>Table623[[#This Row],[Per piece Pesos]]*Table623[[#This Row],[Quantity]]</f>
        <v>725</v>
      </c>
      <c r="N163" s="486">
        <v>0</v>
      </c>
      <c r="O163" s="486">
        <v>17.716535433070867</v>
      </c>
      <c r="P163" s="486">
        <v>5.9055118110236222</v>
      </c>
      <c r="Q163" s="486">
        <v>5.9055118110236222</v>
      </c>
      <c r="R163" s="693">
        <v>40</v>
      </c>
      <c r="S163" s="693">
        <f>Table623[[#This Row],[Per Piece US$]]*Table623[[#This Row],[Quantity]]</f>
        <v>40</v>
      </c>
    </row>
    <row r="164" spans="2:19" x14ac:dyDescent="0.25">
      <c r="B164" t="s">
        <v>393</v>
      </c>
      <c r="C164" s="975" t="s">
        <v>879</v>
      </c>
      <c r="D164" s="691" t="s">
        <v>729</v>
      </c>
      <c r="E164" t="s">
        <v>871</v>
      </c>
      <c r="F164" s="691">
        <v>448</v>
      </c>
      <c r="G164">
        <v>2</v>
      </c>
      <c r="I164">
        <v>45</v>
      </c>
      <c r="J164">
        <v>15</v>
      </c>
      <c r="K164" s="692">
        <v>15</v>
      </c>
      <c r="L164" s="693">
        <v>725</v>
      </c>
      <c r="M164" s="693">
        <f>Table623[[#This Row],[Per piece Pesos]]*Table623[[#This Row],[Quantity]]</f>
        <v>1450</v>
      </c>
      <c r="N164" s="486">
        <v>0</v>
      </c>
      <c r="O164" s="486">
        <v>17.716535433070867</v>
      </c>
      <c r="P164" s="486">
        <v>5.9055118110236222</v>
      </c>
      <c r="Q164" s="486">
        <v>5.9055118110236222</v>
      </c>
      <c r="R164" s="693">
        <v>40</v>
      </c>
      <c r="S164" s="693">
        <f>Table623[[#This Row],[Per Piece US$]]*Table623[[#This Row],[Quantity]]</f>
        <v>80</v>
      </c>
    </row>
    <row r="165" spans="2:19" x14ac:dyDescent="0.25">
      <c r="B165" t="s">
        <v>397</v>
      </c>
      <c r="C165" s="975" t="s">
        <v>880</v>
      </c>
      <c r="D165" s="691" t="s">
        <v>855</v>
      </c>
      <c r="E165" t="s">
        <v>688</v>
      </c>
      <c r="F165" s="691">
        <v>360</v>
      </c>
      <c r="G165">
        <v>1</v>
      </c>
      <c r="I165">
        <v>35</v>
      </c>
      <c r="J165">
        <v>15</v>
      </c>
      <c r="K165" s="692">
        <v>15</v>
      </c>
      <c r="L165" s="693">
        <v>575</v>
      </c>
      <c r="M165" s="693">
        <f>Table623[[#This Row],[Per piece Pesos]]*Table623[[#This Row],[Quantity]]</f>
        <v>575</v>
      </c>
      <c r="N165" s="486">
        <v>0</v>
      </c>
      <c r="O165" s="486">
        <v>13.779527559055119</v>
      </c>
      <c r="P165" s="486">
        <v>5.9055118110236222</v>
      </c>
      <c r="Q165" s="486">
        <v>5.9055118110236222</v>
      </c>
      <c r="R165" s="693">
        <v>32</v>
      </c>
      <c r="S165" s="693">
        <f>Table623[[#This Row],[Per Piece US$]]*Table623[[#This Row],[Quantity]]</f>
        <v>32</v>
      </c>
    </row>
    <row r="166" spans="2:19" x14ac:dyDescent="0.25">
      <c r="B166" t="s">
        <v>396</v>
      </c>
      <c r="C166" s="975" t="s">
        <v>881</v>
      </c>
      <c r="D166" s="691" t="s">
        <v>855</v>
      </c>
      <c r="E166" t="s">
        <v>688</v>
      </c>
      <c r="F166" s="691">
        <v>360</v>
      </c>
      <c r="G166">
        <v>1</v>
      </c>
      <c r="I166">
        <v>35</v>
      </c>
      <c r="J166">
        <v>15</v>
      </c>
      <c r="K166" s="692">
        <v>15</v>
      </c>
      <c r="L166" s="693">
        <v>575</v>
      </c>
      <c r="M166" s="693">
        <f>Table623[[#This Row],[Per piece Pesos]]*Table623[[#This Row],[Quantity]]</f>
        <v>575</v>
      </c>
      <c r="N166" s="486">
        <v>0</v>
      </c>
      <c r="O166" s="486">
        <v>13.779527559055119</v>
      </c>
      <c r="P166" s="486">
        <v>5.9055118110236222</v>
      </c>
      <c r="Q166" s="486">
        <v>5.9055118110236222</v>
      </c>
      <c r="R166" s="693">
        <v>32</v>
      </c>
      <c r="S166" s="693">
        <f>Table623[[#This Row],[Per Piece US$]]*Table623[[#This Row],[Quantity]]</f>
        <v>32</v>
      </c>
    </row>
    <row r="167" spans="2:19" x14ac:dyDescent="0.25">
      <c r="B167" t="s">
        <v>399</v>
      </c>
      <c r="C167" s="975" t="s">
        <v>882</v>
      </c>
      <c r="D167" s="691" t="s">
        <v>712</v>
      </c>
      <c r="E167" t="s">
        <v>713</v>
      </c>
      <c r="F167" s="691">
        <v>312</v>
      </c>
      <c r="G167">
        <v>1</v>
      </c>
      <c r="I167">
        <v>30</v>
      </c>
      <c r="J167">
        <v>15</v>
      </c>
      <c r="K167" s="692">
        <v>15</v>
      </c>
      <c r="L167" s="693">
        <v>500</v>
      </c>
      <c r="M167" s="693">
        <f>Table623[[#This Row],[Per piece Pesos]]*Table623[[#This Row],[Quantity]]</f>
        <v>500</v>
      </c>
      <c r="N167" s="486">
        <v>0</v>
      </c>
      <c r="O167" s="486">
        <v>11.811023622047244</v>
      </c>
      <c r="P167" s="486">
        <v>5.9055118110236222</v>
      </c>
      <c r="Q167" s="486">
        <v>5.9055118110236222</v>
      </c>
      <c r="R167" s="693">
        <v>28</v>
      </c>
      <c r="S167" s="693">
        <f>Table623[[#This Row],[Per Piece US$]]*Table623[[#This Row],[Quantity]]</f>
        <v>28</v>
      </c>
    </row>
    <row r="168" spans="2:19" x14ac:dyDescent="0.25">
      <c r="B168" t="s">
        <v>392</v>
      </c>
      <c r="C168" s="975" t="s">
        <v>883</v>
      </c>
      <c r="D168" s="691" t="s">
        <v>729</v>
      </c>
      <c r="E168" t="s">
        <v>871</v>
      </c>
      <c r="F168" s="691">
        <v>448</v>
      </c>
      <c r="G168">
        <v>3</v>
      </c>
      <c r="I168">
        <v>45</v>
      </c>
      <c r="J168">
        <v>15</v>
      </c>
      <c r="K168" s="692">
        <v>15</v>
      </c>
      <c r="L168" s="693">
        <v>725</v>
      </c>
      <c r="M168" s="693">
        <f>Table623[[#This Row],[Per piece Pesos]]*Table623[[#This Row],[Quantity]]</f>
        <v>2175</v>
      </c>
      <c r="N168" s="486">
        <v>0</v>
      </c>
      <c r="O168" s="486">
        <v>17.716535433070867</v>
      </c>
      <c r="P168" s="486">
        <v>5.9055118110236222</v>
      </c>
      <c r="Q168" s="486">
        <v>5.9055118110236222</v>
      </c>
      <c r="R168" s="693">
        <v>40</v>
      </c>
      <c r="S168" s="693">
        <f>Table623[[#This Row],[Per Piece US$]]*Table623[[#This Row],[Quantity]]</f>
        <v>120</v>
      </c>
    </row>
    <row r="169" spans="2:19" x14ac:dyDescent="0.25">
      <c r="B169" t="s">
        <v>400</v>
      </c>
      <c r="C169" s="975" t="s">
        <v>884</v>
      </c>
      <c r="D169" s="691" t="s">
        <v>685</v>
      </c>
      <c r="E169" t="s">
        <v>686</v>
      </c>
      <c r="F169" s="691">
        <v>472</v>
      </c>
      <c r="G169">
        <v>6</v>
      </c>
      <c r="I169">
        <v>50</v>
      </c>
      <c r="J169">
        <v>15</v>
      </c>
      <c r="K169" s="692">
        <v>15</v>
      </c>
      <c r="L169" s="693">
        <v>750</v>
      </c>
      <c r="M169" s="693">
        <f>Table623[[#This Row],[Per piece Pesos]]*Table623[[#This Row],[Quantity]]</f>
        <v>4500</v>
      </c>
      <c r="N169" s="486">
        <v>0</v>
      </c>
      <c r="O169" s="486">
        <v>19.685039370078741</v>
      </c>
      <c r="P169" s="486">
        <v>5.9055118110236222</v>
      </c>
      <c r="Q169" s="486">
        <v>5.9055118110236222</v>
      </c>
      <c r="R169" s="693">
        <v>42</v>
      </c>
      <c r="S169" s="693">
        <f>Table623[[#This Row],[Per Piece US$]]*Table623[[#This Row],[Quantity]]</f>
        <v>252</v>
      </c>
    </row>
    <row r="170" spans="2:19" x14ac:dyDescent="0.25">
      <c r="B170" t="s">
        <v>400</v>
      </c>
      <c r="C170" s="975" t="s">
        <v>885</v>
      </c>
      <c r="D170" s="691" t="s">
        <v>815</v>
      </c>
      <c r="E170" t="s">
        <v>778</v>
      </c>
      <c r="F170" s="691">
        <v>552</v>
      </c>
      <c r="G170">
        <v>1</v>
      </c>
      <c r="I170">
        <v>55</v>
      </c>
      <c r="J170">
        <v>15</v>
      </c>
      <c r="K170" s="692">
        <v>15</v>
      </c>
      <c r="L170" s="693">
        <v>875</v>
      </c>
      <c r="M170" s="693">
        <f>Table623[[#This Row],[Per piece Pesos]]*Table623[[#This Row],[Quantity]]</f>
        <v>875</v>
      </c>
      <c r="N170" s="486">
        <v>0</v>
      </c>
      <c r="O170" s="486">
        <v>21.653543307086615</v>
      </c>
      <c r="P170" s="486">
        <v>5.9055118110236222</v>
      </c>
      <c r="Q170" s="486">
        <v>5.9055118110236222</v>
      </c>
      <c r="R170" s="693">
        <v>49</v>
      </c>
      <c r="S170" s="693">
        <f>Table623[[#This Row],[Per Piece US$]]*Table623[[#This Row],[Quantity]]</f>
        <v>49</v>
      </c>
    </row>
    <row r="171" spans="2:19" x14ac:dyDescent="0.25">
      <c r="B171" t="s">
        <v>400</v>
      </c>
      <c r="C171" s="975" t="s">
        <v>886</v>
      </c>
      <c r="D171" s="691" t="s">
        <v>887</v>
      </c>
      <c r="E171" t="s">
        <v>888</v>
      </c>
      <c r="F171" s="691">
        <v>592</v>
      </c>
      <c r="G171">
        <v>7</v>
      </c>
      <c r="I171">
        <v>60</v>
      </c>
      <c r="J171">
        <v>15</v>
      </c>
      <c r="K171" s="692">
        <v>15</v>
      </c>
      <c r="L171" s="693">
        <v>950</v>
      </c>
      <c r="M171" s="693">
        <f>Table623[[#This Row],[Per piece Pesos]]*Table623[[#This Row],[Quantity]]</f>
        <v>6650</v>
      </c>
      <c r="N171" s="486">
        <v>0</v>
      </c>
      <c r="O171" s="486">
        <v>23.622047244094489</v>
      </c>
      <c r="P171" s="486">
        <v>5.9055118110236222</v>
      </c>
      <c r="Q171" s="486">
        <v>5.9055118110236222</v>
      </c>
      <c r="R171" s="693">
        <v>53</v>
      </c>
      <c r="S171" s="693">
        <f>Table623[[#This Row],[Per Piece US$]]*Table623[[#This Row],[Quantity]]</f>
        <v>371</v>
      </c>
    </row>
    <row r="172" spans="2:19" x14ac:dyDescent="0.25">
      <c r="B172" t="s">
        <v>400</v>
      </c>
      <c r="C172" s="975" t="s">
        <v>889</v>
      </c>
      <c r="D172" s="691" t="s">
        <v>890</v>
      </c>
      <c r="E172" t="s">
        <v>741</v>
      </c>
      <c r="F172" s="691">
        <v>640</v>
      </c>
      <c r="G172">
        <v>2</v>
      </c>
      <c r="I172">
        <v>65</v>
      </c>
      <c r="J172">
        <v>15</v>
      </c>
      <c r="K172" s="692">
        <v>15</v>
      </c>
      <c r="L172" s="693">
        <v>1025</v>
      </c>
      <c r="M172" s="693">
        <f>Table623[[#This Row],[Per piece Pesos]]*Table623[[#This Row],[Quantity]]</f>
        <v>2050</v>
      </c>
      <c r="N172" s="486">
        <v>0</v>
      </c>
      <c r="O172" s="486">
        <v>25.590551181102363</v>
      </c>
      <c r="P172" s="486">
        <v>5.9055118110236222</v>
      </c>
      <c r="Q172" s="486">
        <v>5.9055118110236222</v>
      </c>
      <c r="R172" s="693">
        <v>57</v>
      </c>
      <c r="S172" s="693">
        <f>Table623[[#This Row],[Per Piece US$]]*Table623[[#This Row],[Quantity]]</f>
        <v>114</v>
      </c>
    </row>
    <row r="173" spans="2:19" x14ac:dyDescent="0.25">
      <c r="B173" t="s">
        <v>395</v>
      </c>
      <c r="C173" s="975" t="s">
        <v>891</v>
      </c>
      <c r="D173" s="691" t="s">
        <v>685</v>
      </c>
      <c r="E173" t="s">
        <v>686</v>
      </c>
      <c r="F173" s="691">
        <v>472</v>
      </c>
      <c r="G173">
        <v>3</v>
      </c>
      <c r="I173">
        <v>50</v>
      </c>
      <c r="J173">
        <v>15</v>
      </c>
      <c r="K173" s="692">
        <v>15</v>
      </c>
      <c r="L173" s="693">
        <v>750</v>
      </c>
      <c r="M173" s="693">
        <f>Table623[[#This Row],[Per piece Pesos]]*Table623[[#This Row],[Quantity]]</f>
        <v>2250</v>
      </c>
      <c r="N173" s="486">
        <v>0</v>
      </c>
      <c r="O173" s="486">
        <v>19.685039370078741</v>
      </c>
      <c r="P173" s="486">
        <v>5.9055118110236222</v>
      </c>
      <c r="Q173" s="486">
        <v>5.9055118110236222</v>
      </c>
      <c r="R173" s="693">
        <v>42</v>
      </c>
      <c r="S173" s="693">
        <f>Table623[[#This Row],[Per Piece US$]]*Table623[[#This Row],[Quantity]]</f>
        <v>126</v>
      </c>
    </row>
    <row r="174" spans="2:19" x14ac:dyDescent="0.25">
      <c r="B174" t="s">
        <v>395</v>
      </c>
      <c r="C174" s="975" t="s">
        <v>892</v>
      </c>
      <c r="D174" s="691" t="s">
        <v>887</v>
      </c>
      <c r="E174" t="s">
        <v>888</v>
      </c>
      <c r="F174" s="691">
        <v>592</v>
      </c>
      <c r="G174">
        <v>2</v>
      </c>
      <c r="I174">
        <v>60</v>
      </c>
      <c r="J174">
        <v>15</v>
      </c>
      <c r="K174" s="692">
        <v>15</v>
      </c>
      <c r="L174" s="693">
        <v>950</v>
      </c>
      <c r="M174" s="693">
        <f>Table623[[#This Row],[Per piece Pesos]]*Table623[[#This Row],[Quantity]]</f>
        <v>1900</v>
      </c>
      <c r="N174" s="486">
        <v>0</v>
      </c>
      <c r="O174" s="486">
        <v>23.622047244094489</v>
      </c>
      <c r="P174" s="486">
        <v>5.9055118110236222</v>
      </c>
      <c r="Q174" s="486">
        <v>5.9055118110236222</v>
      </c>
      <c r="R174" s="693">
        <v>53</v>
      </c>
      <c r="S174" s="693">
        <f>Table623[[#This Row],[Per Piece US$]]*Table623[[#This Row],[Quantity]]</f>
        <v>106</v>
      </c>
    </row>
    <row r="175" spans="2:19" x14ac:dyDescent="0.25">
      <c r="B175" t="s">
        <v>392</v>
      </c>
      <c r="C175" s="975" t="s">
        <v>893</v>
      </c>
      <c r="D175" s="691" t="s">
        <v>887</v>
      </c>
      <c r="E175" t="s">
        <v>888</v>
      </c>
      <c r="F175" s="691">
        <v>592</v>
      </c>
      <c r="G175">
        <v>3</v>
      </c>
      <c r="I175">
        <v>60</v>
      </c>
      <c r="J175">
        <v>15</v>
      </c>
      <c r="K175" s="692">
        <v>15</v>
      </c>
      <c r="L175" s="693">
        <v>950</v>
      </c>
      <c r="M175" s="693">
        <f>Table623[[#This Row],[Per piece Pesos]]*Table623[[#This Row],[Quantity]]</f>
        <v>2850</v>
      </c>
      <c r="N175" s="486">
        <v>0</v>
      </c>
      <c r="O175" s="486">
        <v>23.622047244094489</v>
      </c>
      <c r="P175" s="486">
        <v>5.9055118110236222</v>
      </c>
      <c r="Q175" s="486">
        <v>5.9055118110236222</v>
      </c>
      <c r="R175" s="693">
        <v>53</v>
      </c>
      <c r="S175" s="693">
        <f>Table623[[#This Row],[Per Piece US$]]*Table623[[#This Row],[Quantity]]</f>
        <v>159</v>
      </c>
    </row>
    <row r="176" spans="2:19" x14ac:dyDescent="0.25">
      <c r="B176" t="s">
        <v>392</v>
      </c>
      <c r="C176" s="975" t="s">
        <v>894</v>
      </c>
      <c r="D176" s="691" t="s">
        <v>890</v>
      </c>
      <c r="E176" t="s">
        <v>741</v>
      </c>
      <c r="F176" s="691">
        <v>640</v>
      </c>
      <c r="G176">
        <v>3</v>
      </c>
      <c r="I176">
        <v>65</v>
      </c>
      <c r="J176">
        <v>15</v>
      </c>
      <c r="K176" s="692">
        <v>15</v>
      </c>
      <c r="L176" s="693">
        <v>1025</v>
      </c>
      <c r="M176" s="693">
        <f>Table623[[#This Row],[Per piece Pesos]]*Table623[[#This Row],[Quantity]]</f>
        <v>3075</v>
      </c>
      <c r="N176" s="486">
        <v>0</v>
      </c>
      <c r="O176" s="486">
        <v>25.590551181102363</v>
      </c>
      <c r="P176" s="486">
        <v>5.9055118110236222</v>
      </c>
      <c r="Q176" s="486">
        <v>5.9055118110236222</v>
      </c>
      <c r="R176" s="693">
        <v>57</v>
      </c>
      <c r="S176" s="693">
        <f>Table623[[#This Row],[Per Piece US$]]*Table623[[#This Row],[Quantity]]</f>
        <v>171</v>
      </c>
    </row>
    <row r="177" spans="2:19" x14ac:dyDescent="0.25">
      <c r="B177" t="s">
        <v>395</v>
      </c>
      <c r="C177" s="975" t="s">
        <v>895</v>
      </c>
      <c r="D177" s="691" t="s">
        <v>815</v>
      </c>
      <c r="E177" t="s">
        <v>778</v>
      </c>
      <c r="F177" s="691">
        <v>552</v>
      </c>
      <c r="G177">
        <v>1</v>
      </c>
      <c r="I177">
        <v>55</v>
      </c>
      <c r="J177">
        <v>15</v>
      </c>
      <c r="K177" s="692">
        <v>15</v>
      </c>
      <c r="L177" s="693">
        <v>875</v>
      </c>
      <c r="M177" s="693">
        <f>Table623[[#This Row],[Per piece Pesos]]*Table623[[#This Row],[Quantity]]</f>
        <v>875</v>
      </c>
      <c r="N177" s="486">
        <v>0</v>
      </c>
      <c r="O177" s="486">
        <v>21.653543307086615</v>
      </c>
      <c r="P177" s="486">
        <v>5.9055118110236222</v>
      </c>
      <c r="Q177" s="486">
        <v>5.9055118110236222</v>
      </c>
      <c r="R177" s="693">
        <v>49</v>
      </c>
      <c r="S177" s="693">
        <f>Table623[[#This Row],[Per Piece US$]]*Table623[[#This Row],[Quantity]]</f>
        <v>49</v>
      </c>
    </row>
    <row r="178" spans="2:19" x14ac:dyDescent="0.25">
      <c r="B178" t="s">
        <v>396</v>
      </c>
      <c r="C178" s="975" t="s">
        <v>896</v>
      </c>
      <c r="D178" s="691" t="s">
        <v>685</v>
      </c>
      <c r="E178" t="s">
        <v>686</v>
      </c>
      <c r="F178" s="691">
        <v>472</v>
      </c>
      <c r="G178">
        <v>1</v>
      </c>
      <c r="I178">
        <v>50</v>
      </c>
      <c r="J178">
        <v>15</v>
      </c>
      <c r="K178" s="692">
        <v>15</v>
      </c>
      <c r="L178" s="693">
        <v>750</v>
      </c>
      <c r="M178" s="693">
        <f>Table623[[#This Row],[Per piece Pesos]]*Table623[[#This Row],[Quantity]]</f>
        <v>750</v>
      </c>
      <c r="N178" s="486">
        <v>0</v>
      </c>
      <c r="O178" s="486">
        <v>19.685039370078741</v>
      </c>
      <c r="P178" s="486">
        <v>5.9055118110236222</v>
      </c>
      <c r="Q178" s="486">
        <v>5.9055118110236222</v>
      </c>
      <c r="R178" s="693">
        <v>42</v>
      </c>
      <c r="S178" s="693">
        <f>Table623[[#This Row],[Per Piece US$]]*Table623[[#This Row],[Quantity]]</f>
        <v>42</v>
      </c>
    </row>
    <row r="179" spans="2:19" x14ac:dyDescent="0.25">
      <c r="B179" t="s">
        <v>401</v>
      </c>
      <c r="C179" s="975" t="s">
        <v>897</v>
      </c>
      <c r="D179" s="691" t="s">
        <v>685</v>
      </c>
      <c r="E179" t="s">
        <v>686</v>
      </c>
      <c r="F179" s="691">
        <v>472</v>
      </c>
      <c r="G179">
        <v>1</v>
      </c>
      <c r="I179">
        <v>50</v>
      </c>
      <c r="J179">
        <v>15</v>
      </c>
      <c r="K179" s="692">
        <v>15</v>
      </c>
      <c r="L179" s="693">
        <v>750</v>
      </c>
      <c r="M179" s="693">
        <f>Table623[[#This Row],[Per piece Pesos]]*Table623[[#This Row],[Quantity]]</f>
        <v>750</v>
      </c>
      <c r="N179" s="486">
        <v>0</v>
      </c>
      <c r="O179" s="486">
        <v>19.685039370078741</v>
      </c>
      <c r="P179" s="486">
        <v>5.9055118110236222</v>
      </c>
      <c r="Q179" s="486">
        <v>5.9055118110236222</v>
      </c>
      <c r="R179" s="693">
        <v>42</v>
      </c>
      <c r="S179" s="693">
        <f>Table623[[#This Row],[Per Piece US$]]*Table623[[#This Row],[Quantity]]</f>
        <v>42</v>
      </c>
    </row>
    <row r="180" spans="2:19" x14ac:dyDescent="0.25">
      <c r="B180" t="s">
        <v>397</v>
      </c>
      <c r="C180" s="975" t="s">
        <v>898</v>
      </c>
      <c r="D180" s="691" t="s">
        <v>738</v>
      </c>
      <c r="E180" t="s">
        <v>716</v>
      </c>
      <c r="F180" s="691">
        <v>400</v>
      </c>
      <c r="G180">
        <v>1</v>
      </c>
      <c r="I180">
        <v>40</v>
      </c>
      <c r="J180">
        <v>15</v>
      </c>
      <c r="K180" s="692">
        <v>15</v>
      </c>
      <c r="L180" s="693">
        <v>650</v>
      </c>
      <c r="M180" s="693">
        <f>Table623[[#This Row],[Per piece Pesos]]*Table623[[#This Row],[Quantity]]</f>
        <v>650</v>
      </c>
      <c r="N180" s="486">
        <v>0</v>
      </c>
      <c r="O180" s="486">
        <v>15.748031496062993</v>
      </c>
      <c r="P180" s="486">
        <v>5.9055118110236222</v>
      </c>
      <c r="Q180" s="486">
        <v>5.9055118110236222</v>
      </c>
      <c r="R180" s="693">
        <v>36</v>
      </c>
      <c r="S180" s="693">
        <f>Table623[[#This Row],[Per Piece US$]]*Table623[[#This Row],[Quantity]]</f>
        <v>36</v>
      </c>
    </row>
    <row r="181" spans="2:19" x14ac:dyDescent="0.25">
      <c r="B181" t="s">
        <v>404</v>
      </c>
      <c r="C181" s="975" t="s">
        <v>899</v>
      </c>
      <c r="D181" s="691" t="s">
        <v>712</v>
      </c>
      <c r="E181" t="s">
        <v>713</v>
      </c>
      <c r="F181" s="691">
        <v>312</v>
      </c>
      <c r="G181">
        <v>5</v>
      </c>
      <c r="I181">
        <v>35</v>
      </c>
      <c r="J181">
        <v>12</v>
      </c>
      <c r="K181" s="692">
        <v>12</v>
      </c>
      <c r="L181" s="693">
        <v>500</v>
      </c>
      <c r="M181" s="693">
        <f>Table623[[#This Row],[Per piece Pesos]]*Table623[[#This Row],[Quantity]]</f>
        <v>2500</v>
      </c>
      <c r="N181" s="486">
        <v>0</v>
      </c>
      <c r="O181" s="486">
        <v>13.779527559055119</v>
      </c>
      <c r="P181" s="486">
        <v>4.7244094488188972</v>
      </c>
      <c r="Q181" s="486">
        <v>4.7244094488188972</v>
      </c>
      <c r="R181" s="693">
        <v>28</v>
      </c>
      <c r="S181" s="693">
        <f>Table623[[#This Row],[Per Piece US$]]*Table623[[#This Row],[Quantity]]</f>
        <v>140</v>
      </c>
    </row>
    <row r="182" spans="2:19" x14ac:dyDescent="0.25">
      <c r="B182" t="s">
        <v>402</v>
      </c>
      <c r="C182" s="975" t="s">
        <v>900</v>
      </c>
      <c r="D182" s="691" t="s">
        <v>712</v>
      </c>
      <c r="E182" t="s">
        <v>713</v>
      </c>
      <c r="F182" s="691">
        <v>312</v>
      </c>
      <c r="G182">
        <v>1</v>
      </c>
      <c r="I182">
        <v>40</v>
      </c>
      <c r="J182">
        <v>12</v>
      </c>
      <c r="K182" s="692">
        <v>12</v>
      </c>
      <c r="L182" s="693">
        <v>510</v>
      </c>
      <c r="M182" s="693">
        <f>Table623[[#This Row],[Per piece Pesos]]*Table623[[#This Row],[Quantity]]</f>
        <v>510</v>
      </c>
      <c r="N182" s="486">
        <v>0</v>
      </c>
      <c r="O182" s="486">
        <v>15.748031496062993</v>
      </c>
      <c r="P182" s="486">
        <v>4.7244094488188972</v>
      </c>
      <c r="Q182" s="486">
        <v>4.7244094488188972</v>
      </c>
      <c r="R182" s="693">
        <v>28</v>
      </c>
      <c r="S182" s="693">
        <f>Table623[[#This Row],[Per Piece US$]]*Table623[[#This Row],[Quantity]]</f>
        <v>28</v>
      </c>
    </row>
    <row r="183" spans="2:19" x14ac:dyDescent="0.25">
      <c r="B183" t="s">
        <v>403</v>
      </c>
      <c r="C183" s="975" t="s">
        <v>901</v>
      </c>
      <c r="D183" s="691" t="s">
        <v>712</v>
      </c>
      <c r="E183" t="s">
        <v>713</v>
      </c>
      <c r="F183" s="691">
        <v>312</v>
      </c>
      <c r="G183">
        <v>1</v>
      </c>
      <c r="I183">
        <v>40</v>
      </c>
      <c r="J183">
        <v>12</v>
      </c>
      <c r="K183" s="692">
        <v>12</v>
      </c>
      <c r="L183" s="693">
        <v>510</v>
      </c>
      <c r="M183" s="693">
        <f>Table623[[#This Row],[Per piece Pesos]]*Table623[[#This Row],[Quantity]]</f>
        <v>510</v>
      </c>
      <c r="N183" s="486">
        <v>0</v>
      </c>
      <c r="O183" s="486">
        <v>15.748031496062993</v>
      </c>
      <c r="P183" s="486">
        <v>4.7244094488188972</v>
      </c>
      <c r="Q183" s="486">
        <v>4.7244094488188972</v>
      </c>
      <c r="R183" s="693">
        <v>28</v>
      </c>
      <c r="S183" s="693">
        <f>Table623[[#This Row],[Per Piece US$]]*Table623[[#This Row],[Quantity]]</f>
        <v>28</v>
      </c>
    </row>
    <row r="184" spans="2:19" x14ac:dyDescent="0.25">
      <c r="B184" t="s">
        <v>404</v>
      </c>
      <c r="C184" s="975" t="s">
        <v>902</v>
      </c>
      <c r="D184" s="691" t="s">
        <v>712</v>
      </c>
      <c r="E184" t="s">
        <v>713</v>
      </c>
      <c r="F184" s="691">
        <v>312</v>
      </c>
      <c r="G184">
        <v>1</v>
      </c>
      <c r="I184">
        <v>40</v>
      </c>
      <c r="J184">
        <v>12</v>
      </c>
      <c r="K184" s="692">
        <v>12</v>
      </c>
      <c r="L184" s="693">
        <v>510</v>
      </c>
      <c r="M184" s="693">
        <f>Table623[[#This Row],[Per piece Pesos]]*Table623[[#This Row],[Quantity]]</f>
        <v>510</v>
      </c>
      <c r="N184" s="486">
        <v>0</v>
      </c>
      <c r="O184" s="486">
        <v>15.748031496062993</v>
      </c>
      <c r="P184" s="486">
        <v>4.7244094488188972</v>
      </c>
      <c r="Q184" s="486">
        <v>4.7244094488188972</v>
      </c>
      <c r="R184" s="693">
        <v>28</v>
      </c>
      <c r="S184" s="693">
        <f>Table623[[#This Row],[Per Piece US$]]*Table623[[#This Row],[Quantity]]</f>
        <v>28</v>
      </c>
    </row>
    <row r="185" spans="2:19" x14ac:dyDescent="0.25">
      <c r="B185" t="s">
        <v>405</v>
      </c>
      <c r="C185" s="975" t="s">
        <v>903</v>
      </c>
      <c r="D185" s="691" t="s">
        <v>712</v>
      </c>
      <c r="E185" t="s">
        <v>713</v>
      </c>
      <c r="F185" s="691">
        <v>312</v>
      </c>
      <c r="G185">
        <v>1</v>
      </c>
      <c r="I185">
        <v>40</v>
      </c>
      <c r="J185">
        <v>12</v>
      </c>
      <c r="K185" s="692">
        <v>12</v>
      </c>
      <c r="L185" s="693">
        <v>510</v>
      </c>
      <c r="M185" s="693">
        <f>Table623[[#This Row],[Per piece Pesos]]*Table623[[#This Row],[Quantity]]</f>
        <v>510</v>
      </c>
      <c r="N185" s="486">
        <v>0</v>
      </c>
      <c r="O185" s="486">
        <v>15.748031496062993</v>
      </c>
      <c r="P185" s="486">
        <v>4.7244094488188972</v>
      </c>
      <c r="Q185" s="486">
        <v>4.7244094488188972</v>
      </c>
      <c r="R185" s="693">
        <v>28</v>
      </c>
      <c r="S185" s="693">
        <f>Table623[[#This Row],[Per Piece US$]]*Table623[[#This Row],[Quantity]]</f>
        <v>28</v>
      </c>
    </row>
    <row r="186" spans="2:19" x14ac:dyDescent="0.25">
      <c r="B186" t="s">
        <v>406</v>
      </c>
      <c r="C186" s="975" t="s">
        <v>904</v>
      </c>
      <c r="D186" s="691" t="s">
        <v>905</v>
      </c>
      <c r="E186" t="s">
        <v>906</v>
      </c>
      <c r="F186" s="691">
        <v>680</v>
      </c>
      <c r="G186">
        <v>3</v>
      </c>
      <c r="I186">
        <v>20</v>
      </c>
      <c r="J186">
        <v>20</v>
      </c>
      <c r="K186" s="692">
        <v>20</v>
      </c>
      <c r="L186" s="693">
        <v>1100</v>
      </c>
      <c r="M186" s="693">
        <f>Table623[[#This Row],[Per piece Pesos]]*Table623[[#This Row],[Quantity]]</f>
        <v>3300</v>
      </c>
      <c r="N186" s="486">
        <v>0</v>
      </c>
      <c r="O186" s="486">
        <v>7.8740157480314963</v>
      </c>
      <c r="P186" s="486">
        <v>7.8740157480314963</v>
      </c>
      <c r="Q186" s="486">
        <v>7.8740157480314963</v>
      </c>
      <c r="R186" s="693">
        <v>61</v>
      </c>
      <c r="S186" s="693">
        <f>Table623[[#This Row],[Per Piece US$]]*Table623[[#This Row],[Quantity]]</f>
        <v>183</v>
      </c>
    </row>
    <row r="187" spans="2:19" x14ac:dyDescent="0.25">
      <c r="B187" t="s">
        <v>407</v>
      </c>
      <c r="C187" s="975" t="s">
        <v>907</v>
      </c>
      <c r="D187" s="691" t="s">
        <v>729</v>
      </c>
      <c r="E187" t="s">
        <v>871</v>
      </c>
      <c r="F187" s="691">
        <v>448</v>
      </c>
      <c r="G187">
        <v>1</v>
      </c>
      <c r="I187">
        <v>45</v>
      </c>
      <c r="J187">
        <v>15</v>
      </c>
      <c r="K187" s="692">
        <v>15</v>
      </c>
      <c r="L187" s="693">
        <v>725</v>
      </c>
      <c r="M187" s="693">
        <f>Table623[[#This Row],[Per piece Pesos]]*Table623[[#This Row],[Quantity]]</f>
        <v>725</v>
      </c>
      <c r="N187" s="486">
        <v>0</v>
      </c>
      <c r="O187" s="486">
        <v>17.716535433070867</v>
      </c>
      <c r="P187" s="486">
        <v>5.9055118110236222</v>
      </c>
      <c r="Q187" s="486">
        <v>5.9055118110236222</v>
      </c>
      <c r="R187" s="693">
        <v>40</v>
      </c>
      <c r="S187" s="693">
        <f>Table623[[#This Row],[Per Piece US$]]*Table623[[#This Row],[Quantity]]</f>
        <v>40</v>
      </c>
    </row>
    <row r="188" spans="2:19" x14ac:dyDescent="0.25">
      <c r="B188" t="s">
        <v>408</v>
      </c>
      <c r="C188" s="975" t="s">
        <v>908</v>
      </c>
      <c r="D188" s="691" t="s">
        <v>712</v>
      </c>
      <c r="E188" t="s">
        <v>713</v>
      </c>
      <c r="F188" s="691">
        <v>312</v>
      </c>
      <c r="G188">
        <v>1</v>
      </c>
      <c r="I188">
        <v>30</v>
      </c>
      <c r="J188">
        <v>15</v>
      </c>
      <c r="K188" s="692">
        <v>15</v>
      </c>
      <c r="L188" s="693">
        <v>500</v>
      </c>
      <c r="M188" s="693">
        <f>Table623[[#This Row],[Per piece Pesos]]*Table623[[#This Row],[Quantity]]</f>
        <v>500</v>
      </c>
      <c r="N188" s="486">
        <v>0</v>
      </c>
      <c r="O188" s="486">
        <v>11.811023622047244</v>
      </c>
      <c r="P188" s="486">
        <v>5.9055118110236222</v>
      </c>
      <c r="Q188" s="486">
        <v>5.9055118110236222</v>
      </c>
      <c r="R188" s="693">
        <v>28</v>
      </c>
      <c r="S188" s="693">
        <f>Table623[[#This Row],[Per Piece US$]]*Table623[[#This Row],[Quantity]]</f>
        <v>28</v>
      </c>
    </row>
    <row r="189" spans="2:19" x14ac:dyDescent="0.25">
      <c r="B189" t="s">
        <v>408</v>
      </c>
      <c r="C189" s="975" t="s">
        <v>909</v>
      </c>
      <c r="D189" s="691" t="s">
        <v>855</v>
      </c>
      <c r="E189" t="s">
        <v>688</v>
      </c>
      <c r="F189" s="691">
        <v>360</v>
      </c>
      <c r="G189">
        <v>4</v>
      </c>
      <c r="I189">
        <v>35</v>
      </c>
      <c r="J189">
        <v>15</v>
      </c>
      <c r="K189" s="692">
        <v>15</v>
      </c>
      <c r="L189" s="693">
        <v>575</v>
      </c>
      <c r="M189" s="693">
        <f>Table623[[#This Row],[Per piece Pesos]]*Table623[[#This Row],[Quantity]]</f>
        <v>2300</v>
      </c>
      <c r="N189" s="486">
        <v>0</v>
      </c>
      <c r="O189" s="486">
        <v>13.779527559055119</v>
      </c>
      <c r="P189" s="486">
        <v>5.9055118110236222</v>
      </c>
      <c r="Q189" s="486">
        <v>5.9055118110236222</v>
      </c>
      <c r="R189" s="693">
        <v>32</v>
      </c>
      <c r="S189" s="693">
        <f>Table623[[#This Row],[Per Piece US$]]*Table623[[#This Row],[Quantity]]</f>
        <v>128</v>
      </c>
    </row>
    <row r="190" spans="2:19" x14ac:dyDescent="0.25">
      <c r="B190" t="s">
        <v>409</v>
      </c>
      <c r="C190" s="975" t="s">
        <v>910</v>
      </c>
      <c r="D190" s="691" t="s">
        <v>729</v>
      </c>
      <c r="E190" t="s">
        <v>871</v>
      </c>
      <c r="F190" s="691">
        <v>448</v>
      </c>
      <c r="G190">
        <v>1</v>
      </c>
      <c r="I190">
        <v>45</v>
      </c>
      <c r="J190">
        <v>15</v>
      </c>
      <c r="K190" s="692">
        <v>15</v>
      </c>
      <c r="L190" s="693">
        <v>725</v>
      </c>
      <c r="M190" s="693">
        <f>Table623[[#This Row],[Per piece Pesos]]*Table623[[#This Row],[Quantity]]</f>
        <v>725</v>
      </c>
      <c r="N190" s="486">
        <v>0</v>
      </c>
      <c r="O190" s="486">
        <v>17.716535433070867</v>
      </c>
      <c r="P190" s="486">
        <v>5.9055118110236222</v>
      </c>
      <c r="Q190" s="486">
        <v>5.9055118110236222</v>
      </c>
      <c r="R190" s="693">
        <v>40</v>
      </c>
      <c r="S190" s="693">
        <f>Table623[[#This Row],[Per Piece US$]]*Table623[[#This Row],[Quantity]]</f>
        <v>40</v>
      </c>
    </row>
    <row r="191" spans="2:19" x14ac:dyDescent="0.25">
      <c r="B191" t="s">
        <v>410</v>
      </c>
      <c r="C191" s="975" t="s">
        <v>911</v>
      </c>
      <c r="D191" s="691" t="s">
        <v>685</v>
      </c>
      <c r="E191" t="s">
        <v>686</v>
      </c>
      <c r="F191" s="691">
        <v>472</v>
      </c>
      <c r="G191">
        <v>3</v>
      </c>
      <c r="I191">
        <v>50</v>
      </c>
      <c r="J191">
        <v>15</v>
      </c>
      <c r="K191" s="692">
        <v>15</v>
      </c>
      <c r="L191" s="693">
        <v>750</v>
      </c>
      <c r="M191" s="693">
        <f>Table623[[#This Row],[Per piece Pesos]]*Table623[[#This Row],[Quantity]]</f>
        <v>2250</v>
      </c>
      <c r="N191" s="486">
        <v>0</v>
      </c>
      <c r="O191" s="486">
        <v>19.685039370078741</v>
      </c>
      <c r="P191" s="486">
        <v>5.9055118110236222</v>
      </c>
      <c r="Q191" s="486">
        <v>5.9055118110236222</v>
      </c>
      <c r="R191" s="693">
        <v>42</v>
      </c>
      <c r="S191" s="693">
        <f>Table623[[#This Row],[Per Piece US$]]*Table623[[#This Row],[Quantity]]</f>
        <v>126</v>
      </c>
    </row>
    <row r="192" spans="2:19" x14ac:dyDescent="0.25">
      <c r="B192" t="s">
        <v>410</v>
      </c>
      <c r="C192" s="975" t="s">
        <v>912</v>
      </c>
      <c r="D192" s="691" t="s">
        <v>815</v>
      </c>
      <c r="E192" t="s">
        <v>778</v>
      </c>
      <c r="F192" s="691">
        <v>552</v>
      </c>
      <c r="G192">
        <v>4</v>
      </c>
      <c r="I192">
        <v>55</v>
      </c>
      <c r="J192">
        <v>15</v>
      </c>
      <c r="K192" s="692">
        <v>15</v>
      </c>
      <c r="L192" s="693">
        <v>875</v>
      </c>
      <c r="M192" s="693">
        <f>Table623[[#This Row],[Per piece Pesos]]*Table623[[#This Row],[Quantity]]</f>
        <v>3500</v>
      </c>
      <c r="N192" s="486">
        <v>0</v>
      </c>
      <c r="O192" s="486">
        <v>21.653543307086615</v>
      </c>
      <c r="P192" s="486">
        <v>5.9055118110236222</v>
      </c>
      <c r="Q192" s="486">
        <v>5.9055118110236222</v>
      </c>
      <c r="R192" s="693">
        <v>49</v>
      </c>
      <c r="S192" s="693">
        <f>Table623[[#This Row],[Per Piece US$]]*Table623[[#This Row],[Quantity]]</f>
        <v>196</v>
      </c>
    </row>
    <row r="193" spans="2:19" x14ac:dyDescent="0.25">
      <c r="B193" t="s">
        <v>411</v>
      </c>
      <c r="C193" s="975" t="s">
        <v>913</v>
      </c>
      <c r="D193" s="691" t="s">
        <v>887</v>
      </c>
      <c r="E193" t="s">
        <v>888</v>
      </c>
      <c r="F193" s="691">
        <v>592</v>
      </c>
      <c r="G193">
        <v>3</v>
      </c>
      <c r="I193">
        <v>60</v>
      </c>
      <c r="J193">
        <v>15</v>
      </c>
      <c r="K193" s="692">
        <v>15</v>
      </c>
      <c r="L193" s="693">
        <v>950</v>
      </c>
      <c r="M193" s="693">
        <f>Table623[[#This Row],[Per piece Pesos]]*Table623[[#This Row],[Quantity]]</f>
        <v>2850</v>
      </c>
      <c r="N193" s="486">
        <v>0</v>
      </c>
      <c r="O193" s="486">
        <v>23.622047244094489</v>
      </c>
      <c r="P193" s="486">
        <v>5.9055118110236222</v>
      </c>
      <c r="Q193" s="486">
        <v>5.9055118110236222</v>
      </c>
      <c r="R193" s="693">
        <v>53</v>
      </c>
      <c r="S193" s="693">
        <f>Table623[[#This Row],[Per Piece US$]]*Table623[[#This Row],[Quantity]]</f>
        <v>159</v>
      </c>
    </row>
    <row r="194" spans="2:19" x14ac:dyDescent="0.25">
      <c r="B194" t="s">
        <v>412</v>
      </c>
      <c r="C194" s="975" t="s">
        <v>914</v>
      </c>
      <c r="D194" s="691" t="s">
        <v>685</v>
      </c>
      <c r="E194" t="s">
        <v>686</v>
      </c>
      <c r="F194" s="691">
        <v>472</v>
      </c>
      <c r="G194">
        <v>3</v>
      </c>
      <c r="I194">
        <v>50</v>
      </c>
      <c r="J194">
        <v>15</v>
      </c>
      <c r="K194" s="692">
        <v>15</v>
      </c>
      <c r="L194" s="693">
        <v>750</v>
      </c>
      <c r="M194" s="693">
        <f>Table623[[#This Row],[Per piece Pesos]]*Table623[[#This Row],[Quantity]]</f>
        <v>2250</v>
      </c>
      <c r="N194" s="486">
        <v>0</v>
      </c>
      <c r="O194" s="486">
        <v>19.685039370078741</v>
      </c>
      <c r="P194" s="486">
        <v>5.9055118110236222</v>
      </c>
      <c r="Q194" s="486">
        <v>5.9055118110236222</v>
      </c>
      <c r="R194" s="693">
        <v>42</v>
      </c>
      <c r="S194" s="693">
        <f>Table623[[#This Row],[Per Piece US$]]*Table623[[#This Row],[Quantity]]</f>
        <v>126</v>
      </c>
    </row>
    <row r="195" spans="2:19" x14ac:dyDescent="0.25">
      <c r="B195" t="s">
        <v>413</v>
      </c>
      <c r="C195" s="975" t="s">
        <v>915</v>
      </c>
      <c r="D195" s="691" t="s">
        <v>685</v>
      </c>
      <c r="E195" t="s">
        <v>686</v>
      </c>
      <c r="F195" s="691">
        <v>472</v>
      </c>
      <c r="G195">
        <v>2</v>
      </c>
      <c r="I195">
        <v>50</v>
      </c>
      <c r="J195">
        <v>15</v>
      </c>
      <c r="K195" s="692">
        <v>15</v>
      </c>
      <c r="L195" s="693">
        <v>750</v>
      </c>
      <c r="M195" s="693">
        <f>Table623[[#This Row],[Per piece Pesos]]*Table623[[#This Row],[Quantity]]</f>
        <v>1500</v>
      </c>
      <c r="N195" s="486">
        <v>0</v>
      </c>
      <c r="O195" s="486">
        <v>19.685039370078741</v>
      </c>
      <c r="P195" s="486">
        <v>5.9055118110236222</v>
      </c>
      <c r="Q195" s="486">
        <v>5.9055118110236222</v>
      </c>
      <c r="R195" s="693">
        <v>42</v>
      </c>
      <c r="S195" s="693">
        <f>Table623[[#This Row],[Per Piece US$]]*Table623[[#This Row],[Quantity]]</f>
        <v>84</v>
      </c>
    </row>
    <row r="196" spans="2:19" x14ac:dyDescent="0.25">
      <c r="B196" t="s">
        <v>414</v>
      </c>
      <c r="C196" s="975" t="s">
        <v>916</v>
      </c>
      <c r="D196" s="691" t="s">
        <v>917</v>
      </c>
      <c r="E196" t="s">
        <v>918</v>
      </c>
      <c r="F196" s="691">
        <v>1120</v>
      </c>
      <c r="G196">
        <v>2</v>
      </c>
      <c r="I196">
        <v>85</v>
      </c>
      <c r="J196">
        <v>20</v>
      </c>
      <c r="K196" s="692">
        <v>20</v>
      </c>
      <c r="L196" s="693">
        <v>1800</v>
      </c>
      <c r="M196" s="693">
        <f>Table623[[#This Row],[Per piece Pesos]]*Table623[[#This Row],[Quantity]]</f>
        <v>3600</v>
      </c>
      <c r="N196" s="486">
        <v>0</v>
      </c>
      <c r="O196" s="486">
        <v>33.464566929133859</v>
      </c>
      <c r="P196" s="486">
        <v>7.8740157480314963</v>
      </c>
      <c r="Q196" s="486">
        <v>7.8740157480314963</v>
      </c>
      <c r="R196" s="693">
        <v>100</v>
      </c>
      <c r="S196" s="693">
        <f>Table623[[#This Row],[Per Piece US$]]*Table623[[#This Row],[Quantity]]</f>
        <v>200</v>
      </c>
    </row>
    <row r="197" spans="2:19" x14ac:dyDescent="0.25">
      <c r="B197" t="s">
        <v>414</v>
      </c>
      <c r="C197" s="975" t="s">
        <v>919</v>
      </c>
      <c r="D197" s="691" t="s">
        <v>429</v>
      </c>
      <c r="E197" t="s">
        <v>836</v>
      </c>
      <c r="F197" s="691">
        <v>1184</v>
      </c>
      <c r="G197">
        <v>1</v>
      </c>
      <c r="I197">
        <v>90</v>
      </c>
      <c r="J197">
        <v>20</v>
      </c>
      <c r="K197" s="692">
        <v>20</v>
      </c>
      <c r="L197" s="693">
        <v>1900</v>
      </c>
      <c r="M197" s="693">
        <f>Table623[[#This Row],[Per piece Pesos]]*Table623[[#This Row],[Quantity]]</f>
        <v>1900</v>
      </c>
      <c r="N197" s="486">
        <v>0</v>
      </c>
      <c r="O197" s="486">
        <v>35.433070866141733</v>
      </c>
      <c r="P197" s="486">
        <v>7.8740157480314963</v>
      </c>
      <c r="Q197" s="486">
        <v>7.8740157480314963</v>
      </c>
      <c r="R197" s="693">
        <v>106</v>
      </c>
      <c r="S197" s="693">
        <f>Table623[[#This Row],[Per Piece US$]]*Table623[[#This Row],[Quantity]]</f>
        <v>106</v>
      </c>
    </row>
    <row r="198" spans="2:19" x14ac:dyDescent="0.25">
      <c r="B198" t="s">
        <v>414</v>
      </c>
      <c r="C198" s="975" t="s">
        <v>920</v>
      </c>
      <c r="D198" s="691" t="s">
        <v>921</v>
      </c>
      <c r="E198" t="s">
        <v>337</v>
      </c>
      <c r="F198" s="691">
        <v>1000</v>
      </c>
      <c r="G198">
        <v>1</v>
      </c>
      <c r="I198">
        <v>75</v>
      </c>
      <c r="J198">
        <v>20</v>
      </c>
      <c r="K198" s="692">
        <v>20</v>
      </c>
      <c r="L198" s="693">
        <v>1600</v>
      </c>
      <c r="M198" s="693">
        <f>Table623[[#This Row],[Per piece Pesos]]*Table623[[#This Row],[Quantity]]</f>
        <v>1600</v>
      </c>
      <c r="N198" s="486">
        <v>0</v>
      </c>
      <c r="O198" s="486">
        <v>29.527559055118111</v>
      </c>
      <c r="P198" s="486">
        <v>7.8740157480314963</v>
      </c>
      <c r="Q198" s="486">
        <v>7.8740157480314963</v>
      </c>
      <c r="R198" s="693">
        <v>89</v>
      </c>
      <c r="S198" s="693">
        <f>Table623[[#This Row],[Per Piece US$]]*Table623[[#This Row],[Quantity]]</f>
        <v>89</v>
      </c>
    </row>
    <row r="199" spans="2:19" x14ac:dyDescent="0.25">
      <c r="B199" t="s">
        <v>414</v>
      </c>
      <c r="C199" s="975" t="s">
        <v>922</v>
      </c>
      <c r="D199" s="691" t="s">
        <v>923</v>
      </c>
      <c r="E199" t="s">
        <v>738</v>
      </c>
      <c r="F199" s="691">
        <v>560</v>
      </c>
      <c r="G199">
        <v>1</v>
      </c>
      <c r="I199">
        <v>40</v>
      </c>
      <c r="J199">
        <v>20</v>
      </c>
      <c r="K199" s="692">
        <v>20</v>
      </c>
      <c r="L199" s="693">
        <v>900</v>
      </c>
      <c r="M199" s="693">
        <f>Table623[[#This Row],[Per piece Pesos]]*Table623[[#This Row],[Quantity]]</f>
        <v>900</v>
      </c>
      <c r="N199" s="486">
        <v>0</v>
      </c>
      <c r="O199" s="486">
        <v>15.748031496062993</v>
      </c>
      <c r="P199" s="486">
        <v>7.8740157480314963</v>
      </c>
      <c r="Q199" s="486">
        <v>7.8740157480314963</v>
      </c>
      <c r="R199" s="693">
        <v>50</v>
      </c>
      <c r="S199" s="693">
        <f>Table623[[#This Row],[Per Piece US$]]*Table623[[#This Row],[Quantity]]</f>
        <v>50</v>
      </c>
    </row>
    <row r="200" spans="2:19" x14ac:dyDescent="0.25">
      <c r="B200" t="s">
        <v>415</v>
      </c>
      <c r="C200" s="975" t="s">
        <v>924</v>
      </c>
      <c r="D200" s="691" t="s">
        <v>921</v>
      </c>
      <c r="E200" t="s">
        <v>337</v>
      </c>
      <c r="F200" s="691">
        <v>1000</v>
      </c>
      <c r="G200">
        <v>3</v>
      </c>
      <c r="I200">
        <v>75</v>
      </c>
      <c r="J200">
        <v>20</v>
      </c>
      <c r="K200" s="692">
        <v>20</v>
      </c>
      <c r="L200" s="693">
        <v>1600</v>
      </c>
      <c r="M200" s="693">
        <f>Table623[[#This Row],[Per piece Pesos]]*Table623[[#This Row],[Quantity]]</f>
        <v>4800</v>
      </c>
      <c r="N200" s="486">
        <v>0</v>
      </c>
      <c r="O200" s="486">
        <v>29.527559055118111</v>
      </c>
      <c r="P200" s="486">
        <v>7.8740157480314963</v>
      </c>
      <c r="Q200" s="486">
        <v>7.8740157480314963</v>
      </c>
      <c r="R200" s="693">
        <v>89</v>
      </c>
      <c r="S200" s="693">
        <f>Table623[[#This Row],[Per Piece US$]]*Table623[[#This Row],[Quantity]]</f>
        <v>267</v>
      </c>
    </row>
    <row r="201" spans="2:19" x14ac:dyDescent="0.25">
      <c r="B201" t="s">
        <v>415</v>
      </c>
      <c r="C201" s="975" t="s">
        <v>925</v>
      </c>
      <c r="D201" s="691" t="s">
        <v>926</v>
      </c>
      <c r="E201" t="s">
        <v>927</v>
      </c>
      <c r="F201" s="691">
        <v>928</v>
      </c>
      <c r="G201">
        <v>2</v>
      </c>
      <c r="I201">
        <v>70</v>
      </c>
      <c r="J201">
        <v>20</v>
      </c>
      <c r="K201" s="692">
        <v>20</v>
      </c>
      <c r="L201" s="693">
        <v>1500</v>
      </c>
      <c r="M201" s="693">
        <f>Table623[[#This Row],[Per piece Pesos]]*Table623[[#This Row],[Quantity]]</f>
        <v>3000</v>
      </c>
      <c r="N201" s="486">
        <v>0</v>
      </c>
      <c r="O201" s="486">
        <v>27.559055118110237</v>
      </c>
      <c r="P201" s="486">
        <v>7.8740157480314963</v>
      </c>
      <c r="Q201" s="486">
        <v>7.8740157480314963</v>
      </c>
      <c r="R201" s="693">
        <v>83</v>
      </c>
      <c r="S201" s="693">
        <f>Table623[[#This Row],[Per Piece US$]]*Table623[[#This Row],[Quantity]]</f>
        <v>166</v>
      </c>
    </row>
    <row r="202" spans="2:19" x14ac:dyDescent="0.25">
      <c r="B202" t="s">
        <v>415</v>
      </c>
      <c r="C202" s="975" t="s">
        <v>928</v>
      </c>
      <c r="D202" s="691" t="s">
        <v>731</v>
      </c>
      <c r="E202" t="s">
        <v>732</v>
      </c>
      <c r="F202" s="691">
        <v>808</v>
      </c>
      <c r="G202">
        <v>1</v>
      </c>
      <c r="I202">
        <v>60</v>
      </c>
      <c r="J202">
        <v>20</v>
      </c>
      <c r="K202" s="692">
        <v>20</v>
      </c>
      <c r="L202" s="693">
        <v>1300</v>
      </c>
      <c r="M202" s="693">
        <f>Table623[[#This Row],[Per piece Pesos]]*Table623[[#This Row],[Quantity]]</f>
        <v>1300</v>
      </c>
      <c r="N202" s="486">
        <v>0</v>
      </c>
      <c r="O202" s="486">
        <v>23.622047244094489</v>
      </c>
      <c r="P202" s="486">
        <v>7.8740157480314963</v>
      </c>
      <c r="Q202" s="486">
        <v>7.8740157480314963</v>
      </c>
      <c r="R202" s="693">
        <v>72</v>
      </c>
      <c r="S202" s="693">
        <f>Table623[[#This Row],[Per Piece US$]]*Table623[[#This Row],[Quantity]]</f>
        <v>72</v>
      </c>
    </row>
    <row r="203" spans="2:19" x14ac:dyDescent="0.25">
      <c r="B203" t="s">
        <v>415</v>
      </c>
      <c r="C203" s="975" t="s">
        <v>929</v>
      </c>
      <c r="D203" s="691" t="s">
        <v>905</v>
      </c>
      <c r="E203" t="s">
        <v>906</v>
      </c>
      <c r="F203" s="691">
        <v>680</v>
      </c>
      <c r="G203">
        <v>1</v>
      </c>
      <c r="I203">
        <v>50</v>
      </c>
      <c r="J203">
        <v>20</v>
      </c>
      <c r="K203" s="692">
        <v>20</v>
      </c>
      <c r="L203" s="693">
        <v>1100</v>
      </c>
      <c r="M203" s="693">
        <f>Table623[[#This Row],[Per piece Pesos]]*Table623[[#This Row],[Quantity]]</f>
        <v>1100</v>
      </c>
      <c r="N203" s="486">
        <v>0</v>
      </c>
      <c r="O203" s="486">
        <v>19.685039370078741</v>
      </c>
      <c r="P203" s="486">
        <v>7.8740157480314963</v>
      </c>
      <c r="Q203" s="486">
        <v>7.8740157480314963</v>
      </c>
      <c r="R203" s="693">
        <v>61</v>
      </c>
      <c r="S203" s="693">
        <f>Table623[[#This Row],[Per Piece US$]]*Table623[[#This Row],[Quantity]]</f>
        <v>61</v>
      </c>
    </row>
    <row r="204" spans="2:19" x14ac:dyDescent="0.25">
      <c r="B204" t="s">
        <v>421</v>
      </c>
      <c r="C204" s="976" t="s">
        <v>934</v>
      </c>
      <c r="D204" s="691" t="s">
        <v>905</v>
      </c>
      <c r="E204" t="s">
        <v>906</v>
      </c>
      <c r="F204" s="691">
        <v>680</v>
      </c>
      <c r="G204">
        <v>11</v>
      </c>
      <c r="H204">
        <v>3</v>
      </c>
      <c r="I204">
        <v>40</v>
      </c>
      <c r="J204">
        <v>12</v>
      </c>
      <c r="L204" s="693">
        <v>1100</v>
      </c>
      <c r="M204" s="693">
        <f>Table623[[#This Row],[Per piece Pesos]]*Table623[[#This Row],[Quantity]]</f>
        <v>12100</v>
      </c>
      <c r="N204" s="486">
        <v>6.613859999999999</v>
      </c>
      <c r="O204" s="486">
        <v>15.748031496062993</v>
      </c>
      <c r="P204" s="486">
        <v>4.7244094488188972</v>
      </c>
      <c r="Q204" s="486">
        <v>0</v>
      </c>
      <c r="R204" s="693">
        <v>61</v>
      </c>
      <c r="S204" s="693">
        <f>Table623[[#This Row],[Per Piece US$]]*Table623[[#This Row],[Quantity]]</f>
        <v>671</v>
      </c>
    </row>
  </sheetData>
  <dataValidations count="7">
    <dataValidation allowBlank="1" showInputMessage="1" showErrorMessage="1" prompt="Enter the item inventory ID in this column" sqref="B4" xr:uid="{4DF5506C-7102-4A71-BE10-C814D3307606}"/>
    <dataValidation allowBlank="1" showInputMessage="1" showErrorMessage="1" prompt="Enter the name of the item in this column" sqref="C4" xr:uid="{F3EF3E92-01F8-45D4-9999-3D235292433C}"/>
    <dataValidation allowBlank="1" showInputMessage="1" showErrorMessage="1" prompt="Enter the reorder level for each item in this column" sqref="H4" xr:uid="{BE133D8D-6E81-474D-A764-710ECC987C4A}"/>
    <dataValidation allowBlank="1" showInputMessage="1" showErrorMessage="1" prompt="This is an automated column._x000a__x000a_The inventory value for each item is automatically calculated in this column." sqref="G4" xr:uid="{0C12DCBC-E892-4088-868B-68823232552B}"/>
    <dataValidation allowBlank="1" showInputMessage="1" showErrorMessage="1" prompt="Enter the quantity in stock for each item in this column" sqref="F4" xr:uid="{15ABF069-8800-4D07-93E9-C150936B6D35}"/>
    <dataValidation allowBlank="1" showInputMessage="1" showErrorMessage="1" prompt="Enter the unit price of each item in this column" sqref="E4" xr:uid="{78C89B0A-FDBC-4BAA-9483-ADDA36CB1E4A}"/>
    <dataValidation allowBlank="1" showInputMessage="1" showErrorMessage="1" prompt="Enter a description of the item in this column" sqref="D4" xr:uid="{BA85AC5B-D120-4E46-8AB0-C05FF2F63B0C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8501-DA53-447F-9E89-660FCE60A632}">
  <sheetPr codeName="Sheet2">
    <tabColor rgb="FF00ABD7"/>
    <pageSetUpPr fitToPage="1"/>
  </sheetPr>
  <dimension ref="A1:Y118"/>
  <sheetViews>
    <sheetView showGridLines="0" zoomScale="70" zoomScaleNormal="70" workbookViewId="0">
      <selection activeCell="J3" sqref="J3"/>
    </sheetView>
  </sheetViews>
  <sheetFormatPr defaultColWidth="8.625" defaultRowHeight="16.5" x14ac:dyDescent="0.25"/>
  <cols>
    <col min="1" max="1" width="8.5" style="132" customWidth="1"/>
    <col min="2" max="2" width="14.375" style="133" bestFit="1" customWidth="1"/>
    <col min="3" max="3" width="42.5" style="133" customWidth="1"/>
    <col min="4" max="4" width="23" style="134" bestFit="1" customWidth="1"/>
    <col min="5" max="5" width="7.5" style="135" bestFit="1" customWidth="1"/>
    <col min="6" max="6" width="5.5" style="136" bestFit="1" customWidth="1"/>
    <col min="7" max="8" width="8.375" style="137" bestFit="1" customWidth="1"/>
    <col min="9" max="9" width="7.75" style="137" bestFit="1" customWidth="1"/>
    <col min="10" max="10" width="17.75" style="138" bestFit="1" customWidth="1"/>
    <col min="11" max="11" width="27.125" style="138" bestFit="1" customWidth="1"/>
    <col min="12" max="12" width="23.5" style="139" bestFit="1" customWidth="1"/>
    <col min="13" max="13" width="11.25" style="138" bestFit="1" customWidth="1"/>
    <col min="14" max="14" width="10.5" style="134" bestFit="1" customWidth="1"/>
    <col min="15" max="15" width="11.25" style="99" bestFit="1" customWidth="1"/>
    <col min="16" max="16" width="13.375" style="99" bestFit="1" customWidth="1"/>
    <col min="17" max="17" width="21" style="99" bestFit="1" customWidth="1"/>
    <col min="18" max="19" width="13.75" style="99" bestFit="1" customWidth="1"/>
    <col min="20" max="20" width="15.75" style="99" bestFit="1" customWidth="1"/>
    <col min="21" max="21" width="15.25" style="99" bestFit="1" customWidth="1"/>
    <col min="22" max="22" width="7.875" style="99" bestFit="1" customWidth="1"/>
    <col min="23" max="23" width="8.125" style="99" bestFit="1" customWidth="1"/>
    <col min="24" max="24" width="8.625" style="99"/>
    <col min="25" max="25" width="13.75" style="99" bestFit="1" customWidth="1"/>
    <col min="26" max="16384" width="8.625" style="99"/>
  </cols>
  <sheetData>
    <row r="1" spans="1:25" ht="36.75" x14ac:dyDescent="0.6">
      <c r="A1" s="87" t="s">
        <v>4</v>
      </c>
      <c r="B1" s="88"/>
      <c r="C1" s="931"/>
      <c r="D1" s="89"/>
      <c r="E1" s="89"/>
      <c r="F1" s="90"/>
      <c r="G1" s="91"/>
      <c r="H1" s="91"/>
      <c r="I1" s="92"/>
      <c r="J1" s="93"/>
      <c r="K1" s="142">
        <f>SUM(K93:K118)</f>
        <v>325420</v>
      </c>
      <c r="L1" s="94"/>
      <c r="M1" s="95"/>
      <c r="N1" s="88"/>
      <c r="O1" s="91"/>
      <c r="P1" s="91"/>
      <c r="Q1" s="91"/>
      <c r="R1" s="1065"/>
      <c r="S1" s="1065"/>
      <c r="T1" s="96" t="s">
        <v>133</v>
      </c>
      <c r="U1" s="97">
        <v>825</v>
      </c>
      <c r="V1" s="98"/>
      <c r="W1" s="91"/>
      <c r="X1" s="83"/>
      <c r="Y1" s="83"/>
    </row>
    <row r="2" spans="1:25" ht="31.5" x14ac:dyDescent="0.45">
      <c r="A2" s="100" t="s">
        <v>216</v>
      </c>
      <c r="B2" s="101"/>
      <c r="C2" s="101"/>
      <c r="D2" s="102"/>
      <c r="E2" s="103"/>
      <c r="F2" s="104"/>
      <c r="G2" s="105"/>
      <c r="H2" s="91"/>
      <c r="I2" s="106"/>
      <c r="J2" s="106"/>
      <c r="K2" s="718">
        <f>SUM(Inventory_List_Table3[TOTAL PESOS])</f>
        <v>779315.5</v>
      </c>
      <c r="L2" s="613"/>
      <c r="M2" s="88"/>
      <c r="N2" s="88"/>
      <c r="O2" s="91"/>
      <c r="P2" s="91"/>
      <c r="Q2" s="107"/>
      <c r="R2" s="108"/>
      <c r="S2" s="109"/>
      <c r="T2" s="96" t="s">
        <v>134</v>
      </c>
      <c r="U2" s="110">
        <v>18</v>
      </c>
      <c r="V2" s="111"/>
      <c r="W2" s="109"/>
      <c r="X2" s="83"/>
      <c r="Y2" s="84">
        <f>AVERAGE(Y21:Y118)</f>
        <v>2795.1332401736809</v>
      </c>
    </row>
    <row r="3" spans="1:25" s="121" customFormat="1" ht="27" x14ac:dyDescent="0.25">
      <c r="A3" s="112" t="s">
        <v>135</v>
      </c>
      <c r="B3" s="113" t="s">
        <v>122</v>
      </c>
      <c r="C3" s="114" t="s">
        <v>136</v>
      </c>
      <c r="D3" s="114" t="s">
        <v>137</v>
      </c>
      <c r="E3" s="115" t="s">
        <v>123</v>
      </c>
      <c r="F3" s="115" t="s">
        <v>124</v>
      </c>
      <c r="G3" s="116" t="s">
        <v>130</v>
      </c>
      <c r="H3" s="116" t="s">
        <v>125</v>
      </c>
      <c r="I3" s="116" t="s">
        <v>126</v>
      </c>
      <c r="J3" s="116" t="s">
        <v>138</v>
      </c>
      <c r="K3" s="113" t="s">
        <v>139</v>
      </c>
      <c r="L3" s="117" t="s">
        <v>127</v>
      </c>
      <c r="M3" s="113" t="s">
        <v>140</v>
      </c>
      <c r="N3" s="113" t="s">
        <v>141</v>
      </c>
      <c r="O3" s="113" t="s">
        <v>142</v>
      </c>
      <c r="P3" s="118" t="s">
        <v>143</v>
      </c>
      <c r="Q3" s="113" t="s">
        <v>144</v>
      </c>
      <c r="R3" s="118" t="s">
        <v>145</v>
      </c>
      <c r="S3" s="118" t="s">
        <v>146</v>
      </c>
      <c r="T3" s="118" t="s">
        <v>2</v>
      </c>
      <c r="U3" s="119" t="s">
        <v>128</v>
      </c>
      <c r="V3" s="119" t="s">
        <v>131</v>
      </c>
      <c r="W3" s="120" t="s">
        <v>1</v>
      </c>
      <c r="X3" s="85" t="s">
        <v>418</v>
      </c>
      <c r="Y3" s="86" t="s">
        <v>417</v>
      </c>
    </row>
    <row r="4" spans="1:25" ht="19.5" x14ac:dyDescent="0.35">
      <c r="A4" s="122" t="s">
        <v>147</v>
      </c>
      <c r="B4" s="123"/>
      <c r="C4" s="932" t="s">
        <v>5</v>
      </c>
      <c r="D4" s="124" t="s">
        <v>6</v>
      </c>
      <c r="E4" s="125">
        <v>1</v>
      </c>
      <c r="F4" s="126">
        <v>228</v>
      </c>
      <c r="G4" s="127">
        <v>129</v>
      </c>
      <c r="H4" s="127">
        <v>42</v>
      </c>
      <c r="I4" s="127">
        <v>21</v>
      </c>
      <c r="J4" s="937">
        <v>2850</v>
      </c>
      <c r="K4" s="7">
        <f>Inventory_List_Table3[[#This Row],[Q]]*Inventory_List_Table3[[#This Row],[Per piece MXN$]]</f>
        <v>2850</v>
      </c>
      <c r="L4" s="128">
        <f>Inventory_List_Table3[[#This Row],[KG]]*2.20462</f>
        <v>502.65335999999996</v>
      </c>
      <c r="M4" s="8">
        <f>Inventory_List_Table3[[#This Row],[H CM]]/2.54</f>
        <v>50.787401574803148</v>
      </c>
      <c r="N4" s="8">
        <f>Inventory_List_Table3[[#This Row],[W CM]]/2.54</f>
        <v>16.535433070866141</v>
      </c>
      <c r="O4" s="8">
        <f>Inventory_List_Table3[[#This Row],[D CM ]]/2.54</f>
        <v>8.2677165354330704</v>
      </c>
      <c r="P4" s="9">
        <f>Inventory_List_Table3[[#This Row],[Per piece MXN$]]/$U$2</f>
        <v>158.33333333333334</v>
      </c>
      <c r="Q4" s="9">
        <f t="shared" ref="Q4:Q26" si="0">IF(MOD(P4,1)&gt;0.4,ROUNDUP(P4,0),ROUNDDOWN(P4,0))</f>
        <v>158</v>
      </c>
      <c r="R4" s="9">
        <f>Inventory_List_Table3[[#This Row],[AQ ROUND]]*1.4</f>
        <v>221.2</v>
      </c>
      <c r="S4" s="9">
        <f t="shared" ref="S4:S26" si="1">IF(MOD(R4,1)&gt;0.4,ROUNDUP(R4,0),ROUNDDOWN(R4,0))</f>
        <v>221</v>
      </c>
      <c r="T4" s="9">
        <f>Inventory_List_Table3[[#This Row],[LND ROUND]]*12</f>
        <v>2652</v>
      </c>
      <c r="U4" s="9" t="s">
        <v>217</v>
      </c>
      <c r="V4" s="129" t="s">
        <v>661</v>
      </c>
      <c r="W4" s="129" t="s">
        <v>1012</v>
      </c>
      <c r="X4" s="45">
        <f>Inventory_List_Table3[[#This Row],[H CM]]*Inventory_List_Table3[[#This Row],[W CM]]*Inventory_List_Table3[[#This Row],[D CM ]]</f>
        <v>113778</v>
      </c>
      <c r="Y4" s="75">
        <f>Inventory_List_Table3[[#This Row],[Per piece MXN$]]/Inventory_List_Table3[[#This Row],[KG]]</f>
        <v>12.5</v>
      </c>
    </row>
    <row r="5" spans="1:25" ht="19.5" x14ac:dyDescent="0.35">
      <c r="A5" s="122" t="s">
        <v>148</v>
      </c>
      <c r="B5" s="123"/>
      <c r="C5" s="932" t="s">
        <v>5</v>
      </c>
      <c r="D5" s="124" t="s">
        <v>7</v>
      </c>
      <c r="E5" s="125">
        <v>1</v>
      </c>
      <c r="F5" s="126">
        <v>257</v>
      </c>
      <c r="G5" s="127">
        <v>95</v>
      </c>
      <c r="H5" s="127">
        <v>45</v>
      </c>
      <c r="I5" s="127">
        <v>27</v>
      </c>
      <c r="J5" s="937">
        <v>3212.5</v>
      </c>
      <c r="K5" s="7">
        <f>Inventory_List_Table3[[#This Row],[Q]]*Inventory_List_Table3[[#This Row],[Per piece MXN$]]</f>
        <v>3212.5</v>
      </c>
      <c r="L5" s="128">
        <f>Inventory_List_Table3[[#This Row],[KG]]*2.20462</f>
        <v>566.58733999999993</v>
      </c>
      <c r="M5" s="8">
        <f>Inventory_List_Table3[[#This Row],[H CM]]/2.54</f>
        <v>37.401574803149607</v>
      </c>
      <c r="N5" s="8">
        <f>Inventory_List_Table3[[#This Row],[W CM]]/2.54</f>
        <v>17.716535433070867</v>
      </c>
      <c r="O5" s="8">
        <f>Inventory_List_Table3[[#This Row],[D CM ]]/2.54</f>
        <v>10.62992125984252</v>
      </c>
      <c r="P5" s="9">
        <f>Inventory_List_Table3[[#This Row],[Per piece MXN$]]/$U$2</f>
        <v>178.47222222222223</v>
      </c>
      <c r="Q5" s="9">
        <f t="shared" si="0"/>
        <v>179</v>
      </c>
      <c r="R5" s="9">
        <f>Inventory_List_Table3[[#This Row],[AQ ROUND]]*1.4</f>
        <v>250.6</v>
      </c>
      <c r="S5" s="9">
        <f t="shared" si="1"/>
        <v>251</v>
      </c>
      <c r="T5" s="9">
        <f>Inventory_List_Table3[[#This Row],[LND ROUND]]*12</f>
        <v>3012</v>
      </c>
      <c r="U5" s="9">
        <f>Inventory_List_Table3[[#This Row],[AQ]]*Inventory_List_Table3[[#This Row],[Q]]</f>
        <v>178.47222222222223</v>
      </c>
      <c r="V5" s="129" t="s">
        <v>1014</v>
      </c>
      <c r="W5" s="129" t="s">
        <v>1013</v>
      </c>
      <c r="X5" s="45">
        <f>Inventory_List_Table3[[#This Row],[H CM]]*Inventory_List_Table3[[#This Row],[W CM]]*Inventory_List_Table3[[#This Row],[D CM ]]</f>
        <v>115425</v>
      </c>
      <c r="Y5" s="75">
        <f>Inventory_List_Table3[[#This Row],[Per piece MXN$]]/Inventory_List_Table3[[#This Row],[KG]]</f>
        <v>12.5</v>
      </c>
    </row>
    <row r="6" spans="1:25" ht="19.5" x14ac:dyDescent="0.35">
      <c r="A6" s="122" t="s">
        <v>149</v>
      </c>
      <c r="B6" s="123"/>
      <c r="C6" s="932" t="s">
        <v>5</v>
      </c>
      <c r="D6" s="124" t="s">
        <v>8</v>
      </c>
      <c r="E6" s="125">
        <v>1</v>
      </c>
      <c r="F6" s="126">
        <v>224</v>
      </c>
      <c r="G6" s="127">
        <v>95</v>
      </c>
      <c r="H6" s="127">
        <v>45</v>
      </c>
      <c r="I6" s="127">
        <v>23</v>
      </c>
      <c r="J6" s="937">
        <v>2800</v>
      </c>
      <c r="K6" s="7">
        <f>Inventory_List_Table3[[#This Row],[Q]]*Inventory_List_Table3[[#This Row],[Per piece MXN$]]</f>
        <v>2800</v>
      </c>
      <c r="L6" s="128">
        <f>Inventory_List_Table3[[#This Row],[KG]]*2.20462</f>
        <v>493.83487999999994</v>
      </c>
      <c r="M6" s="8">
        <f>Inventory_List_Table3[[#This Row],[H CM]]/2.54</f>
        <v>37.401574803149607</v>
      </c>
      <c r="N6" s="8">
        <f>Inventory_List_Table3[[#This Row],[W CM]]/2.54</f>
        <v>17.716535433070867</v>
      </c>
      <c r="O6" s="8">
        <f>Inventory_List_Table3[[#This Row],[D CM ]]/2.54</f>
        <v>9.0551181102362204</v>
      </c>
      <c r="P6" s="9">
        <f>Inventory_List_Table3[[#This Row],[Per piece MXN$]]/$U$2</f>
        <v>155.55555555555554</v>
      </c>
      <c r="Q6" s="9">
        <f t="shared" si="0"/>
        <v>156</v>
      </c>
      <c r="R6" s="9">
        <f>Inventory_List_Table3[[#This Row],[AQ ROUND]]*1.4</f>
        <v>218.39999999999998</v>
      </c>
      <c r="S6" s="9">
        <f t="shared" si="1"/>
        <v>218</v>
      </c>
      <c r="T6" s="9">
        <f>Inventory_List_Table3[[#This Row],[LND ROUND]]*12</f>
        <v>2616</v>
      </c>
      <c r="U6" s="9">
        <f>Inventory_List_Table3[[#This Row],[AQ]]*Inventory_List_Table3[[#This Row],[Q]]</f>
        <v>155.55555555555554</v>
      </c>
      <c r="V6" s="129" t="s">
        <v>644</v>
      </c>
      <c r="W6" s="129" t="s">
        <v>9</v>
      </c>
      <c r="X6" s="45">
        <f>Inventory_List_Table3[[#This Row],[H CM]]*Inventory_List_Table3[[#This Row],[W CM]]*Inventory_List_Table3[[#This Row],[D CM ]]</f>
        <v>98325</v>
      </c>
      <c r="Y6" s="75">
        <f>Inventory_List_Table3[[#This Row],[Per piece MXN$]]/Inventory_List_Table3[[#This Row],[KG]]</f>
        <v>12.5</v>
      </c>
    </row>
    <row r="7" spans="1:25" ht="19.5" x14ac:dyDescent="0.35">
      <c r="A7" s="122" t="s">
        <v>150</v>
      </c>
      <c r="B7" s="123"/>
      <c r="C7" s="932" t="s">
        <v>5</v>
      </c>
      <c r="D7" s="124" t="s">
        <v>10</v>
      </c>
      <c r="E7" s="125">
        <v>1</v>
      </c>
      <c r="F7" s="126">
        <v>126</v>
      </c>
      <c r="G7" s="127">
        <v>100</v>
      </c>
      <c r="H7" s="127">
        <v>40</v>
      </c>
      <c r="I7" s="127">
        <v>23</v>
      </c>
      <c r="J7" s="937">
        <v>1575</v>
      </c>
      <c r="K7" s="7">
        <f>Inventory_List_Table3[[#This Row],[Q]]*Inventory_List_Table3[[#This Row],[Per piece MXN$]]</f>
        <v>1575</v>
      </c>
      <c r="L7" s="128">
        <f>Inventory_List_Table3[[#This Row],[KG]]*2.20462</f>
        <v>277.78211999999996</v>
      </c>
      <c r="M7" s="8">
        <f>Inventory_List_Table3[[#This Row],[H CM]]/2.54</f>
        <v>39.370078740157481</v>
      </c>
      <c r="N7" s="8">
        <f>Inventory_List_Table3[[#This Row],[W CM]]/2.54</f>
        <v>15.748031496062993</v>
      </c>
      <c r="O7" s="8">
        <f>Inventory_List_Table3[[#This Row],[D CM ]]/2.54</f>
        <v>9.0551181102362204</v>
      </c>
      <c r="P7" s="9">
        <f>Inventory_List_Table3[[#This Row],[Per piece MXN$]]/$U$2</f>
        <v>87.5</v>
      </c>
      <c r="Q7" s="9">
        <f t="shared" si="0"/>
        <v>88</v>
      </c>
      <c r="R7" s="9">
        <f>Inventory_List_Table3[[#This Row],[AQ ROUND]]*1.4</f>
        <v>123.19999999999999</v>
      </c>
      <c r="S7" s="9">
        <f t="shared" si="1"/>
        <v>123</v>
      </c>
      <c r="T7" s="9">
        <f>Inventory_List_Table3[[#This Row],[LND ROUND]]*12</f>
        <v>1476</v>
      </c>
      <c r="U7" s="9">
        <f>Inventory_List_Table3[[#This Row],[AQ]]*Inventory_List_Table3[[#This Row],[Q]]</f>
        <v>87.5</v>
      </c>
      <c r="V7" s="129" t="s">
        <v>1016</v>
      </c>
      <c r="W7" s="129" t="s">
        <v>1015</v>
      </c>
      <c r="X7" s="45">
        <f>Inventory_List_Table3[[#This Row],[H CM]]*Inventory_List_Table3[[#This Row],[W CM]]*Inventory_List_Table3[[#This Row],[D CM ]]</f>
        <v>92000</v>
      </c>
      <c r="Y7" s="75">
        <f>Inventory_List_Table3[[#This Row],[Per piece MXN$]]/Inventory_List_Table3[[#This Row],[KG]]</f>
        <v>12.5</v>
      </c>
    </row>
    <row r="8" spans="1:25" ht="19.5" x14ac:dyDescent="0.35">
      <c r="A8" s="122" t="s">
        <v>151</v>
      </c>
      <c r="B8" s="123"/>
      <c r="C8" s="932" t="s">
        <v>5</v>
      </c>
      <c r="D8" s="124" t="s">
        <v>11</v>
      </c>
      <c r="E8" s="125">
        <v>1</v>
      </c>
      <c r="F8" s="126">
        <v>216</v>
      </c>
      <c r="G8" s="127">
        <v>100</v>
      </c>
      <c r="H8" s="127">
        <v>45</v>
      </c>
      <c r="I8" s="127">
        <v>29</v>
      </c>
      <c r="J8" s="937">
        <v>2700</v>
      </c>
      <c r="K8" s="7">
        <f>Inventory_List_Table3[[#This Row],[Q]]*Inventory_List_Table3[[#This Row],[Per piece MXN$]]</f>
        <v>2700</v>
      </c>
      <c r="L8" s="128">
        <f>Inventory_List_Table3[[#This Row],[KG]]*2.20462</f>
        <v>476.19791999999995</v>
      </c>
      <c r="M8" s="8">
        <f>Inventory_List_Table3[[#This Row],[H CM]]/2.54</f>
        <v>39.370078740157481</v>
      </c>
      <c r="N8" s="8">
        <f>Inventory_List_Table3[[#This Row],[W CM]]/2.54</f>
        <v>17.716535433070867</v>
      </c>
      <c r="O8" s="8">
        <f>Inventory_List_Table3[[#This Row],[D CM ]]/2.54</f>
        <v>11.417322834645669</v>
      </c>
      <c r="P8" s="9">
        <f>Inventory_List_Table3[[#This Row],[Per piece MXN$]]/$U$2</f>
        <v>150</v>
      </c>
      <c r="Q8" s="9">
        <f t="shared" si="0"/>
        <v>150</v>
      </c>
      <c r="R8" s="9">
        <f>Inventory_List_Table3[[#This Row],[AQ ROUND]]*1.4</f>
        <v>210</v>
      </c>
      <c r="S8" s="9">
        <f t="shared" si="1"/>
        <v>210</v>
      </c>
      <c r="T8" s="9">
        <f>Inventory_List_Table3[[#This Row],[LND ROUND]]*12</f>
        <v>2520</v>
      </c>
      <c r="U8" s="9">
        <f>Inventory_List_Table3[[#This Row],[AQ]]*Inventory_List_Table3[[#This Row],[Q]]</f>
        <v>150</v>
      </c>
      <c r="V8" s="129" t="s">
        <v>1018</v>
      </c>
      <c r="W8" s="129" t="s">
        <v>1017</v>
      </c>
      <c r="X8" s="45">
        <f>Inventory_List_Table3[[#This Row],[H CM]]*Inventory_List_Table3[[#This Row],[W CM]]*Inventory_List_Table3[[#This Row],[D CM ]]</f>
        <v>130500</v>
      </c>
      <c r="Y8" s="75">
        <f>Inventory_List_Table3[[#This Row],[Per piece MXN$]]/Inventory_List_Table3[[#This Row],[KG]]</f>
        <v>12.5</v>
      </c>
    </row>
    <row r="9" spans="1:25" ht="19.5" x14ac:dyDescent="0.35">
      <c r="A9" s="122" t="s">
        <v>152</v>
      </c>
      <c r="B9" s="123"/>
      <c r="C9" s="932" t="s">
        <v>5</v>
      </c>
      <c r="D9" s="124" t="s">
        <v>12</v>
      </c>
      <c r="E9" s="125">
        <v>1</v>
      </c>
      <c r="F9" s="126">
        <v>92</v>
      </c>
      <c r="G9" s="127">
        <v>68</v>
      </c>
      <c r="H9" s="127">
        <v>33</v>
      </c>
      <c r="I9" s="127">
        <v>23</v>
      </c>
      <c r="J9" s="937">
        <v>1150</v>
      </c>
      <c r="K9" s="7">
        <f>Inventory_List_Table3[[#This Row],[Q]]*Inventory_List_Table3[[#This Row],[Per piece MXN$]]</f>
        <v>1150</v>
      </c>
      <c r="L9" s="128">
        <f>Inventory_List_Table3[[#This Row],[KG]]*2.20462</f>
        <v>202.82503999999997</v>
      </c>
      <c r="M9" s="8">
        <f>Inventory_List_Table3[[#This Row],[H CM]]/2.54</f>
        <v>26.771653543307085</v>
      </c>
      <c r="N9" s="8">
        <f>Inventory_List_Table3[[#This Row],[W CM]]/2.54</f>
        <v>12.992125984251969</v>
      </c>
      <c r="O9" s="8">
        <f>Inventory_List_Table3[[#This Row],[D CM ]]/2.54</f>
        <v>9.0551181102362204</v>
      </c>
      <c r="P9" s="9">
        <f>Inventory_List_Table3[[#This Row],[Per piece MXN$]]/$U$2</f>
        <v>63.888888888888886</v>
      </c>
      <c r="Q9" s="9">
        <f t="shared" si="0"/>
        <v>64</v>
      </c>
      <c r="R9" s="9">
        <f>Inventory_List_Table3[[#This Row],[AQ ROUND]]*1.4</f>
        <v>89.6</v>
      </c>
      <c r="S9" s="9">
        <f t="shared" si="1"/>
        <v>90</v>
      </c>
      <c r="T9" s="9">
        <f>Inventory_List_Table3[[#This Row],[LND ROUND]]*12</f>
        <v>1080</v>
      </c>
      <c r="U9" s="9">
        <f>Inventory_List_Table3[[#This Row],[AQ]]*Inventory_List_Table3[[#This Row],[Q]]</f>
        <v>63.888888888888886</v>
      </c>
      <c r="V9" s="129" t="s">
        <v>13</v>
      </c>
      <c r="W9" s="129" t="s">
        <v>1019</v>
      </c>
      <c r="X9" s="45">
        <f>Inventory_List_Table3[[#This Row],[H CM]]*Inventory_List_Table3[[#This Row],[W CM]]*Inventory_List_Table3[[#This Row],[D CM ]]</f>
        <v>51612</v>
      </c>
      <c r="Y9" s="75">
        <f>Inventory_List_Table3[[#This Row],[Per piece MXN$]]/Inventory_List_Table3[[#This Row],[KG]]</f>
        <v>12.5</v>
      </c>
    </row>
    <row r="10" spans="1:25" ht="19.5" x14ac:dyDescent="0.35">
      <c r="A10" s="122" t="s">
        <v>153</v>
      </c>
      <c r="B10" s="123"/>
      <c r="C10" s="932" t="s">
        <v>14</v>
      </c>
      <c r="D10" s="124" t="s">
        <v>15</v>
      </c>
      <c r="E10" s="125">
        <v>1</v>
      </c>
      <c r="F10" s="126">
        <v>260</v>
      </c>
      <c r="G10" s="127">
        <v>93</v>
      </c>
      <c r="H10" s="127">
        <v>37</v>
      </c>
      <c r="I10" s="127">
        <v>40</v>
      </c>
      <c r="J10" s="937">
        <v>3250</v>
      </c>
      <c r="K10" s="7">
        <f>Inventory_List_Table3[[#This Row],[Q]]*Inventory_List_Table3[[#This Row],[Per piece MXN$]]</f>
        <v>3250</v>
      </c>
      <c r="L10" s="128">
        <f>Inventory_List_Table3[[#This Row],[KG]]*2.20462</f>
        <v>573.20119999999997</v>
      </c>
      <c r="M10" s="8">
        <f>Inventory_List_Table3[[#This Row],[H CM]]/2.54</f>
        <v>36.614173228346459</v>
      </c>
      <c r="N10" s="8">
        <f>Inventory_List_Table3[[#This Row],[W CM]]/2.54</f>
        <v>14.566929133858267</v>
      </c>
      <c r="O10" s="8">
        <f>Inventory_List_Table3[[#This Row],[D CM ]]/2.54</f>
        <v>15.748031496062993</v>
      </c>
      <c r="P10" s="9">
        <f>Inventory_List_Table3[[#This Row],[Per piece MXN$]]/$U$2</f>
        <v>180.55555555555554</v>
      </c>
      <c r="Q10" s="9">
        <f t="shared" si="0"/>
        <v>181</v>
      </c>
      <c r="R10" s="9">
        <f>Inventory_List_Table3[[#This Row],[AQ ROUND]]*1.4</f>
        <v>253.39999999999998</v>
      </c>
      <c r="S10" s="9">
        <f t="shared" si="1"/>
        <v>253</v>
      </c>
      <c r="T10" s="9">
        <f>Inventory_List_Table3[[#This Row],[LND ROUND]]*12</f>
        <v>3036</v>
      </c>
      <c r="U10" s="9">
        <f>Inventory_List_Table3[[#This Row],[AQ]]*Inventory_List_Table3[[#This Row],[Q]]</f>
        <v>180.55555555555554</v>
      </c>
      <c r="V10" s="129" t="s">
        <v>1021</v>
      </c>
      <c r="W10" s="129" t="s">
        <v>1020</v>
      </c>
      <c r="X10" s="45">
        <f>Inventory_List_Table3[[#This Row],[H CM]]*Inventory_List_Table3[[#This Row],[W CM]]*Inventory_List_Table3[[#This Row],[D CM ]]</f>
        <v>137640</v>
      </c>
      <c r="Y10" s="75">
        <f>Inventory_List_Table3[[#This Row],[Per piece MXN$]]/Inventory_List_Table3[[#This Row],[KG]]</f>
        <v>12.5</v>
      </c>
    </row>
    <row r="11" spans="1:25" ht="19.5" x14ac:dyDescent="0.35">
      <c r="A11" s="122" t="s">
        <v>154</v>
      </c>
      <c r="B11" s="123"/>
      <c r="C11" s="932" t="s">
        <v>14</v>
      </c>
      <c r="D11" s="124" t="s">
        <v>16</v>
      </c>
      <c r="E11" s="125">
        <v>1</v>
      </c>
      <c r="F11" s="126">
        <v>216</v>
      </c>
      <c r="G11" s="127">
        <v>91</v>
      </c>
      <c r="H11" s="127">
        <v>42</v>
      </c>
      <c r="I11" s="127">
        <v>32</v>
      </c>
      <c r="J11" s="937">
        <v>2700</v>
      </c>
      <c r="K11" s="7">
        <f>Inventory_List_Table3[[#This Row],[Q]]*Inventory_List_Table3[[#This Row],[Per piece MXN$]]</f>
        <v>2700</v>
      </c>
      <c r="L11" s="128">
        <f>Inventory_List_Table3[[#This Row],[KG]]*2.20462</f>
        <v>476.19791999999995</v>
      </c>
      <c r="M11" s="8">
        <f>Inventory_List_Table3[[#This Row],[H CM]]/2.54</f>
        <v>35.826771653543304</v>
      </c>
      <c r="N11" s="8">
        <f>Inventory_List_Table3[[#This Row],[W CM]]/2.54</f>
        <v>16.535433070866141</v>
      </c>
      <c r="O11" s="8">
        <f>Inventory_List_Table3[[#This Row],[D CM ]]/2.54</f>
        <v>12.598425196850393</v>
      </c>
      <c r="P11" s="9">
        <f>Inventory_List_Table3[[#This Row],[Per piece MXN$]]/$U$2</f>
        <v>150</v>
      </c>
      <c r="Q11" s="9">
        <f t="shared" si="0"/>
        <v>150</v>
      </c>
      <c r="R11" s="9">
        <f>Inventory_List_Table3[[#This Row],[AQ ROUND]]*1.4</f>
        <v>210</v>
      </c>
      <c r="S11" s="9">
        <f t="shared" si="1"/>
        <v>210</v>
      </c>
      <c r="T11" s="9">
        <f>Inventory_List_Table3[[#This Row],[LND ROUND]]*12</f>
        <v>2520</v>
      </c>
      <c r="U11" s="9">
        <f>Inventory_List_Table3[[#This Row],[AQ]]*Inventory_List_Table3[[#This Row],[Q]]</f>
        <v>150</v>
      </c>
      <c r="V11" s="129" t="s">
        <v>1018</v>
      </c>
      <c r="W11" s="129" t="s">
        <v>1017</v>
      </c>
      <c r="X11" s="45">
        <f>Inventory_List_Table3[[#This Row],[H CM]]*Inventory_List_Table3[[#This Row],[W CM]]*Inventory_List_Table3[[#This Row],[D CM ]]</f>
        <v>122304</v>
      </c>
      <c r="Y11" s="75">
        <f>Inventory_List_Table3[[#This Row],[Per piece MXN$]]/Inventory_List_Table3[[#This Row],[KG]]</f>
        <v>12.5</v>
      </c>
    </row>
    <row r="12" spans="1:25" ht="19.5" x14ac:dyDescent="0.35">
      <c r="A12" s="122" t="s">
        <v>155</v>
      </c>
      <c r="B12" s="123"/>
      <c r="C12" s="932" t="s">
        <v>14</v>
      </c>
      <c r="D12" s="124" t="s">
        <v>17</v>
      </c>
      <c r="E12" s="125">
        <v>1</v>
      </c>
      <c r="F12" s="126">
        <v>151</v>
      </c>
      <c r="G12" s="127">
        <v>88</v>
      </c>
      <c r="H12" s="127">
        <v>49</v>
      </c>
      <c r="I12" s="127">
        <v>25</v>
      </c>
      <c r="J12" s="937">
        <v>1887.5</v>
      </c>
      <c r="K12" s="7">
        <f>Inventory_List_Table3[[#This Row],[Q]]*Inventory_List_Table3[[#This Row],[Per piece MXN$]]</f>
        <v>1887.5</v>
      </c>
      <c r="L12" s="128">
        <f>Inventory_List_Table3[[#This Row],[KG]]*2.20462</f>
        <v>332.89761999999996</v>
      </c>
      <c r="M12" s="8">
        <f>Inventory_List_Table3[[#This Row],[H CM]]/2.54</f>
        <v>34.645669291338585</v>
      </c>
      <c r="N12" s="8">
        <f>Inventory_List_Table3[[#This Row],[W CM]]/2.54</f>
        <v>19.291338582677167</v>
      </c>
      <c r="O12" s="8">
        <f>Inventory_List_Table3[[#This Row],[D CM ]]/2.54</f>
        <v>9.8425196850393704</v>
      </c>
      <c r="P12" s="9">
        <f>Inventory_List_Table3[[#This Row],[Per piece MXN$]]/$U$2</f>
        <v>104.86111111111111</v>
      </c>
      <c r="Q12" s="9">
        <f t="shared" si="0"/>
        <v>105</v>
      </c>
      <c r="R12" s="9">
        <f>Inventory_List_Table3[[#This Row],[AQ ROUND]]*1.4</f>
        <v>147</v>
      </c>
      <c r="S12" s="9">
        <f t="shared" si="1"/>
        <v>147</v>
      </c>
      <c r="T12" s="9">
        <f>Inventory_List_Table3[[#This Row],[LND ROUND]]*12</f>
        <v>1764</v>
      </c>
      <c r="U12" s="9">
        <f>Inventory_List_Table3[[#This Row],[AQ]]*Inventory_List_Table3[[#This Row],[Q]]</f>
        <v>104.86111111111111</v>
      </c>
      <c r="V12" s="129" t="s">
        <v>1023</v>
      </c>
      <c r="W12" s="129" t="s">
        <v>1022</v>
      </c>
      <c r="X12" s="45">
        <f>Inventory_List_Table3[[#This Row],[H CM]]*Inventory_List_Table3[[#This Row],[W CM]]*Inventory_List_Table3[[#This Row],[D CM ]]</f>
        <v>107800</v>
      </c>
      <c r="Y12" s="75">
        <f>Inventory_List_Table3[[#This Row],[Per piece MXN$]]/Inventory_List_Table3[[#This Row],[KG]]</f>
        <v>12.5</v>
      </c>
    </row>
    <row r="13" spans="1:25" ht="19.5" x14ac:dyDescent="0.35">
      <c r="A13" s="122" t="s">
        <v>156</v>
      </c>
      <c r="B13" s="123"/>
      <c r="C13" s="932" t="s">
        <v>14</v>
      </c>
      <c r="D13" s="124" t="s">
        <v>18</v>
      </c>
      <c r="E13" s="125">
        <v>1</v>
      </c>
      <c r="F13" s="126">
        <v>230</v>
      </c>
      <c r="G13" s="127">
        <v>85</v>
      </c>
      <c r="H13" s="127">
        <v>40</v>
      </c>
      <c r="I13" s="127">
        <v>34</v>
      </c>
      <c r="J13" s="937">
        <v>2875</v>
      </c>
      <c r="K13" s="7">
        <f>Inventory_List_Table3[[#This Row],[Q]]*Inventory_List_Table3[[#This Row],[Per piece MXN$]]</f>
        <v>2875</v>
      </c>
      <c r="L13" s="128">
        <f>Inventory_List_Table3[[#This Row],[KG]]*2.20462</f>
        <v>507.06259999999997</v>
      </c>
      <c r="M13" s="8">
        <f>Inventory_List_Table3[[#This Row],[H CM]]/2.54</f>
        <v>33.464566929133859</v>
      </c>
      <c r="N13" s="8">
        <f>Inventory_List_Table3[[#This Row],[W CM]]/2.54</f>
        <v>15.748031496062993</v>
      </c>
      <c r="O13" s="8">
        <f>Inventory_List_Table3[[#This Row],[D CM ]]/2.54</f>
        <v>13.385826771653543</v>
      </c>
      <c r="P13" s="9">
        <f>Inventory_List_Table3[[#This Row],[Per piece MXN$]]/$U$2</f>
        <v>159.72222222222223</v>
      </c>
      <c r="Q13" s="9">
        <f t="shared" si="0"/>
        <v>160</v>
      </c>
      <c r="R13" s="9">
        <f>Inventory_List_Table3[[#This Row],[AQ ROUND]]*1.4</f>
        <v>224</v>
      </c>
      <c r="S13" s="9">
        <f t="shared" si="1"/>
        <v>224</v>
      </c>
      <c r="T13" s="9">
        <f>Inventory_List_Table3[[#This Row],[LND ROUND]]*12</f>
        <v>2688</v>
      </c>
      <c r="U13" s="9">
        <f>Inventory_List_Table3[[#This Row],[AQ]]*Inventory_List_Table3[[#This Row],[Q]]</f>
        <v>159.72222222222223</v>
      </c>
      <c r="V13" s="129" t="s">
        <v>1024</v>
      </c>
      <c r="W13" s="129" t="s">
        <v>628</v>
      </c>
      <c r="X13" s="45">
        <f>Inventory_List_Table3[[#This Row],[H CM]]*Inventory_List_Table3[[#This Row],[W CM]]*Inventory_List_Table3[[#This Row],[D CM ]]</f>
        <v>115600</v>
      </c>
      <c r="Y13" s="75">
        <f>Inventory_List_Table3[[#This Row],[Per piece MXN$]]/Inventory_List_Table3[[#This Row],[KG]]</f>
        <v>12.5</v>
      </c>
    </row>
    <row r="14" spans="1:25" ht="19.5" x14ac:dyDescent="0.35">
      <c r="A14" s="122" t="s">
        <v>157</v>
      </c>
      <c r="B14" s="123"/>
      <c r="C14" s="932" t="s">
        <v>19</v>
      </c>
      <c r="D14" s="124" t="s">
        <v>20</v>
      </c>
      <c r="E14" s="125">
        <v>1</v>
      </c>
      <c r="F14" s="126">
        <v>417</v>
      </c>
      <c r="G14" s="127">
        <v>68</v>
      </c>
      <c r="H14" s="127">
        <v>99</v>
      </c>
      <c r="I14" s="127">
        <v>42</v>
      </c>
      <c r="J14" s="937">
        <v>5212.5</v>
      </c>
      <c r="K14" s="7">
        <f>Inventory_List_Table3[[#This Row],[Q]]*Inventory_List_Table3[[#This Row],[Per piece MXN$]]</f>
        <v>5212.5</v>
      </c>
      <c r="L14" s="128">
        <f>Inventory_List_Table3[[#This Row],[KG]]*2.20462</f>
        <v>919.32653999999991</v>
      </c>
      <c r="M14" s="8">
        <f>Inventory_List_Table3[[#This Row],[H CM]]/2.54</f>
        <v>26.771653543307085</v>
      </c>
      <c r="N14" s="8">
        <f>Inventory_List_Table3[[#This Row],[W CM]]/2.54</f>
        <v>38.976377952755904</v>
      </c>
      <c r="O14" s="8">
        <f>Inventory_List_Table3[[#This Row],[D CM ]]/2.54</f>
        <v>16.535433070866141</v>
      </c>
      <c r="P14" s="9">
        <f>Inventory_List_Table3[[#This Row],[Per piece MXN$]]/$U$2</f>
        <v>289.58333333333331</v>
      </c>
      <c r="Q14" s="9">
        <f t="shared" si="0"/>
        <v>290</v>
      </c>
      <c r="R14" s="9">
        <f>Inventory_List_Table3[[#This Row],[AQ ROUND]]*1.4</f>
        <v>406</v>
      </c>
      <c r="S14" s="9">
        <f t="shared" si="1"/>
        <v>406</v>
      </c>
      <c r="T14" s="9">
        <f>Inventory_List_Table3[[#This Row],[LND ROUND]]*12</f>
        <v>4872</v>
      </c>
      <c r="U14" s="9">
        <f>Inventory_List_Table3[[#This Row],[AQ]]*Inventory_List_Table3[[#This Row],[Q]]</f>
        <v>289.58333333333331</v>
      </c>
      <c r="V14" s="129" t="s">
        <v>625</v>
      </c>
      <c r="W14" s="129" t="s">
        <v>624</v>
      </c>
      <c r="X14" s="45">
        <f>Inventory_List_Table3[[#This Row],[H CM]]*Inventory_List_Table3[[#This Row],[W CM]]*Inventory_List_Table3[[#This Row],[D CM ]]</f>
        <v>282744</v>
      </c>
      <c r="Y14" s="75">
        <f>Inventory_List_Table3[[#This Row],[Per piece MXN$]]/Inventory_List_Table3[[#This Row],[KG]]</f>
        <v>12.5</v>
      </c>
    </row>
    <row r="15" spans="1:25" ht="19.5" x14ac:dyDescent="0.35">
      <c r="A15" s="122" t="s">
        <v>158</v>
      </c>
      <c r="B15" s="123"/>
      <c r="C15" s="932" t="s">
        <v>19</v>
      </c>
      <c r="D15" s="124" t="s">
        <v>21</v>
      </c>
      <c r="E15" s="125">
        <v>1</v>
      </c>
      <c r="F15" s="126">
        <v>82</v>
      </c>
      <c r="G15" s="127">
        <v>80</v>
      </c>
      <c r="H15" s="127">
        <v>31</v>
      </c>
      <c r="I15" s="127">
        <v>18</v>
      </c>
      <c r="J15" s="937">
        <v>1025</v>
      </c>
      <c r="K15" s="7">
        <f>Inventory_List_Table3[[#This Row],[Q]]*Inventory_List_Table3[[#This Row],[Per piece MXN$]]</f>
        <v>1025</v>
      </c>
      <c r="L15" s="128">
        <f>Inventory_List_Table3[[#This Row],[KG]]*2.20462</f>
        <v>180.77883999999997</v>
      </c>
      <c r="M15" s="8">
        <f>Inventory_List_Table3[[#This Row],[H CM]]/2.54</f>
        <v>31.496062992125985</v>
      </c>
      <c r="N15" s="8">
        <f>Inventory_List_Table3[[#This Row],[W CM]]/2.54</f>
        <v>12.204724409448819</v>
      </c>
      <c r="O15" s="8">
        <f>Inventory_List_Table3[[#This Row],[D CM ]]/2.54</f>
        <v>7.0866141732283463</v>
      </c>
      <c r="P15" s="9">
        <f>Inventory_List_Table3[[#This Row],[Per piece MXN$]]/$U$2</f>
        <v>56.944444444444443</v>
      </c>
      <c r="Q15" s="9">
        <f t="shared" si="0"/>
        <v>57</v>
      </c>
      <c r="R15" s="9">
        <f>Inventory_List_Table3[[#This Row],[AQ ROUND]]*1.4</f>
        <v>79.8</v>
      </c>
      <c r="S15" s="9">
        <f t="shared" si="1"/>
        <v>80</v>
      </c>
      <c r="T15" s="9">
        <f>Inventory_List_Table3[[#This Row],[LND ROUND]]*12</f>
        <v>960</v>
      </c>
      <c r="U15" s="9">
        <f>Inventory_List_Table3[[#This Row],[AQ]]*Inventory_List_Table3[[#This Row],[Q]]</f>
        <v>56.944444444444443</v>
      </c>
      <c r="V15" s="129" t="s">
        <v>741</v>
      </c>
      <c r="W15" s="129" t="s">
        <v>890</v>
      </c>
      <c r="X15" s="45">
        <f>Inventory_List_Table3[[#This Row],[H CM]]*Inventory_List_Table3[[#This Row],[W CM]]*Inventory_List_Table3[[#This Row],[D CM ]]</f>
        <v>44640</v>
      </c>
      <c r="Y15" s="75">
        <f>Inventory_List_Table3[[#This Row],[Per piece MXN$]]/Inventory_List_Table3[[#This Row],[KG]]</f>
        <v>12.5</v>
      </c>
    </row>
    <row r="16" spans="1:25" ht="19.5" x14ac:dyDescent="0.35">
      <c r="A16" s="122" t="s">
        <v>159</v>
      </c>
      <c r="B16" s="123"/>
      <c r="C16" s="932" t="s">
        <v>19</v>
      </c>
      <c r="D16" s="124" t="s">
        <v>22</v>
      </c>
      <c r="E16" s="125">
        <v>1</v>
      </c>
      <c r="F16" s="126">
        <v>257</v>
      </c>
      <c r="G16" s="127">
        <v>121</v>
      </c>
      <c r="H16" s="127">
        <v>60</v>
      </c>
      <c r="I16" s="127">
        <v>27</v>
      </c>
      <c r="J16" s="937">
        <v>3212.5</v>
      </c>
      <c r="K16" s="7">
        <f>Inventory_List_Table3[[#This Row],[Q]]*Inventory_List_Table3[[#This Row],[Per piece MXN$]]</f>
        <v>3212.5</v>
      </c>
      <c r="L16" s="128">
        <f>Inventory_List_Table3[[#This Row],[KG]]*2.20462</f>
        <v>566.58733999999993</v>
      </c>
      <c r="M16" s="8">
        <f>Inventory_List_Table3[[#This Row],[H CM]]/2.54</f>
        <v>47.637795275590548</v>
      </c>
      <c r="N16" s="8">
        <f>Inventory_List_Table3[[#This Row],[W CM]]/2.54</f>
        <v>23.622047244094489</v>
      </c>
      <c r="O16" s="8">
        <f>Inventory_List_Table3[[#This Row],[D CM ]]/2.54</f>
        <v>10.62992125984252</v>
      </c>
      <c r="P16" s="9">
        <f>Inventory_List_Table3[[#This Row],[Per piece MXN$]]/$U$2</f>
        <v>178.47222222222223</v>
      </c>
      <c r="Q16" s="9">
        <f t="shared" si="0"/>
        <v>179</v>
      </c>
      <c r="R16" s="9">
        <f>Inventory_List_Table3[[#This Row],[AQ ROUND]]*1.4</f>
        <v>250.6</v>
      </c>
      <c r="S16" s="9">
        <f t="shared" si="1"/>
        <v>251</v>
      </c>
      <c r="T16" s="9">
        <f>Inventory_List_Table3[[#This Row],[LND ROUND]]*12</f>
        <v>3012</v>
      </c>
      <c r="U16" s="9">
        <f>Inventory_List_Table3[[#This Row],[AQ]]*Inventory_List_Table3[[#This Row],[Q]]</f>
        <v>178.47222222222223</v>
      </c>
      <c r="V16" s="129" t="s">
        <v>1014</v>
      </c>
      <c r="W16" s="129" t="s">
        <v>1013</v>
      </c>
      <c r="X16" s="45">
        <f>Inventory_List_Table3[[#This Row],[H CM]]*Inventory_List_Table3[[#This Row],[W CM]]*Inventory_List_Table3[[#This Row],[D CM ]]</f>
        <v>196020</v>
      </c>
      <c r="Y16" s="75">
        <f>Inventory_List_Table3[[#This Row],[Per piece MXN$]]/Inventory_List_Table3[[#This Row],[KG]]</f>
        <v>12.5</v>
      </c>
    </row>
    <row r="17" spans="1:25" ht="19.5" x14ac:dyDescent="0.35">
      <c r="A17" s="122" t="s">
        <v>160</v>
      </c>
      <c r="B17" s="123"/>
      <c r="C17" s="932" t="s">
        <v>5</v>
      </c>
      <c r="D17" s="124" t="s">
        <v>23</v>
      </c>
      <c r="E17" s="125">
        <v>1</v>
      </c>
      <c r="F17" s="126">
        <v>172</v>
      </c>
      <c r="G17" s="127">
        <v>121</v>
      </c>
      <c r="H17" s="127">
        <v>35</v>
      </c>
      <c r="I17" s="127">
        <v>19</v>
      </c>
      <c r="J17" s="937">
        <v>2150</v>
      </c>
      <c r="K17" s="7">
        <f>Inventory_List_Table3[[#This Row],[Q]]*Inventory_List_Table3[[#This Row],[Per piece MXN$]]</f>
        <v>2150</v>
      </c>
      <c r="L17" s="128">
        <f>Inventory_List_Table3[[#This Row],[KG]]*2.20462</f>
        <v>379.19463999999999</v>
      </c>
      <c r="M17" s="8">
        <f>Inventory_List_Table3[[#This Row],[H CM]]/2.54</f>
        <v>47.637795275590548</v>
      </c>
      <c r="N17" s="8">
        <f>Inventory_List_Table3[[#This Row],[W CM]]/2.54</f>
        <v>13.779527559055119</v>
      </c>
      <c r="O17" s="8">
        <f>Inventory_List_Table3[[#This Row],[D CM ]]/2.54</f>
        <v>7.4803149606299213</v>
      </c>
      <c r="P17" s="9">
        <f>Inventory_List_Table3[[#This Row],[Per piece MXN$]]/$U$2</f>
        <v>119.44444444444444</v>
      </c>
      <c r="Q17" s="9">
        <f t="shared" si="0"/>
        <v>120</v>
      </c>
      <c r="R17" s="9">
        <f>Inventory_List_Table3[[#This Row],[AQ ROUND]]*1.4</f>
        <v>168</v>
      </c>
      <c r="S17" s="9">
        <f t="shared" si="1"/>
        <v>168</v>
      </c>
      <c r="T17" s="9">
        <f>Inventory_List_Table3[[#This Row],[LND ROUND]]*12</f>
        <v>2016</v>
      </c>
      <c r="U17" s="9">
        <f>Inventory_List_Table3[[#This Row],[AQ]]*Inventory_List_Table3[[#This Row],[Q]]</f>
        <v>119.44444444444444</v>
      </c>
      <c r="V17" s="129" t="s">
        <v>1026</v>
      </c>
      <c r="W17" s="129" t="s">
        <v>1025</v>
      </c>
      <c r="X17" s="45">
        <f>Inventory_List_Table3[[#This Row],[H CM]]*Inventory_List_Table3[[#This Row],[W CM]]*Inventory_List_Table3[[#This Row],[D CM ]]</f>
        <v>80465</v>
      </c>
      <c r="Y17" s="75">
        <f>Inventory_List_Table3[[#This Row],[Per piece MXN$]]/Inventory_List_Table3[[#This Row],[KG]]</f>
        <v>12.5</v>
      </c>
    </row>
    <row r="18" spans="1:25" ht="19.5" x14ac:dyDescent="0.35">
      <c r="A18" s="122" t="s">
        <v>161</v>
      </c>
      <c r="B18" s="123"/>
      <c r="C18" s="932" t="s">
        <v>5</v>
      </c>
      <c r="D18" s="124" t="s">
        <v>24</v>
      </c>
      <c r="E18" s="125">
        <v>1</v>
      </c>
      <c r="F18" s="126">
        <v>117</v>
      </c>
      <c r="G18" s="127">
        <v>106</v>
      </c>
      <c r="H18" s="127">
        <v>35</v>
      </c>
      <c r="I18" s="127">
        <v>23</v>
      </c>
      <c r="J18" s="937">
        <v>1462.5</v>
      </c>
      <c r="K18" s="7">
        <f>Inventory_List_Table3[[#This Row],[Q]]*Inventory_List_Table3[[#This Row],[Per piece MXN$]]</f>
        <v>1462.5</v>
      </c>
      <c r="L18" s="128">
        <f>Inventory_List_Table3[[#This Row],[KG]]*2.20462</f>
        <v>257.94054</v>
      </c>
      <c r="M18" s="8">
        <f>Inventory_List_Table3[[#This Row],[H CM]]/2.54</f>
        <v>41.732283464566926</v>
      </c>
      <c r="N18" s="8">
        <f>Inventory_List_Table3[[#This Row],[W CM]]/2.54</f>
        <v>13.779527559055119</v>
      </c>
      <c r="O18" s="8">
        <f>Inventory_List_Table3[[#This Row],[D CM ]]/2.54</f>
        <v>9.0551181102362204</v>
      </c>
      <c r="P18" s="9">
        <f>Inventory_List_Table3[[#This Row],[Per piece MXN$]]/$U$2</f>
        <v>81.25</v>
      </c>
      <c r="Q18" s="9">
        <f t="shared" si="0"/>
        <v>81</v>
      </c>
      <c r="R18" s="9">
        <f>Inventory_List_Table3[[#This Row],[AQ ROUND]]*1.4</f>
        <v>113.39999999999999</v>
      </c>
      <c r="S18" s="9">
        <f t="shared" si="1"/>
        <v>113</v>
      </c>
      <c r="T18" s="9">
        <f>Inventory_List_Table3[[#This Row],[LND ROUND]]*12</f>
        <v>1356</v>
      </c>
      <c r="U18" s="9">
        <f>Inventory_List_Table3[[#This Row],[AQ]]*Inventory_List_Table3[[#This Row],[Q]]</f>
        <v>81.25</v>
      </c>
      <c r="V18" s="129" t="s">
        <v>25</v>
      </c>
      <c r="W18" s="129" t="s">
        <v>662</v>
      </c>
      <c r="X18" s="45">
        <f>Inventory_List_Table3[[#This Row],[H CM]]*Inventory_List_Table3[[#This Row],[W CM]]*Inventory_List_Table3[[#This Row],[D CM ]]</f>
        <v>85330</v>
      </c>
      <c r="Y18" s="75">
        <f>Inventory_List_Table3[[#This Row],[Per piece MXN$]]/Inventory_List_Table3[[#This Row],[KG]]</f>
        <v>12.5</v>
      </c>
    </row>
    <row r="19" spans="1:25" ht="19.5" x14ac:dyDescent="0.35">
      <c r="A19" s="122" t="s">
        <v>162</v>
      </c>
      <c r="B19" s="123"/>
      <c r="C19" s="932" t="s">
        <v>5</v>
      </c>
      <c r="D19" s="124" t="s">
        <v>26</v>
      </c>
      <c r="E19" s="125">
        <v>1</v>
      </c>
      <c r="F19" s="126">
        <v>86</v>
      </c>
      <c r="G19" s="127">
        <v>87</v>
      </c>
      <c r="H19" s="127">
        <v>29</v>
      </c>
      <c r="I19" s="127">
        <v>32</v>
      </c>
      <c r="J19" s="937">
        <v>1075</v>
      </c>
      <c r="K19" s="7">
        <f>Inventory_List_Table3[[#This Row],[Q]]*Inventory_List_Table3[[#This Row],[Per piece MXN$]]</f>
        <v>1075</v>
      </c>
      <c r="L19" s="128">
        <f>Inventory_List_Table3[[#This Row],[KG]]*2.20462</f>
        <v>189.59732</v>
      </c>
      <c r="M19" s="8">
        <f>Inventory_List_Table3[[#This Row],[H CM]]/2.54</f>
        <v>34.251968503937007</v>
      </c>
      <c r="N19" s="8">
        <f>Inventory_List_Table3[[#This Row],[W CM]]/2.54</f>
        <v>11.417322834645669</v>
      </c>
      <c r="O19" s="8">
        <f>Inventory_List_Table3[[#This Row],[D CM ]]/2.54</f>
        <v>12.598425196850393</v>
      </c>
      <c r="P19" s="9">
        <f>Inventory_List_Table3[[#This Row],[Per piece MXN$]]/$U$2</f>
        <v>59.722222222222221</v>
      </c>
      <c r="Q19" s="9">
        <f t="shared" si="0"/>
        <v>60</v>
      </c>
      <c r="R19" s="9">
        <f>Inventory_List_Table3[[#This Row],[AQ ROUND]]*1.4</f>
        <v>84</v>
      </c>
      <c r="S19" s="9">
        <f t="shared" si="1"/>
        <v>84</v>
      </c>
      <c r="T19" s="9">
        <f>Inventory_List_Table3[[#This Row],[LND ROUND]]*12</f>
        <v>1008</v>
      </c>
      <c r="U19" s="9">
        <f>Inventory_List_Table3[[#This Row],[AQ]]*Inventory_List_Table3[[#This Row],[Q]]</f>
        <v>59.722222222222221</v>
      </c>
      <c r="V19" s="129" t="s">
        <v>723</v>
      </c>
      <c r="W19" s="129" t="s">
        <v>722</v>
      </c>
      <c r="X19" s="45">
        <f>Inventory_List_Table3[[#This Row],[H CM]]*Inventory_List_Table3[[#This Row],[W CM]]*Inventory_List_Table3[[#This Row],[D CM ]]</f>
        <v>80736</v>
      </c>
      <c r="Y19" s="75">
        <f>Inventory_List_Table3[[#This Row],[Per piece MXN$]]/Inventory_List_Table3[[#This Row],[KG]]</f>
        <v>12.5</v>
      </c>
    </row>
    <row r="20" spans="1:25" ht="19.5" x14ac:dyDescent="0.35">
      <c r="A20" s="122" t="s">
        <v>163</v>
      </c>
      <c r="B20" s="123"/>
      <c r="C20" s="932" t="s">
        <v>5</v>
      </c>
      <c r="D20" s="124" t="s">
        <v>27</v>
      </c>
      <c r="E20" s="125">
        <v>1</v>
      </c>
      <c r="F20" s="126">
        <v>82</v>
      </c>
      <c r="G20" s="127">
        <v>70</v>
      </c>
      <c r="H20" s="127">
        <v>34</v>
      </c>
      <c r="I20" s="127">
        <v>18</v>
      </c>
      <c r="J20" s="937">
        <v>1025</v>
      </c>
      <c r="K20" s="7">
        <f>Inventory_List_Table3[[#This Row],[Q]]*Inventory_List_Table3[[#This Row],[Per piece MXN$]]</f>
        <v>1025</v>
      </c>
      <c r="L20" s="128">
        <f>Inventory_List_Table3[[#This Row],[KG]]*2.20462</f>
        <v>180.77883999999997</v>
      </c>
      <c r="M20" s="8">
        <f>Inventory_List_Table3[[#This Row],[H CM]]/2.54</f>
        <v>27.559055118110237</v>
      </c>
      <c r="N20" s="8">
        <f>Inventory_List_Table3[[#This Row],[W CM]]/2.54</f>
        <v>13.385826771653543</v>
      </c>
      <c r="O20" s="8">
        <f>Inventory_List_Table3[[#This Row],[D CM ]]/2.54</f>
        <v>7.0866141732283463</v>
      </c>
      <c r="P20" s="9">
        <f>Inventory_List_Table3[[#This Row],[Per piece MXN$]]/$U$2</f>
        <v>56.944444444444443</v>
      </c>
      <c r="Q20" s="9">
        <f t="shared" si="0"/>
        <v>57</v>
      </c>
      <c r="R20" s="9">
        <f>Inventory_List_Table3[[#This Row],[AQ ROUND]]*1.4</f>
        <v>79.8</v>
      </c>
      <c r="S20" s="9">
        <f t="shared" si="1"/>
        <v>80</v>
      </c>
      <c r="T20" s="9">
        <f>Inventory_List_Table3[[#This Row],[LND ROUND]]*12</f>
        <v>960</v>
      </c>
      <c r="U20" s="9">
        <f>Inventory_List_Table3[[#This Row],[AQ]]*Inventory_List_Table3[[#This Row],[Q]]</f>
        <v>56.944444444444443</v>
      </c>
      <c r="V20" s="129" t="s">
        <v>741</v>
      </c>
      <c r="W20" s="129" t="s">
        <v>890</v>
      </c>
      <c r="X20" s="45">
        <f>Inventory_List_Table3[[#This Row],[H CM]]*Inventory_List_Table3[[#This Row],[W CM]]*Inventory_List_Table3[[#This Row],[D CM ]]</f>
        <v>42840</v>
      </c>
      <c r="Y20" s="75">
        <f>Inventory_List_Table3[[#This Row],[Per piece MXN$]]/Inventory_List_Table3[[#This Row],[KG]]</f>
        <v>12.5</v>
      </c>
    </row>
    <row r="21" spans="1:25" ht="21" x14ac:dyDescent="0.25">
      <c r="A21" s="122" t="s">
        <v>166</v>
      </c>
      <c r="B21" s="123"/>
      <c r="C21" s="933" t="s">
        <v>28</v>
      </c>
      <c r="D21" s="958" t="s">
        <v>1027</v>
      </c>
      <c r="E21" s="125">
        <v>1</v>
      </c>
      <c r="F21" s="126">
        <v>30</v>
      </c>
      <c r="G21" s="127">
        <v>150</v>
      </c>
      <c r="H21" s="127">
        <v>80</v>
      </c>
      <c r="I21" s="127">
        <v>10</v>
      </c>
      <c r="J21" s="937">
        <v>5100</v>
      </c>
      <c r="K21" s="7">
        <f>Inventory_List_Table3[[#This Row],[Q]]*Inventory_List_Table3[[#This Row],[Per piece MXN$]]</f>
        <v>5100</v>
      </c>
      <c r="L21" s="128">
        <f>Inventory_List_Table3[[#This Row],[KG]]*2.20462</f>
        <v>66.138599999999997</v>
      </c>
      <c r="M21" s="8">
        <f>Inventory_List_Table3[[#This Row],[H CM]]/2.54</f>
        <v>59.055118110236222</v>
      </c>
      <c r="N21" s="8">
        <f>Inventory_List_Table3[[#This Row],[W CM]]/2.54</f>
        <v>31.496062992125985</v>
      </c>
      <c r="O21" s="8">
        <f>Inventory_List_Table3[[#This Row],[D CM ]]/2.54</f>
        <v>3.9370078740157481</v>
      </c>
      <c r="P21" s="9">
        <f>Inventory_List_Table3[[#This Row],[Per piece MXN$]]/$U$2</f>
        <v>283.33333333333331</v>
      </c>
      <c r="Q21" s="9">
        <f t="shared" si="0"/>
        <v>283</v>
      </c>
      <c r="R21" s="9">
        <f>Inventory_List_Table3[[#This Row],[AQ ROUND]]*1.4</f>
        <v>396.2</v>
      </c>
      <c r="S21" s="9">
        <f t="shared" si="1"/>
        <v>396</v>
      </c>
      <c r="T21" s="9">
        <f>Inventory_List_Table3[[#This Row],[LND ROUND]]*12</f>
        <v>4752</v>
      </c>
      <c r="U21" s="9">
        <f>Inventory_List_Table3[[#This Row],[AQ]]*Inventory_List_Table3[[#This Row],[Q]]</f>
        <v>283.33333333333331</v>
      </c>
      <c r="V21" s="129" t="s">
        <v>636</v>
      </c>
      <c r="W21" s="129" t="s">
        <v>635</v>
      </c>
      <c r="X21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1" s="75">
        <f>Inventory_List_Table3[[#This Row],[Per piece MXN$]]/X21*10000</f>
        <v>3072.2891566265057</v>
      </c>
    </row>
    <row r="22" spans="1:25" ht="21" x14ac:dyDescent="0.25">
      <c r="A22" s="122" t="s">
        <v>167</v>
      </c>
      <c r="B22" s="123"/>
      <c r="C22" s="933" t="s">
        <v>29</v>
      </c>
      <c r="D22" s="958" t="s">
        <v>1028</v>
      </c>
      <c r="E22" s="125">
        <v>1</v>
      </c>
      <c r="F22" s="126">
        <v>30</v>
      </c>
      <c r="G22" s="127">
        <v>150</v>
      </c>
      <c r="H22" s="127">
        <v>80</v>
      </c>
      <c r="I22" s="127">
        <v>10</v>
      </c>
      <c r="J22" s="937">
        <v>5100</v>
      </c>
      <c r="K22" s="7">
        <f>Inventory_List_Table3[[#This Row],[Q]]*Inventory_List_Table3[[#This Row],[Per piece MXN$]]</f>
        <v>5100</v>
      </c>
      <c r="L22" s="128">
        <f>Inventory_List_Table3[[#This Row],[KG]]*2.20462</f>
        <v>66.138599999999997</v>
      </c>
      <c r="M22" s="8">
        <f>Inventory_List_Table3[[#This Row],[H CM]]/2.54</f>
        <v>59.055118110236222</v>
      </c>
      <c r="N22" s="8">
        <f>Inventory_List_Table3[[#This Row],[W CM]]/2.54</f>
        <v>31.496062992125985</v>
      </c>
      <c r="O22" s="8">
        <f>Inventory_List_Table3[[#This Row],[D CM ]]/2.54</f>
        <v>3.9370078740157481</v>
      </c>
      <c r="P22" s="9">
        <f>Inventory_List_Table3[[#This Row],[Per piece MXN$]]/$U$2</f>
        <v>283.33333333333331</v>
      </c>
      <c r="Q22" s="9">
        <f t="shared" si="0"/>
        <v>283</v>
      </c>
      <c r="R22" s="9">
        <f>Inventory_List_Table3[[#This Row],[AQ ROUND]]*1.4</f>
        <v>396.2</v>
      </c>
      <c r="S22" s="9">
        <f t="shared" si="1"/>
        <v>396</v>
      </c>
      <c r="T22" s="9">
        <f>Inventory_List_Table3[[#This Row],[LND ROUND]]*12</f>
        <v>4752</v>
      </c>
      <c r="U22" s="9">
        <f>Inventory_List_Table3[[#This Row],[AQ]]*Inventory_List_Table3[[#This Row],[Q]]</f>
        <v>283.33333333333331</v>
      </c>
      <c r="V22" s="129" t="s">
        <v>636</v>
      </c>
      <c r="W22" s="129" t="s">
        <v>635</v>
      </c>
      <c r="X22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2" s="75">
        <f>Inventory_List_Table3[[#This Row],[Per piece MXN$]]/X22*10000</f>
        <v>3072.2891566265057</v>
      </c>
    </row>
    <row r="23" spans="1:25" ht="21" x14ac:dyDescent="0.25">
      <c r="A23" s="122" t="s">
        <v>168</v>
      </c>
      <c r="B23" s="123"/>
      <c r="C23" s="933" t="s">
        <v>30</v>
      </c>
      <c r="D23" s="958" t="s">
        <v>1029</v>
      </c>
      <c r="E23" s="125">
        <v>1</v>
      </c>
      <c r="F23" s="126">
        <v>30</v>
      </c>
      <c r="G23" s="127">
        <v>150</v>
      </c>
      <c r="H23" s="127">
        <v>80</v>
      </c>
      <c r="I23" s="127">
        <v>10</v>
      </c>
      <c r="J23" s="937">
        <v>5100</v>
      </c>
      <c r="K23" s="7">
        <f>Inventory_List_Table3[[#This Row],[Q]]*Inventory_List_Table3[[#This Row],[Per piece MXN$]]</f>
        <v>5100</v>
      </c>
      <c r="L23" s="128">
        <f>Inventory_List_Table3[[#This Row],[KG]]*2.20462</f>
        <v>66.138599999999997</v>
      </c>
      <c r="M23" s="8">
        <f>Inventory_List_Table3[[#This Row],[H CM]]/2.54</f>
        <v>59.055118110236222</v>
      </c>
      <c r="N23" s="8">
        <f>Inventory_List_Table3[[#This Row],[W CM]]/2.54</f>
        <v>31.496062992125985</v>
      </c>
      <c r="O23" s="8">
        <f>Inventory_List_Table3[[#This Row],[D CM ]]/2.54</f>
        <v>3.9370078740157481</v>
      </c>
      <c r="P23" s="9">
        <f>Inventory_List_Table3[[#This Row],[Per piece MXN$]]/$U$2</f>
        <v>283.33333333333331</v>
      </c>
      <c r="Q23" s="9">
        <f t="shared" si="0"/>
        <v>283</v>
      </c>
      <c r="R23" s="9">
        <f>Inventory_List_Table3[[#This Row],[AQ ROUND]]*1.4</f>
        <v>396.2</v>
      </c>
      <c r="S23" s="9">
        <f t="shared" si="1"/>
        <v>396</v>
      </c>
      <c r="T23" s="9">
        <f>Inventory_List_Table3[[#This Row],[LND ROUND]]*12</f>
        <v>4752</v>
      </c>
      <c r="U23" s="9">
        <f>Inventory_List_Table3[[#This Row],[AQ]]*Inventory_List_Table3[[#This Row],[Q]]</f>
        <v>283.33333333333331</v>
      </c>
      <c r="V23" s="129" t="s">
        <v>636</v>
      </c>
      <c r="W23" s="129" t="s">
        <v>635</v>
      </c>
      <c r="X23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3" s="75">
        <f>Inventory_List_Table3[[#This Row],[Per piece MXN$]]/X23*10000</f>
        <v>3072.2891566265057</v>
      </c>
    </row>
    <row r="24" spans="1:25" ht="21" x14ac:dyDescent="0.25">
      <c r="A24" s="122" t="s">
        <v>169</v>
      </c>
      <c r="B24" s="123"/>
      <c r="C24" s="933" t="s">
        <v>30</v>
      </c>
      <c r="D24" s="958" t="s">
        <v>1030</v>
      </c>
      <c r="E24" s="125">
        <v>1</v>
      </c>
      <c r="F24" s="126">
        <v>30</v>
      </c>
      <c r="G24" s="127">
        <v>150</v>
      </c>
      <c r="H24" s="127">
        <v>80</v>
      </c>
      <c r="I24" s="127">
        <v>10</v>
      </c>
      <c r="J24" s="937">
        <v>5100</v>
      </c>
      <c r="K24" s="7">
        <f>Inventory_List_Table3[[#This Row],[Q]]*Inventory_List_Table3[[#This Row],[Per piece MXN$]]</f>
        <v>5100</v>
      </c>
      <c r="L24" s="128">
        <f>Inventory_List_Table3[[#This Row],[KG]]*2.20462</f>
        <v>66.138599999999997</v>
      </c>
      <c r="M24" s="8">
        <f>Inventory_List_Table3[[#This Row],[H CM]]/2.54</f>
        <v>59.055118110236222</v>
      </c>
      <c r="N24" s="8">
        <f>Inventory_List_Table3[[#This Row],[W CM]]/2.54</f>
        <v>31.496062992125985</v>
      </c>
      <c r="O24" s="8">
        <f>Inventory_List_Table3[[#This Row],[D CM ]]/2.54</f>
        <v>3.9370078740157481</v>
      </c>
      <c r="P24" s="9">
        <f>Inventory_List_Table3[[#This Row],[Per piece MXN$]]/$U$2</f>
        <v>283.33333333333331</v>
      </c>
      <c r="Q24" s="9">
        <f t="shared" si="0"/>
        <v>283</v>
      </c>
      <c r="R24" s="9">
        <f>Inventory_List_Table3[[#This Row],[AQ ROUND]]*1.4</f>
        <v>396.2</v>
      </c>
      <c r="S24" s="9">
        <f t="shared" si="1"/>
        <v>396</v>
      </c>
      <c r="T24" s="9">
        <f>Inventory_List_Table3[[#This Row],[LND ROUND]]*12</f>
        <v>4752</v>
      </c>
      <c r="U24" s="9">
        <f>Inventory_List_Table3[[#This Row],[AQ]]*Inventory_List_Table3[[#This Row],[Q]]</f>
        <v>283.33333333333331</v>
      </c>
      <c r="V24" s="129" t="s">
        <v>636</v>
      </c>
      <c r="W24" s="129" t="s">
        <v>635</v>
      </c>
      <c r="X24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4" s="75">
        <f>Inventory_List_Table3[[#This Row],[Per piece MXN$]]/X24*10000</f>
        <v>3072.2891566265057</v>
      </c>
    </row>
    <row r="25" spans="1:25" ht="21" x14ac:dyDescent="0.25">
      <c r="A25" s="122" t="s">
        <v>170</v>
      </c>
      <c r="B25" s="123"/>
      <c r="C25" s="933" t="s">
        <v>31</v>
      </c>
      <c r="D25" s="958" t="s">
        <v>1031</v>
      </c>
      <c r="E25" s="125">
        <v>1</v>
      </c>
      <c r="F25" s="126">
        <v>30</v>
      </c>
      <c r="G25" s="127">
        <v>150</v>
      </c>
      <c r="H25" s="127">
        <v>80</v>
      </c>
      <c r="I25" s="127">
        <v>10</v>
      </c>
      <c r="J25" s="937">
        <v>5100</v>
      </c>
      <c r="K25" s="7">
        <f>Inventory_List_Table3[[#This Row],[Q]]*Inventory_List_Table3[[#This Row],[Per piece MXN$]]</f>
        <v>5100</v>
      </c>
      <c r="L25" s="128">
        <f>Inventory_List_Table3[[#This Row],[KG]]*2.20462</f>
        <v>66.138599999999997</v>
      </c>
      <c r="M25" s="8">
        <f>Inventory_List_Table3[[#This Row],[H CM]]/2.54</f>
        <v>59.055118110236222</v>
      </c>
      <c r="N25" s="8">
        <f>Inventory_List_Table3[[#This Row],[W CM]]/2.54</f>
        <v>31.496062992125985</v>
      </c>
      <c r="O25" s="8">
        <f>Inventory_List_Table3[[#This Row],[D CM ]]/2.54</f>
        <v>3.9370078740157481</v>
      </c>
      <c r="P25" s="9">
        <f>Inventory_List_Table3[[#This Row],[Per piece MXN$]]/$U$2</f>
        <v>283.33333333333331</v>
      </c>
      <c r="Q25" s="9">
        <f t="shared" si="0"/>
        <v>283</v>
      </c>
      <c r="R25" s="9">
        <f>Inventory_List_Table3[[#This Row],[AQ ROUND]]*1.4</f>
        <v>396.2</v>
      </c>
      <c r="S25" s="9">
        <f t="shared" si="1"/>
        <v>396</v>
      </c>
      <c r="T25" s="9">
        <f>Inventory_List_Table3[[#This Row],[LND ROUND]]*12</f>
        <v>4752</v>
      </c>
      <c r="U25" s="9">
        <f>Inventory_List_Table3[[#This Row],[AQ]]*Inventory_List_Table3[[#This Row],[Q]]</f>
        <v>283.33333333333331</v>
      </c>
      <c r="V25" s="129" t="s">
        <v>636</v>
      </c>
      <c r="W25" s="129" t="s">
        <v>635</v>
      </c>
      <c r="X25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5" s="75">
        <f>Inventory_List_Table3[[#This Row],[Per piece MXN$]]/X25*10000</f>
        <v>3072.2891566265057</v>
      </c>
    </row>
    <row r="26" spans="1:25" ht="21" x14ac:dyDescent="0.25">
      <c r="A26" s="122" t="s">
        <v>171</v>
      </c>
      <c r="B26" s="123"/>
      <c r="C26" s="933" t="s">
        <v>32</v>
      </c>
      <c r="D26" s="958" t="s">
        <v>1032</v>
      </c>
      <c r="E26" s="125">
        <v>1</v>
      </c>
      <c r="F26" s="126">
        <v>30</v>
      </c>
      <c r="G26" s="127">
        <v>150</v>
      </c>
      <c r="H26" s="127">
        <v>80</v>
      </c>
      <c r="I26" s="127">
        <v>10</v>
      </c>
      <c r="J26" s="937">
        <v>5100</v>
      </c>
      <c r="K26" s="7">
        <f>Inventory_List_Table3[[#This Row],[Q]]*Inventory_List_Table3[[#This Row],[Per piece MXN$]]</f>
        <v>5100</v>
      </c>
      <c r="L26" s="128">
        <f>Inventory_List_Table3[[#This Row],[KG]]*2.20462</f>
        <v>66.138599999999997</v>
      </c>
      <c r="M26" s="8">
        <f>Inventory_List_Table3[[#This Row],[H CM]]/2.54</f>
        <v>59.055118110236222</v>
      </c>
      <c r="N26" s="8">
        <f>Inventory_List_Table3[[#This Row],[W CM]]/2.54</f>
        <v>31.496062992125985</v>
      </c>
      <c r="O26" s="8">
        <f>Inventory_List_Table3[[#This Row],[D CM ]]/2.54</f>
        <v>3.9370078740157481</v>
      </c>
      <c r="P26" s="9">
        <f>Inventory_List_Table3[[#This Row],[Per piece MXN$]]/$U$2</f>
        <v>283.33333333333331</v>
      </c>
      <c r="Q26" s="9">
        <f t="shared" si="0"/>
        <v>283</v>
      </c>
      <c r="R26" s="9">
        <f>Inventory_List_Table3[[#This Row],[AQ ROUND]]*1.4</f>
        <v>396.2</v>
      </c>
      <c r="S26" s="9">
        <f t="shared" si="1"/>
        <v>396</v>
      </c>
      <c r="T26" s="9">
        <f>Inventory_List_Table3[[#This Row],[LND ROUND]]*12</f>
        <v>4752</v>
      </c>
      <c r="U26" s="9">
        <f>Inventory_List_Table3[[#This Row],[AQ]]*Inventory_List_Table3[[#This Row],[Q]]</f>
        <v>283.33333333333331</v>
      </c>
      <c r="V26" s="129" t="s">
        <v>636</v>
      </c>
      <c r="W26" s="129" t="s">
        <v>635</v>
      </c>
      <c r="X26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6" s="75">
        <f>Inventory_List_Table3[[#This Row],[Per piece MXN$]]/X26*10000</f>
        <v>3072.2891566265057</v>
      </c>
    </row>
    <row r="27" spans="1:25" ht="21" x14ac:dyDescent="0.25">
      <c r="A27" s="122" t="s">
        <v>183</v>
      </c>
      <c r="B27" s="123"/>
      <c r="C27" s="933" t="s">
        <v>33</v>
      </c>
      <c r="D27" s="958" t="s">
        <v>1033</v>
      </c>
      <c r="E27" s="125">
        <v>1</v>
      </c>
      <c r="F27" s="126">
        <v>30</v>
      </c>
      <c r="G27" s="127">
        <v>150</v>
      </c>
      <c r="H27" s="127">
        <v>80</v>
      </c>
      <c r="I27" s="127">
        <v>10</v>
      </c>
      <c r="J27" s="937">
        <v>5100</v>
      </c>
      <c r="K27" s="7">
        <f>Inventory_List_Table3[[#This Row],[Q]]*Inventory_List_Table3[[#This Row],[Per piece MXN$]]</f>
        <v>5100</v>
      </c>
      <c r="L27" s="128">
        <f>Inventory_List_Table3[[#This Row],[KG]]*2.20462</f>
        <v>66.138599999999997</v>
      </c>
      <c r="M27" s="8">
        <f>Inventory_List_Table3[[#This Row],[H CM]]/2.54</f>
        <v>59.055118110236222</v>
      </c>
      <c r="N27" s="8">
        <f>Inventory_List_Table3[[#This Row],[W CM]]/2.54</f>
        <v>31.496062992125985</v>
      </c>
      <c r="O27" s="130">
        <f>Inventory_List_Table3[[#This Row],[D CM ]]/2.54</f>
        <v>3.9370078740157481</v>
      </c>
      <c r="P27" s="9">
        <f>Inventory_List_Table3[[#This Row],[Per piece MXN$]]/$U$2</f>
        <v>283.33333333333331</v>
      </c>
      <c r="Q27" s="9">
        <f t="shared" ref="Q27:Q33" si="2">IF(MOD(P27,1)&gt;0.4,ROUNDUP(P27,0),ROUNDDOWN(P27,0))</f>
        <v>283</v>
      </c>
      <c r="R27" s="9">
        <f>Inventory_List_Table3[[#This Row],[AQ ROUND]]*1.4</f>
        <v>396.2</v>
      </c>
      <c r="S27" s="9">
        <f t="shared" ref="S27:S33" si="3">IF(MOD(R27,1)&gt;0.4,ROUNDUP(R27,0),ROUNDDOWN(R27,0))</f>
        <v>396</v>
      </c>
      <c r="T27" s="9">
        <f>Inventory_List_Table3[[#This Row],[LND ROUND]]*12</f>
        <v>4752</v>
      </c>
      <c r="U27" s="9">
        <f>Inventory_List_Table3[[#This Row],[AQ]]*Inventory_List_Table3[[#This Row],[Q]]</f>
        <v>283.33333333333331</v>
      </c>
      <c r="V27" s="129" t="s">
        <v>636</v>
      </c>
      <c r="W27" s="129" t="s">
        <v>635</v>
      </c>
      <c r="X27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7" s="75">
        <f>Inventory_List_Table3[[#This Row],[Per piece MXN$]]/X27*10000</f>
        <v>3072.2891566265057</v>
      </c>
    </row>
    <row r="28" spans="1:25" ht="21" x14ac:dyDescent="0.25">
      <c r="A28" s="122" t="s">
        <v>184</v>
      </c>
      <c r="B28" s="123"/>
      <c r="C28" s="933" t="s">
        <v>33</v>
      </c>
      <c r="D28" s="958" t="s">
        <v>1034</v>
      </c>
      <c r="E28" s="125">
        <v>1</v>
      </c>
      <c r="F28" s="126">
        <v>30</v>
      </c>
      <c r="G28" s="127">
        <v>150</v>
      </c>
      <c r="H28" s="127">
        <v>80</v>
      </c>
      <c r="I28" s="127">
        <v>10</v>
      </c>
      <c r="J28" s="937">
        <v>5100</v>
      </c>
      <c r="K28" s="7">
        <f>Inventory_List_Table3[[#This Row],[Q]]*Inventory_List_Table3[[#This Row],[Per piece MXN$]]</f>
        <v>5100</v>
      </c>
      <c r="L28" s="128">
        <f>Inventory_List_Table3[[#This Row],[KG]]*2.20462</f>
        <v>66.138599999999997</v>
      </c>
      <c r="M28" s="8">
        <f>Inventory_List_Table3[[#This Row],[H CM]]/2.54</f>
        <v>59.055118110236222</v>
      </c>
      <c r="N28" s="8">
        <f>Inventory_List_Table3[[#This Row],[W CM]]/2.54</f>
        <v>31.496062992125985</v>
      </c>
      <c r="O28" s="130">
        <f>Inventory_List_Table3[[#This Row],[D CM ]]/2.54</f>
        <v>3.9370078740157481</v>
      </c>
      <c r="P28" s="9">
        <f>Inventory_List_Table3[[#This Row],[Per piece MXN$]]/$U$2</f>
        <v>283.33333333333331</v>
      </c>
      <c r="Q28" s="9">
        <f t="shared" si="2"/>
        <v>283</v>
      </c>
      <c r="R28" s="9">
        <f>Inventory_List_Table3[[#This Row],[AQ ROUND]]*1.4</f>
        <v>396.2</v>
      </c>
      <c r="S28" s="9">
        <f t="shared" si="3"/>
        <v>396</v>
      </c>
      <c r="T28" s="9">
        <f>Inventory_List_Table3[[#This Row],[LND ROUND]]*12</f>
        <v>4752</v>
      </c>
      <c r="U28" s="9">
        <f>Inventory_List_Table3[[#This Row],[AQ]]*Inventory_List_Table3[[#This Row],[Q]]</f>
        <v>283.33333333333331</v>
      </c>
      <c r="V28" s="129" t="s">
        <v>636</v>
      </c>
      <c r="W28" s="129" t="s">
        <v>635</v>
      </c>
      <c r="X28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8" s="75">
        <f>Inventory_List_Table3[[#This Row],[Per piece MXN$]]/X28*10000</f>
        <v>3072.2891566265057</v>
      </c>
    </row>
    <row r="29" spans="1:25" ht="21" x14ac:dyDescent="0.25">
      <c r="A29" s="122" t="s">
        <v>185</v>
      </c>
      <c r="B29" s="123"/>
      <c r="C29" s="933" t="s">
        <v>33</v>
      </c>
      <c r="D29" s="958" t="s">
        <v>1035</v>
      </c>
      <c r="E29" s="125">
        <v>1</v>
      </c>
      <c r="F29" s="126">
        <v>30</v>
      </c>
      <c r="G29" s="127">
        <v>150</v>
      </c>
      <c r="H29" s="127">
        <v>80</v>
      </c>
      <c r="I29" s="127">
        <v>10</v>
      </c>
      <c r="J29" s="937">
        <v>5100</v>
      </c>
      <c r="K29" s="7">
        <f>Inventory_List_Table3[[#This Row],[Q]]*Inventory_List_Table3[[#This Row],[Per piece MXN$]]</f>
        <v>5100</v>
      </c>
      <c r="L29" s="128">
        <f>Inventory_List_Table3[[#This Row],[KG]]*2.20462</f>
        <v>66.138599999999997</v>
      </c>
      <c r="M29" s="8">
        <f>Inventory_List_Table3[[#This Row],[H CM]]/2.54</f>
        <v>59.055118110236222</v>
      </c>
      <c r="N29" s="8">
        <f>Inventory_List_Table3[[#This Row],[W CM]]/2.54</f>
        <v>31.496062992125985</v>
      </c>
      <c r="O29" s="130">
        <f>Inventory_List_Table3[[#This Row],[D CM ]]/2.54</f>
        <v>3.9370078740157481</v>
      </c>
      <c r="P29" s="9">
        <f>Inventory_List_Table3[[#This Row],[Per piece MXN$]]/$U$2</f>
        <v>283.33333333333331</v>
      </c>
      <c r="Q29" s="9">
        <f t="shared" si="2"/>
        <v>283</v>
      </c>
      <c r="R29" s="9">
        <f>Inventory_List_Table3[[#This Row],[AQ ROUND]]*1.4</f>
        <v>396.2</v>
      </c>
      <c r="S29" s="9">
        <f t="shared" si="3"/>
        <v>396</v>
      </c>
      <c r="T29" s="9">
        <f>Inventory_List_Table3[[#This Row],[LND ROUND]]*12</f>
        <v>4752</v>
      </c>
      <c r="U29" s="9">
        <f>Inventory_List_Table3[[#This Row],[AQ]]*Inventory_List_Table3[[#This Row],[Q]]</f>
        <v>283.33333333333331</v>
      </c>
      <c r="V29" s="129" t="s">
        <v>636</v>
      </c>
      <c r="W29" s="129" t="s">
        <v>635</v>
      </c>
      <c r="X29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29" s="75">
        <f>Inventory_List_Table3[[#This Row],[Per piece MXN$]]/X29*10000</f>
        <v>3072.2891566265057</v>
      </c>
    </row>
    <row r="30" spans="1:25" ht="21" x14ac:dyDescent="0.25">
      <c r="A30" s="122" t="s">
        <v>186</v>
      </c>
      <c r="B30" s="123"/>
      <c r="C30" s="933" t="s">
        <v>33</v>
      </c>
      <c r="D30" s="958" t="s">
        <v>1036</v>
      </c>
      <c r="E30" s="125">
        <v>1</v>
      </c>
      <c r="F30" s="126">
        <v>30</v>
      </c>
      <c r="G30" s="127">
        <v>150</v>
      </c>
      <c r="H30" s="127">
        <v>80</v>
      </c>
      <c r="I30" s="127">
        <v>10</v>
      </c>
      <c r="J30" s="937">
        <v>5100</v>
      </c>
      <c r="K30" s="7">
        <f>Inventory_List_Table3[[#This Row],[Q]]*Inventory_List_Table3[[#This Row],[Per piece MXN$]]</f>
        <v>5100</v>
      </c>
      <c r="L30" s="128">
        <f>Inventory_List_Table3[[#This Row],[KG]]*2.20462</f>
        <v>66.138599999999997</v>
      </c>
      <c r="M30" s="8">
        <f>Inventory_List_Table3[[#This Row],[H CM]]/2.54</f>
        <v>59.055118110236222</v>
      </c>
      <c r="N30" s="8">
        <f>Inventory_List_Table3[[#This Row],[W CM]]/2.54</f>
        <v>31.496062992125985</v>
      </c>
      <c r="O30" s="130">
        <f>Inventory_List_Table3[[#This Row],[D CM ]]/2.54</f>
        <v>3.9370078740157481</v>
      </c>
      <c r="P30" s="9">
        <f>Inventory_List_Table3[[#This Row],[Per piece MXN$]]/$U$2</f>
        <v>283.33333333333331</v>
      </c>
      <c r="Q30" s="9">
        <f t="shared" si="2"/>
        <v>283</v>
      </c>
      <c r="R30" s="9">
        <f>Inventory_List_Table3[[#This Row],[AQ ROUND]]*1.4</f>
        <v>396.2</v>
      </c>
      <c r="S30" s="9">
        <f t="shared" si="3"/>
        <v>396</v>
      </c>
      <c r="T30" s="9">
        <f>Inventory_List_Table3[[#This Row],[LND ROUND]]*12</f>
        <v>4752</v>
      </c>
      <c r="U30" s="9">
        <f>Inventory_List_Table3[[#This Row],[AQ]]*Inventory_List_Table3[[#This Row],[Q]]</f>
        <v>283.33333333333331</v>
      </c>
      <c r="V30" s="129" t="s">
        <v>636</v>
      </c>
      <c r="W30" s="129" t="s">
        <v>635</v>
      </c>
      <c r="X30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30" s="75">
        <f>Inventory_List_Table3[[#This Row],[Per piece MXN$]]/X30*10000</f>
        <v>3072.2891566265057</v>
      </c>
    </row>
    <row r="31" spans="1:25" ht="21" x14ac:dyDescent="0.25">
      <c r="A31" s="122" t="s">
        <v>187</v>
      </c>
      <c r="B31" s="123"/>
      <c r="C31" s="933" t="s">
        <v>33</v>
      </c>
      <c r="D31" s="958" t="s">
        <v>1037</v>
      </c>
      <c r="E31" s="125">
        <v>1</v>
      </c>
      <c r="F31" s="126">
        <v>30</v>
      </c>
      <c r="G31" s="127">
        <v>150</v>
      </c>
      <c r="H31" s="127">
        <v>80</v>
      </c>
      <c r="I31" s="127">
        <v>10</v>
      </c>
      <c r="J31" s="937">
        <v>5100</v>
      </c>
      <c r="K31" s="7">
        <f>Inventory_List_Table3[[#This Row],[Q]]*Inventory_List_Table3[[#This Row],[Per piece MXN$]]</f>
        <v>5100</v>
      </c>
      <c r="L31" s="128">
        <f>Inventory_List_Table3[[#This Row],[KG]]*2.20462</f>
        <v>66.138599999999997</v>
      </c>
      <c r="M31" s="8">
        <f>Inventory_List_Table3[[#This Row],[H CM]]/2.54</f>
        <v>59.055118110236222</v>
      </c>
      <c r="N31" s="8">
        <f>Inventory_List_Table3[[#This Row],[W CM]]/2.54</f>
        <v>31.496062992125985</v>
      </c>
      <c r="O31" s="130">
        <f>Inventory_List_Table3[[#This Row],[D CM ]]/2.54</f>
        <v>3.9370078740157481</v>
      </c>
      <c r="P31" s="9">
        <f>Inventory_List_Table3[[#This Row],[Per piece MXN$]]/$U$2</f>
        <v>283.33333333333331</v>
      </c>
      <c r="Q31" s="9">
        <f t="shared" si="2"/>
        <v>283</v>
      </c>
      <c r="R31" s="9">
        <f>Inventory_List_Table3[[#This Row],[AQ ROUND]]*1.4</f>
        <v>396.2</v>
      </c>
      <c r="S31" s="9">
        <f t="shared" si="3"/>
        <v>396</v>
      </c>
      <c r="T31" s="9">
        <f>Inventory_List_Table3[[#This Row],[LND ROUND]]*12</f>
        <v>4752</v>
      </c>
      <c r="U31" s="9">
        <f>Inventory_List_Table3[[#This Row],[AQ]]*Inventory_List_Table3[[#This Row],[Q]]</f>
        <v>283.33333333333331</v>
      </c>
      <c r="V31" s="129" t="s">
        <v>636</v>
      </c>
      <c r="W31" s="129" t="s">
        <v>635</v>
      </c>
      <c r="X31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31" s="75">
        <f>Inventory_List_Table3[[#This Row],[Per piece MXN$]]/X31*10000</f>
        <v>3072.2891566265057</v>
      </c>
    </row>
    <row r="32" spans="1:25" ht="21" x14ac:dyDescent="0.25">
      <c r="A32" s="122" t="s">
        <v>188</v>
      </c>
      <c r="B32" s="123"/>
      <c r="C32" s="933" t="s">
        <v>33</v>
      </c>
      <c r="D32" s="958" t="s">
        <v>1038</v>
      </c>
      <c r="E32" s="125">
        <v>1</v>
      </c>
      <c r="F32" s="126">
        <v>30</v>
      </c>
      <c r="G32" s="127">
        <v>150</v>
      </c>
      <c r="H32" s="127">
        <v>80</v>
      </c>
      <c r="I32" s="127">
        <v>10</v>
      </c>
      <c r="J32" s="937">
        <v>5100</v>
      </c>
      <c r="K32" s="7">
        <f>Inventory_List_Table3[[#This Row],[Q]]*Inventory_List_Table3[[#This Row],[Per piece MXN$]]</f>
        <v>5100</v>
      </c>
      <c r="L32" s="128">
        <f>Inventory_List_Table3[[#This Row],[KG]]*2.20462</f>
        <v>66.138599999999997</v>
      </c>
      <c r="M32" s="8">
        <f>Inventory_List_Table3[[#This Row],[H CM]]/2.54</f>
        <v>59.055118110236222</v>
      </c>
      <c r="N32" s="8">
        <f>Inventory_List_Table3[[#This Row],[W CM]]/2.54</f>
        <v>31.496062992125985</v>
      </c>
      <c r="O32" s="130">
        <f>Inventory_List_Table3[[#This Row],[D CM ]]/2.54</f>
        <v>3.9370078740157481</v>
      </c>
      <c r="P32" s="9">
        <f>Inventory_List_Table3[[#This Row],[Per piece MXN$]]/$U$2</f>
        <v>283.33333333333331</v>
      </c>
      <c r="Q32" s="9">
        <f t="shared" si="2"/>
        <v>283</v>
      </c>
      <c r="R32" s="9">
        <f>Inventory_List_Table3[[#This Row],[AQ ROUND]]*1.4</f>
        <v>396.2</v>
      </c>
      <c r="S32" s="9">
        <f t="shared" si="3"/>
        <v>396</v>
      </c>
      <c r="T32" s="9">
        <f>Inventory_List_Table3[[#This Row],[LND ROUND]]*12</f>
        <v>4752</v>
      </c>
      <c r="U32" s="9">
        <f>Inventory_List_Table3[[#This Row],[AQ]]*Inventory_List_Table3[[#This Row],[Q]]</f>
        <v>283.33333333333331</v>
      </c>
      <c r="V32" s="129" t="s">
        <v>636</v>
      </c>
      <c r="W32" s="129" t="s">
        <v>635</v>
      </c>
      <c r="X32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32" s="75">
        <f>Inventory_List_Table3[[#This Row],[Per piece MXN$]]/X32*10000</f>
        <v>3072.2891566265057</v>
      </c>
    </row>
    <row r="33" spans="1:25" ht="21" x14ac:dyDescent="0.25">
      <c r="A33" s="122" t="s">
        <v>189</v>
      </c>
      <c r="B33" s="123"/>
      <c r="C33" s="933" t="s">
        <v>34</v>
      </c>
      <c r="D33" s="958" t="s">
        <v>1039</v>
      </c>
      <c r="E33" s="125">
        <v>1</v>
      </c>
      <c r="F33" s="126">
        <v>27</v>
      </c>
      <c r="G33" s="127">
        <v>100</v>
      </c>
      <c r="H33" s="127">
        <v>100</v>
      </c>
      <c r="I33" s="127">
        <v>10</v>
      </c>
      <c r="J33" s="937">
        <v>4200</v>
      </c>
      <c r="K33" s="7">
        <f>Inventory_List_Table3[[#This Row],[Q]]*Inventory_List_Table3[[#This Row],[Per piece MXN$]]</f>
        <v>4200</v>
      </c>
      <c r="L33" s="128">
        <f>Inventory_List_Table3[[#This Row],[KG]]*2.20462</f>
        <v>59.524739999999994</v>
      </c>
      <c r="M33" s="8">
        <f>Inventory_List_Table3[[#This Row],[H CM]]/2.54</f>
        <v>39.370078740157481</v>
      </c>
      <c r="N33" s="8">
        <f>Inventory_List_Table3[[#This Row],[W CM]]/2.54</f>
        <v>39.370078740157481</v>
      </c>
      <c r="O33" s="130">
        <f>Inventory_List_Table3[[#This Row],[D CM ]]/2.54</f>
        <v>3.9370078740157481</v>
      </c>
      <c r="P33" s="9">
        <f>Inventory_List_Table3[[#This Row],[Per piece MXN$]]/$U$2</f>
        <v>233.33333333333334</v>
      </c>
      <c r="Q33" s="9">
        <f t="shared" si="2"/>
        <v>233</v>
      </c>
      <c r="R33" s="9">
        <f>Inventory_List_Table3[[#This Row],[AQ ROUND]]*1.4</f>
        <v>326.2</v>
      </c>
      <c r="S33" s="9">
        <f t="shared" si="3"/>
        <v>326</v>
      </c>
      <c r="T33" s="9">
        <f>Inventory_List_Table3[[#This Row],[LND ROUND]]*12</f>
        <v>3912</v>
      </c>
      <c r="U33" s="9">
        <f>Inventory_List_Table3[[#This Row],[AQ]]*Inventory_List_Table3[[#This Row],[Q]]</f>
        <v>233.33333333333334</v>
      </c>
      <c r="V33" s="129" t="s">
        <v>640</v>
      </c>
      <c r="W33" s="129" t="s">
        <v>639</v>
      </c>
      <c r="X33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33" s="75">
        <f>Inventory_List_Table3[[#This Row],[Per piece MXN$]]/X33*10000</f>
        <v>3000</v>
      </c>
    </row>
    <row r="34" spans="1:25" ht="21" x14ac:dyDescent="0.25">
      <c r="A34" s="122" t="s">
        <v>190</v>
      </c>
      <c r="B34" s="123"/>
      <c r="C34" s="933" t="s">
        <v>35</v>
      </c>
      <c r="D34" s="958" t="s">
        <v>1040</v>
      </c>
      <c r="E34" s="125">
        <v>1</v>
      </c>
      <c r="F34" s="126">
        <v>27</v>
      </c>
      <c r="G34" s="127">
        <v>100</v>
      </c>
      <c r="H34" s="127">
        <v>100</v>
      </c>
      <c r="I34" s="127">
        <v>10</v>
      </c>
      <c r="J34" s="937">
        <v>4200</v>
      </c>
      <c r="K34" s="7">
        <f>Inventory_List_Table3[[#This Row],[Q]]*Inventory_List_Table3[[#This Row],[Per piece MXN$]]</f>
        <v>4200</v>
      </c>
      <c r="L34" s="128">
        <f>Inventory_List_Table3[[#This Row],[KG]]*2.20462</f>
        <v>59.524739999999994</v>
      </c>
      <c r="M34" s="8">
        <f>Inventory_List_Table3[[#This Row],[H CM]]/2.54</f>
        <v>39.370078740157481</v>
      </c>
      <c r="N34" s="8">
        <f>Inventory_List_Table3[[#This Row],[W CM]]/2.54</f>
        <v>39.370078740157481</v>
      </c>
      <c r="O34" s="130">
        <f>Inventory_List_Table3[[#This Row],[D CM ]]/2.54</f>
        <v>3.9370078740157481</v>
      </c>
      <c r="P34" s="9">
        <f>Inventory_List_Table3[[#This Row],[Per piece MXN$]]/$U$2</f>
        <v>233.33333333333334</v>
      </c>
      <c r="Q34" s="9">
        <f t="shared" ref="Q34:Q65" si="4">IF(MOD(P34,1)&gt;0.4,ROUNDUP(P34,0),ROUNDDOWN(P34,0))</f>
        <v>233</v>
      </c>
      <c r="R34" s="9">
        <f>Inventory_List_Table3[[#This Row],[AQ ROUND]]*1.4</f>
        <v>326.2</v>
      </c>
      <c r="S34" s="9">
        <f t="shared" ref="S34:S65" si="5">IF(MOD(R34,1)&gt;0.4,ROUNDUP(R34,0),ROUNDDOWN(R34,0))</f>
        <v>326</v>
      </c>
      <c r="T34" s="9">
        <f>Inventory_List_Table3[[#This Row],[LND ROUND]]*12</f>
        <v>3912</v>
      </c>
      <c r="U34" s="9">
        <f>Inventory_List_Table3[[#This Row],[AQ]]*Inventory_List_Table3[[#This Row],[Q]]</f>
        <v>233.33333333333334</v>
      </c>
      <c r="V34" s="129" t="s">
        <v>640</v>
      </c>
      <c r="W34" s="129" t="s">
        <v>639</v>
      </c>
      <c r="X34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34" s="75">
        <f>Inventory_List_Table3[[#This Row],[Per piece MXN$]]/X34*10000</f>
        <v>3000</v>
      </c>
    </row>
    <row r="35" spans="1:25" ht="21" x14ac:dyDescent="0.25">
      <c r="A35" s="122" t="s">
        <v>191</v>
      </c>
      <c r="B35" s="123"/>
      <c r="C35" s="933" t="s">
        <v>35</v>
      </c>
      <c r="D35" s="958" t="s">
        <v>1041</v>
      </c>
      <c r="E35" s="125">
        <v>1</v>
      </c>
      <c r="F35" s="126">
        <v>27</v>
      </c>
      <c r="G35" s="127">
        <v>100</v>
      </c>
      <c r="H35" s="127">
        <v>100</v>
      </c>
      <c r="I35" s="127">
        <v>10</v>
      </c>
      <c r="J35" s="937">
        <v>4200</v>
      </c>
      <c r="K35" s="7">
        <f>Inventory_List_Table3[[#This Row],[Q]]*Inventory_List_Table3[[#This Row],[Per piece MXN$]]</f>
        <v>4200</v>
      </c>
      <c r="L35" s="128">
        <f>Inventory_List_Table3[[#This Row],[KG]]*2.20462</f>
        <v>59.524739999999994</v>
      </c>
      <c r="M35" s="8">
        <f>Inventory_List_Table3[[#This Row],[H CM]]/2.54</f>
        <v>39.370078740157481</v>
      </c>
      <c r="N35" s="8">
        <f>Inventory_List_Table3[[#This Row],[W CM]]/2.54</f>
        <v>39.370078740157481</v>
      </c>
      <c r="O35" s="130">
        <f>Inventory_List_Table3[[#This Row],[D CM ]]/2.54</f>
        <v>3.9370078740157481</v>
      </c>
      <c r="P35" s="9">
        <f>Inventory_List_Table3[[#This Row],[Per piece MXN$]]/$U$2</f>
        <v>233.33333333333334</v>
      </c>
      <c r="Q35" s="9">
        <f t="shared" si="4"/>
        <v>233</v>
      </c>
      <c r="R35" s="9">
        <f>Inventory_List_Table3[[#This Row],[AQ ROUND]]*1.4</f>
        <v>326.2</v>
      </c>
      <c r="S35" s="9">
        <f t="shared" si="5"/>
        <v>326</v>
      </c>
      <c r="T35" s="9">
        <f>Inventory_List_Table3[[#This Row],[LND ROUND]]*12</f>
        <v>3912</v>
      </c>
      <c r="U35" s="9">
        <f>Inventory_List_Table3[[#This Row],[AQ]]*Inventory_List_Table3[[#This Row],[Q]]</f>
        <v>233.33333333333334</v>
      </c>
      <c r="V35" s="129" t="s">
        <v>640</v>
      </c>
      <c r="W35" s="129" t="s">
        <v>639</v>
      </c>
      <c r="X35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35" s="75">
        <f>Inventory_List_Table3[[#This Row],[Per piece MXN$]]/X35*10000</f>
        <v>3000</v>
      </c>
    </row>
    <row r="36" spans="1:25" ht="21" x14ac:dyDescent="0.25">
      <c r="A36" s="122" t="s">
        <v>192</v>
      </c>
      <c r="B36" s="123"/>
      <c r="C36" s="933" t="s">
        <v>35</v>
      </c>
      <c r="D36" s="958" t="s">
        <v>1042</v>
      </c>
      <c r="E36" s="125">
        <v>1</v>
      </c>
      <c r="F36" s="126">
        <v>27</v>
      </c>
      <c r="G36" s="127">
        <v>100</v>
      </c>
      <c r="H36" s="127">
        <v>100</v>
      </c>
      <c r="I36" s="127">
        <v>10</v>
      </c>
      <c r="J36" s="937">
        <v>4200</v>
      </c>
      <c r="K36" s="7">
        <f>Inventory_List_Table3[[#This Row],[Q]]*Inventory_List_Table3[[#This Row],[Per piece MXN$]]</f>
        <v>4200</v>
      </c>
      <c r="L36" s="128">
        <f>Inventory_List_Table3[[#This Row],[KG]]*2.20462</f>
        <v>59.524739999999994</v>
      </c>
      <c r="M36" s="8">
        <f>Inventory_List_Table3[[#This Row],[H CM]]/2.54</f>
        <v>39.370078740157481</v>
      </c>
      <c r="N36" s="8">
        <f>Inventory_List_Table3[[#This Row],[W CM]]/2.54</f>
        <v>39.370078740157481</v>
      </c>
      <c r="O36" s="130">
        <f>Inventory_List_Table3[[#This Row],[D CM ]]/2.54</f>
        <v>3.9370078740157481</v>
      </c>
      <c r="P36" s="9">
        <f>Inventory_List_Table3[[#This Row],[Per piece MXN$]]/$U$2</f>
        <v>233.33333333333334</v>
      </c>
      <c r="Q36" s="9">
        <f t="shared" si="4"/>
        <v>233</v>
      </c>
      <c r="R36" s="9">
        <f>Inventory_List_Table3[[#This Row],[AQ ROUND]]*1.4</f>
        <v>326.2</v>
      </c>
      <c r="S36" s="9">
        <f t="shared" si="5"/>
        <v>326</v>
      </c>
      <c r="T36" s="9">
        <f>Inventory_List_Table3[[#This Row],[LND ROUND]]*12</f>
        <v>3912</v>
      </c>
      <c r="U36" s="9">
        <f>Inventory_List_Table3[[#This Row],[AQ]]*Inventory_List_Table3[[#This Row],[Q]]</f>
        <v>233.33333333333334</v>
      </c>
      <c r="V36" s="129" t="s">
        <v>640</v>
      </c>
      <c r="W36" s="129" t="s">
        <v>639</v>
      </c>
      <c r="X36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36" s="75">
        <f>Inventory_List_Table3[[#This Row],[Per piece MXN$]]/X36*10000</f>
        <v>3000</v>
      </c>
    </row>
    <row r="37" spans="1:25" ht="21" x14ac:dyDescent="0.25">
      <c r="A37" s="122" t="s">
        <v>193</v>
      </c>
      <c r="B37" s="123"/>
      <c r="C37" s="933" t="s">
        <v>36</v>
      </c>
      <c r="D37" s="958" t="s">
        <v>1043</v>
      </c>
      <c r="E37" s="125">
        <v>1</v>
      </c>
      <c r="F37" s="126">
        <v>27</v>
      </c>
      <c r="G37" s="127">
        <v>100</v>
      </c>
      <c r="H37" s="127">
        <v>100</v>
      </c>
      <c r="I37" s="127">
        <v>10</v>
      </c>
      <c r="J37" s="937">
        <v>4200</v>
      </c>
      <c r="K37" s="7">
        <f>Inventory_List_Table3[[#This Row],[Q]]*Inventory_List_Table3[[#This Row],[Per piece MXN$]]</f>
        <v>4200</v>
      </c>
      <c r="L37" s="128">
        <f>Inventory_List_Table3[[#This Row],[KG]]*2.20462</f>
        <v>59.524739999999994</v>
      </c>
      <c r="M37" s="8">
        <f>Inventory_List_Table3[[#This Row],[H CM]]/2.54</f>
        <v>39.370078740157481</v>
      </c>
      <c r="N37" s="8">
        <f>Inventory_List_Table3[[#This Row],[W CM]]/2.54</f>
        <v>39.370078740157481</v>
      </c>
      <c r="O37" s="130">
        <f>Inventory_List_Table3[[#This Row],[D CM ]]/2.54</f>
        <v>3.9370078740157481</v>
      </c>
      <c r="P37" s="9">
        <f>Inventory_List_Table3[[#This Row],[Per piece MXN$]]/$U$2</f>
        <v>233.33333333333334</v>
      </c>
      <c r="Q37" s="9">
        <f t="shared" si="4"/>
        <v>233</v>
      </c>
      <c r="R37" s="9">
        <f>Inventory_List_Table3[[#This Row],[AQ ROUND]]*1.4</f>
        <v>326.2</v>
      </c>
      <c r="S37" s="9">
        <f t="shared" si="5"/>
        <v>326</v>
      </c>
      <c r="T37" s="9">
        <f>Inventory_List_Table3[[#This Row],[LND ROUND]]*12</f>
        <v>3912</v>
      </c>
      <c r="U37" s="9">
        <f>Inventory_List_Table3[[#This Row],[AQ]]*Inventory_List_Table3[[#This Row],[Q]]</f>
        <v>233.33333333333334</v>
      </c>
      <c r="V37" s="129" t="s">
        <v>640</v>
      </c>
      <c r="W37" s="129" t="s">
        <v>639</v>
      </c>
      <c r="X37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37" s="75">
        <f>Inventory_List_Table3[[#This Row],[Per piece MXN$]]/X37*10000</f>
        <v>3000</v>
      </c>
    </row>
    <row r="38" spans="1:25" ht="21" x14ac:dyDescent="0.25">
      <c r="A38" s="122" t="s">
        <v>194</v>
      </c>
      <c r="B38" s="123"/>
      <c r="C38" s="933" t="s">
        <v>36</v>
      </c>
      <c r="D38" s="958" t="s">
        <v>1044</v>
      </c>
      <c r="E38" s="125">
        <v>1</v>
      </c>
      <c r="F38" s="126">
        <v>27</v>
      </c>
      <c r="G38" s="127">
        <v>100</v>
      </c>
      <c r="H38" s="127">
        <v>100</v>
      </c>
      <c r="I38" s="127">
        <v>10</v>
      </c>
      <c r="J38" s="937">
        <v>4200</v>
      </c>
      <c r="K38" s="7">
        <f>Inventory_List_Table3[[#This Row],[Q]]*Inventory_List_Table3[[#This Row],[Per piece MXN$]]</f>
        <v>4200</v>
      </c>
      <c r="L38" s="128">
        <f>Inventory_List_Table3[[#This Row],[KG]]*2.20462</f>
        <v>59.524739999999994</v>
      </c>
      <c r="M38" s="8">
        <f>Inventory_List_Table3[[#This Row],[H CM]]/2.54</f>
        <v>39.370078740157481</v>
      </c>
      <c r="N38" s="8">
        <f>Inventory_List_Table3[[#This Row],[W CM]]/2.54</f>
        <v>39.370078740157481</v>
      </c>
      <c r="O38" s="130">
        <f>Inventory_List_Table3[[#This Row],[D CM ]]/2.54</f>
        <v>3.9370078740157481</v>
      </c>
      <c r="P38" s="9">
        <f>Inventory_List_Table3[[#This Row],[Per piece MXN$]]/$U$2</f>
        <v>233.33333333333334</v>
      </c>
      <c r="Q38" s="9">
        <f t="shared" si="4"/>
        <v>233</v>
      </c>
      <c r="R38" s="9">
        <f>Inventory_List_Table3[[#This Row],[AQ ROUND]]*1.4</f>
        <v>326.2</v>
      </c>
      <c r="S38" s="9">
        <f t="shared" si="5"/>
        <v>326</v>
      </c>
      <c r="T38" s="9">
        <f>Inventory_List_Table3[[#This Row],[LND ROUND]]*12</f>
        <v>3912</v>
      </c>
      <c r="U38" s="9">
        <f>Inventory_List_Table3[[#This Row],[AQ]]*Inventory_List_Table3[[#This Row],[Q]]</f>
        <v>233.33333333333334</v>
      </c>
      <c r="V38" s="129" t="s">
        <v>640</v>
      </c>
      <c r="W38" s="129" t="s">
        <v>639</v>
      </c>
      <c r="X38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38" s="75">
        <f>Inventory_List_Table3[[#This Row],[Per piece MXN$]]/X38*10000</f>
        <v>3000</v>
      </c>
    </row>
    <row r="39" spans="1:25" ht="21" x14ac:dyDescent="0.25">
      <c r="A39" s="122" t="s">
        <v>195</v>
      </c>
      <c r="B39" s="123"/>
      <c r="C39" s="933" t="s">
        <v>37</v>
      </c>
      <c r="D39" s="958" t="s">
        <v>1045</v>
      </c>
      <c r="E39" s="125">
        <v>1</v>
      </c>
      <c r="F39" s="126">
        <v>19</v>
      </c>
      <c r="G39" s="127">
        <v>110</v>
      </c>
      <c r="H39" s="127">
        <v>60</v>
      </c>
      <c r="I39" s="127">
        <v>10</v>
      </c>
      <c r="J39" s="937">
        <v>3400</v>
      </c>
      <c r="K39" s="7">
        <f>Inventory_List_Table3[[#This Row],[Q]]*Inventory_List_Table3[[#This Row],[Per piece MXN$]]</f>
        <v>3400</v>
      </c>
      <c r="L39" s="128">
        <f>Inventory_List_Table3[[#This Row],[KG]]*2.20462</f>
        <v>41.887779999999999</v>
      </c>
      <c r="M39" s="8">
        <f>Inventory_List_Table3[[#This Row],[H CM]]/2.54</f>
        <v>43.30708661417323</v>
      </c>
      <c r="N39" s="8">
        <f>Inventory_List_Table3[[#This Row],[W CM]]/2.54</f>
        <v>23.622047244094489</v>
      </c>
      <c r="O39" s="130">
        <f>Inventory_List_Table3[[#This Row],[D CM ]]/2.54</f>
        <v>3.9370078740157481</v>
      </c>
      <c r="P39" s="9">
        <f>Inventory_List_Table3[[#This Row],[Per piece MXN$]]/$U$2</f>
        <v>188.88888888888889</v>
      </c>
      <c r="Q39" s="9">
        <f t="shared" si="4"/>
        <v>189</v>
      </c>
      <c r="R39" s="9">
        <f>Inventory_List_Table3[[#This Row],[AQ ROUND]]*1.4</f>
        <v>264.59999999999997</v>
      </c>
      <c r="S39" s="9">
        <f t="shared" si="5"/>
        <v>265</v>
      </c>
      <c r="T39" s="9">
        <f>Inventory_List_Table3[[#This Row],[LND ROUND]]*12</f>
        <v>3180</v>
      </c>
      <c r="U39" s="9">
        <f>Inventory_List_Table3[[#This Row],[AQ]]*Inventory_List_Table3[[#This Row],[Q]]</f>
        <v>188.88888888888889</v>
      </c>
      <c r="V39" s="129" t="s">
        <v>642</v>
      </c>
      <c r="W39" s="129" t="s">
        <v>38</v>
      </c>
      <c r="X39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39" s="75">
        <f>Inventory_List_Table3[[#This Row],[Per piece MXN$]]/X39*10000</f>
        <v>3400.0000000000005</v>
      </c>
    </row>
    <row r="40" spans="1:25" ht="21" x14ac:dyDescent="0.25">
      <c r="A40" s="122" t="s">
        <v>196</v>
      </c>
      <c r="B40" s="123"/>
      <c r="C40" s="933" t="s">
        <v>37</v>
      </c>
      <c r="D40" s="958" t="s">
        <v>1046</v>
      </c>
      <c r="E40" s="125">
        <v>1</v>
      </c>
      <c r="F40" s="126">
        <v>19</v>
      </c>
      <c r="G40" s="127">
        <v>110</v>
      </c>
      <c r="H40" s="127">
        <v>60</v>
      </c>
      <c r="I40" s="127">
        <v>10</v>
      </c>
      <c r="J40" s="937">
        <v>3400</v>
      </c>
      <c r="K40" s="7">
        <f>Inventory_List_Table3[[#This Row],[Q]]*Inventory_List_Table3[[#This Row],[Per piece MXN$]]</f>
        <v>3400</v>
      </c>
      <c r="L40" s="128">
        <f>Inventory_List_Table3[[#This Row],[KG]]*2.20462</f>
        <v>41.887779999999999</v>
      </c>
      <c r="M40" s="8">
        <f>Inventory_List_Table3[[#This Row],[H CM]]/2.54</f>
        <v>43.30708661417323</v>
      </c>
      <c r="N40" s="8">
        <f>Inventory_List_Table3[[#This Row],[W CM]]/2.54</f>
        <v>23.622047244094489</v>
      </c>
      <c r="O40" s="130">
        <f>Inventory_List_Table3[[#This Row],[D CM ]]/2.54</f>
        <v>3.9370078740157481</v>
      </c>
      <c r="P40" s="9">
        <f>Inventory_List_Table3[[#This Row],[Per piece MXN$]]/$U$2</f>
        <v>188.88888888888889</v>
      </c>
      <c r="Q40" s="9">
        <f t="shared" si="4"/>
        <v>189</v>
      </c>
      <c r="R40" s="9">
        <f>Inventory_List_Table3[[#This Row],[AQ ROUND]]*1.4</f>
        <v>264.59999999999997</v>
      </c>
      <c r="S40" s="9">
        <f t="shared" si="5"/>
        <v>265</v>
      </c>
      <c r="T40" s="9">
        <f>Inventory_List_Table3[[#This Row],[LND ROUND]]*12</f>
        <v>3180</v>
      </c>
      <c r="U40" s="9">
        <f>Inventory_List_Table3[[#This Row],[AQ]]*Inventory_List_Table3[[#This Row],[Q]]</f>
        <v>188.88888888888889</v>
      </c>
      <c r="V40" s="129" t="s">
        <v>642</v>
      </c>
      <c r="W40" s="129" t="s">
        <v>38</v>
      </c>
      <c r="X40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40" s="75">
        <f>Inventory_List_Table3[[#This Row],[Per piece MXN$]]/X40*10000</f>
        <v>3400.0000000000005</v>
      </c>
    </row>
    <row r="41" spans="1:25" ht="21" x14ac:dyDescent="0.25">
      <c r="A41" s="122" t="s">
        <v>197</v>
      </c>
      <c r="B41" s="123"/>
      <c r="C41" s="933" t="s">
        <v>37</v>
      </c>
      <c r="D41" s="958" t="s">
        <v>1047</v>
      </c>
      <c r="E41" s="125">
        <v>1</v>
      </c>
      <c r="F41" s="126">
        <v>19</v>
      </c>
      <c r="G41" s="127">
        <v>110</v>
      </c>
      <c r="H41" s="127">
        <v>60</v>
      </c>
      <c r="I41" s="127">
        <v>10</v>
      </c>
      <c r="J41" s="937">
        <v>3400</v>
      </c>
      <c r="K41" s="7">
        <f>Inventory_List_Table3[[#This Row],[Q]]*Inventory_List_Table3[[#This Row],[Per piece MXN$]]</f>
        <v>3400</v>
      </c>
      <c r="L41" s="128">
        <f>Inventory_List_Table3[[#This Row],[KG]]*2.20462</f>
        <v>41.887779999999999</v>
      </c>
      <c r="M41" s="8">
        <f>Inventory_List_Table3[[#This Row],[H CM]]/2.54</f>
        <v>43.30708661417323</v>
      </c>
      <c r="N41" s="8">
        <f>Inventory_List_Table3[[#This Row],[W CM]]/2.54</f>
        <v>23.622047244094489</v>
      </c>
      <c r="O41" s="130">
        <f>Inventory_List_Table3[[#This Row],[D CM ]]/2.54</f>
        <v>3.9370078740157481</v>
      </c>
      <c r="P41" s="9">
        <f>Inventory_List_Table3[[#This Row],[Per piece MXN$]]/$U$2</f>
        <v>188.88888888888889</v>
      </c>
      <c r="Q41" s="9">
        <f t="shared" si="4"/>
        <v>189</v>
      </c>
      <c r="R41" s="9">
        <f>Inventory_List_Table3[[#This Row],[AQ ROUND]]*1.4</f>
        <v>264.59999999999997</v>
      </c>
      <c r="S41" s="9">
        <f t="shared" si="5"/>
        <v>265</v>
      </c>
      <c r="T41" s="9">
        <f>Inventory_List_Table3[[#This Row],[LND ROUND]]*12</f>
        <v>3180</v>
      </c>
      <c r="U41" s="9">
        <f>Inventory_List_Table3[[#This Row],[AQ]]*Inventory_List_Table3[[#This Row],[Q]]</f>
        <v>188.88888888888889</v>
      </c>
      <c r="V41" s="129" t="s">
        <v>642</v>
      </c>
      <c r="W41" s="129" t="s">
        <v>38</v>
      </c>
      <c r="X41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41" s="75">
        <f>Inventory_List_Table3[[#This Row],[Per piece MXN$]]/X41*10000</f>
        <v>3400.0000000000005</v>
      </c>
    </row>
    <row r="42" spans="1:25" ht="21" x14ac:dyDescent="0.25">
      <c r="A42" s="122" t="s">
        <v>198</v>
      </c>
      <c r="B42" s="123"/>
      <c r="C42" s="933" t="s">
        <v>37</v>
      </c>
      <c r="D42" s="958" t="s">
        <v>1048</v>
      </c>
      <c r="E42" s="125">
        <v>1</v>
      </c>
      <c r="F42" s="126">
        <v>19</v>
      </c>
      <c r="G42" s="127">
        <v>110</v>
      </c>
      <c r="H42" s="127">
        <v>60</v>
      </c>
      <c r="I42" s="127">
        <v>10</v>
      </c>
      <c r="J42" s="937">
        <v>3400</v>
      </c>
      <c r="K42" s="7">
        <f>Inventory_List_Table3[[#This Row],[Q]]*Inventory_List_Table3[[#This Row],[Per piece MXN$]]</f>
        <v>3400</v>
      </c>
      <c r="L42" s="128">
        <f>Inventory_List_Table3[[#This Row],[KG]]*2.20462</f>
        <v>41.887779999999999</v>
      </c>
      <c r="M42" s="8">
        <f>Inventory_List_Table3[[#This Row],[H CM]]/2.54</f>
        <v>43.30708661417323</v>
      </c>
      <c r="N42" s="8">
        <f>Inventory_List_Table3[[#This Row],[W CM]]/2.54</f>
        <v>23.622047244094489</v>
      </c>
      <c r="O42" s="130">
        <f>Inventory_List_Table3[[#This Row],[D CM ]]/2.54</f>
        <v>3.9370078740157481</v>
      </c>
      <c r="P42" s="9">
        <f>Inventory_List_Table3[[#This Row],[Per piece MXN$]]/$U$2</f>
        <v>188.88888888888889</v>
      </c>
      <c r="Q42" s="9">
        <f t="shared" si="4"/>
        <v>189</v>
      </c>
      <c r="R42" s="9">
        <f>Inventory_List_Table3[[#This Row],[AQ ROUND]]*1.4</f>
        <v>264.59999999999997</v>
      </c>
      <c r="S42" s="9">
        <f t="shared" si="5"/>
        <v>265</v>
      </c>
      <c r="T42" s="9">
        <f>Inventory_List_Table3[[#This Row],[LND ROUND]]*12</f>
        <v>3180</v>
      </c>
      <c r="U42" s="9">
        <f>Inventory_List_Table3[[#This Row],[AQ]]*Inventory_List_Table3[[#This Row],[Q]]</f>
        <v>188.88888888888889</v>
      </c>
      <c r="V42" s="129" t="s">
        <v>642</v>
      </c>
      <c r="W42" s="129" t="s">
        <v>38</v>
      </c>
      <c r="X42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42" s="75">
        <f>Inventory_List_Table3[[#This Row],[Per piece MXN$]]/X42*10000</f>
        <v>3400.0000000000005</v>
      </c>
    </row>
    <row r="43" spans="1:25" ht="21" x14ac:dyDescent="0.25">
      <c r="A43" s="122" t="s">
        <v>199</v>
      </c>
      <c r="B43" s="123"/>
      <c r="C43" s="933" t="s">
        <v>37</v>
      </c>
      <c r="D43" s="958" t="s">
        <v>1049</v>
      </c>
      <c r="E43" s="125">
        <v>1</v>
      </c>
      <c r="F43" s="126">
        <v>19</v>
      </c>
      <c r="G43" s="127">
        <v>110</v>
      </c>
      <c r="H43" s="127">
        <v>60</v>
      </c>
      <c r="I43" s="127">
        <v>10</v>
      </c>
      <c r="J43" s="937">
        <v>3400</v>
      </c>
      <c r="K43" s="7">
        <f>Inventory_List_Table3[[#This Row],[Q]]*Inventory_List_Table3[[#This Row],[Per piece MXN$]]</f>
        <v>3400</v>
      </c>
      <c r="L43" s="128">
        <f>Inventory_List_Table3[[#This Row],[KG]]*2.20462</f>
        <v>41.887779999999999</v>
      </c>
      <c r="M43" s="8">
        <f>Inventory_List_Table3[[#This Row],[H CM]]/2.54</f>
        <v>43.30708661417323</v>
      </c>
      <c r="N43" s="8">
        <f>Inventory_List_Table3[[#This Row],[W CM]]/2.54</f>
        <v>23.622047244094489</v>
      </c>
      <c r="O43" s="130">
        <f>Inventory_List_Table3[[#This Row],[D CM ]]/2.54</f>
        <v>3.9370078740157481</v>
      </c>
      <c r="P43" s="9">
        <f>Inventory_List_Table3[[#This Row],[Per piece MXN$]]/$U$2</f>
        <v>188.88888888888889</v>
      </c>
      <c r="Q43" s="9">
        <f t="shared" si="4"/>
        <v>189</v>
      </c>
      <c r="R43" s="9">
        <f>Inventory_List_Table3[[#This Row],[AQ ROUND]]*1.4</f>
        <v>264.59999999999997</v>
      </c>
      <c r="S43" s="9">
        <f t="shared" si="5"/>
        <v>265</v>
      </c>
      <c r="T43" s="9">
        <f>Inventory_List_Table3[[#This Row],[LND ROUND]]*12</f>
        <v>3180</v>
      </c>
      <c r="U43" s="9">
        <f>Inventory_List_Table3[[#This Row],[AQ]]*Inventory_List_Table3[[#This Row],[Q]]</f>
        <v>188.88888888888889</v>
      </c>
      <c r="V43" s="129" t="s">
        <v>642</v>
      </c>
      <c r="W43" s="129" t="s">
        <v>38</v>
      </c>
      <c r="X43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43" s="75">
        <f>Inventory_List_Table3[[#This Row],[Per piece MXN$]]/X43*10000</f>
        <v>3400.0000000000005</v>
      </c>
    </row>
    <row r="44" spans="1:25" ht="21" x14ac:dyDescent="0.25">
      <c r="A44" s="122" t="s">
        <v>200</v>
      </c>
      <c r="B44" s="123"/>
      <c r="C44" s="933" t="s">
        <v>39</v>
      </c>
      <c r="D44" s="958" t="s">
        <v>1050</v>
      </c>
      <c r="E44" s="125">
        <v>25</v>
      </c>
      <c r="F44" s="126">
        <v>6.8</v>
      </c>
      <c r="G44" s="127">
        <v>45</v>
      </c>
      <c r="H44" s="127">
        <v>15</v>
      </c>
      <c r="I44" s="127">
        <v>15</v>
      </c>
      <c r="J44" s="937">
        <v>750</v>
      </c>
      <c r="K44" s="7">
        <f>Inventory_List_Table3[[#This Row],[Q]]*Inventory_List_Table3[[#This Row],[Per piece MXN$]]</f>
        <v>18750</v>
      </c>
      <c r="L44" s="128">
        <f>Inventory_List_Table3[[#This Row],[KG]]*2.20462</f>
        <v>14.991415999999997</v>
      </c>
      <c r="M44" s="8">
        <f>Inventory_List_Table3[[#This Row],[H CM]]/2.54</f>
        <v>17.716535433070867</v>
      </c>
      <c r="N44" s="8">
        <f>Inventory_List_Table3[[#This Row],[W CM]]/2.54</f>
        <v>5.9055118110236222</v>
      </c>
      <c r="O44" s="130">
        <f>Inventory_List_Table3[[#This Row],[D CM ]]/2.54</f>
        <v>5.9055118110236222</v>
      </c>
      <c r="P44" s="9">
        <f>Inventory_List_Table3[[#This Row],[Per piece MXN$]]/$U$2</f>
        <v>41.666666666666664</v>
      </c>
      <c r="Q44" s="9">
        <f t="shared" si="4"/>
        <v>42</v>
      </c>
      <c r="R44" s="9">
        <f>Inventory_List_Table3[[#This Row],[AQ ROUND]]*1.4</f>
        <v>58.8</v>
      </c>
      <c r="S44" s="9">
        <f t="shared" si="5"/>
        <v>59</v>
      </c>
      <c r="T44" s="9">
        <f>Inventory_List_Table3[[#This Row],[LND ROUND]]*12</f>
        <v>708</v>
      </c>
      <c r="U44" s="9">
        <f>Inventory_List_Table3[[#This Row],[AQ]]*Inventory_List_Table3[[#This Row],[Q]]</f>
        <v>1041.6666666666665</v>
      </c>
      <c r="V44" s="129" t="s">
        <v>686</v>
      </c>
      <c r="W44" s="129" t="s">
        <v>685</v>
      </c>
      <c r="X44" s="45">
        <f>Inventory_List_Table3[[#This Row],[H CM]]*Inventory_List_Table3[[#This Row],[W CM]]*4+Inventory_List_Table3[[#This Row],[D CM ]]*Inventory_List_Table3[[#This Row],[D CM ]]</f>
        <v>2925</v>
      </c>
      <c r="Y44" s="75">
        <f>Inventory_List_Table3[[#This Row],[Per piece MXN$]]/X44*10000</f>
        <v>2564.102564102564</v>
      </c>
    </row>
    <row r="45" spans="1:25" ht="21" x14ac:dyDescent="0.25">
      <c r="A45" s="122" t="s">
        <v>201</v>
      </c>
      <c r="B45" s="123"/>
      <c r="C45" s="933" t="s">
        <v>39</v>
      </c>
      <c r="D45" s="958" t="s">
        <v>1051</v>
      </c>
      <c r="E45" s="125">
        <v>9</v>
      </c>
      <c r="F45" s="126">
        <v>5.2</v>
      </c>
      <c r="G45" s="127">
        <v>40</v>
      </c>
      <c r="H45" s="127">
        <v>15</v>
      </c>
      <c r="I45" s="127">
        <v>15</v>
      </c>
      <c r="J45" s="937">
        <v>648</v>
      </c>
      <c r="K45" s="7">
        <f>Inventory_List_Table3[[#This Row],[Q]]*Inventory_List_Table3[[#This Row],[Per piece MXN$]]</f>
        <v>5832</v>
      </c>
      <c r="L45" s="128">
        <f>Inventory_List_Table3[[#This Row],[KG]]*2.20462</f>
        <v>11.464024</v>
      </c>
      <c r="M45" s="8">
        <f>Inventory_List_Table3[[#This Row],[H CM]]/2.54</f>
        <v>15.748031496062993</v>
      </c>
      <c r="N45" s="8">
        <f>Inventory_List_Table3[[#This Row],[W CM]]/2.54</f>
        <v>5.9055118110236222</v>
      </c>
      <c r="O45" s="130">
        <f>Inventory_List_Table3[[#This Row],[D CM ]]/2.54</f>
        <v>5.9055118110236222</v>
      </c>
      <c r="P45" s="9">
        <f>Inventory_List_Table3[[#This Row],[Per piece MXN$]]/$U$2</f>
        <v>36</v>
      </c>
      <c r="Q45" s="9">
        <f t="shared" si="4"/>
        <v>36</v>
      </c>
      <c r="R45" s="9">
        <f>Inventory_List_Table3[[#This Row],[AQ ROUND]]*1.4</f>
        <v>50.4</v>
      </c>
      <c r="S45" s="9">
        <f t="shared" si="5"/>
        <v>50</v>
      </c>
      <c r="T45" s="9">
        <f>Inventory_List_Table3[[#This Row],[LND ROUND]]*12</f>
        <v>600</v>
      </c>
      <c r="U45" s="9">
        <f>Inventory_List_Table3[[#This Row],[AQ]]*Inventory_List_Table3[[#This Row],[Q]]</f>
        <v>324</v>
      </c>
      <c r="V45" s="129" t="s">
        <v>716</v>
      </c>
      <c r="W45" s="129" t="s">
        <v>738</v>
      </c>
      <c r="X45" s="45">
        <f>Inventory_List_Table3[[#This Row],[H CM]]*Inventory_List_Table3[[#This Row],[W CM]]*4+Inventory_List_Table3[[#This Row],[D CM ]]*Inventory_List_Table3[[#This Row],[D CM ]]</f>
        <v>2625</v>
      </c>
      <c r="Y45" s="75">
        <f>Inventory_List_Table3[[#This Row],[Per piece MXN$]]/X45*10000</f>
        <v>2468.5714285714284</v>
      </c>
    </row>
    <row r="46" spans="1:25" ht="21" x14ac:dyDescent="0.25">
      <c r="A46" s="122" t="s">
        <v>202</v>
      </c>
      <c r="B46" s="123"/>
      <c r="C46" s="933" t="s">
        <v>39</v>
      </c>
      <c r="D46" s="958" t="s">
        <v>1052</v>
      </c>
      <c r="E46" s="125">
        <v>2</v>
      </c>
      <c r="F46" s="126">
        <v>5</v>
      </c>
      <c r="G46" s="127">
        <v>35</v>
      </c>
      <c r="H46" s="127">
        <v>15</v>
      </c>
      <c r="I46" s="127">
        <v>15</v>
      </c>
      <c r="J46" s="937">
        <v>567</v>
      </c>
      <c r="K46" s="7">
        <f>Inventory_List_Table3[[#This Row],[Q]]*Inventory_List_Table3[[#This Row],[Per piece MXN$]]</f>
        <v>1134</v>
      </c>
      <c r="L46" s="128">
        <f>Inventory_List_Table3[[#This Row],[KG]]*2.20462</f>
        <v>11.023099999999999</v>
      </c>
      <c r="M46" s="8">
        <f>Inventory_List_Table3[[#This Row],[H CM]]/2.54</f>
        <v>13.779527559055119</v>
      </c>
      <c r="N46" s="8">
        <f>Inventory_List_Table3[[#This Row],[W CM]]/2.54</f>
        <v>5.9055118110236222</v>
      </c>
      <c r="O46" s="130">
        <f>Inventory_List_Table3[[#This Row],[D CM ]]/2.54</f>
        <v>5.9055118110236222</v>
      </c>
      <c r="P46" s="9">
        <f>Inventory_List_Table3[[#This Row],[Per piece MXN$]]/$U$2</f>
        <v>31.5</v>
      </c>
      <c r="Q46" s="9">
        <f t="shared" si="4"/>
        <v>32</v>
      </c>
      <c r="R46" s="9">
        <f>Inventory_List_Table3[[#This Row],[AQ ROUND]]*1.4</f>
        <v>44.8</v>
      </c>
      <c r="S46" s="9">
        <f t="shared" si="5"/>
        <v>45</v>
      </c>
      <c r="T46" s="9">
        <f>Inventory_List_Table3[[#This Row],[LND ROUND]]*12</f>
        <v>540</v>
      </c>
      <c r="U46" s="9">
        <f>Inventory_List_Table3[[#This Row],[AQ]]*Inventory_List_Table3[[#This Row],[Q]]</f>
        <v>63</v>
      </c>
      <c r="V46" s="129" t="s">
        <v>688</v>
      </c>
      <c r="W46" s="129" t="s">
        <v>855</v>
      </c>
      <c r="X46" s="45">
        <f>Inventory_List_Table3[[#This Row],[H CM]]*Inventory_List_Table3[[#This Row],[W CM]]*4+Inventory_List_Table3[[#This Row],[D CM ]]*Inventory_List_Table3[[#This Row],[D CM ]]</f>
        <v>2325</v>
      </c>
      <c r="Y46" s="75">
        <f>Inventory_List_Table3[[#This Row],[Per piece MXN$]]/X46*10000</f>
        <v>2438.7096774193546</v>
      </c>
    </row>
    <row r="47" spans="1:25" ht="21" x14ac:dyDescent="0.25">
      <c r="A47" s="122" t="s">
        <v>203</v>
      </c>
      <c r="B47" s="123"/>
      <c r="C47" s="933" t="s">
        <v>40</v>
      </c>
      <c r="D47" s="958" t="s">
        <v>1053</v>
      </c>
      <c r="E47" s="125">
        <v>16</v>
      </c>
      <c r="F47" s="126">
        <v>3.2</v>
      </c>
      <c r="G47" s="127">
        <v>35</v>
      </c>
      <c r="H47" s="127">
        <v>12</v>
      </c>
      <c r="I47" s="127">
        <v>12</v>
      </c>
      <c r="J47" s="937">
        <v>440</v>
      </c>
      <c r="K47" s="7">
        <f>Inventory_List_Table3[[#This Row],[Q]]*Inventory_List_Table3[[#This Row],[Per piece MXN$]]</f>
        <v>7040</v>
      </c>
      <c r="L47" s="128">
        <f>Inventory_List_Table3[[#This Row],[KG]]*2.20462</f>
        <v>7.0547839999999997</v>
      </c>
      <c r="M47" s="8">
        <f>Inventory_List_Table3[[#This Row],[H CM]]/2.54</f>
        <v>13.779527559055119</v>
      </c>
      <c r="N47" s="8">
        <f>Inventory_List_Table3[[#This Row],[W CM]]/2.54</f>
        <v>4.7244094488188972</v>
      </c>
      <c r="O47" s="130">
        <f>Inventory_List_Table3[[#This Row],[D CM ]]/2.54</f>
        <v>4.7244094488188972</v>
      </c>
      <c r="P47" s="9">
        <f>Inventory_List_Table3[[#This Row],[Per piece MXN$]]/$U$2</f>
        <v>24.444444444444443</v>
      </c>
      <c r="Q47" s="9">
        <f t="shared" si="4"/>
        <v>25</v>
      </c>
      <c r="R47" s="9">
        <f>Inventory_List_Table3[[#This Row],[AQ ROUND]]*1.4</f>
        <v>35</v>
      </c>
      <c r="S47" s="9">
        <f t="shared" si="5"/>
        <v>35</v>
      </c>
      <c r="T47" s="9">
        <f>Inventory_List_Table3[[#This Row],[LND ROUND]]*12</f>
        <v>420</v>
      </c>
      <c r="U47" s="9">
        <f>Inventory_List_Table3[[#This Row],[AQ]]*Inventory_List_Table3[[#This Row],[Q]]</f>
        <v>391.11111111111109</v>
      </c>
      <c r="V47" s="129" t="s">
        <v>763</v>
      </c>
      <c r="W47" s="129" t="s">
        <v>779</v>
      </c>
      <c r="X47" s="45">
        <f>Inventory_List_Table3[[#This Row],[H CM]]*Inventory_List_Table3[[#This Row],[W CM]]*4+Inventory_List_Table3[[#This Row],[D CM ]]*Inventory_List_Table3[[#This Row],[D CM ]]</f>
        <v>1824</v>
      </c>
      <c r="Y47" s="75">
        <f>Inventory_List_Table3[[#This Row],[Per piece MXN$]]/X47*10000</f>
        <v>2412.280701754386</v>
      </c>
    </row>
    <row r="48" spans="1:25" ht="21" x14ac:dyDescent="0.25">
      <c r="A48" s="122" t="s">
        <v>204</v>
      </c>
      <c r="B48" s="123"/>
      <c r="C48" s="933" t="s">
        <v>40</v>
      </c>
      <c r="D48" s="958" t="s">
        <v>1054</v>
      </c>
      <c r="E48" s="125">
        <v>21</v>
      </c>
      <c r="F48" s="126">
        <v>2.8</v>
      </c>
      <c r="G48" s="127">
        <v>30</v>
      </c>
      <c r="H48" s="127">
        <v>12</v>
      </c>
      <c r="I48" s="127">
        <v>12</v>
      </c>
      <c r="J48" s="937">
        <v>380</v>
      </c>
      <c r="K48" s="7">
        <f>Inventory_List_Table3[[#This Row],[Q]]*Inventory_List_Table3[[#This Row],[Per piece MXN$]]</f>
        <v>7980</v>
      </c>
      <c r="L48" s="128">
        <f>Inventory_List_Table3[[#This Row],[KG]]*2.20462</f>
        <v>6.1729359999999991</v>
      </c>
      <c r="M48" s="8">
        <f>Inventory_List_Table3[[#This Row],[H CM]]/2.54</f>
        <v>11.811023622047244</v>
      </c>
      <c r="N48" s="8">
        <f>Inventory_List_Table3[[#This Row],[W CM]]/2.54</f>
        <v>4.7244094488188972</v>
      </c>
      <c r="O48" s="130">
        <f>Inventory_List_Table3[[#This Row],[D CM ]]/2.54</f>
        <v>4.7244094488188972</v>
      </c>
      <c r="P48" s="9">
        <f>Inventory_List_Table3[[#This Row],[Per piece MXN$]]/$U$2</f>
        <v>21.111111111111111</v>
      </c>
      <c r="Q48" s="9">
        <f t="shared" si="4"/>
        <v>21</v>
      </c>
      <c r="R48" s="9">
        <f>Inventory_List_Table3[[#This Row],[AQ ROUND]]*1.4</f>
        <v>29.4</v>
      </c>
      <c r="S48" s="9">
        <f t="shared" si="5"/>
        <v>29</v>
      </c>
      <c r="T48" s="9">
        <f>Inventory_List_Table3[[#This Row],[LND ROUND]]*12</f>
        <v>348</v>
      </c>
      <c r="U48" s="9">
        <f>Inventory_List_Table3[[#This Row],[AQ]]*Inventory_List_Table3[[#This Row],[Q]]</f>
        <v>443.33333333333331</v>
      </c>
      <c r="V48" s="129" t="s">
        <v>759</v>
      </c>
      <c r="W48" s="129" t="s">
        <v>827</v>
      </c>
      <c r="X48" s="45">
        <f>Inventory_List_Table3[[#This Row],[H CM]]*Inventory_List_Table3[[#This Row],[W CM]]*4+Inventory_List_Table3[[#This Row],[D CM ]]*Inventory_List_Table3[[#This Row],[D CM ]]</f>
        <v>1584</v>
      </c>
      <c r="Y48" s="75">
        <f>Inventory_List_Table3[[#This Row],[Per piece MXN$]]/X48*10000</f>
        <v>2398.9898989898988</v>
      </c>
    </row>
    <row r="49" spans="1:25" ht="21" x14ac:dyDescent="0.25">
      <c r="A49" s="122" t="s">
        <v>205</v>
      </c>
      <c r="B49" s="123"/>
      <c r="C49" s="933" t="s">
        <v>41</v>
      </c>
      <c r="D49" s="958" t="s">
        <v>1055</v>
      </c>
      <c r="E49" s="125">
        <v>19</v>
      </c>
      <c r="F49" s="126">
        <v>4</v>
      </c>
      <c r="G49" s="127">
        <v>40</v>
      </c>
      <c r="H49" s="127">
        <v>12</v>
      </c>
      <c r="I49" s="127">
        <v>12</v>
      </c>
      <c r="J49" s="937">
        <v>500</v>
      </c>
      <c r="K49" s="7">
        <f>Inventory_List_Table3[[#This Row],[Q]]*Inventory_List_Table3[[#This Row],[Per piece MXN$]]</f>
        <v>9500</v>
      </c>
      <c r="L49" s="128">
        <f>Inventory_List_Table3[[#This Row],[KG]]*2.20462</f>
        <v>8.8184799999999992</v>
      </c>
      <c r="M49" s="8">
        <f>Inventory_List_Table3[[#This Row],[H CM]]/2.54</f>
        <v>15.748031496062993</v>
      </c>
      <c r="N49" s="8">
        <f>Inventory_List_Table3[[#This Row],[W CM]]/2.54</f>
        <v>4.7244094488188972</v>
      </c>
      <c r="O49" s="130">
        <f>Inventory_List_Table3[[#This Row],[D CM ]]/2.54</f>
        <v>4.7244094488188972</v>
      </c>
      <c r="P49" s="9">
        <f>Inventory_List_Table3[[#This Row],[Per piece MXN$]]/$U$2</f>
        <v>27.777777777777779</v>
      </c>
      <c r="Q49" s="9">
        <f t="shared" si="4"/>
        <v>28</v>
      </c>
      <c r="R49" s="9">
        <f>Inventory_List_Table3[[#This Row],[AQ ROUND]]*1.4</f>
        <v>39.199999999999996</v>
      </c>
      <c r="S49" s="9">
        <f t="shared" si="5"/>
        <v>39</v>
      </c>
      <c r="T49" s="9">
        <f>Inventory_List_Table3[[#This Row],[LND ROUND]]*12</f>
        <v>468</v>
      </c>
      <c r="U49" s="9">
        <f>Inventory_List_Table3[[#This Row],[AQ]]*Inventory_List_Table3[[#This Row],[Q]]</f>
        <v>527.77777777777783</v>
      </c>
      <c r="V49" s="129" t="s">
        <v>713</v>
      </c>
      <c r="W49" s="129" t="s">
        <v>712</v>
      </c>
      <c r="X49" s="45">
        <f>Inventory_List_Table3[[#This Row],[H CM]]*Inventory_List_Table3[[#This Row],[W CM]]*4+Inventory_List_Table3[[#This Row],[D CM ]]*Inventory_List_Table3[[#This Row],[D CM ]]</f>
        <v>2064</v>
      </c>
      <c r="Y49" s="75">
        <f>Inventory_List_Table3[[#This Row],[Per piece MXN$]]/X49*10000</f>
        <v>2422.4806201550387</v>
      </c>
    </row>
    <row r="50" spans="1:25" ht="21" x14ac:dyDescent="0.25">
      <c r="A50" s="122" t="s">
        <v>206</v>
      </c>
      <c r="B50" s="123"/>
      <c r="C50" s="933" t="s">
        <v>40</v>
      </c>
      <c r="D50" s="958" t="s">
        <v>1056</v>
      </c>
      <c r="E50" s="125">
        <v>7</v>
      </c>
      <c r="F50" s="126">
        <v>3.4</v>
      </c>
      <c r="G50" s="127">
        <v>40</v>
      </c>
      <c r="H50" s="127">
        <v>10</v>
      </c>
      <c r="I50" s="127">
        <v>10</v>
      </c>
      <c r="J50" s="937">
        <v>430</v>
      </c>
      <c r="K50" s="7">
        <f>Inventory_List_Table3[[#This Row],[Q]]*Inventory_List_Table3[[#This Row],[Per piece MXN$]]</f>
        <v>3010</v>
      </c>
      <c r="L50" s="128">
        <f>Inventory_List_Table3[[#This Row],[KG]]*2.20462</f>
        <v>7.4957079999999987</v>
      </c>
      <c r="M50" s="8">
        <f>Inventory_List_Table3[[#This Row],[H CM]]/2.54</f>
        <v>15.748031496062993</v>
      </c>
      <c r="N50" s="8">
        <f>Inventory_List_Table3[[#This Row],[W CM]]/2.54</f>
        <v>3.9370078740157481</v>
      </c>
      <c r="O50" s="130">
        <f>Inventory_List_Table3[[#This Row],[D CM ]]/2.54</f>
        <v>3.9370078740157481</v>
      </c>
      <c r="P50" s="9">
        <f>Inventory_List_Table3[[#This Row],[Per piece MXN$]]/$U$2</f>
        <v>23.888888888888889</v>
      </c>
      <c r="Q50" s="9">
        <f t="shared" si="4"/>
        <v>24</v>
      </c>
      <c r="R50" s="9">
        <f>Inventory_List_Table3[[#This Row],[AQ ROUND]]*1.4</f>
        <v>33.599999999999994</v>
      </c>
      <c r="S50" s="9">
        <f t="shared" si="5"/>
        <v>34</v>
      </c>
      <c r="T50" s="9">
        <f>Inventory_List_Table3[[#This Row],[LND ROUND]]*12</f>
        <v>408</v>
      </c>
      <c r="U50" s="9">
        <f>Inventory_List_Table3[[#This Row],[AQ]]*Inventory_List_Table3[[#This Row],[Q]]</f>
        <v>167.22222222222223</v>
      </c>
      <c r="V50" s="129" t="s">
        <v>692</v>
      </c>
      <c r="W50" s="129" t="s">
        <v>691</v>
      </c>
      <c r="X50" s="45">
        <f>Inventory_List_Table3[[#This Row],[H CM]]*Inventory_List_Table3[[#This Row],[W CM]]*4+Inventory_List_Table3[[#This Row],[D CM ]]*Inventory_List_Table3[[#This Row],[D CM ]]</f>
        <v>1700</v>
      </c>
      <c r="Y50" s="75">
        <f>Inventory_List_Table3[[#This Row],[Per piece MXN$]]/X50*10000</f>
        <v>2529.4117647058824</v>
      </c>
    </row>
    <row r="51" spans="1:25" ht="21" x14ac:dyDescent="0.25">
      <c r="A51" s="122" t="s">
        <v>207</v>
      </c>
      <c r="B51" s="123"/>
      <c r="C51" s="933" t="s">
        <v>42</v>
      </c>
      <c r="D51" s="958" t="s">
        <v>1057</v>
      </c>
      <c r="E51" s="125">
        <v>11</v>
      </c>
      <c r="F51" s="126">
        <v>3.4</v>
      </c>
      <c r="G51" s="127">
        <v>40</v>
      </c>
      <c r="H51" s="127">
        <v>10</v>
      </c>
      <c r="I51" s="127">
        <v>10</v>
      </c>
      <c r="J51" s="937">
        <v>430</v>
      </c>
      <c r="K51" s="7">
        <f>Inventory_List_Table3[[#This Row],[Q]]*Inventory_List_Table3[[#This Row],[Per piece MXN$]]</f>
        <v>4730</v>
      </c>
      <c r="L51" s="128">
        <f>Inventory_List_Table3[[#This Row],[KG]]*2.20462</f>
        <v>7.4957079999999987</v>
      </c>
      <c r="M51" s="8">
        <f>Inventory_List_Table3[[#This Row],[H CM]]/2.54</f>
        <v>15.748031496062993</v>
      </c>
      <c r="N51" s="8">
        <f>Inventory_List_Table3[[#This Row],[W CM]]/2.54</f>
        <v>3.9370078740157481</v>
      </c>
      <c r="O51" s="130">
        <f>Inventory_List_Table3[[#This Row],[D CM ]]/2.54</f>
        <v>3.9370078740157481</v>
      </c>
      <c r="P51" s="9">
        <f>Inventory_List_Table3[[#This Row],[Per piece MXN$]]/$U$2</f>
        <v>23.888888888888889</v>
      </c>
      <c r="Q51" s="9">
        <f t="shared" si="4"/>
        <v>24</v>
      </c>
      <c r="R51" s="9">
        <f>Inventory_List_Table3[[#This Row],[AQ ROUND]]*1.4</f>
        <v>33.599999999999994</v>
      </c>
      <c r="S51" s="9">
        <f t="shared" si="5"/>
        <v>34</v>
      </c>
      <c r="T51" s="9">
        <f>Inventory_List_Table3[[#This Row],[LND ROUND]]*12</f>
        <v>408</v>
      </c>
      <c r="U51" s="9">
        <f>Inventory_List_Table3[[#This Row],[AQ]]*Inventory_List_Table3[[#This Row],[Q]]</f>
        <v>262.77777777777777</v>
      </c>
      <c r="V51" s="129" t="s">
        <v>692</v>
      </c>
      <c r="W51" s="129" t="s">
        <v>691</v>
      </c>
      <c r="X51" s="45">
        <f>Inventory_List_Table3[[#This Row],[H CM]]*Inventory_List_Table3[[#This Row],[W CM]]*4+Inventory_List_Table3[[#This Row],[D CM ]]*Inventory_List_Table3[[#This Row],[D CM ]]</f>
        <v>1700</v>
      </c>
      <c r="Y51" s="75">
        <f>Inventory_List_Table3[[#This Row],[Per piece MXN$]]/X51*10000</f>
        <v>2529.4117647058824</v>
      </c>
    </row>
    <row r="52" spans="1:25" ht="21" x14ac:dyDescent="0.25">
      <c r="A52" s="122" t="s">
        <v>208</v>
      </c>
      <c r="B52" s="123"/>
      <c r="C52" s="933" t="s">
        <v>43</v>
      </c>
      <c r="D52" s="958" t="s">
        <v>1058</v>
      </c>
      <c r="E52" s="125">
        <v>4</v>
      </c>
      <c r="F52" s="126">
        <v>3.4</v>
      </c>
      <c r="G52" s="127">
        <v>40</v>
      </c>
      <c r="H52" s="127">
        <v>10</v>
      </c>
      <c r="I52" s="127">
        <v>10</v>
      </c>
      <c r="J52" s="937">
        <v>430</v>
      </c>
      <c r="K52" s="7">
        <f>Inventory_List_Table3[[#This Row],[Q]]*Inventory_List_Table3[[#This Row],[Per piece MXN$]]</f>
        <v>1720</v>
      </c>
      <c r="L52" s="128">
        <f>Inventory_List_Table3[[#This Row],[KG]]*2.20462</f>
        <v>7.4957079999999987</v>
      </c>
      <c r="M52" s="8">
        <f>Inventory_List_Table3[[#This Row],[H CM]]/2.54</f>
        <v>15.748031496062993</v>
      </c>
      <c r="N52" s="8">
        <f>Inventory_List_Table3[[#This Row],[W CM]]/2.54</f>
        <v>3.9370078740157481</v>
      </c>
      <c r="O52" s="130">
        <f>Inventory_List_Table3[[#This Row],[D CM ]]/2.54</f>
        <v>3.9370078740157481</v>
      </c>
      <c r="P52" s="9">
        <f>Inventory_List_Table3[[#This Row],[Per piece MXN$]]/$U$2</f>
        <v>23.888888888888889</v>
      </c>
      <c r="Q52" s="9">
        <f t="shared" si="4"/>
        <v>24</v>
      </c>
      <c r="R52" s="9">
        <f>Inventory_List_Table3[[#This Row],[AQ ROUND]]*1.4</f>
        <v>33.599999999999994</v>
      </c>
      <c r="S52" s="9">
        <f t="shared" si="5"/>
        <v>34</v>
      </c>
      <c r="T52" s="9">
        <f>Inventory_List_Table3[[#This Row],[LND ROUND]]*12</f>
        <v>408</v>
      </c>
      <c r="U52" s="9">
        <f>Inventory_List_Table3[[#This Row],[AQ]]*Inventory_List_Table3[[#This Row],[Q]]</f>
        <v>95.555555555555557</v>
      </c>
      <c r="V52" s="129" t="s">
        <v>692</v>
      </c>
      <c r="W52" s="129" t="s">
        <v>691</v>
      </c>
      <c r="X52" s="45">
        <f>Inventory_List_Table3[[#This Row],[H CM]]*Inventory_List_Table3[[#This Row],[W CM]]*4+Inventory_List_Table3[[#This Row],[D CM ]]*Inventory_List_Table3[[#This Row],[D CM ]]</f>
        <v>1700</v>
      </c>
      <c r="Y52" s="75">
        <f>Inventory_List_Table3[[#This Row],[Per piece MXN$]]/X52*10000</f>
        <v>2529.4117647058824</v>
      </c>
    </row>
    <row r="53" spans="1:25" ht="21" x14ac:dyDescent="0.25">
      <c r="A53" s="122" t="s">
        <v>209</v>
      </c>
      <c r="B53" s="123"/>
      <c r="C53" s="933" t="s">
        <v>41</v>
      </c>
      <c r="D53" s="958" t="s">
        <v>1059</v>
      </c>
      <c r="E53" s="125">
        <v>11</v>
      </c>
      <c r="F53" s="126">
        <v>3.4</v>
      </c>
      <c r="G53" s="127">
        <v>40</v>
      </c>
      <c r="H53" s="127">
        <v>10</v>
      </c>
      <c r="I53" s="127">
        <v>10</v>
      </c>
      <c r="J53" s="937">
        <v>430</v>
      </c>
      <c r="K53" s="7">
        <f>Inventory_List_Table3[[#This Row],[Q]]*Inventory_List_Table3[[#This Row],[Per piece MXN$]]</f>
        <v>4730</v>
      </c>
      <c r="L53" s="128">
        <f>Inventory_List_Table3[[#This Row],[KG]]*2.20462</f>
        <v>7.4957079999999987</v>
      </c>
      <c r="M53" s="8">
        <f>Inventory_List_Table3[[#This Row],[H CM]]/2.54</f>
        <v>15.748031496062993</v>
      </c>
      <c r="N53" s="8">
        <f>Inventory_List_Table3[[#This Row],[W CM]]/2.54</f>
        <v>3.9370078740157481</v>
      </c>
      <c r="O53" s="130">
        <f>Inventory_List_Table3[[#This Row],[D CM ]]/2.54</f>
        <v>3.9370078740157481</v>
      </c>
      <c r="P53" s="9">
        <f>Inventory_List_Table3[[#This Row],[Per piece MXN$]]/$U$2</f>
        <v>23.888888888888889</v>
      </c>
      <c r="Q53" s="9">
        <f t="shared" si="4"/>
        <v>24</v>
      </c>
      <c r="R53" s="9">
        <f>Inventory_List_Table3[[#This Row],[AQ ROUND]]*1.4</f>
        <v>33.599999999999994</v>
      </c>
      <c r="S53" s="9">
        <f t="shared" si="5"/>
        <v>34</v>
      </c>
      <c r="T53" s="9">
        <f>Inventory_List_Table3[[#This Row],[LND ROUND]]*12</f>
        <v>408</v>
      </c>
      <c r="U53" s="9">
        <f>Inventory_List_Table3[[#This Row],[AQ]]*Inventory_List_Table3[[#This Row],[Q]]</f>
        <v>262.77777777777777</v>
      </c>
      <c r="V53" s="129" t="s">
        <v>692</v>
      </c>
      <c r="W53" s="129" t="s">
        <v>691</v>
      </c>
      <c r="X53" s="45">
        <f>Inventory_List_Table3[[#This Row],[H CM]]*Inventory_List_Table3[[#This Row],[W CM]]*4+Inventory_List_Table3[[#This Row],[D CM ]]*Inventory_List_Table3[[#This Row],[D CM ]]</f>
        <v>1700</v>
      </c>
      <c r="Y53" s="75">
        <f>Inventory_List_Table3[[#This Row],[Per piece MXN$]]/X53*10000</f>
        <v>2529.4117647058824</v>
      </c>
    </row>
    <row r="54" spans="1:25" ht="21" x14ac:dyDescent="0.25">
      <c r="A54" s="122" t="s">
        <v>210</v>
      </c>
      <c r="B54" s="123"/>
      <c r="C54" s="933" t="s">
        <v>44</v>
      </c>
      <c r="D54" s="958" t="s">
        <v>1060</v>
      </c>
      <c r="E54" s="125">
        <v>9</v>
      </c>
      <c r="F54" s="126">
        <v>3</v>
      </c>
      <c r="G54" s="127">
        <v>35</v>
      </c>
      <c r="H54" s="127">
        <v>10</v>
      </c>
      <c r="I54" s="127">
        <v>10</v>
      </c>
      <c r="J54" s="937">
        <v>380</v>
      </c>
      <c r="K54" s="7">
        <f>Inventory_List_Table3[[#This Row],[Q]]*Inventory_List_Table3[[#This Row],[Per piece MXN$]]</f>
        <v>3420</v>
      </c>
      <c r="L54" s="128">
        <f>Inventory_List_Table3[[#This Row],[KG]]*2.20462</f>
        <v>6.613859999999999</v>
      </c>
      <c r="M54" s="8">
        <f>Inventory_List_Table3[[#This Row],[H CM]]/2.54</f>
        <v>13.779527559055119</v>
      </c>
      <c r="N54" s="8">
        <f>Inventory_List_Table3[[#This Row],[W CM]]/2.54</f>
        <v>3.9370078740157481</v>
      </c>
      <c r="O54" s="130">
        <f>Inventory_List_Table3[[#This Row],[D CM ]]/2.54</f>
        <v>3.9370078740157481</v>
      </c>
      <c r="P54" s="9">
        <f>Inventory_List_Table3[[#This Row],[Per piece MXN$]]/$U$2</f>
        <v>21.111111111111111</v>
      </c>
      <c r="Q54" s="9">
        <f t="shared" si="4"/>
        <v>21</v>
      </c>
      <c r="R54" s="9">
        <f>Inventory_List_Table3[[#This Row],[AQ ROUND]]*1.4</f>
        <v>29.4</v>
      </c>
      <c r="S54" s="9">
        <f t="shared" si="5"/>
        <v>29</v>
      </c>
      <c r="T54" s="9">
        <f>Inventory_List_Table3[[#This Row],[LND ROUND]]*12</f>
        <v>348</v>
      </c>
      <c r="U54" s="9">
        <f>Inventory_List_Table3[[#This Row],[AQ]]*Inventory_List_Table3[[#This Row],[Q]]</f>
        <v>190</v>
      </c>
      <c r="V54" s="129" t="s">
        <v>759</v>
      </c>
      <c r="W54" s="129" t="s">
        <v>827</v>
      </c>
      <c r="X54" s="45">
        <f>Inventory_List_Table3[[#This Row],[H CM]]*Inventory_List_Table3[[#This Row],[W CM]]*4+Inventory_List_Table3[[#This Row],[D CM ]]*Inventory_List_Table3[[#This Row],[D CM ]]</f>
        <v>1500</v>
      </c>
      <c r="Y54" s="75">
        <f>Inventory_List_Table3[[#This Row],[Per piece MXN$]]/X54*10000</f>
        <v>2533.3333333333335</v>
      </c>
    </row>
    <row r="55" spans="1:25" ht="21" x14ac:dyDescent="0.25">
      <c r="A55" s="122" t="s">
        <v>211</v>
      </c>
      <c r="B55" s="123"/>
      <c r="C55" s="933" t="s">
        <v>41</v>
      </c>
      <c r="D55" s="958" t="s">
        <v>1061</v>
      </c>
      <c r="E55" s="125">
        <v>2</v>
      </c>
      <c r="F55" s="126">
        <v>3</v>
      </c>
      <c r="G55" s="127">
        <v>35</v>
      </c>
      <c r="H55" s="127">
        <v>10</v>
      </c>
      <c r="I55" s="127">
        <v>10</v>
      </c>
      <c r="J55" s="937">
        <v>380</v>
      </c>
      <c r="K55" s="7">
        <f>Inventory_List_Table3[[#This Row],[Q]]*Inventory_List_Table3[[#This Row],[Per piece MXN$]]</f>
        <v>760</v>
      </c>
      <c r="L55" s="128">
        <f>Inventory_List_Table3[[#This Row],[KG]]*2.20462</f>
        <v>6.613859999999999</v>
      </c>
      <c r="M55" s="8">
        <f>Inventory_List_Table3[[#This Row],[H CM]]/2.54</f>
        <v>13.779527559055119</v>
      </c>
      <c r="N55" s="8">
        <f>Inventory_List_Table3[[#This Row],[W CM]]/2.54</f>
        <v>3.9370078740157481</v>
      </c>
      <c r="O55" s="130">
        <f>Inventory_List_Table3[[#This Row],[D CM ]]/2.54</f>
        <v>3.9370078740157481</v>
      </c>
      <c r="P55" s="9">
        <f>Inventory_List_Table3[[#This Row],[Per piece MXN$]]/$U$2</f>
        <v>21.111111111111111</v>
      </c>
      <c r="Q55" s="9">
        <f t="shared" si="4"/>
        <v>21</v>
      </c>
      <c r="R55" s="9">
        <f>Inventory_List_Table3[[#This Row],[AQ ROUND]]*1.4</f>
        <v>29.4</v>
      </c>
      <c r="S55" s="9">
        <f t="shared" si="5"/>
        <v>29</v>
      </c>
      <c r="T55" s="9">
        <f>Inventory_List_Table3[[#This Row],[LND ROUND]]*12</f>
        <v>348</v>
      </c>
      <c r="U55" s="9">
        <f>Inventory_List_Table3[[#This Row],[AQ]]*Inventory_List_Table3[[#This Row],[Q]]</f>
        <v>42.222222222222221</v>
      </c>
      <c r="V55" s="129" t="s">
        <v>759</v>
      </c>
      <c r="W55" s="129" t="s">
        <v>827</v>
      </c>
      <c r="X55" s="45">
        <f>Inventory_List_Table3[[#This Row],[H CM]]*Inventory_List_Table3[[#This Row],[W CM]]*4+Inventory_List_Table3[[#This Row],[D CM ]]*Inventory_List_Table3[[#This Row],[D CM ]]</f>
        <v>1500</v>
      </c>
      <c r="Y55" s="75">
        <f>Inventory_List_Table3[[#This Row],[Per piece MXN$]]/X55*10000</f>
        <v>2533.3333333333335</v>
      </c>
    </row>
    <row r="56" spans="1:25" ht="21" x14ac:dyDescent="0.25">
      <c r="A56" s="122" t="s">
        <v>212</v>
      </c>
      <c r="B56" s="123"/>
      <c r="C56" s="933" t="s">
        <v>45</v>
      </c>
      <c r="D56" s="958" t="s">
        <v>1062</v>
      </c>
      <c r="E56" s="125">
        <v>2</v>
      </c>
      <c r="F56" s="126">
        <v>3</v>
      </c>
      <c r="G56" s="127">
        <v>35</v>
      </c>
      <c r="H56" s="127">
        <v>10</v>
      </c>
      <c r="I56" s="127">
        <v>10</v>
      </c>
      <c r="J56" s="937">
        <v>380</v>
      </c>
      <c r="K56" s="7">
        <f>Inventory_List_Table3[[#This Row],[Q]]*Inventory_List_Table3[[#This Row],[Per piece MXN$]]</f>
        <v>760</v>
      </c>
      <c r="L56" s="128">
        <f>Inventory_List_Table3[[#This Row],[KG]]*2.20462</f>
        <v>6.613859999999999</v>
      </c>
      <c r="M56" s="8">
        <f>Inventory_List_Table3[[#This Row],[H CM]]/2.54</f>
        <v>13.779527559055119</v>
      </c>
      <c r="N56" s="8">
        <f>Inventory_List_Table3[[#This Row],[W CM]]/2.54</f>
        <v>3.9370078740157481</v>
      </c>
      <c r="O56" s="130">
        <f>Inventory_List_Table3[[#This Row],[D CM ]]/2.54</f>
        <v>3.9370078740157481</v>
      </c>
      <c r="P56" s="9">
        <f>Inventory_List_Table3[[#This Row],[Per piece MXN$]]/$U$2</f>
        <v>21.111111111111111</v>
      </c>
      <c r="Q56" s="9">
        <f t="shared" si="4"/>
        <v>21</v>
      </c>
      <c r="R56" s="9">
        <f>Inventory_List_Table3[[#This Row],[AQ ROUND]]*1.4</f>
        <v>29.4</v>
      </c>
      <c r="S56" s="9">
        <f t="shared" si="5"/>
        <v>29</v>
      </c>
      <c r="T56" s="9">
        <f>Inventory_List_Table3[[#This Row],[LND ROUND]]*12</f>
        <v>348</v>
      </c>
      <c r="U56" s="9">
        <f>Inventory_List_Table3[[#This Row],[AQ]]*Inventory_List_Table3[[#This Row],[Q]]</f>
        <v>42.222222222222221</v>
      </c>
      <c r="V56" s="129" t="s">
        <v>759</v>
      </c>
      <c r="W56" s="129" t="s">
        <v>827</v>
      </c>
      <c r="X56" s="45">
        <f>Inventory_List_Table3[[#This Row],[H CM]]*Inventory_List_Table3[[#This Row],[W CM]]*4+Inventory_List_Table3[[#This Row],[D CM ]]*Inventory_List_Table3[[#This Row],[D CM ]]</f>
        <v>1500</v>
      </c>
      <c r="Y56" s="75">
        <f>Inventory_List_Table3[[#This Row],[Per piece MXN$]]/X56*10000</f>
        <v>2533.3333333333335</v>
      </c>
    </row>
    <row r="57" spans="1:25" ht="21" x14ac:dyDescent="0.25">
      <c r="A57" s="122" t="s">
        <v>213</v>
      </c>
      <c r="B57" s="123"/>
      <c r="C57" s="933" t="s">
        <v>46</v>
      </c>
      <c r="D57" s="958" t="s">
        <v>1063</v>
      </c>
      <c r="E57" s="125">
        <v>4</v>
      </c>
      <c r="F57" s="126">
        <v>2.4</v>
      </c>
      <c r="G57" s="127">
        <v>30</v>
      </c>
      <c r="H57" s="127">
        <v>10</v>
      </c>
      <c r="I57" s="127">
        <v>10</v>
      </c>
      <c r="J57" s="937">
        <v>330</v>
      </c>
      <c r="K57" s="7">
        <f>Inventory_List_Table3[[#This Row],[Q]]*Inventory_List_Table3[[#This Row],[Per piece MXN$]]</f>
        <v>1320</v>
      </c>
      <c r="L57" s="128">
        <f>Inventory_List_Table3[[#This Row],[KG]]*2.20462</f>
        <v>5.2910879999999993</v>
      </c>
      <c r="M57" s="8">
        <f>Inventory_List_Table3[[#This Row],[H CM]]/2.54</f>
        <v>11.811023622047244</v>
      </c>
      <c r="N57" s="8">
        <f>Inventory_List_Table3[[#This Row],[W CM]]/2.54</f>
        <v>3.9370078740157481</v>
      </c>
      <c r="O57" s="130">
        <f>Inventory_List_Table3[[#This Row],[D CM ]]/2.54</f>
        <v>3.9370078740157481</v>
      </c>
      <c r="P57" s="9">
        <f>Inventory_List_Table3[[#This Row],[Per piece MXN$]]/$U$2</f>
        <v>18.333333333333332</v>
      </c>
      <c r="Q57" s="9">
        <f t="shared" si="4"/>
        <v>18</v>
      </c>
      <c r="R57" s="9">
        <f>Inventory_List_Table3[[#This Row],[AQ ROUND]]*1.4</f>
        <v>25.2</v>
      </c>
      <c r="S57" s="9">
        <f t="shared" si="5"/>
        <v>25</v>
      </c>
      <c r="T57" s="9">
        <f>Inventory_List_Table3[[#This Row],[LND ROUND]]*12</f>
        <v>300</v>
      </c>
      <c r="U57" s="9">
        <f>Inventory_List_Table3[[#This Row],[AQ]]*Inventory_List_Table3[[#This Row],[Q]]</f>
        <v>73.333333333333329</v>
      </c>
      <c r="V57" s="129" t="s">
        <v>764</v>
      </c>
      <c r="W57" s="129" t="s">
        <v>763</v>
      </c>
      <c r="X57" s="45">
        <f>Inventory_List_Table3[[#This Row],[H CM]]*Inventory_List_Table3[[#This Row],[W CM]]*4+Inventory_List_Table3[[#This Row],[D CM ]]*Inventory_List_Table3[[#This Row],[D CM ]]</f>
        <v>1300</v>
      </c>
      <c r="Y57" s="75">
        <f>Inventory_List_Table3[[#This Row],[Per piece MXN$]]/X57*10000</f>
        <v>2538.4615384615381</v>
      </c>
    </row>
    <row r="58" spans="1:25" ht="21" x14ac:dyDescent="0.25">
      <c r="A58" s="122" t="s">
        <v>214</v>
      </c>
      <c r="B58" s="123"/>
      <c r="C58" s="933" t="s">
        <v>41</v>
      </c>
      <c r="D58" s="958" t="s">
        <v>1064</v>
      </c>
      <c r="E58" s="125">
        <v>8</v>
      </c>
      <c r="F58" s="126">
        <v>2.4</v>
      </c>
      <c r="G58" s="127">
        <v>30</v>
      </c>
      <c r="H58" s="127">
        <v>10</v>
      </c>
      <c r="I58" s="127">
        <v>10</v>
      </c>
      <c r="J58" s="937">
        <v>330</v>
      </c>
      <c r="K58" s="7">
        <f>Inventory_List_Table3[[#This Row],[Q]]*Inventory_List_Table3[[#This Row],[Per piece MXN$]]</f>
        <v>2640</v>
      </c>
      <c r="L58" s="128">
        <f>Inventory_List_Table3[[#This Row],[KG]]*2.20462</f>
        <v>5.2910879999999993</v>
      </c>
      <c r="M58" s="8">
        <f>Inventory_List_Table3[[#This Row],[H CM]]/2.54</f>
        <v>11.811023622047244</v>
      </c>
      <c r="N58" s="8">
        <f>Inventory_List_Table3[[#This Row],[W CM]]/2.54</f>
        <v>3.9370078740157481</v>
      </c>
      <c r="O58" s="130">
        <f>Inventory_List_Table3[[#This Row],[D CM ]]/2.54</f>
        <v>3.9370078740157481</v>
      </c>
      <c r="P58" s="9">
        <f>Inventory_List_Table3[[#This Row],[Per piece MXN$]]/$U$2</f>
        <v>18.333333333333332</v>
      </c>
      <c r="Q58" s="9">
        <f t="shared" si="4"/>
        <v>18</v>
      </c>
      <c r="R58" s="9">
        <f>Inventory_List_Table3[[#This Row],[AQ ROUND]]*1.4</f>
        <v>25.2</v>
      </c>
      <c r="S58" s="9">
        <f t="shared" si="5"/>
        <v>25</v>
      </c>
      <c r="T58" s="9">
        <f>Inventory_List_Table3[[#This Row],[LND ROUND]]*12</f>
        <v>300</v>
      </c>
      <c r="U58" s="9">
        <f>Inventory_List_Table3[[#This Row],[AQ]]*Inventory_List_Table3[[#This Row],[Q]]</f>
        <v>146.66666666666666</v>
      </c>
      <c r="V58" s="129" t="s">
        <v>764</v>
      </c>
      <c r="W58" s="129" t="s">
        <v>763</v>
      </c>
      <c r="X58" s="45">
        <f>Inventory_List_Table3[[#This Row],[H CM]]*Inventory_List_Table3[[#This Row],[W CM]]*4+Inventory_List_Table3[[#This Row],[D CM ]]*Inventory_List_Table3[[#This Row],[D CM ]]</f>
        <v>1300</v>
      </c>
      <c r="Y58" s="75">
        <f>Inventory_List_Table3[[#This Row],[Per piece MXN$]]/X58*10000</f>
        <v>2538.4615384615381</v>
      </c>
    </row>
    <row r="59" spans="1:25" ht="21" x14ac:dyDescent="0.25">
      <c r="A59" s="122" t="s">
        <v>215</v>
      </c>
      <c r="B59" s="123"/>
      <c r="C59" s="933" t="s">
        <v>44</v>
      </c>
      <c r="D59" s="958" t="s">
        <v>1065</v>
      </c>
      <c r="E59" s="125">
        <v>2</v>
      </c>
      <c r="F59" s="126">
        <v>2.4</v>
      </c>
      <c r="G59" s="127">
        <v>30</v>
      </c>
      <c r="H59" s="127">
        <v>10</v>
      </c>
      <c r="I59" s="127">
        <v>10</v>
      </c>
      <c r="J59" s="937">
        <v>330</v>
      </c>
      <c r="K59" s="7">
        <f>Inventory_List_Table3[[#This Row],[Q]]*Inventory_List_Table3[[#This Row],[Per piece MXN$]]</f>
        <v>660</v>
      </c>
      <c r="L59" s="128">
        <f>Inventory_List_Table3[[#This Row],[KG]]*2.20462</f>
        <v>5.2910879999999993</v>
      </c>
      <c r="M59" s="8">
        <f>Inventory_List_Table3[[#This Row],[H CM]]/2.54</f>
        <v>11.811023622047244</v>
      </c>
      <c r="N59" s="8">
        <f>Inventory_List_Table3[[#This Row],[W CM]]/2.54</f>
        <v>3.9370078740157481</v>
      </c>
      <c r="O59" s="130">
        <f>Inventory_List_Table3[[#This Row],[D CM ]]/2.54</f>
        <v>3.9370078740157481</v>
      </c>
      <c r="P59" s="9">
        <f>Inventory_List_Table3[[#This Row],[Per piece MXN$]]/$U$2</f>
        <v>18.333333333333332</v>
      </c>
      <c r="Q59" s="9">
        <f t="shared" si="4"/>
        <v>18</v>
      </c>
      <c r="R59" s="9">
        <f>Inventory_List_Table3[[#This Row],[AQ ROUND]]*1.4</f>
        <v>25.2</v>
      </c>
      <c r="S59" s="9">
        <f t="shared" si="5"/>
        <v>25</v>
      </c>
      <c r="T59" s="9">
        <f>Inventory_List_Table3[[#This Row],[LND ROUND]]*12</f>
        <v>300</v>
      </c>
      <c r="U59" s="9">
        <f>Inventory_List_Table3[[#This Row],[AQ]]*Inventory_List_Table3[[#This Row],[Q]]</f>
        <v>36.666666666666664</v>
      </c>
      <c r="V59" s="129" t="s">
        <v>764</v>
      </c>
      <c r="W59" s="129" t="s">
        <v>763</v>
      </c>
      <c r="X59" s="45">
        <f>Inventory_List_Table3[[#This Row],[H CM]]*Inventory_List_Table3[[#This Row],[W CM]]*4+Inventory_List_Table3[[#This Row],[D CM ]]*Inventory_List_Table3[[#This Row],[D CM ]]</f>
        <v>1300</v>
      </c>
      <c r="Y59" s="75">
        <f>Inventory_List_Table3[[#This Row],[Per piece MXN$]]/X59*10000</f>
        <v>2538.4615384615381</v>
      </c>
    </row>
    <row r="60" spans="1:25" ht="21" x14ac:dyDescent="0.25">
      <c r="A60" s="122" t="s">
        <v>218</v>
      </c>
      <c r="B60" s="123"/>
      <c r="C60" s="933" t="s">
        <v>47</v>
      </c>
      <c r="D60" s="958" t="s">
        <v>1066</v>
      </c>
      <c r="E60" s="125">
        <v>14</v>
      </c>
      <c r="F60" s="126">
        <v>5.2</v>
      </c>
      <c r="G60" s="127">
        <v>35</v>
      </c>
      <c r="H60" s="127">
        <v>15</v>
      </c>
      <c r="I60" s="127">
        <v>15</v>
      </c>
      <c r="J60" s="937">
        <v>420</v>
      </c>
      <c r="K60" s="7">
        <f>Inventory_List_Table3[[#This Row],[Q]]*Inventory_List_Table3[[#This Row],[Per piece MXN$]]</f>
        <v>5880</v>
      </c>
      <c r="L60" s="128">
        <f>Inventory_List_Table3[[#This Row],[KG]]*2.20462</f>
        <v>11.464024</v>
      </c>
      <c r="M60" s="8">
        <f>Inventory_List_Table3[[#This Row],[H CM]]/2.54</f>
        <v>13.779527559055119</v>
      </c>
      <c r="N60" s="8">
        <f>Inventory_List_Table3[[#This Row],[W CM]]/2.54</f>
        <v>5.9055118110236222</v>
      </c>
      <c r="O60" s="130">
        <f>Inventory_List_Table3[[#This Row],[D CM ]]/2.54</f>
        <v>5.9055118110236222</v>
      </c>
      <c r="P60" s="9">
        <f>Inventory_List_Table3[[#This Row],[Per piece MXN$]]/$U$2</f>
        <v>23.333333333333332</v>
      </c>
      <c r="Q60" s="9">
        <f t="shared" si="4"/>
        <v>23</v>
      </c>
      <c r="R60" s="9">
        <f>Inventory_List_Table3[[#This Row],[AQ ROUND]]*1.4</f>
        <v>32.199999999999996</v>
      </c>
      <c r="S60" s="9">
        <f t="shared" si="5"/>
        <v>32</v>
      </c>
      <c r="T60" s="9">
        <f>Inventory_List_Table3[[#This Row],[LND ROUND]]*12</f>
        <v>384</v>
      </c>
      <c r="U60" s="9">
        <f>Inventory_List_Table3[[#This Row],[AQ]]*Inventory_List_Table3[[#This Row],[Q]]</f>
        <v>326.66666666666663</v>
      </c>
      <c r="V60" s="129" t="s">
        <v>689</v>
      </c>
      <c r="W60" s="129" t="s">
        <v>688</v>
      </c>
      <c r="X60" s="45">
        <f>Inventory_List_Table3[[#This Row],[H CM]]*Inventory_List_Table3[[#This Row],[W CM]]*4+Inventory_List_Table3[[#This Row],[D CM ]]*Inventory_List_Table3[[#This Row],[D CM ]]</f>
        <v>2325</v>
      </c>
      <c r="Y60" s="75">
        <f>Inventory_List_Table3[[#This Row],[Per piece MXN$]]/X60*10000</f>
        <v>1806.4516129032256</v>
      </c>
    </row>
    <row r="61" spans="1:25" ht="21" x14ac:dyDescent="0.25">
      <c r="A61" s="122" t="s">
        <v>219</v>
      </c>
      <c r="B61" s="123"/>
      <c r="C61" s="933" t="s">
        <v>48</v>
      </c>
      <c r="D61" s="958" t="s">
        <v>1067</v>
      </c>
      <c r="E61" s="125">
        <v>1</v>
      </c>
      <c r="F61" s="126">
        <v>30</v>
      </c>
      <c r="G61" s="127">
        <v>150</v>
      </c>
      <c r="H61" s="127">
        <v>80</v>
      </c>
      <c r="I61" s="127">
        <v>10</v>
      </c>
      <c r="J61" s="937">
        <v>5100</v>
      </c>
      <c r="K61" s="7">
        <f>Inventory_List_Table3[[#This Row],[Q]]*Inventory_List_Table3[[#This Row],[Per piece MXN$]]</f>
        <v>5100</v>
      </c>
      <c r="L61" s="128">
        <f>Inventory_List_Table3[[#This Row],[KG]]*2.20462</f>
        <v>66.138599999999997</v>
      </c>
      <c r="M61" s="8">
        <f>Inventory_List_Table3[[#This Row],[H CM]]/2.54</f>
        <v>59.055118110236222</v>
      </c>
      <c r="N61" s="8">
        <f>Inventory_List_Table3[[#This Row],[W CM]]/2.54</f>
        <v>31.496062992125985</v>
      </c>
      <c r="O61" s="130">
        <f>Inventory_List_Table3[[#This Row],[D CM ]]/2.54</f>
        <v>3.9370078740157481</v>
      </c>
      <c r="P61" s="9">
        <f>Inventory_List_Table3[[#This Row],[Per piece MXN$]]/$U$2</f>
        <v>283.33333333333331</v>
      </c>
      <c r="Q61" s="9">
        <f t="shared" si="4"/>
        <v>283</v>
      </c>
      <c r="R61" s="9">
        <f>Inventory_List_Table3[[#This Row],[AQ ROUND]]*1.4</f>
        <v>396.2</v>
      </c>
      <c r="S61" s="9">
        <f t="shared" si="5"/>
        <v>396</v>
      </c>
      <c r="T61" s="9">
        <f>Inventory_List_Table3[[#This Row],[LND ROUND]]*12</f>
        <v>4752</v>
      </c>
      <c r="U61" s="9">
        <f>Inventory_List_Table3[[#This Row],[AQ]]*Inventory_List_Table3[[#This Row],[Q]]</f>
        <v>283.33333333333331</v>
      </c>
      <c r="V61" s="129" t="s">
        <v>636</v>
      </c>
      <c r="W61" s="129" t="s">
        <v>635</v>
      </c>
      <c r="X61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61" s="75">
        <f>Inventory_List_Table3[[#This Row],[Per piece MXN$]]/X61*10000</f>
        <v>3072.2891566265057</v>
      </c>
    </row>
    <row r="62" spans="1:25" ht="21" x14ac:dyDescent="0.25">
      <c r="A62" s="122" t="s">
        <v>220</v>
      </c>
      <c r="B62" s="123"/>
      <c r="C62" s="933" t="s">
        <v>48</v>
      </c>
      <c r="D62" s="958" t="s">
        <v>1068</v>
      </c>
      <c r="E62" s="125">
        <v>1</v>
      </c>
      <c r="F62" s="126">
        <v>30</v>
      </c>
      <c r="G62" s="127">
        <v>150</v>
      </c>
      <c r="H62" s="127">
        <v>80</v>
      </c>
      <c r="I62" s="127">
        <v>10</v>
      </c>
      <c r="J62" s="937">
        <v>5100</v>
      </c>
      <c r="K62" s="7">
        <f>Inventory_List_Table3[[#This Row],[Q]]*Inventory_List_Table3[[#This Row],[Per piece MXN$]]</f>
        <v>5100</v>
      </c>
      <c r="L62" s="128">
        <f>Inventory_List_Table3[[#This Row],[KG]]*2.20462</f>
        <v>66.138599999999997</v>
      </c>
      <c r="M62" s="8">
        <f>Inventory_List_Table3[[#This Row],[H CM]]/2.54</f>
        <v>59.055118110236222</v>
      </c>
      <c r="N62" s="8">
        <f>Inventory_List_Table3[[#This Row],[W CM]]/2.54</f>
        <v>31.496062992125985</v>
      </c>
      <c r="O62" s="130">
        <f>Inventory_List_Table3[[#This Row],[D CM ]]/2.54</f>
        <v>3.9370078740157481</v>
      </c>
      <c r="P62" s="9">
        <f>Inventory_List_Table3[[#This Row],[Per piece MXN$]]/$U$2</f>
        <v>283.33333333333331</v>
      </c>
      <c r="Q62" s="9">
        <f t="shared" si="4"/>
        <v>283</v>
      </c>
      <c r="R62" s="9">
        <f>Inventory_List_Table3[[#This Row],[AQ ROUND]]*1.4</f>
        <v>396.2</v>
      </c>
      <c r="S62" s="9">
        <f t="shared" si="5"/>
        <v>396</v>
      </c>
      <c r="T62" s="9">
        <f>Inventory_List_Table3[[#This Row],[LND ROUND]]*12</f>
        <v>4752</v>
      </c>
      <c r="U62" s="9">
        <f>Inventory_List_Table3[[#This Row],[AQ]]*Inventory_List_Table3[[#This Row],[Q]]</f>
        <v>283.33333333333331</v>
      </c>
      <c r="V62" s="129" t="s">
        <v>636</v>
      </c>
      <c r="W62" s="129" t="s">
        <v>635</v>
      </c>
      <c r="X62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62" s="75">
        <f>Inventory_List_Table3[[#This Row],[Per piece MXN$]]/X62*10000</f>
        <v>3072.2891566265057</v>
      </c>
    </row>
    <row r="63" spans="1:25" ht="21" x14ac:dyDescent="0.25">
      <c r="A63" s="122" t="s">
        <v>221</v>
      </c>
      <c r="B63" s="123"/>
      <c r="C63" s="933" t="s">
        <v>49</v>
      </c>
      <c r="D63" s="958" t="s">
        <v>1069</v>
      </c>
      <c r="E63" s="125">
        <v>1</v>
      </c>
      <c r="F63" s="126">
        <v>27</v>
      </c>
      <c r="G63" s="127">
        <v>100</v>
      </c>
      <c r="H63" s="127">
        <v>100</v>
      </c>
      <c r="I63" s="127">
        <v>10</v>
      </c>
      <c r="J63" s="937">
        <v>4200</v>
      </c>
      <c r="K63" s="7">
        <f>Inventory_List_Table3[[#This Row],[Q]]*Inventory_List_Table3[[#This Row],[Per piece MXN$]]</f>
        <v>4200</v>
      </c>
      <c r="L63" s="128">
        <f>Inventory_List_Table3[[#This Row],[KG]]*2.20462</f>
        <v>59.524739999999994</v>
      </c>
      <c r="M63" s="8">
        <f>Inventory_List_Table3[[#This Row],[H CM]]/2.54</f>
        <v>39.370078740157481</v>
      </c>
      <c r="N63" s="8">
        <f>Inventory_List_Table3[[#This Row],[W CM]]/2.54</f>
        <v>39.370078740157481</v>
      </c>
      <c r="O63" s="130">
        <f>Inventory_List_Table3[[#This Row],[D CM ]]/2.54</f>
        <v>3.9370078740157481</v>
      </c>
      <c r="P63" s="9">
        <f>Inventory_List_Table3[[#This Row],[Per piece MXN$]]/$U$2</f>
        <v>233.33333333333334</v>
      </c>
      <c r="Q63" s="9">
        <f t="shared" si="4"/>
        <v>233</v>
      </c>
      <c r="R63" s="9">
        <f>Inventory_List_Table3[[#This Row],[AQ ROUND]]*1.4</f>
        <v>326.2</v>
      </c>
      <c r="S63" s="9">
        <f t="shared" si="5"/>
        <v>326</v>
      </c>
      <c r="T63" s="9">
        <f>Inventory_List_Table3[[#This Row],[LND ROUND]]*12</f>
        <v>3912</v>
      </c>
      <c r="U63" s="9">
        <f>Inventory_List_Table3[[#This Row],[AQ]]*Inventory_List_Table3[[#This Row],[Q]]</f>
        <v>233.33333333333334</v>
      </c>
      <c r="V63" s="129" t="s">
        <v>640</v>
      </c>
      <c r="W63" s="129" t="s">
        <v>639</v>
      </c>
      <c r="X63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63" s="75">
        <f>Inventory_List_Table3[[#This Row],[Per piece MXN$]]/X63*10000</f>
        <v>3000</v>
      </c>
    </row>
    <row r="64" spans="1:25" ht="21" x14ac:dyDescent="0.25">
      <c r="A64" s="122" t="s">
        <v>222</v>
      </c>
      <c r="B64" s="123"/>
      <c r="C64" s="933" t="s">
        <v>50</v>
      </c>
      <c r="D64" s="958" t="s">
        <v>1070</v>
      </c>
      <c r="E64" s="125">
        <v>1</v>
      </c>
      <c r="F64" s="126">
        <v>19</v>
      </c>
      <c r="G64" s="127">
        <v>110</v>
      </c>
      <c r="H64" s="127">
        <v>60</v>
      </c>
      <c r="I64" s="127">
        <v>10</v>
      </c>
      <c r="J64" s="937">
        <v>3400</v>
      </c>
      <c r="K64" s="7">
        <f>Inventory_List_Table3[[#This Row],[Q]]*Inventory_List_Table3[[#This Row],[Per piece MXN$]]</f>
        <v>3400</v>
      </c>
      <c r="L64" s="128">
        <f>Inventory_List_Table3[[#This Row],[KG]]*2.20462</f>
        <v>41.887779999999999</v>
      </c>
      <c r="M64" s="8">
        <f>Inventory_List_Table3[[#This Row],[H CM]]/2.54</f>
        <v>43.30708661417323</v>
      </c>
      <c r="N64" s="8">
        <f>Inventory_List_Table3[[#This Row],[W CM]]/2.54</f>
        <v>23.622047244094489</v>
      </c>
      <c r="O64" s="130">
        <f>Inventory_List_Table3[[#This Row],[D CM ]]/2.54</f>
        <v>3.9370078740157481</v>
      </c>
      <c r="P64" s="9">
        <f>Inventory_List_Table3[[#This Row],[Per piece MXN$]]/$U$2</f>
        <v>188.88888888888889</v>
      </c>
      <c r="Q64" s="9">
        <f t="shared" si="4"/>
        <v>189</v>
      </c>
      <c r="R64" s="9">
        <f>Inventory_List_Table3[[#This Row],[AQ ROUND]]*1.4</f>
        <v>264.59999999999997</v>
      </c>
      <c r="S64" s="9">
        <f t="shared" si="5"/>
        <v>265</v>
      </c>
      <c r="T64" s="9">
        <f>Inventory_List_Table3[[#This Row],[LND ROUND]]*12</f>
        <v>3180</v>
      </c>
      <c r="U64" s="9">
        <f>Inventory_List_Table3[[#This Row],[AQ]]*Inventory_List_Table3[[#This Row],[Q]]</f>
        <v>188.88888888888889</v>
      </c>
      <c r="V64" s="129" t="s">
        <v>642</v>
      </c>
      <c r="W64" s="129" t="s">
        <v>38</v>
      </c>
      <c r="X64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64" s="75">
        <f>Inventory_List_Table3[[#This Row],[Per piece MXN$]]/X64*10000</f>
        <v>3400.0000000000005</v>
      </c>
    </row>
    <row r="65" spans="1:25" ht="21" x14ac:dyDescent="0.25">
      <c r="A65" s="122" t="s">
        <v>223</v>
      </c>
      <c r="B65" s="123"/>
      <c r="C65" s="933" t="s">
        <v>50</v>
      </c>
      <c r="D65" s="958" t="s">
        <v>1071</v>
      </c>
      <c r="E65" s="125">
        <v>1</v>
      </c>
      <c r="F65" s="126">
        <v>19</v>
      </c>
      <c r="G65" s="127">
        <v>110</v>
      </c>
      <c r="H65" s="127">
        <v>60</v>
      </c>
      <c r="I65" s="127">
        <v>10</v>
      </c>
      <c r="J65" s="937">
        <v>3400</v>
      </c>
      <c r="K65" s="7">
        <f>Inventory_List_Table3[[#This Row],[Q]]*Inventory_List_Table3[[#This Row],[Per piece MXN$]]</f>
        <v>3400</v>
      </c>
      <c r="L65" s="128">
        <f>Inventory_List_Table3[[#This Row],[KG]]*2.20462</f>
        <v>41.887779999999999</v>
      </c>
      <c r="M65" s="8">
        <f>Inventory_List_Table3[[#This Row],[H CM]]/2.54</f>
        <v>43.30708661417323</v>
      </c>
      <c r="N65" s="8">
        <f>Inventory_List_Table3[[#This Row],[W CM]]/2.54</f>
        <v>23.622047244094489</v>
      </c>
      <c r="O65" s="130">
        <f>Inventory_List_Table3[[#This Row],[D CM ]]/2.54</f>
        <v>3.9370078740157481</v>
      </c>
      <c r="P65" s="9">
        <f>Inventory_List_Table3[[#This Row],[Per piece MXN$]]/$U$2</f>
        <v>188.88888888888889</v>
      </c>
      <c r="Q65" s="9">
        <f t="shared" si="4"/>
        <v>189</v>
      </c>
      <c r="R65" s="9">
        <f>Inventory_List_Table3[[#This Row],[AQ ROUND]]*1.4</f>
        <v>264.59999999999997</v>
      </c>
      <c r="S65" s="9">
        <f t="shared" si="5"/>
        <v>265</v>
      </c>
      <c r="T65" s="9">
        <f>Inventory_List_Table3[[#This Row],[LND ROUND]]*12</f>
        <v>3180</v>
      </c>
      <c r="U65" s="9">
        <f>Inventory_List_Table3[[#This Row],[AQ]]*Inventory_List_Table3[[#This Row],[Q]]</f>
        <v>188.88888888888889</v>
      </c>
      <c r="V65" s="129" t="s">
        <v>642</v>
      </c>
      <c r="W65" s="129" t="s">
        <v>38</v>
      </c>
      <c r="X65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65" s="75">
        <f>Inventory_List_Table3[[#This Row],[Per piece MXN$]]/X65*10000</f>
        <v>3400.0000000000005</v>
      </c>
    </row>
    <row r="66" spans="1:25" ht="21" x14ac:dyDescent="0.25">
      <c r="A66" s="122" t="s">
        <v>224</v>
      </c>
      <c r="B66" s="123"/>
      <c r="C66" s="933" t="s">
        <v>50</v>
      </c>
      <c r="D66" s="958" t="s">
        <v>1072</v>
      </c>
      <c r="E66" s="125">
        <v>1</v>
      </c>
      <c r="F66" s="126">
        <v>19</v>
      </c>
      <c r="G66" s="127">
        <v>110</v>
      </c>
      <c r="H66" s="127">
        <v>60</v>
      </c>
      <c r="I66" s="127">
        <v>10</v>
      </c>
      <c r="J66" s="937">
        <v>3400</v>
      </c>
      <c r="K66" s="7">
        <f>Inventory_List_Table3[[#This Row],[Q]]*Inventory_List_Table3[[#This Row],[Per piece MXN$]]</f>
        <v>3400</v>
      </c>
      <c r="L66" s="128">
        <f>Inventory_List_Table3[[#This Row],[KG]]*2.20462</f>
        <v>41.887779999999999</v>
      </c>
      <c r="M66" s="8">
        <f>Inventory_List_Table3[[#This Row],[H CM]]/2.54</f>
        <v>43.30708661417323</v>
      </c>
      <c r="N66" s="8">
        <f>Inventory_List_Table3[[#This Row],[W CM]]/2.54</f>
        <v>23.622047244094489</v>
      </c>
      <c r="O66" s="130">
        <f>Inventory_List_Table3[[#This Row],[D CM ]]/2.54</f>
        <v>3.9370078740157481</v>
      </c>
      <c r="P66" s="9">
        <f>Inventory_List_Table3[[#This Row],[Per piece MXN$]]/$U$2</f>
        <v>188.88888888888889</v>
      </c>
      <c r="Q66" s="9">
        <f t="shared" ref="Q66:Q97" si="6">IF(MOD(P66,1)&gt;0.4,ROUNDUP(P66,0),ROUNDDOWN(P66,0))</f>
        <v>189</v>
      </c>
      <c r="R66" s="9">
        <f>Inventory_List_Table3[[#This Row],[AQ ROUND]]*1.4</f>
        <v>264.59999999999997</v>
      </c>
      <c r="S66" s="9">
        <f t="shared" ref="S66:S97" si="7">IF(MOD(R66,1)&gt;0.4,ROUNDUP(R66,0),ROUNDDOWN(R66,0))</f>
        <v>265</v>
      </c>
      <c r="T66" s="9">
        <f>Inventory_List_Table3[[#This Row],[LND ROUND]]*12</f>
        <v>3180</v>
      </c>
      <c r="U66" s="9">
        <f>Inventory_List_Table3[[#This Row],[AQ]]*Inventory_List_Table3[[#This Row],[Q]]</f>
        <v>188.88888888888889</v>
      </c>
      <c r="V66" s="129" t="s">
        <v>642</v>
      </c>
      <c r="W66" s="129" t="s">
        <v>38</v>
      </c>
      <c r="X66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66" s="75">
        <f>Inventory_List_Table3[[#This Row],[Per piece MXN$]]/X66*10000</f>
        <v>3400.0000000000005</v>
      </c>
    </row>
    <row r="67" spans="1:25" ht="21" x14ac:dyDescent="0.25">
      <c r="A67" s="122" t="s">
        <v>225</v>
      </c>
      <c r="B67" s="123"/>
      <c r="C67" s="933" t="s">
        <v>50</v>
      </c>
      <c r="D67" s="958" t="s">
        <v>1073</v>
      </c>
      <c r="E67" s="125">
        <v>1</v>
      </c>
      <c r="F67" s="126">
        <v>19</v>
      </c>
      <c r="G67" s="127">
        <v>110</v>
      </c>
      <c r="H67" s="127">
        <v>60</v>
      </c>
      <c r="I67" s="127">
        <v>10</v>
      </c>
      <c r="J67" s="937">
        <v>3400</v>
      </c>
      <c r="K67" s="7">
        <f>Inventory_List_Table3[[#This Row],[Q]]*Inventory_List_Table3[[#This Row],[Per piece MXN$]]</f>
        <v>3400</v>
      </c>
      <c r="L67" s="128">
        <f>Inventory_List_Table3[[#This Row],[KG]]*2.20462</f>
        <v>41.887779999999999</v>
      </c>
      <c r="M67" s="8">
        <f>Inventory_List_Table3[[#This Row],[H CM]]/2.54</f>
        <v>43.30708661417323</v>
      </c>
      <c r="N67" s="8">
        <f>Inventory_List_Table3[[#This Row],[W CM]]/2.54</f>
        <v>23.622047244094489</v>
      </c>
      <c r="O67" s="130">
        <f>Inventory_List_Table3[[#This Row],[D CM ]]/2.54</f>
        <v>3.9370078740157481</v>
      </c>
      <c r="P67" s="9">
        <f>Inventory_List_Table3[[#This Row],[Per piece MXN$]]/$U$2</f>
        <v>188.88888888888889</v>
      </c>
      <c r="Q67" s="9">
        <f t="shared" si="6"/>
        <v>189</v>
      </c>
      <c r="R67" s="9">
        <f>Inventory_List_Table3[[#This Row],[AQ ROUND]]*1.4</f>
        <v>264.59999999999997</v>
      </c>
      <c r="S67" s="9">
        <f t="shared" si="7"/>
        <v>265</v>
      </c>
      <c r="T67" s="9">
        <f>Inventory_List_Table3[[#This Row],[LND ROUND]]*12</f>
        <v>3180</v>
      </c>
      <c r="U67" s="9">
        <f>Inventory_List_Table3[[#This Row],[AQ]]*Inventory_List_Table3[[#This Row],[Q]]</f>
        <v>188.88888888888889</v>
      </c>
      <c r="V67" s="129" t="s">
        <v>642</v>
      </c>
      <c r="W67" s="129" t="s">
        <v>38</v>
      </c>
      <c r="X67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67" s="75">
        <f>Inventory_List_Table3[[#This Row],[Per piece MXN$]]/X67*10000</f>
        <v>3400.0000000000005</v>
      </c>
    </row>
    <row r="68" spans="1:25" ht="21" x14ac:dyDescent="0.25">
      <c r="A68" s="122" t="s">
        <v>226</v>
      </c>
      <c r="B68" s="123"/>
      <c r="C68" s="933" t="s">
        <v>48</v>
      </c>
      <c r="D68" s="958" t="s">
        <v>1074</v>
      </c>
      <c r="E68" s="125">
        <v>1</v>
      </c>
      <c r="F68" s="126">
        <v>19</v>
      </c>
      <c r="G68" s="127">
        <v>110</v>
      </c>
      <c r="H68" s="127">
        <v>60</v>
      </c>
      <c r="I68" s="127">
        <v>10</v>
      </c>
      <c r="J68" s="937">
        <v>3400</v>
      </c>
      <c r="K68" s="7">
        <f>Inventory_List_Table3[[#This Row],[Q]]*Inventory_List_Table3[[#This Row],[Per piece MXN$]]</f>
        <v>3400</v>
      </c>
      <c r="L68" s="128">
        <f>Inventory_List_Table3[[#This Row],[KG]]*2.20462</f>
        <v>41.887779999999999</v>
      </c>
      <c r="M68" s="8">
        <f>Inventory_List_Table3[[#This Row],[H CM]]/2.54</f>
        <v>43.30708661417323</v>
      </c>
      <c r="N68" s="8">
        <f>Inventory_List_Table3[[#This Row],[W CM]]/2.54</f>
        <v>23.622047244094489</v>
      </c>
      <c r="O68" s="130">
        <f>Inventory_List_Table3[[#This Row],[D CM ]]/2.54</f>
        <v>3.9370078740157481</v>
      </c>
      <c r="P68" s="9">
        <f>Inventory_List_Table3[[#This Row],[Per piece MXN$]]/$U$2</f>
        <v>188.88888888888889</v>
      </c>
      <c r="Q68" s="9">
        <f t="shared" si="6"/>
        <v>189</v>
      </c>
      <c r="R68" s="9">
        <f>Inventory_List_Table3[[#This Row],[AQ ROUND]]*1.4</f>
        <v>264.59999999999997</v>
      </c>
      <c r="S68" s="9">
        <f t="shared" si="7"/>
        <v>265</v>
      </c>
      <c r="T68" s="9">
        <f>Inventory_List_Table3[[#This Row],[LND ROUND]]*12</f>
        <v>3180</v>
      </c>
      <c r="U68" s="9">
        <f>Inventory_List_Table3[[#This Row],[AQ]]*Inventory_List_Table3[[#This Row],[Q]]</f>
        <v>188.88888888888889</v>
      </c>
      <c r="V68" s="129" t="s">
        <v>642</v>
      </c>
      <c r="W68" s="129" t="s">
        <v>38</v>
      </c>
      <c r="X68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68" s="75">
        <f>Inventory_List_Table3[[#This Row],[Per piece MXN$]]/X68*10000</f>
        <v>3400.0000000000005</v>
      </c>
    </row>
    <row r="69" spans="1:25" ht="21" x14ac:dyDescent="0.25">
      <c r="A69" s="122" t="s">
        <v>227</v>
      </c>
      <c r="B69" s="123"/>
      <c r="C69" s="933" t="s">
        <v>51</v>
      </c>
      <c r="D69" s="958" t="s">
        <v>1075</v>
      </c>
      <c r="E69" s="125">
        <v>13</v>
      </c>
      <c r="F69" s="126">
        <v>7</v>
      </c>
      <c r="G69" s="127">
        <v>45</v>
      </c>
      <c r="H69" s="127">
        <v>15</v>
      </c>
      <c r="I69" s="127">
        <v>15</v>
      </c>
      <c r="J69" s="937">
        <v>750</v>
      </c>
      <c r="K69" s="7">
        <f>Inventory_List_Table3[[#This Row],[Q]]*Inventory_List_Table3[[#This Row],[Per piece MXN$]]</f>
        <v>9750</v>
      </c>
      <c r="L69" s="128">
        <f>Inventory_List_Table3[[#This Row],[KG]]*2.20462</f>
        <v>15.432339999999998</v>
      </c>
      <c r="M69" s="8">
        <f>Inventory_List_Table3[[#This Row],[H CM]]/2.54</f>
        <v>17.716535433070867</v>
      </c>
      <c r="N69" s="8">
        <f>Inventory_List_Table3[[#This Row],[W CM]]/2.54</f>
        <v>5.9055118110236222</v>
      </c>
      <c r="O69" s="130">
        <f>Inventory_List_Table3[[#This Row],[D CM ]]/2.54</f>
        <v>5.9055118110236222</v>
      </c>
      <c r="P69" s="9">
        <f>Inventory_List_Table3[[#This Row],[Per piece MXN$]]/$U$2</f>
        <v>41.666666666666664</v>
      </c>
      <c r="Q69" s="9">
        <f t="shared" si="6"/>
        <v>42</v>
      </c>
      <c r="R69" s="9">
        <f>Inventory_List_Table3[[#This Row],[AQ ROUND]]*1.4</f>
        <v>58.8</v>
      </c>
      <c r="S69" s="9">
        <f t="shared" si="7"/>
        <v>59</v>
      </c>
      <c r="T69" s="9">
        <f>Inventory_List_Table3[[#This Row],[LND ROUND]]*12</f>
        <v>708</v>
      </c>
      <c r="U69" s="9">
        <f>Inventory_List_Table3[[#This Row],[AQ]]*Inventory_List_Table3[[#This Row],[Q]]</f>
        <v>541.66666666666663</v>
      </c>
      <c r="V69" s="129" t="s">
        <v>686</v>
      </c>
      <c r="W69" s="129" t="s">
        <v>685</v>
      </c>
      <c r="X69" s="45">
        <f>Inventory_List_Table3[[#This Row],[H CM]]*Inventory_List_Table3[[#This Row],[W CM]]*4+Inventory_List_Table3[[#This Row],[D CM ]]*Inventory_List_Table3[[#This Row],[D CM ]]</f>
        <v>2925</v>
      </c>
      <c r="Y69" s="75">
        <f>Inventory_List_Table3[[#This Row],[Per piece MXN$]]/X69*10000</f>
        <v>2564.102564102564</v>
      </c>
    </row>
    <row r="70" spans="1:25" ht="21" x14ac:dyDescent="0.25">
      <c r="A70" s="122" t="s">
        <v>228</v>
      </c>
      <c r="B70" s="123"/>
      <c r="C70" s="933" t="s">
        <v>51</v>
      </c>
      <c r="D70" s="958" t="s">
        <v>1076</v>
      </c>
      <c r="E70" s="125">
        <v>4</v>
      </c>
      <c r="F70" s="126">
        <v>4</v>
      </c>
      <c r="G70" s="127">
        <v>40</v>
      </c>
      <c r="H70" s="127">
        <v>12</v>
      </c>
      <c r="I70" s="127">
        <v>12</v>
      </c>
      <c r="J70" s="937">
        <v>500</v>
      </c>
      <c r="K70" s="7">
        <f>Inventory_List_Table3[[#This Row],[Q]]*Inventory_List_Table3[[#This Row],[Per piece MXN$]]</f>
        <v>2000</v>
      </c>
      <c r="L70" s="128">
        <f>Inventory_List_Table3[[#This Row],[KG]]*2.20462</f>
        <v>8.8184799999999992</v>
      </c>
      <c r="M70" s="8">
        <f>Inventory_List_Table3[[#This Row],[H CM]]/2.54</f>
        <v>15.748031496062993</v>
      </c>
      <c r="N70" s="8">
        <f>Inventory_List_Table3[[#This Row],[W CM]]/2.54</f>
        <v>4.7244094488188972</v>
      </c>
      <c r="O70" s="130">
        <f>Inventory_List_Table3[[#This Row],[D CM ]]/2.54</f>
        <v>4.7244094488188972</v>
      </c>
      <c r="P70" s="9">
        <f>Inventory_List_Table3[[#This Row],[Per piece MXN$]]/$U$2</f>
        <v>27.777777777777779</v>
      </c>
      <c r="Q70" s="9">
        <f t="shared" si="6"/>
        <v>28</v>
      </c>
      <c r="R70" s="9">
        <f>Inventory_List_Table3[[#This Row],[AQ ROUND]]*1.4</f>
        <v>39.199999999999996</v>
      </c>
      <c r="S70" s="9">
        <f t="shared" si="7"/>
        <v>39</v>
      </c>
      <c r="T70" s="9">
        <f>Inventory_List_Table3[[#This Row],[LND ROUND]]*12</f>
        <v>468</v>
      </c>
      <c r="U70" s="9">
        <f>Inventory_List_Table3[[#This Row],[AQ]]*Inventory_List_Table3[[#This Row],[Q]]</f>
        <v>111.11111111111111</v>
      </c>
      <c r="V70" s="129" t="s">
        <v>713</v>
      </c>
      <c r="W70" s="129" t="s">
        <v>712</v>
      </c>
      <c r="X70" s="45">
        <f>Inventory_List_Table3[[#This Row],[H CM]]*Inventory_List_Table3[[#This Row],[W CM]]*4+Inventory_List_Table3[[#This Row],[D CM ]]*Inventory_List_Table3[[#This Row],[D CM ]]</f>
        <v>2064</v>
      </c>
      <c r="Y70" s="75">
        <f>Inventory_List_Table3[[#This Row],[Per piece MXN$]]/X70*10000</f>
        <v>2422.4806201550387</v>
      </c>
    </row>
    <row r="71" spans="1:25" ht="21" x14ac:dyDescent="0.25">
      <c r="A71" s="122" t="s">
        <v>229</v>
      </c>
      <c r="B71" s="123"/>
      <c r="C71" s="933" t="s">
        <v>52</v>
      </c>
      <c r="D71" s="958" t="s">
        <v>1077</v>
      </c>
      <c r="E71" s="125">
        <v>1</v>
      </c>
      <c r="F71" s="126">
        <v>3</v>
      </c>
      <c r="G71" s="127">
        <v>35</v>
      </c>
      <c r="H71" s="127">
        <v>12</v>
      </c>
      <c r="I71" s="127">
        <v>12</v>
      </c>
      <c r="J71" s="937">
        <v>440</v>
      </c>
      <c r="K71" s="7">
        <f>Inventory_List_Table3[[#This Row],[Q]]*Inventory_List_Table3[[#This Row],[Per piece MXN$]]</f>
        <v>440</v>
      </c>
      <c r="L71" s="128">
        <f>Inventory_List_Table3[[#This Row],[KG]]*2.20462</f>
        <v>6.613859999999999</v>
      </c>
      <c r="M71" s="8">
        <f>Inventory_List_Table3[[#This Row],[H CM]]/2.54</f>
        <v>13.779527559055119</v>
      </c>
      <c r="N71" s="8">
        <f>Inventory_List_Table3[[#This Row],[W CM]]/2.54</f>
        <v>4.7244094488188972</v>
      </c>
      <c r="O71" s="130">
        <f>Inventory_List_Table3[[#This Row],[D CM ]]/2.54</f>
        <v>4.7244094488188972</v>
      </c>
      <c r="P71" s="9">
        <f>Inventory_List_Table3[[#This Row],[Per piece MXN$]]/$U$2</f>
        <v>24.444444444444443</v>
      </c>
      <c r="Q71" s="9">
        <f t="shared" si="6"/>
        <v>25</v>
      </c>
      <c r="R71" s="9">
        <f>Inventory_List_Table3[[#This Row],[AQ ROUND]]*1.4</f>
        <v>35</v>
      </c>
      <c r="S71" s="9">
        <f t="shared" si="7"/>
        <v>35</v>
      </c>
      <c r="T71" s="9">
        <f>Inventory_List_Table3[[#This Row],[LND ROUND]]*12</f>
        <v>420</v>
      </c>
      <c r="U71" s="9">
        <f>Inventory_List_Table3[[#This Row],[AQ]]*Inventory_List_Table3[[#This Row],[Q]]</f>
        <v>24.444444444444443</v>
      </c>
      <c r="V71" s="129" t="s">
        <v>763</v>
      </c>
      <c r="W71" s="129" t="s">
        <v>779</v>
      </c>
      <c r="X71" s="45">
        <f>Inventory_List_Table3[[#This Row],[H CM]]*Inventory_List_Table3[[#This Row],[W CM]]*4+Inventory_List_Table3[[#This Row],[D CM ]]*Inventory_List_Table3[[#This Row],[D CM ]]</f>
        <v>1824</v>
      </c>
      <c r="Y71" s="75">
        <f>Inventory_List_Table3[[#This Row],[Per piece MXN$]]/X71*10000</f>
        <v>2412.280701754386</v>
      </c>
    </row>
    <row r="72" spans="1:25" ht="21" x14ac:dyDescent="0.25">
      <c r="A72" s="122" t="s">
        <v>230</v>
      </c>
      <c r="B72" s="123"/>
      <c r="C72" s="933" t="s">
        <v>52</v>
      </c>
      <c r="D72" s="958" t="s">
        <v>1078</v>
      </c>
      <c r="E72" s="125">
        <v>4</v>
      </c>
      <c r="F72" s="126">
        <v>3</v>
      </c>
      <c r="G72" s="127">
        <v>30</v>
      </c>
      <c r="H72" s="127">
        <v>12</v>
      </c>
      <c r="I72" s="127">
        <v>12</v>
      </c>
      <c r="J72" s="937">
        <v>380</v>
      </c>
      <c r="K72" s="7">
        <f>Inventory_List_Table3[[#This Row],[Q]]*Inventory_List_Table3[[#This Row],[Per piece MXN$]]</f>
        <v>1520</v>
      </c>
      <c r="L72" s="128">
        <f>Inventory_List_Table3[[#This Row],[KG]]*2.20462</f>
        <v>6.613859999999999</v>
      </c>
      <c r="M72" s="8">
        <f>Inventory_List_Table3[[#This Row],[H CM]]/2.54</f>
        <v>11.811023622047244</v>
      </c>
      <c r="N72" s="8">
        <f>Inventory_List_Table3[[#This Row],[W CM]]/2.54</f>
        <v>4.7244094488188972</v>
      </c>
      <c r="O72" s="130">
        <f>Inventory_List_Table3[[#This Row],[D CM ]]/2.54</f>
        <v>4.7244094488188972</v>
      </c>
      <c r="P72" s="9">
        <f>Inventory_List_Table3[[#This Row],[Per piece MXN$]]/$U$2</f>
        <v>21.111111111111111</v>
      </c>
      <c r="Q72" s="9">
        <f t="shared" si="6"/>
        <v>21</v>
      </c>
      <c r="R72" s="9">
        <f>Inventory_List_Table3[[#This Row],[AQ ROUND]]*1.4</f>
        <v>29.4</v>
      </c>
      <c r="S72" s="9">
        <f t="shared" si="7"/>
        <v>29</v>
      </c>
      <c r="T72" s="9">
        <f>Inventory_List_Table3[[#This Row],[LND ROUND]]*12</f>
        <v>348</v>
      </c>
      <c r="U72" s="9">
        <f>Inventory_List_Table3[[#This Row],[AQ]]*Inventory_List_Table3[[#This Row],[Q]]</f>
        <v>84.444444444444443</v>
      </c>
      <c r="V72" s="129" t="s">
        <v>759</v>
      </c>
      <c r="W72" s="129" t="s">
        <v>827</v>
      </c>
      <c r="X72" s="45">
        <f>Inventory_List_Table3[[#This Row],[H CM]]*Inventory_List_Table3[[#This Row],[W CM]]*4+Inventory_List_Table3[[#This Row],[D CM ]]*Inventory_List_Table3[[#This Row],[D CM ]]</f>
        <v>1584</v>
      </c>
      <c r="Y72" s="75">
        <f>Inventory_List_Table3[[#This Row],[Per piece MXN$]]/X72*10000</f>
        <v>2398.9898989898988</v>
      </c>
    </row>
    <row r="73" spans="1:25" ht="21" x14ac:dyDescent="0.25">
      <c r="A73" s="122" t="s">
        <v>231</v>
      </c>
      <c r="B73" s="123"/>
      <c r="C73" s="933" t="s">
        <v>48</v>
      </c>
      <c r="D73" s="958" t="s">
        <v>1079</v>
      </c>
      <c r="E73" s="125">
        <v>1</v>
      </c>
      <c r="F73" s="126">
        <v>30</v>
      </c>
      <c r="G73" s="127">
        <v>150</v>
      </c>
      <c r="H73" s="127">
        <v>80</v>
      </c>
      <c r="I73" s="127">
        <v>10</v>
      </c>
      <c r="J73" s="937">
        <v>5100</v>
      </c>
      <c r="K73" s="7">
        <f>Inventory_List_Table3[[#This Row],[Q]]*Inventory_List_Table3[[#This Row],[Per piece MXN$]]</f>
        <v>5100</v>
      </c>
      <c r="L73" s="128">
        <f>Inventory_List_Table3[[#This Row],[KG]]*2.20462</f>
        <v>66.138599999999997</v>
      </c>
      <c r="M73" s="8">
        <f>Inventory_List_Table3[[#This Row],[H CM]]/2.54</f>
        <v>59.055118110236222</v>
      </c>
      <c r="N73" s="8">
        <f>Inventory_List_Table3[[#This Row],[W CM]]/2.54</f>
        <v>31.496062992125985</v>
      </c>
      <c r="O73" s="130">
        <f>Inventory_List_Table3[[#This Row],[D CM ]]/2.54</f>
        <v>3.9370078740157481</v>
      </c>
      <c r="P73" s="9">
        <f>Inventory_List_Table3[[#This Row],[Per piece MXN$]]/$U$2</f>
        <v>283.33333333333331</v>
      </c>
      <c r="Q73" s="9">
        <f t="shared" si="6"/>
        <v>283</v>
      </c>
      <c r="R73" s="9">
        <f>Inventory_List_Table3[[#This Row],[AQ ROUND]]*1.4</f>
        <v>396.2</v>
      </c>
      <c r="S73" s="9">
        <f t="shared" si="7"/>
        <v>396</v>
      </c>
      <c r="T73" s="9">
        <f>Inventory_List_Table3[[#This Row],[LND ROUND]]*12</f>
        <v>4752</v>
      </c>
      <c r="U73" s="9">
        <f>Inventory_List_Table3[[#This Row],[AQ]]*Inventory_List_Table3[[#This Row],[Q]]</f>
        <v>283.33333333333331</v>
      </c>
      <c r="V73" s="129" t="s">
        <v>636</v>
      </c>
      <c r="W73" s="129" t="s">
        <v>635</v>
      </c>
      <c r="X73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73" s="75">
        <f>Inventory_List_Table3[[#This Row],[Per piece MXN$]]/X73*10000</f>
        <v>3072.2891566265057</v>
      </c>
    </row>
    <row r="74" spans="1:25" ht="21" x14ac:dyDescent="0.25">
      <c r="A74" s="122" t="s">
        <v>232</v>
      </c>
      <c r="B74" s="123"/>
      <c r="C74" s="933" t="s">
        <v>53</v>
      </c>
      <c r="D74" s="958" t="s">
        <v>1080</v>
      </c>
      <c r="E74" s="125">
        <v>6</v>
      </c>
      <c r="F74" s="126">
        <v>13</v>
      </c>
      <c r="G74" s="127">
        <v>80</v>
      </c>
      <c r="H74" s="127">
        <v>80</v>
      </c>
      <c r="I74" s="127">
        <v>10</v>
      </c>
      <c r="J74" s="937">
        <v>4200</v>
      </c>
      <c r="K74" s="7">
        <f>Inventory_List_Table3[[#This Row],[Q]]*Inventory_List_Table3[[#This Row],[Per piece MXN$]]</f>
        <v>25200</v>
      </c>
      <c r="L74" s="128">
        <f>Inventory_List_Table3[[#This Row],[KG]]*2.20462</f>
        <v>28.660059999999998</v>
      </c>
      <c r="M74" s="8">
        <f>Inventory_List_Table3[[#This Row],[H CM]]/2.54</f>
        <v>31.496062992125985</v>
      </c>
      <c r="N74" s="8">
        <f>Inventory_List_Table3[[#This Row],[W CM]]/2.54</f>
        <v>31.496062992125985</v>
      </c>
      <c r="O74" s="130">
        <f>Inventory_List_Table3[[#This Row],[D CM ]]/2.54</f>
        <v>3.9370078740157481</v>
      </c>
      <c r="P74" s="9">
        <f>Inventory_List_Table3[[#This Row],[Per piece MXN$]]/$U$2</f>
        <v>233.33333333333334</v>
      </c>
      <c r="Q74" s="9">
        <f t="shared" si="6"/>
        <v>233</v>
      </c>
      <c r="R74" s="9">
        <f>Inventory_List_Table3[[#This Row],[AQ ROUND]]*1.4</f>
        <v>326.2</v>
      </c>
      <c r="S74" s="9">
        <f t="shared" si="7"/>
        <v>326</v>
      </c>
      <c r="T74" s="9">
        <f>Inventory_List_Table3[[#This Row],[LND ROUND]]*12</f>
        <v>3912</v>
      </c>
      <c r="U74" s="9">
        <f>Inventory_List_Table3[[#This Row],[AQ]]*Inventory_List_Table3[[#This Row],[Q]]</f>
        <v>1400</v>
      </c>
      <c r="V74" s="129" t="s">
        <v>640</v>
      </c>
      <c r="W74" s="129" t="s">
        <v>639</v>
      </c>
      <c r="X74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9600</v>
      </c>
      <c r="Y74" s="75">
        <f>Inventory_List_Table3[[#This Row],[Per piece MXN$]]/X74*10000</f>
        <v>4375</v>
      </c>
    </row>
    <row r="75" spans="1:25" ht="21" x14ac:dyDescent="0.25">
      <c r="A75" s="122" t="s">
        <v>233</v>
      </c>
      <c r="B75" s="123"/>
      <c r="C75" s="933" t="s">
        <v>48</v>
      </c>
      <c r="D75" s="958" t="s">
        <v>1081</v>
      </c>
      <c r="E75" s="125">
        <v>5</v>
      </c>
      <c r="F75" s="126">
        <v>19</v>
      </c>
      <c r="G75" s="127">
        <v>110</v>
      </c>
      <c r="H75" s="127">
        <v>60</v>
      </c>
      <c r="I75" s="127">
        <v>10</v>
      </c>
      <c r="J75" s="937">
        <v>3400</v>
      </c>
      <c r="K75" s="7">
        <f>Inventory_List_Table3[[#This Row],[Q]]*Inventory_List_Table3[[#This Row],[Per piece MXN$]]</f>
        <v>17000</v>
      </c>
      <c r="L75" s="128">
        <f>Inventory_List_Table3[[#This Row],[KG]]*2.20462</f>
        <v>41.887779999999999</v>
      </c>
      <c r="M75" s="8">
        <f>Inventory_List_Table3[[#This Row],[H CM]]/2.54</f>
        <v>43.30708661417323</v>
      </c>
      <c r="N75" s="8">
        <f>Inventory_List_Table3[[#This Row],[W CM]]/2.54</f>
        <v>23.622047244094489</v>
      </c>
      <c r="O75" s="130">
        <f>Inventory_List_Table3[[#This Row],[D CM ]]/2.54</f>
        <v>3.9370078740157481</v>
      </c>
      <c r="P75" s="9">
        <f>Inventory_List_Table3[[#This Row],[Per piece MXN$]]/$U$2</f>
        <v>188.88888888888889</v>
      </c>
      <c r="Q75" s="9">
        <f t="shared" si="6"/>
        <v>189</v>
      </c>
      <c r="R75" s="9">
        <f>Inventory_List_Table3[[#This Row],[AQ ROUND]]*1.4</f>
        <v>264.59999999999997</v>
      </c>
      <c r="S75" s="9">
        <f t="shared" si="7"/>
        <v>265</v>
      </c>
      <c r="T75" s="9">
        <f>Inventory_List_Table3[[#This Row],[LND ROUND]]*12</f>
        <v>3180</v>
      </c>
      <c r="U75" s="9">
        <f>Inventory_List_Table3[[#This Row],[AQ]]*Inventory_List_Table3[[#This Row],[Q]]</f>
        <v>944.44444444444446</v>
      </c>
      <c r="V75" s="129" t="s">
        <v>642</v>
      </c>
      <c r="W75" s="129" t="s">
        <v>38</v>
      </c>
      <c r="X75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75" s="75">
        <f>Inventory_List_Table3[[#This Row],[Per piece MXN$]]/X75*10000</f>
        <v>3400.0000000000005</v>
      </c>
    </row>
    <row r="76" spans="1:25" ht="21" x14ac:dyDescent="0.25">
      <c r="A76" s="122" t="s">
        <v>234</v>
      </c>
      <c r="B76" s="123"/>
      <c r="C76" s="933" t="s">
        <v>54</v>
      </c>
      <c r="D76" s="958" t="s">
        <v>1082</v>
      </c>
      <c r="E76" s="125">
        <v>1</v>
      </c>
      <c r="F76" s="126">
        <v>52</v>
      </c>
      <c r="G76" s="127">
        <v>86</v>
      </c>
      <c r="H76" s="127">
        <v>86</v>
      </c>
      <c r="I76" s="127">
        <v>50</v>
      </c>
      <c r="J76" s="937">
        <v>8000</v>
      </c>
      <c r="K76" s="7">
        <f>Inventory_List_Table3[[#This Row],[Q]]*Inventory_List_Table3[[#This Row],[Per piece MXN$]]</f>
        <v>8000</v>
      </c>
      <c r="L76" s="128">
        <f>Inventory_List_Table3[[#This Row],[KG]]*2.20462</f>
        <v>114.64023999999999</v>
      </c>
      <c r="M76" s="8">
        <f>Inventory_List_Table3[[#This Row],[H CM]]/2.54</f>
        <v>33.85826771653543</v>
      </c>
      <c r="N76" s="8">
        <f>Inventory_List_Table3[[#This Row],[W CM]]/2.54</f>
        <v>33.85826771653543</v>
      </c>
      <c r="O76" s="130">
        <f>Inventory_List_Table3[[#This Row],[D CM ]]/2.54</f>
        <v>19.685039370078741</v>
      </c>
      <c r="P76" s="9">
        <f>Inventory_List_Table3[[#This Row],[Per piece MXN$]]/$U$2</f>
        <v>444.44444444444446</v>
      </c>
      <c r="Q76" s="9">
        <f t="shared" si="6"/>
        <v>445</v>
      </c>
      <c r="R76" s="9">
        <f>Inventory_List_Table3[[#This Row],[AQ ROUND]]*1.4</f>
        <v>623</v>
      </c>
      <c r="S76" s="9">
        <f t="shared" si="7"/>
        <v>623</v>
      </c>
      <c r="T76" s="9">
        <f>Inventory_List_Table3[[#This Row],[LND ROUND]]*12</f>
        <v>7476</v>
      </c>
      <c r="U76" s="9">
        <f>Inventory_List_Table3[[#This Row],[AQ]]*Inventory_List_Table3[[#This Row],[Q]]</f>
        <v>444.44444444444446</v>
      </c>
      <c r="V76" s="129" t="s">
        <v>654</v>
      </c>
      <c r="W76" s="129" t="s">
        <v>653</v>
      </c>
      <c r="X76" s="45">
        <f>Inventory_List_Table3[[#This Row],[H CM]]*Inventory_List_Table3[[#This Row],[W CM]]*4+Inventory_List_Table3[[#This Row],[D CM ]]*Inventory_List_Table3[[#This Row],[D CM ]]</f>
        <v>32084</v>
      </c>
      <c r="Y76" s="75">
        <f>Inventory_List_Table3[[#This Row],[Per piece MXN$]]/X76*10000</f>
        <v>2493.4546814611645</v>
      </c>
    </row>
    <row r="77" spans="1:25" ht="21" x14ac:dyDescent="0.25">
      <c r="A77" s="122" t="s">
        <v>235</v>
      </c>
      <c r="B77" s="123">
        <v>45954</v>
      </c>
      <c r="C77" s="935" t="s">
        <v>294</v>
      </c>
      <c r="D77" s="957" t="s">
        <v>1160</v>
      </c>
      <c r="E77" s="125">
        <v>2</v>
      </c>
      <c r="F77" s="126">
        <v>30</v>
      </c>
      <c r="G77" s="127">
        <v>150</v>
      </c>
      <c r="H77" s="127">
        <v>80</v>
      </c>
      <c r="I77" s="127">
        <v>10</v>
      </c>
      <c r="J77" s="22">
        <v>5100</v>
      </c>
      <c r="K77" s="936">
        <f>Inventory_List_Table3[[#This Row],[Q]]*Inventory_List_Table3[[#This Row],[Per piece MXN$]]</f>
        <v>10200</v>
      </c>
      <c r="L77" s="128">
        <f>Inventory_List_Table3[[#This Row],[KG]]*2.20462</f>
        <v>66.138599999999997</v>
      </c>
      <c r="M77" s="20">
        <f>Inventory_List_Table3[[#This Row],[H CM]]/2.54</f>
        <v>59.055118110236222</v>
      </c>
      <c r="N77" s="20">
        <f>Inventory_List_Table3[[#This Row],[W CM]]/2.54</f>
        <v>31.496062992125985</v>
      </c>
      <c r="O77" s="131">
        <f>Inventory_List_Table3[[#This Row],[D CM ]]/2.54</f>
        <v>3.9370078740157481</v>
      </c>
      <c r="P77" s="21">
        <f>Inventory_List_Table3[[#This Row],[Per piece MXN$]]/$U$2</f>
        <v>283.33333333333331</v>
      </c>
      <c r="Q77" s="21">
        <f t="shared" si="6"/>
        <v>283</v>
      </c>
      <c r="R77" s="21">
        <f>Inventory_List_Table3[[#This Row],[AQ ROUND]]*1.4</f>
        <v>396.2</v>
      </c>
      <c r="S77" s="21">
        <f t="shared" si="7"/>
        <v>396</v>
      </c>
      <c r="T77" s="21">
        <f>Inventory_List_Table3[[#This Row],[LND ROUND]]*12</f>
        <v>4752</v>
      </c>
      <c r="U77" s="21">
        <f>Inventory_List_Table3[[#This Row],[AQ]]*Inventory_List_Table3[[#This Row],[Q]]</f>
        <v>566.66666666666663</v>
      </c>
      <c r="V77" s="129" t="s">
        <v>636</v>
      </c>
      <c r="W77" s="129" t="s">
        <v>635</v>
      </c>
      <c r="X77" s="45">
        <f>Inventory_List_Table3[[#This Row],[H CM]]*Inventory_List_Table3[[#This Row],[W CM]]*4+Inventory_List_Table3[[#This Row],[D CM ]]*Inventory_List_Table3[[#This Row],[D CM ]]</f>
        <v>48100</v>
      </c>
      <c r="Y77" s="75">
        <f>Inventory_List_Table3[[#This Row],[Per piece MXN$]]/X77*10000</f>
        <v>1060.2910602910604</v>
      </c>
    </row>
    <row r="78" spans="1:25" ht="21" x14ac:dyDescent="0.25">
      <c r="A78" s="122" t="s">
        <v>236</v>
      </c>
      <c r="B78" s="123">
        <v>45954</v>
      </c>
      <c r="C78" s="935" t="s">
        <v>295</v>
      </c>
      <c r="D78" s="957" t="s">
        <v>1161</v>
      </c>
      <c r="E78" s="125">
        <v>4</v>
      </c>
      <c r="F78" s="126">
        <v>30</v>
      </c>
      <c r="G78" s="127">
        <v>150</v>
      </c>
      <c r="H78" s="127">
        <v>80</v>
      </c>
      <c r="I78" s="127">
        <v>10</v>
      </c>
      <c r="J78" s="22">
        <v>5100</v>
      </c>
      <c r="K78" s="936">
        <f>Inventory_List_Table3[[#This Row],[Q]]*Inventory_List_Table3[[#This Row],[Per piece MXN$]]</f>
        <v>20400</v>
      </c>
      <c r="L78" s="128">
        <f>Inventory_List_Table3[[#This Row],[KG]]*2.20462</f>
        <v>66.138599999999997</v>
      </c>
      <c r="M78" s="20">
        <f>Inventory_List_Table3[[#This Row],[H CM]]/2.54</f>
        <v>59.055118110236222</v>
      </c>
      <c r="N78" s="20">
        <f>Inventory_List_Table3[[#This Row],[W CM]]/2.54</f>
        <v>31.496062992125985</v>
      </c>
      <c r="O78" s="131">
        <f>Inventory_List_Table3[[#This Row],[D CM ]]/2.54</f>
        <v>3.9370078740157481</v>
      </c>
      <c r="P78" s="21">
        <f>Inventory_List_Table3[[#This Row],[Per piece MXN$]]/$U$2</f>
        <v>283.33333333333331</v>
      </c>
      <c r="Q78" s="21">
        <f t="shared" si="6"/>
        <v>283</v>
      </c>
      <c r="R78" s="21">
        <f>Inventory_List_Table3[[#This Row],[AQ ROUND]]*1.4</f>
        <v>396.2</v>
      </c>
      <c r="S78" s="21">
        <f t="shared" si="7"/>
        <v>396</v>
      </c>
      <c r="T78" s="21">
        <f>Inventory_List_Table3[[#This Row],[LND ROUND]]*12</f>
        <v>4752</v>
      </c>
      <c r="U78" s="21">
        <f>Inventory_List_Table3[[#This Row],[AQ]]*Inventory_List_Table3[[#This Row],[Q]]</f>
        <v>1133.3333333333333</v>
      </c>
      <c r="V78" s="129" t="s">
        <v>636</v>
      </c>
      <c r="W78" s="129" t="s">
        <v>635</v>
      </c>
      <c r="X78" s="45">
        <f>Inventory_List_Table3[[#This Row],[H CM]]*Inventory_List_Table3[[#This Row],[W CM]]*4+Inventory_List_Table3[[#This Row],[D CM ]]*Inventory_List_Table3[[#This Row],[D CM ]]</f>
        <v>48100</v>
      </c>
      <c r="Y78" s="75">
        <f>Inventory_List_Table3[[#This Row],[Per piece MXN$]]/X78*10000</f>
        <v>1060.2910602910604</v>
      </c>
    </row>
    <row r="79" spans="1:25" ht="21" x14ac:dyDescent="0.25">
      <c r="A79" s="122" t="s">
        <v>237</v>
      </c>
      <c r="B79" s="123">
        <v>45954</v>
      </c>
      <c r="C79" s="935" t="s">
        <v>296</v>
      </c>
      <c r="D79" s="957" t="s">
        <v>1162</v>
      </c>
      <c r="E79" s="125">
        <v>1</v>
      </c>
      <c r="F79" s="126">
        <v>40</v>
      </c>
      <c r="G79" s="127">
        <v>183</v>
      </c>
      <c r="H79" s="127">
        <v>102</v>
      </c>
      <c r="I79" s="127">
        <v>10</v>
      </c>
      <c r="J79" s="22">
        <v>7600</v>
      </c>
      <c r="K79" s="936">
        <f>Inventory_List_Table3[[#This Row],[Q]]*Inventory_List_Table3[[#This Row],[Per piece MXN$]]</f>
        <v>7600</v>
      </c>
      <c r="L79" s="128">
        <f>Inventory_List_Table3[[#This Row],[KG]]*2.20462</f>
        <v>88.184799999999996</v>
      </c>
      <c r="M79" s="20">
        <f>Inventory_List_Table3[[#This Row],[H CM]]/2.54</f>
        <v>72.047244094488192</v>
      </c>
      <c r="N79" s="20">
        <f>Inventory_List_Table3[[#This Row],[W CM]]/2.54</f>
        <v>40.15748031496063</v>
      </c>
      <c r="O79" s="131">
        <f>Inventory_List_Table3[[#This Row],[D CM ]]/2.54</f>
        <v>3.9370078740157481</v>
      </c>
      <c r="P79" s="21">
        <f>Inventory_List_Table3[[#This Row],[Per piece MXN$]]/$U$2</f>
        <v>422.22222222222223</v>
      </c>
      <c r="Q79" s="21">
        <f t="shared" si="6"/>
        <v>422</v>
      </c>
      <c r="R79" s="21">
        <f>Inventory_List_Table3[[#This Row],[AQ ROUND]]*1.4</f>
        <v>590.79999999999995</v>
      </c>
      <c r="S79" s="21">
        <f t="shared" si="7"/>
        <v>591</v>
      </c>
      <c r="T79" s="21">
        <f>Inventory_List_Table3[[#This Row],[LND ROUND]]*12</f>
        <v>7092</v>
      </c>
      <c r="U79" s="21">
        <f>Inventory_List_Table3[[#This Row],[AQ]]*Inventory_List_Table3[[#This Row],[Q]]</f>
        <v>422.22222222222223</v>
      </c>
      <c r="V79" s="129" t="s">
        <v>1163</v>
      </c>
      <c r="W79" s="129" t="s">
        <v>1164</v>
      </c>
      <c r="X79" s="45">
        <f>Inventory_List_Table3[[#This Row],[H CM]]*Inventory_List_Table3[[#This Row],[W CM]]*4+Inventory_List_Table3[[#This Row],[D CM ]]*Inventory_List_Table3[[#This Row],[D CM ]]</f>
        <v>74764</v>
      </c>
      <c r="Y79" s="75">
        <f>Inventory_List_Table3[[#This Row],[Per piece MXN$]]/X79*10000</f>
        <v>1016.532020758654</v>
      </c>
    </row>
    <row r="80" spans="1:25" ht="21" x14ac:dyDescent="0.25">
      <c r="A80" s="122" t="s">
        <v>238</v>
      </c>
      <c r="B80" s="123">
        <v>45954</v>
      </c>
      <c r="C80" s="935" t="s">
        <v>49</v>
      </c>
      <c r="D80" s="957" t="s">
        <v>1165</v>
      </c>
      <c r="E80" s="125">
        <v>3</v>
      </c>
      <c r="F80" s="126">
        <v>27</v>
      </c>
      <c r="G80" s="127">
        <v>100</v>
      </c>
      <c r="H80" s="127">
        <v>100</v>
      </c>
      <c r="I80" s="127">
        <v>10</v>
      </c>
      <c r="J80" s="22">
        <v>4200</v>
      </c>
      <c r="K80" s="936">
        <f>Inventory_List_Table3[[#This Row],[Q]]*Inventory_List_Table3[[#This Row],[Per piece MXN$]]</f>
        <v>12600</v>
      </c>
      <c r="L80" s="128">
        <f>Inventory_List_Table3[[#This Row],[KG]]*2.20462</f>
        <v>59.524739999999994</v>
      </c>
      <c r="M80" s="20">
        <f>Inventory_List_Table3[[#This Row],[H CM]]/2.54</f>
        <v>39.370078740157481</v>
      </c>
      <c r="N80" s="20">
        <f>Inventory_List_Table3[[#This Row],[W CM]]/2.54</f>
        <v>39.370078740157481</v>
      </c>
      <c r="O80" s="131">
        <f>Inventory_List_Table3[[#This Row],[D CM ]]/2.54</f>
        <v>3.9370078740157481</v>
      </c>
      <c r="P80" s="21">
        <f>Inventory_List_Table3[[#This Row],[Per piece MXN$]]/$U$2</f>
        <v>233.33333333333334</v>
      </c>
      <c r="Q80" s="21">
        <f t="shared" si="6"/>
        <v>233</v>
      </c>
      <c r="R80" s="21">
        <f>Inventory_List_Table3[[#This Row],[AQ ROUND]]*1.4</f>
        <v>326.2</v>
      </c>
      <c r="S80" s="21">
        <f t="shared" si="7"/>
        <v>326</v>
      </c>
      <c r="T80" s="21">
        <f>Inventory_List_Table3[[#This Row],[LND ROUND]]*12</f>
        <v>3912</v>
      </c>
      <c r="U80" s="21">
        <f>Inventory_List_Table3[[#This Row],[AQ]]*Inventory_List_Table3[[#This Row],[Q]]</f>
        <v>700</v>
      </c>
      <c r="V80" s="129" t="s">
        <v>640</v>
      </c>
      <c r="W80" s="129" t="s">
        <v>639</v>
      </c>
      <c r="X80" s="45">
        <f>Inventory_List_Table3[[#This Row],[H CM]]*Inventory_List_Table3[[#This Row],[W CM]]*4+Inventory_List_Table3[[#This Row],[D CM ]]*Inventory_List_Table3[[#This Row],[D CM ]]</f>
        <v>40100</v>
      </c>
      <c r="Y80" s="75">
        <f>Inventory_List_Table3[[#This Row],[Per piece MXN$]]/X80*10000</f>
        <v>1047.3815461346633</v>
      </c>
    </row>
    <row r="81" spans="1:25" ht="21" x14ac:dyDescent="0.25">
      <c r="A81" s="122" t="s">
        <v>239</v>
      </c>
      <c r="B81" s="123">
        <v>45954</v>
      </c>
      <c r="C81" s="935" t="s">
        <v>295</v>
      </c>
      <c r="D81" s="957" t="s">
        <v>1166</v>
      </c>
      <c r="E81" s="125">
        <v>2</v>
      </c>
      <c r="F81" s="126">
        <v>19</v>
      </c>
      <c r="G81" s="127">
        <v>110</v>
      </c>
      <c r="H81" s="127">
        <v>60</v>
      </c>
      <c r="I81" s="127">
        <v>10</v>
      </c>
      <c r="J81" s="22">
        <v>3400</v>
      </c>
      <c r="K81" s="936">
        <f>Inventory_List_Table3[[#This Row],[Q]]*Inventory_List_Table3[[#This Row],[Per piece MXN$]]</f>
        <v>6800</v>
      </c>
      <c r="L81" s="128">
        <f>Inventory_List_Table3[[#This Row],[KG]]*2.20462</f>
        <v>41.887779999999999</v>
      </c>
      <c r="M81" s="20">
        <f>Inventory_List_Table3[[#This Row],[H CM]]/2.54</f>
        <v>43.30708661417323</v>
      </c>
      <c r="N81" s="20">
        <f>Inventory_List_Table3[[#This Row],[W CM]]/2.54</f>
        <v>23.622047244094489</v>
      </c>
      <c r="O81" s="131">
        <f>Inventory_List_Table3[[#This Row],[D CM ]]/2.54</f>
        <v>3.9370078740157481</v>
      </c>
      <c r="P81" s="21">
        <f>Inventory_List_Table3[[#This Row],[Per piece MXN$]]/$U$2</f>
        <v>188.88888888888889</v>
      </c>
      <c r="Q81" s="21">
        <f t="shared" si="6"/>
        <v>189</v>
      </c>
      <c r="R81" s="21">
        <f>Inventory_List_Table3[[#This Row],[AQ ROUND]]*1.4</f>
        <v>264.59999999999997</v>
      </c>
      <c r="S81" s="21">
        <f t="shared" si="7"/>
        <v>265</v>
      </c>
      <c r="T81" s="21">
        <f>Inventory_List_Table3[[#This Row],[LND ROUND]]*12</f>
        <v>3180</v>
      </c>
      <c r="U81" s="21">
        <f>Inventory_List_Table3[[#This Row],[AQ]]*Inventory_List_Table3[[#This Row],[Q]]</f>
        <v>377.77777777777777</v>
      </c>
      <c r="V81" s="129" t="s">
        <v>642</v>
      </c>
      <c r="W81" s="129" t="s">
        <v>38</v>
      </c>
      <c r="X81" s="45">
        <f>Inventory_List_Table3[[#This Row],[H CM]]*Inventory_List_Table3[[#This Row],[W CM]]*4+Inventory_List_Table3[[#This Row],[D CM ]]*Inventory_List_Table3[[#This Row],[D CM ]]</f>
        <v>26500</v>
      </c>
      <c r="Y81" s="75">
        <f>Inventory_List_Table3[[#This Row],[Per piece MXN$]]/X81*10000</f>
        <v>1283.0188679245282</v>
      </c>
    </row>
    <row r="82" spans="1:25" ht="21" x14ac:dyDescent="0.25">
      <c r="A82" s="122" t="s">
        <v>240</v>
      </c>
      <c r="B82" s="123">
        <v>45954</v>
      </c>
      <c r="C82" s="935" t="s">
        <v>297</v>
      </c>
      <c r="D82" s="957" t="s">
        <v>1167</v>
      </c>
      <c r="E82" s="125">
        <v>1</v>
      </c>
      <c r="F82" s="126"/>
      <c r="G82" s="127">
        <v>120</v>
      </c>
      <c r="H82" s="127">
        <v>22</v>
      </c>
      <c r="I82" s="127">
        <v>11</v>
      </c>
      <c r="J82" s="22">
        <v>3484</v>
      </c>
      <c r="K82" s="936">
        <f>Inventory_List_Table3[[#This Row],[Q]]*Inventory_List_Table3[[#This Row],[Per piece MXN$]]</f>
        <v>3484</v>
      </c>
      <c r="L82" s="128">
        <f>Inventory_List_Table3[[#This Row],[KG]]*2.20462</f>
        <v>0</v>
      </c>
      <c r="M82" s="20">
        <f>Inventory_List_Table3[[#This Row],[H CM]]/2.54</f>
        <v>47.244094488188978</v>
      </c>
      <c r="N82" s="20">
        <f>Inventory_List_Table3[[#This Row],[W CM]]/2.54</f>
        <v>8.6614173228346463</v>
      </c>
      <c r="O82" s="131">
        <f>Inventory_List_Table3[[#This Row],[D CM ]]/2.54</f>
        <v>4.3307086614173231</v>
      </c>
      <c r="P82" s="21">
        <f>Inventory_List_Table3[[#This Row],[Per piece MXN$]]/$U$2</f>
        <v>193.55555555555554</v>
      </c>
      <c r="Q82" s="21">
        <f t="shared" si="6"/>
        <v>194</v>
      </c>
      <c r="R82" s="21">
        <f>Inventory_List_Table3[[#This Row],[AQ ROUND]]*1.4</f>
        <v>271.59999999999997</v>
      </c>
      <c r="S82" s="21">
        <f t="shared" si="7"/>
        <v>272</v>
      </c>
      <c r="T82" s="21">
        <f>Inventory_List_Table3[[#This Row],[LND ROUND]]*12</f>
        <v>3264</v>
      </c>
      <c r="U82" s="21">
        <f>Inventory_List_Table3[[#This Row],[AQ]]*Inventory_List_Table3[[#This Row],[Q]]</f>
        <v>193.55555555555554</v>
      </c>
      <c r="V82" s="129" t="s">
        <v>1168</v>
      </c>
      <c r="W82" s="129" t="s">
        <v>1169</v>
      </c>
      <c r="X82" s="45">
        <f>Inventory_List_Table3[[#This Row],[H CM]]*Inventory_List_Table3[[#This Row],[W CM]]*4+Inventory_List_Table3[[#This Row],[D CM ]]*Inventory_List_Table3[[#This Row],[D CM ]]</f>
        <v>10681</v>
      </c>
      <c r="Y82" s="75">
        <f>Inventory_List_Table3[[#This Row],[Per piece MXN$]]/X82*10000</f>
        <v>3261.8668663982776</v>
      </c>
    </row>
    <row r="83" spans="1:25" ht="21" x14ac:dyDescent="0.25">
      <c r="A83" s="122" t="s">
        <v>241</v>
      </c>
      <c r="B83" s="123">
        <v>45954</v>
      </c>
      <c r="C83" s="935" t="s">
        <v>297</v>
      </c>
      <c r="D83" s="957" t="s">
        <v>1170</v>
      </c>
      <c r="E83" s="125">
        <v>1</v>
      </c>
      <c r="F83" s="126"/>
      <c r="G83" s="127">
        <v>115</v>
      </c>
      <c r="H83" s="127">
        <v>22</v>
      </c>
      <c r="I83" s="127">
        <v>11</v>
      </c>
      <c r="J83" s="22">
        <v>3339</v>
      </c>
      <c r="K83" s="936">
        <f>Inventory_List_Table3[[#This Row],[Q]]*Inventory_List_Table3[[#This Row],[Per piece MXN$]]</f>
        <v>3339</v>
      </c>
      <c r="L83" s="128">
        <f>Inventory_List_Table3[[#This Row],[KG]]*2.20462</f>
        <v>0</v>
      </c>
      <c r="M83" s="20">
        <f>Inventory_List_Table3[[#This Row],[H CM]]/2.54</f>
        <v>45.275590551181104</v>
      </c>
      <c r="N83" s="20">
        <f>Inventory_List_Table3[[#This Row],[W CM]]/2.54</f>
        <v>8.6614173228346463</v>
      </c>
      <c r="O83" s="131">
        <f>Inventory_List_Table3[[#This Row],[D CM ]]/2.54</f>
        <v>4.3307086614173231</v>
      </c>
      <c r="P83" s="21">
        <f>Inventory_List_Table3[[#This Row],[Per piece MXN$]]/$U$2</f>
        <v>185.5</v>
      </c>
      <c r="Q83" s="21">
        <f t="shared" si="6"/>
        <v>186</v>
      </c>
      <c r="R83" s="21">
        <f>Inventory_List_Table3[[#This Row],[AQ ROUND]]*1.4</f>
        <v>260.39999999999998</v>
      </c>
      <c r="S83" s="21">
        <f t="shared" si="7"/>
        <v>260</v>
      </c>
      <c r="T83" s="21">
        <f>Inventory_List_Table3[[#This Row],[LND ROUND]]*12</f>
        <v>3120</v>
      </c>
      <c r="U83" s="21">
        <f>Inventory_List_Table3[[#This Row],[AQ]]*Inventory_List_Table3[[#This Row],[Q]]</f>
        <v>185.5</v>
      </c>
      <c r="V83" s="129" t="s">
        <v>1171</v>
      </c>
      <c r="W83" s="129" t="s">
        <v>1172</v>
      </c>
      <c r="X83" s="45">
        <f>Inventory_List_Table3[[#This Row],[H CM]]*Inventory_List_Table3[[#This Row],[W CM]]*4+Inventory_List_Table3[[#This Row],[D CM ]]*Inventory_List_Table3[[#This Row],[D CM ]]</f>
        <v>10241</v>
      </c>
      <c r="Y83" s="75">
        <f>Inventory_List_Table3[[#This Row],[Per piece MXN$]]/X83*10000</f>
        <v>3260.4237867395764</v>
      </c>
    </row>
    <row r="84" spans="1:25" ht="21" x14ac:dyDescent="0.25">
      <c r="A84" s="122" t="s">
        <v>242</v>
      </c>
      <c r="B84" s="123">
        <v>45954</v>
      </c>
      <c r="C84" s="935" t="s">
        <v>298</v>
      </c>
      <c r="D84" s="957" t="s">
        <v>1173</v>
      </c>
      <c r="E84" s="125">
        <v>3</v>
      </c>
      <c r="F84" s="126"/>
      <c r="G84" s="127">
        <v>110</v>
      </c>
      <c r="H84" s="127">
        <v>22</v>
      </c>
      <c r="I84" s="127">
        <v>11</v>
      </c>
      <c r="J84" s="22">
        <v>3194</v>
      </c>
      <c r="K84" s="936">
        <f>Inventory_List_Table3[[#This Row],[Q]]*Inventory_List_Table3[[#This Row],[Per piece MXN$]]</f>
        <v>9582</v>
      </c>
      <c r="L84" s="128">
        <f>Inventory_List_Table3[[#This Row],[KG]]*2.20462</f>
        <v>0</v>
      </c>
      <c r="M84" s="20">
        <f>Inventory_List_Table3[[#This Row],[H CM]]/2.54</f>
        <v>43.30708661417323</v>
      </c>
      <c r="N84" s="20">
        <f>Inventory_List_Table3[[#This Row],[W CM]]/2.54</f>
        <v>8.6614173228346463</v>
      </c>
      <c r="O84" s="131">
        <f>Inventory_List_Table3[[#This Row],[D CM ]]/2.54</f>
        <v>4.3307086614173231</v>
      </c>
      <c r="P84" s="21">
        <f>Inventory_List_Table3[[#This Row],[Per piece MXN$]]/$U$2</f>
        <v>177.44444444444446</v>
      </c>
      <c r="Q84" s="21">
        <f t="shared" si="6"/>
        <v>178</v>
      </c>
      <c r="R84" s="21">
        <f>Inventory_List_Table3[[#This Row],[AQ ROUND]]*1.4</f>
        <v>249.2</v>
      </c>
      <c r="S84" s="21">
        <f t="shared" si="7"/>
        <v>249</v>
      </c>
      <c r="T84" s="21">
        <f>Inventory_List_Table3[[#This Row],[LND ROUND]]*12</f>
        <v>2988</v>
      </c>
      <c r="U84" s="21">
        <f>Inventory_List_Table3[[#This Row],[AQ]]*Inventory_List_Table3[[#This Row],[Q]]</f>
        <v>532.33333333333337</v>
      </c>
      <c r="V84" s="129" t="s">
        <v>1114</v>
      </c>
      <c r="W84" s="129" t="s">
        <v>1174</v>
      </c>
      <c r="X84" s="45">
        <f>Inventory_List_Table3[[#This Row],[H CM]]*Inventory_List_Table3[[#This Row],[W CM]]*4+Inventory_List_Table3[[#This Row],[D CM ]]*Inventory_List_Table3[[#This Row],[D CM ]]</f>
        <v>9801</v>
      </c>
      <c r="Y84" s="75">
        <f>Inventory_List_Table3[[#This Row],[Per piece MXN$]]/X84*10000</f>
        <v>3258.8511376390165</v>
      </c>
    </row>
    <row r="85" spans="1:25" ht="21" x14ac:dyDescent="0.25">
      <c r="A85" s="122" t="s">
        <v>243</v>
      </c>
      <c r="B85" s="123">
        <v>45954</v>
      </c>
      <c r="C85" s="935" t="s">
        <v>297</v>
      </c>
      <c r="D85" s="957" t="s">
        <v>1175</v>
      </c>
      <c r="E85" s="125">
        <v>2</v>
      </c>
      <c r="F85" s="126"/>
      <c r="G85" s="127">
        <v>110</v>
      </c>
      <c r="H85" s="127">
        <v>22</v>
      </c>
      <c r="I85" s="127">
        <v>11</v>
      </c>
      <c r="J85" s="22">
        <v>2904</v>
      </c>
      <c r="K85" s="936">
        <f>Inventory_List_Table3[[#This Row],[Q]]*Inventory_List_Table3[[#This Row],[Per piece MXN$]]</f>
        <v>5808</v>
      </c>
      <c r="L85" s="128">
        <f>Inventory_List_Table3[[#This Row],[KG]]*2.20462</f>
        <v>0</v>
      </c>
      <c r="M85" s="20">
        <f>Inventory_List_Table3[[#This Row],[H CM]]/2.54</f>
        <v>43.30708661417323</v>
      </c>
      <c r="N85" s="20">
        <f>Inventory_List_Table3[[#This Row],[W CM]]/2.54</f>
        <v>8.6614173228346463</v>
      </c>
      <c r="O85" s="131">
        <f>Inventory_List_Table3[[#This Row],[D CM ]]/2.54</f>
        <v>4.3307086614173231</v>
      </c>
      <c r="P85" s="21">
        <f>Inventory_List_Table3[[#This Row],[Per piece MXN$]]/$U$2</f>
        <v>161.33333333333334</v>
      </c>
      <c r="Q85" s="21">
        <f t="shared" si="6"/>
        <v>161</v>
      </c>
      <c r="R85" s="21">
        <f>Inventory_List_Table3[[#This Row],[AQ ROUND]]*1.4</f>
        <v>225.39999999999998</v>
      </c>
      <c r="S85" s="21">
        <f t="shared" si="7"/>
        <v>225</v>
      </c>
      <c r="T85" s="21">
        <f>Inventory_List_Table3[[#This Row],[LND ROUND]]*12</f>
        <v>2700</v>
      </c>
      <c r="U85" s="21">
        <f>Inventory_List_Table3[[#This Row],[AQ]]*Inventory_List_Table3[[#This Row],[Q]]</f>
        <v>322.66666666666669</v>
      </c>
      <c r="V85" s="129" t="s">
        <v>1176</v>
      </c>
      <c r="W85" s="129" t="s">
        <v>1177</v>
      </c>
      <c r="X85" s="45">
        <f>Inventory_List_Table3[[#This Row],[H CM]]*Inventory_List_Table3[[#This Row],[W CM]]*4+Inventory_List_Table3[[#This Row],[D CM ]]*Inventory_List_Table3[[#This Row],[D CM ]]</f>
        <v>9801</v>
      </c>
      <c r="Y85" s="75">
        <f>Inventory_List_Table3[[#This Row],[Per piece MXN$]]/X85*10000</f>
        <v>2962.9629629629626</v>
      </c>
    </row>
    <row r="86" spans="1:25" ht="21" x14ac:dyDescent="0.25">
      <c r="A86" s="122" t="s">
        <v>244</v>
      </c>
      <c r="B86" s="123">
        <v>45954</v>
      </c>
      <c r="C86" s="935" t="s">
        <v>299</v>
      </c>
      <c r="D86" s="957" t="s">
        <v>1178</v>
      </c>
      <c r="E86" s="125">
        <v>2</v>
      </c>
      <c r="F86" s="126"/>
      <c r="G86" s="127">
        <v>70</v>
      </c>
      <c r="H86" s="127">
        <v>22</v>
      </c>
      <c r="I86" s="127">
        <v>11</v>
      </c>
      <c r="J86" s="22">
        <v>2032</v>
      </c>
      <c r="K86" s="936">
        <f>Inventory_List_Table3[[#This Row],[Q]]*Inventory_List_Table3[[#This Row],[Per piece MXN$]]</f>
        <v>4064</v>
      </c>
      <c r="L86" s="128">
        <f>Inventory_List_Table3[[#This Row],[KG]]*2.20462</f>
        <v>0</v>
      </c>
      <c r="M86" s="20">
        <f>Inventory_List_Table3[[#This Row],[H CM]]/2.54</f>
        <v>27.559055118110237</v>
      </c>
      <c r="N86" s="20">
        <f>Inventory_List_Table3[[#This Row],[W CM]]/2.54</f>
        <v>8.6614173228346463</v>
      </c>
      <c r="O86" s="131">
        <f>Inventory_List_Table3[[#This Row],[D CM ]]/2.54</f>
        <v>4.3307086614173231</v>
      </c>
      <c r="P86" s="21">
        <f>Inventory_List_Table3[[#This Row],[Per piece MXN$]]/$U$2</f>
        <v>112.88888888888889</v>
      </c>
      <c r="Q86" s="21">
        <f t="shared" si="6"/>
        <v>113</v>
      </c>
      <c r="R86" s="21">
        <f>Inventory_List_Table3[[#This Row],[AQ ROUND]]*1.4</f>
        <v>158.19999999999999</v>
      </c>
      <c r="S86" s="21">
        <f t="shared" si="7"/>
        <v>158</v>
      </c>
      <c r="T86" s="21">
        <f>Inventory_List_Table3[[#This Row],[LND ROUND]]*12</f>
        <v>1896</v>
      </c>
      <c r="U86" s="21">
        <f>Inventory_List_Table3[[#This Row],[AQ]]*Inventory_List_Table3[[#This Row],[Q]]</f>
        <v>225.77777777777777</v>
      </c>
      <c r="V86" s="129" t="s">
        <v>662</v>
      </c>
      <c r="W86" s="129" t="s">
        <v>661</v>
      </c>
      <c r="X86" s="45">
        <f>Inventory_List_Table3[[#This Row],[H CM]]*Inventory_List_Table3[[#This Row],[W CM]]*4+Inventory_List_Table3[[#This Row],[D CM ]]*Inventory_List_Table3[[#This Row],[D CM ]]</f>
        <v>6281</v>
      </c>
      <c r="Y86" s="75">
        <f>Inventory_List_Table3[[#This Row],[Per piece MXN$]]/X86*10000</f>
        <v>3235.1536379557392</v>
      </c>
    </row>
    <row r="87" spans="1:25" ht="21" x14ac:dyDescent="0.25">
      <c r="A87" s="122" t="s">
        <v>245</v>
      </c>
      <c r="B87" s="123">
        <v>45954</v>
      </c>
      <c r="C87" s="935" t="s">
        <v>300</v>
      </c>
      <c r="D87" s="957" t="s">
        <v>1179</v>
      </c>
      <c r="E87" s="125">
        <v>18</v>
      </c>
      <c r="F87" s="126">
        <v>7</v>
      </c>
      <c r="G87" s="127">
        <v>45</v>
      </c>
      <c r="H87" s="127">
        <v>15</v>
      </c>
      <c r="I87" s="127">
        <v>15</v>
      </c>
      <c r="J87" s="22">
        <v>750</v>
      </c>
      <c r="K87" s="936">
        <f>Inventory_List_Table3[[#This Row],[Q]]*Inventory_List_Table3[[#This Row],[Per piece MXN$]]</f>
        <v>13500</v>
      </c>
      <c r="L87" s="128">
        <f>Inventory_List_Table3[[#This Row],[KG]]*2.20462</f>
        <v>15.432339999999998</v>
      </c>
      <c r="M87" s="8">
        <f>Inventory_List_Table3[[#This Row],[H CM]]/2.54</f>
        <v>17.716535433070867</v>
      </c>
      <c r="N87" s="8">
        <f>Inventory_List_Table3[[#This Row],[W CM]]/2.54</f>
        <v>5.9055118110236222</v>
      </c>
      <c r="O87" s="130">
        <f>Inventory_List_Table3[[#This Row],[D CM ]]/2.54</f>
        <v>5.9055118110236222</v>
      </c>
      <c r="P87" s="9">
        <f>Inventory_List_Table3[[#This Row],[Per piece MXN$]]/$U$2</f>
        <v>41.666666666666664</v>
      </c>
      <c r="Q87" s="9">
        <f t="shared" si="6"/>
        <v>42</v>
      </c>
      <c r="R87" s="9">
        <f>Inventory_List_Table3[[#This Row],[AQ ROUND]]*1.4</f>
        <v>58.8</v>
      </c>
      <c r="S87" s="9">
        <f t="shared" si="7"/>
        <v>59</v>
      </c>
      <c r="T87" s="9">
        <f>Inventory_List_Table3[[#This Row],[LND ROUND]]*12</f>
        <v>708</v>
      </c>
      <c r="U87" s="9">
        <f>Inventory_List_Table3[[#This Row],[AQ]]*Inventory_List_Table3[[#This Row],[Q]]</f>
        <v>750</v>
      </c>
      <c r="V87" s="129" t="s">
        <v>686</v>
      </c>
      <c r="W87" s="129" t="s">
        <v>685</v>
      </c>
      <c r="X87" s="45">
        <f>Inventory_List_Table3[[#This Row],[H CM]]*Inventory_List_Table3[[#This Row],[W CM]]*4+Inventory_List_Table3[[#This Row],[D CM ]]*Inventory_List_Table3[[#This Row],[D CM ]]</f>
        <v>2925</v>
      </c>
      <c r="Y87" s="75">
        <f>Inventory_List_Table3[[#This Row],[Per piece MXN$]]/X87*10000</f>
        <v>2564.102564102564</v>
      </c>
    </row>
    <row r="88" spans="1:25" ht="21" x14ac:dyDescent="0.25">
      <c r="A88" s="122" t="s">
        <v>246</v>
      </c>
      <c r="B88" s="123">
        <v>45954</v>
      </c>
      <c r="C88" s="935" t="s">
        <v>301</v>
      </c>
      <c r="D88" s="957" t="s">
        <v>1180</v>
      </c>
      <c r="E88" s="125">
        <v>12</v>
      </c>
      <c r="F88" s="126">
        <v>4</v>
      </c>
      <c r="G88" s="127">
        <v>40</v>
      </c>
      <c r="H88" s="127">
        <v>12</v>
      </c>
      <c r="I88" s="127">
        <v>12</v>
      </c>
      <c r="J88" s="22">
        <v>500</v>
      </c>
      <c r="K88" s="936">
        <f>Inventory_List_Table3[[#This Row],[Q]]*Inventory_List_Table3[[#This Row],[Per piece MXN$]]</f>
        <v>6000</v>
      </c>
      <c r="L88" s="128">
        <f>Inventory_List_Table3[[#This Row],[KG]]*2.20462</f>
        <v>8.8184799999999992</v>
      </c>
      <c r="M88" s="8">
        <f>Inventory_List_Table3[[#This Row],[H CM]]/2.54</f>
        <v>15.748031496062993</v>
      </c>
      <c r="N88" s="8">
        <f>Inventory_List_Table3[[#This Row],[W CM]]/2.54</f>
        <v>4.7244094488188972</v>
      </c>
      <c r="O88" s="130">
        <f>Inventory_List_Table3[[#This Row],[D CM ]]/2.54</f>
        <v>4.7244094488188972</v>
      </c>
      <c r="P88" s="9">
        <f>Inventory_List_Table3[[#This Row],[Per piece MXN$]]/$U$2</f>
        <v>27.777777777777779</v>
      </c>
      <c r="Q88" s="9">
        <f t="shared" si="6"/>
        <v>28</v>
      </c>
      <c r="R88" s="9">
        <f>Inventory_List_Table3[[#This Row],[AQ ROUND]]*1.4</f>
        <v>39.199999999999996</v>
      </c>
      <c r="S88" s="9">
        <f t="shared" si="7"/>
        <v>39</v>
      </c>
      <c r="T88" s="9">
        <f>Inventory_List_Table3[[#This Row],[LND ROUND]]*12</f>
        <v>468</v>
      </c>
      <c r="U88" s="9">
        <f>Inventory_List_Table3[[#This Row],[AQ]]*Inventory_List_Table3[[#This Row],[Q]]</f>
        <v>333.33333333333337</v>
      </c>
      <c r="V88" s="129" t="s">
        <v>713</v>
      </c>
      <c r="W88" s="129" t="s">
        <v>712</v>
      </c>
      <c r="X88" s="45">
        <f>Inventory_List_Table3[[#This Row],[H CM]]*Inventory_List_Table3[[#This Row],[W CM]]*4+Inventory_List_Table3[[#This Row],[D CM ]]*Inventory_List_Table3[[#This Row],[D CM ]]</f>
        <v>2064</v>
      </c>
      <c r="Y88" s="75">
        <f>Inventory_List_Table3[[#This Row],[Per piece MXN$]]/X88*10000</f>
        <v>2422.4806201550387</v>
      </c>
    </row>
    <row r="89" spans="1:25" ht="21" x14ac:dyDescent="0.25">
      <c r="A89" s="122" t="s">
        <v>247</v>
      </c>
      <c r="B89" s="123">
        <v>45954</v>
      </c>
      <c r="C89" s="935" t="s">
        <v>301</v>
      </c>
      <c r="D89" s="957" t="s">
        <v>1181</v>
      </c>
      <c r="E89" s="125">
        <v>18</v>
      </c>
      <c r="F89" s="126">
        <v>3</v>
      </c>
      <c r="G89" s="127">
        <v>35</v>
      </c>
      <c r="H89" s="127">
        <v>10</v>
      </c>
      <c r="I89" s="127">
        <v>10</v>
      </c>
      <c r="J89" s="22">
        <v>380</v>
      </c>
      <c r="K89" s="936">
        <f>Inventory_List_Table3[[#This Row],[Q]]*Inventory_List_Table3[[#This Row],[Per piece MXN$]]</f>
        <v>6840</v>
      </c>
      <c r="L89" s="128">
        <f>Inventory_List_Table3[[#This Row],[KG]]*2.20462</f>
        <v>6.613859999999999</v>
      </c>
      <c r="M89" s="8">
        <f>Inventory_List_Table3[[#This Row],[H CM]]/2.54</f>
        <v>13.779527559055119</v>
      </c>
      <c r="N89" s="8">
        <f>Inventory_List_Table3[[#This Row],[W CM]]/2.54</f>
        <v>3.9370078740157481</v>
      </c>
      <c r="O89" s="130">
        <f>Inventory_List_Table3[[#This Row],[D CM ]]/2.54</f>
        <v>3.9370078740157481</v>
      </c>
      <c r="P89" s="9">
        <f>Inventory_List_Table3[[#This Row],[Per piece MXN$]]/$U$2</f>
        <v>21.111111111111111</v>
      </c>
      <c r="Q89" s="9">
        <f t="shared" si="6"/>
        <v>21</v>
      </c>
      <c r="R89" s="9">
        <f>Inventory_List_Table3[[#This Row],[AQ ROUND]]*1.4</f>
        <v>29.4</v>
      </c>
      <c r="S89" s="9">
        <f t="shared" si="7"/>
        <v>29</v>
      </c>
      <c r="T89" s="9">
        <f>Inventory_List_Table3[[#This Row],[LND ROUND]]*12</f>
        <v>348</v>
      </c>
      <c r="U89" s="9">
        <f>Inventory_List_Table3[[#This Row],[AQ]]*Inventory_List_Table3[[#This Row],[Q]]</f>
        <v>380</v>
      </c>
      <c r="V89" s="129" t="s">
        <v>759</v>
      </c>
      <c r="W89" s="129" t="s">
        <v>827</v>
      </c>
      <c r="X89" s="45">
        <f>Inventory_List_Table3[[#This Row],[H CM]]*Inventory_List_Table3[[#This Row],[W CM]]*4+Inventory_List_Table3[[#This Row],[D CM ]]*Inventory_List_Table3[[#This Row],[D CM ]]</f>
        <v>1500</v>
      </c>
      <c r="Y89" s="75">
        <f>Inventory_List_Table3[[#This Row],[Per piece MXN$]]/X89*10000</f>
        <v>2533.3333333333335</v>
      </c>
    </row>
    <row r="90" spans="1:25" ht="21" x14ac:dyDescent="0.25">
      <c r="A90" s="122" t="s">
        <v>248</v>
      </c>
      <c r="B90" s="123">
        <v>45954</v>
      </c>
      <c r="C90" s="935" t="s">
        <v>46</v>
      </c>
      <c r="D90" s="957" t="s">
        <v>1182</v>
      </c>
      <c r="E90" s="125">
        <v>13</v>
      </c>
      <c r="F90" s="126">
        <v>3</v>
      </c>
      <c r="G90" s="127">
        <v>35</v>
      </c>
      <c r="H90" s="127">
        <v>10</v>
      </c>
      <c r="I90" s="127">
        <v>10</v>
      </c>
      <c r="J90" s="22">
        <v>380</v>
      </c>
      <c r="K90" s="936">
        <f>Inventory_List_Table3[[#This Row],[Q]]*Inventory_List_Table3[[#This Row],[Per piece MXN$]]</f>
        <v>4940</v>
      </c>
      <c r="L90" s="128">
        <f>Inventory_List_Table3[[#This Row],[KG]]*2.20462</f>
        <v>6.613859999999999</v>
      </c>
      <c r="M90" s="8">
        <f>Inventory_List_Table3[[#This Row],[H CM]]/2.54</f>
        <v>13.779527559055119</v>
      </c>
      <c r="N90" s="8">
        <f>Inventory_List_Table3[[#This Row],[W CM]]/2.54</f>
        <v>3.9370078740157481</v>
      </c>
      <c r="O90" s="130">
        <f>Inventory_List_Table3[[#This Row],[D CM ]]/2.54</f>
        <v>3.9370078740157481</v>
      </c>
      <c r="P90" s="9">
        <f>Inventory_List_Table3[[#This Row],[Per piece MXN$]]/$U$2</f>
        <v>21.111111111111111</v>
      </c>
      <c r="Q90" s="9">
        <f t="shared" si="6"/>
        <v>21</v>
      </c>
      <c r="R90" s="9">
        <f>Inventory_List_Table3[[#This Row],[AQ ROUND]]*1.4</f>
        <v>29.4</v>
      </c>
      <c r="S90" s="9">
        <f t="shared" si="7"/>
        <v>29</v>
      </c>
      <c r="T90" s="9">
        <f>Inventory_List_Table3[[#This Row],[LND ROUND]]*12</f>
        <v>348</v>
      </c>
      <c r="U90" s="9">
        <f>Inventory_List_Table3[[#This Row],[AQ]]*Inventory_List_Table3[[#This Row],[Q]]</f>
        <v>274.44444444444446</v>
      </c>
      <c r="V90" s="129" t="s">
        <v>759</v>
      </c>
      <c r="W90" s="129" t="s">
        <v>827</v>
      </c>
      <c r="X90" s="45">
        <f>Inventory_List_Table3[[#This Row],[H CM]]*Inventory_List_Table3[[#This Row],[W CM]]*4+Inventory_List_Table3[[#This Row],[D CM ]]*Inventory_List_Table3[[#This Row],[D CM ]]</f>
        <v>1500</v>
      </c>
      <c r="Y90" s="75">
        <f>Inventory_List_Table3[[#This Row],[Per piece MXN$]]/X90*10000</f>
        <v>2533.3333333333335</v>
      </c>
    </row>
    <row r="91" spans="1:25" ht="21" x14ac:dyDescent="0.25">
      <c r="A91" s="122" t="s">
        <v>249</v>
      </c>
      <c r="B91" s="123">
        <v>45954</v>
      </c>
      <c r="C91" s="935" t="s">
        <v>302</v>
      </c>
      <c r="D91" s="957" t="s">
        <v>1183</v>
      </c>
      <c r="E91" s="125">
        <v>23</v>
      </c>
      <c r="F91" s="126">
        <v>3</v>
      </c>
      <c r="G91" s="127">
        <v>35</v>
      </c>
      <c r="H91" s="127">
        <v>10</v>
      </c>
      <c r="I91" s="127">
        <v>10</v>
      </c>
      <c r="J91" s="22">
        <v>380</v>
      </c>
      <c r="K91" s="936">
        <f>Inventory_List_Table3[[#This Row],[Q]]*Inventory_List_Table3[[#This Row],[Per piece MXN$]]</f>
        <v>8740</v>
      </c>
      <c r="L91" s="128">
        <f>Inventory_List_Table3[[#This Row],[KG]]*2.20462</f>
        <v>6.613859999999999</v>
      </c>
      <c r="M91" s="8">
        <f>Inventory_List_Table3[[#This Row],[H CM]]/2.54</f>
        <v>13.779527559055119</v>
      </c>
      <c r="N91" s="8">
        <f>Inventory_List_Table3[[#This Row],[W CM]]/2.54</f>
        <v>3.9370078740157481</v>
      </c>
      <c r="O91" s="130">
        <f>Inventory_List_Table3[[#This Row],[D CM ]]/2.54</f>
        <v>3.9370078740157481</v>
      </c>
      <c r="P91" s="9">
        <f>Inventory_List_Table3[[#This Row],[Per piece MXN$]]/$U$2</f>
        <v>21.111111111111111</v>
      </c>
      <c r="Q91" s="9">
        <f t="shared" si="6"/>
        <v>21</v>
      </c>
      <c r="R91" s="9">
        <f>Inventory_List_Table3[[#This Row],[AQ ROUND]]*1.4</f>
        <v>29.4</v>
      </c>
      <c r="S91" s="9">
        <f t="shared" si="7"/>
        <v>29</v>
      </c>
      <c r="T91" s="9">
        <f>Inventory_List_Table3[[#This Row],[LND ROUND]]*12</f>
        <v>348</v>
      </c>
      <c r="U91" s="9">
        <f>Inventory_List_Table3[[#This Row],[AQ]]*Inventory_List_Table3[[#This Row],[Q]]</f>
        <v>485.55555555555554</v>
      </c>
      <c r="V91" s="129" t="s">
        <v>759</v>
      </c>
      <c r="W91" s="129" t="s">
        <v>827</v>
      </c>
      <c r="X91" s="45">
        <f>Inventory_List_Table3[[#This Row],[H CM]]*Inventory_List_Table3[[#This Row],[W CM]]*4+Inventory_List_Table3[[#This Row],[D CM ]]*Inventory_List_Table3[[#This Row],[D CM ]]</f>
        <v>1500</v>
      </c>
      <c r="Y91" s="75">
        <f>Inventory_List_Table3[[#This Row],[Per piece MXN$]]/X91*10000</f>
        <v>2533.3333333333335</v>
      </c>
    </row>
    <row r="92" spans="1:25" ht="21" x14ac:dyDescent="0.25">
      <c r="A92" s="122" t="s">
        <v>250</v>
      </c>
      <c r="B92" s="123">
        <v>45954</v>
      </c>
      <c r="C92" s="935" t="s">
        <v>301</v>
      </c>
      <c r="D92" s="957" t="s">
        <v>1184</v>
      </c>
      <c r="E92" s="125">
        <v>14</v>
      </c>
      <c r="F92" s="126">
        <v>3</v>
      </c>
      <c r="G92" s="127">
        <v>35</v>
      </c>
      <c r="H92" s="127">
        <v>12</v>
      </c>
      <c r="I92" s="127">
        <v>12</v>
      </c>
      <c r="J92" s="22">
        <v>440</v>
      </c>
      <c r="K92" s="936">
        <f>Inventory_List_Table3[[#This Row],[Q]]*Inventory_List_Table3[[#This Row],[Per piece MXN$]]</f>
        <v>6160</v>
      </c>
      <c r="L92" s="128">
        <f>Inventory_List_Table3[[#This Row],[KG]]*2.20462</f>
        <v>6.613859999999999</v>
      </c>
      <c r="M92" s="8">
        <f>Inventory_List_Table3[[#This Row],[H CM]]/2.54</f>
        <v>13.779527559055119</v>
      </c>
      <c r="N92" s="8">
        <f>Inventory_List_Table3[[#This Row],[W CM]]/2.54</f>
        <v>4.7244094488188972</v>
      </c>
      <c r="O92" s="130">
        <f>Inventory_List_Table3[[#This Row],[D CM ]]/2.54</f>
        <v>4.7244094488188972</v>
      </c>
      <c r="P92" s="9">
        <f>Inventory_List_Table3[[#This Row],[Per piece MXN$]]/$U$2</f>
        <v>24.444444444444443</v>
      </c>
      <c r="Q92" s="9">
        <f t="shared" si="6"/>
        <v>25</v>
      </c>
      <c r="R92" s="9">
        <f>Inventory_List_Table3[[#This Row],[AQ ROUND]]*1.4</f>
        <v>35</v>
      </c>
      <c r="S92" s="9">
        <f t="shared" si="7"/>
        <v>35</v>
      </c>
      <c r="T92" s="9">
        <f>Inventory_List_Table3[[#This Row],[LND ROUND]]*12</f>
        <v>420</v>
      </c>
      <c r="U92" s="9">
        <f>Inventory_List_Table3[[#This Row],[AQ]]*Inventory_List_Table3[[#This Row],[Q]]</f>
        <v>342.22222222222217</v>
      </c>
      <c r="V92" s="129" t="s">
        <v>763</v>
      </c>
      <c r="W92" s="129" t="s">
        <v>779</v>
      </c>
      <c r="X92" s="45">
        <f>Inventory_List_Table3[[#This Row],[H CM]]*Inventory_List_Table3[[#This Row],[W CM]]*4+Inventory_List_Table3[[#This Row],[D CM ]]*Inventory_List_Table3[[#This Row],[D CM ]]</f>
        <v>1824</v>
      </c>
      <c r="Y92" s="75">
        <f>Inventory_List_Table3[[#This Row],[Per piece MXN$]]/X92*10000</f>
        <v>2412.280701754386</v>
      </c>
    </row>
    <row r="93" spans="1:25" ht="21" x14ac:dyDescent="0.25">
      <c r="A93" s="122" t="s">
        <v>251</v>
      </c>
      <c r="B93" s="123">
        <v>45996</v>
      </c>
      <c r="C93" s="933" t="s">
        <v>327</v>
      </c>
      <c r="D93" s="140" t="s">
        <v>634</v>
      </c>
      <c r="E93" s="938">
        <v>9</v>
      </c>
      <c r="F93" s="939">
        <v>30</v>
      </c>
      <c r="G93" s="940">
        <v>150</v>
      </c>
      <c r="H93" s="940">
        <v>80</v>
      </c>
      <c r="I93" s="940">
        <v>10</v>
      </c>
      <c r="J93" s="937">
        <v>5100</v>
      </c>
      <c r="K93" s="7">
        <f>Inventory_List_Table3[[#This Row],[Q]]*Inventory_List_Table3[[#This Row],[Per piece MXN$]]</f>
        <v>45900</v>
      </c>
      <c r="L93" s="128">
        <f>Inventory_List_Table3[[#This Row],[KG]]*2.20462</f>
        <v>66.138599999999997</v>
      </c>
      <c r="M93" s="8">
        <f>Inventory_List_Table3[[#This Row],[H CM]]/2.54</f>
        <v>59.055118110236222</v>
      </c>
      <c r="N93" s="8">
        <f>Inventory_List_Table3[[#This Row],[W CM]]/2.54</f>
        <v>31.496062992125985</v>
      </c>
      <c r="O93" s="130">
        <f>Inventory_List_Table3[[#This Row],[D CM ]]/2.54</f>
        <v>3.9370078740157481</v>
      </c>
      <c r="P93" s="9">
        <f>Inventory_List_Table3[[#This Row],[Per piece MXN$]]/$U$2</f>
        <v>283.33333333333331</v>
      </c>
      <c r="Q93" s="9">
        <f t="shared" si="6"/>
        <v>283</v>
      </c>
      <c r="R93" s="9">
        <f>Inventory_List_Table3[[#This Row],[AQ ROUND]]*1.4</f>
        <v>396.2</v>
      </c>
      <c r="S93" s="9">
        <f t="shared" si="7"/>
        <v>396</v>
      </c>
      <c r="T93" s="9">
        <f>Inventory_List_Table3[[#This Row],[LND ROUND]]*12</f>
        <v>4752</v>
      </c>
      <c r="U93" s="9">
        <f>Inventory_List_Table3[[#This Row],[AQ]]*Inventory_List_Table3[[#This Row],[Q]]</f>
        <v>2550</v>
      </c>
      <c r="V93" s="129" t="s">
        <v>636</v>
      </c>
      <c r="W93" s="129" t="s">
        <v>635</v>
      </c>
      <c r="X93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93" s="75">
        <f>Inventory_List_Table3[[#This Row],[Per piece MXN$]]/X93*10000</f>
        <v>3072.2891566265057</v>
      </c>
    </row>
    <row r="94" spans="1:25" ht="21" x14ac:dyDescent="0.25">
      <c r="A94" s="122" t="s">
        <v>252</v>
      </c>
      <c r="B94" s="123">
        <v>45996</v>
      </c>
      <c r="C94" s="933" t="s">
        <v>328</v>
      </c>
      <c r="D94" s="140" t="s">
        <v>637</v>
      </c>
      <c r="E94" s="938">
        <v>6</v>
      </c>
      <c r="F94" s="939">
        <v>30</v>
      </c>
      <c r="G94" s="940">
        <v>150</v>
      </c>
      <c r="H94" s="940">
        <v>80</v>
      </c>
      <c r="I94" s="940">
        <v>10</v>
      </c>
      <c r="J94" s="937">
        <v>5100</v>
      </c>
      <c r="K94" s="7">
        <f>Inventory_List_Table3[[#This Row],[Q]]*Inventory_List_Table3[[#This Row],[Per piece MXN$]]</f>
        <v>30600</v>
      </c>
      <c r="L94" s="128">
        <f>Inventory_List_Table3[[#This Row],[KG]]*2.20462</f>
        <v>66.138599999999997</v>
      </c>
      <c r="M94" s="8">
        <f>Inventory_List_Table3[[#This Row],[H CM]]/2.54</f>
        <v>59.055118110236222</v>
      </c>
      <c r="N94" s="8">
        <f>Inventory_List_Table3[[#This Row],[W CM]]/2.54</f>
        <v>31.496062992125985</v>
      </c>
      <c r="O94" s="130">
        <f>Inventory_List_Table3[[#This Row],[D CM ]]/2.54</f>
        <v>3.9370078740157481</v>
      </c>
      <c r="P94" s="9">
        <f>Inventory_List_Table3[[#This Row],[Per piece MXN$]]/$U$2</f>
        <v>283.33333333333331</v>
      </c>
      <c r="Q94" s="9">
        <f t="shared" si="6"/>
        <v>283</v>
      </c>
      <c r="R94" s="9">
        <f>Inventory_List_Table3[[#This Row],[AQ ROUND]]*1.4</f>
        <v>396.2</v>
      </c>
      <c r="S94" s="9">
        <f t="shared" si="7"/>
        <v>396</v>
      </c>
      <c r="T94" s="9">
        <f>Inventory_List_Table3[[#This Row],[LND ROUND]]*12</f>
        <v>4752</v>
      </c>
      <c r="U94" s="9">
        <f>Inventory_List_Table3[[#This Row],[AQ]]*Inventory_List_Table3[[#This Row],[Q]]</f>
        <v>1700</v>
      </c>
      <c r="V94" s="129" t="s">
        <v>636</v>
      </c>
      <c r="W94" s="129" t="s">
        <v>635</v>
      </c>
      <c r="X94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94" s="75">
        <f>Inventory_List_Table3[[#This Row],[Per piece MXN$]]/X94*10000</f>
        <v>3072.2891566265057</v>
      </c>
    </row>
    <row r="95" spans="1:25" ht="21" x14ac:dyDescent="0.25">
      <c r="A95" s="122" t="s">
        <v>253</v>
      </c>
      <c r="B95" s="123">
        <v>45996</v>
      </c>
      <c r="C95" s="933" t="s">
        <v>49</v>
      </c>
      <c r="D95" s="140" t="s">
        <v>638</v>
      </c>
      <c r="E95" s="938">
        <v>6</v>
      </c>
      <c r="F95" s="939">
        <v>23</v>
      </c>
      <c r="G95" s="940">
        <v>100</v>
      </c>
      <c r="H95" s="940">
        <v>100</v>
      </c>
      <c r="I95" s="940">
        <v>10</v>
      </c>
      <c r="J95" s="937">
        <v>4200</v>
      </c>
      <c r="K95" s="7">
        <f>Inventory_List_Table3[[#This Row],[Q]]*Inventory_List_Table3[[#This Row],[Per piece MXN$]]</f>
        <v>25200</v>
      </c>
      <c r="L95" s="128">
        <f>Inventory_List_Table3[[#This Row],[KG]]*2.20462</f>
        <v>50.706259999999993</v>
      </c>
      <c r="M95" s="8">
        <f>Inventory_List_Table3[[#This Row],[H CM]]/2.54</f>
        <v>39.370078740157481</v>
      </c>
      <c r="N95" s="8">
        <f>Inventory_List_Table3[[#This Row],[W CM]]/2.54</f>
        <v>39.370078740157481</v>
      </c>
      <c r="O95" s="130">
        <f>Inventory_List_Table3[[#This Row],[D CM ]]/2.54</f>
        <v>3.9370078740157481</v>
      </c>
      <c r="P95" s="9">
        <f>Inventory_List_Table3[[#This Row],[Per piece MXN$]]/$U$2</f>
        <v>233.33333333333334</v>
      </c>
      <c r="Q95" s="9">
        <f t="shared" si="6"/>
        <v>233</v>
      </c>
      <c r="R95" s="9">
        <f>Inventory_List_Table3[[#This Row],[AQ ROUND]]*1.4</f>
        <v>326.2</v>
      </c>
      <c r="S95" s="9">
        <f t="shared" si="7"/>
        <v>326</v>
      </c>
      <c r="T95" s="9">
        <f>Inventory_List_Table3[[#This Row],[LND ROUND]]*12</f>
        <v>3912</v>
      </c>
      <c r="U95" s="9">
        <f>Inventory_List_Table3[[#This Row],[AQ]]*Inventory_List_Table3[[#This Row],[Q]]</f>
        <v>1400</v>
      </c>
      <c r="V95" s="129" t="s">
        <v>640</v>
      </c>
      <c r="W95" s="129" t="s">
        <v>639</v>
      </c>
      <c r="X95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95" s="75">
        <f>Inventory_List_Table3[[#This Row],[Per piece MXN$]]/X95*10000</f>
        <v>3000</v>
      </c>
    </row>
    <row r="96" spans="1:25" ht="21" x14ac:dyDescent="0.25">
      <c r="A96" s="122" t="s">
        <v>254</v>
      </c>
      <c r="B96" s="123">
        <v>45996</v>
      </c>
      <c r="C96" s="933" t="s">
        <v>329</v>
      </c>
      <c r="D96" s="140" t="s">
        <v>641</v>
      </c>
      <c r="E96" s="938">
        <v>7</v>
      </c>
      <c r="F96" s="939">
        <v>19</v>
      </c>
      <c r="G96" s="940">
        <v>110</v>
      </c>
      <c r="H96" s="940">
        <v>60</v>
      </c>
      <c r="I96" s="940">
        <v>10</v>
      </c>
      <c r="J96" s="937">
        <v>3400</v>
      </c>
      <c r="K96" s="7">
        <f>Inventory_List_Table3[[#This Row],[Q]]*Inventory_List_Table3[[#This Row],[Per piece MXN$]]</f>
        <v>23800</v>
      </c>
      <c r="L96" s="128">
        <f>Inventory_List_Table3[[#This Row],[KG]]*2.20462</f>
        <v>41.887779999999999</v>
      </c>
      <c r="M96" s="8">
        <f>Inventory_List_Table3[[#This Row],[H CM]]/2.54</f>
        <v>43.30708661417323</v>
      </c>
      <c r="N96" s="8">
        <f>Inventory_List_Table3[[#This Row],[W CM]]/2.54</f>
        <v>23.622047244094489</v>
      </c>
      <c r="O96" s="130">
        <f>Inventory_List_Table3[[#This Row],[D CM ]]/2.54</f>
        <v>3.9370078740157481</v>
      </c>
      <c r="P96" s="9">
        <f>Inventory_List_Table3[[#This Row],[Per piece MXN$]]/$U$2</f>
        <v>188.88888888888889</v>
      </c>
      <c r="Q96" s="9">
        <f t="shared" si="6"/>
        <v>189</v>
      </c>
      <c r="R96" s="9">
        <f>Inventory_List_Table3[[#This Row],[AQ ROUND]]*1.4</f>
        <v>264.59999999999997</v>
      </c>
      <c r="S96" s="9">
        <f t="shared" si="7"/>
        <v>265</v>
      </c>
      <c r="T96" s="9">
        <f>Inventory_List_Table3[[#This Row],[LND ROUND]]*12</f>
        <v>3180</v>
      </c>
      <c r="U96" s="9">
        <f>Inventory_List_Table3[[#This Row],[AQ]]*Inventory_List_Table3[[#This Row],[Q]]</f>
        <v>1322.2222222222222</v>
      </c>
      <c r="V96" s="129" t="s">
        <v>642</v>
      </c>
      <c r="W96" s="129" t="s">
        <v>38</v>
      </c>
      <c r="X96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10000</v>
      </c>
      <c r="Y96" s="75">
        <f>Inventory_List_Table3[[#This Row],[Per piece MXN$]]/X96*10000</f>
        <v>3400.0000000000005</v>
      </c>
    </row>
    <row r="97" spans="1:25" ht="21" x14ac:dyDescent="0.25">
      <c r="A97" s="122" t="s">
        <v>255</v>
      </c>
      <c r="B97" s="123">
        <v>45996</v>
      </c>
      <c r="C97" s="933" t="s">
        <v>330</v>
      </c>
      <c r="D97" s="140" t="s">
        <v>643</v>
      </c>
      <c r="E97" s="938">
        <v>5</v>
      </c>
      <c r="F97" s="939">
        <v>16</v>
      </c>
      <c r="G97" s="940">
        <v>100</v>
      </c>
      <c r="H97" s="940">
        <v>60</v>
      </c>
      <c r="I97" s="940">
        <v>10</v>
      </c>
      <c r="J97" s="937">
        <v>2800</v>
      </c>
      <c r="K97" s="7">
        <f>Inventory_List_Table3[[#This Row],[Q]]*Inventory_List_Table3[[#This Row],[Per piece MXN$]]</f>
        <v>14000</v>
      </c>
      <c r="L97" s="128">
        <f>Inventory_List_Table3[[#This Row],[KG]]*2.20462</f>
        <v>35.273919999999997</v>
      </c>
      <c r="M97" s="8">
        <f>Inventory_List_Table3[[#This Row],[H CM]]/2.54</f>
        <v>39.370078740157481</v>
      </c>
      <c r="N97" s="8">
        <f>Inventory_List_Table3[[#This Row],[W CM]]/2.54</f>
        <v>23.622047244094489</v>
      </c>
      <c r="O97" s="130">
        <f>Inventory_List_Table3[[#This Row],[D CM ]]/2.54</f>
        <v>3.9370078740157481</v>
      </c>
      <c r="P97" s="9">
        <f>Inventory_List_Table3[[#This Row],[Per piece MXN$]]/$U$2</f>
        <v>155.55555555555554</v>
      </c>
      <c r="Q97" s="9">
        <f t="shared" si="6"/>
        <v>156</v>
      </c>
      <c r="R97" s="9">
        <f>Inventory_List_Table3[[#This Row],[AQ ROUND]]*1.4</f>
        <v>218.39999999999998</v>
      </c>
      <c r="S97" s="9">
        <f t="shared" si="7"/>
        <v>218</v>
      </c>
      <c r="T97" s="9">
        <f>Inventory_List_Table3[[#This Row],[LND ROUND]]*12</f>
        <v>2616</v>
      </c>
      <c r="U97" s="9">
        <f>Inventory_List_Table3[[#This Row],[AQ]]*Inventory_List_Table3[[#This Row],[Q]]</f>
        <v>777.77777777777771</v>
      </c>
      <c r="V97" s="129" t="s">
        <v>644</v>
      </c>
      <c r="W97" s="129" t="s">
        <v>9</v>
      </c>
      <c r="X97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9200</v>
      </c>
      <c r="Y97" s="75">
        <f>Inventory_List_Table3[[#This Row],[Per piece MXN$]]/X97*10000</f>
        <v>3043.4782608695655</v>
      </c>
    </row>
    <row r="98" spans="1:25" ht="21" x14ac:dyDescent="0.25">
      <c r="A98" s="122" t="s">
        <v>256</v>
      </c>
      <c r="B98" s="123">
        <v>45996</v>
      </c>
      <c r="C98" s="933" t="s">
        <v>331</v>
      </c>
      <c r="D98" s="140" t="s">
        <v>645</v>
      </c>
      <c r="E98" s="938">
        <v>1</v>
      </c>
      <c r="F98" s="939">
        <v>30</v>
      </c>
      <c r="G98" s="940">
        <v>155</v>
      </c>
      <c r="H98" s="940">
        <v>100</v>
      </c>
      <c r="I98" s="940">
        <v>10</v>
      </c>
      <c r="J98" s="937">
        <v>6300</v>
      </c>
      <c r="K98" s="7">
        <f>Inventory_List_Table3[[#This Row],[Q]]*Inventory_List_Table3[[#This Row],[Per piece MXN$]]</f>
        <v>6300</v>
      </c>
      <c r="L98" s="128">
        <f>Inventory_List_Table3[[#This Row],[KG]]*2.20462</f>
        <v>66.138599999999997</v>
      </c>
      <c r="M98" s="8">
        <f>Inventory_List_Table3[[#This Row],[H CM]]/2.54</f>
        <v>61.023622047244096</v>
      </c>
      <c r="N98" s="8">
        <f>Inventory_List_Table3[[#This Row],[W CM]]/2.54</f>
        <v>39.370078740157481</v>
      </c>
      <c r="O98" s="130">
        <f>Inventory_List_Table3[[#This Row],[D CM ]]/2.54</f>
        <v>3.9370078740157481</v>
      </c>
      <c r="P98" s="9">
        <f>Inventory_List_Table3[[#This Row],[Per piece MXN$]]/$U$2</f>
        <v>350</v>
      </c>
      <c r="Q98" s="9">
        <f t="shared" ref="Q98:Q115" si="8">IF(MOD(P98,1)&gt;0.4,ROUNDUP(P98,0),ROUNDDOWN(P98,0))</f>
        <v>350</v>
      </c>
      <c r="R98" s="9">
        <f>Inventory_List_Table3[[#This Row],[AQ ROUND]]*1.4</f>
        <v>489.99999999999994</v>
      </c>
      <c r="S98" s="9">
        <f t="shared" ref="S98:S115" si="9">IF(MOD(R98,1)&gt;0.4,ROUNDUP(R98,0),ROUNDDOWN(R98,0))</f>
        <v>490</v>
      </c>
      <c r="T98" s="9">
        <f>Inventory_List_Table3[[#This Row],[LND ROUND]]*12</f>
        <v>5880</v>
      </c>
      <c r="U98" s="9">
        <f>Inventory_List_Table3[[#This Row],[AQ]]*Inventory_List_Table3[[#This Row],[Q]]</f>
        <v>350</v>
      </c>
      <c r="V98" s="129" t="s">
        <v>647</v>
      </c>
      <c r="W98" s="129" t="s">
        <v>646</v>
      </c>
      <c r="X98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20600</v>
      </c>
      <c r="Y98" s="75">
        <f>Inventory_List_Table3[[#This Row],[Per piece MXN$]]/X98*10000</f>
        <v>3058.2524271844659</v>
      </c>
    </row>
    <row r="99" spans="1:25" ht="21" x14ac:dyDescent="0.25">
      <c r="A99" s="122" t="s">
        <v>257</v>
      </c>
      <c r="B99" s="123">
        <v>45996</v>
      </c>
      <c r="C99" s="933" t="s">
        <v>332</v>
      </c>
      <c r="D99" s="140" t="s">
        <v>648</v>
      </c>
      <c r="E99" s="938">
        <v>3</v>
      </c>
      <c r="F99" s="939">
        <v>23</v>
      </c>
      <c r="G99" s="940">
        <v>100</v>
      </c>
      <c r="H99" s="940">
        <v>100</v>
      </c>
      <c r="I99" s="940">
        <v>10</v>
      </c>
      <c r="J99" s="937">
        <v>5300</v>
      </c>
      <c r="K99" s="7">
        <f>Inventory_List_Table3[[#This Row],[Q]]*Inventory_List_Table3[[#This Row],[Per piece MXN$]]</f>
        <v>15900</v>
      </c>
      <c r="L99" s="128">
        <f>Inventory_List_Table3[[#This Row],[KG]]*2.20462</f>
        <v>50.706259999999993</v>
      </c>
      <c r="M99" s="8">
        <f>Inventory_List_Table3[[#This Row],[H CM]]/2.54</f>
        <v>39.370078740157481</v>
      </c>
      <c r="N99" s="8">
        <f>Inventory_List_Table3[[#This Row],[W CM]]/2.54</f>
        <v>39.370078740157481</v>
      </c>
      <c r="O99" s="130">
        <f>Inventory_List_Table3[[#This Row],[D CM ]]/2.54</f>
        <v>3.9370078740157481</v>
      </c>
      <c r="P99" s="9">
        <f>Inventory_List_Table3[[#This Row],[Per piece MXN$]]/$U$2</f>
        <v>294.44444444444446</v>
      </c>
      <c r="Q99" s="9">
        <f t="shared" si="8"/>
        <v>295</v>
      </c>
      <c r="R99" s="9">
        <f>Inventory_List_Table3[[#This Row],[AQ ROUND]]*1.4</f>
        <v>413</v>
      </c>
      <c r="S99" s="9">
        <f t="shared" si="9"/>
        <v>413</v>
      </c>
      <c r="T99" s="9">
        <f>Inventory_List_Table3[[#This Row],[LND ROUND]]*12</f>
        <v>4956</v>
      </c>
      <c r="U99" s="9">
        <f>Inventory_List_Table3[[#This Row],[AQ]]*Inventory_List_Table3[[#This Row],[Q]]</f>
        <v>883.33333333333337</v>
      </c>
      <c r="V99" s="129" t="s">
        <v>650</v>
      </c>
      <c r="W99" s="129" t="s">
        <v>649</v>
      </c>
      <c r="X99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14000</v>
      </c>
      <c r="Y99" s="75">
        <f>Inventory_List_Table3[[#This Row],[Per piece MXN$]]/X99*10000</f>
        <v>3785.7142857142858</v>
      </c>
    </row>
    <row r="100" spans="1:25" ht="21" x14ac:dyDescent="0.25">
      <c r="A100" s="122" t="s">
        <v>258</v>
      </c>
      <c r="B100" s="123">
        <v>45996</v>
      </c>
      <c r="C100" s="933" t="s">
        <v>333</v>
      </c>
      <c r="D100" s="140" t="s">
        <v>651</v>
      </c>
      <c r="E100" s="938">
        <v>3</v>
      </c>
      <c r="F100" s="939">
        <v>16</v>
      </c>
      <c r="G100" s="940">
        <v>80</v>
      </c>
      <c r="H100" s="940">
        <v>100</v>
      </c>
      <c r="I100" s="940">
        <v>10</v>
      </c>
      <c r="J100" s="937">
        <v>4200</v>
      </c>
      <c r="K100" s="7">
        <f>Inventory_List_Table3[[#This Row],[Q]]*Inventory_List_Table3[[#This Row],[Per piece MXN$]]</f>
        <v>12600</v>
      </c>
      <c r="L100" s="128">
        <f>Inventory_List_Table3[[#This Row],[KG]]*2.20462</f>
        <v>35.273919999999997</v>
      </c>
      <c r="M100" s="8">
        <f>Inventory_List_Table3[[#This Row],[H CM]]/2.54</f>
        <v>31.496062992125985</v>
      </c>
      <c r="N100" s="8">
        <f>Inventory_List_Table3[[#This Row],[W CM]]/2.54</f>
        <v>39.370078740157481</v>
      </c>
      <c r="O100" s="130">
        <f>Inventory_List_Table3[[#This Row],[D CM ]]/2.54</f>
        <v>3.9370078740157481</v>
      </c>
      <c r="P100" s="9">
        <f>Inventory_List_Table3[[#This Row],[Per piece MXN$]]/$U$2</f>
        <v>233.33333333333334</v>
      </c>
      <c r="Q100" s="9">
        <f t="shared" si="8"/>
        <v>233</v>
      </c>
      <c r="R100" s="9">
        <f>Inventory_List_Table3[[#This Row],[AQ ROUND]]*1.4</f>
        <v>326.2</v>
      </c>
      <c r="S100" s="9">
        <f t="shared" si="9"/>
        <v>326</v>
      </c>
      <c r="T100" s="9">
        <f>Inventory_List_Table3[[#This Row],[LND ROUND]]*12</f>
        <v>3912</v>
      </c>
      <c r="U100" s="9">
        <f>Inventory_List_Table3[[#This Row],[AQ]]*Inventory_List_Table3[[#This Row],[Q]]</f>
        <v>700</v>
      </c>
      <c r="V100" s="129" t="s">
        <v>640</v>
      </c>
      <c r="W100" s="129" t="s">
        <v>639</v>
      </c>
      <c r="X100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11600</v>
      </c>
      <c r="Y100" s="75">
        <f>Inventory_List_Table3[[#This Row],[Per piece MXN$]]/X100*10000</f>
        <v>3620.6896551724139</v>
      </c>
    </row>
    <row r="101" spans="1:25" ht="21" x14ac:dyDescent="0.25">
      <c r="A101" s="122" t="s">
        <v>259</v>
      </c>
      <c r="B101" s="123">
        <v>45996</v>
      </c>
      <c r="C101" s="933" t="s">
        <v>334</v>
      </c>
      <c r="D101" s="140" t="s">
        <v>652</v>
      </c>
      <c r="E101" s="125">
        <v>1</v>
      </c>
      <c r="F101" s="126">
        <v>52</v>
      </c>
      <c r="G101" s="127">
        <v>96</v>
      </c>
      <c r="H101" s="127">
        <v>96</v>
      </c>
      <c r="I101" s="127">
        <v>50</v>
      </c>
      <c r="J101" s="937">
        <v>8000</v>
      </c>
      <c r="K101" s="7">
        <f>Inventory_List_Table3[[#This Row],[Q]]*Inventory_List_Table3[[#This Row],[Per piece MXN$]]</f>
        <v>8000</v>
      </c>
      <c r="L101" s="128">
        <f>Inventory_List_Table3[[#This Row],[KG]]*2.20462</f>
        <v>114.64023999999999</v>
      </c>
      <c r="M101" s="8">
        <f>Inventory_List_Table3[[#This Row],[H CM]]/2.54</f>
        <v>37.795275590551178</v>
      </c>
      <c r="N101" s="8">
        <f>Inventory_List_Table3[[#This Row],[W CM]]/2.54</f>
        <v>37.795275590551178</v>
      </c>
      <c r="O101" s="130">
        <f>Inventory_List_Table3[[#This Row],[D CM ]]/2.54</f>
        <v>19.685039370078741</v>
      </c>
      <c r="P101" s="9">
        <f>Inventory_List_Table3[[#This Row],[Per piece MXN$]]/$U$2</f>
        <v>444.44444444444446</v>
      </c>
      <c r="Q101" s="9">
        <f t="shared" si="8"/>
        <v>445</v>
      </c>
      <c r="R101" s="9">
        <f>Inventory_List_Table3[[#This Row],[AQ ROUND]]*1.4</f>
        <v>623</v>
      </c>
      <c r="S101" s="9">
        <f t="shared" si="9"/>
        <v>623</v>
      </c>
      <c r="T101" s="9">
        <f>Inventory_List_Table3[[#This Row],[LND ROUND]]*12</f>
        <v>7476</v>
      </c>
      <c r="U101" s="9">
        <f>Inventory_List_Table3[[#This Row],[AQ]]*Inventory_List_Table3[[#This Row],[Q]]</f>
        <v>444.44444444444446</v>
      </c>
      <c r="V101" s="129" t="s">
        <v>654</v>
      </c>
      <c r="W101" s="129" t="s">
        <v>653</v>
      </c>
      <c r="X101" s="45">
        <f>Inventory_List_Table3[[#This Row],[H CM]]*Inventory_List_Table3[[#This Row],[W CM]]*4+Inventory_List_Table3[[#This Row],[D CM ]]*Inventory_List_Table3[[#This Row],[D CM ]]</f>
        <v>39364</v>
      </c>
      <c r="Y101" s="75">
        <f>Inventory_List_Table3[[#This Row],[Per piece MXN$]]/X101*10000</f>
        <v>2032.3137892490599</v>
      </c>
    </row>
    <row r="102" spans="1:25" ht="21" x14ac:dyDescent="0.25">
      <c r="A102" s="122" t="s">
        <v>260</v>
      </c>
      <c r="B102" s="123">
        <v>45996</v>
      </c>
      <c r="C102" s="933" t="s">
        <v>334</v>
      </c>
      <c r="D102" s="140" t="s">
        <v>655</v>
      </c>
      <c r="E102" s="125">
        <v>1</v>
      </c>
      <c r="F102" s="126">
        <v>38</v>
      </c>
      <c r="G102" s="127">
        <v>77</v>
      </c>
      <c r="H102" s="127">
        <v>77</v>
      </c>
      <c r="I102" s="127">
        <v>46</v>
      </c>
      <c r="J102" s="937">
        <v>7000</v>
      </c>
      <c r="K102" s="7">
        <f>Inventory_List_Table3[[#This Row],[Q]]*Inventory_List_Table3[[#This Row],[Per piece MXN$]]</f>
        <v>7000</v>
      </c>
      <c r="L102" s="128">
        <f>Inventory_List_Table3[[#This Row],[KG]]*2.20462</f>
        <v>83.775559999999999</v>
      </c>
      <c r="M102" s="8">
        <f>Inventory_List_Table3[[#This Row],[H CM]]/2.54</f>
        <v>30.314960629921259</v>
      </c>
      <c r="N102" s="8">
        <f>Inventory_List_Table3[[#This Row],[W CM]]/2.54</f>
        <v>30.314960629921259</v>
      </c>
      <c r="O102" s="130">
        <f>Inventory_List_Table3[[#This Row],[D CM ]]/2.54</f>
        <v>18.110236220472441</v>
      </c>
      <c r="P102" s="9">
        <f>Inventory_List_Table3[[#This Row],[Per piece MXN$]]/$U$2</f>
        <v>388.88888888888891</v>
      </c>
      <c r="Q102" s="9">
        <f t="shared" si="8"/>
        <v>389</v>
      </c>
      <c r="R102" s="9">
        <f>Inventory_List_Table3[[#This Row],[AQ ROUND]]*1.4</f>
        <v>544.59999999999991</v>
      </c>
      <c r="S102" s="9">
        <f t="shared" si="9"/>
        <v>545</v>
      </c>
      <c r="T102" s="9">
        <f>Inventory_List_Table3[[#This Row],[LND ROUND]]*12</f>
        <v>6540</v>
      </c>
      <c r="U102" s="9">
        <f>Inventory_List_Table3[[#This Row],[AQ]]*Inventory_List_Table3[[#This Row],[Q]]</f>
        <v>388.88888888888891</v>
      </c>
      <c r="V102" s="129" t="s">
        <v>657</v>
      </c>
      <c r="W102" s="129" t="s">
        <v>656</v>
      </c>
      <c r="X102" s="45">
        <f>Inventory_List_Table3[[#This Row],[H CM]]*Inventory_List_Table3[[#This Row],[W CM]]*4+Inventory_List_Table3[[#This Row],[D CM ]]*Inventory_List_Table3[[#This Row],[D CM ]]</f>
        <v>25832</v>
      </c>
      <c r="Y102" s="75">
        <f>Inventory_List_Table3[[#This Row],[Per piece MXN$]]/X102*10000</f>
        <v>2709.8172808919167</v>
      </c>
    </row>
    <row r="103" spans="1:25" ht="21" x14ac:dyDescent="0.25">
      <c r="A103" s="122" t="s">
        <v>261</v>
      </c>
      <c r="B103" s="123">
        <v>45996</v>
      </c>
      <c r="C103" s="933" t="s">
        <v>335</v>
      </c>
      <c r="D103" s="140" t="s">
        <v>658</v>
      </c>
      <c r="E103" s="125">
        <v>4</v>
      </c>
      <c r="F103" s="126">
        <v>36</v>
      </c>
      <c r="G103" s="127">
        <v>90</v>
      </c>
      <c r="H103" s="127">
        <v>59</v>
      </c>
      <c r="I103" s="127">
        <v>10</v>
      </c>
      <c r="J103" s="937">
        <v>4500</v>
      </c>
      <c r="K103" s="7">
        <f>Inventory_List_Table3[[#This Row],[Q]]*Inventory_List_Table3[[#This Row],[Per piece MXN$]]</f>
        <v>18000</v>
      </c>
      <c r="L103" s="128">
        <f>Inventory_List_Table3[[#This Row],[KG]]*2.20462</f>
        <v>79.366319999999988</v>
      </c>
      <c r="M103" s="8">
        <f>Inventory_List_Table3[[#This Row],[H CM]]/2.54</f>
        <v>35.433070866141733</v>
      </c>
      <c r="N103" s="8">
        <f>Inventory_List_Table3[[#This Row],[W CM]]/2.54</f>
        <v>23.228346456692915</v>
      </c>
      <c r="O103" s="130">
        <f>Inventory_List_Table3[[#This Row],[D CM ]]/2.54</f>
        <v>3.9370078740157481</v>
      </c>
      <c r="P103" s="9">
        <f>Inventory_List_Table3[[#This Row],[Per piece MXN$]]/$U$2</f>
        <v>250</v>
      </c>
      <c r="Q103" s="9">
        <f t="shared" si="8"/>
        <v>250</v>
      </c>
      <c r="R103" s="9">
        <f>Inventory_List_Table3[[#This Row],[AQ ROUND]]*1.4</f>
        <v>350</v>
      </c>
      <c r="S103" s="9">
        <f t="shared" si="9"/>
        <v>350</v>
      </c>
      <c r="T103" s="9">
        <f>Inventory_List_Table3[[#This Row],[LND ROUND]]*12</f>
        <v>4200</v>
      </c>
      <c r="U103" s="9">
        <f>Inventory_List_Table3[[#This Row],[AQ]]*Inventory_List_Table3[[#This Row],[Q]]</f>
        <v>1000</v>
      </c>
      <c r="V103" s="129" t="s">
        <v>659</v>
      </c>
      <c r="W103" s="129" t="s">
        <v>647</v>
      </c>
      <c r="X103" s="45">
        <f>Inventory_List_Table3[[#This Row],[H CM]]*Inventory_List_Table3[[#This Row],[W CM]]*4+Inventory_List_Table3[[#This Row],[D CM ]]*Inventory_List_Table3[[#This Row],[D CM ]]</f>
        <v>21340</v>
      </c>
      <c r="Y103" s="75">
        <f>Inventory_List_Table3[[#This Row],[Per piece MXN$]]/X103*10000</f>
        <v>2108.7160262417997</v>
      </c>
    </row>
    <row r="104" spans="1:25" ht="21" x14ac:dyDescent="0.25">
      <c r="A104" s="122" t="s">
        <v>262</v>
      </c>
      <c r="B104" s="123">
        <v>45996</v>
      </c>
      <c r="C104" s="933" t="s">
        <v>336</v>
      </c>
      <c r="D104" s="140" t="s">
        <v>660</v>
      </c>
      <c r="E104" s="125">
        <v>2</v>
      </c>
      <c r="F104" s="126">
        <v>4.8</v>
      </c>
      <c r="G104" s="127">
        <v>70</v>
      </c>
      <c r="H104" s="127">
        <v>22</v>
      </c>
      <c r="I104" s="127">
        <v>11</v>
      </c>
      <c r="J104" s="937">
        <v>2032</v>
      </c>
      <c r="K104" s="7">
        <f>Inventory_List_Table3[[#This Row],[Q]]*Inventory_List_Table3[[#This Row],[Per piece MXN$]]</f>
        <v>4064</v>
      </c>
      <c r="L104" s="128">
        <f>Inventory_List_Table3[[#This Row],[KG]]*2.20462</f>
        <v>10.582175999999999</v>
      </c>
      <c r="M104" s="8">
        <f>Inventory_List_Table3[[#This Row],[H CM]]/2.54</f>
        <v>27.559055118110237</v>
      </c>
      <c r="N104" s="8">
        <f>Inventory_List_Table3[[#This Row],[W CM]]/2.54</f>
        <v>8.6614173228346463</v>
      </c>
      <c r="O104" s="130">
        <f>Inventory_List_Table3[[#This Row],[D CM ]]/2.54</f>
        <v>4.3307086614173231</v>
      </c>
      <c r="P104" s="9">
        <f>Inventory_List_Table3[[#This Row],[Per piece MXN$]]/$U$2</f>
        <v>112.88888888888889</v>
      </c>
      <c r="Q104" s="9">
        <f t="shared" si="8"/>
        <v>113</v>
      </c>
      <c r="R104" s="9">
        <f>Inventory_List_Table3[[#This Row],[AQ ROUND]]*1.4</f>
        <v>158.19999999999999</v>
      </c>
      <c r="S104" s="9">
        <f t="shared" si="9"/>
        <v>158</v>
      </c>
      <c r="T104" s="9">
        <f>Inventory_List_Table3[[#This Row],[LND ROUND]]*12</f>
        <v>1896</v>
      </c>
      <c r="U104" s="9">
        <f>Inventory_List_Table3[[#This Row],[AQ]]*Inventory_List_Table3[[#This Row],[Q]]</f>
        <v>225.77777777777777</v>
      </c>
      <c r="V104" s="129" t="s">
        <v>662</v>
      </c>
      <c r="W104" s="129" t="s">
        <v>661</v>
      </c>
      <c r="X104" s="45">
        <f>Inventory_List_Table3[[#This Row],[H CM]]*Inventory_List_Table3[[#This Row],[W CM]]*4+Inventory_List_Table3[[#This Row],[D CM ]]*Inventory_List_Table3[[#This Row],[D CM ]]</f>
        <v>6281</v>
      </c>
      <c r="Y104" s="75">
        <f>Inventory_List_Table3[[#This Row],[Per piece MXN$]]/X104*10000</f>
        <v>3235.1536379557392</v>
      </c>
    </row>
    <row r="105" spans="1:25" ht="21" x14ac:dyDescent="0.25">
      <c r="A105" s="122" t="s">
        <v>263</v>
      </c>
      <c r="B105" s="123">
        <v>45996</v>
      </c>
      <c r="C105" s="933" t="s">
        <v>350</v>
      </c>
      <c r="D105" s="140" t="s">
        <v>663</v>
      </c>
      <c r="E105" s="125">
        <v>2</v>
      </c>
      <c r="F105" s="126">
        <v>30</v>
      </c>
      <c r="G105" s="127">
        <v>180</v>
      </c>
      <c r="H105" s="127">
        <v>80</v>
      </c>
      <c r="I105" s="127">
        <v>10</v>
      </c>
      <c r="J105" s="937">
        <v>7200</v>
      </c>
      <c r="K105" s="7">
        <f>Inventory_List_Table3[[#This Row],[Q]]*Inventory_List_Table3[[#This Row],[Per piece MXN$]]</f>
        <v>14400</v>
      </c>
      <c r="L105" s="128">
        <f>Inventory_List_Table3[[#This Row],[KG]]*2.20462</f>
        <v>66.138599999999997</v>
      </c>
      <c r="M105" s="8">
        <f>Inventory_List_Table3[[#This Row],[H CM]]/2.54</f>
        <v>70.866141732283467</v>
      </c>
      <c r="N105" s="8">
        <f>Inventory_List_Table3[[#This Row],[W CM]]/2.54</f>
        <v>31.496062992125985</v>
      </c>
      <c r="O105" s="130">
        <f>Inventory_List_Table3[[#This Row],[D CM ]]/2.54</f>
        <v>3.9370078740157481</v>
      </c>
      <c r="P105" s="9">
        <f>Inventory_List_Table3[[#This Row],[Per piece MXN$]]/$U$2</f>
        <v>400</v>
      </c>
      <c r="Q105" s="9">
        <f t="shared" si="8"/>
        <v>400</v>
      </c>
      <c r="R105" s="9">
        <f>Inventory_List_Table3[[#This Row],[AQ ROUND]]*1.4</f>
        <v>560</v>
      </c>
      <c r="S105" s="9">
        <f t="shared" si="9"/>
        <v>560</v>
      </c>
      <c r="T105" s="9">
        <f>Inventory_List_Table3[[#This Row],[LND ROUND]]*12</f>
        <v>6720</v>
      </c>
      <c r="U105" s="9">
        <f>Inventory_List_Table3[[#This Row],[AQ]]*Inventory_List_Table3[[#This Row],[Q]]</f>
        <v>800</v>
      </c>
      <c r="V105" s="129" t="s">
        <v>664</v>
      </c>
      <c r="W105" s="129" t="s">
        <v>593</v>
      </c>
      <c r="X105" s="45">
        <f>Inventory_List_Table3[[#This Row],[H CM]]*Inventory_List_Table3[[#This Row],[W CM]]*4+Inventory_List_Table3[[#This Row],[D CM ]]*Inventory_List_Table3[[#This Row],[D CM ]]</f>
        <v>57700</v>
      </c>
      <c r="Y105" s="75">
        <f>Inventory_List_Table3[[#This Row],[Per piece MXN$]]/X105*10000</f>
        <v>1247.8336221837089</v>
      </c>
    </row>
    <row r="106" spans="1:25" ht="21" x14ac:dyDescent="0.25">
      <c r="A106" s="122" t="s">
        <v>264</v>
      </c>
      <c r="B106" s="123">
        <v>46031</v>
      </c>
      <c r="C106" s="933" t="s">
        <v>358</v>
      </c>
      <c r="D106" s="140" t="s">
        <v>665</v>
      </c>
      <c r="E106" s="125">
        <v>3</v>
      </c>
      <c r="F106" s="126">
        <v>32</v>
      </c>
      <c r="G106" s="127">
        <v>170</v>
      </c>
      <c r="H106" s="127">
        <v>30</v>
      </c>
      <c r="I106" s="127">
        <v>30</v>
      </c>
      <c r="J106" s="937">
        <v>5712</v>
      </c>
      <c r="K106" s="7">
        <f>Inventory_List_Table3[[#This Row],[Q]]*Inventory_List_Table3[[#This Row],[Per piece MXN$]]</f>
        <v>17136</v>
      </c>
      <c r="L106" s="128">
        <f>Inventory_List_Table3[[#This Row],[KG]]*2.20462</f>
        <v>70.547839999999994</v>
      </c>
      <c r="M106" s="8">
        <f>Inventory_List_Table3[[#This Row],[H CM]]/2.54</f>
        <v>66.929133858267718</v>
      </c>
      <c r="N106" s="8">
        <f>Inventory_List_Table3[[#This Row],[W CM]]/2.54</f>
        <v>11.811023622047244</v>
      </c>
      <c r="O106" s="130">
        <f>Inventory_List_Table3[[#This Row],[D CM ]]/2.54</f>
        <v>11.811023622047244</v>
      </c>
      <c r="P106" s="9">
        <f>Inventory_List_Table3[[#This Row],[Per piece MXN$]]/$U$2</f>
        <v>317.33333333333331</v>
      </c>
      <c r="Q106" s="9">
        <f t="shared" si="8"/>
        <v>317</v>
      </c>
      <c r="R106" s="9">
        <f>Inventory_List_Table3[[#This Row],[AQ ROUND]]*1.4</f>
        <v>443.79999999999995</v>
      </c>
      <c r="S106" s="9">
        <f t="shared" si="9"/>
        <v>444</v>
      </c>
      <c r="T106" s="9">
        <f>Inventory_List_Table3[[#This Row],[LND ROUND]]*12</f>
        <v>5328</v>
      </c>
      <c r="U106" s="9">
        <f>Inventory_List_Table3[[#This Row],[AQ]]*Inventory_List_Table3[[#This Row],[Q]]</f>
        <v>952</v>
      </c>
      <c r="V106" s="129" t="s">
        <v>667</v>
      </c>
      <c r="W106" s="129" t="s">
        <v>666</v>
      </c>
      <c r="X106" s="45">
        <f>Inventory_List_Table3[[#This Row],[H CM]]*Inventory_List_Table3[[#This Row],[W CM]]*4+Inventory_List_Table3[[#This Row],[D CM ]]*Inventory_List_Table3[[#This Row],[D CM ]]</f>
        <v>21300</v>
      </c>
      <c r="Y106" s="75">
        <f>Inventory_List_Table3[[#This Row],[Per piece MXN$]]/X106*10000</f>
        <v>2681.6901408450703</v>
      </c>
    </row>
    <row r="107" spans="1:25" ht="21" x14ac:dyDescent="0.25">
      <c r="A107" s="122" t="s">
        <v>265</v>
      </c>
      <c r="B107" s="123">
        <v>46031</v>
      </c>
      <c r="C107" s="933" t="s">
        <v>358</v>
      </c>
      <c r="D107" s="140" t="s">
        <v>668</v>
      </c>
      <c r="E107" s="125">
        <v>1</v>
      </c>
      <c r="F107" s="126">
        <v>30</v>
      </c>
      <c r="G107" s="127">
        <v>160</v>
      </c>
      <c r="H107" s="127">
        <v>30</v>
      </c>
      <c r="I107" s="127">
        <v>30</v>
      </c>
      <c r="J107" s="937">
        <v>5376</v>
      </c>
      <c r="K107" s="7">
        <f>Inventory_List_Table3[[#This Row],[Q]]*Inventory_List_Table3[[#This Row],[Per piece MXN$]]</f>
        <v>5376</v>
      </c>
      <c r="L107" s="128">
        <f>Inventory_List_Table3[[#This Row],[KG]]*2.20462</f>
        <v>66.138599999999997</v>
      </c>
      <c r="M107" s="8">
        <f>Inventory_List_Table3[[#This Row],[H CM]]/2.54</f>
        <v>62.99212598425197</v>
      </c>
      <c r="N107" s="8">
        <f>Inventory_List_Table3[[#This Row],[W CM]]/2.54</f>
        <v>11.811023622047244</v>
      </c>
      <c r="O107" s="130">
        <f>Inventory_List_Table3[[#This Row],[D CM ]]/2.54</f>
        <v>11.811023622047244</v>
      </c>
      <c r="P107" s="9">
        <f>Inventory_List_Table3[[#This Row],[Per piece MXN$]]/$U$2</f>
        <v>298.66666666666669</v>
      </c>
      <c r="Q107" s="9">
        <f t="shared" si="8"/>
        <v>299</v>
      </c>
      <c r="R107" s="9">
        <f>Inventory_List_Table3[[#This Row],[AQ ROUND]]*1.4</f>
        <v>418.59999999999997</v>
      </c>
      <c r="S107" s="9">
        <f t="shared" si="9"/>
        <v>419</v>
      </c>
      <c r="T107" s="9">
        <f>Inventory_List_Table3[[#This Row],[LND ROUND]]*12</f>
        <v>5028</v>
      </c>
      <c r="U107" s="9">
        <f>Inventory_List_Table3[[#This Row],[AQ]]*Inventory_List_Table3[[#This Row],[Q]]</f>
        <v>298.66666666666669</v>
      </c>
      <c r="V107" s="129" t="s">
        <v>670</v>
      </c>
      <c r="W107" s="129" t="s">
        <v>669</v>
      </c>
      <c r="X107" s="45">
        <f>Inventory_List_Table3[[#This Row],[H CM]]*Inventory_List_Table3[[#This Row],[W CM]]*4+Inventory_List_Table3[[#This Row],[D CM ]]*Inventory_List_Table3[[#This Row],[D CM ]]</f>
        <v>20100</v>
      </c>
      <c r="Y107" s="75">
        <f>Inventory_List_Table3[[#This Row],[Per piece MXN$]]/X107*10000</f>
        <v>2674.6268656716416</v>
      </c>
    </row>
    <row r="108" spans="1:25" ht="21" x14ac:dyDescent="0.25">
      <c r="A108" s="122" t="s">
        <v>266</v>
      </c>
      <c r="B108" s="123">
        <v>46031</v>
      </c>
      <c r="C108" s="933" t="s">
        <v>358</v>
      </c>
      <c r="D108" s="140" t="s">
        <v>671</v>
      </c>
      <c r="E108" s="125">
        <v>1</v>
      </c>
      <c r="F108" s="126">
        <v>26</v>
      </c>
      <c r="G108" s="127">
        <v>155</v>
      </c>
      <c r="H108" s="127">
        <v>30</v>
      </c>
      <c r="I108" s="127">
        <v>30</v>
      </c>
      <c r="J108" s="937">
        <v>5208</v>
      </c>
      <c r="K108" s="7">
        <f>Inventory_List_Table3[[#This Row],[Q]]*Inventory_List_Table3[[#This Row],[Per piece MXN$]]</f>
        <v>5208</v>
      </c>
      <c r="L108" s="128">
        <f>Inventory_List_Table3[[#This Row],[KG]]*2.20462</f>
        <v>57.320119999999996</v>
      </c>
      <c r="M108" s="8">
        <f>Inventory_List_Table3[[#This Row],[H CM]]/2.54</f>
        <v>61.023622047244096</v>
      </c>
      <c r="N108" s="8">
        <f>Inventory_List_Table3[[#This Row],[W CM]]/2.54</f>
        <v>11.811023622047244</v>
      </c>
      <c r="O108" s="130">
        <f>Inventory_List_Table3[[#This Row],[D CM ]]/2.54</f>
        <v>11.811023622047244</v>
      </c>
      <c r="P108" s="9">
        <f>Inventory_List_Table3[[#This Row],[Per piece MXN$]]/$U$2</f>
        <v>289.33333333333331</v>
      </c>
      <c r="Q108" s="9">
        <f t="shared" si="8"/>
        <v>289</v>
      </c>
      <c r="R108" s="9">
        <f>Inventory_List_Table3[[#This Row],[AQ ROUND]]*1.4</f>
        <v>404.59999999999997</v>
      </c>
      <c r="S108" s="9">
        <f t="shared" si="9"/>
        <v>405</v>
      </c>
      <c r="T108" s="9">
        <f>Inventory_List_Table3[[#This Row],[LND ROUND]]*12</f>
        <v>4860</v>
      </c>
      <c r="U108" s="9">
        <f>Inventory_List_Table3[[#This Row],[AQ]]*Inventory_List_Table3[[#This Row],[Q]]</f>
        <v>289.33333333333331</v>
      </c>
      <c r="V108" s="129" t="s">
        <v>673</v>
      </c>
      <c r="W108" s="129" t="s">
        <v>672</v>
      </c>
      <c r="X108" s="45">
        <f>Inventory_List_Table3[[#This Row],[H CM]]*Inventory_List_Table3[[#This Row],[W CM]]*4+Inventory_List_Table3[[#This Row],[D CM ]]*Inventory_List_Table3[[#This Row],[D CM ]]</f>
        <v>19500</v>
      </c>
      <c r="Y108" s="75">
        <f>Inventory_List_Table3[[#This Row],[Per piece MXN$]]/X108*10000</f>
        <v>2670.7692307692309</v>
      </c>
    </row>
    <row r="109" spans="1:25" ht="21" x14ac:dyDescent="0.25">
      <c r="A109" s="122" t="s">
        <v>448</v>
      </c>
      <c r="B109" s="123">
        <v>46031</v>
      </c>
      <c r="C109" s="933" t="s">
        <v>358</v>
      </c>
      <c r="D109" s="140" t="s">
        <v>674</v>
      </c>
      <c r="E109" s="125">
        <v>3</v>
      </c>
      <c r="F109" s="126">
        <v>25</v>
      </c>
      <c r="G109" s="127">
        <v>150</v>
      </c>
      <c r="H109" s="127">
        <v>30</v>
      </c>
      <c r="I109" s="127">
        <v>30</v>
      </c>
      <c r="J109" s="937">
        <v>5040</v>
      </c>
      <c r="K109" s="7">
        <f>Inventory_List_Table3[[#This Row],[Q]]*Inventory_List_Table3[[#This Row],[Per piece MXN$]]</f>
        <v>15120</v>
      </c>
      <c r="L109" s="128">
        <f>Inventory_List_Table3[[#This Row],[KG]]*2.20462</f>
        <v>55.115499999999997</v>
      </c>
      <c r="M109" s="8">
        <f>Inventory_List_Table3[[#This Row],[H CM]]/2.54</f>
        <v>59.055118110236222</v>
      </c>
      <c r="N109" s="8">
        <f>Inventory_List_Table3[[#This Row],[W CM]]/2.54</f>
        <v>11.811023622047244</v>
      </c>
      <c r="O109" s="130">
        <f>Inventory_List_Table3[[#This Row],[D CM ]]/2.54</f>
        <v>11.811023622047244</v>
      </c>
      <c r="P109" s="9">
        <f>Inventory_List_Table3[[#This Row],[Per piece MXN$]]/$U$2</f>
        <v>280</v>
      </c>
      <c r="Q109" s="9">
        <f t="shared" si="8"/>
        <v>280</v>
      </c>
      <c r="R109" s="9">
        <f>Inventory_List_Table3[[#This Row],[AQ ROUND]]*1.4</f>
        <v>392</v>
      </c>
      <c r="S109" s="9">
        <f t="shared" si="9"/>
        <v>392</v>
      </c>
      <c r="T109" s="9">
        <f>Inventory_List_Table3[[#This Row],[LND ROUND]]*12</f>
        <v>4704</v>
      </c>
      <c r="U109" s="9">
        <f>Inventory_List_Table3[[#This Row],[AQ]]*Inventory_List_Table3[[#This Row],[Q]]</f>
        <v>840</v>
      </c>
      <c r="V109" s="129" t="s">
        <v>676</v>
      </c>
      <c r="W109" s="129" t="s">
        <v>675</v>
      </c>
      <c r="X109" s="45">
        <f>Inventory_List_Table3[[#This Row],[H CM]]*Inventory_List_Table3[[#This Row],[W CM]]*4+Inventory_List_Table3[[#This Row],[D CM ]]*Inventory_List_Table3[[#This Row],[D CM ]]</f>
        <v>18900</v>
      </c>
      <c r="Y109" s="75">
        <f>Inventory_List_Table3[[#This Row],[Per piece MXN$]]/X109*10000</f>
        <v>2666.6666666666665</v>
      </c>
    </row>
    <row r="110" spans="1:25" ht="21" x14ac:dyDescent="0.25">
      <c r="A110" s="122" t="s">
        <v>449</v>
      </c>
      <c r="B110" s="123">
        <v>46031</v>
      </c>
      <c r="C110" s="933" t="s">
        <v>358</v>
      </c>
      <c r="D110" s="140" t="s">
        <v>677</v>
      </c>
      <c r="E110" s="125">
        <v>1</v>
      </c>
      <c r="F110" s="126">
        <v>23</v>
      </c>
      <c r="G110" s="127">
        <v>135</v>
      </c>
      <c r="H110" s="127">
        <v>30</v>
      </c>
      <c r="I110" s="127">
        <v>30</v>
      </c>
      <c r="J110" s="937">
        <v>4536</v>
      </c>
      <c r="K110" s="7">
        <f>Inventory_List_Table3[[#This Row],[Q]]*Inventory_List_Table3[[#This Row],[Per piece MXN$]]</f>
        <v>4536</v>
      </c>
      <c r="L110" s="128">
        <f>Inventory_List_Table3[[#This Row],[KG]]*2.20462</f>
        <v>50.706259999999993</v>
      </c>
      <c r="M110" s="8">
        <f>Inventory_List_Table3[[#This Row],[H CM]]/2.54</f>
        <v>53.1496062992126</v>
      </c>
      <c r="N110" s="8">
        <f>Inventory_List_Table3[[#This Row],[W CM]]/2.54</f>
        <v>11.811023622047244</v>
      </c>
      <c r="O110" s="130">
        <f>Inventory_List_Table3[[#This Row],[D CM ]]/2.54</f>
        <v>11.811023622047244</v>
      </c>
      <c r="P110" s="9">
        <f>Inventory_List_Table3[[#This Row],[Per piece MXN$]]/$U$2</f>
        <v>252</v>
      </c>
      <c r="Q110" s="9">
        <f t="shared" si="8"/>
        <v>252</v>
      </c>
      <c r="R110" s="9">
        <f>Inventory_List_Table3[[#This Row],[AQ ROUND]]*1.4</f>
        <v>352.79999999999995</v>
      </c>
      <c r="S110" s="9">
        <f t="shared" si="9"/>
        <v>353</v>
      </c>
      <c r="T110" s="9">
        <f>Inventory_List_Table3[[#This Row],[LND ROUND]]*12</f>
        <v>4236</v>
      </c>
      <c r="U110" s="9">
        <f>Inventory_List_Table3[[#This Row],[AQ]]*Inventory_List_Table3[[#This Row],[Q]]</f>
        <v>252</v>
      </c>
      <c r="V110" s="129" t="s">
        <v>679</v>
      </c>
      <c r="W110" s="129" t="s">
        <v>678</v>
      </c>
      <c r="X110" s="45">
        <f>Inventory_List_Table3[[#This Row],[H CM]]*Inventory_List_Table3[[#This Row],[W CM]]*4+Inventory_List_Table3[[#This Row],[D CM ]]*Inventory_List_Table3[[#This Row],[D CM ]]</f>
        <v>17100</v>
      </c>
      <c r="Y110" s="75">
        <f>Inventory_List_Table3[[#This Row],[Per piece MXN$]]/X110*10000</f>
        <v>2652.6315789473688</v>
      </c>
    </row>
    <row r="111" spans="1:25" ht="21" x14ac:dyDescent="0.25">
      <c r="A111" s="122" t="s">
        <v>450</v>
      </c>
      <c r="B111" s="123">
        <v>46031</v>
      </c>
      <c r="C111" s="933" t="s">
        <v>358</v>
      </c>
      <c r="D111" s="140" t="s">
        <v>680</v>
      </c>
      <c r="E111" s="125">
        <v>1</v>
      </c>
      <c r="F111" s="126">
        <v>22</v>
      </c>
      <c r="G111" s="127">
        <v>130</v>
      </c>
      <c r="H111" s="127">
        <v>30</v>
      </c>
      <c r="I111" s="127">
        <v>30</v>
      </c>
      <c r="J111" s="937">
        <v>4368</v>
      </c>
      <c r="K111" s="7">
        <f>Inventory_List_Table3[[#This Row],[Q]]*Inventory_List_Table3[[#This Row],[Per piece MXN$]]</f>
        <v>4368</v>
      </c>
      <c r="L111" s="128">
        <f>Inventory_List_Table3[[#This Row],[KG]]*2.20462</f>
        <v>48.501639999999995</v>
      </c>
      <c r="M111" s="8">
        <f>Inventory_List_Table3[[#This Row],[H CM]]/2.54</f>
        <v>51.181102362204726</v>
      </c>
      <c r="N111" s="8">
        <f>Inventory_List_Table3[[#This Row],[W CM]]/2.54</f>
        <v>11.811023622047244</v>
      </c>
      <c r="O111" s="130">
        <f>Inventory_List_Table3[[#This Row],[D CM ]]/2.54</f>
        <v>11.811023622047244</v>
      </c>
      <c r="P111" s="9">
        <f>Inventory_List_Table3[[#This Row],[Per piece MXN$]]/$U$2</f>
        <v>242.66666666666666</v>
      </c>
      <c r="Q111" s="9">
        <f t="shared" si="8"/>
        <v>243</v>
      </c>
      <c r="R111" s="9">
        <f>Inventory_List_Table3[[#This Row],[AQ ROUND]]*1.4</f>
        <v>340.2</v>
      </c>
      <c r="S111" s="9">
        <f t="shared" si="9"/>
        <v>340</v>
      </c>
      <c r="T111" s="9">
        <f>Inventory_List_Table3[[#This Row],[LND ROUND]]*12</f>
        <v>4080</v>
      </c>
      <c r="U111" s="9">
        <f>Inventory_List_Table3[[#This Row],[AQ]]*Inventory_List_Table3[[#This Row],[Q]]</f>
        <v>242.66666666666666</v>
      </c>
      <c r="V111" s="129" t="s">
        <v>682</v>
      </c>
      <c r="W111" s="129" t="s">
        <v>681</v>
      </c>
      <c r="X111" s="45">
        <f>Inventory_List_Table3[[#This Row],[H CM]]*Inventory_List_Table3[[#This Row],[W CM]]*4+Inventory_List_Table3[[#This Row],[D CM ]]*Inventory_List_Table3[[#This Row],[D CM ]]</f>
        <v>16500</v>
      </c>
      <c r="Y111" s="75">
        <f>Inventory_List_Table3[[#This Row],[Per piece MXN$]]/X111*10000</f>
        <v>2647.272727272727</v>
      </c>
    </row>
    <row r="112" spans="1:25" ht="21" x14ac:dyDescent="0.25">
      <c r="A112" s="122" t="s">
        <v>451</v>
      </c>
      <c r="B112" s="123">
        <v>46031</v>
      </c>
      <c r="C112" s="933" t="s">
        <v>358</v>
      </c>
      <c r="D112" s="140" t="s">
        <v>683</v>
      </c>
      <c r="E112" s="125">
        <v>1</v>
      </c>
      <c r="F112" s="126">
        <v>20</v>
      </c>
      <c r="G112" s="127">
        <v>120</v>
      </c>
      <c r="H112" s="127">
        <v>30</v>
      </c>
      <c r="I112" s="127">
        <v>30</v>
      </c>
      <c r="J112" s="937">
        <v>4032</v>
      </c>
      <c r="K112" s="7">
        <f>Inventory_List_Table3[[#This Row],[Q]]*Inventory_List_Table3[[#This Row],[Per piece MXN$]]</f>
        <v>4032</v>
      </c>
      <c r="L112" s="128">
        <f>Inventory_List_Table3[[#This Row],[KG]]*2.20462</f>
        <v>44.092399999999998</v>
      </c>
      <c r="M112" s="8">
        <f>Inventory_List_Table3[[#This Row],[H CM]]/2.54</f>
        <v>47.244094488188978</v>
      </c>
      <c r="N112" s="8">
        <f>Inventory_List_Table3[[#This Row],[W CM]]/2.54</f>
        <v>11.811023622047244</v>
      </c>
      <c r="O112" s="130">
        <f>Inventory_List_Table3[[#This Row],[D CM ]]/2.54</f>
        <v>11.811023622047244</v>
      </c>
      <c r="P112" s="9">
        <f>Inventory_List_Table3[[#This Row],[Per piece MXN$]]/$U$2</f>
        <v>224</v>
      </c>
      <c r="Q112" s="9">
        <f t="shared" si="8"/>
        <v>224</v>
      </c>
      <c r="R112" s="9">
        <f>Inventory_List_Table3[[#This Row],[AQ ROUND]]*1.4</f>
        <v>313.59999999999997</v>
      </c>
      <c r="S112" s="9">
        <f t="shared" si="9"/>
        <v>314</v>
      </c>
      <c r="T112" s="9">
        <f>Inventory_List_Table3[[#This Row],[LND ROUND]]*12</f>
        <v>3768</v>
      </c>
      <c r="U112" s="9">
        <f>Inventory_List_Table3[[#This Row],[AQ]]*Inventory_List_Table3[[#This Row],[Q]]</f>
        <v>224</v>
      </c>
      <c r="V112" s="129" t="s">
        <v>628</v>
      </c>
      <c r="W112" s="129" t="s">
        <v>627</v>
      </c>
      <c r="X112" s="45">
        <f>Inventory_List_Table3[[#This Row],[H CM]]*Inventory_List_Table3[[#This Row],[W CM]]*4+Inventory_List_Table3[[#This Row],[D CM ]]*Inventory_List_Table3[[#This Row],[D CM ]]</f>
        <v>15300</v>
      </c>
      <c r="Y112" s="75">
        <f>Inventory_List_Table3[[#This Row],[Per piece MXN$]]/X112*10000</f>
        <v>2635.294117647059</v>
      </c>
    </row>
    <row r="113" spans="1:25" ht="21" x14ac:dyDescent="0.25">
      <c r="A113" s="122" t="s">
        <v>452</v>
      </c>
      <c r="B113" s="123">
        <v>46031</v>
      </c>
      <c r="C113" s="933" t="s">
        <v>359</v>
      </c>
      <c r="D113" s="140" t="s">
        <v>684</v>
      </c>
      <c r="E113" s="125">
        <v>16</v>
      </c>
      <c r="F113" s="126">
        <v>6</v>
      </c>
      <c r="G113" s="127">
        <v>45</v>
      </c>
      <c r="H113" s="127">
        <v>15</v>
      </c>
      <c r="I113" s="127">
        <v>15</v>
      </c>
      <c r="J113" s="937">
        <v>750</v>
      </c>
      <c r="K113" s="7">
        <f>Inventory_List_Table3[[#This Row],[Q]]*Inventory_List_Table3[[#This Row],[Per piece MXN$]]</f>
        <v>12000</v>
      </c>
      <c r="L113" s="128">
        <f>Inventory_List_Table3[[#This Row],[KG]]*2.20462</f>
        <v>13.227719999999998</v>
      </c>
      <c r="M113" s="8">
        <f>Inventory_List_Table3[[#This Row],[H CM]]/2.54</f>
        <v>17.716535433070867</v>
      </c>
      <c r="N113" s="8">
        <f>Inventory_List_Table3[[#This Row],[W CM]]/2.54</f>
        <v>5.9055118110236222</v>
      </c>
      <c r="O113" s="130">
        <f>Inventory_List_Table3[[#This Row],[D CM ]]/2.54</f>
        <v>5.9055118110236222</v>
      </c>
      <c r="P113" s="9">
        <f>Inventory_List_Table3[[#This Row],[Per piece MXN$]]/$U$2</f>
        <v>41.666666666666664</v>
      </c>
      <c r="Q113" s="9">
        <f t="shared" si="8"/>
        <v>42</v>
      </c>
      <c r="R113" s="9">
        <f>Inventory_List_Table3[[#This Row],[AQ ROUND]]*1.4</f>
        <v>58.8</v>
      </c>
      <c r="S113" s="9">
        <f t="shared" si="9"/>
        <v>59</v>
      </c>
      <c r="T113" s="9">
        <f>Inventory_List_Table3[[#This Row],[LND ROUND]]*12</f>
        <v>708</v>
      </c>
      <c r="U113" s="9">
        <f>Inventory_List_Table3[[#This Row],[AQ]]*Inventory_List_Table3[[#This Row],[Q]]</f>
        <v>666.66666666666663</v>
      </c>
      <c r="V113" s="129" t="s">
        <v>686</v>
      </c>
      <c r="W113" s="129" t="s">
        <v>685</v>
      </c>
      <c r="X113" s="45">
        <f>Inventory_List_Table3[[#This Row],[H CM]]*Inventory_List_Table3[[#This Row],[W CM]]*4+Inventory_List_Table3[[#This Row],[D CM ]]*Inventory_List_Table3[[#This Row],[D CM ]]</f>
        <v>2925</v>
      </c>
      <c r="Y113" s="75">
        <f>Inventory_List_Table3[[#This Row],[Per piece MXN$]]/X113*10000</f>
        <v>2564.102564102564</v>
      </c>
    </row>
    <row r="114" spans="1:25" ht="21" x14ac:dyDescent="0.25">
      <c r="A114" s="122" t="s">
        <v>453</v>
      </c>
      <c r="B114" s="123">
        <v>46031</v>
      </c>
      <c r="C114" s="933" t="s">
        <v>360</v>
      </c>
      <c r="D114" s="140" t="s">
        <v>687</v>
      </c>
      <c r="E114" s="125">
        <v>1</v>
      </c>
      <c r="F114" s="126">
        <v>5</v>
      </c>
      <c r="G114" s="127">
        <v>35</v>
      </c>
      <c r="H114" s="127">
        <v>15</v>
      </c>
      <c r="I114" s="127">
        <v>15</v>
      </c>
      <c r="J114" s="937">
        <v>420</v>
      </c>
      <c r="K114" s="7">
        <f>Inventory_List_Table3[[#This Row],[Q]]*Inventory_List_Table3[[#This Row],[Per piece MXN$]]</f>
        <v>420</v>
      </c>
      <c r="L114" s="128">
        <f>Inventory_List_Table3[[#This Row],[KG]]*2.20462</f>
        <v>11.023099999999999</v>
      </c>
      <c r="M114" s="8">
        <f>Inventory_List_Table3[[#This Row],[H CM]]/2.54</f>
        <v>13.779527559055119</v>
      </c>
      <c r="N114" s="8">
        <f>Inventory_List_Table3[[#This Row],[W CM]]/2.54</f>
        <v>5.9055118110236222</v>
      </c>
      <c r="O114" s="130">
        <f>Inventory_List_Table3[[#This Row],[D CM ]]/2.54</f>
        <v>5.9055118110236222</v>
      </c>
      <c r="P114" s="9">
        <f>Inventory_List_Table3[[#This Row],[Per piece MXN$]]/$U$2</f>
        <v>23.333333333333332</v>
      </c>
      <c r="Q114" s="9">
        <f t="shared" si="8"/>
        <v>23</v>
      </c>
      <c r="R114" s="9">
        <f>Inventory_List_Table3[[#This Row],[AQ ROUND]]*1.4</f>
        <v>32.199999999999996</v>
      </c>
      <c r="S114" s="9">
        <f t="shared" si="9"/>
        <v>32</v>
      </c>
      <c r="T114" s="9">
        <f>Inventory_List_Table3[[#This Row],[LND ROUND]]*12</f>
        <v>384</v>
      </c>
      <c r="U114" s="9">
        <f>Inventory_List_Table3[[#This Row],[AQ]]*Inventory_List_Table3[[#This Row],[Q]]</f>
        <v>23.333333333333332</v>
      </c>
      <c r="V114" s="129" t="s">
        <v>689</v>
      </c>
      <c r="W114" s="129" t="s">
        <v>688</v>
      </c>
      <c r="X114" s="45">
        <f>Inventory_List_Table3[[#This Row],[H CM]]*Inventory_List_Table3[[#This Row],[W CM]]*4+Inventory_List_Table3[[#This Row],[D CM ]]*Inventory_List_Table3[[#This Row],[D CM ]]</f>
        <v>2325</v>
      </c>
      <c r="Y114" s="75">
        <f>Inventory_List_Table3[[#This Row],[Per piece MXN$]]/X114*10000</f>
        <v>1806.4516129032256</v>
      </c>
    </row>
    <row r="115" spans="1:25" ht="21" x14ac:dyDescent="0.25">
      <c r="A115" s="122" t="s">
        <v>454</v>
      </c>
      <c r="B115" s="123">
        <v>46031</v>
      </c>
      <c r="C115" s="933" t="s">
        <v>361</v>
      </c>
      <c r="D115" s="140" t="s">
        <v>690</v>
      </c>
      <c r="E115" s="125">
        <v>14</v>
      </c>
      <c r="F115" s="126">
        <v>4</v>
      </c>
      <c r="G115" s="127">
        <v>40</v>
      </c>
      <c r="H115" s="127">
        <v>10</v>
      </c>
      <c r="I115" s="127">
        <v>10</v>
      </c>
      <c r="J115" s="937">
        <v>430</v>
      </c>
      <c r="K115" s="7">
        <f>Inventory_List_Table3[[#This Row],[Q]]*Inventory_List_Table3[[#This Row],[Per piece MXN$]]</f>
        <v>6020</v>
      </c>
      <c r="L115" s="128">
        <f>Inventory_List_Table3[[#This Row],[KG]]*2.20462</f>
        <v>8.8184799999999992</v>
      </c>
      <c r="M115" s="8">
        <f>Inventory_List_Table3[[#This Row],[H CM]]/2.54</f>
        <v>15.748031496062993</v>
      </c>
      <c r="N115" s="8">
        <f>Inventory_List_Table3[[#This Row],[W CM]]/2.54</f>
        <v>3.9370078740157481</v>
      </c>
      <c r="O115" s="130">
        <f>Inventory_List_Table3[[#This Row],[D CM ]]/2.54</f>
        <v>3.9370078740157481</v>
      </c>
      <c r="P115" s="9">
        <f>Inventory_List_Table3[[#This Row],[Per piece MXN$]]/$U$2</f>
        <v>23.888888888888889</v>
      </c>
      <c r="Q115" s="9">
        <f t="shared" si="8"/>
        <v>24</v>
      </c>
      <c r="R115" s="9">
        <f>Inventory_List_Table3[[#This Row],[AQ ROUND]]*1.4</f>
        <v>33.599999999999994</v>
      </c>
      <c r="S115" s="9">
        <f t="shared" si="9"/>
        <v>34</v>
      </c>
      <c r="T115" s="9">
        <f>Inventory_List_Table3[[#This Row],[LND ROUND]]*12</f>
        <v>408</v>
      </c>
      <c r="U115" s="9">
        <f>Inventory_List_Table3[[#This Row],[AQ]]*Inventory_List_Table3[[#This Row],[Q]]</f>
        <v>334.44444444444446</v>
      </c>
      <c r="V115" s="129" t="s">
        <v>692</v>
      </c>
      <c r="W115" s="129" t="s">
        <v>691</v>
      </c>
      <c r="X115" s="45">
        <f>Inventory_List_Table3[[#This Row],[H CM]]*Inventory_List_Table3[[#This Row],[W CM]]*4+Inventory_List_Table3[[#This Row],[D CM ]]*Inventory_List_Table3[[#This Row],[D CM ]]</f>
        <v>1700</v>
      </c>
      <c r="Y115" s="75">
        <f>Inventory_List_Table3[[#This Row],[Per piece MXN$]]/X115*10000</f>
        <v>2529.4117647058824</v>
      </c>
    </row>
    <row r="116" spans="1:25" ht="21" x14ac:dyDescent="0.25">
      <c r="A116" s="122" t="s">
        <v>455</v>
      </c>
      <c r="B116" s="123">
        <v>46031</v>
      </c>
      <c r="C116" s="933" t="s">
        <v>296</v>
      </c>
      <c r="D116" s="140" t="s">
        <v>693</v>
      </c>
      <c r="E116" s="125">
        <v>2</v>
      </c>
      <c r="F116" s="126">
        <v>30</v>
      </c>
      <c r="G116" s="127">
        <v>150</v>
      </c>
      <c r="H116" s="127">
        <v>80</v>
      </c>
      <c r="I116" s="127">
        <v>10</v>
      </c>
      <c r="J116" s="937">
        <v>5100</v>
      </c>
      <c r="K116" s="7">
        <f>Inventory_List_Table3[[#This Row],[Q]]*Inventory_List_Table3[[#This Row],[Per piece MXN$]]</f>
        <v>10200</v>
      </c>
      <c r="L116" s="128">
        <f>Inventory_List_Table3[[#This Row],[KG]]*2.20462</f>
        <v>66.138599999999997</v>
      </c>
      <c r="M116" s="8">
        <f>Inventory_List_Table3[[#This Row],[H CM]]/2.54</f>
        <v>59.055118110236222</v>
      </c>
      <c r="N116" s="8">
        <f>Inventory_List_Table3[[#This Row],[W CM]]/2.54</f>
        <v>31.496062992125985</v>
      </c>
      <c r="O116" s="130">
        <f>Inventory_List_Table3[[#This Row],[D CM ]]/2.54</f>
        <v>3.9370078740157481</v>
      </c>
      <c r="P116" s="9">
        <f>Inventory_List_Table3[[#This Row],[Per piece MXN$]]/$U$2</f>
        <v>283.33333333333331</v>
      </c>
      <c r="Q116" s="9">
        <f>IF(MOD(P116,1)&gt;0.4,ROUNDUP(P116,0),ROUNDDOWN(P116,0))</f>
        <v>283</v>
      </c>
      <c r="R116" s="9">
        <f>Inventory_List_Table3[[#This Row],[AQ ROUND]]*1.4</f>
        <v>396.2</v>
      </c>
      <c r="S116" s="9">
        <f>IF(MOD(R116,1)&gt;0.4,ROUNDUP(R116,0),ROUNDDOWN(R116,0))</f>
        <v>396</v>
      </c>
      <c r="T116" s="9">
        <f>Inventory_List_Table3[[#This Row],[LND ROUND]]*12</f>
        <v>4752</v>
      </c>
      <c r="U116" s="9">
        <f>Inventory_List_Table3[[#This Row],[AQ]]*Inventory_List_Table3[[#This Row],[Q]]</f>
        <v>566.66666666666663</v>
      </c>
      <c r="V116" s="129" t="s">
        <v>636</v>
      </c>
      <c r="W116" s="129" t="s">
        <v>635</v>
      </c>
      <c r="X116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16600</v>
      </c>
      <c r="Y116" s="75">
        <f>Inventory_List_Table3[[#This Row],[Per piece MXN$]]/X116*10000</f>
        <v>3072.2891566265057</v>
      </c>
    </row>
    <row r="117" spans="1:25" ht="21" x14ac:dyDescent="0.25">
      <c r="A117" s="122" t="s">
        <v>456</v>
      </c>
      <c r="B117" s="123">
        <v>46031</v>
      </c>
      <c r="C117" s="933" t="s">
        <v>362</v>
      </c>
      <c r="D117" s="140" t="s">
        <v>694</v>
      </c>
      <c r="E117" s="125">
        <v>1</v>
      </c>
      <c r="F117" s="126">
        <v>16</v>
      </c>
      <c r="G117" s="127">
        <v>80</v>
      </c>
      <c r="H117" s="127">
        <v>80</v>
      </c>
      <c r="I117" s="127">
        <v>10</v>
      </c>
      <c r="J117" s="937">
        <v>4200</v>
      </c>
      <c r="K117" s="7">
        <f>Inventory_List_Table3[[#This Row],[Q]]*Inventory_List_Table3[[#This Row],[Per piece MXN$]]</f>
        <v>4200</v>
      </c>
      <c r="L117" s="128">
        <f>Inventory_List_Table3[[#This Row],[KG]]*2.20462</f>
        <v>35.273919999999997</v>
      </c>
      <c r="M117" s="8">
        <f>Inventory_List_Table3[[#This Row],[H CM]]/2.54</f>
        <v>31.496062992125985</v>
      </c>
      <c r="N117" s="8">
        <f>Inventory_List_Table3[[#This Row],[W CM]]/2.54</f>
        <v>31.496062992125985</v>
      </c>
      <c r="O117" s="130">
        <f>Inventory_List_Table3[[#This Row],[D CM ]]/2.54</f>
        <v>3.9370078740157481</v>
      </c>
      <c r="P117" s="9">
        <f>Inventory_List_Table3[[#This Row],[Per piece MXN$]]/$U$2</f>
        <v>233.33333333333334</v>
      </c>
      <c r="Q117" s="9">
        <f>IF(MOD(P117,1)&gt;0.4,ROUNDUP(P117,0),ROUNDDOWN(P117,0))</f>
        <v>233</v>
      </c>
      <c r="R117" s="9">
        <f>Inventory_List_Table3[[#This Row],[AQ ROUND]]*1.4</f>
        <v>326.2</v>
      </c>
      <c r="S117" s="9">
        <f>IF(MOD(R117,1)&gt;0.4,ROUNDUP(R117,0),ROUNDDOWN(R117,0))</f>
        <v>326</v>
      </c>
      <c r="T117" s="9">
        <f>Inventory_List_Table3[[#This Row],[LND ROUND]]*12</f>
        <v>3912</v>
      </c>
      <c r="U117" s="9">
        <f>Inventory_List_Table3[[#This Row],[AQ]]*Inventory_List_Table3[[#This Row],[Q]]</f>
        <v>233.33333333333334</v>
      </c>
      <c r="V117" s="129" t="s">
        <v>640</v>
      </c>
      <c r="W117" s="129" t="s">
        <v>639</v>
      </c>
      <c r="X117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9600</v>
      </c>
      <c r="Y117" s="75">
        <f>Inventory_List_Table3[[#This Row],[Per piece MXN$]]/X117*10000</f>
        <v>4375</v>
      </c>
    </row>
    <row r="118" spans="1:25" ht="21" x14ac:dyDescent="0.25">
      <c r="A118" s="122" t="s">
        <v>457</v>
      </c>
      <c r="B118" s="123">
        <v>46031</v>
      </c>
      <c r="C118" s="933" t="s">
        <v>363</v>
      </c>
      <c r="D118" s="140" t="s">
        <v>696</v>
      </c>
      <c r="E118" s="125">
        <v>2</v>
      </c>
      <c r="F118" s="126">
        <v>38</v>
      </c>
      <c r="G118" s="127">
        <v>180</v>
      </c>
      <c r="H118" s="127">
        <v>49</v>
      </c>
      <c r="I118" s="127">
        <v>10</v>
      </c>
      <c r="J118" s="937">
        <v>5520</v>
      </c>
      <c r="K118" s="7">
        <f>Inventory_List_Table3[[#This Row],[Q]]*Inventory_List_Table3[[#This Row],[Per piece MXN$]]</f>
        <v>11040</v>
      </c>
      <c r="L118" s="128">
        <f>Inventory_List_Table3[[#This Row],[KG]]*2.20462</f>
        <v>83.775559999999999</v>
      </c>
      <c r="M118" s="8">
        <f>Inventory_List_Table3[[#This Row],[H CM]]/2.54</f>
        <v>70.866141732283467</v>
      </c>
      <c r="N118" s="8">
        <f>Inventory_List_Table3[[#This Row],[W CM]]/2.54</f>
        <v>19.291338582677167</v>
      </c>
      <c r="O118" s="130">
        <f>Inventory_List_Table3[[#This Row],[D CM ]]/2.54</f>
        <v>3.9370078740157481</v>
      </c>
      <c r="P118" s="9">
        <f>Inventory_List_Table3[[#This Row],[Per piece MXN$]]/$U$2</f>
        <v>306.66666666666669</v>
      </c>
      <c r="Q118" s="9">
        <f>IF(MOD(P118,1)&gt;0.4,ROUNDUP(P118,0),ROUNDDOWN(P118,0))</f>
        <v>307</v>
      </c>
      <c r="R118" s="9">
        <f>Inventory_List_Table3[[#This Row],[AQ ROUND]]*1.4</f>
        <v>429.79999999999995</v>
      </c>
      <c r="S118" s="9">
        <f>IF(MOD(R118,1)&gt;0.4,ROUNDUP(R118,0),ROUNDDOWN(R118,0))</f>
        <v>430</v>
      </c>
      <c r="T118" s="9">
        <f>Inventory_List_Table3[[#This Row],[LND ROUND]]*12</f>
        <v>5160</v>
      </c>
      <c r="U118" s="9">
        <f>Inventory_List_Table3[[#This Row],[AQ]]*Inventory_List_Table3[[#This Row],[Q]]</f>
        <v>613.33333333333337</v>
      </c>
      <c r="V118" s="129" t="s">
        <v>698</v>
      </c>
      <c r="W118" s="129" t="s">
        <v>697</v>
      </c>
      <c r="X118" s="45">
        <f>Inventory_List_Table3[[#This Row],[H CM]]*Inventory_List_Table3[[#This Row],[W CM]]+Inventory_List_Table3[[#This Row],[H CM]]*Inventory_List_Table3[[#This Row],[D CM ]]*2+Inventory_List_Table3[[#This Row],[W CM]]*Inventory_List_Table3[[#This Row],[D CM ]]*2</f>
        <v>13400</v>
      </c>
      <c r="Y118" s="75">
        <f>Inventory_List_Table3[[#This Row],[Per piece MXN$]]/X118*10000</f>
        <v>4119.4029850746265</v>
      </c>
    </row>
  </sheetData>
  <mergeCells count="1">
    <mergeCell ref="R1:S1"/>
  </mergeCells>
  <phoneticPr fontId="3" type="noConversion"/>
  <dataValidations count="12">
    <dataValidation allowBlank="1" showInputMessage="1" showErrorMessage="1" prompt="Enter company name in this cell" sqref="A2" xr:uid="{48C8AEA4-183A-481F-AB89-55D140E0079E}"/>
    <dataValidation allowBlank="1" showInputMessage="1" showErrorMessage="1" prompt="Enter a description of the item in this column" sqref="E3" xr:uid="{BEB3E199-E622-4CB3-8480-0F6E31919F22}"/>
    <dataValidation allowBlank="1" showInputMessage="1" showErrorMessage="1" prompt="Enter the unit price of each item in this column" sqref="F3" xr:uid="{B7587413-793C-452B-B891-58DF34DC406E}"/>
    <dataValidation allowBlank="1" showInputMessage="1" showErrorMessage="1" prompt="Enter the quantity in stock for each item in this column" sqref="G3" xr:uid="{5C752E99-9CFC-4486-92BB-BD169088DD4D}"/>
    <dataValidation allowBlank="1" showInputMessage="1" showErrorMessage="1" prompt="This is an automated column._x000a__x000a_The inventory value for each item is automatically calculated in this column." sqref="H3" xr:uid="{7C642793-B4D5-4D1C-BAA3-7C7244197949}"/>
    <dataValidation allowBlank="1" showInputMessage="1" showErrorMessage="1" prompt="Enter the reorder level for each item in this column" sqref="I3" xr:uid="{9501F303-B812-40F1-96E4-2D6F0E7037F4}"/>
    <dataValidation allowBlank="1" showInputMessage="1" showErrorMessage="1" prompt="Enter the number of days it takes to reorder each item in this column" sqref="J3:L3" xr:uid="{37335470-2C0A-4D78-B601-78A7D32FB5FE}"/>
    <dataValidation allowBlank="1" showInputMessage="1" showErrorMessage="1" prompt="Enter the quantity in reorder for each item in this column" sqref="M3" xr:uid="{8DE78E7A-D71E-425C-AA14-4343B067BCDA}"/>
    <dataValidation allowBlank="1" showInputMessage="1" showErrorMessage="1" prompt="Enter yes if the item has been discontinued. When a yes is entered, the corresponding row is highlighted a light grey and the font style changed to strikethrough" sqref="N3" xr:uid="{F2C55439-B28D-4657-B267-87468E15653F}"/>
    <dataValidation allowBlank="1" showInputMessage="1" showErrorMessage="1" prompt="Enter the name of the item in this column" sqref="D3" xr:uid="{B2059F30-EBC5-4D49-B9DA-C56BFFD849A3}"/>
    <dataValidation allowBlank="1" showInputMessage="1" showErrorMessage="1" prompt="Enter the item inventory ID in this column" sqref="C3" xr:uid="{04B6852E-7CF7-478D-9D76-83DA62E860D4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A82F982D-488D-4E0E-A553-85BF6C98F9D7}"/>
  </dataValidations>
  <printOptions horizontalCentered="1"/>
  <pageMargins left="0.25" right="0.25" top="0.75" bottom="0.75" header="0.3" footer="0.3"/>
  <pageSetup scale="25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E777-D8AB-41B7-B248-6A600BF71B38}">
  <sheetPr>
    <tabColor rgb="FFA0CEB2"/>
    <pageSetUpPr fitToPage="1"/>
  </sheetPr>
  <dimension ref="A1:Y33"/>
  <sheetViews>
    <sheetView showGridLines="0" tabSelected="1" topLeftCell="B1" zoomScale="68" zoomScaleNormal="68" workbookViewId="0">
      <selection activeCell="J4" sqref="J4"/>
    </sheetView>
  </sheetViews>
  <sheetFormatPr defaultColWidth="8.625" defaultRowHeight="24" customHeight="1" x14ac:dyDescent="0.25"/>
  <cols>
    <col min="1" max="1" width="19.75" style="76" bestFit="1" customWidth="1"/>
    <col min="2" max="2" width="15.5" style="77" customWidth="1"/>
    <col min="3" max="3" width="29.375" style="78" customWidth="1"/>
    <col min="4" max="4" width="23.75" style="78" bestFit="1" customWidth="1"/>
    <col min="5" max="5" width="6.375" style="78" customWidth="1"/>
    <col min="6" max="6" width="9.25" style="79" bestFit="1" customWidth="1"/>
    <col min="7" max="7" width="8.625" style="79" bestFit="1" customWidth="1"/>
    <col min="8" max="8" width="8.75" style="79" bestFit="1" customWidth="1"/>
    <col min="9" max="9" width="8.125" style="79" bestFit="1" customWidth="1"/>
    <col min="10" max="10" width="19.625" style="79" bestFit="1" customWidth="1"/>
    <col min="11" max="11" width="28.125" style="79" bestFit="1" customWidth="1"/>
    <col min="12" max="12" width="16.25" style="79" bestFit="1" customWidth="1"/>
    <col min="13" max="13" width="11.5" style="79" customWidth="1"/>
    <col min="14" max="14" width="11.5" style="78" customWidth="1"/>
    <col min="15" max="15" width="11.375" style="45" customWidth="1"/>
    <col min="16" max="17" width="13.75" style="45" customWidth="1"/>
    <col min="18" max="19" width="15.5" style="45" customWidth="1"/>
    <col min="20" max="20" width="18.125" style="45" bestFit="1" customWidth="1"/>
    <col min="21" max="21" width="15" style="45" customWidth="1"/>
    <col min="22" max="22" width="7.5" style="45" bestFit="1" customWidth="1"/>
    <col min="23" max="23" width="9.625" style="45" customWidth="1"/>
    <col min="24" max="24" width="9.125" style="45" bestFit="1" customWidth="1"/>
    <col min="25" max="25" width="13.25" style="45" bestFit="1" customWidth="1"/>
    <col min="26" max="16384" width="8.625" style="45"/>
  </cols>
  <sheetData>
    <row r="1" spans="1:25" ht="36.75" x14ac:dyDescent="0.6">
      <c r="A1" s="546" t="s">
        <v>117</v>
      </c>
      <c r="B1" s="547"/>
      <c r="C1" s="547"/>
      <c r="D1" s="548"/>
      <c r="E1" s="548"/>
      <c r="F1" s="547"/>
      <c r="G1" s="549"/>
      <c r="H1" s="549"/>
      <c r="I1" s="550"/>
      <c r="J1" s="565"/>
      <c r="K1" s="551">
        <f>SUM(K16:K30)</f>
        <v>381780</v>
      </c>
      <c r="L1" s="552"/>
      <c r="M1" s="553"/>
      <c r="N1" s="547"/>
      <c r="O1" s="549"/>
      <c r="P1" s="549"/>
      <c r="Q1" s="1066"/>
      <c r="R1" s="554"/>
      <c r="S1" s="555"/>
      <c r="T1" s="556" t="s">
        <v>133</v>
      </c>
      <c r="U1" s="557">
        <v>825</v>
      </c>
      <c r="V1" s="549"/>
      <c r="W1" s="549"/>
    </row>
    <row r="2" spans="1:25" ht="31.5" x14ac:dyDescent="0.45">
      <c r="A2" s="558" t="s">
        <v>118</v>
      </c>
      <c r="B2" s="559"/>
      <c r="C2" s="559"/>
      <c r="D2" s="560"/>
      <c r="E2" s="561"/>
      <c r="F2" s="562"/>
      <c r="G2" s="563"/>
      <c r="H2" s="549"/>
      <c r="I2" s="564"/>
      <c r="J2" s="565"/>
      <c r="K2" s="721">
        <f>SUM(Inventory_List_Table341115[TOTAL PESOS])</f>
        <v>476680</v>
      </c>
      <c r="L2" s="564"/>
      <c r="M2" s="547"/>
      <c r="N2" s="547"/>
      <c r="O2" s="549"/>
      <c r="P2" s="549"/>
      <c r="Q2" s="1066"/>
      <c r="R2" s="554"/>
      <c r="S2" s="555"/>
      <c r="T2" s="556" t="s">
        <v>134</v>
      </c>
      <c r="U2" s="566">
        <v>18</v>
      </c>
      <c r="V2" s="548"/>
      <c r="W2" s="555"/>
    </row>
    <row r="3" spans="1:25" s="67" customFormat="1" ht="40.9" customHeight="1" x14ac:dyDescent="0.25">
      <c r="A3" s="567" t="s">
        <v>135</v>
      </c>
      <c r="B3" s="568" t="s">
        <v>122</v>
      </c>
      <c r="C3" s="568" t="s">
        <v>136</v>
      </c>
      <c r="D3" s="569" t="s">
        <v>137</v>
      </c>
      <c r="E3" s="570" t="s">
        <v>123</v>
      </c>
      <c r="F3" s="571" t="s">
        <v>124</v>
      </c>
      <c r="G3" s="571" t="s">
        <v>130</v>
      </c>
      <c r="H3" s="571" t="s">
        <v>125</v>
      </c>
      <c r="I3" s="571" t="s">
        <v>126</v>
      </c>
      <c r="J3" s="571" t="s">
        <v>138</v>
      </c>
      <c r="K3" s="568" t="s">
        <v>139</v>
      </c>
      <c r="L3" s="568" t="s">
        <v>127</v>
      </c>
      <c r="M3" s="568" t="s">
        <v>140</v>
      </c>
      <c r="N3" s="568" t="s">
        <v>141</v>
      </c>
      <c r="O3" s="568" t="s">
        <v>142</v>
      </c>
      <c r="P3" s="572" t="s">
        <v>143</v>
      </c>
      <c r="Q3" s="568" t="s">
        <v>144</v>
      </c>
      <c r="R3" s="572" t="s">
        <v>145</v>
      </c>
      <c r="S3" s="572" t="s">
        <v>146</v>
      </c>
      <c r="T3" s="572" t="s">
        <v>2</v>
      </c>
      <c r="U3" s="573" t="s">
        <v>128</v>
      </c>
      <c r="V3" s="573" t="s">
        <v>131</v>
      </c>
      <c r="W3" s="574" t="s">
        <v>1</v>
      </c>
      <c r="X3" s="67" t="s">
        <v>418</v>
      </c>
      <c r="Y3" s="67" t="s">
        <v>442</v>
      </c>
    </row>
    <row r="4" spans="1:25" ht="30" customHeight="1" x14ac:dyDescent="0.25">
      <c r="A4" s="575">
        <v>4491</v>
      </c>
      <c r="B4" s="69"/>
      <c r="C4" s="70" t="s">
        <v>320</v>
      </c>
      <c r="D4" s="390" t="s">
        <v>1185</v>
      </c>
      <c r="E4" s="577">
        <v>1</v>
      </c>
      <c r="F4" s="578"/>
      <c r="G4" s="578">
        <v>130</v>
      </c>
      <c r="H4" s="578">
        <v>24</v>
      </c>
      <c r="I4" s="578">
        <v>10</v>
      </c>
      <c r="J4" s="579">
        <v>5180</v>
      </c>
      <c r="K4" s="1">
        <f>Inventory_List_Table341115[[#This Row],[Q]]*Inventory_List_Table341115[[#This Row],[Per piece MXN$]]</f>
        <v>5180</v>
      </c>
      <c r="L4" s="32">
        <f>Inventory_List_Table341115[[#This Row],[KG]]*2.20462</f>
        <v>0</v>
      </c>
      <c r="M4" s="2">
        <f>Inventory_List_Table341115[[#This Row],[H CM]]/2.54</f>
        <v>51.181102362204726</v>
      </c>
      <c r="N4" s="2">
        <f>Inventory_List_Table341115[[#This Row],[W CM]]/2.54</f>
        <v>9.4488188976377945</v>
      </c>
      <c r="O4" s="2">
        <f>Inventory_List_Table341115[[#This Row],[D CM ]]/2.54</f>
        <v>3.9370078740157481</v>
      </c>
      <c r="P4" s="3">
        <f>Inventory_List_Table341115[[#This Row],[Per piece MXN$]]/$U$2</f>
        <v>287.77777777777777</v>
      </c>
      <c r="Q4" s="3">
        <f t="shared" ref="Q4:Q18" si="0">IF(MOD(P4,1)&gt;0.4,ROUNDUP(P4,0),ROUNDDOWN(P4,0))</f>
        <v>288</v>
      </c>
      <c r="R4" s="3">
        <f>Inventory_List_Table341115[[#This Row],[AQ ROUND]]*1.4</f>
        <v>403.2</v>
      </c>
      <c r="S4" s="3">
        <f t="shared" ref="S4:S18" si="1">IF(MOD(R4,1)&gt;0.4,ROUNDUP(R4,0),ROUNDDOWN(R4,0))</f>
        <v>403</v>
      </c>
      <c r="T4" s="3">
        <f>Inventory_List_Table341115[[#This Row],[LND ROUND]]*8</f>
        <v>3224</v>
      </c>
      <c r="U4" s="3">
        <f>Inventory_List_Table341115[[#This Row],[AQ]]*Inventory_List_Table341115[[#This Row],[Q]]</f>
        <v>287.77777777777777</v>
      </c>
      <c r="V4" s="74" t="s">
        <v>1186</v>
      </c>
      <c r="W4" s="74" t="s">
        <v>1187</v>
      </c>
      <c r="X4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6200</v>
      </c>
      <c r="Y4" s="82">
        <f>Inventory_List_Table341115[[#This Row],[Per piece MXN$]]/X4*10000</f>
        <v>8354.8387096774186</v>
      </c>
    </row>
    <row r="5" spans="1:25" ht="30" customHeight="1" x14ac:dyDescent="0.25">
      <c r="A5" s="575">
        <v>4546</v>
      </c>
      <c r="B5" s="69"/>
      <c r="C5" s="70" t="s">
        <v>320</v>
      </c>
      <c r="D5" s="390" t="s">
        <v>1188</v>
      </c>
      <c r="E5" s="576">
        <v>1</v>
      </c>
      <c r="F5" s="578"/>
      <c r="G5" s="578">
        <v>150</v>
      </c>
      <c r="H5" s="578">
        <v>24</v>
      </c>
      <c r="I5" s="578">
        <v>10</v>
      </c>
      <c r="J5" s="579">
        <v>6720</v>
      </c>
      <c r="K5" s="1">
        <f>Inventory_List_Table341115[[#This Row],[Q]]*Inventory_List_Table341115[[#This Row],[Per piece MXN$]]</f>
        <v>6720</v>
      </c>
      <c r="L5" s="32">
        <f>Inventory_List_Table341115[[#This Row],[KG]]*2.20462</f>
        <v>0</v>
      </c>
      <c r="M5" s="2">
        <f>Inventory_List_Table341115[[#This Row],[H CM]]/2.54</f>
        <v>59.055118110236222</v>
      </c>
      <c r="N5" s="2">
        <f>Inventory_List_Table341115[[#This Row],[W CM]]/2.54</f>
        <v>9.4488188976377945</v>
      </c>
      <c r="O5" s="2">
        <f>Inventory_List_Table341115[[#This Row],[D CM ]]/2.54</f>
        <v>3.9370078740157481</v>
      </c>
      <c r="P5" s="3">
        <f>Inventory_List_Table341115[[#This Row],[Per piece MXN$]]/$U$2</f>
        <v>373.33333333333331</v>
      </c>
      <c r="Q5" s="3">
        <f t="shared" si="0"/>
        <v>373</v>
      </c>
      <c r="R5" s="3">
        <f>Inventory_List_Table341115[[#This Row],[AQ ROUND]]*1.4</f>
        <v>522.19999999999993</v>
      </c>
      <c r="S5" s="3">
        <f t="shared" si="1"/>
        <v>522</v>
      </c>
      <c r="T5" s="3">
        <f>Inventory_List_Table341115[[#This Row],[LND ROUND]]*8</f>
        <v>4176</v>
      </c>
      <c r="U5" s="3">
        <f>Inventory_List_Table341115[[#This Row],[AQ]]*Inventory_List_Table341115[[#This Row],[Q]]</f>
        <v>373.33333333333331</v>
      </c>
      <c r="V5" s="74" t="s">
        <v>1189</v>
      </c>
      <c r="W5" s="74" t="s">
        <v>1190</v>
      </c>
      <c r="X5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7080</v>
      </c>
      <c r="Y5" s="82">
        <f>Inventory_List_Table341115[[#This Row],[Per piece MXN$]]/X5*10000</f>
        <v>9491.5254237288136</v>
      </c>
    </row>
    <row r="6" spans="1:25" ht="30" customHeight="1" x14ac:dyDescent="0.25">
      <c r="A6" s="575">
        <v>4574</v>
      </c>
      <c r="B6" s="69"/>
      <c r="C6" s="70" t="s">
        <v>320</v>
      </c>
      <c r="D6" s="390" t="s">
        <v>1191</v>
      </c>
      <c r="E6" s="576">
        <v>1</v>
      </c>
      <c r="F6" s="578"/>
      <c r="G6" s="578">
        <v>130</v>
      </c>
      <c r="H6" s="578">
        <v>24</v>
      </c>
      <c r="I6" s="578">
        <v>10</v>
      </c>
      <c r="J6" s="579">
        <v>979.99999999999989</v>
      </c>
      <c r="K6" s="1">
        <f>Inventory_List_Table341115[[#This Row],[Q]]*Inventory_List_Table341115[[#This Row],[Per piece MXN$]]</f>
        <v>979.99999999999989</v>
      </c>
      <c r="L6" s="32">
        <f>Inventory_List_Table341115[[#This Row],[KG]]*2.20462</f>
        <v>0</v>
      </c>
      <c r="M6" s="2">
        <f>Inventory_List_Table341115[[#This Row],[H CM]]/2.54</f>
        <v>51.181102362204726</v>
      </c>
      <c r="N6" s="2">
        <f>Inventory_List_Table341115[[#This Row],[W CM]]/2.54</f>
        <v>9.4488188976377945</v>
      </c>
      <c r="O6" s="2">
        <f>Inventory_List_Table341115[[#This Row],[D CM ]]/2.54</f>
        <v>3.9370078740157481</v>
      </c>
      <c r="P6" s="3">
        <f>Inventory_List_Table341115[[#This Row],[Per piece MXN$]]/$U$2</f>
        <v>54.444444444444436</v>
      </c>
      <c r="Q6" s="3">
        <f t="shared" si="0"/>
        <v>55</v>
      </c>
      <c r="R6" s="3">
        <f>Inventory_List_Table341115[[#This Row],[AQ ROUND]]*1.4</f>
        <v>77</v>
      </c>
      <c r="S6" s="3">
        <f t="shared" si="1"/>
        <v>77</v>
      </c>
      <c r="T6" s="3">
        <f>Inventory_List_Table341115[[#This Row],[LND ROUND]]*8</f>
        <v>616</v>
      </c>
      <c r="U6" s="3">
        <f>Inventory_List_Table341115[[#This Row],[AQ]]*Inventory_List_Table341115[[#This Row],[Q]]</f>
        <v>54.444444444444436</v>
      </c>
      <c r="V6" s="74" t="s">
        <v>1126</v>
      </c>
      <c r="W6" s="74" t="s">
        <v>1192</v>
      </c>
      <c r="X6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6200</v>
      </c>
      <c r="Y6" s="82">
        <f>Inventory_List_Table341115[[#This Row],[Per piece MXN$]]/X6*10000</f>
        <v>1580.6451612903224</v>
      </c>
    </row>
    <row r="7" spans="1:25" ht="30" customHeight="1" x14ac:dyDescent="0.25">
      <c r="A7" s="575">
        <v>4418</v>
      </c>
      <c r="B7" s="69"/>
      <c r="C7" s="70" t="s">
        <v>320</v>
      </c>
      <c r="D7" s="390" t="s">
        <v>1193</v>
      </c>
      <c r="E7" s="576">
        <v>1</v>
      </c>
      <c r="F7" s="578"/>
      <c r="G7" s="578">
        <v>150</v>
      </c>
      <c r="H7" s="578">
        <v>24</v>
      </c>
      <c r="I7" s="578">
        <v>10</v>
      </c>
      <c r="J7" s="579">
        <v>6720</v>
      </c>
      <c r="K7" s="1">
        <f>Inventory_List_Table341115[[#This Row],[Q]]*Inventory_List_Table341115[[#This Row],[Per piece MXN$]]</f>
        <v>6720</v>
      </c>
      <c r="L7" s="32">
        <f>Inventory_List_Table341115[[#This Row],[KG]]*2.20462</f>
        <v>0</v>
      </c>
      <c r="M7" s="2">
        <f>Inventory_List_Table341115[[#This Row],[H CM]]/2.54</f>
        <v>59.055118110236222</v>
      </c>
      <c r="N7" s="2">
        <f>Inventory_List_Table341115[[#This Row],[W CM]]/2.54</f>
        <v>9.4488188976377945</v>
      </c>
      <c r="O7" s="2">
        <f>Inventory_List_Table341115[[#This Row],[D CM ]]/2.54</f>
        <v>3.9370078740157481</v>
      </c>
      <c r="P7" s="3">
        <f>Inventory_List_Table341115[[#This Row],[Per piece MXN$]]/$U$2</f>
        <v>373.33333333333331</v>
      </c>
      <c r="Q7" s="3">
        <f t="shared" si="0"/>
        <v>373</v>
      </c>
      <c r="R7" s="3">
        <f>Inventory_List_Table341115[[#This Row],[AQ ROUND]]*1.4</f>
        <v>522.19999999999993</v>
      </c>
      <c r="S7" s="3">
        <f t="shared" si="1"/>
        <v>522</v>
      </c>
      <c r="T7" s="3">
        <f>Inventory_List_Table341115[[#This Row],[LND ROUND]]*8</f>
        <v>4176</v>
      </c>
      <c r="U7" s="3">
        <f>Inventory_List_Table341115[[#This Row],[AQ]]*Inventory_List_Table341115[[#This Row],[Q]]</f>
        <v>373.33333333333331</v>
      </c>
      <c r="V7" s="74" t="s">
        <v>1189</v>
      </c>
      <c r="W7" s="74" t="s">
        <v>1190</v>
      </c>
      <c r="X7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7080</v>
      </c>
      <c r="Y7" s="82">
        <f>Inventory_List_Table341115[[#This Row],[Per piece MXN$]]/X7*10000</f>
        <v>9491.5254237288136</v>
      </c>
    </row>
    <row r="8" spans="1:25" ht="30" customHeight="1" x14ac:dyDescent="0.25">
      <c r="A8" s="575">
        <v>4494</v>
      </c>
      <c r="B8" s="69"/>
      <c r="C8" s="70" t="s">
        <v>320</v>
      </c>
      <c r="D8" s="390" t="s">
        <v>1194</v>
      </c>
      <c r="E8" s="576">
        <v>1</v>
      </c>
      <c r="F8" s="578"/>
      <c r="G8" s="578">
        <v>140</v>
      </c>
      <c r="H8" s="578">
        <v>24</v>
      </c>
      <c r="I8" s="578">
        <v>10</v>
      </c>
      <c r="J8" s="579">
        <v>5880</v>
      </c>
      <c r="K8" s="1">
        <f>Inventory_List_Table341115[[#This Row],[Q]]*Inventory_List_Table341115[[#This Row],[Per piece MXN$]]</f>
        <v>5880</v>
      </c>
      <c r="L8" s="32">
        <f>Inventory_List_Table341115[[#This Row],[KG]]*2.20462</f>
        <v>0</v>
      </c>
      <c r="M8" s="2">
        <f>Inventory_List_Table341115[[#This Row],[H CM]]/2.54</f>
        <v>55.118110236220474</v>
      </c>
      <c r="N8" s="2">
        <f>Inventory_List_Table341115[[#This Row],[W CM]]/2.54</f>
        <v>9.4488188976377945</v>
      </c>
      <c r="O8" s="2">
        <f>Inventory_List_Table341115[[#This Row],[D CM ]]/2.54</f>
        <v>3.9370078740157481</v>
      </c>
      <c r="P8" s="3">
        <f>Inventory_List_Table341115[[#This Row],[Per piece MXN$]]/$U$2</f>
        <v>326.66666666666669</v>
      </c>
      <c r="Q8" s="3">
        <f t="shared" si="0"/>
        <v>327</v>
      </c>
      <c r="R8" s="3">
        <f>Inventory_List_Table341115[[#This Row],[AQ ROUND]]*1.4</f>
        <v>457.79999999999995</v>
      </c>
      <c r="S8" s="3">
        <f t="shared" si="1"/>
        <v>458</v>
      </c>
      <c r="T8" s="3">
        <f>Inventory_List_Table341115[[#This Row],[LND ROUND]]*8</f>
        <v>3664</v>
      </c>
      <c r="U8" s="3">
        <f>Inventory_List_Table341115[[#This Row],[AQ]]*Inventory_List_Table341115[[#This Row],[Q]]</f>
        <v>326.66666666666669</v>
      </c>
      <c r="V8" s="74" t="s">
        <v>1195</v>
      </c>
      <c r="W8" s="74" t="s">
        <v>1196</v>
      </c>
      <c r="X8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6640</v>
      </c>
      <c r="Y8" s="82">
        <f>Inventory_List_Table341115[[#This Row],[Per piece MXN$]]/X8*10000</f>
        <v>8855.4216867469877</v>
      </c>
    </row>
    <row r="9" spans="1:25" ht="30" customHeight="1" x14ac:dyDescent="0.25">
      <c r="A9" s="575">
        <v>4542</v>
      </c>
      <c r="B9" s="69"/>
      <c r="C9" s="70" t="s">
        <v>320</v>
      </c>
      <c r="D9" s="390" t="s">
        <v>1197</v>
      </c>
      <c r="E9" s="576">
        <v>1</v>
      </c>
      <c r="F9" s="578"/>
      <c r="G9" s="578">
        <v>95</v>
      </c>
      <c r="H9" s="578">
        <v>24</v>
      </c>
      <c r="I9" s="578">
        <v>10</v>
      </c>
      <c r="J9" s="579">
        <v>3500</v>
      </c>
      <c r="K9" s="1">
        <f>Inventory_List_Table341115[[#This Row],[Q]]*Inventory_List_Table341115[[#This Row],[Per piece MXN$]]</f>
        <v>3500</v>
      </c>
      <c r="L9" s="32">
        <f>Inventory_List_Table341115[[#This Row],[KG]]*2.20462</f>
        <v>0</v>
      </c>
      <c r="M9" s="2">
        <f>Inventory_List_Table341115[[#This Row],[H CM]]/2.54</f>
        <v>37.401574803149607</v>
      </c>
      <c r="N9" s="2">
        <f>Inventory_List_Table341115[[#This Row],[W CM]]/2.54</f>
        <v>9.4488188976377945</v>
      </c>
      <c r="O9" s="2">
        <f>Inventory_List_Table341115[[#This Row],[D CM ]]/2.54</f>
        <v>3.9370078740157481</v>
      </c>
      <c r="P9" s="3">
        <f>Inventory_List_Table341115[[#This Row],[Per piece MXN$]]/$U$2</f>
        <v>194.44444444444446</v>
      </c>
      <c r="Q9" s="3">
        <f t="shared" si="0"/>
        <v>195</v>
      </c>
      <c r="R9" s="3">
        <f>Inventory_List_Table341115[[#This Row],[AQ ROUND]]*1.4</f>
        <v>273</v>
      </c>
      <c r="S9" s="3">
        <f t="shared" si="1"/>
        <v>273</v>
      </c>
      <c r="T9" s="3">
        <f>Inventory_List_Table341115[[#This Row],[LND ROUND]]*8</f>
        <v>2184</v>
      </c>
      <c r="U9" s="3">
        <f>Inventory_List_Table341115[[#This Row],[AQ]]*Inventory_List_Table341115[[#This Row],[Q]]</f>
        <v>194.44444444444446</v>
      </c>
      <c r="V9" s="74" t="s">
        <v>324</v>
      </c>
      <c r="W9" s="74" t="s">
        <v>325</v>
      </c>
      <c r="X9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4660</v>
      </c>
      <c r="Y9" s="82">
        <f>Inventory_List_Table341115[[#This Row],[Per piece MXN$]]/X9*10000</f>
        <v>7510.7296137339054</v>
      </c>
    </row>
    <row r="10" spans="1:25" ht="30" customHeight="1" x14ac:dyDescent="0.25">
      <c r="A10" s="575">
        <v>3649</v>
      </c>
      <c r="B10" s="69"/>
      <c r="C10" s="70" t="s">
        <v>321</v>
      </c>
      <c r="D10" s="390" t="s">
        <v>1198</v>
      </c>
      <c r="E10" s="576">
        <v>1</v>
      </c>
      <c r="F10" s="578"/>
      <c r="G10" s="578">
        <v>60</v>
      </c>
      <c r="H10" s="578">
        <v>60</v>
      </c>
      <c r="I10" s="578">
        <v>9</v>
      </c>
      <c r="J10" s="579">
        <v>7000</v>
      </c>
      <c r="K10" s="1">
        <f>Inventory_List_Table341115[[#This Row],[Q]]*Inventory_List_Table341115[[#This Row],[Per piece MXN$]]</f>
        <v>7000</v>
      </c>
      <c r="L10" s="32">
        <f>Inventory_List_Table341115[[#This Row],[KG]]*2.20462</f>
        <v>0</v>
      </c>
      <c r="M10" s="2">
        <f>Inventory_List_Table341115[[#This Row],[H CM]]/2.54</f>
        <v>23.622047244094489</v>
      </c>
      <c r="N10" s="2">
        <f>Inventory_List_Table341115[[#This Row],[W CM]]/2.54</f>
        <v>23.622047244094489</v>
      </c>
      <c r="O10" s="2">
        <f>Inventory_List_Table341115[[#This Row],[D CM ]]/2.54</f>
        <v>3.5433070866141732</v>
      </c>
      <c r="P10" s="3">
        <f>Inventory_List_Table341115[[#This Row],[Per piece MXN$]]/$U$2</f>
        <v>388.88888888888891</v>
      </c>
      <c r="Q10" s="3">
        <f t="shared" si="0"/>
        <v>389</v>
      </c>
      <c r="R10" s="3">
        <f>Inventory_List_Table341115[[#This Row],[AQ ROUND]]*1.4</f>
        <v>544.59999999999991</v>
      </c>
      <c r="S10" s="3">
        <f t="shared" si="1"/>
        <v>545</v>
      </c>
      <c r="T10" s="3">
        <f>Inventory_List_Table341115[[#This Row],[LND ROUND]]*8</f>
        <v>4360</v>
      </c>
      <c r="U10" s="3">
        <f>Inventory_List_Table341115[[#This Row],[AQ]]*Inventory_List_Table341115[[#This Row],[Q]]</f>
        <v>388.88888888888891</v>
      </c>
      <c r="V10" s="74" t="s">
        <v>657</v>
      </c>
      <c r="W10" s="74" t="s">
        <v>656</v>
      </c>
      <c r="X10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5760</v>
      </c>
      <c r="Y10" s="82">
        <f>Inventory_List_Table341115[[#This Row],[Per piece MXN$]]/X10*10000</f>
        <v>12152.777777777777</v>
      </c>
    </row>
    <row r="11" spans="1:25" ht="30" customHeight="1" x14ac:dyDescent="0.25">
      <c r="A11" s="575">
        <v>4932</v>
      </c>
      <c r="B11" s="69"/>
      <c r="C11" s="70" t="s">
        <v>320</v>
      </c>
      <c r="D11" s="390" t="s">
        <v>1199</v>
      </c>
      <c r="E11" s="576">
        <v>1</v>
      </c>
      <c r="F11" s="578"/>
      <c r="G11" s="578">
        <v>130</v>
      </c>
      <c r="H11" s="578">
        <v>23</v>
      </c>
      <c r="I11" s="578">
        <v>10</v>
      </c>
      <c r="J11" s="579">
        <v>5180</v>
      </c>
      <c r="K11" s="1">
        <f>Inventory_List_Table341115[[#This Row],[Q]]*Inventory_List_Table341115[[#This Row],[Per piece MXN$]]</f>
        <v>5180</v>
      </c>
      <c r="L11" s="32">
        <f>Inventory_List_Table341115[[#This Row],[KG]]*2.20462</f>
        <v>0</v>
      </c>
      <c r="M11" s="2">
        <f>Inventory_List_Table341115[[#This Row],[H CM]]/2.54</f>
        <v>51.181102362204726</v>
      </c>
      <c r="N11" s="2">
        <f>Inventory_List_Table341115[[#This Row],[W CM]]/2.54</f>
        <v>9.0551181102362204</v>
      </c>
      <c r="O11" s="2">
        <f>Inventory_List_Table341115[[#This Row],[D CM ]]/2.54</f>
        <v>3.9370078740157481</v>
      </c>
      <c r="P11" s="3">
        <f>Inventory_List_Table341115[[#This Row],[Per piece MXN$]]/$U$2</f>
        <v>287.77777777777777</v>
      </c>
      <c r="Q11" s="3">
        <f t="shared" si="0"/>
        <v>288</v>
      </c>
      <c r="R11" s="3">
        <f>Inventory_List_Table341115[[#This Row],[AQ ROUND]]*1.4</f>
        <v>403.2</v>
      </c>
      <c r="S11" s="3">
        <f t="shared" si="1"/>
        <v>403</v>
      </c>
      <c r="T11" s="3">
        <f>Inventory_List_Table341115[[#This Row],[LND ROUND]]*8</f>
        <v>3224</v>
      </c>
      <c r="U11" s="3">
        <f>Inventory_List_Table341115[[#This Row],[AQ]]*Inventory_List_Table341115[[#This Row],[Q]]</f>
        <v>287.77777777777777</v>
      </c>
      <c r="V11" s="74" t="s">
        <v>1186</v>
      </c>
      <c r="W11" s="74" t="s">
        <v>1187</v>
      </c>
      <c r="X11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6050</v>
      </c>
      <c r="Y11" s="82">
        <f>Inventory_List_Table341115[[#This Row],[Per piece MXN$]]/X11*10000</f>
        <v>8561.9834710743798</v>
      </c>
    </row>
    <row r="12" spans="1:25" ht="30" customHeight="1" x14ac:dyDescent="0.25">
      <c r="A12" s="575">
        <v>4933</v>
      </c>
      <c r="B12" s="69"/>
      <c r="C12" s="70" t="s">
        <v>320</v>
      </c>
      <c r="D12" s="390" t="s">
        <v>1200</v>
      </c>
      <c r="E12" s="576">
        <v>1</v>
      </c>
      <c r="F12" s="578"/>
      <c r="G12" s="578">
        <v>140</v>
      </c>
      <c r="H12" s="578">
        <v>23</v>
      </c>
      <c r="I12" s="578">
        <v>10</v>
      </c>
      <c r="J12" s="579">
        <v>5880</v>
      </c>
      <c r="K12" s="1">
        <f>Inventory_List_Table341115[[#This Row],[Q]]*Inventory_List_Table341115[[#This Row],[Per piece MXN$]]</f>
        <v>5880</v>
      </c>
      <c r="L12" s="32">
        <f>Inventory_List_Table341115[[#This Row],[KG]]*2.20462</f>
        <v>0</v>
      </c>
      <c r="M12" s="2">
        <f>Inventory_List_Table341115[[#This Row],[H CM]]/2.54</f>
        <v>55.118110236220474</v>
      </c>
      <c r="N12" s="2">
        <f>Inventory_List_Table341115[[#This Row],[W CM]]/2.54</f>
        <v>9.0551181102362204</v>
      </c>
      <c r="O12" s="2">
        <f>Inventory_List_Table341115[[#This Row],[D CM ]]/2.54</f>
        <v>3.9370078740157481</v>
      </c>
      <c r="P12" s="3">
        <f>Inventory_List_Table341115[[#This Row],[Per piece MXN$]]/$U$2</f>
        <v>326.66666666666669</v>
      </c>
      <c r="Q12" s="3">
        <f t="shared" si="0"/>
        <v>327</v>
      </c>
      <c r="R12" s="3">
        <f>Inventory_List_Table341115[[#This Row],[AQ ROUND]]*1.4</f>
        <v>457.79999999999995</v>
      </c>
      <c r="S12" s="3">
        <f t="shared" si="1"/>
        <v>458</v>
      </c>
      <c r="T12" s="3">
        <f>Inventory_List_Table341115[[#This Row],[LND ROUND]]*8</f>
        <v>3664</v>
      </c>
      <c r="U12" s="3">
        <f>Inventory_List_Table341115[[#This Row],[AQ]]*Inventory_List_Table341115[[#This Row],[Q]]</f>
        <v>326.66666666666669</v>
      </c>
      <c r="V12" s="74" t="s">
        <v>1195</v>
      </c>
      <c r="W12" s="74" t="s">
        <v>1196</v>
      </c>
      <c r="X12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6480</v>
      </c>
      <c r="Y12" s="82">
        <f>Inventory_List_Table341115[[#This Row],[Per piece MXN$]]/X12*10000</f>
        <v>9074.0740740740748</v>
      </c>
    </row>
    <row r="13" spans="1:25" ht="30" customHeight="1" x14ac:dyDescent="0.25">
      <c r="A13" s="575">
        <v>4970</v>
      </c>
      <c r="B13" s="69"/>
      <c r="C13" s="70" t="s">
        <v>320</v>
      </c>
      <c r="D13" s="390" t="s">
        <v>1201</v>
      </c>
      <c r="E13" s="576">
        <v>1</v>
      </c>
      <c r="F13" s="578">
        <v>11</v>
      </c>
      <c r="G13" s="578">
        <v>130</v>
      </c>
      <c r="H13" s="578">
        <v>23</v>
      </c>
      <c r="I13" s="578">
        <v>10</v>
      </c>
      <c r="J13" s="579">
        <v>5180</v>
      </c>
      <c r="K13" s="1">
        <f>Inventory_List_Table341115[[#This Row],[Q]]*Inventory_List_Table341115[[#This Row],[Per piece MXN$]]</f>
        <v>5180</v>
      </c>
      <c r="L13" s="32">
        <f>Inventory_List_Table341115[[#This Row],[KG]]*2.20462</f>
        <v>24.250819999999997</v>
      </c>
      <c r="M13" s="2">
        <f>Inventory_List_Table341115[[#This Row],[H CM]]/2.54</f>
        <v>51.181102362204726</v>
      </c>
      <c r="N13" s="2">
        <f>Inventory_List_Table341115[[#This Row],[W CM]]/2.54</f>
        <v>9.0551181102362204</v>
      </c>
      <c r="O13" s="2">
        <f>Inventory_List_Table341115[[#This Row],[D CM ]]/2.54</f>
        <v>3.9370078740157481</v>
      </c>
      <c r="P13" s="3">
        <f>Inventory_List_Table341115[[#This Row],[Per piece MXN$]]/$U$2</f>
        <v>287.77777777777777</v>
      </c>
      <c r="Q13" s="3">
        <f t="shared" si="0"/>
        <v>288</v>
      </c>
      <c r="R13" s="3">
        <f>Inventory_List_Table341115[[#This Row],[AQ ROUND]]*1.4</f>
        <v>403.2</v>
      </c>
      <c r="S13" s="3">
        <f t="shared" si="1"/>
        <v>403</v>
      </c>
      <c r="T13" s="3">
        <f>Inventory_List_Table341115[[#This Row],[LND ROUND]]*8</f>
        <v>3224</v>
      </c>
      <c r="U13" s="3">
        <f>Inventory_List_Table341115[[#This Row],[AQ]]*Inventory_List_Table341115[[#This Row],[Q]]</f>
        <v>287.77777777777777</v>
      </c>
      <c r="V13" s="74" t="s">
        <v>1186</v>
      </c>
      <c r="W13" s="74" t="s">
        <v>1187</v>
      </c>
      <c r="X13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6050</v>
      </c>
      <c r="Y13" s="82">
        <f>Inventory_List_Table341115[[#This Row],[Per piece MXN$]]/X13*10000</f>
        <v>8561.9834710743798</v>
      </c>
    </row>
    <row r="14" spans="1:25" ht="30" customHeight="1" x14ac:dyDescent="0.25">
      <c r="A14" s="575">
        <v>4972</v>
      </c>
      <c r="B14" s="69"/>
      <c r="C14" s="70" t="s">
        <v>320</v>
      </c>
      <c r="D14" s="390" t="s">
        <v>1202</v>
      </c>
      <c r="E14" s="576">
        <v>1</v>
      </c>
      <c r="F14" s="578">
        <v>11</v>
      </c>
      <c r="G14" s="578">
        <v>130</v>
      </c>
      <c r="H14" s="578">
        <v>23</v>
      </c>
      <c r="I14" s="578">
        <v>10</v>
      </c>
      <c r="J14" s="579">
        <v>5180</v>
      </c>
      <c r="K14" s="1">
        <f>Inventory_List_Table341115[[#This Row],[Q]]*Inventory_List_Table341115[[#This Row],[Per piece MXN$]]</f>
        <v>5180</v>
      </c>
      <c r="L14" s="32">
        <f>Inventory_List_Table341115[[#This Row],[KG]]*2.20462</f>
        <v>24.250819999999997</v>
      </c>
      <c r="M14" s="2">
        <f>Inventory_List_Table341115[[#This Row],[H CM]]/2.54</f>
        <v>51.181102362204726</v>
      </c>
      <c r="N14" s="2">
        <f>Inventory_List_Table341115[[#This Row],[W CM]]/2.54</f>
        <v>9.0551181102362204</v>
      </c>
      <c r="O14" s="2">
        <f>Inventory_List_Table341115[[#This Row],[D CM ]]/2.54</f>
        <v>3.9370078740157481</v>
      </c>
      <c r="P14" s="3">
        <f>Inventory_List_Table341115[[#This Row],[Per piece MXN$]]/$U$2</f>
        <v>287.77777777777777</v>
      </c>
      <c r="Q14" s="3">
        <f t="shared" si="0"/>
        <v>288</v>
      </c>
      <c r="R14" s="3">
        <f>Inventory_List_Table341115[[#This Row],[AQ ROUND]]*1.4</f>
        <v>403.2</v>
      </c>
      <c r="S14" s="3">
        <f t="shared" si="1"/>
        <v>403</v>
      </c>
      <c r="T14" s="3">
        <f>Inventory_List_Table341115[[#This Row],[LND ROUND]]*8</f>
        <v>3224</v>
      </c>
      <c r="U14" s="3">
        <f>Inventory_List_Table341115[[#This Row],[AQ]]*Inventory_List_Table341115[[#This Row],[Q]]</f>
        <v>287.77777777777777</v>
      </c>
      <c r="V14" s="74" t="s">
        <v>1186</v>
      </c>
      <c r="W14" s="74" t="s">
        <v>1187</v>
      </c>
      <c r="X14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6050</v>
      </c>
      <c r="Y14" s="82">
        <f>Inventory_List_Table341115[[#This Row],[Per piece MXN$]]/X14*10000</f>
        <v>8561.9834710743798</v>
      </c>
    </row>
    <row r="15" spans="1:25" ht="30" customHeight="1" x14ac:dyDescent="0.25">
      <c r="A15" s="575">
        <v>5114</v>
      </c>
      <c r="B15" s="69"/>
      <c r="C15" s="70" t="s">
        <v>321</v>
      </c>
      <c r="D15" s="390" t="s">
        <v>1203</v>
      </c>
      <c r="E15" s="576">
        <v>1</v>
      </c>
      <c r="F15" s="578"/>
      <c r="G15" s="578">
        <v>86</v>
      </c>
      <c r="H15" s="578">
        <v>23</v>
      </c>
      <c r="I15" s="578">
        <v>24</v>
      </c>
      <c r="J15" s="579">
        <v>17500</v>
      </c>
      <c r="K15" s="1">
        <f>Inventory_List_Table341115[[#This Row],[Q]]*Inventory_List_Table341115[[#This Row],[Per piece MXN$]]</f>
        <v>17500</v>
      </c>
      <c r="L15" s="32">
        <f>Inventory_List_Table341115[[#This Row],[KG]]*2.20462</f>
        <v>0</v>
      </c>
      <c r="M15" s="2">
        <f>Inventory_List_Table341115[[#This Row],[H CM]]/2.54</f>
        <v>33.85826771653543</v>
      </c>
      <c r="N15" s="2">
        <f>Inventory_List_Table341115[[#This Row],[W CM]]/2.54</f>
        <v>9.0551181102362204</v>
      </c>
      <c r="O15" s="2">
        <f>Inventory_List_Table341115[[#This Row],[D CM ]]/2.54</f>
        <v>9.4488188976377945</v>
      </c>
      <c r="P15" s="3">
        <f>Inventory_List_Table341115[[#This Row],[Per piece MXN$]]/$U$2</f>
        <v>972.22222222222217</v>
      </c>
      <c r="Q15" s="3">
        <f t="shared" si="0"/>
        <v>972</v>
      </c>
      <c r="R15" s="3">
        <f>Inventory_List_Table341115[[#This Row],[AQ ROUND]]*1.4</f>
        <v>1360.8</v>
      </c>
      <c r="S15" s="3">
        <f t="shared" si="1"/>
        <v>1361</v>
      </c>
      <c r="T15" s="3">
        <f>Inventory_List_Table341115[[#This Row],[LND ROUND]]*8</f>
        <v>10888</v>
      </c>
      <c r="U15" s="3">
        <f>Inventory_List_Table341115[[#This Row],[AQ]]*Inventory_List_Table341115[[#This Row],[Q]]</f>
        <v>972.22222222222217</v>
      </c>
      <c r="V15" s="74" t="s">
        <v>1204</v>
      </c>
      <c r="W15" s="74" t="s">
        <v>1205</v>
      </c>
      <c r="X15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7210</v>
      </c>
      <c r="Y15" s="82">
        <f>Inventory_List_Table341115[[#This Row],[Per piece MXN$]]/X15*10000</f>
        <v>24271.844660194172</v>
      </c>
    </row>
    <row r="16" spans="1:25" ht="30" customHeight="1" x14ac:dyDescent="0.25">
      <c r="A16" s="575">
        <v>5074</v>
      </c>
      <c r="B16" s="69">
        <v>46038</v>
      </c>
      <c r="C16" s="70" t="s">
        <v>320</v>
      </c>
      <c r="D16" s="141" t="s">
        <v>930</v>
      </c>
      <c r="E16" s="576">
        <v>1</v>
      </c>
      <c r="F16" s="578">
        <v>7</v>
      </c>
      <c r="G16" s="578">
        <v>90</v>
      </c>
      <c r="H16" s="578">
        <v>23</v>
      </c>
      <c r="I16" s="578">
        <v>10</v>
      </c>
      <c r="J16" s="579">
        <v>3500</v>
      </c>
      <c r="K16" s="1">
        <f>Inventory_List_Table341115[[#This Row],[Q]]*Inventory_List_Table341115[[#This Row],[Per piece MXN$]]</f>
        <v>3500</v>
      </c>
      <c r="L16" s="32">
        <f>Inventory_List_Table341115[[#This Row],[KG]]*2.20462</f>
        <v>15.432339999999998</v>
      </c>
      <c r="M16" s="2">
        <f>Inventory_List_Table341115[[#This Row],[H CM]]/2.54</f>
        <v>35.433070866141733</v>
      </c>
      <c r="N16" s="2">
        <f>Inventory_List_Table341115[[#This Row],[W CM]]/2.54</f>
        <v>9.0551181102362204</v>
      </c>
      <c r="O16" s="2">
        <f>Inventory_List_Table341115[[#This Row],[D CM ]]/2.54</f>
        <v>3.9370078740157481</v>
      </c>
      <c r="P16" s="3">
        <f>Inventory_List_Table341115[[#This Row],[Per piece MXN$]]/$U$2</f>
        <v>194.44444444444446</v>
      </c>
      <c r="Q16" s="3">
        <f t="shared" si="0"/>
        <v>195</v>
      </c>
      <c r="R16" s="3">
        <f>Inventory_List_Table341115[[#This Row],[AQ ROUND]]*1.4</f>
        <v>273</v>
      </c>
      <c r="S16" s="3">
        <f t="shared" si="1"/>
        <v>273</v>
      </c>
      <c r="T16" s="3">
        <f>Inventory_List_Table341115[[#This Row],[LND ROUND]]*8</f>
        <v>2184</v>
      </c>
      <c r="U16" s="3">
        <f>Inventory_List_Table341115[[#This Row],[AQ]]*Inventory_List_Table341115[[#This Row],[Q]]</f>
        <v>194.44444444444446</v>
      </c>
      <c r="V16" s="74" t="s">
        <v>324</v>
      </c>
      <c r="W16" s="74" t="s">
        <v>325</v>
      </c>
      <c r="X16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4330</v>
      </c>
      <c r="Y16" s="82">
        <f>Inventory_List_Table341115[[#This Row],[Per piece MXN$]]/X16*10000</f>
        <v>8083.1408775981527</v>
      </c>
    </row>
    <row r="17" spans="1:25" ht="30" customHeight="1" x14ac:dyDescent="0.25">
      <c r="A17" s="575">
        <v>5072</v>
      </c>
      <c r="B17" s="69">
        <v>46038</v>
      </c>
      <c r="C17" s="70" t="s">
        <v>320</v>
      </c>
      <c r="D17" s="141" t="s">
        <v>931</v>
      </c>
      <c r="E17" s="576">
        <v>1</v>
      </c>
      <c r="F17" s="578">
        <v>7</v>
      </c>
      <c r="G17" s="578">
        <v>80</v>
      </c>
      <c r="H17" s="578">
        <v>23</v>
      </c>
      <c r="I17" s="578">
        <v>10</v>
      </c>
      <c r="J17" s="579">
        <v>3080</v>
      </c>
      <c r="K17" s="1">
        <f>Inventory_List_Table341115[[#This Row],[Q]]*Inventory_List_Table341115[[#This Row],[Per piece MXN$]]</f>
        <v>3080</v>
      </c>
      <c r="L17" s="32">
        <f>Inventory_List_Table341115[[#This Row],[KG]]*2.20462</f>
        <v>15.432339999999998</v>
      </c>
      <c r="M17" s="2">
        <f>Inventory_List_Table341115[[#This Row],[H CM]]/2.54</f>
        <v>31.496062992125985</v>
      </c>
      <c r="N17" s="2">
        <f>Inventory_List_Table341115[[#This Row],[W CM]]/2.54</f>
        <v>9.0551181102362204</v>
      </c>
      <c r="O17" s="2">
        <f>Inventory_List_Table341115[[#This Row],[D CM ]]/2.54</f>
        <v>3.9370078740157481</v>
      </c>
      <c r="P17" s="3">
        <f>Inventory_List_Table341115[[#This Row],[Per piece MXN$]]/$U$2</f>
        <v>171.11111111111111</v>
      </c>
      <c r="Q17" s="3">
        <f t="shared" si="0"/>
        <v>171</v>
      </c>
      <c r="R17" s="3">
        <f>Inventory_List_Table341115[[#This Row],[AQ ROUND]]*1.4</f>
        <v>239.39999999999998</v>
      </c>
      <c r="S17" s="3">
        <f t="shared" si="1"/>
        <v>239</v>
      </c>
      <c r="T17" s="3">
        <f>Inventory_List_Table341115[[#This Row],[LND ROUND]]*8</f>
        <v>1912</v>
      </c>
      <c r="U17" s="3">
        <f>Inventory_List_Table341115[[#This Row],[AQ]]*Inventory_List_Table341115[[#This Row],[Q]]</f>
        <v>171.11111111111111</v>
      </c>
      <c r="V17" s="74" t="s">
        <v>423</v>
      </c>
      <c r="W17" s="74" t="s">
        <v>424</v>
      </c>
      <c r="X17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3900</v>
      </c>
      <c r="Y17" s="82">
        <f>Inventory_List_Table341115[[#This Row],[Per piece MXN$]]/X17*10000</f>
        <v>7897.4358974358975</v>
      </c>
    </row>
    <row r="18" spans="1:25" ht="30" customHeight="1" x14ac:dyDescent="0.25">
      <c r="A18" s="575">
        <v>5205</v>
      </c>
      <c r="B18" s="69">
        <v>46038</v>
      </c>
      <c r="C18" s="70" t="s">
        <v>320</v>
      </c>
      <c r="D18" s="141" t="s">
        <v>932</v>
      </c>
      <c r="E18" s="576">
        <v>1</v>
      </c>
      <c r="F18" s="578"/>
      <c r="G18" s="578">
        <v>100</v>
      </c>
      <c r="H18" s="578">
        <v>23</v>
      </c>
      <c r="I18" s="578">
        <v>10</v>
      </c>
      <c r="J18" s="579">
        <v>3919.9999999999995</v>
      </c>
      <c r="K18" s="1">
        <f>Inventory_List_Table341115[[#This Row],[Q]]*Inventory_List_Table341115[[#This Row],[Per piece MXN$]]</f>
        <v>3919.9999999999995</v>
      </c>
      <c r="L18" s="32">
        <f>Inventory_List_Table341115[[#This Row],[KG]]*2.20462</f>
        <v>0</v>
      </c>
      <c r="M18" s="2">
        <f>Inventory_List_Table341115[[#This Row],[H CM]]/2.54</f>
        <v>39.370078740157481</v>
      </c>
      <c r="N18" s="2">
        <f>Inventory_List_Table341115[[#This Row],[W CM]]/2.54</f>
        <v>9.0551181102362204</v>
      </c>
      <c r="O18" s="2">
        <f>Inventory_List_Table341115[[#This Row],[D CM ]]/2.54</f>
        <v>3.9370078740157481</v>
      </c>
      <c r="P18" s="3">
        <f>Inventory_List_Table341115[[#This Row],[Per piece MXN$]]/$U$2</f>
        <v>217.77777777777774</v>
      </c>
      <c r="Q18" s="3">
        <f t="shared" si="0"/>
        <v>218</v>
      </c>
      <c r="R18" s="3">
        <f>Inventory_List_Table341115[[#This Row],[AQ ROUND]]*1.4</f>
        <v>305.2</v>
      </c>
      <c r="S18" s="3">
        <f t="shared" si="1"/>
        <v>305</v>
      </c>
      <c r="T18" s="3">
        <f>Inventory_List_Table341115[[#This Row],[LND ROUND]]*8</f>
        <v>2440</v>
      </c>
      <c r="U18" s="3">
        <f>Inventory_List_Table341115[[#This Row],[AQ]]*Inventory_List_Table341115[[#This Row],[Q]]</f>
        <v>217.77777777777774</v>
      </c>
      <c r="V18" s="74" t="s">
        <v>9</v>
      </c>
      <c r="W18" s="74" t="s">
        <v>342</v>
      </c>
      <c r="X18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4760</v>
      </c>
      <c r="Y18" s="82">
        <f>Inventory_List_Table341115[[#This Row],[Per piece MXN$]]/X18*10000</f>
        <v>8235.2941176470576</v>
      </c>
    </row>
    <row r="19" spans="1:25" ht="30" customHeight="1" x14ac:dyDescent="0.25">
      <c r="A19" s="575">
        <v>101</v>
      </c>
      <c r="B19" s="69">
        <v>46038</v>
      </c>
      <c r="C19" s="70" t="s">
        <v>422</v>
      </c>
      <c r="D19" s="141" t="s">
        <v>699</v>
      </c>
      <c r="E19" s="576">
        <v>1</v>
      </c>
      <c r="F19" s="578">
        <v>9</v>
      </c>
      <c r="G19" s="578">
        <v>90</v>
      </c>
      <c r="H19" s="578">
        <v>23</v>
      </c>
      <c r="I19" s="578">
        <v>10</v>
      </c>
      <c r="J19" s="579">
        <v>3500</v>
      </c>
      <c r="K19" s="1">
        <v>3500</v>
      </c>
      <c r="L19" s="32">
        <v>0</v>
      </c>
      <c r="M19" s="2">
        <v>35.433070866141733</v>
      </c>
      <c r="N19" s="2">
        <v>9.0551181102362204</v>
      </c>
      <c r="O19" s="2">
        <v>3.9370078740157481</v>
      </c>
      <c r="P19" s="3">
        <v>194.44444444444446</v>
      </c>
      <c r="Q19" s="3">
        <v>195</v>
      </c>
      <c r="R19" s="3">
        <v>273</v>
      </c>
      <c r="S19" s="3">
        <v>273</v>
      </c>
      <c r="T19" s="3">
        <v>2184</v>
      </c>
      <c r="U19" s="3">
        <v>194.44444444444446</v>
      </c>
      <c r="V19" s="74" t="s">
        <v>324</v>
      </c>
      <c r="W19" s="74" t="s">
        <v>325</v>
      </c>
      <c r="X19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4330</v>
      </c>
      <c r="Y19" s="82">
        <f>Inventory_List_Table341115[[#This Row],[Per piece MXN$]]/X19*10000</f>
        <v>8083.1408775981527</v>
      </c>
    </row>
    <row r="20" spans="1:25" ht="30" customHeight="1" x14ac:dyDescent="0.25">
      <c r="A20" s="575">
        <v>102</v>
      </c>
      <c r="B20" s="69">
        <v>46038</v>
      </c>
      <c r="C20" s="70" t="s">
        <v>422</v>
      </c>
      <c r="D20" s="141" t="s">
        <v>700</v>
      </c>
      <c r="E20" s="576">
        <v>1</v>
      </c>
      <c r="F20" s="578">
        <v>7</v>
      </c>
      <c r="G20" s="578">
        <v>80</v>
      </c>
      <c r="H20" s="578">
        <v>23</v>
      </c>
      <c r="I20" s="578">
        <v>10</v>
      </c>
      <c r="J20" s="579">
        <v>3080</v>
      </c>
      <c r="K20" s="1">
        <v>3080</v>
      </c>
      <c r="L20" s="32">
        <v>0</v>
      </c>
      <c r="M20" s="2">
        <v>31.496062992125985</v>
      </c>
      <c r="N20" s="2">
        <v>9.0551181102362204</v>
      </c>
      <c r="O20" s="2">
        <v>3.9370078740157481</v>
      </c>
      <c r="P20" s="3">
        <v>171.11111111111111</v>
      </c>
      <c r="Q20" s="3">
        <v>171</v>
      </c>
      <c r="R20" s="3">
        <v>239.39999999999998</v>
      </c>
      <c r="S20" s="3">
        <v>239</v>
      </c>
      <c r="T20" s="3">
        <v>1912</v>
      </c>
      <c r="U20" s="3">
        <v>171.11111111111111</v>
      </c>
      <c r="V20" s="74" t="s">
        <v>423</v>
      </c>
      <c r="W20" s="74" t="s">
        <v>424</v>
      </c>
      <c r="X20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3900</v>
      </c>
      <c r="Y20" s="82">
        <f>Inventory_List_Table341115[[#This Row],[Per piece MXN$]]/X20*10000</f>
        <v>7897.4358974358975</v>
      </c>
    </row>
    <row r="21" spans="1:25" ht="30" customHeight="1" x14ac:dyDescent="0.25">
      <c r="A21" s="575">
        <v>103</v>
      </c>
      <c r="B21" s="69">
        <v>46038</v>
      </c>
      <c r="C21" s="70" t="s">
        <v>422</v>
      </c>
      <c r="D21" s="141" t="s">
        <v>701</v>
      </c>
      <c r="E21" s="576">
        <v>1</v>
      </c>
      <c r="F21" s="578">
        <v>10</v>
      </c>
      <c r="G21" s="578">
        <v>100</v>
      </c>
      <c r="H21" s="578">
        <v>23</v>
      </c>
      <c r="I21" s="578">
        <v>10</v>
      </c>
      <c r="J21" s="579">
        <v>3919.9999999999995</v>
      </c>
      <c r="K21" s="1">
        <v>3919.9999999999995</v>
      </c>
      <c r="L21" s="32">
        <v>0</v>
      </c>
      <c r="M21" s="2">
        <v>39.370078740157481</v>
      </c>
      <c r="N21" s="2">
        <v>9.0551181102362204</v>
      </c>
      <c r="O21" s="2">
        <v>3.9370078740157481</v>
      </c>
      <c r="P21" s="3">
        <v>217.77777777777774</v>
      </c>
      <c r="Q21" s="3">
        <v>218</v>
      </c>
      <c r="R21" s="3">
        <v>305.2</v>
      </c>
      <c r="S21" s="3">
        <v>305</v>
      </c>
      <c r="T21" s="3">
        <v>2440</v>
      </c>
      <c r="U21" s="3">
        <v>217.77777777777774</v>
      </c>
      <c r="V21" s="74" t="s">
        <v>9</v>
      </c>
      <c r="W21" s="74" t="s">
        <v>342</v>
      </c>
      <c r="X21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4760</v>
      </c>
      <c r="Y21" s="82">
        <f>Inventory_List_Table341115[[#This Row],[Per piece MXN$]]/X21*10000</f>
        <v>8235.2941176470576</v>
      </c>
    </row>
    <row r="22" spans="1:25" ht="30" customHeight="1" x14ac:dyDescent="0.25">
      <c r="A22" s="575">
        <v>104</v>
      </c>
      <c r="B22" s="69">
        <v>46038</v>
      </c>
      <c r="C22" s="70" t="s">
        <v>422</v>
      </c>
      <c r="D22" s="141" t="s">
        <v>702</v>
      </c>
      <c r="E22" s="576">
        <v>1</v>
      </c>
      <c r="F22" s="578">
        <v>7</v>
      </c>
      <c r="G22" s="578">
        <v>80</v>
      </c>
      <c r="H22" s="578">
        <v>23</v>
      </c>
      <c r="I22" s="578">
        <v>10</v>
      </c>
      <c r="J22" s="579">
        <v>3080</v>
      </c>
      <c r="K22" s="1">
        <v>3080</v>
      </c>
      <c r="L22" s="32">
        <v>0</v>
      </c>
      <c r="M22" s="2">
        <v>31.496062992125985</v>
      </c>
      <c r="N22" s="2">
        <v>9.0551181102362204</v>
      </c>
      <c r="O22" s="2">
        <v>3.9370078740157481</v>
      </c>
      <c r="P22" s="3">
        <v>171.11111111111111</v>
      </c>
      <c r="Q22" s="3">
        <v>171</v>
      </c>
      <c r="R22" s="3">
        <v>239.39999999999998</v>
      </c>
      <c r="S22" s="3">
        <v>239</v>
      </c>
      <c r="T22" s="3">
        <v>1912</v>
      </c>
      <c r="U22" s="3">
        <v>171.11111111111111</v>
      </c>
      <c r="V22" s="74" t="s">
        <v>423</v>
      </c>
      <c r="W22" s="74" t="s">
        <v>424</v>
      </c>
      <c r="X22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3900</v>
      </c>
      <c r="Y22" s="82">
        <f>Inventory_List_Table341115[[#This Row],[Per piece MXN$]]/X22*10000</f>
        <v>7897.4358974358975</v>
      </c>
    </row>
    <row r="23" spans="1:25" ht="30" customHeight="1" x14ac:dyDescent="0.25">
      <c r="A23" s="575">
        <v>105</v>
      </c>
      <c r="B23" s="69">
        <v>46038</v>
      </c>
      <c r="C23" s="70" t="s">
        <v>425</v>
      </c>
      <c r="D23" s="141" t="s">
        <v>703</v>
      </c>
      <c r="E23" s="576">
        <v>2</v>
      </c>
      <c r="F23" s="578">
        <v>55</v>
      </c>
      <c r="G23" s="578">
        <v>170</v>
      </c>
      <c r="H23" s="578">
        <v>58</v>
      </c>
      <c r="I23" s="578">
        <v>10</v>
      </c>
      <c r="J23" s="579">
        <v>16800</v>
      </c>
      <c r="K23" s="1">
        <v>33600</v>
      </c>
      <c r="L23" s="32">
        <v>0</v>
      </c>
      <c r="M23" s="2">
        <v>66.929133858267718</v>
      </c>
      <c r="N23" s="2">
        <v>22.834645669291337</v>
      </c>
      <c r="O23" s="2">
        <v>3.9370078740157481</v>
      </c>
      <c r="P23" s="3">
        <v>933.33333333333337</v>
      </c>
      <c r="Q23" s="3">
        <v>933</v>
      </c>
      <c r="R23" s="3">
        <v>1306.1999999999998</v>
      </c>
      <c r="S23" s="3">
        <v>1306</v>
      </c>
      <c r="T23" s="3">
        <v>10448</v>
      </c>
      <c r="U23" s="3">
        <v>1866.6666666666667</v>
      </c>
      <c r="V23" s="74" t="s">
        <v>426</v>
      </c>
      <c r="W23" s="74" t="s">
        <v>427</v>
      </c>
      <c r="X23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14420</v>
      </c>
      <c r="Y23" s="82">
        <f>Inventory_List_Table341115[[#This Row],[Per piece MXN$]]/X23*10000</f>
        <v>11650.485436893203</v>
      </c>
    </row>
    <row r="24" spans="1:25" ht="30" customHeight="1" x14ac:dyDescent="0.25">
      <c r="A24" s="575">
        <v>106</v>
      </c>
      <c r="B24" s="69">
        <v>46038</v>
      </c>
      <c r="C24" s="70" t="s">
        <v>422</v>
      </c>
      <c r="D24" s="141" t="s">
        <v>704</v>
      </c>
      <c r="E24" s="576">
        <v>1</v>
      </c>
      <c r="F24" s="578">
        <v>11</v>
      </c>
      <c r="G24" s="578">
        <v>120</v>
      </c>
      <c r="H24" s="578">
        <v>23</v>
      </c>
      <c r="I24" s="578">
        <v>10</v>
      </c>
      <c r="J24" s="579">
        <v>4760</v>
      </c>
      <c r="K24" s="1">
        <v>4760</v>
      </c>
      <c r="L24" s="32">
        <v>0</v>
      </c>
      <c r="M24" s="2">
        <v>47.244094488188978</v>
      </c>
      <c r="N24" s="2">
        <v>9.0551181102362204</v>
      </c>
      <c r="O24" s="2">
        <v>3.9370078740157481</v>
      </c>
      <c r="P24" s="3">
        <v>264.44444444444446</v>
      </c>
      <c r="Q24" s="3">
        <v>265</v>
      </c>
      <c r="R24" s="3">
        <v>371</v>
      </c>
      <c r="S24" s="3">
        <v>371</v>
      </c>
      <c r="T24" s="3">
        <v>2968</v>
      </c>
      <c r="U24" s="3">
        <v>264.44444444444446</v>
      </c>
      <c r="V24" s="74" t="s">
        <v>38</v>
      </c>
      <c r="W24" s="74" t="s">
        <v>428</v>
      </c>
      <c r="X24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5620</v>
      </c>
      <c r="Y24" s="82">
        <f>Inventory_List_Table341115[[#This Row],[Per piece MXN$]]/X24*10000</f>
        <v>8469.7508896797153</v>
      </c>
    </row>
    <row r="25" spans="1:25" ht="30" customHeight="1" x14ac:dyDescent="0.25">
      <c r="A25" s="575">
        <v>107</v>
      </c>
      <c r="B25" s="69">
        <v>46038</v>
      </c>
      <c r="C25" s="70" t="s">
        <v>422</v>
      </c>
      <c r="D25" s="141" t="s">
        <v>705</v>
      </c>
      <c r="E25" s="576">
        <v>1</v>
      </c>
      <c r="F25" s="578">
        <v>7</v>
      </c>
      <c r="G25" s="578">
        <v>70</v>
      </c>
      <c r="H25" s="578">
        <v>24</v>
      </c>
      <c r="I25" s="578">
        <v>11</v>
      </c>
      <c r="J25" s="579">
        <v>2660</v>
      </c>
      <c r="K25" s="1">
        <v>2660</v>
      </c>
      <c r="L25" s="32">
        <v>0</v>
      </c>
      <c r="M25" s="2">
        <v>27.559055118110237</v>
      </c>
      <c r="N25" s="2">
        <v>9.4488188976377945</v>
      </c>
      <c r="O25" s="2">
        <v>4.3307086614173231</v>
      </c>
      <c r="P25" s="3">
        <v>147.77777777777777</v>
      </c>
      <c r="Q25" s="3">
        <v>148</v>
      </c>
      <c r="R25" s="3">
        <v>207.2</v>
      </c>
      <c r="S25" s="3">
        <v>207</v>
      </c>
      <c r="T25" s="3">
        <v>1656</v>
      </c>
      <c r="U25" s="3">
        <v>147.77777777777777</v>
      </c>
      <c r="V25" s="74" t="s">
        <v>429</v>
      </c>
      <c r="W25" s="74" t="s">
        <v>430</v>
      </c>
      <c r="X25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3748</v>
      </c>
      <c r="Y25" s="82">
        <f>Inventory_List_Table341115[[#This Row],[Per piece MXN$]]/X25*10000</f>
        <v>7097.1184631803626</v>
      </c>
    </row>
    <row r="26" spans="1:25" ht="30" customHeight="1" x14ac:dyDescent="0.25">
      <c r="A26" s="575">
        <v>108</v>
      </c>
      <c r="B26" s="69">
        <v>46038</v>
      </c>
      <c r="C26" s="70" t="s">
        <v>431</v>
      </c>
      <c r="D26" s="141" t="s">
        <v>706</v>
      </c>
      <c r="E26" s="576">
        <v>1</v>
      </c>
      <c r="F26" s="578">
        <v>12</v>
      </c>
      <c r="G26" s="578">
        <v>50</v>
      </c>
      <c r="H26" s="578">
        <v>30</v>
      </c>
      <c r="I26" s="578">
        <v>20</v>
      </c>
      <c r="J26" s="579">
        <v>13300</v>
      </c>
      <c r="K26" s="1">
        <v>13300</v>
      </c>
      <c r="L26" s="32">
        <v>0</v>
      </c>
      <c r="M26" s="2">
        <v>19.685039370078741</v>
      </c>
      <c r="N26" s="2">
        <v>11.811023622047244</v>
      </c>
      <c r="O26" s="2">
        <v>0</v>
      </c>
      <c r="P26" s="3">
        <v>738.88888888888891</v>
      </c>
      <c r="Q26" s="3">
        <v>739</v>
      </c>
      <c r="R26" s="3">
        <v>1034.5999999999999</v>
      </c>
      <c r="S26" s="3">
        <v>1035</v>
      </c>
      <c r="T26" s="3">
        <v>8280</v>
      </c>
      <c r="U26" s="3">
        <v>738.88888888888891</v>
      </c>
      <c r="V26" s="74" t="s">
        <v>432</v>
      </c>
      <c r="W26" s="74" t="s">
        <v>433</v>
      </c>
      <c r="X26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4700</v>
      </c>
      <c r="Y26" s="82">
        <f>Inventory_List_Table341115[[#This Row],[Per piece MXN$]]/X26*10000</f>
        <v>28297.872340425532</v>
      </c>
    </row>
    <row r="27" spans="1:25" ht="30" customHeight="1" x14ac:dyDescent="0.25">
      <c r="A27" s="575">
        <v>109</v>
      </c>
      <c r="B27" s="69">
        <v>46038</v>
      </c>
      <c r="C27" s="70" t="s">
        <v>431</v>
      </c>
      <c r="D27" s="141" t="s">
        <v>707</v>
      </c>
      <c r="E27" s="576">
        <v>1</v>
      </c>
      <c r="F27" s="578">
        <v>12</v>
      </c>
      <c r="G27" s="578">
        <v>55</v>
      </c>
      <c r="H27" s="578">
        <v>49</v>
      </c>
      <c r="I27" s="578">
        <v>35</v>
      </c>
      <c r="J27" s="579">
        <v>7979.9999999999991</v>
      </c>
      <c r="K27" s="1">
        <v>7979.9999999999991</v>
      </c>
      <c r="L27" s="32">
        <v>0</v>
      </c>
      <c r="M27" s="2">
        <v>21.653543307086615</v>
      </c>
      <c r="N27" s="2">
        <v>19.291338582677167</v>
      </c>
      <c r="O27" s="2">
        <v>13.779527559055119</v>
      </c>
      <c r="P27" s="3">
        <v>443.33333333333326</v>
      </c>
      <c r="Q27" s="3">
        <v>443</v>
      </c>
      <c r="R27" s="3">
        <v>620.19999999999993</v>
      </c>
      <c r="S27" s="3">
        <v>620</v>
      </c>
      <c r="T27" s="3">
        <v>4960</v>
      </c>
      <c r="U27" s="3">
        <v>443.33333333333326</v>
      </c>
      <c r="V27" s="74" t="s">
        <v>434</v>
      </c>
      <c r="W27" s="74" t="s">
        <v>435</v>
      </c>
      <c r="X27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9975</v>
      </c>
      <c r="Y27" s="82">
        <f>Inventory_List_Table341115[[#This Row],[Per piece MXN$]]/X27*10000</f>
        <v>7999.9999999999991</v>
      </c>
    </row>
    <row r="28" spans="1:25" ht="30" customHeight="1" x14ac:dyDescent="0.25">
      <c r="A28" s="575">
        <v>110</v>
      </c>
      <c r="B28" s="69">
        <v>46038</v>
      </c>
      <c r="C28" s="70" t="s">
        <v>425</v>
      </c>
      <c r="D28" s="141" t="s">
        <v>708</v>
      </c>
      <c r="E28" s="576">
        <v>2</v>
      </c>
      <c r="F28" s="578">
        <v>65</v>
      </c>
      <c r="G28" s="578">
        <v>200</v>
      </c>
      <c r="H28" s="578">
        <v>40</v>
      </c>
      <c r="I28" s="578">
        <v>10</v>
      </c>
      <c r="J28" s="580">
        <v>35700</v>
      </c>
      <c r="K28" s="222">
        <v>71400</v>
      </c>
      <c r="L28" s="581">
        <v>0</v>
      </c>
      <c r="M28" s="223">
        <v>78.740157480314963</v>
      </c>
      <c r="N28" s="223">
        <v>15.748031496062993</v>
      </c>
      <c r="O28" s="223">
        <v>3.9370078740157481</v>
      </c>
      <c r="P28" s="74">
        <v>1983.3333333333333</v>
      </c>
      <c r="Q28" s="74">
        <v>1983</v>
      </c>
      <c r="R28" s="225">
        <v>2776.2</v>
      </c>
      <c r="S28" s="225">
        <v>2776</v>
      </c>
      <c r="T28" s="225">
        <v>22208</v>
      </c>
      <c r="U28" s="225">
        <v>3966.6666666666665</v>
      </c>
      <c r="V28" s="74" t="s">
        <v>437</v>
      </c>
      <c r="W28" s="74" t="s">
        <v>438</v>
      </c>
      <c r="X28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12800</v>
      </c>
      <c r="Y28" s="82">
        <f>Inventory_List_Table341115[[#This Row],[Per piece MXN$]]/X28*10000</f>
        <v>27890.625</v>
      </c>
    </row>
    <row r="29" spans="1:25" ht="30" customHeight="1" x14ac:dyDescent="0.25">
      <c r="A29" s="575">
        <v>111</v>
      </c>
      <c r="B29" s="69">
        <v>46038</v>
      </c>
      <c r="C29" s="70" t="s">
        <v>425</v>
      </c>
      <c r="D29" s="141" t="s">
        <v>709</v>
      </c>
      <c r="E29" s="576">
        <v>6</v>
      </c>
      <c r="F29" s="578">
        <v>85</v>
      </c>
      <c r="G29" s="578">
        <v>300</v>
      </c>
      <c r="H29" s="578">
        <v>50</v>
      </c>
      <c r="I29" s="578">
        <v>10</v>
      </c>
      <c r="J29" s="580">
        <v>28000</v>
      </c>
      <c r="K29" s="222">
        <v>168000</v>
      </c>
      <c r="L29" s="581">
        <v>0</v>
      </c>
      <c r="M29" s="223">
        <v>118.11023622047244</v>
      </c>
      <c r="N29" s="223">
        <v>19.685039370078741</v>
      </c>
      <c r="O29" s="223">
        <v>3.9370078740157481</v>
      </c>
      <c r="P29" s="74">
        <v>1555.5555555555557</v>
      </c>
      <c r="Q29" s="74">
        <v>1556</v>
      </c>
      <c r="R29" s="225">
        <v>2178.3999999999996</v>
      </c>
      <c r="S29" s="225">
        <v>2178</v>
      </c>
      <c r="T29" s="225">
        <v>17424</v>
      </c>
      <c r="U29" s="225">
        <v>9333.3333333333339</v>
      </c>
      <c r="V29" s="74" t="s">
        <v>439</v>
      </c>
      <c r="W29" s="74" t="s">
        <v>440</v>
      </c>
      <c r="X29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22000</v>
      </c>
      <c r="Y29" s="82">
        <f>Inventory_List_Table341115[[#This Row],[Per piece MXN$]]/X29*10000</f>
        <v>12727.272727272728</v>
      </c>
    </row>
    <row r="30" spans="1:25" ht="30" customHeight="1" x14ac:dyDescent="0.25">
      <c r="A30" s="575">
        <v>112</v>
      </c>
      <c r="B30" s="69">
        <v>46038</v>
      </c>
      <c r="C30" s="70" t="s">
        <v>425</v>
      </c>
      <c r="D30" s="141" t="s">
        <v>710</v>
      </c>
      <c r="E30" s="576">
        <v>2</v>
      </c>
      <c r="F30" s="578">
        <v>80</v>
      </c>
      <c r="G30" s="578">
        <v>290</v>
      </c>
      <c r="H30" s="578">
        <v>50</v>
      </c>
      <c r="I30" s="578">
        <v>10</v>
      </c>
      <c r="J30" s="580">
        <v>28000</v>
      </c>
      <c r="K30" s="222">
        <v>56000</v>
      </c>
      <c r="L30" s="581">
        <v>0</v>
      </c>
      <c r="M30" s="223">
        <v>114.1732283464567</v>
      </c>
      <c r="N30" s="223">
        <v>19.685039370078741</v>
      </c>
      <c r="O30" s="223">
        <v>3.9370078740157481</v>
      </c>
      <c r="P30" s="74">
        <v>1555.5555555555557</v>
      </c>
      <c r="Q30" s="74">
        <v>1556</v>
      </c>
      <c r="R30" s="225">
        <v>2178.3999999999996</v>
      </c>
      <c r="S30" s="225">
        <v>2178</v>
      </c>
      <c r="T30" s="225">
        <v>17424</v>
      </c>
      <c r="U30" s="225">
        <v>3111.1111111111113</v>
      </c>
      <c r="V30" s="74" t="s">
        <v>439</v>
      </c>
      <c r="W30" s="74" t="s">
        <v>440</v>
      </c>
      <c r="X30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21300</v>
      </c>
      <c r="Y30" s="82">
        <f>Inventory_List_Table341115[[#This Row],[Per piece MXN$]]/X30*10000</f>
        <v>13145.539906103288</v>
      </c>
    </row>
    <row r="31" spans="1:25" ht="24" customHeight="1" x14ac:dyDescent="0.25">
      <c r="B31" s="69">
        <f>IFERROR((Inventory_List_Table341115[[#This Row],[H CM]]&lt;=Inventory_List_Table341115[[#This Row],[D CM ]])*(Inventory_List_Table341115[[#This Row],[W Inches]]="")*valHighlight,0)</f>
        <v>0</v>
      </c>
      <c r="C31" s="70"/>
      <c r="D31" s="70"/>
      <c r="E31" s="576">
        <v>1</v>
      </c>
      <c r="F31" s="578"/>
      <c r="G31" s="578">
        <v>300</v>
      </c>
      <c r="H31" s="578">
        <v>50</v>
      </c>
      <c r="I31" s="578"/>
      <c r="J31" s="580">
        <v>20000</v>
      </c>
      <c r="K31" s="222">
        <f>Inventory_List_Table341115[[#This Row],[Q]]*Inventory_List_Table341115[[#This Row],[Per piece MXN$]]</f>
        <v>20000</v>
      </c>
      <c r="L31" s="581">
        <f>Inventory_List_Table341115[[#This Row],[KG]]*2.20462</f>
        <v>0</v>
      </c>
      <c r="M31" s="223">
        <f>Inventory_List_Table341115[[#This Row],[H CM]]/2.54</f>
        <v>118.11023622047244</v>
      </c>
      <c r="N31" s="70">
        <f>Inventory_List_Table341115[[#This Row],[W CM]]/2.54</f>
        <v>19.685039370078741</v>
      </c>
      <c r="O31" s="74">
        <f>Inventory_List_Table341115[[#This Row],[D CM ]]/2.54</f>
        <v>0</v>
      </c>
      <c r="P31" s="225">
        <f>Inventory_List_Table341115[[#This Row],[Per piece MXN$]]/$U$2</f>
        <v>1111.1111111111111</v>
      </c>
      <c r="Q31" s="74">
        <f>IF(MOD(P31,1)&gt;0.4,ROUNDUP(P31,0),ROUNDDOWN(P31,0))</f>
        <v>1111</v>
      </c>
      <c r="R31" s="225">
        <f>Inventory_List_Table341115[[#This Row],[AQ ROUND]]*1.4</f>
        <v>1555.3999999999999</v>
      </c>
      <c r="S31" s="225">
        <f>IF(MOD(R31,1)&gt;0.4,ROUNDUP(R31,0),ROUNDDOWN(R31,0))</f>
        <v>1555</v>
      </c>
      <c r="T31" s="225">
        <f>Inventory_List_Table341115[[#This Row],[LND ROUND]]*8</f>
        <v>12440</v>
      </c>
      <c r="U31" s="225">
        <f>Inventory_List_Table341115[[#This Row],[AQ]]*Inventory_List_Table341115[[#This Row],[Q]]</f>
        <v>1111.1111111111111</v>
      </c>
      <c r="V31" s="74"/>
      <c r="W31" s="74"/>
      <c r="X31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15000</v>
      </c>
      <c r="Y31" s="82">
        <f>Inventory_List_Table341115[[#This Row],[Per piece MXN$]]/X31*10000</f>
        <v>13333.333333333332</v>
      </c>
    </row>
    <row r="32" spans="1:25" ht="27" customHeight="1" x14ac:dyDescent="0.25">
      <c r="B32" s="69">
        <f>IFERROR((Inventory_List_Table341115[[#This Row],[H CM]]&lt;=Inventory_List_Table341115[[#This Row],[D CM ]])*(Inventory_List_Table341115[[#This Row],[W Inches]]="")*valHighlight,0)</f>
        <v>0</v>
      </c>
      <c r="C32" s="70"/>
      <c r="D32" s="70"/>
      <c r="E32" s="576"/>
      <c r="F32" s="578"/>
      <c r="G32" s="578">
        <v>300</v>
      </c>
      <c r="H32" s="578">
        <v>50</v>
      </c>
      <c r="I32" s="578"/>
      <c r="J32" s="580">
        <v>32000</v>
      </c>
      <c r="K32" s="222">
        <f>Inventory_List_Table341115[[#This Row],[Q]]*Inventory_List_Table341115[[#This Row],[Per piece MXN$]]</f>
        <v>0</v>
      </c>
      <c r="L32" s="581">
        <f>Inventory_List_Table341115[[#This Row],[KG]]*2.20462</f>
        <v>0</v>
      </c>
      <c r="M32" s="223">
        <f>Inventory_List_Table341115[[#This Row],[H CM]]/2.54</f>
        <v>118.11023622047244</v>
      </c>
      <c r="N32" s="70">
        <f>Inventory_List_Table341115[[#This Row],[W CM]]/2.54</f>
        <v>19.685039370078741</v>
      </c>
      <c r="O32" s="74">
        <f>Inventory_List_Table341115[[#This Row],[D CM ]]/2.54</f>
        <v>0</v>
      </c>
      <c r="P32" s="225">
        <f>Inventory_List_Table341115[[#This Row],[Per piece MXN$]]/$U$2</f>
        <v>1777.7777777777778</v>
      </c>
      <c r="Q32" s="74">
        <f>IF(MOD(P32,1)&gt;0.4,ROUNDUP(P32,0),ROUNDDOWN(P32,0))</f>
        <v>1778</v>
      </c>
      <c r="R32" s="225">
        <f>Inventory_List_Table341115[[#This Row],[AQ ROUND]]*1.4</f>
        <v>2489.1999999999998</v>
      </c>
      <c r="S32" s="225">
        <f>IF(MOD(R32,1)&gt;0.4,ROUNDUP(R32,0),ROUNDDOWN(R32,0))</f>
        <v>2489</v>
      </c>
      <c r="T32" s="225">
        <f>Inventory_List_Table341115[[#This Row],[LND ROUND]]*8</f>
        <v>19912</v>
      </c>
      <c r="U32" s="225">
        <f>Inventory_List_Table341115[[#This Row],[AQ]]*Inventory_List_Table341115[[#This Row],[Q]]</f>
        <v>0</v>
      </c>
      <c r="V32" s="74"/>
      <c r="W32" s="74"/>
      <c r="X32" s="45">
        <f>Inventory_List_Table341115[[#This Row],[H CM]]*Inventory_List_Table341115[[#This Row],[D CM ]]*2+Inventory_List_Table341115[[#This Row],[W CM]]*Inventory_List_Table341115[[#This Row],[D CM ]]*2+Inventory_List_Table341115[[#This Row],[H CM]]*Inventory_List_Table341115[[#This Row],[W CM]]</f>
        <v>15000</v>
      </c>
      <c r="Y32" s="82">
        <f>Inventory_List_Table341115[[#This Row],[Per piece MXN$]]/X32*10000</f>
        <v>21333.333333333332</v>
      </c>
    </row>
    <row r="33" spans="10:10" ht="24" customHeight="1" x14ac:dyDescent="0.25">
      <c r="J33" s="1060">
        <f>X31*18181/10000</f>
        <v>27271.5</v>
      </c>
    </row>
  </sheetData>
  <mergeCells count="1">
    <mergeCell ref="Q1:Q2"/>
  </mergeCells>
  <dataValidations count="12">
    <dataValidation allowBlank="1" showInputMessage="1" showErrorMessage="1" prompt="Enter company name in this cell" sqref="A2" xr:uid="{6643DC01-985C-4C82-9822-5B4F05F24E54}"/>
    <dataValidation allowBlank="1" showInputMessage="1" showErrorMessage="1" prompt="Enter a description of the item in this column" sqref="E3" xr:uid="{9BF8E637-1FD2-4E30-889D-1B223AF339E5}"/>
    <dataValidation allowBlank="1" showInputMessage="1" showErrorMessage="1" prompt="Enter the unit price of each item in this column" sqref="F3" xr:uid="{AE7D61EA-4513-404B-AD08-A75F54E44F04}"/>
    <dataValidation allowBlank="1" showInputMessage="1" showErrorMessage="1" prompt="Enter the quantity in stock for each item in this column" sqref="G3" xr:uid="{FEE624D2-2200-48F2-95E7-DBDFEA155124}"/>
    <dataValidation allowBlank="1" showInputMessage="1" showErrorMessage="1" prompt="This is an automated column._x000a__x000a_The inventory value for each item is automatically calculated in this column." sqref="H3" xr:uid="{E3650C98-3AF7-4A47-A4BF-B2C326E30CE0}"/>
    <dataValidation allowBlank="1" showInputMessage="1" showErrorMessage="1" prompt="Enter the reorder level for each item in this column" sqref="I3" xr:uid="{25457053-4B54-48B2-84F2-2661EB46A1F3}"/>
    <dataValidation allowBlank="1" showInputMessage="1" showErrorMessage="1" prompt="Enter the number of days it takes to reorder each item in this column" sqref="J3:L3" xr:uid="{EDBBDE64-0978-4ACD-B8AB-DFEC6A2ECE11}"/>
    <dataValidation allowBlank="1" showInputMessage="1" showErrorMessage="1" prompt="Enter the quantity in reorder for each item in this column" sqref="M3" xr:uid="{B9B1756B-2D11-46F6-B055-95C380889AAE}"/>
    <dataValidation allowBlank="1" showInputMessage="1" showErrorMessage="1" prompt="Enter yes if the item has been discontinued. When a yes is entered, the corresponding row is highlighted a light grey and the font style changed to strikethrough" sqref="N3" xr:uid="{EA1ED69C-BF96-4083-829A-26C233171756}"/>
    <dataValidation allowBlank="1" showInputMessage="1" showErrorMessage="1" prompt="Enter the name of the item in this column" sqref="D3" xr:uid="{B1A3A962-F76C-42A6-A60A-E7F5B9137160}"/>
    <dataValidation allowBlank="1" showInputMessage="1" showErrorMessage="1" prompt="Enter the item inventory ID in this column" sqref="C3" xr:uid="{E83737FC-4915-40A8-8615-B1AC3DFF0F80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0ED8D15B-B99B-40B7-B643-7D38D6B4CE31}"/>
  </dataValidations>
  <printOptions horizontalCentered="1"/>
  <pageMargins left="0.25" right="0.25" top="0.75" bottom="0.75" header="0.3" footer="0.3"/>
  <pageSetup scale="24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FA21-1B67-4BF9-81F0-FEE4F6B8F68F}">
  <sheetPr codeName="Sheet5">
    <tabColor rgb="FFF5DEB3"/>
    <pageSetUpPr fitToPage="1"/>
  </sheetPr>
  <dimension ref="A1:X41"/>
  <sheetViews>
    <sheetView showGridLines="0" zoomScale="70" zoomScaleNormal="70" workbookViewId="0">
      <selection activeCell="V4" sqref="V4:W41"/>
    </sheetView>
  </sheetViews>
  <sheetFormatPr defaultColWidth="8.625" defaultRowHeight="25.15" customHeight="1" x14ac:dyDescent="0.25"/>
  <cols>
    <col min="1" max="1" width="5.5" style="375" customWidth="1"/>
    <col min="2" max="2" width="13.625" style="376" customWidth="1"/>
    <col min="3" max="3" width="43.875" style="377" bestFit="1" customWidth="1"/>
    <col min="4" max="4" width="23" style="377" customWidth="1"/>
    <col min="5" max="5" width="6.5" style="377" customWidth="1"/>
    <col min="6" max="6" width="9" style="378" bestFit="1" customWidth="1"/>
    <col min="7" max="7" width="28.5" style="378" bestFit="1" customWidth="1"/>
    <col min="8" max="8" width="9" style="378" bestFit="1" customWidth="1"/>
    <col min="9" max="9" width="11.25" style="378" customWidth="1"/>
    <col min="10" max="10" width="18.75" style="378" bestFit="1" customWidth="1"/>
    <col min="11" max="11" width="29.75" style="378" bestFit="1" customWidth="1"/>
    <col min="12" max="12" width="13.25" style="379" bestFit="1" customWidth="1"/>
    <col min="13" max="13" width="11.5" style="379" bestFit="1" customWidth="1"/>
    <col min="14" max="14" width="11" style="380" bestFit="1" customWidth="1"/>
    <col min="15" max="15" width="12.625" style="381" bestFit="1" customWidth="1"/>
    <col min="16" max="18" width="17.625" style="218" customWidth="1"/>
    <col min="19" max="19" width="26.25" style="218" customWidth="1"/>
    <col min="20" max="20" width="19.25" style="218" bestFit="1" customWidth="1"/>
    <col min="21" max="21" width="17.625" style="218" bestFit="1" customWidth="1"/>
    <col min="22" max="22" width="10.5" style="218" bestFit="1" customWidth="1"/>
    <col min="23" max="23" width="10" style="218" bestFit="1" customWidth="1"/>
    <col min="24" max="16384" width="8.625" style="218"/>
  </cols>
  <sheetData>
    <row r="1" spans="1:24" s="329" customFormat="1" ht="36.75" x14ac:dyDescent="0.6">
      <c r="A1" s="310" t="s">
        <v>55</v>
      </c>
      <c r="B1" s="311"/>
      <c r="C1" s="312"/>
      <c r="D1" s="313"/>
      <c r="E1" s="313"/>
      <c r="F1" s="311"/>
      <c r="G1" s="314"/>
      <c r="H1" s="315"/>
      <c r="I1" s="316"/>
      <c r="J1" s="317" t="s">
        <v>132</v>
      </c>
      <c r="K1" s="318">
        <f>SUM(K30:K41)</f>
        <v>156017.5</v>
      </c>
      <c r="L1" s="319"/>
      <c r="M1" s="320" t="s">
        <v>268</v>
      </c>
      <c r="N1" s="321"/>
      <c r="O1" s="322">
        <v>0.8</v>
      </c>
      <c r="P1" s="323"/>
      <c r="Q1" s="323"/>
      <c r="R1" s="324" t="s">
        <v>0</v>
      </c>
      <c r="S1" s="325">
        <f>SUM(Inventory_List_Table346[TOTAL PESOS])</f>
        <v>452094</v>
      </c>
      <c r="T1" s="326" t="s">
        <v>133</v>
      </c>
      <c r="U1" s="327">
        <v>825</v>
      </c>
      <c r="V1" s="327"/>
      <c r="W1" s="315"/>
      <c r="X1" s="328"/>
    </row>
    <row r="2" spans="1:24" s="329" customFormat="1" ht="31.5" x14ac:dyDescent="0.45">
      <c r="A2" s="330" t="s">
        <v>269</v>
      </c>
      <c r="B2" s="331"/>
      <c r="C2" s="331"/>
      <c r="D2" s="332"/>
      <c r="E2" s="333"/>
      <c r="F2" s="316"/>
      <c r="G2" s="334">
        <f>SUM(K30:K41)</f>
        <v>156017.5</v>
      </c>
      <c r="H2" s="315"/>
      <c r="I2" s="311"/>
      <c r="J2" s="311"/>
      <c r="K2" s="854">
        <f>SUM(Inventory_List_Table346[TOTAL PESOS])</f>
        <v>452094</v>
      </c>
      <c r="L2" s="335"/>
      <c r="M2" s="336" t="s">
        <v>270</v>
      </c>
      <c r="N2" s="337"/>
      <c r="O2" s="338">
        <v>0.85</v>
      </c>
      <c r="P2" s="323"/>
      <c r="Q2" s="323"/>
      <c r="R2" s="339"/>
      <c r="S2" s="339"/>
      <c r="T2" s="326" t="s">
        <v>134</v>
      </c>
      <c r="U2" s="340">
        <v>18</v>
      </c>
      <c r="V2" s="341"/>
      <c r="W2" s="342"/>
      <c r="X2" s="328"/>
    </row>
    <row r="3" spans="1:24" s="352" customFormat="1" ht="27" x14ac:dyDescent="0.25">
      <c r="A3" s="343" t="s">
        <v>129</v>
      </c>
      <c r="B3" s="344" t="s">
        <v>122</v>
      </c>
      <c r="C3" s="344" t="s">
        <v>136</v>
      </c>
      <c r="D3" s="345" t="s">
        <v>137</v>
      </c>
      <c r="E3" s="346" t="s">
        <v>123</v>
      </c>
      <c r="F3" s="347" t="s">
        <v>124</v>
      </c>
      <c r="G3" s="347" t="s">
        <v>130</v>
      </c>
      <c r="H3" s="347" t="s">
        <v>125</v>
      </c>
      <c r="I3" s="347" t="s">
        <v>126</v>
      </c>
      <c r="J3" s="347" t="s">
        <v>138</v>
      </c>
      <c r="K3" s="344" t="s">
        <v>139</v>
      </c>
      <c r="L3" s="348" t="s">
        <v>127</v>
      </c>
      <c r="M3" s="348" t="s">
        <v>140</v>
      </c>
      <c r="N3" s="348" t="s">
        <v>141</v>
      </c>
      <c r="O3" s="348" t="s">
        <v>142</v>
      </c>
      <c r="P3" s="349" t="s">
        <v>143</v>
      </c>
      <c r="Q3" s="344" t="s">
        <v>144</v>
      </c>
      <c r="R3" s="349" t="s">
        <v>145</v>
      </c>
      <c r="S3" s="349" t="s">
        <v>146</v>
      </c>
      <c r="T3" s="349" t="s">
        <v>2</v>
      </c>
      <c r="U3" s="350" t="s">
        <v>128</v>
      </c>
      <c r="V3" s="350" t="s">
        <v>131</v>
      </c>
      <c r="W3" s="351" t="s">
        <v>1</v>
      </c>
    </row>
    <row r="4" spans="1:24" ht="25.15" customHeight="1" x14ac:dyDescent="0.25">
      <c r="A4" s="353" t="s">
        <v>147</v>
      </c>
      <c r="B4" s="354"/>
      <c r="C4" s="355" t="s">
        <v>56</v>
      </c>
      <c r="D4" s="960" t="s">
        <v>1083</v>
      </c>
      <c r="E4" s="356">
        <v>1</v>
      </c>
      <c r="F4" s="357">
        <v>155</v>
      </c>
      <c r="G4" s="357">
        <v>210</v>
      </c>
      <c r="H4" s="357">
        <v>40</v>
      </c>
      <c r="I4" s="357">
        <v>10</v>
      </c>
      <c r="J4" s="13">
        <f>25900*O2</f>
        <v>22015</v>
      </c>
      <c r="K4" s="13">
        <f>Inventory_List_Table346[[#This Row],[Q]]*Inventory_List_Table346[[#This Row],[Per piece MXN$]]</f>
        <v>22015</v>
      </c>
      <c r="L4" s="10">
        <f>Inventory_List_Table346[[#This Row],[KG]]*2.20462</f>
        <v>341.71609999999998</v>
      </c>
      <c r="M4" s="11">
        <f>Inventory_List_Table346[[#This Row],[H CM]]/2.54</f>
        <v>82.677165354330711</v>
      </c>
      <c r="N4" s="11">
        <f>Inventory_List_Table346[[#This Row],[W CM]]/2.54</f>
        <v>15.748031496062993</v>
      </c>
      <c r="O4" s="11">
        <f>Inventory_List_Table346[[#This Row],[D CM ]]/2.54</f>
        <v>3.9370078740157481</v>
      </c>
      <c r="P4" s="12">
        <f>Inventory_List_Table346[[#This Row],[Per piece MXN$]]/$U$2</f>
        <v>1223.0555555555557</v>
      </c>
      <c r="Q4" s="12">
        <f t="shared" ref="Q4:Q28" si="0">IF(MOD(P4,1)&gt;0.4,ROUNDUP(P4,0),ROUNDDOWN(P4,0))</f>
        <v>1223</v>
      </c>
      <c r="R4" s="12">
        <f>Inventory_List_Table346[[#This Row],[AQ ROUND]]*1.4</f>
        <v>1712.1999999999998</v>
      </c>
      <c r="S4" s="12">
        <f t="shared" ref="S4:S28" si="1">IF(MOD(R4,1)&gt;0.4,ROUNDUP(R4,0),ROUNDDOWN(R4,0))</f>
        <v>1712</v>
      </c>
      <c r="T4" s="12">
        <f>Inventory_List_Table346[[#This Row],[LND ROUND]]*8</f>
        <v>13696</v>
      </c>
      <c r="U4" s="12">
        <f>Inventory_List_Table346[[#This Row],[AQ]]*Inventory_List_Table346[[#This Row],[Q]]</f>
        <v>1223.0555555555557</v>
      </c>
      <c r="V4" s="358" t="s">
        <v>1085</v>
      </c>
      <c r="W4" s="358" t="s">
        <v>1084</v>
      </c>
    </row>
    <row r="5" spans="1:24" ht="25.15" customHeight="1" x14ac:dyDescent="0.25">
      <c r="A5" s="353" t="s">
        <v>148</v>
      </c>
      <c r="B5" s="354"/>
      <c r="C5" s="355" t="s">
        <v>57</v>
      </c>
      <c r="D5" s="960" t="s">
        <v>1086</v>
      </c>
      <c r="E5" s="356">
        <v>1</v>
      </c>
      <c r="F5" s="357">
        <v>250</v>
      </c>
      <c r="G5" s="357">
        <v>170</v>
      </c>
      <c r="H5" s="357"/>
      <c r="I5" s="357"/>
      <c r="J5" s="13">
        <f>28900*O2</f>
        <v>24565</v>
      </c>
      <c r="K5" s="13">
        <f>Inventory_List_Table346[[#This Row],[Q]]*Inventory_List_Table346[[#This Row],[Per piece MXN$]]</f>
        <v>24565</v>
      </c>
      <c r="L5" s="10">
        <f>Inventory_List_Table346[[#This Row],[KG]]*2.20462</f>
        <v>551.15499999999997</v>
      </c>
      <c r="M5" s="11">
        <f>Inventory_List_Table346[[#This Row],[H CM]]/2.54</f>
        <v>66.929133858267718</v>
      </c>
      <c r="N5" s="11">
        <f>Inventory_List_Table346[[#This Row],[W CM]]/2.54</f>
        <v>0</v>
      </c>
      <c r="O5" s="11">
        <f>Inventory_List_Table346[[#This Row],[D CM ]]/2.54</f>
        <v>0</v>
      </c>
      <c r="P5" s="12">
        <f>Inventory_List_Table346[[#This Row],[Per piece MXN$]]/$U$2</f>
        <v>1364.7222222222222</v>
      </c>
      <c r="Q5" s="12">
        <f t="shared" si="0"/>
        <v>1365</v>
      </c>
      <c r="R5" s="12">
        <f>Inventory_List_Table346[[#This Row],[AQ ROUND]]*1.4</f>
        <v>1910.9999999999998</v>
      </c>
      <c r="S5" s="12">
        <f t="shared" si="1"/>
        <v>1911</v>
      </c>
      <c r="T5" s="12">
        <f>Inventory_List_Table346[[#This Row],[LND ROUND]]*8</f>
        <v>15288</v>
      </c>
      <c r="U5" s="12">
        <f>Inventory_List_Table346[[#This Row],[AQ]]*Inventory_List_Table346[[#This Row],[Q]]</f>
        <v>1364.7222222222222</v>
      </c>
      <c r="V5" s="358" t="s">
        <v>1088</v>
      </c>
      <c r="W5" s="358" t="s">
        <v>1087</v>
      </c>
    </row>
    <row r="6" spans="1:24" ht="25.15" customHeight="1" x14ac:dyDescent="0.25">
      <c r="A6" s="353" t="s">
        <v>149</v>
      </c>
      <c r="B6" s="354"/>
      <c r="C6" s="355" t="s">
        <v>58</v>
      </c>
      <c r="D6" s="960" t="s">
        <v>1089</v>
      </c>
      <c r="E6" s="356">
        <v>1</v>
      </c>
      <c r="F6" s="357">
        <v>120</v>
      </c>
      <c r="G6" s="357">
        <v>190</v>
      </c>
      <c r="H6" s="357">
        <v>60</v>
      </c>
      <c r="I6" s="357">
        <v>10</v>
      </c>
      <c r="J6" s="13">
        <f>23450*O2</f>
        <v>19932.5</v>
      </c>
      <c r="K6" s="13">
        <f>Inventory_List_Table346[[#This Row],[Q]]*Inventory_List_Table346[[#This Row],[Per piece MXN$]]</f>
        <v>19932.5</v>
      </c>
      <c r="L6" s="10">
        <f>Inventory_List_Table346[[#This Row],[KG]]*2.20462</f>
        <v>264.55439999999999</v>
      </c>
      <c r="M6" s="11">
        <f>Inventory_List_Table346[[#This Row],[H CM]]/2.54</f>
        <v>74.803149606299215</v>
      </c>
      <c r="N6" s="11">
        <f>Inventory_List_Table346[[#This Row],[W CM]]/2.54</f>
        <v>23.622047244094489</v>
      </c>
      <c r="O6" s="11">
        <f>Inventory_List_Table346[[#This Row],[D CM ]]/2.54</f>
        <v>3.9370078740157481</v>
      </c>
      <c r="P6" s="12">
        <f>Inventory_List_Table346[[#This Row],[Per piece MXN$]]/$U$2</f>
        <v>1107.3611111111111</v>
      </c>
      <c r="Q6" s="12">
        <f t="shared" si="0"/>
        <v>1107</v>
      </c>
      <c r="R6" s="12">
        <f>Inventory_List_Table346[[#This Row],[AQ ROUND]]*1.4</f>
        <v>1549.8</v>
      </c>
      <c r="S6" s="12">
        <f t="shared" si="1"/>
        <v>1550</v>
      </c>
      <c r="T6" s="12">
        <f>Inventory_List_Table346[[#This Row],[LND ROUND]]*8</f>
        <v>12400</v>
      </c>
      <c r="U6" s="12">
        <f>Inventory_List_Table346[[#This Row],[AQ]]*Inventory_List_Table346[[#This Row],[Q]]</f>
        <v>1107.3611111111111</v>
      </c>
      <c r="V6" s="358" t="s">
        <v>1091</v>
      </c>
      <c r="W6" s="358" t="s">
        <v>1090</v>
      </c>
    </row>
    <row r="7" spans="1:24" ht="25.15" customHeight="1" x14ac:dyDescent="0.25">
      <c r="A7" s="353" t="s">
        <v>150</v>
      </c>
      <c r="B7" s="354"/>
      <c r="C7" s="355" t="s">
        <v>59</v>
      </c>
      <c r="D7" s="960" t="s">
        <v>1092</v>
      </c>
      <c r="E7" s="356">
        <v>1</v>
      </c>
      <c r="F7" s="357">
        <v>50</v>
      </c>
      <c r="G7" s="357">
        <v>160</v>
      </c>
      <c r="H7" s="357">
        <v>30</v>
      </c>
      <c r="I7" s="357">
        <v>30</v>
      </c>
      <c r="J7" s="13">
        <f>27800*O1</f>
        <v>22240</v>
      </c>
      <c r="K7" s="13">
        <f>Inventory_List_Table346[[#This Row],[Q]]*Inventory_List_Table346[[#This Row],[Per piece MXN$]]</f>
        <v>22240</v>
      </c>
      <c r="L7" s="10">
        <f>Inventory_List_Table346[[#This Row],[KG]]*2.20462</f>
        <v>110.23099999999999</v>
      </c>
      <c r="M7" s="11">
        <f>Inventory_List_Table346[[#This Row],[H CM]]/2.54</f>
        <v>62.99212598425197</v>
      </c>
      <c r="N7" s="11">
        <f>Inventory_List_Table346[[#This Row],[W CM]]/2.54</f>
        <v>11.811023622047244</v>
      </c>
      <c r="O7" s="11">
        <f>Inventory_List_Table346[[#This Row],[D CM ]]/2.54</f>
        <v>11.811023622047244</v>
      </c>
      <c r="P7" s="12">
        <f>Inventory_List_Table346[[#This Row],[Per piece MXN$]]/$U$2</f>
        <v>1235.5555555555557</v>
      </c>
      <c r="Q7" s="12">
        <f t="shared" si="0"/>
        <v>1236</v>
      </c>
      <c r="R7" s="12">
        <f>Inventory_List_Table346[[#This Row],[AQ ROUND]]*1.4</f>
        <v>1730.3999999999999</v>
      </c>
      <c r="S7" s="12">
        <f t="shared" si="1"/>
        <v>1730</v>
      </c>
      <c r="T7" s="12">
        <f>Inventory_List_Table346[[#This Row],[LND ROUND]]*8</f>
        <v>13840</v>
      </c>
      <c r="U7" s="12">
        <f>Inventory_List_Table346[[#This Row],[AQ]]*Inventory_List_Table346[[#This Row],[Q]]</f>
        <v>1235.5555555555557</v>
      </c>
      <c r="V7" s="358" t="s">
        <v>1094</v>
      </c>
      <c r="W7" s="358" t="s">
        <v>1093</v>
      </c>
    </row>
    <row r="8" spans="1:24" ht="25.15" customHeight="1" x14ac:dyDescent="0.25">
      <c r="A8" s="353" t="s">
        <v>151</v>
      </c>
      <c r="B8" s="354"/>
      <c r="C8" s="355" t="s">
        <v>59</v>
      </c>
      <c r="D8" s="960" t="s">
        <v>1095</v>
      </c>
      <c r="E8" s="356">
        <v>1</v>
      </c>
      <c r="F8" s="357">
        <v>45</v>
      </c>
      <c r="G8" s="357">
        <v>145</v>
      </c>
      <c r="H8" s="357">
        <v>30</v>
      </c>
      <c r="I8" s="357">
        <v>30</v>
      </c>
      <c r="J8" s="13">
        <f>25250*O1</f>
        <v>20200</v>
      </c>
      <c r="K8" s="13">
        <f>Inventory_List_Table346[[#This Row],[Q]]*Inventory_List_Table346[[#This Row],[Per piece MXN$]]</f>
        <v>20200</v>
      </c>
      <c r="L8" s="10">
        <f>Inventory_List_Table346[[#This Row],[KG]]*2.20462</f>
        <v>99.207899999999995</v>
      </c>
      <c r="M8" s="11">
        <f>Inventory_List_Table346[[#This Row],[H CM]]/2.54</f>
        <v>57.086614173228348</v>
      </c>
      <c r="N8" s="11">
        <f>Inventory_List_Table346[[#This Row],[W CM]]/2.54</f>
        <v>11.811023622047244</v>
      </c>
      <c r="O8" s="11">
        <f>Inventory_List_Table346[[#This Row],[D CM ]]/2.54</f>
        <v>11.811023622047244</v>
      </c>
      <c r="P8" s="12">
        <f>Inventory_List_Table346[[#This Row],[Per piece MXN$]]/$U$2</f>
        <v>1122.2222222222222</v>
      </c>
      <c r="Q8" s="12">
        <f t="shared" si="0"/>
        <v>1122</v>
      </c>
      <c r="R8" s="12">
        <f>Inventory_List_Table346[[#This Row],[AQ ROUND]]*1.4</f>
        <v>1570.8</v>
      </c>
      <c r="S8" s="12">
        <f t="shared" si="1"/>
        <v>1571</v>
      </c>
      <c r="T8" s="12">
        <f>Inventory_List_Table346[[#This Row],[LND ROUND]]*8</f>
        <v>12568</v>
      </c>
      <c r="U8" s="12">
        <f>Inventory_List_Table346[[#This Row],[AQ]]*Inventory_List_Table346[[#This Row],[Q]]</f>
        <v>1122.2222222222222</v>
      </c>
      <c r="V8" s="358" t="s">
        <v>1097</v>
      </c>
      <c r="W8" s="358" t="s">
        <v>1096</v>
      </c>
    </row>
    <row r="9" spans="1:24" ht="25.15" customHeight="1" x14ac:dyDescent="0.25">
      <c r="A9" s="353" t="s">
        <v>152</v>
      </c>
      <c r="B9" s="354"/>
      <c r="C9" s="355" t="s">
        <v>59</v>
      </c>
      <c r="D9" s="960" t="s">
        <v>1098</v>
      </c>
      <c r="E9" s="356">
        <v>1</v>
      </c>
      <c r="F9" s="357">
        <v>40</v>
      </c>
      <c r="G9" s="357">
        <v>130</v>
      </c>
      <c r="H9" s="357">
        <v>30</v>
      </c>
      <c r="I9" s="357">
        <v>30</v>
      </c>
      <c r="J9" s="13">
        <f>22780*O1</f>
        <v>18224</v>
      </c>
      <c r="K9" s="13">
        <f>Inventory_List_Table346[[#This Row],[Q]]*Inventory_List_Table346[[#This Row],[Per piece MXN$]]</f>
        <v>18224</v>
      </c>
      <c r="L9" s="10">
        <f>Inventory_List_Table346[[#This Row],[KG]]*2.20462</f>
        <v>88.184799999999996</v>
      </c>
      <c r="M9" s="11">
        <f>Inventory_List_Table346[[#This Row],[H CM]]/2.54</f>
        <v>51.181102362204726</v>
      </c>
      <c r="N9" s="11">
        <f>Inventory_List_Table346[[#This Row],[W CM]]/2.54</f>
        <v>11.811023622047244</v>
      </c>
      <c r="O9" s="11">
        <f>Inventory_List_Table346[[#This Row],[D CM ]]/2.54</f>
        <v>11.811023622047244</v>
      </c>
      <c r="P9" s="12">
        <f>Inventory_List_Table346[[#This Row],[Per piece MXN$]]/$U$2</f>
        <v>1012.4444444444445</v>
      </c>
      <c r="Q9" s="12">
        <f t="shared" si="0"/>
        <v>1013</v>
      </c>
      <c r="R9" s="12">
        <f>Inventory_List_Table346[[#This Row],[AQ ROUND]]*1.4</f>
        <v>1418.1999999999998</v>
      </c>
      <c r="S9" s="12">
        <f>IF(MOD(R9,1)&gt;0.4,ROUNDUP(R9,0),ROUNDDOWN(R9,0))</f>
        <v>1418</v>
      </c>
      <c r="T9" s="12">
        <f>Inventory_List_Table346[[#This Row],[LND ROUND]]*8</f>
        <v>11344</v>
      </c>
      <c r="U9" s="12">
        <f>Inventory_List_Table346[[#This Row],[AQ]]*Inventory_List_Table346[[#This Row],[Q]]</f>
        <v>1012.4444444444445</v>
      </c>
      <c r="V9" s="358" t="s">
        <v>1100</v>
      </c>
      <c r="W9" s="358" t="s">
        <v>1099</v>
      </c>
    </row>
    <row r="10" spans="1:24" ht="25.15" customHeight="1" x14ac:dyDescent="0.25">
      <c r="A10" s="353" t="s">
        <v>153</v>
      </c>
      <c r="B10" s="354"/>
      <c r="C10" s="355" t="s">
        <v>60</v>
      </c>
      <c r="D10" s="960" t="s">
        <v>1101</v>
      </c>
      <c r="E10" s="356">
        <v>1</v>
      </c>
      <c r="F10" s="357">
        <v>52</v>
      </c>
      <c r="G10" s="357">
        <v>100</v>
      </c>
      <c r="H10" s="357"/>
      <c r="I10" s="357"/>
      <c r="J10" s="13">
        <f>10900*O1</f>
        <v>8720</v>
      </c>
      <c r="K10" s="13">
        <f>Inventory_List_Table346[[#This Row],[Q]]*Inventory_List_Table346[[#This Row],[Per piece MXN$]]</f>
        <v>8720</v>
      </c>
      <c r="L10" s="10">
        <f>Inventory_List_Table346[[#This Row],[KG]]*2.20462</f>
        <v>114.64023999999999</v>
      </c>
      <c r="M10" s="11">
        <f>Inventory_List_Table346[[#This Row],[H CM]]/2.54</f>
        <v>39.370078740157481</v>
      </c>
      <c r="N10" s="11">
        <f>Inventory_List_Table346[[#This Row],[W CM]]/2.54</f>
        <v>0</v>
      </c>
      <c r="O10" s="11">
        <f>Inventory_List_Table346[[#This Row],[D CM ]]/2.54</f>
        <v>0</v>
      </c>
      <c r="P10" s="12">
        <f>Inventory_List_Table346[[#This Row],[Per piece MXN$]]/$U$2</f>
        <v>484.44444444444446</v>
      </c>
      <c r="Q10" s="12">
        <f t="shared" si="0"/>
        <v>485</v>
      </c>
      <c r="R10" s="12">
        <f>Inventory_List_Table346[[#This Row],[AQ ROUND]]*1.4</f>
        <v>679</v>
      </c>
      <c r="S10" s="12">
        <f t="shared" si="1"/>
        <v>679</v>
      </c>
      <c r="T10" s="12">
        <f>Inventory_List_Table346[[#This Row],[LND ROUND]]*8</f>
        <v>5432</v>
      </c>
      <c r="U10" s="12">
        <f>Inventory_List_Table346[[#This Row],[AQ]]*Inventory_List_Table346[[#This Row],[Q]]</f>
        <v>484.44444444444446</v>
      </c>
      <c r="V10" s="358" t="s">
        <v>1103</v>
      </c>
      <c r="W10" s="358" t="s">
        <v>1102</v>
      </c>
    </row>
    <row r="11" spans="1:24" ht="25.15" customHeight="1" x14ac:dyDescent="0.25">
      <c r="A11" s="353" t="s">
        <v>154</v>
      </c>
      <c r="B11" s="354"/>
      <c r="C11" s="355" t="s">
        <v>61</v>
      </c>
      <c r="D11" s="960" t="s">
        <v>1104</v>
      </c>
      <c r="E11" s="356">
        <v>3</v>
      </c>
      <c r="F11" s="357">
        <v>8</v>
      </c>
      <c r="G11" s="357">
        <v>60</v>
      </c>
      <c r="H11" s="357">
        <v>20</v>
      </c>
      <c r="I11" s="357">
        <v>20</v>
      </c>
      <c r="J11" s="13">
        <f>2490*O1</f>
        <v>1992</v>
      </c>
      <c r="K11" s="13">
        <f>Inventory_List_Table346[[#This Row],[Q]]*Inventory_List_Table346[[#This Row],[Per piece MXN$]]</f>
        <v>5976</v>
      </c>
      <c r="L11" s="10">
        <f>Inventory_List_Table346[[#This Row],[KG]]*2.20462</f>
        <v>17.636959999999998</v>
      </c>
      <c r="M11" s="11">
        <f>Inventory_List_Table346[[#This Row],[H CM]]/2.54</f>
        <v>23.622047244094489</v>
      </c>
      <c r="N11" s="11">
        <f>Inventory_List_Table346[[#This Row],[W CM]]/2.54</f>
        <v>7.8740157480314963</v>
      </c>
      <c r="O11" s="11">
        <f>Inventory_List_Table346[[#This Row],[D CM ]]/2.54</f>
        <v>7.8740157480314963</v>
      </c>
      <c r="P11" s="12">
        <f>Inventory_List_Table346[[#This Row],[Per piece MXN$]]/$U$2</f>
        <v>110.66666666666667</v>
      </c>
      <c r="Q11" s="12">
        <f t="shared" si="0"/>
        <v>111</v>
      </c>
      <c r="R11" s="12">
        <f>Inventory_List_Table346[[#This Row],[AQ ROUND]]*1.4</f>
        <v>155.39999999999998</v>
      </c>
      <c r="S11" s="12">
        <f t="shared" si="1"/>
        <v>155</v>
      </c>
      <c r="T11" s="12">
        <f>Inventory_List_Table346[[#This Row],[LND ROUND]]*8</f>
        <v>1240</v>
      </c>
      <c r="U11" s="12">
        <f>Inventory_List_Table346[[#This Row],[AQ]]*Inventory_List_Table346[[#This Row],[Q]]</f>
        <v>332</v>
      </c>
      <c r="V11" s="358" t="s">
        <v>610</v>
      </c>
      <c r="W11" s="358" t="s">
        <v>609</v>
      </c>
    </row>
    <row r="12" spans="1:24" ht="25.15" customHeight="1" x14ac:dyDescent="0.25">
      <c r="A12" s="353" t="s">
        <v>155</v>
      </c>
      <c r="B12" s="354"/>
      <c r="C12" s="355" t="s">
        <v>61</v>
      </c>
      <c r="D12" s="960" t="s">
        <v>1105</v>
      </c>
      <c r="E12" s="356">
        <v>2</v>
      </c>
      <c r="F12" s="357">
        <v>7</v>
      </c>
      <c r="G12" s="357">
        <v>50</v>
      </c>
      <c r="H12" s="357">
        <v>20</v>
      </c>
      <c r="I12" s="357">
        <v>20</v>
      </c>
      <c r="J12" s="13">
        <f>1690*O1</f>
        <v>1352</v>
      </c>
      <c r="K12" s="13">
        <f>Inventory_List_Table346[[#This Row],[Q]]*Inventory_List_Table346[[#This Row],[Per piece MXN$]]</f>
        <v>2704</v>
      </c>
      <c r="L12" s="10">
        <f>Inventory_List_Table346[[#This Row],[KG]]*2.20462</f>
        <v>15.432339999999998</v>
      </c>
      <c r="M12" s="11">
        <f>Inventory_List_Table346[[#This Row],[H CM]]/2.54</f>
        <v>19.685039370078741</v>
      </c>
      <c r="N12" s="11">
        <f>Inventory_List_Table346[[#This Row],[W CM]]/2.54</f>
        <v>7.8740157480314963</v>
      </c>
      <c r="O12" s="11">
        <f>Inventory_List_Table346[[#This Row],[D CM ]]/2.54</f>
        <v>7.8740157480314963</v>
      </c>
      <c r="P12" s="12">
        <f>Inventory_List_Table346[[#This Row],[Per piece MXN$]]/$U$2</f>
        <v>75.111111111111114</v>
      </c>
      <c r="Q12" s="12">
        <f t="shared" si="0"/>
        <v>75</v>
      </c>
      <c r="R12" s="12">
        <f>Inventory_List_Table346[[#This Row],[AQ ROUND]]*1.4</f>
        <v>105</v>
      </c>
      <c r="S12" s="12">
        <f t="shared" si="1"/>
        <v>105</v>
      </c>
      <c r="T12" s="12">
        <f>Inventory_List_Table346[[#This Row],[LND ROUND]]*8</f>
        <v>840</v>
      </c>
      <c r="U12" s="12">
        <f>Inventory_List_Table346[[#This Row],[AQ]]*Inventory_List_Table346[[#This Row],[Q]]</f>
        <v>150.22222222222223</v>
      </c>
      <c r="V12" s="358" t="s">
        <v>1106</v>
      </c>
      <c r="W12" s="358" t="s">
        <v>1023</v>
      </c>
    </row>
    <row r="13" spans="1:24" ht="25.15" customHeight="1" x14ac:dyDescent="0.25">
      <c r="A13" s="353" t="s">
        <v>156</v>
      </c>
      <c r="B13" s="354"/>
      <c r="C13" s="355" t="s">
        <v>61</v>
      </c>
      <c r="D13" s="960" t="s">
        <v>1107</v>
      </c>
      <c r="E13" s="356">
        <v>1</v>
      </c>
      <c r="F13" s="357">
        <v>5</v>
      </c>
      <c r="G13" s="357">
        <v>30</v>
      </c>
      <c r="H13" s="357">
        <v>20</v>
      </c>
      <c r="I13" s="357">
        <v>20</v>
      </c>
      <c r="J13" s="13">
        <f>1100*O1</f>
        <v>880</v>
      </c>
      <c r="K13" s="13">
        <f>Inventory_List_Table346[[#This Row],[Q]]*Inventory_List_Table346[[#This Row],[Per piece MXN$]]</f>
        <v>880</v>
      </c>
      <c r="L13" s="10">
        <f>Inventory_List_Table346[[#This Row],[KG]]*2.20462</f>
        <v>11.023099999999999</v>
      </c>
      <c r="M13" s="11">
        <f>Inventory_List_Table346[[#This Row],[H CM]]/2.54</f>
        <v>11.811023622047244</v>
      </c>
      <c r="N13" s="11">
        <f>Inventory_List_Table346[[#This Row],[W CM]]/2.54</f>
        <v>7.8740157480314963</v>
      </c>
      <c r="O13" s="11">
        <f>Inventory_List_Table346[[#This Row],[D CM ]]/2.54</f>
        <v>7.8740157480314963</v>
      </c>
      <c r="P13" s="12">
        <f>Inventory_List_Table346[[#This Row],[Per piece MXN$]]/$U$2</f>
        <v>48.888888888888886</v>
      </c>
      <c r="Q13" s="12">
        <f t="shared" si="0"/>
        <v>49</v>
      </c>
      <c r="R13" s="12">
        <f>Inventory_List_Table346[[#This Row],[AQ ROUND]]*1.4</f>
        <v>68.599999999999994</v>
      </c>
      <c r="S13" s="12">
        <f t="shared" si="1"/>
        <v>69</v>
      </c>
      <c r="T13" s="12">
        <f>Inventory_List_Table346[[#This Row],[LND ROUND]]*8</f>
        <v>552</v>
      </c>
      <c r="U13" s="12">
        <f>Inventory_List_Table346[[#This Row],[AQ]]*Inventory_List_Table346[[#This Row],[Q]]</f>
        <v>48.888888888888886</v>
      </c>
      <c r="V13" s="358" t="s">
        <v>778</v>
      </c>
      <c r="W13" s="358" t="s">
        <v>815</v>
      </c>
    </row>
    <row r="14" spans="1:24" ht="25.15" customHeight="1" x14ac:dyDescent="0.25">
      <c r="A14" s="353" t="s">
        <v>157</v>
      </c>
      <c r="B14" s="354"/>
      <c r="C14" s="355" t="s">
        <v>271</v>
      </c>
      <c r="D14" s="960"/>
      <c r="E14" s="356"/>
      <c r="F14" s="357"/>
      <c r="G14" s="357">
        <v>250</v>
      </c>
      <c r="H14" s="357">
        <v>150</v>
      </c>
      <c r="I14" s="357">
        <v>10</v>
      </c>
      <c r="J14" s="13">
        <f>24900*O2</f>
        <v>21165</v>
      </c>
      <c r="K14" s="13">
        <f>Inventory_List_Table346[[#This Row],[Q]]*Inventory_List_Table346[[#This Row],[Per piece MXN$]]</f>
        <v>0</v>
      </c>
      <c r="L14" s="10">
        <f>Inventory_List_Table346[[#This Row],[KG]]*2.20462</f>
        <v>0</v>
      </c>
      <c r="M14" s="11">
        <f>Inventory_List_Table346[[#This Row],[H CM]]/2.54</f>
        <v>98.425196850393704</v>
      </c>
      <c r="N14" s="11">
        <f>Inventory_List_Table346[[#This Row],[W CM]]/2.54</f>
        <v>59.055118110236222</v>
      </c>
      <c r="O14" s="11">
        <f>Inventory_List_Table346[[#This Row],[D CM ]]/2.54</f>
        <v>3.9370078740157481</v>
      </c>
      <c r="P14" s="12"/>
      <c r="Q14" s="12"/>
      <c r="R14" s="12"/>
      <c r="S14" s="12"/>
      <c r="T14" s="12"/>
      <c r="U14" s="12"/>
      <c r="V14" s="358"/>
      <c r="W14" s="358"/>
    </row>
    <row r="15" spans="1:24" ht="25.15" customHeight="1" x14ac:dyDescent="0.25">
      <c r="A15" s="353" t="s">
        <v>158</v>
      </c>
      <c r="B15" s="354"/>
      <c r="C15" s="355" t="s">
        <v>272</v>
      </c>
      <c r="D15" s="960"/>
      <c r="E15" s="356"/>
      <c r="F15" s="357"/>
      <c r="G15" s="357"/>
      <c r="H15" s="357"/>
      <c r="I15" s="357"/>
      <c r="J15" s="13">
        <v>15200</v>
      </c>
      <c r="K15" s="13">
        <f>Inventory_List_Table346[[#This Row],[Q]]*Inventory_List_Table346[[#This Row],[Per piece MXN$]]</f>
        <v>0</v>
      </c>
      <c r="L15" s="10">
        <f>Inventory_List_Table346[[#This Row],[KG]]*2.20462</f>
        <v>0</v>
      </c>
      <c r="M15" s="11"/>
      <c r="N15" s="11"/>
      <c r="O15" s="11"/>
      <c r="P15" s="12"/>
      <c r="Q15" s="12"/>
      <c r="R15" s="12"/>
      <c r="S15" s="12"/>
      <c r="T15" s="12"/>
      <c r="U15" s="12"/>
      <c r="V15" s="358"/>
      <c r="W15" s="358"/>
    </row>
    <row r="16" spans="1:24" ht="25.15" customHeight="1" x14ac:dyDescent="0.25">
      <c r="A16" s="353" t="s">
        <v>159</v>
      </c>
      <c r="B16" s="354"/>
      <c r="C16" s="355" t="s">
        <v>62</v>
      </c>
      <c r="D16" s="960" t="s">
        <v>1108</v>
      </c>
      <c r="E16" s="356">
        <v>1</v>
      </c>
      <c r="F16" s="357">
        <v>320</v>
      </c>
      <c r="G16" s="357"/>
      <c r="H16" s="357"/>
      <c r="I16" s="357"/>
      <c r="J16" s="13">
        <f>J14+J15</f>
        <v>36365</v>
      </c>
      <c r="K16" s="13">
        <f>Inventory_List_Table346[[#This Row],[Q]]*Inventory_List_Table346[[#This Row],[Per piece MXN$]]</f>
        <v>36365</v>
      </c>
      <c r="L16" s="10">
        <f>Inventory_List_Table346[[#This Row],[KG]]*2.20462</f>
        <v>705.47839999999997</v>
      </c>
      <c r="M16" s="11"/>
      <c r="N16" s="11"/>
      <c r="O16" s="11"/>
      <c r="P16" s="12">
        <f>Inventory_List_Table346[[#This Row],[Per piece MXN$]]/$U$2</f>
        <v>2020.2777777777778</v>
      </c>
      <c r="Q16" s="12">
        <f t="shared" si="0"/>
        <v>2020</v>
      </c>
      <c r="R16" s="12">
        <f>Inventory_List_Table346[[#This Row],[AQ ROUND]]*1.4</f>
        <v>2828</v>
      </c>
      <c r="S16" s="12">
        <f t="shared" si="1"/>
        <v>2828</v>
      </c>
      <c r="T16" s="12">
        <f>Inventory_List_Table346[[#This Row],[LND ROUND]]*8</f>
        <v>22624</v>
      </c>
      <c r="U16" s="12">
        <f>Inventory_List_Table346[[#This Row],[AQ]]*Inventory_List_Table346[[#This Row],[Q]]</f>
        <v>2020.2777777777778</v>
      </c>
      <c r="V16" s="358" t="s">
        <v>1110</v>
      </c>
      <c r="W16" s="358" t="s">
        <v>1109</v>
      </c>
    </row>
    <row r="17" spans="1:23" ht="25.15" customHeight="1" x14ac:dyDescent="0.25">
      <c r="A17" s="353" t="s">
        <v>160</v>
      </c>
      <c r="B17" s="359"/>
      <c r="C17" s="360" t="s">
        <v>273</v>
      </c>
      <c r="D17" s="361" t="s">
        <v>1357</v>
      </c>
      <c r="E17" s="356">
        <v>1</v>
      </c>
      <c r="F17" s="357">
        <v>265</v>
      </c>
      <c r="G17" s="357"/>
      <c r="H17" s="357"/>
      <c r="I17" s="357"/>
      <c r="J17" s="13">
        <v>2758</v>
      </c>
      <c r="K17" s="13">
        <f>Inventory_List_Table346[[#This Row],[Q]]*Inventory_List_Table346[[#This Row],[Per piece MXN$]]</f>
        <v>2758</v>
      </c>
      <c r="L17" s="10">
        <f>Inventory_List_Table346[[#This Row],[KG]]*2.20462</f>
        <v>584.22429999999997</v>
      </c>
      <c r="M17" s="11">
        <f>Inventory_List_Table346[[#This Row],[H CM]]/2.54</f>
        <v>0</v>
      </c>
      <c r="N17" s="11">
        <f>Inventory_List_Table346[[#This Row],[W CM]]/2.54</f>
        <v>0</v>
      </c>
      <c r="O17" s="11">
        <f>Inventory_List_Table346[[#This Row],[D CM ]]/2.54</f>
        <v>0</v>
      </c>
      <c r="P17" s="12">
        <f>Inventory_List_Table346[[#This Row],[Per piece MXN$]]/$U$2</f>
        <v>153.22222222222223</v>
      </c>
      <c r="Q17" s="12">
        <f t="shared" si="0"/>
        <v>153</v>
      </c>
      <c r="R17" s="12">
        <f>Inventory_List_Table346[[#This Row],[AQ ROUND]]*1.4</f>
        <v>214.2</v>
      </c>
      <c r="S17" s="12">
        <f t="shared" si="1"/>
        <v>214</v>
      </c>
      <c r="T17" s="12">
        <f>Inventory_List_Table346[[#This Row],[LND ROUND]]*8</f>
        <v>1712</v>
      </c>
      <c r="U17" s="12">
        <f>Inventory_List_Table346[[#This Row],[AQ]]*Inventory_List_Table346[[#This Row],[Q]]</f>
        <v>153.22222222222223</v>
      </c>
      <c r="V17" s="358" t="s">
        <v>1412</v>
      </c>
      <c r="W17" s="358" t="s">
        <v>1343</v>
      </c>
    </row>
    <row r="18" spans="1:23" ht="25.15" customHeight="1" x14ac:dyDescent="0.25">
      <c r="A18" s="353" t="s">
        <v>161</v>
      </c>
      <c r="B18" s="359"/>
      <c r="C18" s="360" t="s">
        <v>364</v>
      </c>
      <c r="D18" s="361" t="s">
        <v>1358</v>
      </c>
      <c r="E18" s="356">
        <v>1</v>
      </c>
      <c r="F18" s="357">
        <v>362</v>
      </c>
      <c r="G18" s="357"/>
      <c r="H18" s="357"/>
      <c r="I18" s="357"/>
      <c r="J18" s="13">
        <v>2950</v>
      </c>
      <c r="K18" s="13">
        <f>Inventory_List_Table346[[#This Row],[Q]]*Inventory_List_Table346[[#This Row],[Per piece MXN$]]</f>
        <v>2950</v>
      </c>
      <c r="L18" s="10">
        <f>Inventory_List_Table346[[#This Row],[KG]]*2.20462</f>
        <v>798.07243999999992</v>
      </c>
      <c r="M18" s="11">
        <f>Inventory_List_Table346[[#This Row],[H CM]]/2.54</f>
        <v>0</v>
      </c>
      <c r="N18" s="11">
        <f>Inventory_List_Table346[[#This Row],[W CM]]/2.54</f>
        <v>0</v>
      </c>
      <c r="O18" s="11">
        <f>Inventory_List_Table346[[#This Row],[D CM ]]/2.54</f>
        <v>0</v>
      </c>
      <c r="P18" s="12">
        <f>Inventory_List_Table346[[#This Row],[Per piece MXN$]]/$U$2</f>
        <v>163.88888888888889</v>
      </c>
      <c r="Q18" s="12">
        <f t="shared" si="0"/>
        <v>164</v>
      </c>
      <c r="R18" s="12">
        <f>Inventory_List_Table346[[#This Row],[AQ ROUND]]*1.4</f>
        <v>229.6</v>
      </c>
      <c r="S18" s="12">
        <f t="shared" si="1"/>
        <v>230</v>
      </c>
      <c r="T18" s="12">
        <f>Inventory_List_Table346[[#This Row],[LND ROUND]]*8</f>
        <v>1840</v>
      </c>
      <c r="U18" s="12">
        <f>Inventory_List_Table346[[#This Row],[AQ]]*Inventory_List_Table346[[#This Row],[Q]]</f>
        <v>163.88888888888889</v>
      </c>
      <c r="V18" s="358" t="s">
        <v>1413</v>
      </c>
      <c r="W18" s="358" t="s">
        <v>1414</v>
      </c>
    </row>
    <row r="19" spans="1:23" s="369" customFormat="1" ht="25.15" customHeight="1" x14ac:dyDescent="0.25">
      <c r="A19" s="362" t="s">
        <v>162</v>
      </c>
      <c r="B19" s="363"/>
      <c r="C19" s="364" t="s">
        <v>365</v>
      </c>
      <c r="D19" s="365" t="s">
        <v>1317</v>
      </c>
      <c r="E19" s="366">
        <v>1</v>
      </c>
      <c r="F19" s="367">
        <v>720</v>
      </c>
      <c r="G19" s="367"/>
      <c r="H19" s="367"/>
      <c r="I19" s="367"/>
      <c r="J19" s="25">
        <v>7658</v>
      </c>
      <c r="K19" s="25">
        <f>Inventory_List_Table346[[#This Row],[Q]]*Inventory_List_Table346[[#This Row],[Per piece MXN$]]</f>
        <v>7658</v>
      </c>
      <c r="L19" s="26">
        <f>Inventory_List_Table346[[#This Row],[KG]]*2.20462</f>
        <v>1587.3263999999999</v>
      </c>
      <c r="M19" s="27">
        <f>Inventory_List_Table346[[#This Row],[H CM]]/2.54</f>
        <v>0</v>
      </c>
      <c r="N19" s="27">
        <f>Inventory_List_Table346[[#This Row],[W CM]]/2.54</f>
        <v>0</v>
      </c>
      <c r="O19" s="27">
        <f>Inventory_List_Table346[[#This Row],[D CM ]]/2.54</f>
        <v>0</v>
      </c>
      <c r="P19" s="28">
        <f>Inventory_List_Table346[[#This Row],[Per piece MXN$]]/$U$2</f>
        <v>425.44444444444446</v>
      </c>
      <c r="Q19" s="28">
        <f t="shared" si="0"/>
        <v>426</v>
      </c>
      <c r="R19" s="28">
        <f>Inventory_List_Table346[[#This Row],[AQ ROUND]]*1.4</f>
        <v>596.4</v>
      </c>
      <c r="S19" s="28">
        <f t="shared" si="1"/>
        <v>596</v>
      </c>
      <c r="T19" s="28">
        <f>Inventory_List_Table346[[#This Row],[LND ROUND]]*8</f>
        <v>4768</v>
      </c>
      <c r="U19" s="28">
        <f>Inventory_List_Table346[[#This Row],[AQ]]*Inventory_List_Table346[[#This Row],[Q]]</f>
        <v>425.44444444444446</v>
      </c>
      <c r="V19" s="368" t="s">
        <v>1318</v>
      </c>
      <c r="W19" s="368" t="s">
        <v>1319</v>
      </c>
    </row>
    <row r="20" spans="1:23" ht="25.15" customHeight="1" x14ac:dyDescent="0.25">
      <c r="A20" s="353" t="s">
        <v>163</v>
      </c>
      <c r="B20" s="359"/>
      <c r="C20" s="355" t="s">
        <v>274</v>
      </c>
      <c r="D20" s="361" t="s">
        <v>1359</v>
      </c>
      <c r="E20" s="356">
        <v>1</v>
      </c>
      <c r="F20" s="357">
        <v>450</v>
      </c>
      <c r="G20" s="357"/>
      <c r="H20" s="357"/>
      <c r="I20" s="357"/>
      <c r="J20" s="13">
        <v>4921</v>
      </c>
      <c r="K20" s="13">
        <f>Inventory_List_Table346[[#This Row],[Q]]*Inventory_List_Table346[[#This Row],[Per piece MXN$]]</f>
        <v>4921</v>
      </c>
      <c r="L20" s="10">
        <f>Inventory_List_Table346[[#This Row],[KG]]*2.20462</f>
        <v>992.07899999999995</v>
      </c>
      <c r="M20" s="11">
        <f>Inventory_List_Table346[[#This Row],[H CM]]/2.54</f>
        <v>0</v>
      </c>
      <c r="N20" s="11">
        <f>Inventory_List_Table346[[#This Row],[W CM]]/2.54</f>
        <v>0</v>
      </c>
      <c r="O20" s="11">
        <f>Inventory_List_Table346[[#This Row],[D CM ]]/2.54</f>
        <v>0</v>
      </c>
      <c r="P20" s="12">
        <f>Inventory_List_Table346[[#This Row],[Per piece MXN$]]/$U$2</f>
        <v>273.38888888888891</v>
      </c>
      <c r="Q20" s="12">
        <f t="shared" si="0"/>
        <v>273</v>
      </c>
      <c r="R20" s="12">
        <f>Inventory_List_Table346[[#This Row],[AQ ROUND]]*1.4</f>
        <v>382.2</v>
      </c>
      <c r="S20" s="12">
        <f t="shared" si="1"/>
        <v>382</v>
      </c>
      <c r="T20" s="12">
        <f>Inventory_List_Table346[[#This Row],[LND ROUND]]*8</f>
        <v>3056</v>
      </c>
      <c r="U20" s="12">
        <f>Inventory_List_Table346[[#This Row],[AQ]]*Inventory_List_Table346[[#This Row],[Q]]</f>
        <v>273.38888888888891</v>
      </c>
      <c r="V20" s="358" t="s">
        <v>325</v>
      </c>
      <c r="W20" s="358" t="s">
        <v>1415</v>
      </c>
    </row>
    <row r="21" spans="1:23" ht="25.15" customHeight="1" x14ac:dyDescent="0.25">
      <c r="A21" s="353" t="s">
        <v>164</v>
      </c>
      <c r="B21" s="359"/>
      <c r="C21" s="355" t="s">
        <v>274</v>
      </c>
      <c r="D21" s="361" t="s">
        <v>1360</v>
      </c>
      <c r="E21" s="356">
        <v>1</v>
      </c>
      <c r="F21" s="357">
        <v>466</v>
      </c>
      <c r="G21" s="357"/>
      <c r="H21" s="357"/>
      <c r="I21" s="357"/>
      <c r="J21" s="13">
        <v>4920</v>
      </c>
      <c r="K21" s="13">
        <f>Inventory_List_Table346[[#This Row],[Q]]*Inventory_List_Table346[[#This Row],[Per piece MXN$]]</f>
        <v>4920</v>
      </c>
      <c r="L21" s="10">
        <f>Inventory_List_Table346[[#This Row],[KG]]*2.20462</f>
        <v>1027.3529199999998</v>
      </c>
      <c r="M21" s="11">
        <f>Inventory_List_Table346[[#This Row],[H CM]]/2.54</f>
        <v>0</v>
      </c>
      <c r="N21" s="11">
        <f>Inventory_List_Table346[[#This Row],[W CM]]/2.54</f>
        <v>0</v>
      </c>
      <c r="O21" s="11">
        <f>Inventory_List_Table346[[#This Row],[D CM ]]/2.54</f>
        <v>0</v>
      </c>
      <c r="P21" s="12">
        <f>Inventory_List_Table346[[#This Row],[Per piece MXN$]]/$U$2</f>
        <v>273.33333333333331</v>
      </c>
      <c r="Q21" s="12">
        <f t="shared" si="0"/>
        <v>273</v>
      </c>
      <c r="R21" s="12">
        <f>Inventory_List_Table346[[#This Row],[AQ ROUND]]*1.4</f>
        <v>382.2</v>
      </c>
      <c r="S21" s="12">
        <f t="shared" si="1"/>
        <v>382</v>
      </c>
      <c r="T21" s="12">
        <f>Inventory_List_Table346[[#This Row],[LND ROUND]]*8</f>
        <v>3056</v>
      </c>
      <c r="U21" s="12">
        <f>Inventory_List_Table346[[#This Row],[AQ]]*Inventory_List_Table346[[#This Row],[Q]]</f>
        <v>273.33333333333331</v>
      </c>
      <c r="V21" s="358" t="s">
        <v>325</v>
      </c>
      <c r="W21" s="358" t="s">
        <v>1415</v>
      </c>
    </row>
    <row r="22" spans="1:23" ht="25.15" customHeight="1" x14ac:dyDescent="0.25">
      <c r="A22" s="353" t="s">
        <v>165</v>
      </c>
      <c r="B22" s="359"/>
      <c r="C22" s="360" t="s">
        <v>274</v>
      </c>
      <c r="D22" s="361" t="s">
        <v>1361</v>
      </c>
      <c r="E22" s="360">
        <v>1</v>
      </c>
      <c r="F22" s="357">
        <v>928</v>
      </c>
      <c r="G22" s="357"/>
      <c r="H22" s="357"/>
      <c r="I22" s="357"/>
      <c r="J22" s="13">
        <v>10088</v>
      </c>
      <c r="K22" s="13">
        <f>Inventory_List_Table346[[#This Row],[Q]]*Inventory_List_Table346[[#This Row],[Per piece MXN$]]</f>
        <v>10088</v>
      </c>
      <c r="L22" s="10">
        <f>Inventory_List_Table346[[#This Row],[KG]]*2.20462</f>
        <v>2045.8873599999997</v>
      </c>
      <c r="M22" s="11">
        <f>Inventory_List_Table346[[#This Row],[H CM]]/2.54</f>
        <v>0</v>
      </c>
      <c r="N22" s="11">
        <f>Inventory_List_Table346[[#This Row],[W CM]]/2.54</f>
        <v>0</v>
      </c>
      <c r="O22" s="11">
        <f>Inventory_List_Table346[[#This Row],[D CM ]]/2.54</f>
        <v>0</v>
      </c>
      <c r="P22" s="12">
        <f>Inventory_List_Table346[[#This Row],[Per piece MXN$]]/$U$2</f>
        <v>560.44444444444446</v>
      </c>
      <c r="Q22" s="12">
        <f t="shared" si="0"/>
        <v>561</v>
      </c>
      <c r="R22" s="12">
        <f>Inventory_List_Table346[[#This Row],[AQ ROUND]]*1.4</f>
        <v>785.4</v>
      </c>
      <c r="S22" s="12">
        <f t="shared" si="1"/>
        <v>785</v>
      </c>
      <c r="T22" s="12">
        <f>Inventory_List_Table346[[#This Row],[LND ROUND]]*8</f>
        <v>6280</v>
      </c>
      <c r="U22" s="12">
        <f>Inventory_List_Table346[[#This Row],[AQ]]*Inventory_List_Table346[[#This Row],[Q]]</f>
        <v>560.44444444444446</v>
      </c>
      <c r="V22" s="358" t="s">
        <v>1416</v>
      </c>
      <c r="W22" s="358" t="s">
        <v>1417</v>
      </c>
    </row>
    <row r="23" spans="1:23" ht="25.15" customHeight="1" x14ac:dyDescent="0.25">
      <c r="A23" s="353" t="s">
        <v>166</v>
      </c>
      <c r="B23" s="359"/>
      <c r="C23" s="360" t="s">
        <v>274</v>
      </c>
      <c r="D23" s="361" t="s">
        <v>1362</v>
      </c>
      <c r="E23" s="360">
        <v>1</v>
      </c>
      <c r="F23" s="357">
        <v>334</v>
      </c>
      <c r="G23" s="357"/>
      <c r="H23" s="357"/>
      <c r="I23" s="357"/>
      <c r="J23" s="13">
        <v>3664</v>
      </c>
      <c r="K23" s="13">
        <f>Inventory_List_Table346[[#This Row],[Q]]*Inventory_List_Table346[[#This Row],[Per piece MXN$]]</f>
        <v>3664</v>
      </c>
      <c r="L23" s="10">
        <f>Inventory_List_Table346[[#This Row],[KG]]*2.20462</f>
        <v>736.34307999999999</v>
      </c>
      <c r="M23" s="11">
        <f>Inventory_List_Table346[[#This Row],[H CM]]/2.54</f>
        <v>0</v>
      </c>
      <c r="N23" s="11">
        <f>Inventory_List_Table346[[#This Row],[W CM]]/2.54</f>
        <v>0</v>
      </c>
      <c r="O23" s="11">
        <f>Inventory_List_Table346[[#This Row],[D CM ]]/2.54</f>
        <v>0</v>
      </c>
      <c r="P23" s="12">
        <f>Inventory_List_Table346[[#This Row],[Per piece MXN$]]/$U$2</f>
        <v>203.55555555555554</v>
      </c>
      <c r="Q23" s="12">
        <f t="shared" si="0"/>
        <v>204</v>
      </c>
      <c r="R23" s="12">
        <f>Inventory_List_Table346[[#This Row],[AQ ROUND]]*1.4</f>
        <v>285.59999999999997</v>
      </c>
      <c r="S23" s="12">
        <f t="shared" si="1"/>
        <v>286</v>
      </c>
      <c r="T23" s="12">
        <f>Inventory_List_Table346[[#This Row],[LND ROUND]]*8</f>
        <v>2288</v>
      </c>
      <c r="U23" s="12">
        <f>Inventory_List_Table346[[#This Row],[AQ]]*Inventory_List_Table346[[#This Row],[Q]]</f>
        <v>203.55555555555554</v>
      </c>
      <c r="V23" s="358" t="s">
        <v>615</v>
      </c>
      <c r="W23" s="358" t="s">
        <v>1418</v>
      </c>
    </row>
    <row r="24" spans="1:23" ht="25.15" customHeight="1" x14ac:dyDescent="0.25">
      <c r="A24" s="353" t="s">
        <v>167</v>
      </c>
      <c r="B24" s="359"/>
      <c r="C24" s="355" t="s">
        <v>274</v>
      </c>
      <c r="D24" s="361" t="s">
        <v>1363</v>
      </c>
      <c r="E24" s="356">
        <v>1</v>
      </c>
      <c r="F24" s="357">
        <v>426</v>
      </c>
      <c r="G24" s="357"/>
      <c r="H24" s="357"/>
      <c r="I24" s="357"/>
      <c r="J24" s="13">
        <v>4618</v>
      </c>
      <c r="K24" s="13">
        <f>Inventory_List_Table346[[#This Row],[Q]]*Inventory_List_Table346[[#This Row],[Per piece MXN$]]</f>
        <v>4618</v>
      </c>
      <c r="L24" s="10">
        <f>Inventory_List_Table346[[#This Row],[KG]]*2.20462</f>
        <v>939.16811999999993</v>
      </c>
      <c r="M24" s="11">
        <f>Inventory_List_Table346[[#This Row],[H CM]]/2.54</f>
        <v>0</v>
      </c>
      <c r="N24" s="11">
        <f>Inventory_List_Table346[[#This Row],[W CM]]/2.54</f>
        <v>0</v>
      </c>
      <c r="O24" s="11">
        <f>Inventory_List_Table346[[#This Row],[D CM ]]/2.54</f>
        <v>0</v>
      </c>
      <c r="P24" s="12">
        <f>Inventory_List_Table346[[#This Row],[Per piece MXN$]]/$U$2</f>
        <v>256.55555555555554</v>
      </c>
      <c r="Q24" s="12">
        <f t="shared" si="0"/>
        <v>257</v>
      </c>
      <c r="R24" s="12">
        <f>Inventory_List_Table346[[#This Row],[AQ ROUND]]*1.4</f>
        <v>359.79999999999995</v>
      </c>
      <c r="S24" s="12">
        <f t="shared" si="1"/>
        <v>360</v>
      </c>
      <c r="T24" s="12">
        <f>Inventory_List_Table346[[#This Row],[LND ROUND]]*8</f>
        <v>2880</v>
      </c>
      <c r="U24" s="12">
        <f>Inventory_List_Table346[[#This Row],[AQ]]*Inventory_List_Table346[[#This Row],[Q]]</f>
        <v>256.55555555555554</v>
      </c>
      <c r="V24" s="358" t="s">
        <v>619</v>
      </c>
      <c r="W24" s="358" t="s">
        <v>618</v>
      </c>
    </row>
    <row r="25" spans="1:23" s="369" customFormat="1" ht="25.15" customHeight="1" x14ac:dyDescent="0.25">
      <c r="A25" s="362" t="s">
        <v>168</v>
      </c>
      <c r="B25" s="363"/>
      <c r="C25" s="364" t="s">
        <v>274</v>
      </c>
      <c r="D25" s="365" t="s">
        <v>1320</v>
      </c>
      <c r="E25" s="370">
        <v>1</v>
      </c>
      <c r="F25" s="367">
        <v>432</v>
      </c>
      <c r="G25" s="367"/>
      <c r="H25" s="367"/>
      <c r="I25" s="367"/>
      <c r="J25" s="25">
        <v>5336</v>
      </c>
      <c r="K25" s="25">
        <f>Inventory_List_Table346[[#This Row],[Q]]*Inventory_List_Table346[[#This Row],[Per piece MXN$]]</f>
        <v>5336</v>
      </c>
      <c r="L25" s="26">
        <f>Inventory_List_Table346[[#This Row],[KG]]*2.20462</f>
        <v>952.39583999999991</v>
      </c>
      <c r="M25" s="27">
        <f>Inventory_List_Table346[[#This Row],[H CM]]/2.54</f>
        <v>0</v>
      </c>
      <c r="N25" s="27">
        <f>Inventory_List_Table346[[#This Row],[W CM]]/2.54</f>
        <v>0</v>
      </c>
      <c r="O25" s="27">
        <f>Inventory_List_Table346[[#This Row],[D CM ]]/2.54</f>
        <v>0</v>
      </c>
      <c r="P25" s="28">
        <f>Inventory_List_Table346[[#This Row],[Per piece MXN$]]/$U$2</f>
        <v>296.44444444444446</v>
      </c>
      <c r="Q25" s="28">
        <f t="shared" si="0"/>
        <v>297</v>
      </c>
      <c r="R25" s="28">
        <f>Inventory_List_Table346[[#This Row],[AQ ROUND]]*1.4</f>
        <v>415.79999999999995</v>
      </c>
      <c r="S25" s="28">
        <f t="shared" si="1"/>
        <v>416</v>
      </c>
      <c r="T25" s="28">
        <f>Inventory_List_Table346[[#This Row],[LND ROUND]]*8</f>
        <v>3328</v>
      </c>
      <c r="U25" s="28">
        <f>Inventory_List_Table346[[#This Row],[AQ]]*Inventory_List_Table346[[#This Row],[Q]]</f>
        <v>296.44444444444446</v>
      </c>
      <c r="V25" s="368" t="s">
        <v>1321</v>
      </c>
      <c r="W25" s="368" t="s">
        <v>1322</v>
      </c>
    </row>
    <row r="26" spans="1:23" ht="25.15" customHeight="1" x14ac:dyDescent="0.25">
      <c r="A26" s="353" t="s">
        <v>169</v>
      </c>
      <c r="B26" s="359"/>
      <c r="C26" s="360" t="s">
        <v>275</v>
      </c>
      <c r="D26" s="361" t="s">
        <v>1364</v>
      </c>
      <c r="E26" s="356">
        <v>1</v>
      </c>
      <c r="F26" s="357">
        <v>441</v>
      </c>
      <c r="G26" s="357"/>
      <c r="H26" s="357"/>
      <c r="I26" s="357">
        <f>Inventory_List_Table346[[#This Row],[KG]]*13</f>
        <v>5733</v>
      </c>
      <c r="J26" s="13">
        <v>4455</v>
      </c>
      <c r="K26" s="13">
        <f>Inventory_List_Table346[[#This Row],[Q]]*Inventory_List_Table346[[#This Row],[Per piece MXN$]]</f>
        <v>4455</v>
      </c>
      <c r="L26" s="10">
        <f>Inventory_List_Table346[[#This Row],[KG]]*2.20462</f>
        <v>972.23741999999993</v>
      </c>
      <c r="M26" s="11">
        <f>Inventory_List_Table346[[#This Row],[H CM]]/2.54</f>
        <v>0</v>
      </c>
      <c r="N26" s="11">
        <f>Inventory_List_Table346[[#This Row],[W CM]]/2.54</f>
        <v>0</v>
      </c>
      <c r="O26" s="11">
        <f>Inventory_List_Table346[[#This Row],[D CM ]]/2.54</f>
        <v>2257.0866141732281</v>
      </c>
      <c r="P26" s="12">
        <f>Inventory_List_Table346[[#This Row],[Per piece MXN$]]/$U$2</f>
        <v>247.5</v>
      </c>
      <c r="Q26" s="12">
        <f t="shared" si="0"/>
        <v>248</v>
      </c>
      <c r="R26" s="12">
        <f>Inventory_List_Table346[[#This Row],[AQ ROUND]]*1.4</f>
        <v>347.2</v>
      </c>
      <c r="S26" s="12">
        <f t="shared" si="1"/>
        <v>347</v>
      </c>
      <c r="T26" s="12">
        <f>Inventory_List_Table346[[#This Row],[LND ROUND]]*8</f>
        <v>2776</v>
      </c>
      <c r="U26" s="12">
        <f>Inventory_List_Table346[[#This Row],[AQ]]*Inventory_List_Table346[[#This Row],[Q]]</f>
        <v>247.5</v>
      </c>
      <c r="V26" s="358" t="s">
        <v>1419</v>
      </c>
      <c r="W26" s="358" t="s">
        <v>1420</v>
      </c>
    </row>
    <row r="27" spans="1:23" ht="25.15" customHeight="1" x14ac:dyDescent="0.25">
      <c r="A27" s="353" t="s">
        <v>170</v>
      </c>
      <c r="B27" s="371"/>
      <c r="C27" s="360" t="s">
        <v>274</v>
      </c>
      <c r="D27" s="361" t="s">
        <v>1365</v>
      </c>
      <c r="E27" s="356">
        <v>1</v>
      </c>
      <c r="F27" s="357">
        <v>235</v>
      </c>
      <c r="G27" s="357"/>
      <c r="H27" s="357"/>
      <c r="I27" s="372">
        <f>Inventory_List_Table346[[#This Row],[KG]]*13</f>
        <v>3055</v>
      </c>
      <c r="J27" s="13">
        <v>4017</v>
      </c>
      <c r="K27" s="13">
        <f>Inventory_List_Table346[[#This Row],[Q]]*Inventory_List_Table346[[#This Row],[Per piece MXN$]]</f>
        <v>4017</v>
      </c>
      <c r="L27" s="10">
        <f>Inventory_List_Table346[[#This Row],[KG]]*2.20462</f>
        <v>518.08569999999997</v>
      </c>
      <c r="M27" s="11">
        <f>Inventory_List_Table346[[#This Row],[H CM]]/2.54</f>
        <v>0</v>
      </c>
      <c r="N27" s="11">
        <f>Inventory_List_Table346[[#This Row],[W CM]]/2.54</f>
        <v>0</v>
      </c>
      <c r="O27" s="11">
        <f>Inventory_List_Table346[[#This Row],[D CM ]]/2.54</f>
        <v>1202.7559055118111</v>
      </c>
      <c r="P27" s="12">
        <f>Inventory_List_Table346[[#This Row],[Per piece MXN$]]/$U$2</f>
        <v>223.16666666666666</v>
      </c>
      <c r="Q27" s="12">
        <f t="shared" si="0"/>
        <v>223</v>
      </c>
      <c r="R27" s="12">
        <f>Inventory_List_Table346[[#This Row],[AQ ROUND]]*1.4</f>
        <v>312.2</v>
      </c>
      <c r="S27" s="12">
        <f t="shared" si="1"/>
        <v>312</v>
      </c>
      <c r="T27" s="12">
        <f>Inventory_List_Table346[[#This Row],[LND ROUND]]*8</f>
        <v>2496</v>
      </c>
      <c r="U27" s="12">
        <f>Inventory_List_Table346[[#This Row],[AQ]]*Inventory_List_Table346[[#This Row],[Q]]</f>
        <v>223.16666666666666</v>
      </c>
      <c r="V27" s="358" t="s">
        <v>1421</v>
      </c>
      <c r="W27" s="358" t="s">
        <v>1422</v>
      </c>
    </row>
    <row r="28" spans="1:23" ht="25.15" customHeight="1" x14ac:dyDescent="0.25">
      <c r="A28" s="353" t="s">
        <v>171</v>
      </c>
      <c r="B28" s="371"/>
      <c r="C28" s="360" t="s">
        <v>276</v>
      </c>
      <c r="D28" s="361" t="s">
        <v>1366</v>
      </c>
      <c r="E28" s="356">
        <v>1</v>
      </c>
      <c r="F28" s="357">
        <v>352</v>
      </c>
      <c r="G28" s="357"/>
      <c r="H28" s="357"/>
      <c r="I28" s="372">
        <f>352*13</f>
        <v>4576</v>
      </c>
      <c r="J28" s="13">
        <v>5070</v>
      </c>
      <c r="K28" s="13">
        <f>Inventory_List_Table346[[#This Row],[Q]]*Inventory_List_Table346[[#This Row],[Per piece MXN$]]</f>
        <v>5070</v>
      </c>
      <c r="L28" s="10">
        <f>Inventory_List_Table346[[#This Row],[KG]]*2.20462</f>
        <v>776.02623999999992</v>
      </c>
      <c r="M28" s="11">
        <f>Inventory_List_Table346[[#This Row],[H CM]]/2.54</f>
        <v>0</v>
      </c>
      <c r="N28" s="11">
        <f>Inventory_List_Table346[[#This Row],[W CM]]/2.54</f>
        <v>0</v>
      </c>
      <c r="O28" s="11">
        <f>Inventory_List_Table346[[#This Row],[D CM ]]/2.54</f>
        <v>1801.5748031496062</v>
      </c>
      <c r="P28" s="12">
        <f>Inventory_List_Table346[[#This Row],[Per piece MXN$]]/$U$2</f>
        <v>281.66666666666669</v>
      </c>
      <c r="Q28" s="12">
        <f t="shared" si="0"/>
        <v>282</v>
      </c>
      <c r="R28" s="12">
        <f>Inventory_List_Table346[[#This Row],[AQ ROUND]]*1.4</f>
        <v>394.79999999999995</v>
      </c>
      <c r="S28" s="12">
        <f t="shared" si="1"/>
        <v>395</v>
      </c>
      <c r="T28" s="12">
        <f>Inventory_List_Table346[[#This Row],[LND ROUND]]*8</f>
        <v>3160</v>
      </c>
      <c r="U28" s="12">
        <f>Inventory_List_Table346[[#This Row],[AQ]]*Inventory_List_Table346[[#This Row],[Q]]</f>
        <v>281.66666666666669</v>
      </c>
      <c r="V28" s="358" t="s">
        <v>1423</v>
      </c>
      <c r="W28" s="358" t="s">
        <v>1424</v>
      </c>
    </row>
    <row r="29" spans="1:23" ht="25.15" customHeight="1" x14ac:dyDescent="0.25">
      <c r="A29" s="353" t="s">
        <v>183</v>
      </c>
      <c r="B29" s="354" t="s">
        <v>303</v>
      </c>
      <c r="C29" s="355" t="s">
        <v>304</v>
      </c>
      <c r="D29" s="959" t="s">
        <v>310</v>
      </c>
      <c r="E29" s="356">
        <v>2</v>
      </c>
      <c r="F29" s="357">
        <v>110</v>
      </c>
      <c r="G29" s="357">
        <v>105</v>
      </c>
      <c r="H29" s="357"/>
      <c r="I29" s="357">
        <v>80</v>
      </c>
      <c r="J29" s="373">
        <v>26900</v>
      </c>
      <c r="K29" s="13">
        <f>Inventory_List_Table346[[#This Row],[Q]]*Inventory_List_Table346[[#This Row],[Per piece MXN$]]</f>
        <v>53800</v>
      </c>
      <c r="L29" s="10">
        <f>Inventory_List_Table346[[#This Row],[KG]]*2.20462</f>
        <v>242.50819999999999</v>
      </c>
      <c r="M29" s="11">
        <f>Inventory_List_Table346[[#This Row],[H CM]]/2.54</f>
        <v>41.338582677165356</v>
      </c>
      <c r="N29" s="11">
        <f>Inventory_List_Table346[[#This Row],[W CM]]/2.54</f>
        <v>0</v>
      </c>
      <c r="O29" s="11">
        <f>Inventory_List_Table346[[#This Row],[D CM ]]/2.54</f>
        <v>31.496062992125985</v>
      </c>
      <c r="P29" s="12">
        <f>Inventory_List_Table346[[#This Row],[Per piece MXN$]]/$U$2</f>
        <v>1494.4444444444443</v>
      </c>
      <c r="Q29" s="12">
        <f t="shared" ref="Q29:Q34" si="2">IF(MOD(P29,1)&gt;0.4,ROUNDUP(P29,0),ROUNDDOWN(P29,0))</f>
        <v>1495</v>
      </c>
      <c r="R29" s="12">
        <f>Inventory_List_Table346[[#This Row],[AQ ROUND]]*1.4</f>
        <v>2093</v>
      </c>
      <c r="S29" s="12">
        <f t="shared" ref="S29:S34" si="3">IF(MOD(R29,1)&gt;0.4,ROUNDUP(R29,0),ROUNDDOWN(R29,0))</f>
        <v>2093</v>
      </c>
      <c r="T29" s="12">
        <f>Inventory_List_Table346[[#This Row],[LND ROUND]]*8</f>
        <v>16744</v>
      </c>
      <c r="U29" s="12">
        <f>Inventory_List_Table346[[#This Row],[AQ]]*Inventory_List_Table346[[#This Row],[Q]]</f>
        <v>2988.8888888888887</v>
      </c>
      <c r="V29" s="358" t="s">
        <v>1262</v>
      </c>
      <c r="W29" s="358" t="s">
        <v>1263</v>
      </c>
    </row>
    <row r="30" spans="1:23" ht="25.15" customHeight="1" x14ac:dyDescent="0.25">
      <c r="A30" s="353" t="s">
        <v>184</v>
      </c>
      <c r="B30" s="354">
        <v>46026</v>
      </c>
      <c r="C30" s="355" t="s">
        <v>371</v>
      </c>
      <c r="D30" s="374" t="s">
        <v>795</v>
      </c>
      <c r="E30" s="356">
        <v>1</v>
      </c>
      <c r="F30" s="357">
        <v>65</v>
      </c>
      <c r="G30" s="357">
        <v>160</v>
      </c>
      <c r="H30" s="357">
        <v>60</v>
      </c>
      <c r="I30" s="357">
        <v>10</v>
      </c>
      <c r="J30" s="13">
        <f>17200*O2</f>
        <v>14620</v>
      </c>
      <c r="K30" s="13">
        <f>Inventory_List_Table346[[#This Row],[Q]]*Inventory_List_Table346[[#This Row],[Per piece MXN$]]</f>
        <v>14620</v>
      </c>
      <c r="L30" s="10">
        <f>Inventory_List_Table346[[#This Row],[KG]]*2.20462</f>
        <v>143.30029999999999</v>
      </c>
      <c r="M30" s="11">
        <f>Inventory_List_Table346[[#This Row],[H CM]]/2.54</f>
        <v>62.99212598425197</v>
      </c>
      <c r="N30" s="11">
        <f>Inventory_List_Table346[[#This Row],[W CM]]/2.54</f>
        <v>23.622047244094489</v>
      </c>
      <c r="O30" s="11">
        <f>Inventory_List_Table346[[#This Row],[D CM ]]/2.54</f>
        <v>3.9370078740157481</v>
      </c>
      <c r="P30" s="12">
        <f>Inventory_List_Table346[[#This Row],[Per piece MXN$]]/$U$2</f>
        <v>812.22222222222217</v>
      </c>
      <c r="Q30" s="12">
        <f t="shared" si="2"/>
        <v>812</v>
      </c>
      <c r="R30" s="12">
        <f>Inventory_List_Table346[[#This Row],[AQ ROUND]]*1.4</f>
        <v>1136.8</v>
      </c>
      <c r="S30" s="12">
        <f t="shared" si="3"/>
        <v>1137</v>
      </c>
      <c r="T30" s="12">
        <f>Inventory_List_Table346[[#This Row],[LND ROUND]]*8</f>
        <v>9096</v>
      </c>
      <c r="U30" s="12">
        <f>Inventory_List_Table346[[#This Row],[AQ]]*Inventory_List_Table346[[#This Row],[Q]]</f>
        <v>812.22222222222217</v>
      </c>
      <c r="V30" s="358" t="s">
        <v>797</v>
      </c>
      <c r="W30" s="358" t="s">
        <v>796</v>
      </c>
    </row>
    <row r="31" spans="1:23" ht="25.15" customHeight="1" x14ac:dyDescent="0.25">
      <c r="A31" s="353" t="s">
        <v>185</v>
      </c>
      <c r="B31" s="354">
        <v>46026</v>
      </c>
      <c r="C31" s="355" t="s">
        <v>354</v>
      </c>
      <c r="D31" s="374" t="s">
        <v>798</v>
      </c>
      <c r="E31" s="356">
        <v>1</v>
      </c>
      <c r="F31" s="357">
        <v>65</v>
      </c>
      <c r="G31" s="357">
        <v>160</v>
      </c>
      <c r="H31" s="357">
        <v>50</v>
      </c>
      <c r="I31" s="357">
        <v>10</v>
      </c>
      <c r="J31" s="13">
        <f>37600*O2</f>
        <v>31960</v>
      </c>
      <c r="K31" s="13">
        <f>Inventory_List_Table346[[#This Row],[Q]]*Inventory_List_Table346[[#This Row],[Per piece MXN$]]</f>
        <v>31960</v>
      </c>
      <c r="L31" s="10">
        <f>Inventory_List_Table346[[#This Row],[KG]]*2.20462</f>
        <v>143.30029999999999</v>
      </c>
      <c r="M31" s="11">
        <f>Inventory_List_Table346[[#This Row],[H CM]]/2.54</f>
        <v>62.99212598425197</v>
      </c>
      <c r="N31" s="11">
        <f>Inventory_List_Table346[[#This Row],[W CM]]/2.54</f>
        <v>19.685039370078741</v>
      </c>
      <c r="O31" s="11">
        <f>Inventory_List_Table346[[#This Row],[D CM ]]/2.54</f>
        <v>3.9370078740157481</v>
      </c>
      <c r="P31" s="12">
        <f>Inventory_List_Table346[[#This Row],[Per piece MXN$]]/$U$2</f>
        <v>1775.5555555555557</v>
      </c>
      <c r="Q31" s="12">
        <f t="shared" si="2"/>
        <v>1776</v>
      </c>
      <c r="R31" s="12">
        <f>Inventory_List_Table346[[#This Row],[AQ ROUND]]*1.4</f>
        <v>2486.3999999999996</v>
      </c>
      <c r="S31" s="12">
        <f t="shared" si="3"/>
        <v>2486</v>
      </c>
      <c r="T31" s="12">
        <f>Inventory_List_Table346[[#This Row],[LND ROUND]]*8</f>
        <v>19888</v>
      </c>
      <c r="U31" s="12">
        <f>Inventory_List_Table346[[#This Row],[AQ]]*Inventory_List_Table346[[#This Row],[Q]]</f>
        <v>1775.5555555555557</v>
      </c>
      <c r="V31" s="358" t="s">
        <v>800</v>
      </c>
      <c r="W31" s="358" t="s">
        <v>799</v>
      </c>
    </row>
    <row r="32" spans="1:23" ht="25.15" customHeight="1" x14ac:dyDescent="0.25">
      <c r="A32" s="353" t="s">
        <v>186</v>
      </c>
      <c r="B32" s="354">
        <v>46026</v>
      </c>
      <c r="C32" s="355" t="s">
        <v>366</v>
      </c>
      <c r="D32" s="374" t="s">
        <v>801</v>
      </c>
      <c r="E32" s="356">
        <v>1</v>
      </c>
      <c r="F32" s="357">
        <v>30</v>
      </c>
      <c r="G32" s="357">
        <v>65</v>
      </c>
      <c r="H32" s="357">
        <v>30</v>
      </c>
      <c r="I32" s="357">
        <v>10</v>
      </c>
      <c r="J32" s="13">
        <f>6900*O2</f>
        <v>5865</v>
      </c>
      <c r="K32" s="13">
        <f>Inventory_List_Table346[[#This Row],[Q]]*Inventory_List_Table346[[#This Row],[Per piece MXN$]]</f>
        <v>5865</v>
      </c>
      <c r="L32" s="10">
        <f>Inventory_List_Table346[[#This Row],[KG]]*2.20462</f>
        <v>66.138599999999997</v>
      </c>
      <c r="M32" s="11">
        <f>Inventory_List_Table346[[#This Row],[H CM]]/2.54</f>
        <v>25.590551181102363</v>
      </c>
      <c r="N32" s="11">
        <f>Inventory_List_Table346[[#This Row],[W CM]]/2.54</f>
        <v>11.811023622047244</v>
      </c>
      <c r="O32" s="11">
        <f>Inventory_List_Table346[[#This Row],[D CM ]]/2.54</f>
        <v>3.9370078740157481</v>
      </c>
      <c r="P32" s="12">
        <f>Inventory_List_Table346[[#This Row],[Per piece MXN$]]/$U$2</f>
        <v>325.83333333333331</v>
      </c>
      <c r="Q32" s="12">
        <f t="shared" si="2"/>
        <v>326</v>
      </c>
      <c r="R32" s="12">
        <f>Inventory_List_Table346[[#This Row],[AQ ROUND]]*1.4</f>
        <v>456.4</v>
      </c>
      <c r="S32" s="12">
        <f t="shared" si="3"/>
        <v>456</v>
      </c>
      <c r="T32" s="12">
        <f>Inventory_List_Table346[[#This Row],[LND ROUND]]*8</f>
        <v>3648</v>
      </c>
      <c r="U32" s="12">
        <f>Inventory_List_Table346[[#This Row],[AQ]]*Inventory_List_Table346[[#This Row],[Q]]</f>
        <v>325.83333333333331</v>
      </c>
      <c r="V32" s="358" t="s">
        <v>639</v>
      </c>
      <c r="W32" s="358" t="s">
        <v>802</v>
      </c>
    </row>
    <row r="33" spans="1:23" ht="25.15" customHeight="1" x14ac:dyDescent="0.25">
      <c r="A33" s="353" t="s">
        <v>187</v>
      </c>
      <c r="B33" s="354">
        <v>46026</v>
      </c>
      <c r="C33" s="355" t="s">
        <v>355</v>
      </c>
      <c r="D33" s="374" t="s">
        <v>803</v>
      </c>
      <c r="E33" s="356">
        <v>1</v>
      </c>
      <c r="F33" s="357">
        <v>100</v>
      </c>
      <c r="G33" s="357">
        <v>79</v>
      </c>
      <c r="H33" s="357">
        <v>180</v>
      </c>
      <c r="I33" s="357">
        <v>100</v>
      </c>
      <c r="J33" s="13">
        <f>31900*O2</f>
        <v>27115</v>
      </c>
      <c r="K33" s="13">
        <f>Inventory_List_Table346[[#This Row],[Q]]*Inventory_List_Table346[[#This Row],[Per piece MXN$]]</f>
        <v>27115</v>
      </c>
      <c r="L33" s="10">
        <f>Inventory_List_Table346[[#This Row],[KG]]*2.20462</f>
        <v>220.46199999999999</v>
      </c>
      <c r="M33" s="11">
        <f>Inventory_List_Table346[[#This Row],[H CM]]/2.54</f>
        <v>31.102362204724407</v>
      </c>
      <c r="N33" s="11">
        <f>Inventory_List_Table346[[#This Row],[W CM]]/2.54</f>
        <v>70.866141732283467</v>
      </c>
      <c r="O33" s="11">
        <f>Inventory_List_Table346[[#This Row],[D CM ]]/2.54</f>
        <v>39.370078740157481</v>
      </c>
      <c r="P33" s="12">
        <f>Inventory_List_Table346[[#This Row],[Per piece MXN$]]/$U$2</f>
        <v>1506.3888888888889</v>
      </c>
      <c r="Q33" s="12">
        <f t="shared" si="2"/>
        <v>1506</v>
      </c>
      <c r="R33" s="12">
        <f>Inventory_List_Table346[[#This Row],[AQ ROUND]]*1.4</f>
        <v>2108.4</v>
      </c>
      <c r="S33" s="12">
        <f t="shared" si="3"/>
        <v>2109</v>
      </c>
      <c r="T33" s="12">
        <f>Inventory_List_Table346[[#This Row],[LND ROUND]]*8</f>
        <v>16872</v>
      </c>
      <c r="U33" s="12">
        <f>Inventory_List_Table346[[#This Row],[AQ]]*Inventory_List_Table346[[#This Row],[Q]]</f>
        <v>1506.3888888888889</v>
      </c>
      <c r="V33" s="358" t="s">
        <v>805</v>
      </c>
      <c r="W33" s="358" t="s">
        <v>804</v>
      </c>
    </row>
    <row r="34" spans="1:23" ht="25.15" customHeight="1" x14ac:dyDescent="0.25">
      <c r="A34" s="353" t="s">
        <v>188</v>
      </c>
      <c r="B34" s="354">
        <v>46026</v>
      </c>
      <c r="C34" s="355" t="s">
        <v>367</v>
      </c>
      <c r="D34" s="374" t="s">
        <v>806</v>
      </c>
      <c r="E34" s="356">
        <v>4</v>
      </c>
      <c r="F34" s="357"/>
      <c r="G34" s="357">
        <v>50</v>
      </c>
      <c r="H34" s="357"/>
      <c r="I34" s="357"/>
      <c r="J34" s="13">
        <f>2900*O2</f>
        <v>2465</v>
      </c>
      <c r="K34" s="13">
        <f>Inventory_List_Table346[[#This Row],[Q]]*Inventory_List_Table346[[#This Row],[Per piece MXN$]]</f>
        <v>9860</v>
      </c>
      <c r="L34" s="10">
        <f>Inventory_List_Table346[[#This Row],[KG]]*2.20462</f>
        <v>0</v>
      </c>
      <c r="M34" s="11">
        <f>Inventory_List_Table346[[#This Row],[H CM]]/2.54</f>
        <v>19.685039370078741</v>
      </c>
      <c r="N34" s="11">
        <f>Inventory_List_Table346[[#This Row],[W CM]]/2.54</f>
        <v>0</v>
      </c>
      <c r="O34" s="11">
        <f>Inventory_List_Table346[[#This Row],[D CM ]]/2.54</f>
        <v>0</v>
      </c>
      <c r="P34" s="12">
        <f>Inventory_List_Table346[[#This Row],[Per piece MXN$]]/$U$2</f>
        <v>136.94444444444446</v>
      </c>
      <c r="Q34" s="12">
        <f t="shared" si="2"/>
        <v>137</v>
      </c>
      <c r="R34" s="12">
        <f>Inventory_List_Table346[[#This Row],[AQ ROUND]]*1.4</f>
        <v>191.79999999999998</v>
      </c>
      <c r="S34" s="12">
        <f t="shared" si="3"/>
        <v>192</v>
      </c>
      <c r="T34" s="12">
        <f>Inventory_List_Table346[[#This Row],[LND ROUND]]*8</f>
        <v>1536</v>
      </c>
      <c r="U34" s="12">
        <f>Inventory_List_Table346[[#This Row],[AQ]]*Inventory_List_Table346[[#This Row],[Q]]</f>
        <v>547.77777777777783</v>
      </c>
      <c r="V34" s="358" t="s">
        <v>808</v>
      </c>
      <c r="W34" s="358" t="s">
        <v>807</v>
      </c>
    </row>
    <row r="35" spans="1:23" ht="25.15" customHeight="1" x14ac:dyDescent="0.25">
      <c r="A35" s="353" t="s">
        <v>189</v>
      </c>
      <c r="B35" s="354">
        <v>46026</v>
      </c>
      <c r="C35" s="355" t="s">
        <v>368</v>
      </c>
      <c r="D35" s="374" t="s">
        <v>809</v>
      </c>
      <c r="E35" s="356">
        <v>1</v>
      </c>
      <c r="F35" s="357"/>
      <c r="G35" s="357">
        <v>50</v>
      </c>
      <c r="H35" s="357"/>
      <c r="I35" s="357"/>
      <c r="J35" s="13">
        <f>2900*O2</f>
        <v>2465</v>
      </c>
      <c r="K35" s="13">
        <f>Inventory_List_Table346[[#This Row],[Q]]*Inventory_List_Table346[[#This Row],[Per piece MXN$]]</f>
        <v>2465</v>
      </c>
      <c r="L35" s="10">
        <f>Inventory_List_Table346[[#This Row],[KG]]*2.20462</f>
        <v>0</v>
      </c>
      <c r="M35" s="11">
        <f>Inventory_List_Table346[[#This Row],[H CM]]/2.54</f>
        <v>19.685039370078741</v>
      </c>
      <c r="N35" s="11">
        <f>Inventory_List_Table346[[#This Row],[W CM]]/2.54</f>
        <v>0</v>
      </c>
      <c r="O35" s="11">
        <f>Inventory_List_Table346[[#This Row],[D CM ]]/2.54</f>
        <v>0</v>
      </c>
      <c r="P35" s="12">
        <f>Inventory_List_Table346[[#This Row],[Per piece MXN$]]/$U$2</f>
        <v>136.94444444444446</v>
      </c>
      <c r="Q35" s="12">
        <f t="shared" ref="Q35:Q41" si="4">IF(MOD(P35,1)&gt;0.4,ROUNDUP(P35,0),ROUNDDOWN(P35,0))</f>
        <v>137</v>
      </c>
      <c r="R35" s="12">
        <f>Inventory_List_Table346[[#This Row],[AQ ROUND]]*1.4</f>
        <v>191.79999999999998</v>
      </c>
      <c r="S35" s="12">
        <f t="shared" ref="S35:S41" si="5">IF(MOD(R35,1)&gt;0.4,ROUNDUP(R35,0),ROUNDDOWN(R35,0))</f>
        <v>192</v>
      </c>
      <c r="T35" s="12">
        <f>Inventory_List_Table346[[#This Row],[LND ROUND]]*8</f>
        <v>1536</v>
      </c>
      <c r="U35" s="12">
        <f>Inventory_List_Table346[[#This Row],[AQ]]*Inventory_List_Table346[[#This Row],[Q]]</f>
        <v>136.94444444444446</v>
      </c>
      <c r="V35" s="358" t="s">
        <v>808</v>
      </c>
      <c r="W35" s="358" t="s">
        <v>807</v>
      </c>
    </row>
    <row r="36" spans="1:23" ht="25.15" customHeight="1" x14ac:dyDescent="0.25">
      <c r="A36" s="353" t="s">
        <v>190</v>
      </c>
      <c r="B36" s="354">
        <v>46026</v>
      </c>
      <c r="C36" s="355" t="s">
        <v>369</v>
      </c>
      <c r="D36" s="374" t="s">
        <v>810</v>
      </c>
      <c r="E36" s="356">
        <v>1</v>
      </c>
      <c r="F36" s="357"/>
      <c r="G36" s="357">
        <v>40</v>
      </c>
      <c r="H36" s="357"/>
      <c r="I36" s="357"/>
      <c r="J36" s="13">
        <f>2200*O2</f>
        <v>1870</v>
      </c>
      <c r="K36" s="13">
        <f>Inventory_List_Table346[[#This Row],[Q]]*Inventory_List_Table346[[#This Row],[Per piece MXN$]]</f>
        <v>1870</v>
      </c>
      <c r="L36" s="10">
        <f>Inventory_List_Table346[[#This Row],[KG]]*2.20462</f>
        <v>0</v>
      </c>
      <c r="M36" s="11">
        <f>Inventory_List_Table346[[#This Row],[H CM]]/2.54</f>
        <v>15.748031496062993</v>
      </c>
      <c r="N36" s="11">
        <f>Inventory_List_Table346[[#This Row],[W CM]]/2.54</f>
        <v>0</v>
      </c>
      <c r="O36" s="11">
        <f>Inventory_List_Table346[[#This Row],[D CM ]]/2.54</f>
        <v>0</v>
      </c>
      <c r="P36" s="12">
        <f>Inventory_List_Table346[[#This Row],[Per piece MXN$]]/$U$2</f>
        <v>103.88888888888889</v>
      </c>
      <c r="Q36" s="12">
        <f t="shared" si="4"/>
        <v>104</v>
      </c>
      <c r="R36" s="12">
        <f>Inventory_List_Table346[[#This Row],[AQ ROUND]]*1.4</f>
        <v>145.6</v>
      </c>
      <c r="S36" s="12">
        <f t="shared" si="5"/>
        <v>146</v>
      </c>
      <c r="T36" s="12">
        <f>Inventory_List_Table346[[#This Row],[LND ROUND]]*8</f>
        <v>1168</v>
      </c>
      <c r="U36" s="12">
        <f>Inventory_List_Table346[[#This Row],[AQ]]*Inventory_List_Table346[[#This Row],[Q]]</f>
        <v>103.88888888888889</v>
      </c>
      <c r="V36" s="358" t="s">
        <v>811</v>
      </c>
      <c r="W36" s="358" t="s">
        <v>616</v>
      </c>
    </row>
    <row r="37" spans="1:23" ht="25.15" customHeight="1" x14ac:dyDescent="0.25">
      <c r="A37" s="353" t="s">
        <v>191</v>
      </c>
      <c r="B37" s="354">
        <v>46026</v>
      </c>
      <c r="C37" s="355" t="s">
        <v>367</v>
      </c>
      <c r="D37" s="374" t="s">
        <v>812</v>
      </c>
      <c r="E37" s="356">
        <v>1</v>
      </c>
      <c r="F37" s="357"/>
      <c r="G37" s="357">
        <v>40</v>
      </c>
      <c r="H37" s="357"/>
      <c r="I37" s="357"/>
      <c r="J37" s="13">
        <f>2200*O2</f>
        <v>1870</v>
      </c>
      <c r="K37" s="13">
        <f>Inventory_List_Table346[[#This Row],[Q]]*Inventory_List_Table346[[#This Row],[Per piece MXN$]]</f>
        <v>1870</v>
      </c>
      <c r="L37" s="10">
        <f>Inventory_List_Table346[[#This Row],[KG]]*2.20462</f>
        <v>0</v>
      </c>
      <c r="M37" s="11">
        <f>Inventory_List_Table346[[#This Row],[H CM]]/2.54</f>
        <v>15.748031496062993</v>
      </c>
      <c r="N37" s="11">
        <f>Inventory_List_Table346[[#This Row],[W CM]]/2.54</f>
        <v>0</v>
      </c>
      <c r="O37" s="11">
        <f>Inventory_List_Table346[[#This Row],[D CM ]]/2.54</f>
        <v>0</v>
      </c>
      <c r="P37" s="12">
        <f>Inventory_List_Table346[[#This Row],[Per piece MXN$]]/$U$2</f>
        <v>103.88888888888889</v>
      </c>
      <c r="Q37" s="12">
        <f t="shared" si="4"/>
        <v>104</v>
      </c>
      <c r="R37" s="12">
        <f>Inventory_List_Table346[[#This Row],[AQ ROUND]]*1.4</f>
        <v>145.6</v>
      </c>
      <c r="S37" s="12">
        <f t="shared" si="5"/>
        <v>146</v>
      </c>
      <c r="T37" s="12">
        <f>Inventory_List_Table346[[#This Row],[LND ROUND]]*8</f>
        <v>1168</v>
      </c>
      <c r="U37" s="12">
        <f>Inventory_List_Table346[[#This Row],[AQ]]*Inventory_List_Table346[[#This Row],[Q]]</f>
        <v>103.88888888888889</v>
      </c>
      <c r="V37" s="358" t="s">
        <v>811</v>
      </c>
      <c r="W37" s="358" t="s">
        <v>616</v>
      </c>
    </row>
    <row r="38" spans="1:23" ht="25.15" customHeight="1" x14ac:dyDescent="0.25">
      <c r="A38" s="353" t="s">
        <v>192</v>
      </c>
      <c r="B38" s="354">
        <v>46026</v>
      </c>
      <c r="C38" s="355" t="s">
        <v>368</v>
      </c>
      <c r="D38" s="374" t="s">
        <v>813</v>
      </c>
      <c r="E38" s="356">
        <v>1</v>
      </c>
      <c r="F38" s="357"/>
      <c r="G38" s="357">
        <v>30</v>
      </c>
      <c r="H38" s="357"/>
      <c r="I38" s="357"/>
      <c r="J38" s="13">
        <f>1450*O2</f>
        <v>1232.5</v>
      </c>
      <c r="K38" s="13">
        <f>Inventory_List_Table346[[#This Row],[Q]]*Inventory_List_Table346[[#This Row],[Per piece MXN$]]</f>
        <v>1232.5</v>
      </c>
      <c r="L38" s="10">
        <f>Inventory_List_Table346[[#This Row],[KG]]*2.20462</f>
        <v>0</v>
      </c>
      <c r="M38" s="11">
        <f>Inventory_List_Table346[[#This Row],[H CM]]/2.54</f>
        <v>11.811023622047244</v>
      </c>
      <c r="N38" s="11">
        <f>Inventory_List_Table346[[#This Row],[W CM]]/2.54</f>
        <v>0</v>
      </c>
      <c r="O38" s="11">
        <f>Inventory_List_Table346[[#This Row],[D CM ]]/2.54</f>
        <v>0</v>
      </c>
      <c r="P38" s="12">
        <f>Inventory_List_Table346[[#This Row],[Per piece MXN$]]/$U$2</f>
        <v>68.472222222222229</v>
      </c>
      <c r="Q38" s="12">
        <f t="shared" si="4"/>
        <v>69</v>
      </c>
      <c r="R38" s="12">
        <f>Inventory_List_Table346[[#This Row],[AQ ROUND]]*1.4</f>
        <v>96.6</v>
      </c>
      <c r="S38" s="12">
        <f t="shared" si="5"/>
        <v>97</v>
      </c>
      <c r="T38" s="12">
        <f>Inventory_List_Table346[[#This Row],[LND ROUND]]*8</f>
        <v>776</v>
      </c>
      <c r="U38" s="12">
        <f>Inventory_List_Table346[[#This Row],[AQ]]*Inventory_List_Table346[[#This Row],[Q]]</f>
        <v>68.472222222222229</v>
      </c>
      <c r="V38" s="358" t="s">
        <v>815</v>
      </c>
      <c r="W38" s="358" t="s">
        <v>814</v>
      </c>
    </row>
    <row r="39" spans="1:23" ht="25.15" customHeight="1" x14ac:dyDescent="0.25">
      <c r="A39" s="353" t="s">
        <v>193</v>
      </c>
      <c r="B39" s="354">
        <v>46026</v>
      </c>
      <c r="C39" s="355" t="s">
        <v>370</v>
      </c>
      <c r="D39" s="374" t="s">
        <v>816</v>
      </c>
      <c r="E39" s="356">
        <v>1</v>
      </c>
      <c r="F39" s="357"/>
      <c r="G39" s="357">
        <v>80</v>
      </c>
      <c r="H39" s="357"/>
      <c r="I39" s="357"/>
      <c r="J39" s="13">
        <f>9900*O2</f>
        <v>8415</v>
      </c>
      <c r="K39" s="13">
        <f>Inventory_List_Table346[[#This Row],[Q]]*Inventory_List_Table346[[#This Row],[Per piece MXN$]]</f>
        <v>8415</v>
      </c>
      <c r="L39" s="10">
        <f>Inventory_List_Table346[[#This Row],[KG]]*2.20462</f>
        <v>0</v>
      </c>
      <c r="M39" s="11">
        <f>Inventory_List_Table346[[#This Row],[H CM]]/2.54</f>
        <v>31.496062992125985</v>
      </c>
      <c r="N39" s="11">
        <f>Inventory_List_Table346[[#This Row],[W CM]]/2.54</f>
        <v>0</v>
      </c>
      <c r="O39" s="11">
        <f>Inventory_List_Table346[[#This Row],[D CM ]]/2.54</f>
        <v>0</v>
      </c>
      <c r="P39" s="12">
        <f>Inventory_List_Table346[[#This Row],[Per piece MXN$]]/$U$2</f>
        <v>467.5</v>
      </c>
      <c r="Q39" s="12">
        <f t="shared" si="4"/>
        <v>468</v>
      </c>
      <c r="R39" s="12">
        <f>Inventory_List_Table346[[#This Row],[AQ ROUND]]*1.4</f>
        <v>655.19999999999993</v>
      </c>
      <c r="S39" s="12">
        <f t="shared" si="5"/>
        <v>655</v>
      </c>
      <c r="T39" s="12">
        <f>Inventory_List_Table346[[#This Row],[LND ROUND]]*8</f>
        <v>5240</v>
      </c>
      <c r="U39" s="12">
        <f>Inventory_List_Table346[[#This Row],[AQ]]*Inventory_List_Table346[[#This Row],[Q]]</f>
        <v>467.5</v>
      </c>
      <c r="V39" s="358" t="s">
        <v>818</v>
      </c>
      <c r="W39" s="358" t="s">
        <v>817</v>
      </c>
    </row>
    <row r="40" spans="1:23" ht="25.15" customHeight="1" x14ac:dyDescent="0.25">
      <c r="A40" s="353" t="s">
        <v>194</v>
      </c>
      <c r="B40" s="354">
        <v>46026</v>
      </c>
      <c r="C40" s="355" t="s">
        <v>372</v>
      </c>
      <c r="D40" s="374" t="s">
        <v>819</v>
      </c>
      <c r="E40" s="356">
        <v>1</v>
      </c>
      <c r="F40" s="357"/>
      <c r="G40" s="357">
        <v>170</v>
      </c>
      <c r="H40" s="357">
        <v>60</v>
      </c>
      <c r="I40" s="357">
        <v>10</v>
      </c>
      <c r="J40" s="13">
        <f>19900*O2</f>
        <v>16915</v>
      </c>
      <c r="K40" s="13">
        <f>Inventory_List_Table346[[#This Row],[Q]]*Inventory_List_Table346[[#This Row],[Per piece MXN$]]</f>
        <v>16915</v>
      </c>
      <c r="L40" s="10">
        <f>Inventory_List_Table346[[#This Row],[KG]]*2.20462</f>
        <v>0</v>
      </c>
      <c r="M40" s="11">
        <f>Inventory_List_Table346[[#This Row],[H CM]]/2.54</f>
        <v>66.929133858267718</v>
      </c>
      <c r="N40" s="11">
        <f>Inventory_List_Table346[[#This Row],[W CM]]/2.54</f>
        <v>23.622047244094489</v>
      </c>
      <c r="O40" s="11">
        <f>Inventory_List_Table346[[#This Row],[D CM ]]/2.54</f>
        <v>3.9370078740157481</v>
      </c>
      <c r="P40" s="12">
        <f>Inventory_List_Table346[[#This Row],[Per piece MXN$]]/$U$2</f>
        <v>939.72222222222217</v>
      </c>
      <c r="Q40" s="12">
        <f t="shared" si="4"/>
        <v>940</v>
      </c>
      <c r="R40" s="12">
        <f>Inventory_List_Table346[[#This Row],[AQ ROUND]]*1.4</f>
        <v>1316</v>
      </c>
      <c r="S40" s="12">
        <f t="shared" si="5"/>
        <v>1316</v>
      </c>
      <c r="T40" s="12">
        <f>Inventory_List_Table346[[#This Row],[LND ROUND]]*8</f>
        <v>10528</v>
      </c>
      <c r="U40" s="12">
        <f>Inventory_List_Table346[[#This Row],[AQ]]*Inventory_List_Table346[[#This Row],[Q]]</f>
        <v>939.72222222222217</v>
      </c>
      <c r="V40" s="358" t="s">
        <v>821</v>
      </c>
      <c r="W40" s="358" t="s">
        <v>820</v>
      </c>
    </row>
    <row r="41" spans="1:23" ht="25.15" customHeight="1" x14ac:dyDescent="0.25">
      <c r="A41" s="353" t="s">
        <v>195</v>
      </c>
      <c r="B41" s="354">
        <v>46026</v>
      </c>
      <c r="C41" s="355" t="s">
        <v>354</v>
      </c>
      <c r="D41" s="374" t="s">
        <v>822</v>
      </c>
      <c r="E41" s="356">
        <v>1</v>
      </c>
      <c r="F41" s="357"/>
      <c r="G41" s="357">
        <v>150</v>
      </c>
      <c r="H41" s="357">
        <v>50</v>
      </c>
      <c r="I41" s="357">
        <v>10</v>
      </c>
      <c r="J41" s="13">
        <f>39800*O2</f>
        <v>33830</v>
      </c>
      <c r="K41" s="13">
        <f>Inventory_List_Table346[[#This Row],[Q]]*Inventory_List_Table346[[#This Row],[Per piece MXN$]]</f>
        <v>33830</v>
      </c>
      <c r="L41" s="10">
        <f>Inventory_List_Table346[[#This Row],[KG]]*2.20462</f>
        <v>0</v>
      </c>
      <c r="M41" s="11">
        <f>Inventory_List_Table346[[#This Row],[H CM]]/2.54</f>
        <v>59.055118110236222</v>
      </c>
      <c r="N41" s="11">
        <f>Inventory_List_Table346[[#This Row],[W CM]]/2.54</f>
        <v>19.685039370078741</v>
      </c>
      <c r="O41" s="11">
        <f>Inventory_List_Table346[[#This Row],[D CM ]]/2.54</f>
        <v>3.9370078740157481</v>
      </c>
      <c r="P41" s="12">
        <f>Inventory_List_Table346[[#This Row],[Per piece MXN$]]/$U$2</f>
        <v>1879.4444444444443</v>
      </c>
      <c r="Q41" s="12">
        <f t="shared" si="4"/>
        <v>1880</v>
      </c>
      <c r="R41" s="12">
        <f>Inventory_List_Table346[[#This Row],[AQ ROUND]]*1.4</f>
        <v>2632</v>
      </c>
      <c r="S41" s="12">
        <f t="shared" si="5"/>
        <v>2632</v>
      </c>
      <c r="T41" s="12">
        <f>Inventory_List_Table346[[#This Row],[LND ROUND]]*8</f>
        <v>21056</v>
      </c>
      <c r="U41" s="12">
        <f>Inventory_List_Table346[[#This Row],[AQ]]*Inventory_List_Table346[[#This Row],[Q]]</f>
        <v>1879.4444444444443</v>
      </c>
      <c r="V41" s="358" t="s">
        <v>824</v>
      </c>
      <c r="W41" s="358" t="s">
        <v>823</v>
      </c>
    </row>
  </sheetData>
  <phoneticPr fontId="3" type="noConversion"/>
  <dataValidations count="12">
    <dataValidation allowBlank="1" showInputMessage="1" showErrorMessage="1" prompt="Enter company name in this cell" sqref="A2" xr:uid="{72F18C27-1A6A-410F-B579-F07B0129F831}"/>
    <dataValidation allowBlank="1" showInputMessage="1" showErrorMessage="1" prompt="Enter a description of the item in this column" sqref="E3" xr:uid="{9D704908-D7B8-452A-B118-DA534053C692}"/>
    <dataValidation allowBlank="1" showInputMessage="1" showErrorMessage="1" prompt="Enter the unit price of each item in this column" sqref="F3" xr:uid="{2669BDC1-5A92-43A3-8BA7-D0CEDBFDA6B1}"/>
    <dataValidation allowBlank="1" showInputMessage="1" showErrorMessage="1" prompt="Enter the quantity in stock for each item in this column" sqref="G3" xr:uid="{E0C2D337-072E-4E98-9AFC-85AE1A49DEA7}"/>
    <dataValidation allowBlank="1" showInputMessage="1" showErrorMessage="1" prompt="This is an automated column._x000a__x000a_The inventory value for each item is automatically calculated in this column." sqref="H3" xr:uid="{911A0005-CA35-4D1A-8AF7-576C92C4671D}"/>
    <dataValidation allowBlank="1" showInputMessage="1" showErrorMessage="1" prompt="Enter the reorder level for each item in this column" sqref="I3" xr:uid="{B9631727-CD44-4738-842A-CC2FB9BC3761}"/>
    <dataValidation allowBlank="1" showInputMessage="1" showErrorMessage="1" prompt="Enter the number of days it takes to reorder each item in this column" sqref="J3:L3" xr:uid="{BD77FED0-54CB-422A-9D90-2916FADCBB22}"/>
    <dataValidation allowBlank="1" showInputMessage="1" showErrorMessage="1" prompt="Enter the quantity in reorder for each item in this column" sqref="M3" xr:uid="{8EC6EC86-F961-4AC2-A694-3937C614831F}"/>
    <dataValidation allowBlank="1" showInputMessage="1" showErrorMessage="1" prompt="Enter yes if the item has been discontinued. When a yes is entered, the corresponding row is highlighted a light grey and the font style changed to strikethrough" sqref="N3" xr:uid="{7950BA69-150B-4C55-9D1B-956AFD3EC945}"/>
    <dataValidation allowBlank="1" showInputMessage="1" showErrorMessage="1" prompt="Enter the name of the item in this column" sqref="D3" xr:uid="{9DE3E174-A9EE-4BEA-B033-C1E13D37953C}"/>
    <dataValidation allowBlank="1" showInputMessage="1" showErrorMessage="1" prompt="Enter the item inventory ID in this column" sqref="C3" xr:uid="{8316F26C-6254-48CB-9DCB-32FD0F0638FB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5188E092-AEF5-4A7A-920F-E060C4BA95AC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91F7-7E2A-4C53-80B1-D035F1711C13}">
  <sheetPr codeName="Sheet4">
    <tabColor rgb="FF00B050"/>
    <pageSetUpPr fitToPage="1"/>
  </sheetPr>
  <dimension ref="A1:W47"/>
  <sheetViews>
    <sheetView showGridLines="0" zoomScale="72" zoomScaleNormal="57" workbookViewId="0">
      <selection activeCell="H25" sqref="H25"/>
    </sheetView>
  </sheetViews>
  <sheetFormatPr defaultColWidth="8.625" defaultRowHeight="24" customHeight="1" x14ac:dyDescent="0.25"/>
  <cols>
    <col min="1" max="1" width="4.125" style="443" customWidth="1"/>
    <col min="2" max="2" width="15.5" style="444" customWidth="1"/>
    <col min="3" max="3" width="32.125" style="445" customWidth="1"/>
    <col min="4" max="4" width="28.625" style="445" bestFit="1" customWidth="1"/>
    <col min="5" max="5" width="6.375" style="445" customWidth="1"/>
    <col min="6" max="6" width="11.75" style="446" bestFit="1" customWidth="1"/>
    <col min="7" max="7" width="8.625" style="446" customWidth="1"/>
    <col min="8" max="8" width="9.75" style="446" bestFit="1" customWidth="1"/>
    <col min="9" max="9" width="8.25" style="446" bestFit="1" customWidth="1"/>
    <col min="10" max="10" width="26.5" style="446" bestFit="1" customWidth="1"/>
    <col min="11" max="11" width="30.25" style="446" customWidth="1"/>
    <col min="12" max="12" width="14.125" style="447" bestFit="1" customWidth="1"/>
    <col min="13" max="13" width="11.5" style="447" customWidth="1"/>
    <col min="14" max="14" width="11.5" style="919" customWidth="1"/>
    <col min="15" max="15" width="11.375" style="920" customWidth="1"/>
    <col min="16" max="17" width="15.75" style="411" customWidth="1"/>
    <col min="18" max="18" width="18.75" style="411" customWidth="1"/>
    <col min="19" max="19" width="14.75" style="411" bestFit="1" customWidth="1"/>
    <col min="20" max="20" width="19.125" style="411" bestFit="1" customWidth="1"/>
    <col min="21" max="21" width="17.625" style="411" bestFit="1" customWidth="1"/>
    <col min="22" max="23" width="15.625" style="411" bestFit="1" customWidth="1"/>
    <col min="24" max="16384" width="8.625" style="411"/>
  </cols>
  <sheetData>
    <row r="1" spans="1:23" ht="36.75" x14ac:dyDescent="0.6">
      <c r="A1" s="397" t="s">
        <v>114</v>
      </c>
      <c r="B1" s="398"/>
      <c r="C1" s="398"/>
      <c r="D1" s="399"/>
      <c r="E1" s="400"/>
      <c r="F1" s="398"/>
      <c r="G1" s="401"/>
      <c r="H1" s="401"/>
      <c r="I1" s="402"/>
      <c r="J1" s="403" t="s">
        <v>132</v>
      </c>
      <c r="K1" s="404"/>
      <c r="L1" s="405"/>
      <c r="M1" s="406"/>
      <c r="N1" s="917"/>
      <c r="O1" s="918"/>
      <c r="P1" s="401"/>
      <c r="Q1" s="1067"/>
      <c r="R1" s="407">
        <f>SUM(Inventory_List_Table345[[#All],[TOTAL PESOS]])</f>
        <v>348472.79999999993</v>
      </c>
      <c r="S1" s="408"/>
      <c r="T1" s="409" t="s">
        <v>133</v>
      </c>
      <c r="U1" s="410">
        <v>825</v>
      </c>
      <c r="V1" s="401"/>
      <c r="W1" s="401"/>
    </row>
    <row r="2" spans="1:23" ht="31.5" x14ac:dyDescent="0.45">
      <c r="A2" s="412" t="s">
        <v>115</v>
      </c>
      <c r="B2" s="413"/>
      <c r="C2" s="413"/>
      <c r="D2" s="414"/>
      <c r="E2" s="415"/>
      <c r="F2" s="416"/>
      <c r="G2" s="417"/>
      <c r="H2" s="401"/>
      <c r="I2" s="418"/>
      <c r="J2" s="419"/>
      <c r="K2" s="419">
        <f>SUM(Inventory_List_Table345[TOTAL PESOS])</f>
        <v>348472.79999999993</v>
      </c>
      <c r="L2" s="420"/>
      <c r="M2" s="917"/>
      <c r="N2" s="917"/>
      <c r="O2" s="918"/>
      <c r="P2" s="401"/>
      <c r="Q2" s="1068"/>
      <c r="R2" s="421"/>
      <c r="S2" s="408"/>
      <c r="T2" s="409" t="s">
        <v>134</v>
      </c>
      <c r="U2" s="422">
        <v>18</v>
      </c>
      <c r="V2" s="399"/>
      <c r="W2" s="408"/>
    </row>
    <row r="3" spans="1:23" s="432" customFormat="1" ht="36" customHeight="1" x14ac:dyDescent="0.25">
      <c r="A3" s="423" t="s">
        <v>135</v>
      </c>
      <c r="B3" s="424" t="s">
        <v>122</v>
      </c>
      <c r="C3" s="424" t="s">
        <v>136</v>
      </c>
      <c r="D3" s="425" t="s">
        <v>137</v>
      </c>
      <c r="E3" s="426" t="s">
        <v>123</v>
      </c>
      <c r="F3" s="427" t="s">
        <v>124</v>
      </c>
      <c r="G3" s="427" t="s">
        <v>130</v>
      </c>
      <c r="H3" s="427" t="s">
        <v>125</v>
      </c>
      <c r="I3" s="427" t="s">
        <v>126</v>
      </c>
      <c r="J3" s="427" t="s">
        <v>138</v>
      </c>
      <c r="K3" s="424" t="s">
        <v>139</v>
      </c>
      <c r="L3" s="428" t="s">
        <v>127</v>
      </c>
      <c r="M3" s="428" t="s">
        <v>140</v>
      </c>
      <c r="N3" s="428" t="s">
        <v>141</v>
      </c>
      <c r="O3" s="428" t="s">
        <v>142</v>
      </c>
      <c r="P3" s="429" t="s">
        <v>143</v>
      </c>
      <c r="Q3" s="424" t="s">
        <v>144</v>
      </c>
      <c r="R3" s="429" t="s">
        <v>145</v>
      </c>
      <c r="S3" s="429" t="s">
        <v>146</v>
      </c>
      <c r="T3" s="429" t="s">
        <v>2</v>
      </c>
      <c r="U3" s="430" t="s">
        <v>128</v>
      </c>
      <c r="V3" s="430" t="s">
        <v>131</v>
      </c>
      <c r="W3" s="431" t="s">
        <v>1</v>
      </c>
    </row>
    <row r="4" spans="1:23" ht="30" customHeight="1" x14ac:dyDescent="0.25">
      <c r="A4" s="433" t="s">
        <v>147</v>
      </c>
      <c r="B4" s="434" t="s">
        <v>318</v>
      </c>
      <c r="C4" s="943" t="s">
        <v>172</v>
      </c>
      <c r="D4" s="961" t="s">
        <v>1206</v>
      </c>
      <c r="E4" s="435">
        <v>1</v>
      </c>
      <c r="F4" s="436">
        <v>476</v>
      </c>
      <c r="G4" s="436">
        <v>147</v>
      </c>
      <c r="H4" s="436">
        <v>34</v>
      </c>
      <c r="I4" s="436">
        <v>40</v>
      </c>
      <c r="J4" s="437">
        <f>Inventory_List_Table345[[#This Row],[KG]]*13.14</f>
        <v>6254.64</v>
      </c>
      <c r="K4" s="437">
        <f>Inventory_List_Table345[[#This Row],[Q]]*Inventory_List_Table345[[#This Row],[Per piece MXN$]]</f>
        <v>6254.64</v>
      </c>
      <c r="L4" s="4">
        <f>Inventory_List_Table345[[#This Row],[KG]]*2.20462</f>
        <v>1049.3991199999998</v>
      </c>
      <c r="M4" s="5">
        <f>Inventory_List_Table345[[#This Row],[H CM]]/2.54</f>
        <v>57.874015748031496</v>
      </c>
      <c r="N4" s="5">
        <f>Inventory_List_Table345[[#This Row],[W CM]]/2.54</f>
        <v>13.385826771653543</v>
      </c>
      <c r="O4" s="5">
        <f>Inventory_List_Table345[[#This Row],[D CM ]]/2.54</f>
        <v>15.748031496062993</v>
      </c>
      <c r="P4" s="6">
        <f>Inventory_List_Table345[[#This Row],[Per piece MXN$]]/$U$2</f>
        <v>347.48</v>
      </c>
      <c r="Q4" s="6">
        <f t="shared" ref="Q4:Q27" si="0">IF(MOD(P4,1)&gt;0.4,ROUNDUP(P4,0),ROUNDDOWN(P4,0))</f>
        <v>348</v>
      </c>
      <c r="R4" s="6">
        <f>Inventory_List_Table345[[#This Row],[AQ ROUND]]*1.4</f>
        <v>487.2</v>
      </c>
      <c r="S4" s="6">
        <f t="shared" ref="S4:S27" si="1">IF(MOD(R4,1)&gt;0.4,ROUNDUP(R4,0),ROUNDDOWN(R4,0))</f>
        <v>487</v>
      </c>
      <c r="T4" s="6">
        <f>Inventory_List_Table345[[#This Row],[LND ROUND]]*8</f>
        <v>3896</v>
      </c>
      <c r="U4" s="6">
        <f>Inventory_List_Table345[[#This Row],[AQ]]*Inventory_List_Table345[[#This Row],[Q]]</f>
        <v>347.48</v>
      </c>
      <c r="V4" s="438" t="s">
        <v>1207</v>
      </c>
      <c r="W4" s="438" t="s">
        <v>1208</v>
      </c>
    </row>
    <row r="5" spans="1:23" ht="30" customHeight="1" x14ac:dyDescent="0.25">
      <c r="A5" s="433" t="s">
        <v>148</v>
      </c>
      <c r="B5" s="434" t="s">
        <v>314</v>
      </c>
      <c r="C5" s="943" t="s">
        <v>172</v>
      </c>
      <c r="D5" s="961" t="s">
        <v>1209</v>
      </c>
      <c r="E5" s="435">
        <v>1</v>
      </c>
      <c r="F5" s="436">
        <v>1017</v>
      </c>
      <c r="G5" s="436">
        <v>167</v>
      </c>
      <c r="H5" s="436">
        <v>65</v>
      </c>
      <c r="I5" s="436">
        <v>50</v>
      </c>
      <c r="J5" s="437">
        <f>Inventory_List_Table345[[#This Row],[KG]]*13.14</f>
        <v>13363.380000000001</v>
      </c>
      <c r="K5" s="437">
        <f>Inventory_List_Table345[[#This Row],[Q]]*Inventory_List_Table345[[#This Row],[Per piece MXN$]]</f>
        <v>13363.380000000001</v>
      </c>
      <c r="L5" s="4">
        <f>Inventory_List_Table345[[#This Row],[KG]]*2.20462</f>
        <v>2242.09854</v>
      </c>
      <c r="M5" s="5">
        <f>Inventory_List_Table345[[#This Row],[H CM]]/2.54</f>
        <v>65.748031496062993</v>
      </c>
      <c r="N5" s="5">
        <f>Inventory_List_Table345[[#This Row],[W CM]]/2.54</f>
        <v>25.590551181102363</v>
      </c>
      <c r="O5" s="5">
        <f>Inventory_List_Table345[[#This Row],[D CM ]]/2.54</f>
        <v>19.685039370078741</v>
      </c>
      <c r="P5" s="6">
        <f>Inventory_List_Table345[[#This Row],[Per piece MXN$]]/$U$2</f>
        <v>742.41000000000008</v>
      </c>
      <c r="Q5" s="6">
        <f t="shared" si="0"/>
        <v>743</v>
      </c>
      <c r="R5" s="6">
        <f>Inventory_List_Table345[[#This Row],[AQ ROUND]]*1.4</f>
        <v>1040.2</v>
      </c>
      <c r="S5" s="6">
        <f t="shared" si="1"/>
        <v>1040</v>
      </c>
      <c r="T5" s="6">
        <f>Inventory_List_Table345[[#This Row],[LND ROUND]]*8</f>
        <v>8320</v>
      </c>
      <c r="U5" s="6">
        <f>Inventory_List_Table345[[#This Row],[AQ]]*Inventory_List_Table345[[#This Row],[Q]]</f>
        <v>742.41000000000008</v>
      </c>
      <c r="V5" s="438" t="s">
        <v>1210</v>
      </c>
      <c r="W5" s="438" t="s">
        <v>1211</v>
      </c>
    </row>
    <row r="6" spans="1:23" ht="30" customHeight="1" x14ac:dyDescent="0.25">
      <c r="A6" s="433" t="s">
        <v>149</v>
      </c>
      <c r="B6" s="434" t="s">
        <v>314</v>
      </c>
      <c r="C6" s="943" t="s">
        <v>172</v>
      </c>
      <c r="D6" s="961" t="s">
        <v>1212</v>
      </c>
      <c r="E6" s="435">
        <v>1</v>
      </c>
      <c r="F6" s="436">
        <v>1047</v>
      </c>
      <c r="G6" s="436">
        <v>155</v>
      </c>
      <c r="H6" s="436">
        <v>80</v>
      </c>
      <c r="I6" s="436">
        <v>56</v>
      </c>
      <c r="J6" s="437">
        <f>Inventory_List_Table345[[#This Row],[KG]]*13.14</f>
        <v>13757.58</v>
      </c>
      <c r="K6" s="437">
        <f>Inventory_List_Table345[[#This Row],[Q]]*Inventory_List_Table345[[#This Row],[Per piece MXN$]]</f>
        <v>13757.58</v>
      </c>
      <c r="L6" s="4">
        <f>Inventory_List_Table345[[#This Row],[KG]]*2.20462</f>
        <v>2308.2371399999997</v>
      </c>
      <c r="M6" s="5">
        <f>Inventory_List_Table345[[#This Row],[H CM]]/2.54</f>
        <v>61.023622047244096</v>
      </c>
      <c r="N6" s="5">
        <f>Inventory_List_Table345[[#This Row],[W CM]]/2.54</f>
        <v>31.496062992125985</v>
      </c>
      <c r="O6" s="5">
        <f>Inventory_List_Table345[[#This Row],[D CM ]]/2.54</f>
        <v>22.047244094488189</v>
      </c>
      <c r="P6" s="6">
        <f>Inventory_List_Table345[[#This Row],[Per piece MXN$]]/$U$2</f>
        <v>764.31</v>
      </c>
      <c r="Q6" s="6">
        <f t="shared" si="0"/>
        <v>764</v>
      </c>
      <c r="R6" s="6">
        <f>Inventory_List_Table345[[#This Row],[AQ ROUND]]*1.4</f>
        <v>1069.5999999999999</v>
      </c>
      <c r="S6" s="6">
        <f t="shared" si="1"/>
        <v>1070</v>
      </c>
      <c r="T6" s="6">
        <f>Inventory_List_Table345[[#This Row],[LND ROUND]]*8</f>
        <v>8560</v>
      </c>
      <c r="U6" s="6">
        <f>Inventory_List_Table345[[#This Row],[AQ]]*Inventory_List_Table345[[#This Row],[Q]]</f>
        <v>764.31</v>
      </c>
      <c r="V6" s="438" t="s">
        <v>1213</v>
      </c>
      <c r="W6" s="438" t="s">
        <v>1214</v>
      </c>
    </row>
    <row r="7" spans="1:23" ht="30" customHeight="1" x14ac:dyDescent="0.25">
      <c r="A7" s="433" t="s">
        <v>150</v>
      </c>
      <c r="B7" s="434" t="s">
        <v>318</v>
      </c>
      <c r="C7" s="943" t="s">
        <v>172</v>
      </c>
      <c r="D7" s="961" t="s">
        <v>1215</v>
      </c>
      <c r="E7" s="435">
        <v>1</v>
      </c>
      <c r="F7" s="436">
        <v>545</v>
      </c>
      <c r="G7" s="436">
        <v>171</v>
      </c>
      <c r="H7" s="436">
        <v>35</v>
      </c>
      <c r="I7" s="436">
        <v>38</v>
      </c>
      <c r="J7" s="437">
        <f>Inventory_List_Table345[[#This Row],[KG]]*13.14</f>
        <v>7161.3</v>
      </c>
      <c r="K7" s="437">
        <f>Inventory_List_Table345[[#This Row],[Q]]*Inventory_List_Table345[[#This Row],[Per piece MXN$]]</f>
        <v>7161.3</v>
      </c>
      <c r="L7" s="4">
        <f>Inventory_List_Table345[[#This Row],[KG]]*2.20462</f>
        <v>1201.5178999999998</v>
      </c>
      <c r="M7" s="5">
        <f>Inventory_List_Table345[[#This Row],[H CM]]/2.54</f>
        <v>67.322834645669289</v>
      </c>
      <c r="N7" s="5">
        <f>Inventory_List_Table345[[#This Row],[W CM]]/2.54</f>
        <v>13.779527559055119</v>
      </c>
      <c r="O7" s="5">
        <f>Inventory_List_Table345[[#This Row],[D CM ]]/2.54</f>
        <v>14.960629921259843</v>
      </c>
      <c r="P7" s="6">
        <f>Inventory_List_Table345[[#This Row],[Per piece MXN$]]/$U$2</f>
        <v>397.85</v>
      </c>
      <c r="Q7" s="6">
        <f t="shared" si="0"/>
        <v>398</v>
      </c>
      <c r="R7" s="6">
        <f>Inventory_List_Table345[[#This Row],[AQ ROUND]]*1.4</f>
        <v>557.19999999999993</v>
      </c>
      <c r="S7" s="6">
        <f t="shared" si="1"/>
        <v>557</v>
      </c>
      <c r="T7" s="6">
        <f>Inventory_List_Table345[[#This Row],[LND ROUND]]*8</f>
        <v>4456</v>
      </c>
      <c r="U7" s="6">
        <f>Inventory_List_Table345[[#This Row],[AQ]]*Inventory_List_Table345[[#This Row],[Q]]</f>
        <v>397.85</v>
      </c>
      <c r="V7" s="438" t="s">
        <v>1216</v>
      </c>
      <c r="W7" s="438" t="s">
        <v>1217</v>
      </c>
    </row>
    <row r="8" spans="1:23" ht="30" customHeight="1" x14ac:dyDescent="0.25">
      <c r="A8" s="433" t="s">
        <v>151</v>
      </c>
      <c r="B8" s="434" t="s">
        <v>315</v>
      </c>
      <c r="C8" s="943" t="s">
        <v>173</v>
      </c>
      <c r="D8" s="961" t="s">
        <v>1218</v>
      </c>
      <c r="E8" s="435">
        <v>1</v>
      </c>
      <c r="F8" s="436">
        <v>507</v>
      </c>
      <c r="G8" s="436">
        <v>140</v>
      </c>
      <c r="H8" s="436">
        <v>52</v>
      </c>
      <c r="I8" s="436">
        <v>50</v>
      </c>
      <c r="J8" s="437">
        <f>Inventory_List_Table345[[#This Row],[KG]]*13.14</f>
        <v>6661.9800000000005</v>
      </c>
      <c r="K8" s="437">
        <f>Inventory_List_Table345[[#This Row],[Q]]*Inventory_List_Table345[[#This Row],[Per piece MXN$]]</f>
        <v>6661.9800000000005</v>
      </c>
      <c r="L8" s="4">
        <f>Inventory_List_Table345[[#This Row],[KG]]*2.20462</f>
        <v>1117.74234</v>
      </c>
      <c r="M8" s="5">
        <f>Inventory_List_Table345[[#This Row],[H CM]]/2.54</f>
        <v>55.118110236220474</v>
      </c>
      <c r="N8" s="5">
        <f>Inventory_List_Table345[[#This Row],[W CM]]/2.54</f>
        <v>20.472440944881889</v>
      </c>
      <c r="O8" s="5">
        <f>Inventory_List_Table345[[#This Row],[D CM ]]/2.54</f>
        <v>19.685039370078741</v>
      </c>
      <c r="P8" s="6">
        <f>Inventory_List_Table345[[#This Row],[Per piece MXN$]]/$U$2</f>
        <v>370.11</v>
      </c>
      <c r="Q8" s="6">
        <f t="shared" si="0"/>
        <v>370</v>
      </c>
      <c r="R8" s="6">
        <f>Inventory_List_Table345[[#This Row],[AQ ROUND]]*1.4</f>
        <v>518</v>
      </c>
      <c r="S8" s="6">
        <f t="shared" si="1"/>
        <v>518</v>
      </c>
      <c r="T8" s="6">
        <f>Inventory_List_Table345[[#This Row],[LND ROUND]]*8</f>
        <v>4144</v>
      </c>
      <c r="U8" s="6">
        <f>Inventory_List_Table345[[#This Row],[AQ]]*Inventory_List_Table345[[#This Row],[Q]]</f>
        <v>370.11</v>
      </c>
      <c r="V8" s="438" t="s">
        <v>1219</v>
      </c>
      <c r="W8" s="438" t="s">
        <v>1220</v>
      </c>
    </row>
    <row r="9" spans="1:23" ht="30" customHeight="1" x14ac:dyDescent="0.25">
      <c r="A9" s="433" t="s">
        <v>152</v>
      </c>
      <c r="B9" s="434" t="s">
        <v>315</v>
      </c>
      <c r="C9" s="943" t="s">
        <v>173</v>
      </c>
      <c r="D9" s="961" t="s">
        <v>1221</v>
      </c>
      <c r="E9" s="435">
        <v>1</v>
      </c>
      <c r="F9" s="436">
        <v>835</v>
      </c>
      <c r="G9" s="436">
        <v>213</v>
      </c>
      <c r="H9" s="436">
        <v>50</v>
      </c>
      <c r="I9" s="436">
        <v>31</v>
      </c>
      <c r="J9" s="437">
        <f>Inventory_List_Table345[[#This Row],[KG]]*13.14</f>
        <v>10971.9</v>
      </c>
      <c r="K9" s="437">
        <f>Inventory_List_Table345[[#This Row],[Q]]*Inventory_List_Table345[[#This Row],[Per piece MXN$]]</f>
        <v>10971.9</v>
      </c>
      <c r="L9" s="4">
        <f>Inventory_List_Table345[[#This Row],[KG]]*2.20462</f>
        <v>1840.8576999999998</v>
      </c>
      <c r="M9" s="5">
        <f>Inventory_List_Table345[[#This Row],[H CM]]/2.54</f>
        <v>83.858267716535437</v>
      </c>
      <c r="N9" s="5">
        <f>Inventory_List_Table345[[#This Row],[W CM]]/2.54</f>
        <v>19.685039370078741</v>
      </c>
      <c r="O9" s="5">
        <f>Inventory_List_Table345[[#This Row],[D CM ]]/2.54</f>
        <v>12.204724409448819</v>
      </c>
      <c r="P9" s="6">
        <f>Inventory_List_Table345[[#This Row],[Per piece MXN$]]/$U$2</f>
        <v>609.54999999999995</v>
      </c>
      <c r="Q9" s="6">
        <f t="shared" si="0"/>
        <v>610</v>
      </c>
      <c r="R9" s="6">
        <f>Inventory_List_Table345[[#This Row],[AQ ROUND]]*1.4</f>
        <v>854</v>
      </c>
      <c r="S9" s="6">
        <f t="shared" si="1"/>
        <v>854</v>
      </c>
      <c r="T9" s="6">
        <f>Inventory_List_Table345[[#This Row],[LND ROUND]]*8</f>
        <v>6832</v>
      </c>
      <c r="U9" s="6">
        <f>Inventory_List_Table345[[#This Row],[AQ]]*Inventory_List_Table345[[#This Row],[Q]]</f>
        <v>609.54999999999995</v>
      </c>
      <c r="V9" s="438" t="s">
        <v>1222</v>
      </c>
      <c r="W9" s="438" t="s">
        <v>1223</v>
      </c>
    </row>
    <row r="10" spans="1:23" ht="30" customHeight="1" x14ac:dyDescent="0.25">
      <c r="A10" s="433" t="s">
        <v>153</v>
      </c>
      <c r="B10" s="434" t="s">
        <v>314</v>
      </c>
      <c r="C10" s="943" t="s">
        <v>173</v>
      </c>
      <c r="D10" s="961" t="s">
        <v>1224</v>
      </c>
      <c r="E10" s="435">
        <v>1</v>
      </c>
      <c r="F10" s="436">
        <v>586</v>
      </c>
      <c r="G10" s="436">
        <v>175</v>
      </c>
      <c r="H10" s="436">
        <v>56</v>
      </c>
      <c r="I10" s="436">
        <v>29</v>
      </c>
      <c r="J10" s="437">
        <f>Inventory_List_Table345[[#This Row],[KG]]*13.14</f>
        <v>7700.04</v>
      </c>
      <c r="K10" s="437">
        <f>Inventory_List_Table345[[#This Row],[Q]]*Inventory_List_Table345[[#This Row],[Per piece MXN$]]</f>
        <v>7700.04</v>
      </c>
      <c r="L10" s="4">
        <f>Inventory_List_Table345[[#This Row],[KG]]*2.20462</f>
        <v>1291.9073199999998</v>
      </c>
      <c r="M10" s="5">
        <f>Inventory_List_Table345[[#This Row],[H CM]]/2.54</f>
        <v>68.897637795275585</v>
      </c>
      <c r="N10" s="5">
        <f>Inventory_List_Table345[[#This Row],[W CM]]/2.54</f>
        <v>22.047244094488189</v>
      </c>
      <c r="O10" s="5">
        <f>Inventory_List_Table345[[#This Row],[D CM ]]/2.54</f>
        <v>11.417322834645669</v>
      </c>
      <c r="P10" s="6">
        <f>Inventory_List_Table345[[#This Row],[Per piece MXN$]]/$U$2</f>
        <v>427.78</v>
      </c>
      <c r="Q10" s="6">
        <f t="shared" si="0"/>
        <v>428</v>
      </c>
      <c r="R10" s="6">
        <f>Inventory_List_Table345[[#This Row],[AQ ROUND]]*1.4</f>
        <v>599.19999999999993</v>
      </c>
      <c r="S10" s="6">
        <f t="shared" si="1"/>
        <v>599</v>
      </c>
      <c r="T10" s="6">
        <f>Inventory_List_Table345[[#This Row],[LND ROUND]]*8</f>
        <v>4792</v>
      </c>
      <c r="U10" s="6">
        <f>Inventory_List_Table345[[#This Row],[AQ]]*Inventory_List_Table345[[#This Row],[Q]]</f>
        <v>427.78</v>
      </c>
      <c r="V10" s="438" t="s">
        <v>1225</v>
      </c>
      <c r="W10" s="438" t="s">
        <v>1226</v>
      </c>
    </row>
    <row r="11" spans="1:23" ht="30" customHeight="1" x14ac:dyDescent="0.25">
      <c r="A11" s="433" t="s">
        <v>154</v>
      </c>
      <c r="B11" s="434" t="s">
        <v>316</v>
      </c>
      <c r="C11" s="943" t="s">
        <v>173</v>
      </c>
      <c r="D11" s="961" t="s">
        <v>1227</v>
      </c>
      <c r="E11" s="435">
        <v>1</v>
      </c>
      <c r="F11" s="436">
        <v>656</v>
      </c>
      <c r="G11" s="436">
        <v>190</v>
      </c>
      <c r="H11" s="436">
        <v>50</v>
      </c>
      <c r="I11" s="436">
        <v>34</v>
      </c>
      <c r="J11" s="437">
        <f>Inventory_List_Table345[[#This Row],[KG]]*13.14</f>
        <v>8619.84</v>
      </c>
      <c r="K11" s="437">
        <f>Inventory_List_Table345[[#This Row],[Q]]*Inventory_List_Table345[[#This Row],[Per piece MXN$]]</f>
        <v>8619.84</v>
      </c>
      <c r="L11" s="4">
        <f>Inventory_List_Table345[[#This Row],[KG]]*2.20462</f>
        <v>1446.2307199999998</v>
      </c>
      <c r="M11" s="5">
        <f>Inventory_List_Table345[[#This Row],[H CM]]/2.54</f>
        <v>74.803149606299215</v>
      </c>
      <c r="N11" s="5">
        <f>Inventory_List_Table345[[#This Row],[W CM]]/2.54</f>
        <v>19.685039370078741</v>
      </c>
      <c r="O11" s="5">
        <f>Inventory_List_Table345[[#This Row],[D CM ]]/2.54</f>
        <v>13.385826771653543</v>
      </c>
      <c r="P11" s="6">
        <f>Inventory_List_Table345[[#This Row],[Per piece MXN$]]/$U$2</f>
        <v>478.88</v>
      </c>
      <c r="Q11" s="6">
        <f t="shared" si="0"/>
        <v>479</v>
      </c>
      <c r="R11" s="6">
        <f>Inventory_List_Table345[[#This Row],[AQ ROUND]]*1.4</f>
        <v>670.59999999999991</v>
      </c>
      <c r="S11" s="6">
        <f t="shared" si="1"/>
        <v>671</v>
      </c>
      <c r="T11" s="6">
        <f>Inventory_List_Table345[[#This Row],[LND ROUND]]*8</f>
        <v>5368</v>
      </c>
      <c r="U11" s="6">
        <f>Inventory_List_Table345[[#This Row],[AQ]]*Inventory_List_Table345[[#This Row],[Q]]</f>
        <v>478.88</v>
      </c>
      <c r="V11" s="438" t="s">
        <v>1228</v>
      </c>
      <c r="W11" s="438" t="s">
        <v>1229</v>
      </c>
    </row>
    <row r="12" spans="1:23" ht="30" customHeight="1" x14ac:dyDescent="0.25">
      <c r="A12" s="433" t="s">
        <v>155</v>
      </c>
      <c r="B12" s="434" t="s">
        <v>317</v>
      </c>
      <c r="C12" s="943" t="s">
        <v>173</v>
      </c>
      <c r="D12" s="961" t="s">
        <v>1230</v>
      </c>
      <c r="E12" s="435">
        <v>1</v>
      </c>
      <c r="F12" s="436">
        <v>566</v>
      </c>
      <c r="G12" s="436">
        <v>175</v>
      </c>
      <c r="H12" s="436">
        <v>40</v>
      </c>
      <c r="I12" s="436">
        <v>30</v>
      </c>
      <c r="J12" s="437">
        <f>Inventory_List_Table345[[#This Row],[KG]]*13.14</f>
        <v>7437.2400000000007</v>
      </c>
      <c r="K12" s="437">
        <f>Inventory_List_Table345[[#This Row],[Q]]*Inventory_List_Table345[[#This Row],[Per piece MXN$]]</f>
        <v>7437.2400000000007</v>
      </c>
      <c r="L12" s="4">
        <f>Inventory_List_Table345[[#This Row],[KG]]*2.20462</f>
        <v>1247.8149199999998</v>
      </c>
      <c r="M12" s="5">
        <f>Inventory_List_Table345[[#This Row],[H CM]]/2.54</f>
        <v>68.897637795275585</v>
      </c>
      <c r="N12" s="5">
        <f>Inventory_List_Table345[[#This Row],[W CM]]/2.54</f>
        <v>15.748031496062993</v>
      </c>
      <c r="O12" s="5">
        <f>Inventory_List_Table345[[#This Row],[D CM ]]/2.54</f>
        <v>11.811023622047244</v>
      </c>
      <c r="P12" s="6">
        <f>Inventory_List_Table345[[#This Row],[Per piece MXN$]]/$U$2</f>
        <v>413.18000000000006</v>
      </c>
      <c r="Q12" s="6">
        <f t="shared" si="0"/>
        <v>413</v>
      </c>
      <c r="R12" s="6">
        <f>Inventory_List_Table345[[#This Row],[AQ ROUND]]*1.4</f>
        <v>578.19999999999993</v>
      </c>
      <c r="S12" s="6">
        <f t="shared" si="1"/>
        <v>578</v>
      </c>
      <c r="T12" s="6">
        <f>Inventory_List_Table345[[#This Row],[LND ROUND]]*8</f>
        <v>4624</v>
      </c>
      <c r="U12" s="6">
        <f>Inventory_List_Table345[[#This Row],[AQ]]*Inventory_List_Table345[[#This Row],[Q]]</f>
        <v>413.18000000000006</v>
      </c>
      <c r="V12" s="438" t="s">
        <v>649</v>
      </c>
      <c r="W12" s="438" t="s">
        <v>1231</v>
      </c>
    </row>
    <row r="13" spans="1:23" ht="30" customHeight="1" x14ac:dyDescent="0.25">
      <c r="A13" s="433" t="s">
        <v>156</v>
      </c>
      <c r="B13" s="434"/>
      <c r="C13" s="942" t="s">
        <v>172</v>
      </c>
      <c r="D13" s="439" t="s">
        <v>1367</v>
      </c>
      <c r="E13" s="435">
        <v>1</v>
      </c>
      <c r="F13" s="436">
        <v>249</v>
      </c>
      <c r="G13" s="436">
        <v>110</v>
      </c>
      <c r="H13" s="436">
        <v>33</v>
      </c>
      <c r="I13" s="436">
        <v>40</v>
      </c>
      <c r="J13" s="437">
        <f>Inventory_List_Table345[[#This Row],[KG]]*13.14</f>
        <v>3271.86</v>
      </c>
      <c r="K13" s="437">
        <f>Inventory_List_Table345[[#This Row],[Q]]*Inventory_List_Table345[[#This Row],[Per piece MXN$]]</f>
        <v>3271.86</v>
      </c>
      <c r="L13" s="4">
        <f>Inventory_List_Table345[[#This Row],[KG]]*2.20462</f>
        <v>548.95038</v>
      </c>
      <c r="M13" s="5">
        <f>Inventory_List_Table345[[#This Row],[H CM]]/2.54</f>
        <v>43.30708661417323</v>
      </c>
      <c r="N13" s="5">
        <f>Inventory_List_Table345[[#This Row],[W CM]]/2.54</f>
        <v>12.992125984251969</v>
      </c>
      <c r="O13" s="5">
        <f>Inventory_List_Table345[[#This Row],[D CM ]]/2.54</f>
        <v>15.748031496062993</v>
      </c>
      <c r="P13" s="6">
        <f>Inventory_List_Table345[[#This Row],[Per piece MXN$]]/$U$2</f>
        <v>181.77</v>
      </c>
      <c r="Q13" s="6">
        <f t="shared" si="0"/>
        <v>182</v>
      </c>
      <c r="R13" s="6">
        <f>Inventory_List_Table345[[#This Row],[AQ ROUND]]*1.4</f>
        <v>254.79999999999998</v>
      </c>
      <c r="S13" s="6">
        <f t="shared" si="1"/>
        <v>255</v>
      </c>
      <c r="T13" s="6">
        <f>Inventory_List_Table345[[#This Row],[LND ROUND]]*8</f>
        <v>2040</v>
      </c>
      <c r="U13" s="6">
        <f>Inventory_List_Table345[[#This Row],[AQ]]*Inventory_List_Table345[[#This Row],[Q]]</f>
        <v>181.77</v>
      </c>
      <c r="V13" s="438" t="s">
        <v>1425</v>
      </c>
      <c r="W13" s="438" t="s">
        <v>1426</v>
      </c>
    </row>
    <row r="14" spans="1:23" ht="30" customHeight="1" x14ac:dyDescent="0.25">
      <c r="A14" s="433" t="s">
        <v>157</v>
      </c>
      <c r="B14" s="434"/>
      <c r="C14" s="942" t="s">
        <v>172</v>
      </c>
      <c r="D14" s="439" t="s">
        <v>1368</v>
      </c>
      <c r="E14" s="435">
        <v>1</v>
      </c>
      <c r="F14" s="436">
        <v>249</v>
      </c>
      <c r="G14" s="436">
        <v>80</v>
      </c>
      <c r="H14" s="436">
        <v>35</v>
      </c>
      <c r="I14" s="436">
        <v>50</v>
      </c>
      <c r="J14" s="437">
        <f>Inventory_List_Table345[[#This Row],[KG]]*13.14</f>
        <v>3271.86</v>
      </c>
      <c r="K14" s="437">
        <f>Inventory_List_Table345[[#This Row],[Q]]*Inventory_List_Table345[[#This Row],[Per piece MXN$]]</f>
        <v>3271.86</v>
      </c>
      <c r="L14" s="4">
        <f>Inventory_List_Table345[[#This Row],[KG]]*2.20462</f>
        <v>548.95038</v>
      </c>
      <c r="M14" s="5">
        <f>Inventory_List_Table345[[#This Row],[H CM]]/2.54</f>
        <v>31.496062992125985</v>
      </c>
      <c r="N14" s="5">
        <f>Inventory_List_Table345[[#This Row],[W CM]]/2.54</f>
        <v>13.779527559055119</v>
      </c>
      <c r="O14" s="5">
        <f>Inventory_List_Table345[[#This Row],[D CM ]]/2.54</f>
        <v>19.685039370078741</v>
      </c>
      <c r="P14" s="6">
        <f>Inventory_List_Table345[[#This Row],[Per piece MXN$]]/$U$2</f>
        <v>181.77</v>
      </c>
      <c r="Q14" s="6">
        <f t="shared" si="0"/>
        <v>182</v>
      </c>
      <c r="R14" s="6">
        <f>Inventory_List_Table345[[#This Row],[AQ ROUND]]*1.4</f>
        <v>254.79999999999998</v>
      </c>
      <c r="S14" s="6">
        <f t="shared" si="1"/>
        <v>255</v>
      </c>
      <c r="T14" s="6">
        <f>Inventory_List_Table345[[#This Row],[LND ROUND]]*8</f>
        <v>2040</v>
      </c>
      <c r="U14" s="6">
        <f>Inventory_List_Table345[[#This Row],[AQ]]*Inventory_List_Table345[[#This Row],[Q]]</f>
        <v>181.77</v>
      </c>
      <c r="V14" s="438" t="s">
        <v>1425</v>
      </c>
      <c r="W14" s="438" t="s">
        <v>1426</v>
      </c>
    </row>
    <row r="15" spans="1:23" ht="30" customHeight="1" x14ac:dyDescent="0.25">
      <c r="A15" s="433" t="s">
        <v>158</v>
      </c>
      <c r="B15" s="434"/>
      <c r="C15" s="942" t="s">
        <v>172</v>
      </c>
      <c r="D15" s="439" t="s">
        <v>1369</v>
      </c>
      <c r="E15" s="435">
        <v>1</v>
      </c>
      <c r="F15" s="436">
        <v>290</v>
      </c>
      <c r="G15" s="436">
        <v>80</v>
      </c>
      <c r="H15" s="436">
        <v>60</v>
      </c>
      <c r="I15" s="436">
        <v>30</v>
      </c>
      <c r="J15" s="437">
        <f>Inventory_List_Table345[[#This Row],[KG]]*13.14</f>
        <v>3810.6000000000004</v>
      </c>
      <c r="K15" s="437">
        <f>Inventory_List_Table345[[#This Row],[Q]]*Inventory_List_Table345[[#This Row],[Per piece MXN$]]</f>
        <v>3810.6000000000004</v>
      </c>
      <c r="L15" s="4">
        <f>Inventory_List_Table345[[#This Row],[KG]]*2.20462</f>
        <v>639.33979999999997</v>
      </c>
      <c r="M15" s="5">
        <f>Inventory_List_Table345[[#This Row],[H CM]]/2.54</f>
        <v>31.496062992125985</v>
      </c>
      <c r="N15" s="5">
        <f>Inventory_List_Table345[[#This Row],[W CM]]/2.54</f>
        <v>23.622047244094489</v>
      </c>
      <c r="O15" s="5">
        <f>Inventory_List_Table345[[#This Row],[D CM ]]/2.54</f>
        <v>11.811023622047244</v>
      </c>
      <c r="P15" s="6">
        <f>Inventory_List_Table345[[#This Row],[Per piece MXN$]]/$U$2</f>
        <v>211.70000000000002</v>
      </c>
      <c r="Q15" s="6">
        <f t="shared" si="0"/>
        <v>212</v>
      </c>
      <c r="R15" s="6">
        <f>Inventory_List_Table345[[#This Row],[AQ ROUND]]*1.4</f>
        <v>296.79999999999995</v>
      </c>
      <c r="S15" s="6">
        <f t="shared" si="1"/>
        <v>297</v>
      </c>
      <c r="T15" s="6">
        <f>Inventory_List_Table345[[#This Row],[LND ROUND]]*8</f>
        <v>2376</v>
      </c>
      <c r="U15" s="6">
        <f>Inventory_List_Table345[[#This Row],[AQ]]*Inventory_List_Table345[[#This Row],[Q]]</f>
        <v>211.70000000000002</v>
      </c>
      <c r="V15" s="438" t="s">
        <v>1427</v>
      </c>
      <c r="W15" s="438" t="s">
        <v>1321</v>
      </c>
    </row>
    <row r="16" spans="1:23" ht="30" customHeight="1" x14ac:dyDescent="0.25">
      <c r="A16" s="433" t="s">
        <v>159</v>
      </c>
      <c r="B16" s="440" t="s">
        <v>356</v>
      </c>
      <c r="C16" s="942" t="s">
        <v>173</v>
      </c>
      <c r="D16" s="962" t="s">
        <v>1370</v>
      </c>
      <c r="E16" s="435">
        <v>1</v>
      </c>
      <c r="F16" s="436">
        <v>169</v>
      </c>
      <c r="G16" s="436">
        <v>110</v>
      </c>
      <c r="H16" s="436">
        <v>50</v>
      </c>
      <c r="I16" s="436">
        <v>20</v>
      </c>
      <c r="J16" s="437">
        <f>Inventory_List_Table345[[#This Row],[KG]]*13.14</f>
        <v>2220.6600000000003</v>
      </c>
      <c r="K16" s="437">
        <f>Inventory_List_Table345[[#This Row],[Q]]*Inventory_List_Table345[[#This Row],[Per piece MXN$]]</f>
        <v>2220.6600000000003</v>
      </c>
      <c r="L16" s="4">
        <f>Inventory_List_Table345[[#This Row],[KG]]*2.20462</f>
        <v>372.58077999999995</v>
      </c>
      <c r="M16" s="5">
        <f>Inventory_List_Table345[[#This Row],[H CM]]/2.54</f>
        <v>43.30708661417323</v>
      </c>
      <c r="N16" s="5">
        <f>Inventory_List_Table345[[#This Row],[W CM]]/2.54</f>
        <v>19.685039370078741</v>
      </c>
      <c r="O16" s="5">
        <f>Inventory_List_Table345[[#This Row],[D CM ]]/2.54</f>
        <v>7.8740157480314963</v>
      </c>
      <c r="P16" s="6">
        <f>Inventory_List_Table345[[#This Row],[Per piece MXN$]]/$U$2</f>
        <v>123.37000000000002</v>
      </c>
      <c r="Q16" s="6">
        <f t="shared" si="0"/>
        <v>123</v>
      </c>
      <c r="R16" s="6">
        <f>Inventory_List_Table345[[#This Row],[AQ ROUND]]*1.4</f>
        <v>172.2</v>
      </c>
      <c r="S16" s="6">
        <f t="shared" si="1"/>
        <v>172</v>
      </c>
      <c r="T16" s="6">
        <f>Inventory_List_Table345[[#This Row],[LND ROUND]]*8</f>
        <v>1376</v>
      </c>
      <c r="U16" s="6">
        <f>Inventory_List_Table345[[#This Row],[AQ]]*Inventory_List_Table345[[#This Row],[Q]]</f>
        <v>123.37000000000002</v>
      </c>
      <c r="V16" s="438" t="s">
        <v>1015</v>
      </c>
      <c r="W16" s="438" t="s">
        <v>1330</v>
      </c>
    </row>
    <row r="17" spans="1:23" ht="30" customHeight="1" x14ac:dyDescent="0.25">
      <c r="A17" s="433" t="s">
        <v>160</v>
      </c>
      <c r="B17" s="440" t="s">
        <v>357</v>
      </c>
      <c r="C17" s="942" t="s">
        <v>172</v>
      </c>
      <c r="D17" s="962" t="s">
        <v>1371</v>
      </c>
      <c r="E17" s="435">
        <v>1</v>
      </c>
      <c r="F17" s="436">
        <v>136</v>
      </c>
      <c r="G17" s="436">
        <v>102</v>
      </c>
      <c r="H17" s="436">
        <v>21</v>
      </c>
      <c r="I17" s="436">
        <v>37</v>
      </c>
      <c r="J17" s="437">
        <f>Inventory_List_Table345[[#This Row],[KG]]*13.14</f>
        <v>1787.04</v>
      </c>
      <c r="K17" s="437">
        <f>Inventory_List_Table345[[#This Row],[Q]]*Inventory_List_Table345[[#This Row],[Per piece MXN$]]</f>
        <v>1787.04</v>
      </c>
      <c r="L17" s="4">
        <f>Inventory_List_Table345[[#This Row],[KG]]*2.20462</f>
        <v>299.82831999999996</v>
      </c>
      <c r="M17" s="5">
        <f>Inventory_List_Table345[[#This Row],[H CM]]/2.54</f>
        <v>40.15748031496063</v>
      </c>
      <c r="N17" s="5">
        <f>Inventory_List_Table345[[#This Row],[W CM]]/2.54</f>
        <v>8.2677165354330704</v>
      </c>
      <c r="O17" s="5">
        <f>Inventory_List_Table345[[#This Row],[D CM ]]/2.54</f>
        <v>14.566929133858267</v>
      </c>
      <c r="P17" s="6">
        <f>Inventory_List_Table345[[#This Row],[Per piece MXN$]]/$U$2</f>
        <v>99.28</v>
      </c>
      <c r="Q17" s="6">
        <f t="shared" si="0"/>
        <v>99</v>
      </c>
      <c r="R17" s="6">
        <f>Inventory_List_Table345[[#This Row],[AQ ROUND]]*1.4</f>
        <v>138.6</v>
      </c>
      <c r="S17" s="6">
        <f t="shared" si="1"/>
        <v>139</v>
      </c>
      <c r="T17" s="6">
        <f>Inventory_List_Table345[[#This Row],[LND ROUND]]*8</f>
        <v>1112</v>
      </c>
      <c r="U17" s="6">
        <f>Inventory_List_Table345[[#This Row],[AQ]]*Inventory_List_Table345[[#This Row],[Q]]</f>
        <v>99.28</v>
      </c>
      <c r="V17" s="438" t="s">
        <v>1428</v>
      </c>
      <c r="W17" s="438" t="s">
        <v>1429</v>
      </c>
    </row>
    <row r="18" spans="1:23" ht="30" customHeight="1" x14ac:dyDescent="0.25">
      <c r="A18" s="433" t="s">
        <v>161</v>
      </c>
      <c r="B18" s="440"/>
      <c r="C18" s="942" t="s">
        <v>172</v>
      </c>
      <c r="D18" s="962" t="s">
        <v>1372</v>
      </c>
      <c r="E18" s="435">
        <v>1</v>
      </c>
      <c r="F18" s="436">
        <v>163</v>
      </c>
      <c r="G18" s="436">
        <v>90</v>
      </c>
      <c r="H18" s="436">
        <v>30</v>
      </c>
      <c r="I18" s="436">
        <v>35</v>
      </c>
      <c r="J18" s="437">
        <f>Inventory_List_Table345[[#This Row],[KG]]*13.14</f>
        <v>2141.8200000000002</v>
      </c>
      <c r="K18" s="437">
        <f>Inventory_List_Table345[[#This Row],[Q]]*Inventory_List_Table345[[#This Row],[Per piece MXN$]]</f>
        <v>2141.8200000000002</v>
      </c>
      <c r="L18" s="4">
        <f>Inventory_List_Table345[[#This Row],[KG]]*2.20462</f>
        <v>359.35305999999997</v>
      </c>
      <c r="M18" s="18">
        <f>Inventory_List_Table345[[#This Row],[H CM]]/2.54</f>
        <v>35.433070866141733</v>
      </c>
      <c r="N18" s="18">
        <f>Inventory_List_Table345[[#This Row],[W CM]]/2.54</f>
        <v>11.811023622047244</v>
      </c>
      <c r="O18" s="18">
        <f>Inventory_List_Table345[[#This Row],[D CM ]]/2.54</f>
        <v>13.779527559055119</v>
      </c>
      <c r="P18" s="19">
        <f>Inventory_List_Table345[[#This Row],[Per piece MXN$]]/$U$2</f>
        <v>118.99000000000001</v>
      </c>
      <c r="Q18" s="19">
        <f t="shared" si="0"/>
        <v>119</v>
      </c>
      <c r="R18" s="19">
        <f>Inventory_List_Table345[[#This Row],[AQ ROUND]]*1.4</f>
        <v>166.6</v>
      </c>
      <c r="S18" s="19">
        <f t="shared" si="1"/>
        <v>167</v>
      </c>
      <c r="T18" s="19">
        <f>Inventory_List_Table345[[#This Row],[LND ROUND]]*8</f>
        <v>1336</v>
      </c>
      <c r="U18" s="19">
        <f>Inventory_List_Table345[[#This Row],[AQ]]*Inventory_List_Table345[[#This Row],[Q]]</f>
        <v>118.99000000000001</v>
      </c>
      <c r="V18" s="438" t="s">
        <v>1430</v>
      </c>
      <c r="W18" s="438" t="s">
        <v>1431</v>
      </c>
    </row>
    <row r="19" spans="1:23" ht="30" customHeight="1" x14ac:dyDescent="0.25">
      <c r="A19" s="433" t="s">
        <v>162</v>
      </c>
      <c r="B19" s="434"/>
      <c r="C19" s="942" t="s">
        <v>174</v>
      </c>
      <c r="D19" s="439" t="s">
        <v>175</v>
      </c>
      <c r="E19" s="435">
        <v>1</v>
      </c>
      <c r="F19" s="436">
        <v>641</v>
      </c>
      <c r="G19" s="436">
        <v>183</v>
      </c>
      <c r="H19" s="436">
        <v>45</v>
      </c>
      <c r="I19" s="436">
        <v>30</v>
      </c>
      <c r="J19" s="437">
        <f>Inventory_List_Table345[[#This Row],[KG]]*13.14</f>
        <v>8422.74</v>
      </c>
      <c r="K19" s="437">
        <f>Inventory_List_Table345[[#This Row],[Q]]*Inventory_List_Table345[[#This Row],[Per piece MXN$]]</f>
        <v>8422.74</v>
      </c>
      <c r="L19" s="4">
        <f>Inventory_List_Table345[[#This Row],[KG]]*2.20462</f>
        <v>1413.1614199999999</v>
      </c>
      <c r="M19" s="18">
        <f>Inventory_List_Table345[[#This Row],[H CM]]/2.54</f>
        <v>72.047244094488192</v>
      </c>
      <c r="N19" s="18">
        <f>Inventory_List_Table345[[#This Row],[W CM]]/2.54</f>
        <v>17.716535433070867</v>
      </c>
      <c r="O19" s="18">
        <f>Inventory_List_Table345[[#This Row],[D CM ]]/2.54</f>
        <v>11.811023622047244</v>
      </c>
      <c r="P19" s="19">
        <f>Inventory_List_Table345[[#This Row],[Per piece MXN$]]/$U$2</f>
        <v>467.93</v>
      </c>
      <c r="Q19" s="19">
        <f t="shared" si="0"/>
        <v>468</v>
      </c>
      <c r="R19" s="19">
        <f>Inventory_List_Table345[[#This Row],[AQ ROUND]]*1.4</f>
        <v>655.19999999999993</v>
      </c>
      <c r="S19" s="19">
        <f t="shared" si="1"/>
        <v>655</v>
      </c>
      <c r="T19" s="19">
        <f>Inventory_List_Table345[[#This Row],[LND ROUND]]*8</f>
        <v>5240</v>
      </c>
      <c r="U19" s="19">
        <f>Inventory_List_Table345[[#This Row],[AQ]]*Inventory_List_Table345[[#This Row],[Q]]</f>
        <v>467.93</v>
      </c>
      <c r="V19" s="438" t="s">
        <v>818</v>
      </c>
      <c r="W19" s="438" t="s">
        <v>817</v>
      </c>
    </row>
    <row r="20" spans="1:23" ht="30" customHeight="1" x14ac:dyDescent="0.25">
      <c r="A20" s="433" t="s">
        <v>163</v>
      </c>
      <c r="B20" s="434"/>
      <c r="C20" s="942" t="s">
        <v>174</v>
      </c>
      <c r="D20" s="439" t="s">
        <v>176</v>
      </c>
      <c r="E20" s="435">
        <v>1</v>
      </c>
      <c r="F20" s="436">
        <v>577</v>
      </c>
      <c r="G20" s="436">
        <v>183</v>
      </c>
      <c r="H20" s="436">
        <v>45</v>
      </c>
      <c r="I20" s="436">
        <v>30</v>
      </c>
      <c r="J20" s="437">
        <f>Inventory_List_Table345[[#This Row],[KG]]*13.14</f>
        <v>7581.7800000000007</v>
      </c>
      <c r="K20" s="437">
        <f>Inventory_List_Table345[[#This Row],[Q]]*Inventory_List_Table345[[#This Row],[Per piece MXN$]]</f>
        <v>7581.7800000000007</v>
      </c>
      <c r="L20" s="4">
        <f>Inventory_List_Table345[[#This Row],[KG]]*2.20462</f>
        <v>1272.0657399999998</v>
      </c>
      <c r="M20" s="18">
        <f>Inventory_List_Table345[[#This Row],[H CM]]/2.54</f>
        <v>72.047244094488192</v>
      </c>
      <c r="N20" s="18">
        <f>Inventory_List_Table345[[#This Row],[W CM]]/2.54</f>
        <v>17.716535433070867</v>
      </c>
      <c r="O20" s="18">
        <f>Inventory_List_Table345[[#This Row],[D CM ]]/2.54</f>
        <v>11.811023622047244</v>
      </c>
      <c r="P20" s="19">
        <f>Inventory_List_Table345[[#This Row],[Per piece MXN$]]/$U$2</f>
        <v>421.21000000000004</v>
      </c>
      <c r="Q20" s="19">
        <f t="shared" si="0"/>
        <v>421</v>
      </c>
      <c r="R20" s="19">
        <f>Inventory_List_Table345[[#This Row],[AQ ROUND]]*1.4</f>
        <v>589.4</v>
      </c>
      <c r="S20" s="19">
        <f t="shared" si="1"/>
        <v>589</v>
      </c>
      <c r="T20" s="19">
        <f>Inventory_List_Table345[[#This Row],[LND ROUND]]*8</f>
        <v>4712</v>
      </c>
      <c r="U20" s="19">
        <f>Inventory_List_Table345[[#This Row],[AQ]]*Inventory_List_Table345[[#This Row],[Q]]</f>
        <v>421.21000000000004</v>
      </c>
      <c r="V20" s="438" t="s">
        <v>1432</v>
      </c>
      <c r="W20" s="438" t="s">
        <v>1433</v>
      </c>
    </row>
    <row r="21" spans="1:23" ht="30" customHeight="1" x14ac:dyDescent="0.25">
      <c r="A21" s="433" t="s">
        <v>164</v>
      </c>
      <c r="B21" s="434"/>
      <c r="C21" s="942" t="s">
        <v>174</v>
      </c>
      <c r="D21" s="439" t="s">
        <v>177</v>
      </c>
      <c r="E21" s="435">
        <v>1</v>
      </c>
      <c r="F21" s="436">
        <v>681</v>
      </c>
      <c r="G21" s="436">
        <v>183</v>
      </c>
      <c r="H21" s="436">
        <v>45</v>
      </c>
      <c r="I21" s="436">
        <v>30</v>
      </c>
      <c r="J21" s="437">
        <f>Inventory_List_Table345[[#This Row],[KG]]*13.14</f>
        <v>8948.34</v>
      </c>
      <c r="K21" s="437">
        <f>Inventory_List_Table345[[#This Row],[Q]]*Inventory_List_Table345[[#This Row],[Per piece MXN$]]</f>
        <v>8948.34</v>
      </c>
      <c r="L21" s="4">
        <f>Inventory_List_Table345[[#This Row],[KG]]*2.20462</f>
        <v>1501.3462199999999</v>
      </c>
      <c r="M21" s="18">
        <f>Inventory_List_Table345[[#This Row],[H CM]]/2.54</f>
        <v>72.047244094488192</v>
      </c>
      <c r="N21" s="18">
        <f>Inventory_List_Table345[[#This Row],[W CM]]/2.54</f>
        <v>17.716535433070867</v>
      </c>
      <c r="O21" s="18">
        <f>Inventory_List_Table345[[#This Row],[D CM ]]/2.54</f>
        <v>11.811023622047244</v>
      </c>
      <c r="P21" s="19">
        <f>Inventory_List_Table345[[#This Row],[Per piece MXN$]]/$U$2</f>
        <v>497.13</v>
      </c>
      <c r="Q21" s="19">
        <f t="shared" si="0"/>
        <v>497</v>
      </c>
      <c r="R21" s="19">
        <f>Inventory_List_Table345[[#This Row],[AQ ROUND]]*1.4</f>
        <v>695.8</v>
      </c>
      <c r="S21" s="19">
        <f t="shared" si="1"/>
        <v>696</v>
      </c>
      <c r="T21" s="19">
        <f>Inventory_List_Table345[[#This Row],[LND ROUND]]*8</f>
        <v>5568</v>
      </c>
      <c r="U21" s="19">
        <f>Inventory_List_Table345[[#This Row],[AQ]]*Inventory_List_Table345[[#This Row],[Q]]</f>
        <v>497.13</v>
      </c>
      <c r="V21" s="438" t="s">
        <v>1434</v>
      </c>
      <c r="W21" s="438" t="s">
        <v>1435</v>
      </c>
    </row>
    <row r="22" spans="1:23" ht="30" customHeight="1" x14ac:dyDescent="0.25">
      <c r="A22" s="433" t="s">
        <v>165</v>
      </c>
      <c r="B22" s="434"/>
      <c r="C22" s="942" t="s">
        <v>174</v>
      </c>
      <c r="D22" s="439" t="s">
        <v>178</v>
      </c>
      <c r="E22" s="435">
        <v>1</v>
      </c>
      <c r="F22" s="436">
        <v>814</v>
      </c>
      <c r="G22" s="436">
        <v>216</v>
      </c>
      <c r="H22" s="436">
        <v>66</v>
      </c>
      <c r="I22" s="436">
        <v>30</v>
      </c>
      <c r="J22" s="437">
        <f>Inventory_List_Table345[[#This Row],[KG]]*13.14</f>
        <v>10695.960000000001</v>
      </c>
      <c r="K22" s="437">
        <f>Inventory_List_Table345[[#This Row],[Q]]*Inventory_List_Table345[[#This Row],[Per piece MXN$]]</f>
        <v>10695.960000000001</v>
      </c>
      <c r="L22" s="4">
        <f>Inventory_List_Table345[[#This Row],[KG]]*2.20462</f>
        <v>1794.5606799999998</v>
      </c>
      <c r="M22" s="18">
        <f>Inventory_List_Table345[[#This Row],[H CM]]/2.54</f>
        <v>85.039370078740163</v>
      </c>
      <c r="N22" s="18">
        <f>Inventory_List_Table345[[#This Row],[W CM]]/2.54</f>
        <v>25.984251968503937</v>
      </c>
      <c r="O22" s="18">
        <f>Inventory_List_Table345[[#This Row],[D CM ]]/2.54</f>
        <v>11.811023622047244</v>
      </c>
      <c r="P22" s="19">
        <f>Inventory_List_Table345[[#This Row],[Per piece MXN$]]/$U$2</f>
        <v>594.22</v>
      </c>
      <c r="Q22" s="19">
        <f t="shared" si="0"/>
        <v>594</v>
      </c>
      <c r="R22" s="19">
        <f>Inventory_List_Table345[[#This Row],[AQ ROUND]]*1.4</f>
        <v>831.59999999999991</v>
      </c>
      <c r="S22" s="19">
        <f t="shared" si="1"/>
        <v>832</v>
      </c>
      <c r="T22" s="19">
        <f>Inventory_List_Table345[[#This Row],[LND ROUND]]*8</f>
        <v>6656</v>
      </c>
      <c r="U22" s="19">
        <f>Inventory_List_Table345[[#This Row],[AQ]]*Inventory_List_Table345[[#This Row],[Q]]</f>
        <v>594.22</v>
      </c>
      <c r="V22" s="438" t="s">
        <v>1315</v>
      </c>
      <c r="W22" s="438" t="s">
        <v>1316</v>
      </c>
    </row>
    <row r="23" spans="1:23" ht="30" customHeight="1" x14ac:dyDescent="0.25">
      <c r="A23" s="433" t="s">
        <v>166</v>
      </c>
      <c r="B23" s="434"/>
      <c r="C23" s="942" t="s">
        <v>174</v>
      </c>
      <c r="D23" s="439" t="s">
        <v>179</v>
      </c>
      <c r="E23" s="435">
        <v>1</v>
      </c>
      <c r="F23" s="436">
        <v>987</v>
      </c>
      <c r="G23" s="436">
        <v>206</v>
      </c>
      <c r="H23" s="436">
        <v>54</v>
      </c>
      <c r="I23" s="436">
        <v>50</v>
      </c>
      <c r="J23" s="437">
        <f>Inventory_List_Table345[[#This Row],[KG]]*13.14</f>
        <v>12969.18</v>
      </c>
      <c r="K23" s="437">
        <f>Inventory_List_Table345[[#This Row],[Q]]*Inventory_List_Table345[[#This Row],[Per piece MXN$]]</f>
        <v>12969.18</v>
      </c>
      <c r="L23" s="4">
        <f>Inventory_List_Table345[[#This Row],[KG]]*2.20462</f>
        <v>2175.9599399999997</v>
      </c>
      <c r="M23" s="18">
        <f>Inventory_List_Table345[[#This Row],[H CM]]/2.54</f>
        <v>81.102362204724415</v>
      </c>
      <c r="N23" s="18">
        <f>Inventory_List_Table345[[#This Row],[W CM]]/2.54</f>
        <v>21.259842519685041</v>
      </c>
      <c r="O23" s="18">
        <f>Inventory_List_Table345[[#This Row],[D CM ]]/2.54</f>
        <v>19.685039370078741</v>
      </c>
      <c r="P23" s="19">
        <f>Inventory_List_Table345[[#This Row],[Per piece MXN$]]/$U$2</f>
        <v>720.51</v>
      </c>
      <c r="Q23" s="19">
        <f t="shared" si="0"/>
        <v>721</v>
      </c>
      <c r="R23" s="19">
        <f>Inventory_List_Table345[[#This Row],[AQ ROUND]]*1.4</f>
        <v>1009.4</v>
      </c>
      <c r="S23" s="19">
        <f t="shared" si="1"/>
        <v>1009</v>
      </c>
      <c r="T23" s="19">
        <f>Inventory_List_Table345[[#This Row],[LND ROUND]]*8</f>
        <v>8072</v>
      </c>
      <c r="U23" s="19">
        <f>Inventory_List_Table345[[#This Row],[AQ]]*Inventory_List_Table345[[#This Row],[Q]]</f>
        <v>720.51</v>
      </c>
      <c r="V23" s="438" t="s">
        <v>1436</v>
      </c>
      <c r="W23" s="438" t="s">
        <v>1437</v>
      </c>
    </row>
    <row r="24" spans="1:23" ht="30" customHeight="1" x14ac:dyDescent="0.25">
      <c r="A24" s="433" t="s">
        <v>167</v>
      </c>
      <c r="B24" s="434"/>
      <c r="C24" s="942" t="s">
        <v>174</v>
      </c>
      <c r="D24" s="439" t="s">
        <v>180</v>
      </c>
      <c r="E24" s="435">
        <v>1</v>
      </c>
      <c r="F24" s="436">
        <v>918</v>
      </c>
      <c r="G24" s="436">
        <v>210</v>
      </c>
      <c r="H24" s="436">
        <v>65</v>
      </c>
      <c r="I24" s="436">
        <v>30</v>
      </c>
      <c r="J24" s="437">
        <f>Inventory_List_Table345[[#This Row],[KG]]*13.14</f>
        <v>12062.52</v>
      </c>
      <c r="K24" s="437">
        <f>Inventory_List_Table345[[#This Row],[Q]]*Inventory_List_Table345[[#This Row],[Per piece MXN$]]</f>
        <v>12062.52</v>
      </c>
      <c r="L24" s="4">
        <f>Inventory_List_Table345[[#This Row],[KG]]*2.20462</f>
        <v>2023.8411599999997</v>
      </c>
      <c r="M24" s="18">
        <f>Inventory_List_Table345[[#This Row],[H CM]]/2.54</f>
        <v>82.677165354330711</v>
      </c>
      <c r="N24" s="18">
        <f>Inventory_List_Table345[[#This Row],[W CM]]/2.54</f>
        <v>25.590551181102363</v>
      </c>
      <c r="O24" s="18">
        <f>Inventory_List_Table345[[#This Row],[D CM ]]/2.54</f>
        <v>11.811023622047244</v>
      </c>
      <c r="P24" s="19">
        <f>Inventory_List_Table345[[#This Row],[Per piece MXN$]]/$U$2</f>
        <v>670.14</v>
      </c>
      <c r="Q24" s="19">
        <f t="shared" si="0"/>
        <v>670</v>
      </c>
      <c r="R24" s="19">
        <f>Inventory_List_Table345[[#This Row],[AQ ROUND]]*1.4</f>
        <v>937.99999999999989</v>
      </c>
      <c r="S24" s="19">
        <f t="shared" si="1"/>
        <v>938</v>
      </c>
      <c r="T24" s="19">
        <f>Inventory_List_Table345[[#This Row],[LND ROUND]]*8</f>
        <v>7504</v>
      </c>
      <c r="U24" s="19">
        <f>Inventory_List_Table345[[#This Row],[AQ]]*Inventory_List_Table345[[#This Row],[Q]]</f>
        <v>670.14</v>
      </c>
      <c r="V24" s="438" t="s">
        <v>1438</v>
      </c>
      <c r="W24" s="438" t="s">
        <v>1439</v>
      </c>
    </row>
    <row r="25" spans="1:23" ht="30" customHeight="1" x14ac:dyDescent="0.25">
      <c r="A25" s="941" t="s">
        <v>168</v>
      </c>
      <c r="B25" s="434"/>
      <c r="C25" s="942" t="s">
        <v>181</v>
      </c>
      <c r="D25" s="962" t="s">
        <v>182</v>
      </c>
      <c r="E25" s="435">
        <v>1</v>
      </c>
      <c r="F25" s="436">
        <v>563</v>
      </c>
      <c r="G25" s="436">
        <v>55</v>
      </c>
      <c r="H25" s="436">
        <v>53</v>
      </c>
      <c r="I25" s="436">
        <v>30</v>
      </c>
      <c r="J25" s="437">
        <f>Inventory_List_Table345[[#This Row],[KG]]*13.14</f>
        <v>7397.8200000000006</v>
      </c>
      <c r="K25" s="437">
        <f>Inventory_List_Table345[[#This Row],[Q]]*Inventory_List_Table345[[#This Row],[Per piece MXN$]]</f>
        <v>7397.8200000000006</v>
      </c>
      <c r="L25" s="4">
        <f>Inventory_List_Table345[[#This Row],[KG]]*2.20462</f>
        <v>1241.2010599999999</v>
      </c>
      <c r="M25" s="18">
        <f>Inventory_List_Table345[[#This Row],[H CM]]/2.54</f>
        <v>21.653543307086615</v>
      </c>
      <c r="N25" s="18">
        <f>Inventory_List_Table345[[#This Row],[W CM]]/2.54</f>
        <v>20.866141732283463</v>
      </c>
      <c r="O25" s="18">
        <f>Inventory_List_Table345[[#This Row],[D CM ]]/2.54</f>
        <v>11.811023622047244</v>
      </c>
      <c r="P25" s="19">
        <f>Inventory_List_Table345[[#This Row],[Per piece MXN$]]/$U$2</f>
        <v>410.99</v>
      </c>
      <c r="Q25" s="19">
        <f t="shared" si="0"/>
        <v>411</v>
      </c>
      <c r="R25" s="19">
        <f>Inventory_List_Table345[[#This Row],[AQ ROUND]]*1.4</f>
        <v>575.4</v>
      </c>
      <c r="S25" s="19">
        <f t="shared" si="1"/>
        <v>575</v>
      </c>
      <c r="T25" s="19">
        <f>Inventory_List_Table345[[#This Row],[LND ROUND]]*8</f>
        <v>4600</v>
      </c>
      <c r="U25" s="19">
        <f>Inventory_List_Table345[[#This Row],[AQ]]*Inventory_List_Table345[[#This Row],[Q]]</f>
        <v>410.99</v>
      </c>
      <c r="V25" s="438" t="s">
        <v>1273</v>
      </c>
      <c r="W25" s="438" t="s">
        <v>1274</v>
      </c>
    </row>
    <row r="26" spans="1:23" ht="30" customHeight="1" x14ac:dyDescent="0.25">
      <c r="A26" s="433" t="s">
        <v>169</v>
      </c>
      <c r="B26" s="434" t="s">
        <v>312</v>
      </c>
      <c r="C26" s="943" t="s">
        <v>311</v>
      </c>
      <c r="D26" s="963" t="s">
        <v>1232</v>
      </c>
      <c r="E26" s="435">
        <v>1</v>
      </c>
      <c r="F26" s="436">
        <v>456</v>
      </c>
      <c r="G26" s="436">
        <v>183</v>
      </c>
      <c r="H26" s="436">
        <v>40</v>
      </c>
      <c r="I26" s="436">
        <v>20</v>
      </c>
      <c r="J26" s="437">
        <f>Inventory_List_Table345[[#This Row],[KG]]*13.14</f>
        <v>5991.84</v>
      </c>
      <c r="K26" s="437">
        <f>Inventory_List_Table345[[#This Row],[Q]]*Inventory_List_Table345[[#This Row],[Per piece MXN$]]</f>
        <v>5991.84</v>
      </c>
      <c r="L26" s="4">
        <f>Inventory_List_Table345[[#This Row],[KG]]*2.20462</f>
        <v>1005.3067199999999</v>
      </c>
      <c r="M26" s="5">
        <f>Inventory_List_Table345[[#This Row],[H CM]]/2.54</f>
        <v>72.047244094488192</v>
      </c>
      <c r="N26" s="5">
        <f>Inventory_List_Table345[[#This Row],[W CM]]/2.54</f>
        <v>15.748031496062993</v>
      </c>
      <c r="O26" s="5">
        <f>Inventory_List_Table345[[#This Row],[D CM ]]/2.54</f>
        <v>7.8740157480314963</v>
      </c>
      <c r="P26" s="6">
        <f>Inventory_List_Table345[[#This Row],[Per piece MXN$]]/$U$2</f>
        <v>332.88</v>
      </c>
      <c r="Q26" s="6">
        <f t="shared" si="0"/>
        <v>333</v>
      </c>
      <c r="R26" s="6">
        <f>Inventory_List_Table345[[#This Row],[AQ ROUND]]*1.4</f>
        <v>466.2</v>
      </c>
      <c r="S26" s="6">
        <f t="shared" si="1"/>
        <v>466</v>
      </c>
      <c r="T26" s="6">
        <f>Inventory_List_Table345[[#This Row],[LND ROUND]]*8</f>
        <v>3728</v>
      </c>
      <c r="U26" s="6">
        <f>Inventory_List_Table345[[#This Row],[AQ]]*Inventory_List_Table345[[#This Row],[Q]]</f>
        <v>332.88</v>
      </c>
      <c r="V26" s="438" t="s">
        <v>1233</v>
      </c>
      <c r="W26" s="438" t="s">
        <v>1234</v>
      </c>
    </row>
    <row r="27" spans="1:23" ht="30" customHeight="1" x14ac:dyDescent="0.25">
      <c r="A27" s="433" t="s">
        <v>170</v>
      </c>
      <c r="B27" s="434" t="s">
        <v>312</v>
      </c>
      <c r="C27" s="943" t="s">
        <v>311</v>
      </c>
      <c r="D27" s="963" t="s">
        <v>1235</v>
      </c>
      <c r="E27" s="435">
        <v>1</v>
      </c>
      <c r="F27" s="436">
        <v>443</v>
      </c>
      <c r="G27" s="436">
        <v>175</v>
      </c>
      <c r="H27" s="436">
        <v>30</v>
      </c>
      <c r="I27" s="436">
        <v>26</v>
      </c>
      <c r="J27" s="437">
        <f>Inventory_List_Table345[[#This Row],[KG]]*13.14</f>
        <v>5821.02</v>
      </c>
      <c r="K27" s="437">
        <f>Inventory_List_Table345[[#This Row],[Q]]*Inventory_List_Table345[[#This Row],[Per piece MXN$]]</f>
        <v>5821.02</v>
      </c>
      <c r="L27" s="4">
        <f>Inventory_List_Table345[[#This Row],[KG]]*2.20462</f>
        <v>976.64665999999988</v>
      </c>
      <c r="M27" s="5">
        <f>Inventory_List_Table345[[#This Row],[H CM]]/2.54</f>
        <v>68.897637795275585</v>
      </c>
      <c r="N27" s="5">
        <f>Inventory_List_Table345[[#This Row],[W CM]]/2.54</f>
        <v>11.811023622047244</v>
      </c>
      <c r="O27" s="5">
        <f>Inventory_List_Table345[[#This Row],[D CM ]]/2.54</f>
        <v>10.236220472440944</v>
      </c>
      <c r="P27" s="6">
        <f>Inventory_List_Table345[[#This Row],[Per piece MXN$]]/$U$2</f>
        <v>323.39000000000004</v>
      </c>
      <c r="Q27" s="6">
        <f t="shared" si="0"/>
        <v>323</v>
      </c>
      <c r="R27" s="6">
        <f>Inventory_List_Table345[[#This Row],[AQ ROUND]]*1.4</f>
        <v>452.2</v>
      </c>
      <c r="S27" s="6">
        <f t="shared" si="1"/>
        <v>452</v>
      </c>
      <c r="T27" s="6">
        <f>Inventory_List_Table345[[#This Row],[LND ROUND]]*8</f>
        <v>3616</v>
      </c>
      <c r="U27" s="6">
        <f>Inventory_List_Table345[[#This Row],[AQ]]*Inventory_List_Table345[[#This Row],[Q]]</f>
        <v>323.39000000000004</v>
      </c>
      <c r="V27" s="438" t="s">
        <v>1236</v>
      </c>
      <c r="W27" s="438" t="s">
        <v>1237</v>
      </c>
    </row>
    <row r="28" spans="1:23" ht="30" customHeight="1" x14ac:dyDescent="0.25">
      <c r="A28" s="433" t="s">
        <v>171</v>
      </c>
      <c r="B28" s="434" t="s">
        <v>312</v>
      </c>
      <c r="C28" s="943" t="s">
        <v>311</v>
      </c>
      <c r="D28" s="963" t="s">
        <v>1238</v>
      </c>
      <c r="E28" s="435">
        <v>1</v>
      </c>
      <c r="F28" s="436">
        <v>485</v>
      </c>
      <c r="G28" s="436">
        <v>180</v>
      </c>
      <c r="H28" s="436">
        <v>40</v>
      </c>
      <c r="I28" s="436">
        <v>38</v>
      </c>
      <c r="J28" s="437">
        <f>Inventory_List_Table345[[#This Row],[KG]]*13.14</f>
        <v>6372.9000000000005</v>
      </c>
      <c r="K28" s="437">
        <f>Inventory_List_Table345[[#This Row],[Q]]*Inventory_List_Table345[[#This Row],[Per piece MXN$]]</f>
        <v>6372.9000000000005</v>
      </c>
      <c r="L28" s="4">
        <f>Inventory_List_Table345[[#This Row],[KG]]*2.20462</f>
        <v>1069.2406999999998</v>
      </c>
      <c r="M28" s="5">
        <f>Inventory_List_Table345[[#This Row],[H CM]]/2.54</f>
        <v>70.866141732283467</v>
      </c>
      <c r="N28" s="5">
        <f>Inventory_List_Table345[[#This Row],[W CM]]/2.54</f>
        <v>15.748031496062993</v>
      </c>
      <c r="O28" s="5">
        <f>Inventory_List_Table345[[#This Row],[D CM ]]/2.54</f>
        <v>14.960629921259843</v>
      </c>
      <c r="P28" s="6">
        <f>Inventory_List_Table345[[#This Row],[Per piece MXN$]]/$U$2</f>
        <v>354.05</v>
      </c>
      <c r="Q28" s="6">
        <f>IF(MOD(P28,1)&gt;0.4,ROUNDUP(P28,0),ROUNDDOWN(P28,0))</f>
        <v>354</v>
      </c>
      <c r="R28" s="6">
        <f>Inventory_List_Table345[[#This Row],[AQ ROUND]]*1.4</f>
        <v>495.59999999999997</v>
      </c>
      <c r="S28" s="6">
        <f>IF(MOD(R28,1)&gt;0.4,ROUNDUP(R28,0),ROUNDDOWN(R28,0))</f>
        <v>496</v>
      </c>
      <c r="T28" s="6">
        <f>Inventory_List_Table345[[#This Row],[LND ROUND]]*8</f>
        <v>3968</v>
      </c>
      <c r="U28" s="6">
        <f>Inventory_List_Table345[[#This Row],[AQ]]*Inventory_List_Table345[[#This Row],[Q]]</f>
        <v>354.05</v>
      </c>
      <c r="V28" s="438" t="s">
        <v>1239</v>
      </c>
      <c r="W28" s="438" t="s">
        <v>1240</v>
      </c>
    </row>
    <row r="29" spans="1:23" ht="30" customHeight="1" x14ac:dyDescent="0.25">
      <c r="A29" s="433" t="s">
        <v>183</v>
      </c>
      <c r="B29" s="434" t="s">
        <v>312</v>
      </c>
      <c r="C29" s="943" t="s">
        <v>311</v>
      </c>
      <c r="D29" s="963" t="s">
        <v>1241</v>
      </c>
      <c r="E29" s="435">
        <v>1</v>
      </c>
      <c r="F29" s="436">
        <v>422</v>
      </c>
      <c r="G29" s="436">
        <v>190</v>
      </c>
      <c r="H29" s="436">
        <v>45</v>
      </c>
      <c r="I29" s="436">
        <v>25</v>
      </c>
      <c r="J29" s="437">
        <f>Inventory_List_Table345[[#This Row],[KG]]*13.14</f>
        <v>5545.08</v>
      </c>
      <c r="K29" s="437">
        <f>Inventory_List_Table345[[#This Row],[Q]]*Inventory_List_Table345[[#This Row],[Per piece MXN$]]</f>
        <v>5545.08</v>
      </c>
      <c r="L29" s="4">
        <f>Inventory_List_Table345[[#This Row],[KG]]*2.20462</f>
        <v>930.34963999999991</v>
      </c>
      <c r="M29" s="5">
        <f>Inventory_List_Table345[[#This Row],[H CM]]/2.54</f>
        <v>74.803149606299215</v>
      </c>
      <c r="N29" s="5">
        <f>Inventory_List_Table345[[#This Row],[W CM]]/2.54</f>
        <v>17.716535433070867</v>
      </c>
      <c r="O29" s="442">
        <f>Inventory_List_Table345[[#This Row],[D CM ]]/2.54</f>
        <v>9.8425196850393704</v>
      </c>
      <c r="P29" s="6">
        <f>Inventory_List_Table345[[#This Row],[Per piece MXN$]]/$U$2</f>
        <v>308.06</v>
      </c>
      <c r="Q29" s="6">
        <f t="shared" ref="Q29:Q47" si="2">IF(MOD(P29,1)&gt;0.4,ROUNDUP(P29,0),ROUNDDOWN(P29,0))</f>
        <v>308</v>
      </c>
      <c r="R29" s="6">
        <f>Inventory_List_Table345[[#This Row],[AQ ROUND]]*1.4</f>
        <v>431.2</v>
      </c>
      <c r="S29" s="6">
        <f t="shared" ref="S29:S47" si="3">IF(MOD(R29,1)&gt;0.4,ROUNDUP(R29,0),ROUNDDOWN(R29,0))</f>
        <v>431</v>
      </c>
      <c r="T29" s="6">
        <f>Inventory_List_Table345[[#This Row],[LND ROUND]]*8</f>
        <v>3448</v>
      </c>
      <c r="U29" s="6">
        <f>Inventory_List_Table345[[#This Row],[AQ]]*Inventory_List_Table345[[#This Row],[Q]]</f>
        <v>308.06</v>
      </c>
      <c r="V29" s="438" t="s">
        <v>1242</v>
      </c>
      <c r="W29" s="438" t="s">
        <v>1243</v>
      </c>
    </row>
    <row r="30" spans="1:23" ht="30" customHeight="1" x14ac:dyDescent="0.25">
      <c r="A30" s="433" t="s">
        <v>184</v>
      </c>
      <c r="B30" s="434" t="s">
        <v>319</v>
      </c>
      <c r="C30" s="943" t="s">
        <v>311</v>
      </c>
      <c r="D30" s="963" t="s">
        <v>1244</v>
      </c>
      <c r="E30" s="435">
        <v>1</v>
      </c>
      <c r="F30" s="436">
        <v>434</v>
      </c>
      <c r="G30" s="436">
        <v>142</v>
      </c>
      <c r="H30" s="436">
        <v>37</v>
      </c>
      <c r="I30" s="436">
        <v>18</v>
      </c>
      <c r="J30" s="437">
        <f>Inventory_List_Table345[[#This Row],[KG]]*13.14</f>
        <v>5702.76</v>
      </c>
      <c r="K30" s="437">
        <f>Inventory_List_Table345[[#This Row],[Q]]*Inventory_List_Table345[[#This Row],[Per piece MXN$]]</f>
        <v>5702.76</v>
      </c>
      <c r="L30" s="4">
        <f>Inventory_List_Table345[[#This Row],[KG]]*2.20462</f>
        <v>956.80507999999986</v>
      </c>
      <c r="M30" s="5">
        <f>Inventory_List_Table345[[#This Row],[H CM]]/2.54</f>
        <v>55.905511811023622</v>
      </c>
      <c r="N30" s="5">
        <f>Inventory_List_Table345[[#This Row],[W CM]]/2.54</f>
        <v>14.566929133858267</v>
      </c>
      <c r="O30" s="442">
        <f>Inventory_List_Table345[[#This Row],[D CM ]]/2.54</f>
        <v>7.0866141732283463</v>
      </c>
      <c r="P30" s="6">
        <f>Inventory_List_Table345[[#This Row],[Per piece MXN$]]/$U$2</f>
        <v>316.82</v>
      </c>
      <c r="Q30" s="6">
        <f t="shared" si="2"/>
        <v>317</v>
      </c>
      <c r="R30" s="6">
        <f>Inventory_List_Table345[[#This Row],[AQ ROUND]]*1.4</f>
        <v>443.79999999999995</v>
      </c>
      <c r="S30" s="6">
        <f t="shared" si="3"/>
        <v>444</v>
      </c>
      <c r="T30" s="6">
        <f>Inventory_List_Table345[[#This Row],[LND ROUND]]*8</f>
        <v>3552</v>
      </c>
      <c r="U30" s="6">
        <f>Inventory_List_Table345[[#This Row],[AQ]]*Inventory_List_Table345[[#This Row],[Q]]</f>
        <v>316.82</v>
      </c>
      <c r="V30" s="438" t="s">
        <v>667</v>
      </c>
      <c r="W30" s="438" t="s">
        <v>666</v>
      </c>
    </row>
    <row r="31" spans="1:23" ht="30" customHeight="1" x14ac:dyDescent="0.25">
      <c r="A31" s="433" t="s">
        <v>185</v>
      </c>
      <c r="B31" s="434" t="s">
        <v>312</v>
      </c>
      <c r="C31" s="943" t="s">
        <v>311</v>
      </c>
      <c r="D31" s="963" t="s">
        <v>1245</v>
      </c>
      <c r="E31" s="435">
        <v>1</v>
      </c>
      <c r="F31" s="436">
        <v>511</v>
      </c>
      <c r="G31" s="436">
        <v>192</v>
      </c>
      <c r="H31" s="436">
        <v>36</v>
      </c>
      <c r="I31" s="436">
        <v>33</v>
      </c>
      <c r="J31" s="437">
        <f>Inventory_List_Table345[[#This Row],[KG]]*13.14</f>
        <v>6714.54</v>
      </c>
      <c r="K31" s="437">
        <f>Inventory_List_Table345[[#This Row],[Q]]*Inventory_List_Table345[[#This Row],[Per piece MXN$]]</f>
        <v>6714.54</v>
      </c>
      <c r="L31" s="4">
        <f>Inventory_List_Table345[[#This Row],[KG]]*2.20462</f>
        <v>1126.5608199999999</v>
      </c>
      <c r="M31" s="5">
        <f>Inventory_List_Table345[[#This Row],[H CM]]/2.54</f>
        <v>75.590551181102356</v>
      </c>
      <c r="N31" s="5">
        <f>Inventory_List_Table345[[#This Row],[W CM]]/2.54</f>
        <v>14.173228346456693</v>
      </c>
      <c r="O31" s="442">
        <f>Inventory_List_Table345[[#This Row],[D CM ]]/2.54</f>
        <v>12.992125984251969</v>
      </c>
      <c r="P31" s="6">
        <f>Inventory_List_Table345[[#This Row],[Per piece MXN$]]/$U$2</f>
        <v>373.03</v>
      </c>
      <c r="Q31" s="6">
        <f t="shared" si="2"/>
        <v>373</v>
      </c>
      <c r="R31" s="6">
        <f>Inventory_List_Table345[[#This Row],[AQ ROUND]]*1.4</f>
        <v>522.19999999999993</v>
      </c>
      <c r="S31" s="6">
        <f t="shared" si="3"/>
        <v>522</v>
      </c>
      <c r="T31" s="6">
        <f>Inventory_List_Table345[[#This Row],[LND ROUND]]*8</f>
        <v>4176</v>
      </c>
      <c r="U31" s="6">
        <f>Inventory_List_Table345[[#This Row],[AQ]]*Inventory_List_Table345[[#This Row],[Q]]</f>
        <v>373.03</v>
      </c>
      <c r="V31" s="438" t="s">
        <v>1189</v>
      </c>
      <c r="W31" s="438" t="s">
        <v>1190</v>
      </c>
    </row>
    <row r="32" spans="1:23" ht="30" customHeight="1" x14ac:dyDescent="0.25">
      <c r="A32" s="941" t="s">
        <v>186</v>
      </c>
      <c r="B32" s="434"/>
      <c r="C32" s="942" t="s">
        <v>311</v>
      </c>
      <c r="D32" s="441" t="s">
        <v>1275</v>
      </c>
      <c r="E32" s="435">
        <v>1</v>
      </c>
      <c r="F32" s="436">
        <v>672</v>
      </c>
      <c r="G32" s="436"/>
      <c r="H32" s="436"/>
      <c r="I32" s="436"/>
      <c r="J32" s="437">
        <f>Inventory_List_Table345[[#This Row],[KG]]*13.14</f>
        <v>8830.08</v>
      </c>
      <c r="K32" s="437">
        <f>Inventory_List_Table345[[#This Row],[Q]]*Inventory_List_Table345[[#This Row],[Per piece MXN$]]</f>
        <v>8830.08</v>
      </c>
      <c r="L32" s="4">
        <f>Inventory_List_Table345[[#This Row],[KG]]*2.20462</f>
        <v>1481.5046399999999</v>
      </c>
      <c r="M32" s="18">
        <f>Inventory_List_Table345[[#This Row],[H CM]]/2.54</f>
        <v>0</v>
      </c>
      <c r="N32" s="18">
        <f>Inventory_List_Table345[[#This Row],[W CM]]/2.54</f>
        <v>0</v>
      </c>
      <c r="O32" s="944">
        <f>Inventory_List_Table345[[#This Row],[D CM ]]/2.54</f>
        <v>0</v>
      </c>
      <c r="P32" s="19">
        <f>Inventory_List_Table345[[#This Row],[Per piece MXN$]]/$U$2</f>
        <v>490.56</v>
      </c>
      <c r="Q32" s="19">
        <f t="shared" si="2"/>
        <v>491</v>
      </c>
      <c r="R32" s="19">
        <f>Inventory_List_Table345[[#This Row],[AQ ROUND]]*1.4</f>
        <v>687.4</v>
      </c>
      <c r="S32" s="19">
        <f t="shared" si="3"/>
        <v>687</v>
      </c>
      <c r="T32" s="19">
        <f>Inventory_List_Table345[[#This Row],[LND ROUND]]*8</f>
        <v>5496</v>
      </c>
      <c r="U32" s="19">
        <f>Inventory_List_Table345[[#This Row],[AQ]]*Inventory_List_Table345[[#This Row],[Q]]</f>
        <v>490.56</v>
      </c>
      <c r="V32" s="438" t="s">
        <v>1276</v>
      </c>
      <c r="W32" s="438" t="s">
        <v>1277</v>
      </c>
    </row>
    <row r="33" spans="1:23" ht="30" customHeight="1" x14ac:dyDescent="0.25">
      <c r="A33" s="941" t="s">
        <v>187</v>
      </c>
      <c r="B33" s="434"/>
      <c r="C33" s="942" t="s">
        <v>311</v>
      </c>
      <c r="D33" s="441" t="s">
        <v>1278</v>
      </c>
      <c r="E33" s="435">
        <v>1</v>
      </c>
      <c r="F33" s="436">
        <v>551</v>
      </c>
      <c r="G33" s="436"/>
      <c r="H33" s="436"/>
      <c r="I33" s="436"/>
      <c r="J33" s="437">
        <f>Inventory_List_Table345[[#This Row],[KG]]*13.14</f>
        <v>7240.14</v>
      </c>
      <c r="K33" s="437">
        <f>Inventory_List_Table345[[#This Row],[Q]]*Inventory_List_Table345[[#This Row],[Per piece MXN$]]</f>
        <v>7240.14</v>
      </c>
      <c r="L33" s="4">
        <f>Inventory_List_Table345[[#This Row],[KG]]*2.20462</f>
        <v>1214.7456199999999</v>
      </c>
      <c r="M33" s="18">
        <f>Inventory_List_Table345[[#This Row],[H CM]]/2.54</f>
        <v>0</v>
      </c>
      <c r="N33" s="18">
        <f>Inventory_List_Table345[[#This Row],[W CM]]/2.54</f>
        <v>0</v>
      </c>
      <c r="O33" s="944">
        <f>Inventory_List_Table345[[#This Row],[D CM ]]/2.54</f>
        <v>0</v>
      </c>
      <c r="P33" s="19">
        <f>Inventory_List_Table345[[#This Row],[Per piece MXN$]]/$U$2</f>
        <v>402.23</v>
      </c>
      <c r="Q33" s="19">
        <f t="shared" si="2"/>
        <v>402</v>
      </c>
      <c r="R33" s="19">
        <f>Inventory_List_Table345[[#This Row],[AQ ROUND]]*1.4</f>
        <v>562.79999999999995</v>
      </c>
      <c r="S33" s="19">
        <f t="shared" si="3"/>
        <v>563</v>
      </c>
      <c r="T33" s="19">
        <f>Inventory_List_Table345[[#This Row],[LND ROUND]]*8</f>
        <v>4504</v>
      </c>
      <c r="U33" s="19">
        <f>Inventory_List_Table345[[#This Row],[AQ]]*Inventory_List_Table345[[#This Row],[Q]]</f>
        <v>402.23</v>
      </c>
      <c r="V33" s="438" t="s">
        <v>1279</v>
      </c>
      <c r="W33" s="438" t="s">
        <v>1280</v>
      </c>
    </row>
    <row r="34" spans="1:23" ht="30" customHeight="1" x14ac:dyDescent="0.25">
      <c r="A34" s="941" t="s">
        <v>188</v>
      </c>
      <c r="B34" s="434"/>
      <c r="C34" s="942" t="s">
        <v>311</v>
      </c>
      <c r="D34" s="441" t="s">
        <v>1281</v>
      </c>
      <c r="E34" s="435">
        <v>1</v>
      </c>
      <c r="F34" s="436">
        <v>725</v>
      </c>
      <c r="G34" s="436"/>
      <c r="H34" s="436"/>
      <c r="I34" s="436"/>
      <c r="J34" s="437">
        <f>Inventory_List_Table345[[#This Row],[KG]]*13.14</f>
        <v>9526.5</v>
      </c>
      <c r="K34" s="437">
        <f>Inventory_List_Table345[[#This Row],[Q]]*Inventory_List_Table345[[#This Row],[Per piece MXN$]]</f>
        <v>9526.5</v>
      </c>
      <c r="L34" s="4">
        <f>Inventory_List_Table345[[#This Row],[KG]]*2.20462</f>
        <v>1598.3494999999998</v>
      </c>
      <c r="M34" s="18">
        <f>Inventory_List_Table345[[#This Row],[H CM]]/2.54</f>
        <v>0</v>
      </c>
      <c r="N34" s="18">
        <f>Inventory_List_Table345[[#This Row],[W CM]]/2.54</f>
        <v>0</v>
      </c>
      <c r="O34" s="944">
        <f>Inventory_List_Table345[[#This Row],[D CM ]]/2.54</f>
        <v>0</v>
      </c>
      <c r="P34" s="19">
        <f>Inventory_List_Table345[[#This Row],[Per piece MXN$]]/$U$2</f>
        <v>529.25</v>
      </c>
      <c r="Q34" s="19">
        <f t="shared" si="2"/>
        <v>529</v>
      </c>
      <c r="R34" s="19">
        <f>Inventory_List_Table345[[#This Row],[AQ ROUND]]*1.4</f>
        <v>740.59999999999991</v>
      </c>
      <c r="S34" s="19">
        <f t="shared" si="3"/>
        <v>741</v>
      </c>
      <c r="T34" s="19">
        <f>Inventory_List_Table345[[#This Row],[LND ROUND]]*8</f>
        <v>5928</v>
      </c>
      <c r="U34" s="19">
        <f>Inventory_List_Table345[[#This Row],[AQ]]*Inventory_List_Table345[[#This Row],[Q]]</f>
        <v>529.25</v>
      </c>
      <c r="V34" s="438" t="s">
        <v>607</v>
      </c>
      <c r="W34" s="438" t="s">
        <v>606</v>
      </c>
    </row>
    <row r="35" spans="1:23" ht="30" customHeight="1" x14ac:dyDescent="0.25">
      <c r="A35" s="433" t="s">
        <v>189</v>
      </c>
      <c r="B35" s="434"/>
      <c r="C35" s="942"/>
      <c r="D35" s="439" t="s">
        <v>1373</v>
      </c>
      <c r="E35" s="435">
        <v>1</v>
      </c>
      <c r="F35" s="436">
        <v>405</v>
      </c>
      <c r="G35" s="436"/>
      <c r="H35" s="436"/>
      <c r="I35" s="436"/>
      <c r="J35" s="437">
        <f>Inventory_List_Table345[[#This Row],[KG]]*13.14</f>
        <v>5321.7</v>
      </c>
      <c r="K35" s="437">
        <f>Inventory_List_Table345[[#This Row],[Q]]*Inventory_List_Table345[[#This Row],[Per piece MXN$]]</f>
        <v>5321.7</v>
      </c>
      <c r="L35" s="4">
        <f>Inventory_List_Table345[[#This Row],[KG]]*2.20462</f>
        <v>892.87109999999996</v>
      </c>
      <c r="M35" s="5">
        <f>Inventory_List_Table345[[#This Row],[H CM]]/2.54</f>
        <v>0</v>
      </c>
      <c r="N35" s="5">
        <f>Inventory_List_Table345[[#This Row],[W CM]]/2.54</f>
        <v>0</v>
      </c>
      <c r="O35" s="442">
        <f>Inventory_List_Table345[[#This Row],[D CM ]]/2.54</f>
        <v>0</v>
      </c>
      <c r="P35" s="6">
        <f>Inventory_List_Table345[[#This Row],[Per piece MXN$]]/$U$2</f>
        <v>295.64999999999998</v>
      </c>
      <c r="Q35" s="6">
        <f t="shared" si="2"/>
        <v>296</v>
      </c>
      <c r="R35" s="6">
        <f>Inventory_List_Table345[[#This Row],[AQ ROUND]]*1.4</f>
        <v>414.4</v>
      </c>
      <c r="S35" s="6">
        <f t="shared" si="3"/>
        <v>414</v>
      </c>
      <c r="T35" s="6">
        <f>Inventory_List_Table345[[#This Row],[LND ROUND]]*8</f>
        <v>3312</v>
      </c>
      <c r="U35" s="6">
        <f>Inventory_List_Table345[[#This Row],[AQ]]*Inventory_List_Table345[[#This Row],[Q]]</f>
        <v>295.64999999999998</v>
      </c>
      <c r="V35" s="438" t="s">
        <v>1440</v>
      </c>
      <c r="W35" s="438" t="s">
        <v>1441</v>
      </c>
    </row>
    <row r="36" spans="1:23" ht="30" customHeight="1" x14ac:dyDescent="0.25">
      <c r="A36" s="433" t="s">
        <v>190</v>
      </c>
      <c r="B36" s="434"/>
      <c r="C36" s="942"/>
      <c r="D36" s="439" t="s">
        <v>1374</v>
      </c>
      <c r="E36" s="435">
        <v>1</v>
      </c>
      <c r="F36" s="436">
        <v>235</v>
      </c>
      <c r="G36" s="436"/>
      <c r="H36" s="436"/>
      <c r="I36" s="436"/>
      <c r="J36" s="437">
        <f>Inventory_List_Table345[[#This Row],[KG]]*13.14</f>
        <v>3087.9</v>
      </c>
      <c r="K36" s="437">
        <f>Inventory_List_Table345[[#This Row],[Q]]*Inventory_List_Table345[[#This Row],[Per piece MXN$]]</f>
        <v>3087.9</v>
      </c>
      <c r="L36" s="4">
        <f>Inventory_List_Table345[[#This Row],[KG]]*2.20462</f>
        <v>518.08569999999997</v>
      </c>
      <c r="M36" s="5">
        <f>Inventory_List_Table345[[#This Row],[H CM]]/2.54</f>
        <v>0</v>
      </c>
      <c r="N36" s="5">
        <f>Inventory_List_Table345[[#This Row],[W CM]]/2.54</f>
        <v>0</v>
      </c>
      <c r="O36" s="442">
        <f>Inventory_List_Table345[[#This Row],[D CM ]]/2.54</f>
        <v>0</v>
      </c>
      <c r="P36" s="6">
        <f>Inventory_List_Table345[[#This Row],[Per piece MXN$]]/$U$2</f>
        <v>171.55</v>
      </c>
      <c r="Q36" s="6">
        <f t="shared" si="2"/>
        <v>172</v>
      </c>
      <c r="R36" s="6">
        <f>Inventory_List_Table345[[#This Row],[AQ ROUND]]*1.4</f>
        <v>240.79999999999998</v>
      </c>
      <c r="S36" s="6">
        <f t="shared" si="3"/>
        <v>241</v>
      </c>
      <c r="T36" s="6">
        <f>Inventory_List_Table345[[#This Row],[LND ROUND]]*8</f>
        <v>1928</v>
      </c>
      <c r="U36" s="6">
        <f>Inventory_List_Table345[[#This Row],[AQ]]*Inventory_List_Table345[[#This Row],[Q]]</f>
        <v>171.55</v>
      </c>
      <c r="V36" s="438" t="s">
        <v>1330</v>
      </c>
      <c r="W36" s="438" t="s">
        <v>1442</v>
      </c>
    </row>
    <row r="37" spans="1:23" ht="30" customHeight="1" x14ac:dyDescent="0.25">
      <c r="A37" s="941" t="s">
        <v>191</v>
      </c>
      <c r="B37" s="434"/>
      <c r="C37" s="942" t="s">
        <v>311</v>
      </c>
      <c r="D37" s="441" t="s">
        <v>1282</v>
      </c>
      <c r="E37" s="435">
        <v>1</v>
      </c>
      <c r="F37" s="436">
        <v>793</v>
      </c>
      <c r="G37" s="436"/>
      <c r="H37" s="436"/>
      <c r="I37" s="436"/>
      <c r="J37" s="437">
        <f>Inventory_List_Table345[[#This Row],[KG]]*13.14</f>
        <v>10420.02</v>
      </c>
      <c r="K37" s="437">
        <f>Inventory_List_Table345[[#This Row],[Q]]*Inventory_List_Table345[[#This Row],[Per piece MXN$]]</f>
        <v>10420.02</v>
      </c>
      <c r="L37" s="4">
        <f>Inventory_List_Table345[[#This Row],[KG]]*2.20462</f>
        <v>1748.2636599999998</v>
      </c>
      <c r="M37" s="18">
        <f>Inventory_List_Table345[[#This Row],[H CM]]/2.54</f>
        <v>0</v>
      </c>
      <c r="N37" s="18">
        <f>Inventory_List_Table345[[#This Row],[W CM]]/2.54</f>
        <v>0</v>
      </c>
      <c r="O37" s="944">
        <f>Inventory_List_Table345[[#This Row],[D CM ]]/2.54</f>
        <v>0</v>
      </c>
      <c r="P37" s="19">
        <f>Inventory_List_Table345[[#This Row],[Per piece MXN$]]/$U$2</f>
        <v>578.89</v>
      </c>
      <c r="Q37" s="19">
        <f t="shared" si="2"/>
        <v>579</v>
      </c>
      <c r="R37" s="19">
        <f>Inventory_List_Table345[[#This Row],[AQ ROUND]]*1.4</f>
        <v>810.59999999999991</v>
      </c>
      <c r="S37" s="19">
        <f t="shared" si="3"/>
        <v>811</v>
      </c>
      <c r="T37" s="19">
        <f>Inventory_List_Table345[[#This Row],[LND ROUND]]*8</f>
        <v>6488</v>
      </c>
      <c r="U37" s="19">
        <f>Inventory_List_Table345[[#This Row],[AQ]]*Inventory_List_Table345[[#This Row],[Q]]</f>
        <v>578.89</v>
      </c>
      <c r="V37" s="438" t="s">
        <v>1283</v>
      </c>
      <c r="W37" s="438" t="s">
        <v>1284</v>
      </c>
    </row>
    <row r="38" spans="1:23" ht="30" customHeight="1" x14ac:dyDescent="0.25">
      <c r="A38" s="941" t="s">
        <v>192</v>
      </c>
      <c r="B38" s="434"/>
      <c r="C38" s="942" t="s">
        <v>311</v>
      </c>
      <c r="D38" s="441" t="s">
        <v>1285</v>
      </c>
      <c r="E38" s="435">
        <v>1</v>
      </c>
      <c r="F38" s="436">
        <v>518</v>
      </c>
      <c r="G38" s="436"/>
      <c r="H38" s="436"/>
      <c r="I38" s="436"/>
      <c r="J38" s="437">
        <f>Inventory_List_Table345[[#This Row],[KG]]*13.14</f>
        <v>6806.52</v>
      </c>
      <c r="K38" s="437">
        <f>Inventory_List_Table345[[#This Row],[Q]]*Inventory_List_Table345[[#This Row],[Per piece MXN$]]</f>
        <v>6806.52</v>
      </c>
      <c r="L38" s="4">
        <f>Inventory_List_Table345[[#This Row],[KG]]*2.20462</f>
        <v>1141.99316</v>
      </c>
      <c r="M38" s="18">
        <f>Inventory_List_Table345[[#This Row],[H CM]]/2.54</f>
        <v>0</v>
      </c>
      <c r="N38" s="18">
        <f>Inventory_List_Table345[[#This Row],[W CM]]/2.54</f>
        <v>0</v>
      </c>
      <c r="O38" s="944">
        <f>Inventory_List_Table345[[#This Row],[D CM ]]/2.54</f>
        <v>0</v>
      </c>
      <c r="P38" s="19">
        <f>Inventory_List_Table345[[#This Row],[Per piece MXN$]]/$U$2</f>
        <v>378.14000000000004</v>
      </c>
      <c r="Q38" s="19">
        <f t="shared" si="2"/>
        <v>378</v>
      </c>
      <c r="R38" s="19">
        <f>Inventory_List_Table345[[#This Row],[AQ ROUND]]*1.4</f>
        <v>529.19999999999993</v>
      </c>
      <c r="S38" s="19">
        <f t="shared" si="3"/>
        <v>529</v>
      </c>
      <c r="T38" s="19">
        <f>Inventory_List_Table345[[#This Row],[LND ROUND]]*8</f>
        <v>4232</v>
      </c>
      <c r="U38" s="19">
        <f>Inventory_List_Table345[[#This Row],[AQ]]*Inventory_List_Table345[[#This Row],[Q]]</f>
        <v>378.14000000000004</v>
      </c>
      <c r="V38" s="438" t="s">
        <v>1286</v>
      </c>
      <c r="W38" s="438" t="s">
        <v>607</v>
      </c>
    </row>
    <row r="39" spans="1:23" ht="30" customHeight="1" x14ac:dyDescent="0.25">
      <c r="A39" s="433" t="s">
        <v>193</v>
      </c>
      <c r="B39" s="434"/>
      <c r="C39" s="942"/>
      <c r="D39" s="439" t="s">
        <v>1375</v>
      </c>
      <c r="E39" s="435">
        <v>1</v>
      </c>
      <c r="F39" s="436">
        <v>533</v>
      </c>
      <c r="G39" s="436"/>
      <c r="H39" s="436"/>
      <c r="I39" s="436"/>
      <c r="J39" s="437">
        <f>Inventory_List_Table345[[#This Row],[KG]]*13.14</f>
        <v>7003.62</v>
      </c>
      <c r="K39" s="437">
        <f>Inventory_List_Table345[[#This Row],[Q]]*Inventory_List_Table345[[#This Row],[Per piece MXN$]]</f>
        <v>7003.62</v>
      </c>
      <c r="L39" s="4">
        <f>Inventory_List_Table345[[#This Row],[KG]]*2.20462</f>
        <v>1175.0624599999999</v>
      </c>
      <c r="M39" s="5">
        <f>Inventory_List_Table345[[#This Row],[H CM]]/2.54</f>
        <v>0</v>
      </c>
      <c r="N39" s="5">
        <f>Inventory_List_Table345[[#This Row],[W CM]]/2.54</f>
        <v>0</v>
      </c>
      <c r="O39" s="442">
        <f>Inventory_List_Table345[[#This Row],[D CM ]]/2.54</f>
        <v>0</v>
      </c>
      <c r="P39" s="6">
        <f>Inventory_List_Table345[[#This Row],[Per piece MXN$]]/$U$2</f>
        <v>389.09</v>
      </c>
      <c r="Q39" s="6">
        <f t="shared" si="2"/>
        <v>389</v>
      </c>
      <c r="R39" s="6">
        <f>Inventory_List_Table345[[#This Row],[AQ ROUND]]*1.4</f>
        <v>544.59999999999991</v>
      </c>
      <c r="S39" s="6">
        <f t="shared" si="3"/>
        <v>545</v>
      </c>
      <c r="T39" s="6">
        <f>Inventory_List_Table345[[#This Row],[LND ROUND]]*8</f>
        <v>4360</v>
      </c>
      <c r="U39" s="6">
        <f>Inventory_List_Table345[[#This Row],[AQ]]*Inventory_List_Table345[[#This Row],[Q]]</f>
        <v>389.09</v>
      </c>
      <c r="V39" s="438" t="s">
        <v>657</v>
      </c>
      <c r="W39" s="438" t="s">
        <v>656</v>
      </c>
    </row>
    <row r="40" spans="1:23" ht="30" customHeight="1" x14ac:dyDescent="0.25">
      <c r="A40" s="433" t="s">
        <v>194</v>
      </c>
      <c r="B40" s="434"/>
      <c r="C40" s="942"/>
      <c r="D40" s="439" t="s">
        <v>1376</v>
      </c>
      <c r="E40" s="435">
        <v>1</v>
      </c>
      <c r="F40" s="436">
        <v>463</v>
      </c>
      <c r="G40" s="436"/>
      <c r="H40" s="436"/>
      <c r="I40" s="436"/>
      <c r="J40" s="437">
        <f>Inventory_List_Table345[[#This Row],[KG]]*13.14</f>
        <v>6083.8200000000006</v>
      </c>
      <c r="K40" s="437">
        <f>Inventory_List_Table345[[#This Row],[Q]]*Inventory_List_Table345[[#This Row],[Per piece MXN$]]</f>
        <v>6083.8200000000006</v>
      </c>
      <c r="L40" s="4">
        <f>Inventory_List_Table345[[#This Row],[KG]]*2.20462</f>
        <v>1020.7390599999999</v>
      </c>
      <c r="M40" s="5">
        <f>Inventory_List_Table345[[#This Row],[H CM]]/2.54</f>
        <v>0</v>
      </c>
      <c r="N40" s="5">
        <f>Inventory_List_Table345[[#This Row],[W CM]]/2.54</f>
        <v>0</v>
      </c>
      <c r="O40" s="442">
        <f>Inventory_List_Table345[[#This Row],[D CM ]]/2.54</f>
        <v>0</v>
      </c>
      <c r="P40" s="6">
        <f>Inventory_List_Table345[[#This Row],[Per piece MXN$]]/$U$2</f>
        <v>337.99</v>
      </c>
      <c r="Q40" s="6">
        <f t="shared" si="2"/>
        <v>338</v>
      </c>
      <c r="R40" s="6">
        <f>Inventory_List_Table345[[#This Row],[AQ ROUND]]*1.4</f>
        <v>473.2</v>
      </c>
      <c r="S40" s="6">
        <f t="shared" si="3"/>
        <v>473</v>
      </c>
      <c r="T40" s="6">
        <f>Inventory_List_Table345[[#This Row],[LND ROUND]]*8</f>
        <v>3784</v>
      </c>
      <c r="U40" s="6">
        <f>Inventory_List_Table345[[#This Row],[AQ]]*Inventory_List_Table345[[#This Row],[Q]]</f>
        <v>337.99</v>
      </c>
      <c r="V40" s="438" t="s">
        <v>1300</v>
      </c>
      <c r="W40" s="438" t="s">
        <v>1301</v>
      </c>
    </row>
    <row r="41" spans="1:23" ht="30" customHeight="1" x14ac:dyDescent="0.25">
      <c r="A41" s="941" t="s">
        <v>195</v>
      </c>
      <c r="B41" s="434"/>
      <c r="C41" s="942" t="s">
        <v>311</v>
      </c>
      <c r="D41" s="441" t="s">
        <v>1287</v>
      </c>
      <c r="E41" s="435">
        <v>1</v>
      </c>
      <c r="F41" s="436">
        <v>741</v>
      </c>
      <c r="G41" s="436"/>
      <c r="H41" s="436"/>
      <c r="I41" s="436"/>
      <c r="J41" s="437">
        <f>Inventory_List_Table345[[#This Row],[KG]]*13.14</f>
        <v>9736.74</v>
      </c>
      <c r="K41" s="437">
        <f>Inventory_List_Table345[[#This Row],[Q]]*Inventory_List_Table345[[#This Row],[Per piece MXN$]]</f>
        <v>9736.74</v>
      </c>
      <c r="L41" s="4">
        <f>Inventory_List_Table345[[#This Row],[KG]]*2.20462</f>
        <v>1633.6234199999999</v>
      </c>
      <c r="M41" s="18">
        <f>Inventory_List_Table345[[#This Row],[H CM]]/2.54</f>
        <v>0</v>
      </c>
      <c r="N41" s="18">
        <f>Inventory_List_Table345[[#This Row],[W CM]]/2.54</f>
        <v>0</v>
      </c>
      <c r="O41" s="944">
        <f>Inventory_List_Table345[[#This Row],[D CM ]]/2.54</f>
        <v>0</v>
      </c>
      <c r="P41" s="19">
        <f>Inventory_List_Table345[[#This Row],[Per piece MXN$]]/$U$2</f>
        <v>540.92999999999995</v>
      </c>
      <c r="Q41" s="19">
        <f t="shared" si="2"/>
        <v>541</v>
      </c>
      <c r="R41" s="19">
        <f>Inventory_List_Table345[[#This Row],[AQ ROUND]]*1.4</f>
        <v>757.4</v>
      </c>
      <c r="S41" s="19">
        <f t="shared" si="3"/>
        <v>757</v>
      </c>
      <c r="T41" s="19">
        <f>Inventory_List_Table345[[#This Row],[LND ROUND]]*8</f>
        <v>6056</v>
      </c>
      <c r="U41" s="19">
        <f>Inventory_List_Table345[[#This Row],[AQ]]*Inventory_List_Table345[[#This Row],[Q]]</f>
        <v>540.92999999999995</v>
      </c>
      <c r="V41" s="438" t="s">
        <v>1288</v>
      </c>
      <c r="W41" s="438" t="s">
        <v>1289</v>
      </c>
    </row>
    <row r="42" spans="1:23" ht="30" customHeight="1" x14ac:dyDescent="0.25">
      <c r="A42" s="941" t="s">
        <v>196</v>
      </c>
      <c r="B42" s="434"/>
      <c r="C42" s="942" t="s">
        <v>311</v>
      </c>
      <c r="D42" s="441" t="s">
        <v>1290</v>
      </c>
      <c r="E42" s="435">
        <v>1</v>
      </c>
      <c r="F42" s="436">
        <v>690</v>
      </c>
      <c r="G42" s="436"/>
      <c r="H42" s="436"/>
      <c r="I42" s="436"/>
      <c r="J42" s="437">
        <f>Inventory_List_Table345[[#This Row],[KG]]*13.14</f>
        <v>9066.6</v>
      </c>
      <c r="K42" s="437">
        <f>Inventory_List_Table345[[#This Row],[Q]]*Inventory_List_Table345[[#This Row],[Per piece MXN$]]</f>
        <v>9066.6</v>
      </c>
      <c r="L42" s="4">
        <f>Inventory_List_Table345[[#This Row],[KG]]*2.20462</f>
        <v>1521.1877999999999</v>
      </c>
      <c r="M42" s="18">
        <f>Inventory_List_Table345[[#This Row],[H CM]]/2.54</f>
        <v>0</v>
      </c>
      <c r="N42" s="18">
        <f>Inventory_List_Table345[[#This Row],[W CM]]/2.54</f>
        <v>0</v>
      </c>
      <c r="O42" s="944">
        <f>Inventory_List_Table345[[#This Row],[D CM ]]/2.54</f>
        <v>0</v>
      </c>
      <c r="P42" s="19">
        <f>Inventory_List_Table345[[#This Row],[Per piece MXN$]]/$U$2</f>
        <v>503.70000000000005</v>
      </c>
      <c r="Q42" s="19">
        <f t="shared" si="2"/>
        <v>504</v>
      </c>
      <c r="R42" s="19">
        <f>Inventory_List_Table345[[#This Row],[AQ ROUND]]*1.4</f>
        <v>705.59999999999991</v>
      </c>
      <c r="S42" s="19">
        <f t="shared" si="3"/>
        <v>706</v>
      </c>
      <c r="T42" s="19">
        <f>Inventory_List_Table345[[#This Row],[LND ROUND]]*8</f>
        <v>5648</v>
      </c>
      <c r="U42" s="19">
        <f>Inventory_List_Table345[[#This Row],[AQ]]*Inventory_List_Table345[[#This Row],[Q]]</f>
        <v>503.70000000000005</v>
      </c>
      <c r="V42" s="438" t="s">
        <v>1291</v>
      </c>
      <c r="W42" s="438" t="s">
        <v>1292</v>
      </c>
    </row>
    <row r="43" spans="1:23" ht="30" customHeight="1" x14ac:dyDescent="0.25">
      <c r="A43" s="941" t="s">
        <v>197</v>
      </c>
      <c r="B43" s="434"/>
      <c r="C43" s="942" t="s">
        <v>311</v>
      </c>
      <c r="D43" s="441" t="s">
        <v>1293</v>
      </c>
      <c r="E43" s="435">
        <v>1</v>
      </c>
      <c r="F43" s="436">
        <v>822</v>
      </c>
      <c r="G43" s="436"/>
      <c r="H43" s="436"/>
      <c r="I43" s="436"/>
      <c r="J43" s="437">
        <f>Inventory_List_Table345[[#This Row],[KG]]*13.14</f>
        <v>10801.08</v>
      </c>
      <c r="K43" s="437">
        <f>Inventory_List_Table345[[#This Row],[Q]]*Inventory_List_Table345[[#This Row],[Per piece MXN$]]</f>
        <v>10801.08</v>
      </c>
      <c r="L43" s="4">
        <f>Inventory_List_Table345[[#This Row],[KG]]*2.20462</f>
        <v>1812.1976399999999</v>
      </c>
      <c r="M43" s="18">
        <f>Inventory_List_Table345[[#This Row],[H CM]]/2.54</f>
        <v>0</v>
      </c>
      <c r="N43" s="18">
        <f>Inventory_List_Table345[[#This Row],[W CM]]/2.54</f>
        <v>0</v>
      </c>
      <c r="O43" s="944">
        <f>Inventory_List_Table345[[#This Row],[D CM ]]/2.54</f>
        <v>0</v>
      </c>
      <c r="P43" s="19">
        <f>Inventory_List_Table345[[#This Row],[Per piece MXN$]]/$U$2</f>
        <v>600.05999999999995</v>
      </c>
      <c r="Q43" s="19">
        <f t="shared" si="2"/>
        <v>600</v>
      </c>
      <c r="R43" s="19">
        <f>Inventory_List_Table345[[#This Row],[AQ ROUND]]*1.4</f>
        <v>840</v>
      </c>
      <c r="S43" s="19">
        <f t="shared" si="3"/>
        <v>840</v>
      </c>
      <c r="T43" s="19">
        <f>Inventory_List_Table345[[#This Row],[LND ROUND]]*8</f>
        <v>6720</v>
      </c>
      <c r="U43" s="19">
        <f>Inventory_List_Table345[[#This Row],[AQ]]*Inventory_List_Table345[[#This Row],[Q]]</f>
        <v>600.05999999999995</v>
      </c>
      <c r="V43" s="438" t="s">
        <v>1294</v>
      </c>
      <c r="W43" s="438" t="s">
        <v>1295</v>
      </c>
    </row>
    <row r="44" spans="1:23" ht="30" customHeight="1" x14ac:dyDescent="0.25">
      <c r="A44" s="941" t="s">
        <v>198</v>
      </c>
      <c r="B44" s="434"/>
      <c r="C44" s="942" t="s">
        <v>311</v>
      </c>
      <c r="D44" s="441" t="s">
        <v>1296</v>
      </c>
      <c r="E44" s="435">
        <v>1</v>
      </c>
      <c r="F44" s="436">
        <v>603</v>
      </c>
      <c r="G44" s="436"/>
      <c r="H44" s="436"/>
      <c r="I44" s="436"/>
      <c r="J44" s="437">
        <f>Inventory_List_Table345[[#This Row],[KG]]*13.14</f>
        <v>7923.42</v>
      </c>
      <c r="K44" s="437">
        <f>Inventory_List_Table345[[#This Row],[Q]]*Inventory_List_Table345[[#This Row],[Per piece MXN$]]</f>
        <v>7923.42</v>
      </c>
      <c r="L44" s="4">
        <f>Inventory_List_Table345[[#This Row],[KG]]*2.20462</f>
        <v>1329.3858599999999</v>
      </c>
      <c r="M44" s="18">
        <f>Inventory_List_Table345[[#This Row],[H CM]]/2.54</f>
        <v>0</v>
      </c>
      <c r="N44" s="18">
        <f>Inventory_List_Table345[[#This Row],[W CM]]/2.54</f>
        <v>0</v>
      </c>
      <c r="O44" s="944">
        <f>Inventory_List_Table345[[#This Row],[D CM ]]/2.54</f>
        <v>0</v>
      </c>
      <c r="P44" s="19">
        <f>Inventory_List_Table345[[#This Row],[Per piece MXN$]]/$U$2</f>
        <v>440.19</v>
      </c>
      <c r="Q44" s="19">
        <f t="shared" si="2"/>
        <v>440</v>
      </c>
      <c r="R44" s="19">
        <f>Inventory_List_Table345[[#This Row],[AQ ROUND]]*1.4</f>
        <v>616</v>
      </c>
      <c r="S44" s="19">
        <f t="shared" si="3"/>
        <v>616</v>
      </c>
      <c r="T44" s="19">
        <f>Inventory_List_Table345[[#This Row],[LND ROUND]]*8</f>
        <v>4928</v>
      </c>
      <c r="U44" s="19">
        <f>Inventory_List_Table345[[#This Row],[AQ]]*Inventory_List_Table345[[#This Row],[Q]]</f>
        <v>440.19</v>
      </c>
      <c r="V44" s="438" t="s">
        <v>1297</v>
      </c>
      <c r="W44" s="438" t="s">
        <v>1298</v>
      </c>
    </row>
    <row r="45" spans="1:23" ht="30" customHeight="1" x14ac:dyDescent="0.25">
      <c r="A45" s="941" t="s">
        <v>199</v>
      </c>
      <c r="B45" s="434"/>
      <c r="C45" s="942" t="s">
        <v>172</v>
      </c>
      <c r="D45" s="441" t="s">
        <v>1299</v>
      </c>
      <c r="E45" s="435">
        <v>1</v>
      </c>
      <c r="F45" s="436">
        <v>463</v>
      </c>
      <c r="G45" s="436"/>
      <c r="H45" s="436"/>
      <c r="I45" s="436"/>
      <c r="J45" s="437">
        <f>Inventory_List_Table345[[#This Row],[KG]]*13.14</f>
        <v>6083.8200000000006</v>
      </c>
      <c r="K45" s="437">
        <f>Inventory_List_Table345[[#This Row],[Q]]*Inventory_List_Table345[[#This Row],[Per piece MXN$]]</f>
        <v>6083.8200000000006</v>
      </c>
      <c r="L45" s="4">
        <f>Inventory_List_Table345[[#This Row],[KG]]*2.20462</f>
        <v>1020.7390599999999</v>
      </c>
      <c r="M45" s="18">
        <f>Inventory_List_Table345[[#This Row],[H CM]]/2.54</f>
        <v>0</v>
      </c>
      <c r="N45" s="18">
        <f>Inventory_List_Table345[[#This Row],[W CM]]/2.54</f>
        <v>0</v>
      </c>
      <c r="O45" s="944">
        <f>Inventory_List_Table345[[#This Row],[D CM ]]/2.54</f>
        <v>0</v>
      </c>
      <c r="P45" s="19">
        <f>Inventory_List_Table345[[#This Row],[Per piece MXN$]]/$U$2</f>
        <v>337.99</v>
      </c>
      <c r="Q45" s="19">
        <f t="shared" si="2"/>
        <v>338</v>
      </c>
      <c r="R45" s="19">
        <f>Inventory_List_Table345[[#This Row],[AQ ROUND]]*1.4</f>
        <v>473.2</v>
      </c>
      <c r="S45" s="19">
        <f t="shared" si="3"/>
        <v>473</v>
      </c>
      <c r="T45" s="19">
        <f>Inventory_List_Table345[[#This Row],[LND ROUND]]*8</f>
        <v>3784</v>
      </c>
      <c r="U45" s="19">
        <f>Inventory_List_Table345[[#This Row],[AQ]]*Inventory_List_Table345[[#This Row],[Q]]</f>
        <v>337.99</v>
      </c>
      <c r="V45" s="438" t="s">
        <v>1300</v>
      </c>
      <c r="W45" s="438" t="s">
        <v>1301</v>
      </c>
    </row>
    <row r="46" spans="1:23" ht="30" customHeight="1" x14ac:dyDescent="0.25">
      <c r="A46" s="941" t="s">
        <v>200</v>
      </c>
      <c r="B46" s="434"/>
      <c r="C46" s="942" t="s">
        <v>172</v>
      </c>
      <c r="D46" s="441" t="s">
        <v>1302</v>
      </c>
      <c r="E46" s="435">
        <v>1</v>
      </c>
      <c r="F46" s="436">
        <v>533</v>
      </c>
      <c r="G46" s="436"/>
      <c r="H46" s="436"/>
      <c r="I46" s="436"/>
      <c r="J46" s="437">
        <f>Inventory_List_Table345[[#This Row],[KG]]*13.14</f>
        <v>7003.62</v>
      </c>
      <c r="K46" s="437">
        <f>Inventory_List_Table345[[#This Row],[Q]]*Inventory_List_Table345[[#This Row],[Per piece MXN$]]</f>
        <v>7003.62</v>
      </c>
      <c r="L46" s="4">
        <f>Inventory_List_Table345[[#This Row],[KG]]*2.20462</f>
        <v>1175.0624599999999</v>
      </c>
      <c r="M46" s="18">
        <f>Inventory_List_Table345[[#This Row],[H CM]]/2.54</f>
        <v>0</v>
      </c>
      <c r="N46" s="18">
        <f>Inventory_List_Table345[[#This Row],[W CM]]/2.54</f>
        <v>0</v>
      </c>
      <c r="O46" s="944">
        <f>Inventory_List_Table345[[#This Row],[D CM ]]/2.54</f>
        <v>0</v>
      </c>
      <c r="P46" s="19">
        <f>Inventory_List_Table345[[#This Row],[Per piece MXN$]]/$U$2</f>
        <v>389.09</v>
      </c>
      <c r="Q46" s="19">
        <f t="shared" si="2"/>
        <v>389</v>
      </c>
      <c r="R46" s="19">
        <f>Inventory_List_Table345[[#This Row],[AQ ROUND]]*1.4</f>
        <v>544.59999999999991</v>
      </c>
      <c r="S46" s="19">
        <f t="shared" si="3"/>
        <v>545</v>
      </c>
      <c r="T46" s="19">
        <f>Inventory_List_Table345[[#This Row],[LND ROUND]]*8</f>
        <v>4360</v>
      </c>
      <c r="U46" s="19">
        <f>Inventory_List_Table345[[#This Row],[AQ]]*Inventory_List_Table345[[#This Row],[Q]]</f>
        <v>389.09</v>
      </c>
      <c r="V46" s="438" t="s">
        <v>657</v>
      </c>
      <c r="W46" s="438" t="s">
        <v>656</v>
      </c>
    </row>
    <row r="47" spans="1:23" ht="30" customHeight="1" x14ac:dyDescent="0.25">
      <c r="A47" s="433" t="s">
        <v>201</v>
      </c>
      <c r="B47" s="434"/>
      <c r="C47" s="942" t="s">
        <v>381</v>
      </c>
      <c r="D47" s="439" t="s">
        <v>1377</v>
      </c>
      <c r="E47" s="435">
        <v>1</v>
      </c>
      <c r="F47" s="436">
        <v>2350</v>
      </c>
      <c r="G47" s="436"/>
      <c r="H47" s="436"/>
      <c r="I47" s="436"/>
      <c r="J47" s="437">
        <f>Inventory_List_Table345[[#This Row],[KG]]*13.14</f>
        <v>30879</v>
      </c>
      <c r="K47" s="437">
        <f>Inventory_List_Table345[[#This Row],[Q]]*Inventory_List_Table345[[#This Row],[Per piece MXN$]]</f>
        <v>30879</v>
      </c>
      <c r="L47" s="4">
        <f>Inventory_List_Table345[[#This Row],[KG]]*2.20462</f>
        <v>5180.857</v>
      </c>
      <c r="M47" s="5">
        <f>Inventory_List_Table345[[#This Row],[H CM]]/2.54</f>
        <v>0</v>
      </c>
      <c r="N47" s="5">
        <f>Inventory_List_Table345[[#This Row],[W CM]]/2.54</f>
        <v>0</v>
      </c>
      <c r="O47" s="442">
        <f>Inventory_List_Table345[[#This Row],[D CM ]]/2.54</f>
        <v>0</v>
      </c>
      <c r="P47" s="6">
        <f>Inventory_List_Table345[[#This Row],[Per piece MXN$]]/$U$2</f>
        <v>1715.5</v>
      </c>
      <c r="Q47" s="6">
        <f t="shared" si="2"/>
        <v>1716</v>
      </c>
      <c r="R47" s="6">
        <f>Inventory_List_Table345[[#This Row],[AQ ROUND]]*1.4</f>
        <v>2402.3999999999996</v>
      </c>
      <c r="S47" s="6">
        <f t="shared" si="3"/>
        <v>2402</v>
      </c>
      <c r="T47" s="6">
        <f>Inventory_List_Table345[[#This Row],[LND ROUND]]*8</f>
        <v>19216</v>
      </c>
      <c r="U47" s="6">
        <f>Inventory_List_Table345[[#This Row],[AQ]]*Inventory_List_Table345[[#This Row],[Q]]</f>
        <v>1715.5</v>
      </c>
      <c r="V47" s="438" t="s">
        <v>1443</v>
      </c>
      <c r="W47" s="438" t="s">
        <v>1444</v>
      </c>
    </row>
  </sheetData>
  <mergeCells count="1">
    <mergeCell ref="Q1:Q2"/>
  </mergeCells>
  <phoneticPr fontId="3" type="noConversion"/>
  <dataValidations count="12">
    <dataValidation allowBlank="1" showInputMessage="1" showErrorMessage="1" prompt="Enter company name in this cell" sqref="A2" xr:uid="{425E2456-CE9F-4607-9B58-4757693F8F17}"/>
    <dataValidation allowBlank="1" showInputMessage="1" showErrorMessage="1" prompt="Enter a description of the item in this column" sqref="E3" xr:uid="{FEC1A34E-059C-4D14-8EA9-0983B04096C0}"/>
    <dataValidation allowBlank="1" showInputMessage="1" showErrorMessage="1" prompt="Enter the unit price of each item in this column" sqref="F3" xr:uid="{E5C9C8AF-885E-43CA-96C7-37C4491B161D}"/>
    <dataValidation allowBlank="1" showInputMessage="1" showErrorMessage="1" prompt="Enter the quantity in stock for each item in this column" sqref="G3" xr:uid="{836CB418-1731-45DE-961E-906173BF55A4}"/>
    <dataValidation allowBlank="1" showInputMessage="1" showErrorMessage="1" prompt="This is an automated column._x000a__x000a_The inventory value for each item is automatically calculated in this column." sqref="H3" xr:uid="{0EC6B7A4-3924-4E57-A73E-7A5EC49EDF37}"/>
    <dataValidation allowBlank="1" showInputMessage="1" showErrorMessage="1" prompt="Enter the reorder level for each item in this column" sqref="I3" xr:uid="{48A7E3D7-EB7C-4A60-A730-310A631B4246}"/>
    <dataValidation allowBlank="1" showInputMessage="1" showErrorMessage="1" prompt="Enter the number of days it takes to reorder each item in this column" sqref="J3:L3" xr:uid="{307428C9-E9FD-493F-900C-43C0D695CB78}"/>
    <dataValidation allowBlank="1" showInputMessage="1" showErrorMessage="1" prompt="Enter the quantity in reorder for each item in this column" sqref="M3" xr:uid="{01C9D12E-1656-4550-8005-0E612DBE0023}"/>
    <dataValidation allowBlank="1" showInputMessage="1" showErrorMessage="1" prompt="Enter yes if the item has been discontinued. When a yes is entered, the corresponding row is highlighted a light grey and the font style changed to strikethrough" sqref="N3" xr:uid="{A59D8DC8-DD56-4E6F-8A62-2EBE9EFAFB19}"/>
    <dataValidation allowBlank="1" showInputMessage="1" showErrorMessage="1" prompt="Enter the name of the item in this column" sqref="D3" xr:uid="{840FDE6C-AF22-4B12-BF87-A07346ADA734}"/>
    <dataValidation allowBlank="1" showInputMessage="1" showErrorMessage="1" prompt="Enter the item inventory ID in this column" sqref="C3" xr:uid="{B790540E-95B6-4178-89C4-3282BC5734E3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482348D6-4776-4648-ACAC-E1E492FD99F1}"/>
  </dataValidations>
  <printOptions horizontalCentered="1"/>
  <pageMargins left="0.25" right="0.25" top="0.75" bottom="0.75" header="0.3" footer="0.3"/>
  <pageSetup scale="24" fitToHeight="0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459D-930F-4360-9594-8DE327965B1A}">
  <sheetPr>
    <tabColor rgb="FFEAA7CA"/>
    <pageSetUpPr fitToPage="1"/>
  </sheetPr>
  <dimension ref="A1:AA58"/>
  <sheetViews>
    <sheetView showGridLines="0" topLeftCell="C1" zoomScale="70" zoomScaleNormal="70" workbookViewId="0">
      <selection activeCell="V4" sqref="V4:W58"/>
    </sheetView>
  </sheetViews>
  <sheetFormatPr defaultColWidth="8.625" defaultRowHeight="24" customHeight="1" x14ac:dyDescent="0.25"/>
  <cols>
    <col min="1" max="1" width="4.125" style="76" customWidth="1"/>
    <col min="2" max="2" width="15.5" style="77" customWidth="1"/>
    <col min="3" max="3" width="29.375" style="78" customWidth="1"/>
    <col min="4" max="4" width="22" style="78" bestFit="1" customWidth="1"/>
    <col min="5" max="5" width="9.875" style="78" bestFit="1" customWidth="1"/>
    <col min="6" max="6" width="9.25" style="79" bestFit="1" customWidth="1"/>
    <col min="7" max="7" width="8.125" style="79" bestFit="1" customWidth="1"/>
    <col min="8" max="8" width="8.75" style="79" bestFit="1" customWidth="1"/>
    <col min="9" max="9" width="8.125" style="79" bestFit="1" customWidth="1"/>
    <col min="10" max="10" width="19.5" style="79" bestFit="1" customWidth="1"/>
    <col min="11" max="11" width="27.125" style="79" bestFit="1" customWidth="1"/>
    <col min="12" max="12" width="12.75" style="79" bestFit="1" customWidth="1"/>
    <col min="13" max="13" width="11.5" style="79" customWidth="1"/>
    <col min="14" max="14" width="11.25" style="78" bestFit="1" customWidth="1"/>
    <col min="15" max="15" width="11.375" style="45" customWidth="1"/>
    <col min="16" max="17" width="13.75" style="45" customWidth="1"/>
    <col min="18" max="19" width="15.5" style="45" customWidth="1"/>
    <col min="20" max="20" width="18.125" style="45" bestFit="1" customWidth="1"/>
    <col min="21" max="21" width="15" style="45" customWidth="1"/>
    <col min="22" max="22" width="7.5" style="45" bestFit="1" customWidth="1"/>
    <col min="23" max="23" width="8.125" style="45" bestFit="1" customWidth="1"/>
    <col min="25" max="25" width="16.125" bestFit="1" customWidth="1"/>
    <col min="28" max="16384" width="8.625" style="45"/>
  </cols>
  <sheetData>
    <row r="1" spans="1:27" ht="36.75" x14ac:dyDescent="0.6">
      <c r="A1" s="448" t="s">
        <v>119</v>
      </c>
      <c r="B1" s="449"/>
      <c r="C1" s="449"/>
      <c r="D1" s="450"/>
      <c r="E1" s="451"/>
      <c r="F1" s="449"/>
      <c r="G1" s="452"/>
      <c r="H1" s="452"/>
      <c r="I1" s="453"/>
      <c r="J1" s="454" t="s">
        <v>132</v>
      </c>
      <c r="K1" s="455">
        <f>SUM(K11:K58)</f>
        <v>164517</v>
      </c>
      <c r="L1" s="456"/>
      <c r="M1" s="457"/>
      <c r="N1" s="449"/>
      <c r="O1" s="452"/>
      <c r="P1" s="452"/>
      <c r="Q1" s="1069"/>
      <c r="R1" s="458"/>
      <c r="S1" s="459"/>
      <c r="T1" s="460" t="s">
        <v>133</v>
      </c>
      <c r="U1" s="461">
        <v>825</v>
      </c>
      <c r="V1" s="452"/>
      <c r="W1" s="452"/>
    </row>
    <row r="2" spans="1:27" ht="31.5" x14ac:dyDescent="0.45">
      <c r="A2" s="462" t="s">
        <v>322</v>
      </c>
      <c r="B2" s="463"/>
      <c r="C2" s="463"/>
      <c r="D2" s="464"/>
      <c r="E2" s="465"/>
      <c r="F2" s="466"/>
      <c r="G2" s="467"/>
      <c r="H2" s="452"/>
      <c r="I2" s="468"/>
      <c r="J2" s="468"/>
      <c r="K2" s="855">
        <f>SUM(Inventory_List_Table341116[TOTAL PESOS])</f>
        <v>192482</v>
      </c>
      <c r="L2" s="468"/>
      <c r="M2" s="449"/>
      <c r="N2" s="449"/>
      <c r="O2" s="452"/>
      <c r="P2" s="452"/>
      <c r="Q2" s="1070"/>
      <c r="R2" s="469"/>
      <c r="S2" s="459"/>
      <c r="T2" s="460" t="s">
        <v>134</v>
      </c>
      <c r="U2" s="470">
        <v>18</v>
      </c>
      <c r="V2" s="451"/>
      <c r="W2" s="459"/>
      <c r="Y2" s="471">
        <f>AVERAGE(Inventory_List_Table341116[Column2])</f>
        <v>2247.4161072788138</v>
      </c>
    </row>
    <row r="3" spans="1:27" s="67" customFormat="1" ht="40.9" customHeight="1" x14ac:dyDescent="0.25">
      <c r="A3" s="472" t="s">
        <v>135</v>
      </c>
      <c r="B3" s="473" t="s">
        <v>122</v>
      </c>
      <c r="C3" s="473" t="s">
        <v>136</v>
      </c>
      <c r="D3" s="474" t="s">
        <v>137</v>
      </c>
      <c r="E3" s="475" t="s">
        <v>123</v>
      </c>
      <c r="F3" s="476" t="s">
        <v>124</v>
      </c>
      <c r="G3" s="476" t="s">
        <v>130</v>
      </c>
      <c r="H3" s="476" t="s">
        <v>125</v>
      </c>
      <c r="I3" s="476" t="s">
        <v>126</v>
      </c>
      <c r="J3" s="476" t="s">
        <v>138</v>
      </c>
      <c r="K3" s="473" t="s">
        <v>139</v>
      </c>
      <c r="L3" s="916" t="s">
        <v>127</v>
      </c>
      <c r="M3" s="916" t="s">
        <v>140</v>
      </c>
      <c r="N3" s="916" t="s">
        <v>141</v>
      </c>
      <c r="O3" s="916" t="s">
        <v>142</v>
      </c>
      <c r="P3" s="477" t="s">
        <v>143</v>
      </c>
      <c r="Q3" s="473" t="s">
        <v>144</v>
      </c>
      <c r="R3" s="477" t="s">
        <v>145</v>
      </c>
      <c r="S3" s="477" t="s">
        <v>146</v>
      </c>
      <c r="T3" s="477" t="s">
        <v>2</v>
      </c>
      <c r="U3" s="478" t="s">
        <v>128</v>
      </c>
      <c r="V3" s="478" t="s">
        <v>131</v>
      </c>
      <c r="W3" s="479" t="s">
        <v>1</v>
      </c>
      <c r="X3" s="473" t="s">
        <v>418</v>
      </c>
      <c r="Y3" s="473" t="s">
        <v>441</v>
      </c>
    </row>
    <row r="4" spans="1:27" ht="30" customHeight="1" x14ac:dyDescent="0.3">
      <c r="A4" s="480" t="s">
        <v>147</v>
      </c>
      <c r="B4" s="69"/>
      <c r="C4" s="70" t="s">
        <v>323</v>
      </c>
      <c r="D4" s="964" t="s">
        <v>1154</v>
      </c>
      <c r="E4" s="482">
        <v>12</v>
      </c>
      <c r="F4" s="483">
        <v>5.9855999999999998</v>
      </c>
      <c r="G4" s="483">
        <v>40</v>
      </c>
      <c r="H4" s="483">
        <v>12</v>
      </c>
      <c r="I4" s="483">
        <v>12</v>
      </c>
      <c r="J4" s="484">
        <v>420</v>
      </c>
      <c r="K4" s="1">
        <f>Inventory_List_Table341116[[#This Row],[Q]]*Inventory_List_Table341116[[#This Row],[Per piece MXN$]]</f>
        <v>5040</v>
      </c>
      <c r="L4" s="14">
        <f>Inventory_List_Table341116[[#This Row],[KG]]*2.20462</f>
        <v>13.195973471999999</v>
      </c>
      <c r="M4" s="2">
        <f>Inventory_List_Table341116[[#This Row],[H CM]]/2.54</f>
        <v>15.748031496062993</v>
      </c>
      <c r="N4" s="2">
        <f>Inventory_List_Table341116[[#This Row],[W CM]]/2.54</f>
        <v>4.7244094488188972</v>
      </c>
      <c r="O4" s="2">
        <f>Inventory_List_Table341116[[#This Row],[D CM ]]/2.54</f>
        <v>4.7244094488188972</v>
      </c>
      <c r="P4" s="3">
        <f>Inventory_List_Table341116[[#This Row],[Per piece MXN$]]/$U$2</f>
        <v>23.333333333333332</v>
      </c>
      <c r="Q4" s="3">
        <f t="shared" ref="Q4:Q28" si="0">IF(MOD(P4,1)&gt;0.4,ROUNDUP(P4,0),ROUNDDOWN(P4,0))</f>
        <v>23</v>
      </c>
      <c r="R4" s="3">
        <f>Inventory_List_Table341116[[#This Row],[AQ ROUND]]*1.4</f>
        <v>32.199999999999996</v>
      </c>
      <c r="S4" s="3">
        <f t="shared" ref="S4:S28" si="1">IF(MOD(R4,1)&gt;0.4,ROUNDUP(R4,0),ROUNDDOWN(R4,0))</f>
        <v>32</v>
      </c>
      <c r="T4" s="3">
        <f>Inventory_List_Table341116[[#This Row],[LND ROUND]]*8</f>
        <v>256</v>
      </c>
      <c r="U4" s="3">
        <f>Inventory_List_Table341116[[#This Row],[AQ]]*Inventory_List_Table341116[[#This Row],[Q]]</f>
        <v>280</v>
      </c>
      <c r="V4" s="74" t="s">
        <v>689</v>
      </c>
      <c r="W4" s="74" t="s">
        <v>688</v>
      </c>
      <c r="X4" s="176">
        <f>Inventory_List_Table341116[[#This Row],[H CM]]*Inventory_List_Table341116[[#This Row],[W CM]]*4+Inventory_List_Table341116[[#This Row],[D CM ]]*Inventory_List_Table341116[[#This Row],[D CM ]]</f>
        <v>2064</v>
      </c>
      <c r="Y4" s="177">
        <f>Inventory_List_Table341116[[#This Row],[Per piece MXN$]]/Inventory_List_Table341116[[#This Row],[SQCM]]*10000</f>
        <v>2034.8837209302326</v>
      </c>
      <c r="Z4" s="485">
        <f>Inventory_List_Table341116[[#This Row],[SQCM]]/10000*29</f>
        <v>5.9855999999999998</v>
      </c>
    </row>
    <row r="5" spans="1:27" ht="30" customHeight="1" x14ac:dyDescent="0.3">
      <c r="A5" s="480" t="s">
        <v>148</v>
      </c>
      <c r="B5" s="69"/>
      <c r="C5" s="70" t="s">
        <v>323</v>
      </c>
      <c r="D5" s="964" t="s">
        <v>1155</v>
      </c>
      <c r="E5" s="481">
        <v>5</v>
      </c>
      <c r="F5" s="483">
        <v>8.1664000000000012</v>
      </c>
      <c r="G5" s="483">
        <v>40</v>
      </c>
      <c r="H5" s="483">
        <v>16</v>
      </c>
      <c r="I5" s="483">
        <v>16</v>
      </c>
      <c r="J5" s="484">
        <v>605</v>
      </c>
      <c r="K5" s="1">
        <f>Inventory_List_Table341116[[#This Row],[Q]]*Inventory_List_Table341116[[#This Row],[Per piece MXN$]]</f>
        <v>3025</v>
      </c>
      <c r="L5" s="14">
        <f>Inventory_List_Table341116[[#This Row],[KG]]*2.20462</f>
        <v>18.003808768000003</v>
      </c>
      <c r="M5" s="2">
        <f>Inventory_List_Table341116[[#This Row],[H CM]]/2.54</f>
        <v>15.748031496062993</v>
      </c>
      <c r="N5" s="2">
        <f>Inventory_List_Table341116[[#This Row],[W CM]]/2.54</f>
        <v>6.2992125984251963</v>
      </c>
      <c r="O5" s="2">
        <f>Inventory_List_Table341116[[#This Row],[D CM ]]/2.54</f>
        <v>6.2992125984251963</v>
      </c>
      <c r="P5" s="3">
        <f>Inventory_List_Table341116[[#This Row],[Per piece MXN$]]/$U$2</f>
        <v>33.611111111111114</v>
      </c>
      <c r="Q5" s="3">
        <f t="shared" si="0"/>
        <v>34</v>
      </c>
      <c r="R5" s="3">
        <f>Inventory_List_Table341116[[#This Row],[AQ ROUND]]*1.4</f>
        <v>47.599999999999994</v>
      </c>
      <c r="S5" s="3">
        <f t="shared" si="1"/>
        <v>48</v>
      </c>
      <c r="T5" s="3">
        <f>Inventory_List_Table341116[[#This Row],[LND ROUND]]*8</f>
        <v>384</v>
      </c>
      <c r="U5" s="3">
        <f>Inventory_List_Table341116[[#This Row],[AQ]]*Inventory_List_Table341116[[#This Row],[Q]]</f>
        <v>168.05555555555557</v>
      </c>
      <c r="V5" s="74" t="s">
        <v>691</v>
      </c>
      <c r="W5" s="74" t="s">
        <v>772</v>
      </c>
      <c r="X5" s="176">
        <f>Inventory_List_Table341116[[#This Row],[H CM]]*Inventory_List_Table341116[[#This Row],[W CM]]*4+Inventory_List_Table341116[[#This Row],[D CM ]]*Inventory_List_Table341116[[#This Row],[D CM ]]</f>
        <v>2816</v>
      </c>
      <c r="Y5" s="177">
        <f>Inventory_List_Table341116[[#This Row],[Per piece MXN$]]/Inventory_List_Table341116[[#This Row],[SQCM]]*10000</f>
        <v>2148.4375</v>
      </c>
      <c r="Z5" s="485">
        <f>Inventory_List_Table341116[[#This Row],[SQCM]]/10000*29</f>
        <v>8.1664000000000012</v>
      </c>
    </row>
    <row r="6" spans="1:27" ht="30" customHeight="1" x14ac:dyDescent="0.3">
      <c r="A6" s="480" t="s">
        <v>149</v>
      </c>
      <c r="B6" s="69"/>
      <c r="C6" s="70" t="s">
        <v>323</v>
      </c>
      <c r="D6" s="964" t="s">
        <v>1156</v>
      </c>
      <c r="E6" s="481">
        <v>10</v>
      </c>
      <c r="F6" s="483">
        <v>5.2896000000000001</v>
      </c>
      <c r="G6" s="483">
        <v>35</v>
      </c>
      <c r="H6" s="483">
        <v>12</v>
      </c>
      <c r="I6" s="483">
        <v>12</v>
      </c>
      <c r="J6" s="484">
        <v>410</v>
      </c>
      <c r="K6" s="1">
        <f>Inventory_List_Table341116[[#This Row],[Q]]*Inventory_List_Table341116[[#This Row],[Per piece MXN$]]</f>
        <v>4100</v>
      </c>
      <c r="L6" s="14">
        <f>Inventory_List_Table341116[[#This Row],[KG]]*2.20462</f>
        <v>11.661557951999999</v>
      </c>
      <c r="M6" s="2">
        <f>Inventory_List_Table341116[[#This Row],[H CM]]/2.54</f>
        <v>13.779527559055119</v>
      </c>
      <c r="N6" s="2">
        <f>Inventory_List_Table341116[[#This Row],[W CM]]/2.54</f>
        <v>4.7244094488188972</v>
      </c>
      <c r="O6" s="2">
        <f>Inventory_List_Table341116[[#This Row],[D CM ]]/2.54</f>
        <v>4.7244094488188972</v>
      </c>
      <c r="P6" s="3">
        <f>Inventory_List_Table341116[[#This Row],[Per piece MXN$]]/$U$2</f>
        <v>22.777777777777779</v>
      </c>
      <c r="Q6" s="3">
        <f t="shared" si="0"/>
        <v>23</v>
      </c>
      <c r="R6" s="3">
        <f>Inventory_List_Table341116[[#This Row],[AQ ROUND]]*1.4</f>
        <v>32.199999999999996</v>
      </c>
      <c r="S6" s="3">
        <f t="shared" si="1"/>
        <v>32</v>
      </c>
      <c r="T6" s="3">
        <f>Inventory_List_Table341116[[#This Row],[LND ROUND]]*8</f>
        <v>256</v>
      </c>
      <c r="U6" s="3">
        <f>Inventory_List_Table341116[[#This Row],[AQ]]*Inventory_List_Table341116[[#This Row],[Q]]</f>
        <v>227.77777777777777</v>
      </c>
      <c r="V6" s="74" t="s">
        <v>689</v>
      </c>
      <c r="W6" s="74" t="s">
        <v>688</v>
      </c>
      <c r="X6" s="176">
        <f>Inventory_List_Table341116[[#This Row],[H CM]]*Inventory_List_Table341116[[#This Row],[W CM]]*4+Inventory_List_Table341116[[#This Row],[D CM ]]*Inventory_List_Table341116[[#This Row],[D CM ]]</f>
        <v>1824</v>
      </c>
      <c r="Y6" s="177">
        <f>Inventory_List_Table341116[[#This Row],[Per piece MXN$]]/Inventory_List_Table341116[[#This Row],[SQCM]]*10000</f>
        <v>2247.8070175438597</v>
      </c>
      <c r="Z6" s="485">
        <f>Inventory_List_Table341116[[#This Row],[SQCM]]/10000*29</f>
        <v>5.2896000000000001</v>
      </c>
    </row>
    <row r="7" spans="1:27" ht="30" customHeight="1" x14ac:dyDescent="0.3">
      <c r="A7" s="480" t="s">
        <v>150</v>
      </c>
      <c r="B7" s="69"/>
      <c r="C7" s="70" t="s">
        <v>323</v>
      </c>
      <c r="D7" s="964" t="s">
        <v>1157</v>
      </c>
      <c r="E7" s="481">
        <v>23</v>
      </c>
      <c r="F7" s="483">
        <v>4.5936000000000003</v>
      </c>
      <c r="G7" s="483">
        <v>30</v>
      </c>
      <c r="H7" s="483">
        <v>12</v>
      </c>
      <c r="I7" s="483">
        <v>12</v>
      </c>
      <c r="J7" s="484">
        <v>350</v>
      </c>
      <c r="K7" s="1">
        <f>Inventory_List_Table341116[[#This Row],[Q]]*Inventory_List_Table341116[[#This Row],[Per piece MXN$]]</f>
        <v>8050</v>
      </c>
      <c r="L7" s="14">
        <f>Inventory_List_Table341116[[#This Row],[KG]]*2.20462</f>
        <v>10.127142431999999</v>
      </c>
      <c r="M7" s="2">
        <f>Inventory_List_Table341116[[#This Row],[H CM]]/2.54</f>
        <v>11.811023622047244</v>
      </c>
      <c r="N7" s="2">
        <f>Inventory_List_Table341116[[#This Row],[W CM]]/2.54</f>
        <v>4.7244094488188972</v>
      </c>
      <c r="O7" s="2">
        <f>Inventory_List_Table341116[[#This Row],[D CM ]]/2.54</f>
        <v>4.7244094488188972</v>
      </c>
      <c r="P7" s="3">
        <f>Inventory_List_Table341116[[#This Row],[Per piece MXN$]]/$U$2</f>
        <v>19.444444444444443</v>
      </c>
      <c r="Q7" s="3">
        <f t="shared" si="0"/>
        <v>20</v>
      </c>
      <c r="R7" s="3">
        <f>Inventory_List_Table341116[[#This Row],[AQ ROUND]]*1.4</f>
        <v>28</v>
      </c>
      <c r="S7" s="3">
        <f t="shared" si="1"/>
        <v>28</v>
      </c>
      <c r="T7" s="3">
        <f>Inventory_List_Table341116[[#This Row],[LND ROUND]]*8</f>
        <v>224</v>
      </c>
      <c r="U7" s="3">
        <f>Inventory_List_Table341116[[#This Row],[AQ]]*Inventory_List_Table341116[[#This Row],[Q]]</f>
        <v>447.22222222222217</v>
      </c>
      <c r="V7" s="74" t="s">
        <v>789</v>
      </c>
      <c r="W7" s="74" t="s">
        <v>713</v>
      </c>
      <c r="X7" s="176">
        <f>Inventory_List_Table341116[[#This Row],[H CM]]*Inventory_List_Table341116[[#This Row],[W CM]]*4+Inventory_List_Table341116[[#This Row],[D CM ]]*Inventory_List_Table341116[[#This Row],[D CM ]]</f>
        <v>1584</v>
      </c>
      <c r="Y7" s="177">
        <f>Inventory_List_Table341116[[#This Row],[Per piece MXN$]]/Inventory_List_Table341116[[#This Row],[SQCM]]*10000</f>
        <v>2209.5959595959598</v>
      </c>
      <c r="Z7" s="485">
        <f>Inventory_List_Table341116[[#This Row],[SQCM]]/10000*29</f>
        <v>4.5936000000000003</v>
      </c>
    </row>
    <row r="8" spans="1:27" ht="30" customHeight="1" x14ac:dyDescent="0.3">
      <c r="A8" s="480" t="s">
        <v>151</v>
      </c>
      <c r="B8" s="69"/>
      <c r="C8" s="70" t="s">
        <v>323</v>
      </c>
      <c r="D8" s="964" t="s">
        <v>1158</v>
      </c>
      <c r="E8" s="481">
        <v>7</v>
      </c>
      <c r="F8" s="483">
        <v>6.3103999999999996</v>
      </c>
      <c r="G8" s="483">
        <v>30</v>
      </c>
      <c r="H8" s="483">
        <v>16</v>
      </c>
      <c r="I8" s="483">
        <v>16</v>
      </c>
      <c r="J8" s="484">
        <v>460</v>
      </c>
      <c r="K8" s="1">
        <f>Inventory_List_Table341116[[#This Row],[Q]]*Inventory_List_Table341116[[#This Row],[Per piece MXN$]]</f>
        <v>3220</v>
      </c>
      <c r="L8" s="14">
        <f>Inventory_List_Table341116[[#This Row],[KG]]*2.20462</f>
        <v>13.912034047999997</v>
      </c>
      <c r="M8" s="2">
        <f>Inventory_List_Table341116[[#This Row],[H CM]]/2.54</f>
        <v>11.811023622047244</v>
      </c>
      <c r="N8" s="2">
        <f>Inventory_List_Table341116[[#This Row],[W CM]]/2.54</f>
        <v>6.2992125984251963</v>
      </c>
      <c r="O8" s="2">
        <f>Inventory_List_Table341116[[#This Row],[D CM ]]/2.54</f>
        <v>6.2992125984251963</v>
      </c>
      <c r="P8" s="3">
        <f>Inventory_List_Table341116[[#This Row],[Per piece MXN$]]/$U$2</f>
        <v>25.555555555555557</v>
      </c>
      <c r="Q8" s="3">
        <f t="shared" si="0"/>
        <v>26</v>
      </c>
      <c r="R8" s="3">
        <f>Inventory_List_Table341116[[#This Row],[AQ ROUND]]*1.4</f>
        <v>36.4</v>
      </c>
      <c r="S8" s="3">
        <f t="shared" si="1"/>
        <v>36</v>
      </c>
      <c r="T8" s="3">
        <f>Inventory_List_Table341116[[#This Row],[LND ROUND]]*8</f>
        <v>288</v>
      </c>
      <c r="U8" s="3">
        <f>Inventory_List_Table341116[[#This Row],[AQ]]*Inventory_List_Table341116[[#This Row],[Q]]</f>
        <v>178.88888888888891</v>
      </c>
      <c r="V8" s="74" t="s">
        <v>717</v>
      </c>
      <c r="W8" s="74" t="s">
        <v>716</v>
      </c>
      <c r="X8" s="176">
        <f>Inventory_List_Table341116[[#This Row],[H CM]]*Inventory_List_Table341116[[#This Row],[W CM]]*4+Inventory_List_Table341116[[#This Row],[D CM ]]*Inventory_List_Table341116[[#This Row],[D CM ]]</f>
        <v>2176</v>
      </c>
      <c r="Y8" s="177">
        <f>Inventory_List_Table341116[[#This Row],[Per piece MXN$]]/Inventory_List_Table341116[[#This Row],[SQCM]]*10000</f>
        <v>2113.9705882352941</v>
      </c>
      <c r="Z8" s="485">
        <f>Inventory_List_Table341116[[#This Row],[SQCM]]/10000*29</f>
        <v>6.3103999999999996</v>
      </c>
    </row>
    <row r="9" spans="1:27" ht="30" customHeight="1" x14ac:dyDescent="0.3">
      <c r="A9" s="480" t="s">
        <v>152</v>
      </c>
      <c r="B9" s="69"/>
      <c r="C9" s="70" t="s">
        <v>458</v>
      </c>
      <c r="D9" s="964" t="s">
        <v>1159</v>
      </c>
      <c r="E9" s="481">
        <v>5</v>
      </c>
      <c r="F9" s="483">
        <v>2.5056000000000003</v>
      </c>
      <c r="G9" s="483">
        <v>25</v>
      </c>
      <c r="H9" s="483">
        <v>8</v>
      </c>
      <c r="I9" s="483">
        <v>8</v>
      </c>
      <c r="J9" s="484">
        <v>180</v>
      </c>
      <c r="K9" s="1">
        <f>Inventory_List_Table341116[[#This Row],[Q]]*Inventory_List_Table341116[[#This Row],[Per piece MXN$]]</f>
        <v>900</v>
      </c>
      <c r="L9" s="14">
        <f>Inventory_List_Table341116[[#This Row],[KG]]*2.20462</f>
        <v>5.5238958719999998</v>
      </c>
      <c r="M9" s="2">
        <f>Inventory_List_Table341116[[#This Row],[H CM]]/2.54</f>
        <v>9.8425196850393704</v>
      </c>
      <c r="N9" s="2">
        <f>Inventory_List_Table341116[[#This Row],[W CM]]/2.54</f>
        <v>3.1496062992125982</v>
      </c>
      <c r="O9" s="2">
        <f>Inventory_List_Table341116[[#This Row],[D CM ]]/2.54</f>
        <v>3.1496062992125982</v>
      </c>
      <c r="P9" s="3">
        <f>Inventory_List_Table341116[[#This Row],[Per piece MXN$]]/$U$2</f>
        <v>10</v>
      </c>
      <c r="Q9" s="3">
        <f t="shared" si="0"/>
        <v>10</v>
      </c>
      <c r="R9" s="3">
        <f>Inventory_List_Table341116[[#This Row],[AQ ROUND]]*1.4</f>
        <v>14</v>
      </c>
      <c r="S9" s="3">
        <f t="shared" si="1"/>
        <v>14</v>
      </c>
      <c r="T9" s="3">
        <f>Inventory_List_Table341116[[#This Row],[LND ROUND]]*8</f>
        <v>112</v>
      </c>
      <c r="U9" s="3">
        <f>Inventory_List_Table341116[[#This Row],[AQ]]*Inventory_List_Table341116[[#This Row],[Q]]</f>
        <v>50</v>
      </c>
      <c r="V9" s="74" t="s">
        <v>753</v>
      </c>
      <c r="W9" s="74" t="s">
        <v>752</v>
      </c>
      <c r="X9" s="176">
        <f>Inventory_List_Table341116[[#This Row],[H CM]]*Inventory_List_Table341116[[#This Row],[W CM]]*4+Inventory_List_Table341116[[#This Row],[D CM ]]*Inventory_List_Table341116[[#This Row],[D CM ]]</f>
        <v>864</v>
      </c>
      <c r="Y9" s="177">
        <f>Inventory_List_Table341116[[#This Row],[Per piece MXN$]]/Inventory_List_Table341116[[#This Row],[SQCM]]*10000</f>
        <v>2083.3333333333335</v>
      </c>
      <c r="Z9" s="485">
        <f>Inventory_List_Table341116[[#This Row],[SQCM]]/10000*29</f>
        <v>2.5056000000000003</v>
      </c>
    </row>
    <row r="10" spans="1:27" ht="30" customHeight="1" x14ac:dyDescent="0.3">
      <c r="A10" s="945" t="s">
        <v>153</v>
      </c>
      <c r="B10" s="69">
        <v>46009</v>
      </c>
      <c r="C10" s="70" t="s">
        <v>323</v>
      </c>
      <c r="D10" s="262" t="s">
        <v>1269</v>
      </c>
      <c r="E10" s="481">
        <v>6</v>
      </c>
      <c r="F10" s="483">
        <v>8.1664000000000012</v>
      </c>
      <c r="G10" s="483">
        <v>40</v>
      </c>
      <c r="H10" s="483">
        <v>16</v>
      </c>
      <c r="I10" s="483">
        <v>16</v>
      </c>
      <c r="J10" s="484">
        <v>605</v>
      </c>
      <c r="K10" s="1">
        <f>Inventory_List_Table341116[[#This Row],[Q]]*Inventory_List_Table341116[[#This Row],[Per piece MXN$]]</f>
        <v>3630</v>
      </c>
      <c r="L10" s="14">
        <f>Inventory_List_Table341116[[#This Row],[KG]]*2.20462</f>
        <v>18.003808768000003</v>
      </c>
      <c r="M10" s="15">
        <f>Inventory_List_Table341116[[#This Row],[H CM]]/2.54</f>
        <v>15.748031496062993</v>
      </c>
      <c r="N10" s="15">
        <f>Inventory_List_Table341116[[#This Row],[W CM]]/2.54</f>
        <v>6.2992125984251963</v>
      </c>
      <c r="O10" s="15">
        <f>Inventory_List_Table341116[[#This Row],[D CM ]]/2.54</f>
        <v>6.2992125984251963</v>
      </c>
      <c r="P10" s="16">
        <f>Inventory_List_Table341116[[#This Row],[Per piece MXN$]]/$U$2</f>
        <v>33.611111111111114</v>
      </c>
      <c r="Q10" s="16">
        <f t="shared" si="0"/>
        <v>34</v>
      </c>
      <c r="R10" s="16">
        <f>Inventory_List_Table341116[[#This Row],[AQ ROUND]]*1.4</f>
        <v>47.599999999999994</v>
      </c>
      <c r="S10" s="16">
        <f t="shared" si="1"/>
        <v>48</v>
      </c>
      <c r="T10" s="16">
        <f>Inventory_List_Table341116[[#This Row],[LND ROUND]]*8</f>
        <v>384</v>
      </c>
      <c r="U10" s="16">
        <f>Inventory_List_Table341116[[#This Row],[AQ]]*Inventory_List_Table341116[[#This Row],[Q]]</f>
        <v>201.66666666666669</v>
      </c>
      <c r="V10" s="74" t="s">
        <v>691</v>
      </c>
      <c r="W10" s="74" t="s">
        <v>772</v>
      </c>
      <c r="X10" s="176">
        <f>Inventory_List_Table341116[[#This Row],[H CM]]*Inventory_List_Table341116[[#This Row],[W CM]]*4+Inventory_List_Table341116[[#This Row],[D CM ]]*Inventory_List_Table341116[[#This Row],[D CM ]]</f>
        <v>2816</v>
      </c>
      <c r="Y10" s="177">
        <f>Inventory_List_Table341116[[#This Row],[Per piece MXN$]]/Inventory_List_Table341116[[#This Row],[SQCM]]*10000</f>
        <v>2148.4375</v>
      </c>
      <c r="Z10" s="485">
        <f>Inventory_List_Table341116[[#This Row],[SQCM]]/10000*18</f>
        <v>5.0688000000000004</v>
      </c>
      <c r="AA10" s="486">
        <f>ROUNDUP(Z10,0)</f>
        <v>6</v>
      </c>
    </row>
    <row r="11" spans="1:27" ht="30" customHeight="1" x14ac:dyDescent="0.3">
      <c r="A11" s="480" t="s">
        <v>154</v>
      </c>
      <c r="B11" s="69">
        <v>46037</v>
      </c>
      <c r="C11" s="70" t="s">
        <v>349</v>
      </c>
      <c r="D11" s="141" t="s">
        <v>711</v>
      </c>
      <c r="E11" s="481">
        <v>10</v>
      </c>
      <c r="F11" s="483">
        <v>4</v>
      </c>
      <c r="G11" s="483">
        <v>40</v>
      </c>
      <c r="H11" s="483">
        <v>12</v>
      </c>
      <c r="I11" s="483">
        <v>12</v>
      </c>
      <c r="J11" s="484">
        <v>510</v>
      </c>
      <c r="K11" s="1">
        <f>Inventory_List_Table341116[[#This Row],[Q]]*Inventory_List_Table341116[[#This Row],[Per piece MXN$]]</f>
        <v>5100</v>
      </c>
      <c r="L11" s="14">
        <f>Inventory_List_Table341116[[#This Row],[KG]]*2.20462</f>
        <v>8.8184799999999992</v>
      </c>
      <c r="M11" s="2">
        <f>Inventory_List_Table341116[[#This Row],[H CM]]/2.54</f>
        <v>15.748031496062993</v>
      </c>
      <c r="N11" s="2">
        <f>Inventory_List_Table341116[[#This Row],[W CM]]/2.54</f>
        <v>4.7244094488188972</v>
      </c>
      <c r="O11" s="2">
        <f>Inventory_List_Table341116[[#This Row],[D CM ]]/2.54</f>
        <v>4.7244094488188972</v>
      </c>
      <c r="P11" s="3">
        <f>Inventory_List_Table341116[[#This Row],[Per piece MXN$]]/$U$2</f>
        <v>28.333333333333332</v>
      </c>
      <c r="Q11" s="3">
        <f t="shared" si="0"/>
        <v>28</v>
      </c>
      <c r="R11" s="3">
        <f>Inventory_List_Table341116[[#This Row],[AQ ROUND]]*1.4</f>
        <v>39.199999999999996</v>
      </c>
      <c r="S11" s="3">
        <f t="shared" si="1"/>
        <v>39</v>
      </c>
      <c r="T11" s="3">
        <f>Inventory_List_Table341116[[#This Row],[LND ROUND]]*8</f>
        <v>312</v>
      </c>
      <c r="U11" s="3">
        <f>Inventory_List_Table341116[[#This Row],[AQ]]*Inventory_List_Table341116[[#This Row],[Q]]</f>
        <v>283.33333333333331</v>
      </c>
      <c r="V11" s="74" t="s">
        <v>713</v>
      </c>
      <c r="W11" s="74" t="s">
        <v>712</v>
      </c>
      <c r="X11" s="176">
        <f>Inventory_List_Table341116[[#This Row],[H CM]]*Inventory_List_Table341116[[#This Row],[W CM]]*4+Inventory_List_Table341116[[#This Row],[D CM ]]*Inventory_List_Table341116[[#This Row],[D CM ]]</f>
        <v>2064</v>
      </c>
      <c r="Y11" s="177">
        <f>Inventory_List_Table341116[[#This Row],[Per piece MXN$]]/Inventory_List_Table341116[[#This Row],[SQCM]]*10000</f>
        <v>2470.9302325581393</v>
      </c>
      <c r="Z11" s="485">
        <f>Inventory_List_Table341116[[#This Row],[SQCM]]/10000*18</f>
        <v>3.7151999999999998</v>
      </c>
      <c r="AA11" s="486">
        <f>ROUNDUP(Z11,0)</f>
        <v>4</v>
      </c>
    </row>
    <row r="12" spans="1:27" ht="30" customHeight="1" x14ac:dyDescent="0.3">
      <c r="A12" s="480" t="s">
        <v>155</v>
      </c>
      <c r="B12" s="69">
        <v>46037</v>
      </c>
      <c r="C12" s="70" t="s">
        <v>349</v>
      </c>
      <c r="D12" s="141" t="s">
        <v>714</v>
      </c>
      <c r="E12" s="481">
        <v>9</v>
      </c>
      <c r="F12" s="483">
        <v>6</v>
      </c>
      <c r="G12" s="483">
        <v>40</v>
      </c>
      <c r="H12" s="483">
        <v>16</v>
      </c>
      <c r="I12" s="483">
        <v>16</v>
      </c>
      <c r="J12" s="484">
        <v>755</v>
      </c>
      <c r="K12" s="1">
        <f>Inventory_List_Table341116[[#This Row],[Q]]*Inventory_List_Table341116[[#This Row],[Per piece MXN$]]</f>
        <v>6795</v>
      </c>
      <c r="L12" s="14">
        <f>Inventory_List_Table341116[[#This Row],[KG]]*2.20462</f>
        <v>13.227719999999998</v>
      </c>
      <c r="M12" s="2">
        <f>Inventory_List_Table341116[[#This Row],[H CM]]/2.54</f>
        <v>15.748031496062993</v>
      </c>
      <c r="N12" s="2">
        <f>Inventory_List_Table341116[[#This Row],[W CM]]/2.54</f>
        <v>6.2992125984251963</v>
      </c>
      <c r="O12" s="2">
        <f>Inventory_List_Table341116[[#This Row],[D CM ]]/2.54</f>
        <v>6.2992125984251963</v>
      </c>
      <c r="P12" s="3">
        <f>Inventory_List_Table341116[[#This Row],[Per piece MXN$]]/$U$2</f>
        <v>41.944444444444443</v>
      </c>
      <c r="Q12" s="3">
        <f t="shared" si="0"/>
        <v>42</v>
      </c>
      <c r="R12" s="3">
        <f>Inventory_List_Table341116[[#This Row],[AQ ROUND]]*1.4</f>
        <v>58.8</v>
      </c>
      <c r="S12" s="3">
        <f t="shared" si="1"/>
        <v>59</v>
      </c>
      <c r="T12" s="3">
        <f>Inventory_List_Table341116[[#This Row],[LND ROUND]]*8</f>
        <v>472</v>
      </c>
      <c r="U12" s="3">
        <f>Inventory_List_Table341116[[#This Row],[AQ]]*Inventory_List_Table341116[[#This Row],[Q]]</f>
        <v>377.5</v>
      </c>
      <c r="V12" s="74" t="s">
        <v>686</v>
      </c>
      <c r="W12" s="74" t="s">
        <v>685</v>
      </c>
      <c r="X12" s="176">
        <f>Inventory_List_Table341116[[#This Row],[H CM]]*Inventory_List_Table341116[[#This Row],[W CM]]*4+Inventory_List_Table341116[[#This Row],[D CM ]]*Inventory_List_Table341116[[#This Row],[D CM ]]</f>
        <v>2816</v>
      </c>
      <c r="Y12" s="177">
        <f>Inventory_List_Table341116[[#This Row],[Per piece MXN$]]/Inventory_List_Table341116[[#This Row],[SQCM]]*10000</f>
        <v>2681.1079545454545</v>
      </c>
      <c r="Z12" s="485">
        <f>Inventory_List_Table341116[[#This Row],[SQCM]]/10000*18</f>
        <v>5.0688000000000004</v>
      </c>
      <c r="AA12" s="486">
        <f t="shared" ref="AA12:AA51" si="2">ROUNDUP(Z12,0)</f>
        <v>6</v>
      </c>
    </row>
    <row r="13" spans="1:27" ht="30" customHeight="1" x14ac:dyDescent="0.3">
      <c r="A13" s="480" t="s">
        <v>156</v>
      </c>
      <c r="B13" s="69">
        <v>46037</v>
      </c>
      <c r="C13" s="70" t="s">
        <v>349</v>
      </c>
      <c r="D13" s="141" t="s">
        <v>715</v>
      </c>
      <c r="E13" s="481">
        <v>2</v>
      </c>
      <c r="F13" s="483">
        <v>3</v>
      </c>
      <c r="G13" s="483">
        <v>30</v>
      </c>
      <c r="H13" s="483">
        <v>12</v>
      </c>
      <c r="I13" s="483">
        <v>12</v>
      </c>
      <c r="J13" s="484">
        <v>475</v>
      </c>
      <c r="K13" s="1">
        <f>Inventory_List_Table341116[[#This Row],[Q]]*Inventory_List_Table341116[[#This Row],[Per piece MXN$]]</f>
        <v>950</v>
      </c>
      <c r="L13" s="14">
        <f>Inventory_List_Table341116[[#This Row],[KG]]*2.20462</f>
        <v>6.613859999999999</v>
      </c>
      <c r="M13" s="2">
        <f>Inventory_List_Table341116[[#This Row],[H CM]]/2.54</f>
        <v>11.811023622047244</v>
      </c>
      <c r="N13" s="2">
        <f>Inventory_List_Table341116[[#This Row],[W CM]]/2.54</f>
        <v>4.7244094488188972</v>
      </c>
      <c r="O13" s="2">
        <f>Inventory_List_Table341116[[#This Row],[D CM ]]/2.54</f>
        <v>4.7244094488188972</v>
      </c>
      <c r="P13" s="3">
        <f>Inventory_List_Table341116[[#This Row],[Per piece MXN$]]/$U$2</f>
        <v>26.388888888888889</v>
      </c>
      <c r="Q13" s="3">
        <f t="shared" si="0"/>
        <v>26</v>
      </c>
      <c r="R13" s="3">
        <f>Inventory_List_Table341116[[#This Row],[AQ ROUND]]*1.4</f>
        <v>36.4</v>
      </c>
      <c r="S13" s="3">
        <f t="shared" si="1"/>
        <v>36</v>
      </c>
      <c r="T13" s="3">
        <f>Inventory_List_Table341116[[#This Row],[LND ROUND]]*8</f>
        <v>288</v>
      </c>
      <c r="U13" s="3">
        <f>Inventory_List_Table341116[[#This Row],[AQ]]*Inventory_List_Table341116[[#This Row],[Q]]</f>
        <v>52.777777777777779</v>
      </c>
      <c r="V13" s="74" t="s">
        <v>717</v>
      </c>
      <c r="W13" s="74" t="s">
        <v>716</v>
      </c>
      <c r="X13" s="176">
        <f>Inventory_List_Table341116[[#This Row],[H CM]]*Inventory_List_Table341116[[#This Row],[W CM]]*4+Inventory_List_Table341116[[#This Row],[D CM ]]*Inventory_List_Table341116[[#This Row],[D CM ]]</f>
        <v>1584</v>
      </c>
      <c r="Y13" s="177">
        <f>Inventory_List_Table341116[[#This Row],[Per piece MXN$]]/Inventory_List_Table341116[[#This Row],[SQCM]]*10000</f>
        <v>2998.7373737373737</v>
      </c>
      <c r="Z13" s="485">
        <f>Inventory_List_Table341116[[#This Row],[SQCM]]/10000*18</f>
        <v>2.8512000000000004</v>
      </c>
      <c r="AA13" s="486">
        <f t="shared" si="2"/>
        <v>3</v>
      </c>
    </row>
    <row r="14" spans="1:27" ht="30" customHeight="1" x14ac:dyDescent="0.3">
      <c r="A14" s="480" t="s">
        <v>157</v>
      </c>
      <c r="B14" s="69">
        <v>46037</v>
      </c>
      <c r="C14" s="70" t="s">
        <v>349</v>
      </c>
      <c r="D14" s="141" t="s">
        <v>718</v>
      </c>
      <c r="E14" s="481">
        <v>2</v>
      </c>
      <c r="F14" s="483">
        <v>4</v>
      </c>
      <c r="G14" s="483">
        <v>30</v>
      </c>
      <c r="H14" s="483">
        <v>16</v>
      </c>
      <c r="I14" s="483">
        <v>16</v>
      </c>
      <c r="J14" s="484">
        <v>460</v>
      </c>
      <c r="K14" s="1">
        <f>Inventory_List_Table341116[[#This Row],[Q]]*Inventory_List_Table341116[[#This Row],[Per piece MXN$]]</f>
        <v>920</v>
      </c>
      <c r="L14" s="14">
        <f>Inventory_List_Table341116[[#This Row],[KG]]*2.20462</f>
        <v>8.8184799999999992</v>
      </c>
      <c r="M14" s="2">
        <f>Inventory_List_Table341116[[#This Row],[H CM]]/2.54</f>
        <v>11.811023622047244</v>
      </c>
      <c r="N14" s="2">
        <f>Inventory_List_Table341116[[#This Row],[W CM]]/2.54</f>
        <v>6.2992125984251963</v>
      </c>
      <c r="O14" s="2">
        <f>Inventory_List_Table341116[[#This Row],[D CM ]]/2.54</f>
        <v>6.2992125984251963</v>
      </c>
      <c r="P14" s="3">
        <f>Inventory_List_Table341116[[#This Row],[Per piece MXN$]]/$U$2</f>
        <v>25.555555555555557</v>
      </c>
      <c r="Q14" s="3">
        <f t="shared" si="0"/>
        <v>26</v>
      </c>
      <c r="R14" s="3">
        <f>Inventory_List_Table341116[[#This Row],[AQ ROUND]]*1.4</f>
        <v>36.4</v>
      </c>
      <c r="S14" s="3">
        <f t="shared" si="1"/>
        <v>36</v>
      </c>
      <c r="T14" s="3">
        <f>Inventory_List_Table341116[[#This Row],[LND ROUND]]*8</f>
        <v>288</v>
      </c>
      <c r="U14" s="3">
        <f>Inventory_List_Table341116[[#This Row],[AQ]]*Inventory_List_Table341116[[#This Row],[Q]]</f>
        <v>51.111111111111114</v>
      </c>
      <c r="V14" s="74" t="s">
        <v>717</v>
      </c>
      <c r="W14" s="74" t="s">
        <v>716</v>
      </c>
      <c r="X14" s="176">
        <f>Inventory_List_Table341116[[#This Row],[H CM]]*Inventory_List_Table341116[[#This Row],[W CM]]*4+Inventory_List_Table341116[[#This Row],[D CM ]]*Inventory_List_Table341116[[#This Row],[D CM ]]</f>
        <v>2176</v>
      </c>
      <c r="Y14" s="177">
        <f>Inventory_List_Table341116[[#This Row],[Per piece MXN$]]/Inventory_List_Table341116[[#This Row],[SQCM]]*10000</f>
        <v>2113.9705882352941</v>
      </c>
      <c r="Z14" s="485">
        <f>Inventory_List_Table341116[[#This Row],[SQCM]]/10000*18</f>
        <v>3.9167999999999998</v>
      </c>
      <c r="AA14" s="486">
        <f t="shared" si="2"/>
        <v>4</v>
      </c>
    </row>
    <row r="15" spans="1:27" ht="30" customHeight="1" x14ac:dyDescent="0.3">
      <c r="A15" s="480" t="s">
        <v>158</v>
      </c>
      <c r="B15" s="69">
        <v>46037</v>
      </c>
      <c r="C15" s="70" t="s">
        <v>349</v>
      </c>
      <c r="D15" s="141" t="s">
        <v>719</v>
      </c>
      <c r="E15" s="481">
        <v>17</v>
      </c>
      <c r="F15" s="483">
        <v>3</v>
      </c>
      <c r="G15" s="483">
        <v>35</v>
      </c>
      <c r="H15" s="483">
        <v>8</v>
      </c>
      <c r="I15" s="483">
        <v>8</v>
      </c>
      <c r="J15" s="484">
        <v>280</v>
      </c>
      <c r="K15" s="1">
        <f>Inventory_List_Table341116[[#This Row],[Q]]*Inventory_List_Table341116[[#This Row],[Per piece MXN$]]</f>
        <v>4760</v>
      </c>
      <c r="L15" s="14">
        <f>Inventory_List_Table341116[[#This Row],[KG]]*2.20462</f>
        <v>6.613859999999999</v>
      </c>
      <c r="M15" s="2">
        <f>Inventory_List_Table341116[[#This Row],[H CM]]/2.54</f>
        <v>13.779527559055119</v>
      </c>
      <c r="N15" s="2">
        <f>Inventory_List_Table341116[[#This Row],[W CM]]/2.54</f>
        <v>3.1496062992125982</v>
      </c>
      <c r="O15" s="2">
        <f>Inventory_List_Table341116[[#This Row],[D CM ]]/2.54</f>
        <v>3.1496062992125982</v>
      </c>
      <c r="P15" s="3">
        <f>Inventory_List_Table341116[[#This Row],[Per piece MXN$]]/$U$2</f>
        <v>15.555555555555555</v>
      </c>
      <c r="Q15" s="3">
        <f t="shared" si="0"/>
        <v>16</v>
      </c>
      <c r="R15" s="3">
        <f>Inventory_List_Table341116[[#This Row],[AQ ROUND]]*1.4</f>
        <v>22.4</v>
      </c>
      <c r="S15" s="3">
        <f t="shared" si="1"/>
        <v>22</v>
      </c>
      <c r="T15" s="3">
        <f>Inventory_List_Table341116[[#This Row],[LND ROUND]]*8</f>
        <v>176</v>
      </c>
      <c r="U15" s="3">
        <f>Inventory_List_Table341116[[#This Row],[AQ]]*Inventory_List_Table341116[[#This Row],[Q]]</f>
        <v>264.44444444444446</v>
      </c>
      <c r="V15" s="74" t="s">
        <v>119</v>
      </c>
      <c r="W15" s="74" t="s">
        <v>720</v>
      </c>
      <c r="X15" s="176">
        <f>Inventory_List_Table341116[[#This Row],[H CM]]*Inventory_List_Table341116[[#This Row],[W CM]]*4+Inventory_List_Table341116[[#This Row],[D CM ]]*Inventory_List_Table341116[[#This Row],[D CM ]]</f>
        <v>1184</v>
      </c>
      <c r="Y15" s="177">
        <f>Inventory_List_Table341116[[#This Row],[Per piece MXN$]]/Inventory_List_Table341116[[#This Row],[SQCM]]*10000</f>
        <v>2364.864864864865</v>
      </c>
      <c r="Z15" s="485">
        <f>Inventory_List_Table341116[[#This Row],[SQCM]]/10000*18</f>
        <v>2.1312000000000002</v>
      </c>
      <c r="AA15" s="486">
        <f t="shared" si="2"/>
        <v>3</v>
      </c>
    </row>
    <row r="16" spans="1:27" ht="30" customHeight="1" x14ac:dyDescent="0.3">
      <c r="A16" s="480" t="s">
        <v>159</v>
      </c>
      <c r="B16" s="69">
        <v>46037</v>
      </c>
      <c r="C16" s="70" t="s">
        <v>382</v>
      </c>
      <c r="D16" s="141" t="s">
        <v>721</v>
      </c>
      <c r="E16" s="481">
        <v>2</v>
      </c>
      <c r="F16" s="483">
        <v>8</v>
      </c>
      <c r="G16" s="483">
        <v>50</v>
      </c>
      <c r="H16" s="483">
        <v>20</v>
      </c>
      <c r="I16" s="483">
        <v>20</v>
      </c>
      <c r="J16" s="484">
        <v>1075</v>
      </c>
      <c r="K16" s="1">
        <f>Inventory_List_Table341116[[#This Row],[Q]]*Inventory_List_Table341116[[#This Row],[Per piece MXN$]]</f>
        <v>2150</v>
      </c>
      <c r="L16" s="14">
        <f>Inventory_List_Table341116[[#This Row],[KG]]*2.20462</f>
        <v>17.636959999999998</v>
      </c>
      <c r="M16" s="2">
        <f>Inventory_List_Table341116[[#This Row],[H CM]]/2.54</f>
        <v>19.685039370078741</v>
      </c>
      <c r="N16" s="2">
        <f>Inventory_List_Table341116[[#This Row],[W CM]]/2.54</f>
        <v>7.8740157480314963</v>
      </c>
      <c r="O16" s="2">
        <f>Inventory_List_Table341116[[#This Row],[D CM ]]/2.54</f>
        <v>7.8740157480314963</v>
      </c>
      <c r="P16" s="3">
        <f>Inventory_List_Table341116[[#This Row],[Per piece MXN$]]/$U$2</f>
        <v>59.722222222222221</v>
      </c>
      <c r="Q16" s="3">
        <f t="shared" si="0"/>
        <v>60</v>
      </c>
      <c r="R16" s="3">
        <f>Inventory_List_Table341116[[#This Row],[AQ ROUND]]*1.4</f>
        <v>84</v>
      </c>
      <c r="S16" s="3">
        <f t="shared" si="1"/>
        <v>84</v>
      </c>
      <c r="T16" s="3">
        <f>Inventory_List_Table341116[[#This Row],[LND ROUND]]*8</f>
        <v>672</v>
      </c>
      <c r="U16" s="3">
        <f>Inventory_List_Table341116[[#This Row],[AQ]]*Inventory_List_Table341116[[#This Row],[Q]]</f>
        <v>119.44444444444444</v>
      </c>
      <c r="V16" s="74" t="s">
        <v>723</v>
      </c>
      <c r="W16" s="74" t="s">
        <v>722</v>
      </c>
      <c r="X16" s="176">
        <f>Inventory_List_Table341116[[#This Row],[H CM]]*Inventory_List_Table341116[[#This Row],[W CM]]*4+Inventory_List_Table341116[[#This Row],[D CM ]]*Inventory_List_Table341116[[#This Row],[D CM ]]</f>
        <v>4400</v>
      </c>
      <c r="Y16" s="177">
        <f>Inventory_List_Table341116[[#This Row],[Per piece MXN$]]/Inventory_List_Table341116[[#This Row],[SQCM]]*10000</f>
        <v>2443.181818181818</v>
      </c>
      <c r="Z16" s="485">
        <f>Inventory_List_Table341116[[#This Row],[SQCM]]/10000*18</f>
        <v>7.92</v>
      </c>
      <c r="AA16" s="486">
        <f t="shared" si="2"/>
        <v>8</v>
      </c>
    </row>
    <row r="17" spans="1:27" ht="30" customHeight="1" x14ac:dyDescent="0.3">
      <c r="A17" s="480" t="s">
        <v>160</v>
      </c>
      <c r="B17" s="69">
        <v>46037</v>
      </c>
      <c r="C17" s="70" t="s">
        <v>383</v>
      </c>
      <c r="D17" s="141" t="s">
        <v>724</v>
      </c>
      <c r="E17" s="481">
        <v>10</v>
      </c>
      <c r="F17" s="483">
        <v>7</v>
      </c>
      <c r="G17" s="483">
        <v>50</v>
      </c>
      <c r="H17" s="483">
        <v>16</v>
      </c>
      <c r="I17" s="483">
        <v>16</v>
      </c>
      <c r="J17" s="484">
        <v>795</v>
      </c>
      <c r="K17" s="1">
        <f>Inventory_List_Table341116[[#This Row],[Q]]*Inventory_List_Table341116[[#This Row],[Per piece MXN$]]</f>
        <v>7950</v>
      </c>
      <c r="L17" s="14">
        <f>Inventory_List_Table341116[[#This Row],[KG]]*2.20462</f>
        <v>15.432339999999998</v>
      </c>
      <c r="M17" s="2">
        <f>Inventory_List_Table341116[[#This Row],[H CM]]/2.54</f>
        <v>19.685039370078741</v>
      </c>
      <c r="N17" s="2">
        <f>Inventory_List_Table341116[[#This Row],[W CM]]/2.54</f>
        <v>6.2992125984251963</v>
      </c>
      <c r="O17" s="2">
        <f>Inventory_List_Table341116[[#This Row],[D CM ]]/2.54</f>
        <v>6.2992125984251963</v>
      </c>
      <c r="P17" s="3">
        <f>Inventory_List_Table341116[[#This Row],[Per piece MXN$]]/$U$2</f>
        <v>44.166666666666664</v>
      </c>
      <c r="Q17" s="3">
        <f t="shared" si="0"/>
        <v>44</v>
      </c>
      <c r="R17" s="3">
        <f>Inventory_List_Table341116[[#This Row],[AQ ROUND]]*1.4</f>
        <v>61.599999999999994</v>
      </c>
      <c r="S17" s="3">
        <f t="shared" si="1"/>
        <v>62</v>
      </c>
      <c r="T17" s="3">
        <f>Inventory_List_Table341116[[#This Row],[LND ROUND]]*8</f>
        <v>496</v>
      </c>
      <c r="U17" s="3">
        <f>Inventory_List_Table341116[[#This Row],[AQ]]*Inventory_List_Table341116[[#This Row],[Q]]</f>
        <v>441.66666666666663</v>
      </c>
      <c r="V17" s="74" t="s">
        <v>726</v>
      </c>
      <c r="W17" s="74" t="s">
        <v>725</v>
      </c>
      <c r="X17" s="176">
        <f>Inventory_List_Table341116[[#This Row],[H CM]]*Inventory_List_Table341116[[#This Row],[W CM]]*4+Inventory_List_Table341116[[#This Row],[D CM ]]*Inventory_List_Table341116[[#This Row],[D CM ]]</f>
        <v>3456</v>
      </c>
      <c r="Y17" s="177">
        <f>Inventory_List_Table341116[[#This Row],[Per piece MXN$]]/Inventory_List_Table341116[[#This Row],[SQCM]]*10000</f>
        <v>2300.3472222222222</v>
      </c>
      <c r="Z17" s="485">
        <f>Inventory_List_Table341116[[#This Row],[SQCM]]/10000*18</f>
        <v>6.2208000000000006</v>
      </c>
      <c r="AA17" s="486">
        <f t="shared" si="2"/>
        <v>7</v>
      </c>
    </row>
    <row r="18" spans="1:27" ht="30" customHeight="1" x14ac:dyDescent="0.3">
      <c r="A18" s="480" t="s">
        <v>161</v>
      </c>
      <c r="B18" s="69">
        <v>46037</v>
      </c>
      <c r="C18" s="70" t="s">
        <v>349</v>
      </c>
      <c r="D18" s="141" t="s">
        <v>727</v>
      </c>
      <c r="E18" s="481">
        <v>2</v>
      </c>
      <c r="F18" s="483">
        <v>8</v>
      </c>
      <c r="G18" s="483">
        <v>60</v>
      </c>
      <c r="H18" s="483">
        <v>16</v>
      </c>
      <c r="I18" s="483">
        <v>16</v>
      </c>
      <c r="J18" s="484">
        <v>1015</v>
      </c>
      <c r="K18" s="1">
        <f>Inventory_List_Table341116[[#This Row],[Q]]*Inventory_List_Table341116[[#This Row],[Per piece MXN$]]</f>
        <v>2030</v>
      </c>
      <c r="L18" s="14">
        <f>Inventory_List_Table341116[[#This Row],[KG]]*2.20462</f>
        <v>17.636959999999998</v>
      </c>
      <c r="M18" s="2">
        <f>Inventory_List_Table341116[[#This Row],[H CM]]/2.54</f>
        <v>23.622047244094489</v>
      </c>
      <c r="N18" s="2">
        <f>Inventory_List_Table341116[[#This Row],[W CM]]/2.54</f>
        <v>6.2992125984251963</v>
      </c>
      <c r="O18" s="2">
        <f>Inventory_List_Table341116[[#This Row],[D CM ]]/2.54</f>
        <v>6.2992125984251963</v>
      </c>
      <c r="P18" s="3">
        <f>Inventory_List_Table341116[[#This Row],[Per piece MXN$]]/$U$2</f>
        <v>56.388888888888886</v>
      </c>
      <c r="Q18" s="3">
        <f t="shared" si="0"/>
        <v>56</v>
      </c>
      <c r="R18" s="3">
        <f>Inventory_List_Table341116[[#This Row],[AQ ROUND]]*1.4</f>
        <v>78.399999999999991</v>
      </c>
      <c r="S18" s="3">
        <f t="shared" si="1"/>
        <v>78</v>
      </c>
      <c r="T18" s="3">
        <f>Inventory_List_Table341116[[#This Row],[LND ROUND]]*8</f>
        <v>624</v>
      </c>
      <c r="U18" s="3">
        <f>Inventory_List_Table341116[[#This Row],[AQ]]*Inventory_List_Table341116[[#This Row],[Q]]</f>
        <v>112.77777777777777</v>
      </c>
      <c r="V18" s="74" t="s">
        <v>729</v>
      </c>
      <c r="W18" s="74" t="s">
        <v>728</v>
      </c>
      <c r="X18" s="176">
        <f>Inventory_List_Table341116[[#This Row],[H CM]]*Inventory_List_Table341116[[#This Row],[W CM]]*4+Inventory_List_Table341116[[#This Row],[D CM ]]*Inventory_List_Table341116[[#This Row],[D CM ]]</f>
        <v>4096</v>
      </c>
      <c r="Y18" s="177">
        <f>Inventory_List_Table341116[[#This Row],[Per piece MXN$]]/Inventory_List_Table341116[[#This Row],[SQCM]]*10000</f>
        <v>2478.02734375</v>
      </c>
      <c r="Z18" s="485">
        <f>Inventory_List_Table341116[[#This Row],[SQCM]]/10000*18</f>
        <v>7.3728000000000007</v>
      </c>
      <c r="AA18" s="486">
        <f t="shared" si="2"/>
        <v>8</v>
      </c>
    </row>
    <row r="19" spans="1:27" ht="30" customHeight="1" x14ac:dyDescent="0.3">
      <c r="A19" s="480" t="s">
        <v>162</v>
      </c>
      <c r="B19" s="69">
        <v>46037</v>
      </c>
      <c r="C19" s="70" t="s">
        <v>349</v>
      </c>
      <c r="D19" s="141" t="s">
        <v>730</v>
      </c>
      <c r="E19" s="481">
        <v>2</v>
      </c>
      <c r="F19" s="483">
        <v>10</v>
      </c>
      <c r="G19" s="483">
        <v>60</v>
      </c>
      <c r="H19" s="483">
        <v>20</v>
      </c>
      <c r="I19" s="483">
        <v>20</v>
      </c>
      <c r="J19" s="484">
        <v>1295</v>
      </c>
      <c r="K19" s="1">
        <f>Inventory_List_Table341116[[#This Row],[Q]]*Inventory_List_Table341116[[#This Row],[Per piece MXN$]]</f>
        <v>2590</v>
      </c>
      <c r="L19" s="14">
        <f>Inventory_List_Table341116[[#This Row],[KG]]*2.20462</f>
        <v>22.046199999999999</v>
      </c>
      <c r="M19" s="2">
        <f>Inventory_List_Table341116[[#This Row],[H CM]]/2.54</f>
        <v>23.622047244094489</v>
      </c>
      <c r="N19" s="2">
        <f>Inventory_List_Table341116[[#This Row],[W CM]]/2.54</f>
        <v>7.8740157480314963</v>
      </c>
      <c r="O19" s="2">
        <f>Inventory_List_Table341116[[#This Row],[D CM ]]/2.54</f>
        <v>7.8740157480314963</v>
      </c>
      <c r="P19" s="3">
        <f>Inventory_List_Table341116[[#This Row],[Per piece MXN$]]/$U$2</f>
        <v>71.944444444444443</v>
      </c>
      <c r="Q19" s="3">
        <f t="shared" si="0"/>
        <v>72</v>
      </c>
      <c r="R19" s="3">
        <f>Inventory_List_Table341116[[#This Row],[AQ ROUND]]*1.4</f>
        <v>100.8</v>
      </c>
      <c r="S19" s="3">
        <f t="shared" si="1"/>
        <v>101</v>
      </c>
      <c r="T19" s="3">
        <f>Inventory_List_Table341116[[#This Row],[LND ROUND]]*8</f>
        <v>808</v>
      </c>
      <c r="U19" s="3">
        <f>Inventory_List_Table341116[[#This Row],[AQ]]*Inventory_List_Table341116[[#This Row],[Q]]</f>
        <v>143.88888888888889</v>
      </c>
      <c r="V19" s="74" t="s">
        <v>732</v>
      </c>
      <c r="W19" s="74" t="s">
        <v>731</v>
      </c>
      <c r="X19" s="176">
        <f>Inventory_List_Table341116[[#This Row],[H CM]]*Inventory_List_Table341116[[#This Row],[W CM]]*4+Inventory_List_Table341116[[#This Row],[D CM ]]*Inventory_List_Table341116[[#This Row],[D CM ]]</f>
        <v>5200</v>
      </c>
      <c r="Y19" s="177">
        <f>Inventory_List_Table341116[[#This Row],[Per piece MXN$]]/Inventory_List_Table341116[[#This Row],[SQCM]]*10000</f>
        <v>2490.3846153846152</v>
      </c>
      <c r="Z19" s="485">
        <f>Inventory_List_Table341116[[#This Row],[SQCM]]/10000*18</f>
        <v>9.36</v>
      </c>
      <c r="AA19" s="486">
        <f t="shared" si="2"/>
        <v>10</v>
      </c>
    </row>
    <row r="20" spans="1:27" ht="30" customHeight="1" x14ac:dyDescent="0.3">
      <c r="A20" s="480" t="s">
        <v>163</v>
      </c>
      <c r="B20" s="69">
        <v>46037</v>
      </c>
      <c r="C20" s="70" t="s">
        <v>349</v>
      </c>
      <c r="D20" s="141" t="s">
        <v>733</v>
      </c>
      <c r="E20" s="481">
        <v>1</v>
      </c>
      <c r="F20" s="483">
        <v>8</v>
      </c>
      <c r="G20" s="483">
        <v>50</v>
      </c>
      <c r="H20" s="483">
        <v>20</v>
      </c>
      <c r="I20" s="483">
        <v>20</v>
      </c>
      <c r="J20" s="484">
        <v>1075</v>
      </c>
      <c r="K20" s="1">
        <f>Inventory_List_Table341116[[#This Row],[Q]]*Inventory_List_Table341116[[#This Row],[Per piece MXN$]]</f>
        <v>1075</v>
      </c>
      <c r="L20" s="14">
        <f>Inventory_List_Table341116[[#This Row],[KG]]*2.20462</f>
        <v>17.636959999999998</v>
      </c>
      <c r="M20" s="2">
        <f>Inventory_List_Table341116[[#This Row],[H CM]]/2.54</f>
        <v>19.685039370078741</v>
      </c>
      <c r="N20" s="2">
        <f>Inventory_List_Table341116[[#This Row],[W CM]]/2.54</f>
        <v>7.8740157480314963</v>
      </c>
      <c r="O20" s="2">
        <f>Inventory_List_Table341116[[#This Row],[D CM ]]/2.54</f>
        <v>7.8740157480314963</v>
      </c>
      <c r="P20" s="3">
        <f>Inventory_List_Table341116[[#This Row],[Per piece MXN$]]/$U$2</f>
        <v>59.722222222222221</v>
      </c>
      <c r="Q20" s="3">
        <f t="shared" si="0"/>
        <v>60</v>
      </c>
      <c r="R20" s="3">
        <f>Inventory_List_Table341116[[#This Row],[AQ ROUND]]*1.4</f>
        <v>84</v>
      </c>
      <c r="S20" s="3">
        <f t="shared" si="1"/>
        <v>84</v>
      </c>
      <c r="T20" s="3">
        <f>Inventory_List_Table341116[[#This Row],[LND ROUND]]*8</f>
        <v>672</v>
      </c>
      <c r="U20" s="3">
        <f>Inventory_List_Table341116[[#This Row],[AQ]]*Inventory_List_Table341116[[#This Row],[Q]]</f>
        <v>59.722222222222221</v>
      </c>
      <c r="V20" s="74" t="s">
        <v>723</v>
      </c>
      <c r="W20" s="74" t="s">
        <v>722</v>
      </c>
      <c r="X20" s="176">
        <f>Inventory_List_Table341116[[#This Row],[H CM]]*Inventory_List_Table341116[[#This Row],[W CM]]*4+Inventory_List_Table341116[[#This Row],[D CM ]]*Inventory_List_Table341116[[#This Row],[D CM ]]</f>
        <v>4400</v>
      </c>
      <c r="Y20" s="177">
        <f>Inventory_List_Table341116[[#This Row],[Per piece MXN$]]/Inventory_List_Table341116[[#This Row],[SQCM]]*10000</f>
        <v>2443.181818181818</v>
      </c>
      <c r="Z20" s="485">
        <f>Inventory_List_Table341116[[#This Row],[SQCM]]/10000*18</f>
        <v>7.92</v>
      </c>
      <c r="AA20" s="486">
        <f t="shared" si="2"/>
        <v>8</v>
      </c>
    </row>
    <row r="21" spans="1:27" ht="30" customHeight="1" x14ac:dyDescent="0.3">
      <c r="A21" s="480" t="s">
        <v>164</v>
      </c>
      <c r="B21" s="69">
        <v>46037</v>
      </c>
      <c r="C21" s="70" t="s">
        <v>349</v>
      </c>
      <c r="D21" s="141" t="s">
        <v>734</v>
      </c>
      <c r="E21" s="481">
        <v>6</v>
      </c>
      <c r="F21" s="483">
        <v>6</v>
      </c>
      <c r="G21" s="483">
        <v>40</v>
      </c>
      <c r="H21" s="483">
        <v>16</v>
      </c>
      <c r="I21" s="483">
        <v>16</v>
      </c>
      <c r="J21" s="484">
        <v>755</v>
      </c>
      <c r="K21" s="1">
        <f>Inventory_List_Table341116[[#This Row],[Q]]*Inventory_List_Table341116[[#This Row],[Per piece MXN$]]</f>
        <v>4530</v>
      </c>
      <c r="L21" s="14">
        <f>Inventory_List_Table341116[[#This Row],[KG]]*2.20462</f>
        <v>13.227719999999998</v>
      </c>
      <c r="M21" s="2">
        <f>Inventory_List_Table341116[[#This Row],[H CM]]/2.54</f>
        <v>15.748031496062993</v>
      </c>
      <c r="N21" s="2">
        <f>Inventory_List_Table341116[[#This Row],[W CM]]/2.54</f>
        <v>6.2992125984251963</v>
      </c>
      <c r="O21" s="2">
        <f>Inventory_List_Table341116[[#This Row],[D CM ]]/2.54</f>
        <v>6.2992125984251963</v>
      </c>
      <c r="P21" s="3">
        <f>Inventory_List_Table341116[[#This Row],[Per piece MXN$]]/$U$2</f>
        <v>41.944444444444443</v>
      </c>
      <c r="Q21" s="3">
        <f t="shared" si="0"/>
        <v>42</v>
      </c>
      <c r="R21" s="3">
        <f>Inventory_List_Table341116[[#This Row],[AQ ROUND]]*1.4</f>
        <v>58.8</v>
      </c>
      <c r="S21" s="3">
        <f t="shared" si="1"/>
        <v>59</v>
      </c>
      <c r="T21" s="3">
        <f>Inventory_List_Table341116[[#This Row],[LND ROUND]]*8</f>
        <v>472</v>
      </c>
      <c r="U21" s="3">
        <f>Inventory_List_Table341116[[#This Row],[AQ]]*Inventory_List_Table341116[[#This Row],[Q]]</f>
        <v>251.66666666666666</v>
      </c>
      <c r="V21" s="74" t="s">
        <v>686</v>
      </c>
      <c r="W21" s="74" t="s">
        <v>685</v>
      </c>
      <c r="X21" s="176">
        <f>Inventory_List_Table341116[[#This Row],[H CM]]*Inventory_List_Table341116[[#This Row],[W CM]]*4+Inventory_List_Table341116[[#This Row],[D CM ]]*Inventory_List_Table341116[[#This Row],[D CM ]]</f>
        <v>2816</v>
      </c>
      <c r="Y21" s="177">
        <f>Inventory_List_Table341116[[#This Row],[Per piece MXN$]]/Inventory_List_Table341116[[#This Row],[SQCM]]*10000</f>
        <v>2681.1079545454545</v>
      </c>
      <c r="Z21" s="485">
        <f>Inventory_List_Table341116[[#This Row],[SQCM]]/10000*18</f>
        <v>5.0688000000000004</v>
      </c>
      <c r="AA21" s="486">
        <f t="shared" si="2"/>
        <v>6</v>
      </c>
    </row>
    <row r="22" spans="1:27" ht="30" customHeight="1" x14ac:dyDescent="0.3">
      <c r="A22" s="480" t="s">
        <v>165</v>
      </c>
      <c r="B22" s="69">
        <v>46037</v>
      </c>
      <c r="C22" s="70" t="s">
        <v>349</v>
      </c>
      <c r="D22" s="141" t="s">
        <v>735</v>
      </c>
      <c r="E22" s="481">
        <v>2</v>
      </c>
      <c r="F22" s="483">
        <v>7</v>
      </c>
      <c r="G22" s="483">
        <v>50</v>
      </c>
      <c r="H22" s="483">
        <v>16</v>
      </c>
      <c r="I22" s="483">
        <v>16</v>
      </c>
      <c r="J22" s="484">
        <v>795</v>
      </c>
      <c r="K22" s="1">
        <f>Inventory_List_Table341116[[#This Row],[Q]]*Inventory_List_Table341116[[#This Row],[Per piece MXN$]]</f>
        <v>1590</v>
      </c>
      <c r="L22" s="14">
        <f>Inventory_List_Table341116[[#This Row],[KG]]*2.20462</f>
        <v>15.432339999999998</v>
      </c>
      <c r="M22" s="2">
        <f>Inventory_List_Table341116[[#This Row],[H CM]]/2.54</f>
        <v>19.685039370078741</v>
      </c>
      <c r="N22" s="2">
        <f>Inventory_List_Table341116[[#This Row],[W CM]]/2.54</f>
        <v>6.2992125984251963</v>
      </c>
      <c r="O22" s="2">
        <f>Inventory_List_Table341116[[#This Row],[D CM ]]/2.54</f>
        <v>6.2992125984251963</v>
      </c>
      <c r="P22" s="3">
        <f>Inventory_List_Table341116[[#This Row],[Per piece MXN$]]/$U$2</f>
        <v>44.166666666666664</v>
      </c>
      <c r="Q22" s="3">
        <f t="shared" si="0"/>
        <v>44</v>
      </c>
      <c r="R22" s="3">
        <f>Inventory_List_Table341116[[#This Row],[AQ ROUND]]*1.4</f>
        <v>61.599999999999994</v>
      </c>
      <c r="S22" s="3">
        <f t="shared" si="1"/>
        <v>62</v>
      </c>
      <c r="T22" s="3">
        <f>Inventory_List_Table341116[[#This Row],[LND ROUND]]*8</f>
        <v>496</v>
      </c>
      <c r="U22" s="3">
        <f>Inventory_List_Table341116[[#This Row],[AQ]]*Inventory_List_Table341116[[#This Row],[Q]]</f>
        <v>88.333333333333329</v>
      </c>
      <c r="V22" s="74" t="s">
        <v>726</v>
      </c>
      <c r="W22" s="74" t="s">
        <v>725</v>
      </c>
      <c r="X22" s="176">
        <f>Inventory_List_Table341116[[#This Row],[H CM]]*Inventory_List_Table341116[[#This Row],[W CM]]*4+Inventory_List_Table341116[[#This Row],[D CM ]]*Inventory_List_Table341116[[#This Row],[D CM ]]</f>
        <v>3456</v>
      </c>
      <c r="Y22" s="177">
        <f>Inventory_List_Table341116[[#This Row],[Per piece MXN$]]/Inventory_List_Table341116[[#This Row],[SQCM]]*10000</f>
        <v>2300.3472222222222</v>
      </c>
      <c r="Z22" s="485">
        <f>Inventory_List_Table341116[[#This Row],[SQCM]]/10000*18</f>
        <v>6.2208000000000006</v>
      </c>
      <c r="AA22" s="486">
        <f t="shared" si="2"/>
        <v>7</v>
      </c>
    </row>
    <row r="23" spans="1:27" ht="30" customHeight="1" x14ac:dyDescent="0.3">
      <c r="A23" s="480" t="s">
        <v>166</v>
      </c>
      <c r="B23" s="69">
        <v>46037</v>
      </c>
      <c r="C23" s="70" t="s">
        <v>382</v>
      </c>
      <c r="D23" s="141" t="s">
        <v>736</v>
      </c>
      <c r="E23" s="481">
        <v>6</v>
      </c>
      <c r="F23" s="483">
        <v>4</v>
      </c>
      <c r="G23" s="483">
        <v>40</v>
      </c>
      <c r="H23" s="483">
        <v>12</v>
      </c>
      <c r="I23" s="483">
        <v>12</v>
      </c>
      <c r="J23" s="484">
        <v>510</v>
      </c>
      <c r="K23" s="1">
        <f>Inventory_List_Table341116[[#This Row],[Q]]*Inventory_List_Table341116[[#This Row],[Per piece MXN$]]</f>
        <v>3060</v>
      </c>
      <c r="L23" s="14">
        <f>Inventory_List_Table341116[[#This Row],[KG]]*2.20462</f>
        <v>8.8184799999999992</v>
      </c>
      <c r="M23" s="2">
        <f>Inventory_List_Table341116[[#This Row],[H CM]]/2.54</f>
        <v>15.748031496062993</v>
      </c>
      <c r="N23" s="2">
        <f>Inventory_List_Table341116[[#This Row],[W CM]]/2.54</f>
        <v>4.7244094488188972</v>
      </c>
      <c r="O23" s="2">
        <f>Inventory_List_Table341116[[#This Row],[D CM ]]/2.54</f>
        <v>4.7244094488188972</v>
      </c>
      <c r="P23" s="3">
        <f>Inventory_List_Table341116[[#This Row],[Per piece MXN$]]/$U$2</f>
        <v>28.333333333333332</v>
      </c>
      <c r="Q23" s="3">
        <f t="shared" si="0"/>
        <v>28</v>
      </c>
      <c r="R23" s="3">
        <f>Inventory_List_Table341116[[#This Row],[AQ ROUND]]*1.4</f>
        <v>39.199999999999996</v>
      </c>
      <c r="S23" s="3">
        <f t="shared" si="1"/>
        <v>39</v>
      </c>
      <c r="T23" s="3">
        <f>Inventory_List_Table341116[[#This Row],[LND ROUND]]*8</f>
        <v>312</v>
      </c>
      <c r="U23" s="3">
        <f>Inventory_List_Table341116[[#This Row],[AQ]]*Inventory_List_Table341116[[#This Row],[Q]]</f>
        <v>170</v>
      </c>
      <c r="V23" s="74" t="s">
        <v>713</v>
      </c>
      <c r="W23" s="74" t="s">
        <v>712</v>
      </c>
      <c r="X23" s="176">
        <f>Inventory_List_Table341116[[#This Row],[H CM]]*Inventory_List_Table341116[[#This Row],[W CM]]*4+Inventory_List_Table341116[[#This Row],[D CM ]]*Inventory_List_Table341116[[#This Row],[D CM ]]</f>
        <v>2064</v>
      </c>
      <c r="Y23" s="177">
        <f>Inventory_List_Table341116[[#This Row],[Per piece MXN$]]/Inventory_List_Table341116[[#This Row],[SQCM]]*10000</f>
        <v>2470.9302325581393</v>
      </c>
      <c r="Z23" s="485">
        <f>Inventory_List_Table341116[[#This Row],[SQCM]]/10000*18</f>
        <v>3.7151999999999998</v>
      </c>
      <c r="AA23" s="486">
        <f t="shared" si="2"/>
        <v>4</v>
      </c>
    </row>
    <row r="24" spans="1:27" ht="30" customHeight="1" x14ac:dyDescent="0.3">
      <c r="A24" s="480" t="s">
        <v>167</v>
      </c>
      <c r="B24" s="69">
        <v>46037</v>
      </c>
      <c r="C24" s="70" t="s">
        <v>390</v>
      </c>
      <c r="D24" s="141" t="s">
        <v>737</v>
      </c>
      <c r="E24" s="481">
        <v>4</v>
      </c>
      <c r="F24" s="483">
        <v>5</v>
      </c>
      <c r="G24" s="483">
        <v>50</v>
      </c>
      <c r="H24" s="483">
        <v>12</v>
      </c>
      <c r="I24" s="483">
        <v>12</v>
      </c>
      <c r="J24" s="484">
        <v>655</v>
      </c>
      <c r="K24" s="1">
        <f>Inventory_List_Table341116[[#This Row],[Q]]*Inventory_List_Table341116[[#This Row],[Per piece MXN$]]</f>
        <v>2620</v>
      </c>
      <c r="L24" s="14">
        <f>Inventory_List_Table341116[[#This Row],[KG]]*2.20462</f>
        <v>11.023099999999999</v>
      </c>
      <c r="M24" s="2">
        <f>Inventory_List_Table341116[[#This Row],[H CM]]/2.54</f>
        <v>19.685039370078741</v>
      </c>
      <c r="N24" s="2">
        <f>Inventory_List_Table341116[[#This Row],[W CM]]/2.54</f>
        <v>4.7244094488188972</v>
      </c>
      <c r="O24" s="2">
        <f>Inventory_List_Table341116[[#This Row],[D CM ]]/2.54</f>
        <v>4.7244094488188972</v>
      </c>
      <c r="P24" s="3">
        <f>Inventory_List_Table341116[[#This Row],[Per piece MXN$]]/$U$2</f>
        <v>36.388888888888886</v>
      </c>
      <c r="Q24" s="3">
        <f t="shared" si="0"/>
        <v>36</v>
      </c>
      <c r="R24" s="3">
        <f>Inventory_List_Table341116[[#This Row],[AQ ROUND]]*1.4</f>
        <v>50.4</v>
      </c>
      <c r="S24" s="3">
        <f t="shared" si="1"/>
        <v>50</v>
      </c>
      <c r="T24" s="3">
        <f>Inventory_List_Table341116[[#This Row],[LND ROUND]]*8</f>
        <v>400</v>
      </c>
      <c r="U24" s="3">
        <f>Inventory_List_Table341116[[#This Row],[AQ]]*Inventory_List_Table341116[[#This Row],[Q]]</f>
        <v>145.55555555555554</v>
      </c>
      <c r="V24" s="74" t="s">
        <v>716</v>
      </c>
      <c r="W24" s="74" t="s">
        <v>738</v>
      </c>
      <c r="X24" s="176">
        <f>Inventory_List_Table341116[[#This Row],[H CM]]*Inventory_List_Table341116[[#This Row],[W CM]]*4+Inventory_List_Table341116[[#This Row],[D CM ]]*Inventory_List_Table341116[[#This Row],[D CM ]]</f>
        <v>2544</v>
      </c>
      <c r="Y24" s="177">
        <f>Inventory_List_Table341116[[#This Row],[Per piece MXN$]]/Inventory_List_Table341116[[#This Row],[SQCM]]*10000</f>
        <v>2574.6855345911949</v>
      </c>
      <c r="Z24" s="485">
        <f>Inventory_List_Table341116[[#This Row],[SQCM]]/10000*18</f>
        <v>4.5792000000000002</v>
      </c>
      <c r="AA24" s="486">
        <f t="shared" si="2"/>
        <v>5</v>
      </c>
    </row>
    <row r="25" spans="1:27" ht="30" customHeight="1" x14ac:dyDescent="0.3">
      <c r="A25" s="480" t="s">
        <v>168</v>
      </c>
      <c r="B25" s="69">
        <v>46037</v>
      </c>
      <c r="C25" s="70" t="s">
        <v>390</v>
      </c>
      <c r="D25" s="141" t="s">
        <v>739</v>
      </c>
      <c r="E25" s="481">
        <v>25</v>
      </c>
      <c r="F25" s="483">
        <v>6</v>
      </c>
      <c r="G25" s="483">
        <v>40</v>
      </c>
      <c r="H25" s="483">
        <v>16</v>
      </c>
      <c r="I25" s="483">
        <v>16</v>
      </c>
      <c r="J25" s="484">
        <v>755</v>
      </c>
      <c r="K25" s="1">
        <f>Inventory_List_Table341116[[#This Row],[Q]]*Inventory_List_Table341116[[#This Row],[Per piece MXN$]]</f>
        <v>18875</v>
      </c>
      <c r="L25" s="14">
        <f>Inventory_List_Table341116[[#This Row],[KG]]*2.20462</f>
        <v>13.227719999999998</v>
      </c>
      <c r="M25" s="2">
        <f>Inventory_List_Table341116[[#This Row],[H CM]]/2.54</f>
        <v>15.748031496062993</v>
      </c>
      <c r="N25" s="2">
        <f>Inventory_List_Table341116[[#This Row],[W CM]]/2.54</f>
        <v>6.2992125984251963</v>
      </c>
      <c r="O25" s="2">
        <f>Inventory_List_Table341116[[#This Row],[D CM ]]/2.54</f>
        <v>6.2992125984251963</v>
      </c>
      <c r="P25" s="3">
        <f>Inventory_List_Table341116[[#This Row],[Per piece MXN$]]/$U$2</f>
        <v>41.944444444444443</v>
      </c>
      <c r="Q25" s="3">
        <f t="shared" si="0"/>
        <v>42</v>
      </c>
      <c r="R25" s="3">
        <f>Inventory_List_Table341116[[#This Row],[AQ ROUND]]*1.4</f>
        <v>58.8</v>
      </c>
      <c r="S25" s="3">
        <f t="shared" si="1"/>
        <v>59</v>
      </c>
      <c r="T25" s="3">
        <f>Inventory_List_Table341116[[#This Row],[LND ROUND]]*8</f>
        <v>472</v>
      </c>
      <c r="U25" s="3">
        <f>Inventory_List_Table341116[[#This Row],[AQ]]*Inventory_List_Table341116[[#This Row],[Q]]</f>
        <v>1048.6111111111111</v>
      </c>
      <c r="V25" s="74" t="s">
        <v>686</v>
      </c>
      <c r="W25" s="74" t="s">
        <v>685</v>
      </c>
      <c r="X25" s="176">
        <f>Inventory_List_Table341116[[#This Row],[H CM]]*Inventory_List_Table341116[[#This Row],[W CM]]*4+Inventory_List_Table341116[[#This Row],[D CM ]]*Inventory_List_Table341116[[#This Row],[D CM ]]</f>
        <v>2816</v>
      </c>
      <c r="Y25" s="177">
        <f>Inventory_List_Table341116[[#This Row],[Per piece MXN$]]/Inventory_List_Table341116[[#This Row],[SQCM]]*10000</f>
        <v>2681.1079545454545</v>
      </c>
      <c r="Z25" s="485">
        <f>Inventory_List_Table341116[[#This Row],[SQCM]]/10000*18</f>
        <v>5.0688000000000004</v>
      </c>
      <c r="AA25" s="486">
        <f t="shared" si="2"/>
        <v>6</v>
      </c>
    </row>
    <row r="26" spans="1:27" ht="30" customHeight="1" x14ac:dyDescent="0.3">
      <c r="A26" s="480" t="s">
        <v>169</v>
      </c>
      <c r="B26" s="69">
        <v>46037</v>
      </c>
      <c r="C26" s="70" t="s">
        <v>390</v>
      </c>
      <c r="D26" s="141" t="s">
        <v>740</v>
      </c>
      <c r="E26" s="481">
        <v>3</v>
      </c>
      <c r="F26" s="483">
        <v>5</v>
      </c>
      <c r="G26" s="483">
        <v>35</v>
      </c>
      <c r="H26" s="483">
        <v>16</v>
      </c>
      <c r="I26" s="483">
        <v>16</v>
      </c>
      <c r="J26" s="484">
        <v>740</v>
      </c>
      <c r="K26" s="1">
        <f>Inventory_List_Table341116[[#This Row],[Q]]*Inventory_List_Table341116[[#This Row],[Per piece MXN$]]</f>
        <v>2220</v>
      </c>
      <c r="L26" s="14">
        <f>Inventory_List_Table341116[[#This Row],[KG]]*2.20462</f>
        <v>11.023099999999999</v>
      </c>
      <c r="M26" s="2">
        <f>Inventory_List_Table341116[[#This Row],[H CM]]/2.54</f>
        <v>13.779527559055119</v>
      </c>
      <c r="N26" s="2">
        <f>Inventory_List_Table341116[[#This Row],[W CM]]/2.54</f>
        <v>6.2992125984251963</v>
      </c>
      <c r="O26" s="2">
        <f>Inventory_List_Table341116[[#This Row],[D CM ]]/2.54</f>
        <v>6.2992125984251963</v>
      </c>
      <c r="P26" s="3">
        <f>Inventory_List_Table341116[[#This Row],[Per piece MXN$]]/$U$2</f>
        <v>41.111111111111114</v>
      </c>
      <c r="Q26" s="3">
        <f t="shared" si="0"/>
        <v>41</v>
      </c>
      <c r="R26" s="3">
        <f>Inventory_List_Table341116[[#This Row],[AQ ROUND]]*1.4</f>
        <v>57.4</v>
      </c>
      <c r="S26" s="3">
        <f t="shared" si="1"/>
        <v>57</v>
      </c>
      <c r="T26" s="3">
        <f>Inventory_List_Table341116[[#This Row],[LND ROUND]]*8</f>
        <v>456</v>
      </c>
      <c r="U26" s="3">
        <f>Inventory_List_Table341116[[#This Row],[AQ]]*Inventory_List_Table341116[[#This Row],[Q]]</f>
        <v>123.33333333333334</v>
      </c>
      <c r="V26" s="74" t="s">
        <v>742</v>
      </c>
      <c r="W26" s="74" t="s">
        <v>741</v>
      </c>
      <c r="X26" s="176">
        <f>Inventory_List_Table341116[[#This Row],[H CM]]*Inventory_List_Table341116[[#This Row],[W CM]]*4+Inventory_List_Table341116[[#This Row],[D CM ]]*Inventory_List_Table341116[[#This Row],[D CM ]]</f>
        <v>2496</v>
      </c>
      <c r="Y26" s="177">
        <f>Inventory_List_Table341116[[#This Row],[Per piece MXN$]]/Inventory_List_Table341116[[#This Row],[SQCM]]*10000</f>
        <v>2964.7435897435898</v>
      </c>
      <c r="Z26" s="485">
        <f>Inventory_List_Table341116[[#This Row],[SQCM]]/10000*18</f>
        <v>4.4927999999999999</v>
      </c>
      <c r="AA26" s="486">
        <f t="shared" si="2"/>
        <v>5</v>
      </c>
    </row>
    <row r="27" spans="1:27" ht="30" customHeight="1" x14ac:dyDescent="0.3">
      <c r="A27" s="480" t="s">
        <v>170</v>
      </c>
      <c r="B27" s="69">
        <v>46037</v>
      </c>
      <c r="C27" s="70" t="s">
        <v>390</v>
      </c>
      <c r="D27" s="141" t="s">
        <v>743</v>
      </c>
      <c r="E27" s="481">
        <v>21</v>
      </c>
      <c r="F27" s="483">
        <v>4</v>
      </c>
      <c r="G27" s="483">
        <v>40</v>
      </c>
      <c r="H27" s="483">
        <v>12</v>
      </c>
      <c r="I27" s="483">
        <v>12</v>
      </c>
      <c r="J27" s="484">
        <v>552</v>
      </c>
      <c r="K27" s="1">
        <f>Inventory_List_Table341116[[#This Row],[Q]]*Inventory_List_Table341116[[#This Row],[Per piece MXN$]]</f>
        <v>11592</v>
      </c>
      <c r="L27" s="14">
        <f>Inventory_List_Table341116[[#This Row],[KG]]*2.20462</f>
        <v>8.8184799999999992</v>
      </c>
      <c r="M27" s="2">
        <f>Inventory_List_Table341116[[#This Row],[H CM]]/2.54</f>
        <v>15.748031496062993</v>
      </c>
      <c r="N27" s="2">
        <f>Inventory_List_Table341116[[#This Row],[W CM]]/2.54</f>
        <v>4.7244094488188972</v>
      </c>
      <c r="O27" s="2">
        <f>Inventory_List_Table341116[[#This Row],[D CM ]]/2.54</f>
        <v>4.7244094488188972</v>
      </c>
      <c r="P27" s="3">
        <f>Inventory_List_Table341116[[#This Row],[Per piece MXN$]]/$U$2</f>
        <v>30.666666666666668</v>
      </c>
      <c r="Q27" s="3">
        <f t="shared" si="0"/>
        <v>31</v>
      </c>
      <c r="R27" s="3">
        <f>Inventory_List_Table341116[[#This Row],[AQ ROUND]]*1.4</f>
        <v>43.4</v>
      </c>
      <c r="S27" s="3">
        <f t="shared" si="1"/>
        <v>43</v>
      </c>
      <c r="T27" s="3">
        <f>Inventory_List_Table341116[[#This Row],[LND ROUND]]*8</f>
        <v>344</v>
      </c>
      <c r="U27" s="3">
        <f>Inventory_List_Table341116[[#This Row],[AQ]]*Inventory_List_Table341116[[#This Row],[Q]]</f>
        <v>644</v>
      </c>
      <c r="V27" s="74" t="s">
        <v>745</v>
      </c>
      <c r="W27" s="74" t="s">
        <v>744</v>
      </c>
      <c r="X27" s="176">
        <f>Inventory_List_Table341116[[#This Row],[H CM]]*Inventory_List_Table341116[[#This Row],[W CM]]*4+Inventory_List_Table341116[[#This Row],[D CM ]]*Inventory_List_Table341116[[#This Row],[D CM ]]</f>
        <v>2064</v>
      </c>
      <c r="Y27" s="177">
        <f>Inventory_List_Table341116[[#This Row],[Per piece MXN$]]/Inventory_List_Table341116[[#This Row],[SQCM]]*10000</f>
        <v>2674.4186046511627</v>
      </c>
      <c r="Z27" s="485">
        <f>Inventory_List_Table341116[[#This Row],[SQCM]]/10000*18</f>
        <v>3.7151999999999998</v>
      </c>
      <c r="AA27" s="486">
        <f t="shared" si="2"/>
        <v>4</v>
      </c>
    </row>
    <row r="28" spans="1:27" ht="30" customHeight="1" x14ac:dyDescent="0.3">
      <c r="A28" s="480" t="s">
        <v>171</v>
      </c>
      <c r="B28" s="69">
        <v>46037</v>
      </c>
      <c r="C28" s="70" t="s">
        <v>384</v>
      </c>
      <c r="D28" s="141" t="s">
        <v>746</v>
      </c>
      <c r="E28" s="481">
        <v>8</v>
      </c>
      <c r="F28" s="483">
        <v>6</v>
      </c>
      <c r="G28" s="483">
        <v>40</v>
      </c>
      <c r="H28" s="483">
        <v>16</v>
      </c>
      <c r="I28" s="483">
        <v>16</v>
      </c>
      <c r="J28" s="484">
        <v>755</v>
      </c>
      <c r="K28" s="1">
        <f>Inventory_List_Table341116[[#This Row],[Q]]*Inventory_List_Table341116[[#This Row],[Per piece MXN$]]</f>
        <v>6040</v>
      </c>
      <c r="L28" s="14">
        <f>Inventory_List_Table341116[[#This Row],[KG]]*2.20462</f>
        <v>13.227719999999998</v>
      </c>
      <c r="M28" s="2">
        <f>Inventory_List_Table341116[[#This Row],[H CM]]/2.54</f>
        <v>15.748031496062993</v>
      </c>
      <c r="N28" s="2">
        <f>Inventory_List_Table341116[[#This Row],[W CM]]/2.54</f>
        <v>6.2992125984251963</v>
      </c>
      <c r="O28" s="2">
        <f>Inventory_List_Table341116[[#This Row],[D CM ]]/2.54</f>
        <v>6.2992125984251963</v>
      </c>
      <c r="P28" s="3">
        <f>Inventory_List_Table341116[[#This Row],[Per piece MXN$]]/$U$2</f>
        <v>41.944444444444443</v>
      </c>
      <c r="Q28" s="3">
        <f t="shared" si="0"/>
        <v>42</v>
      </c>
      <c r="R28" s="3">
        <f>Inventory_List_Table341116[[#This Row],[AQ ROUND]]*1.4</f>
        <v>58.8</v>
      </c>
      <c r="S28" s="3">
        <f t="shared" si="1"/>
        <v>59</v>
      </c>
      <c r="T28" s="3">
        <f>Inventory_List_Table341116[[#This Row],[LND ROUND]]*8</f>
        <v>472</v>
      </c>
      <c r="U28" s="3">
        <f>Inventory_List_Table341116[[#This Row],[AQ]]*Inventory_List_Table341116[[#This Row],[Q]]</f>
        <v>335.55555555555554</v>
      </c>
      <c r="V28" s="74" t="s">
        <v>686</v>
      </c>
      <c r="W28" s="74" t="s">
        <v>685</v>
      </c>
      <c r="X28" s="176">
        <f>Inventory_List_Table341116[[#This Row],[H CM]]*Inventory_List_Table341116[[#This Row],[W CM]]*4+Inventory_List_Table341116[[#This Row],[D CM ]]*Inventory_List_Table341116[[#This Row],[D CM ]]</f>
        <v>2816</v>
      </c>
      <c r="Y28" s="177">
        <f>Inventory_List_Table341116[[#This Row],[Per piece MXN$]]/Inventory_List_Table341116[[#This Row],[SQCM]]*10000</f>
        <v>2681.1079545454545</v>
      </c>
      <c r="Z28" s="485">
        <f>Inventory_List_Table341116[[#This Row],[SQCM]]/10000*18</f>
        <v>5.0688000000000004</v>
      </c>
      <c r="AA28" s="486">
        <f t="shared" si="2"/>
        <v>6</v>
      </c>
    </row>
    <row r="29" spans="1:27" ht="30" customHeight="1" x14ac:dyDescent="0.3">
      <c r="A29" s="480" t="s">
        <v>183</v>
      </c>
      <c r="B29" s="69">
        <v>46037</v>
      </c>
      <c r="C29" s="70" t="s">
        <v>384</v>
      </c>
      <c r="D29" s="141" t="s">
        <v>747</v>
      </c>
      <c r="E29" s="481">
        <v>4</v>
      </c>
      <c r="F29" s="483">
        <v>4</v>
      </c>
      <c r="G29" s="483">
        <v>40</v>
      </c>
      <c r="H29" s="483">
        <v>12</v>
      </c>
      <c r="I29" s="483">
        <v>12</v>
      </c>
      <c r="J29" s="934">
        <v>510</v>
      </c>
      <c r="K29" s="222">
        <f>Inventory_List_Table341116[[#This Row],[Q]]*Inventory_List_Table341116[[#This Row],[Per piece MXN$]]</f>
        <v>2040</v>
      </c>
      <c r="L29" s="223">
        <f>Inventory_List_Table341116[[#This Row],[KG]]*2.20462</f>
        <v>8.8184799999999992</v>
      </c>
      <c r="M29" s="223">
        <f>Inventory_List_Table341116[[#This Row],[H CM]]/2.54</f>
        <v>15.748031496062993</v>
      </c>
      <c r="N29" s="223">
        <f>Inventory_List_Table341116[[#This Row],[W CM]]/2.54</f>
        <v>4.7244094488188972</v>
      </c>
      <c r="O29" s="223">
        <f>Inventory_List_Table341116[[#This Row],[D CM ]]/2.54</f>
        <v>4.7244094488188972</v>
      </c>
      <c r="P29" s="915">
        <f>Inventory_List_Table341116[[#This Row],[Per piece MXN$]]/$U$2</f>
        <v>28.333333333333332</v>
      </c>
      <c r="Q29" s="915">
        <f t="shared" ref="Q29:Q43" si="3">IF(MOD(P29,1)&gt;0.4,ROUNDUP(P29,0),ROUNDDOWN(P29,0))</f>
        <v>28</v>
      </c>
      <c r="R29" s="915">
        <f>Inventory_List_Table341116[[#This Row],[AQ ROUND]]*1.4</f>
        <v>39.199999999999996</v>
      </c>
      <c r="S29" s="915">
        <f t="shared" ref="S29:S43" si="4">IF(MOD(R29,1)&gt;0.4,ROUNDUP(R29,0),ROUNDDOWN(R29,0))</f>
        <v>39</v>
      </c>
      <c r="T29" s="915">
        <f>Inventory_List_Table341116[[#This Row],[LND ROUND]]*8</f>
        <v>312</v>
      </c>
      <c r="U29" s="915">
        <f>Inventory_List_Table341116[[#This Row],[AQ]]*Inventory_List_Table341116[[#This Row],[Q]]</f>
        <v>113.33333333333333</v>
      </c>
      <c r="V29" s="74" t="s">
        <v>713</v>
      </c>
      <c r="W29" s="74" t="s">
        <v>712</v>
      </c>
      <c r="X29" s="176">
        <f>Inventory_List_Table341116[[#This Row],[H CM]]*Inventory_List_Table341116[[#This Row],[W CM]]*4+Inventory_List_Table341116[[#This Row],[D CM ]]*Inventory_List_Table341116[[#This Row],[D CM ]]</f>
        <v>2064</v>
      </c>
      <c r="Y29" s="177">
        <f>Inventory_List_Table341116[[#This Row],[Per piece MXN$]]/Inventory_List_Table341116[[#This Row],[SQCM]]*10000</f>
        <v>2470.9302325581393</v>
      </c>
      <c r="Z29" s="485">
        <f>Inventory_List_Table341116[[#This Row],[SQCM]]/10000*18</f>
        <v>3.7151999999999998</v>
      </c>
      <c r="AA29" s="486">
        <f t="shared" si="2"/>
        <v>4</v>
      </c>
    </row>
    <row r="30" spans="1:27" ht="30" customHeight="1" x14ac:dyDescent="0.3">
      <c r="A30" s="480" t="s">
        <v>184</v>
      </c>
      <c r="B30" s="69">
        <v>46037</v>
      </c>
      <c r="C30" s="70" t="s">
        <v>384</v>
      </c>
      <c r="D30" s="141" t="s">
        <v>748</v>
      </c>
      <c r="E30" s="481">
        <v>1</v>
      </c>
      <c r="F30" s="483">
        <v>4</v>
      </c>
      <c r="G30" s="483">
        <v>35</v>
      </c>
      <c r="H30" s="483">
        <v>12</v>
      </c>
      <c r="I30" s="483">
        <v>12</v>
      </c>
      <c r="J30" s="934">
        <v>500</v>
      </c>
      <c r="K30" s="222">
        <f>Inventory_List_Table341116[[#This Row],[Q]]*Inventory_List_Table341116[[#This Row],[Per piece MXN$]]</f>
        <v>500</v>
      </c>
      <c r="L30" s="223">
        <f>Inventory_List_Table341116[[#This Row],[KG]]*2.20462</f>
        <v>8.8184799999999992</v>
      </c>
      <c r="M30" s="223">
        <f>Inventory_List_Table341116[[#This Row],[H CM]]/2.54</f>
        <v>13.779527559055119</v>
      </c>
      <c r="N30" s="223">
        <f>Inventory_List_Table341116[[#This Row],[W CM]]/2.54</f>
        <v>4.7244094488188972</v>
      </c>
      <c r="O30" s="223">
        <f>Inventory_List_Table341116[[#This Row],[D CM ]]/2.54</f>
        <v>4.7244094488188972</v>
      </c>
      <c r="P30" s="915">
        <f>Inventory_List_Table341116[[#This Row],[Per piece MXN$]]/$U$2</f>
        <v>27.777777777777779</v>
      </c>
      <c r="Q30" s="915">
        <f t="shared" si="3"/>
        <v>28</v>
      </c>
      <c r="R30" s="915">
        <f>Inventory_List_Table341116[[#This Row],[AQ ROUND]]*1.4</f>
        <v>39.199999999999996</v>
      </c>
      <c r="S30" s="915">
        <f t="shared" si="4"/>
        <v>39</v>
      </c>
      <c r="T30" s="915">
        <f>Inventory_List_Table341116[[#This Row],[LND ROUND]]*8</f>
        <v>312</v>
      </c>
      <c r="U30" s="915">
        <f>Inventory_List_Table341116[[#This Row],[AQ]]*Inventory_List_Table341116[[#This Row],[Q]]</f>
        <v>27.777777777777779</v>
      </c>
      <c r="V30" s="74" t="s">
        <v>713</v>
      </c>
      <c r="W30" s="74" t="s">
        <v>712</v>
      </c>
      <c r="X30" s="176">
        <f>Inventory_List_Table341116[[#This Row],[H CM]]*Inventory_List_Table341116[[#This Row],[W CM]]*4+Inventory_List_Table341116[[#This Row],[D CM ]]*Inventory_List_Table341116[[#This Row],[D CM ]]</f>
        <v>1824</v>
      </c>
      <c r="Y30" s="177">
        <f>Inventory_List_Table341116[[#This Row],[Per piece MXN$]]/Inventory_List_Table341116[[#This Row],[SQCM]]*10000</f>
        <v>2741.2280701754389</v>
      </c>
      <c r="Z30" s="485">
        <f>Inventory_List_Table341116[[#This Row],[SQCM]]/10000*18</f>
        <v>3.2831999999999999</v>
      </c>
      <c r="AA30" s="486">
        <f t="shared" si="2"/>
        <v>4</v>
      </c>
    </row>
    <row r="31" spans="1:27" ht="30" customHeight="1" x14ac:dyDescent="0.3">
      <c r="A31" s="480" t="s">
        <v>185</v>
      </c>
      <c r="B31" s="69">
        <v>46037</v>
      </c>
      <c r="C31" s="70" t="s">
        <v>385</v>
      </c>
      <c r="D31" s="141" t="s">
        <v>749</v>
      </c>
      <c r="E31" s="481">
        <v>8</v>
      </c>
      <c r="F31" s="483">
        <v>3</v>
      </c>
      <c r="G31" s="483">
        <v>35</v>
      </c>
      <c r="H31" s="483">
        <v>8</v>
      </c>
      <c r="I31" s="483">
        <v>8</v>
      </c>
      <c r="J31" s="934">
        <v>190</v>
      </c>
      <c r="K31" s="222">
        <f>Inventory_List_Table341116[[#This Row],[Q]]*Inventory_List_Table341116[[#This Row],[Per piece MXN$]]</f>
        <v>1520</v>
      </c>
      <c r="L31" s="223">
        <f>Inventory_List_Table341116[[#This Row],[KG]]*2.20462</f>
        <v>6.613859999999999</v>
      </c>
      <c r="M31" s="223">
        <f>Inventory_List_Table341116[[#This Row],[H CM]]/2.54</f>
        <v>13.779527559055119</v>
      </c>
      <c r="N31" s="223">
        <f>Inventory_List_Table341116[[#This Row],[W CM]]/2.54</f>
        <v>3.1496062992125982</v>
      </c>
      <c r="O31" s="223">
        <f>Inventory_List_Table341116[[#This Row],[D CM ]]/2.54</f>
        <v>3.1496062992125982</v>
      </c>
      <c r="P31" s="915">
        <f>Inventory_List_Table341116[[#This Row],[Per piece MXN$]]/$U$2</f>
        <v>10.555555555555555</v>
      </c>
      <c r="Q31" s="915">
        <f t="shared" si="3"/>
        <v>11</v>
      </c>
      <c r="R31" s="915">
        <f>Inventory_List_Table341116[[#This Row],[AQ ROUND]]*1.4</f>
        <v>15.399999999999999</v>
      </c>
      <c r="S31" s="915">
        <f t="shared" si="4"/>
        <v>15</v>
      </c>
      <c r="T31" s="915">
        <f>Inventory_List_Table341116[[#This Row],[LND ROUND]]*8</f>
        <v>120</v>
      </c>
      <c r="U31" s="915">
        <f>Inventory_List_Table341116[[#This Row],[AQ]]*Inventory_List_Table341116[[#This Row],[Q]]</f>
        <v>84.444444444444443</v>
      </c>
      <c r="V31" s="74" t="s">
        <v>91</v>
      </c>
      <c r="W31" s="74" t="s">
        <v>750</v>
      </c>
      <c r="X31" s="176">
        <f>Inventory_List_Table341116[[#This Row],[H CM]]*Inventory_List_Table341116[[#This Row],[W CM]]*4+Inventory_List_Table341116[[#This Row],[D CM ]]*Inventory_List_Table341116[[#This Row],[D CM ]]</f>
        <v>1184</v>
      </c>
      <c r="Y31" s="177">
        <f>Inventory_List_Table341116[[#This Row],[Per piece MXN$]]/Inventory_List_Table341116[[#This Row],[SQCM]]*10000</f>
        <v>1604.7297297297298</v>
      </c>
      <c r="Z31" s="485">
        <f>Inventory_List_Table341116[[#This Row],[SQCM]]/10000*18</f>
        <v>2.1312000000000002</v>
      </c>
      <c r="AA31" s="486">
        <f t="shared" si="2"/>
        <v>3</v>
      </c>
    </row>
    <row r="32" spans="1:27" ht="30" customHeight="1" x14ac:dyDescent="0.3">
      <c r="A32" s="480" t="s">
        <v>186</v>
      </c>
      <c r="B32" s="69">
        <v>46037</v>
      </c>
      <c r="C32" s="70" t="s">
        <v>385</v>
      </c>
      <c r="D32" s="141" t="s">
        <v>751</v>
      </c>
      <c r="E32" s="481">
        <v>20</v>
      </c>
      <c r="F32" s="483">
        <v>2</v>
      </c>
      <c r="G32" s="483">
        <v>30</v>
      </c>
      <c r="H32" s="483">
        <v>8</v>
      </c>
      <c r="I32" s="483">
        <v>8</v>
      </c>
      <c r="J32" s="934">
        <v>180</v>
      </c>
      <c r="K32" s="222">
        <f>Inventory_List_Table341116[[#This Row],[Q]]*Inventory_List_Table341116[[#This Row],[Per piece MXN$]]</f>
        <v>3600</v>
      </c>
      <c r="L32" s="223">
        <f>Inventory_List_Table341116[[#This Row],[KG]]*2.20462</f>
        <v>4.4092399999999996</v>
      </c>
      <c r="M32" s="223">
        <f>Inventory_List_Table341116[[#This Row],[H CM]]/2.54</f>
        <v>11.811023622047244</v>
      </c>
      <c r="N32" s="223">
        <f>Inventory_List_Table341116[[#This Row],[W CM]]/2.54</f>
        <v>3.1496062992125982</v>
      </c>
      <c r="O32" s="223">
        <f>Inventory_List_Table341116[[#This Row],[D CM ]]/2.54</f>
        <v>3.1496062992125982</v>
      </c>
      <c r="P32" s="915">
        <f>Inventory_List_Table341116[[#This Row],[Per piece MXN$]]/$U$2</f>
        <v>10</v>
      </c>
      <c r="Q32" s="915">
        <f t="shared" si="3"/>
        <v>10</v>
      </c>
      <c r="R32" s="915">
        <f>Inventory_List_Table341116[[#This Row],[AQ ROUND]]*1.4</f>
        <v>14</v>
      </c>
      <c r="S32" s="915">
        <f t="shared" si="4"/>
        <v>14</v>
      </c>
      <c r="T32" s="915">
        <f>Inventory_List_Table341116[[#This Row],[LND ROUND]]*8</f>
        <v>112</v>
      </c>
      <c r="U32" s="915">
        <f>Inventory_List_Table341116[[#This Row],[AQ]]*Inventory_List_Table341116[[#This Row],[Q]]</f>
        <v>200</v>
      </c>
      <c r="V32" s="74" t="s">
        <v>753</v>
      </c>
      <c r="W32" s="74" t="s">
        <v>752</v>
      </c>
      <c r="X32" s="176">
        <f>Inventory_List_Table341116[[#This Row],[H CM]]*Inventory_List_Table341116[[#This Row],[W CM]]*4+Inventory_List_Table341116[[#This Row],[D CM ]]*Inventory_List_Table341116[[#This Row],[D CM ]]</f>
        <v>1024</v>
      </c>
      <c r="Y32" s="177">
        <f>Inventory_List_Table341116[[#This Row],[Per piece MXN$]]/Inventory_List_Table341116[[#This Row],[SQCM]]*10000</f>
        <v>1757.8125</v>
      </c>
      <c r="Z32" s="485">
        <f>Inventory_List_Table341116[[#This Row],[SQCM]]/10000*18</f>
        <v>1.8432000000000002</v>
      </c>
      <c r="AA32" s="486">
        <f t="shared" si="2"/>
        <v>2</v>
      </c>
    </row>
    <row r="33" spans="1:27" ht="30" customHeight="1" x14ac:dyDescent="0.3">
      <c r="A33" s="480" t="s">
        <v>187</v>
      </c>
      <c r="B33" s="69">
        <v>46037</v>
      </c>
      <c r="C33" s="70" t="s">
        <v>385</v>
      </c>
      <c r="D33" s="141" t="s">
        <v>754</v>
      </c>
      <c r="E33" s="481">
        <v>2</v>
      </c>
      <c r="F33" s="483">
        <v>2</v>
      </c>
      <c r="G33" s="483">
        <v>25</v>
      </c>
      <c r="H33" s="483">
        <v>8</v>
      </c>
      <c r="I33" s="483">
        <v>8</v>
      </c>
      <c r="J33" s="934">
        <v>180</v>
      </c>
      <c r="K33" s="222">
        <f>Inventory_List_Table341116[[#This Row],[Q]]*Inventory_List_Table341116[[#This Row],[Per piece MXN$]]</f>
        <v>360</v>
      </c>
      <c r="L33" s="223">
        <f>Inventory_List_Table341116[[#This Row],[KG]]*2.20462</f>
        <v>4.4092399999999996</v>
      </c>
      <c r="M33" s="223">
        <f>Inventory_List_Table341116[[#This Row],[H CM]]/2.54</f>
        <v>9.8425196850393704</v>
      </c>
      <c r="N33" s="223">
        <f>Inventory_List_Table341116[[#This Row],[W CM]]/2.54</f>
        <v>3.1496062992125982</v>
      </c>
      <c r="O33" s="223">
        <f>Inventory_List_Table341116[[#This Row],[D CM ]]/2.54</f>
        <v>3.1496062992125982</v>
      </c>
      <c r="P33" s="915">
        <f>Inventory_List_Table341116[[#This Row],[Per piece MXN$]]/$U$2</f>
        <v>10</v>
      </c>
      <c r="Q33" s="915">
        <f t="shared" si="3"/>
        <v>10</v>
      </c>
      <c r="R33" s="915">
        <f>Inventory_List_Table341116[[#This Row],[AQ ROUND]]*1.4</f>
        <v>14</v>
      </c>
      <c r="S33" s="915">
        <f t="shared" si="4"/>
        <v>14</v>
      </c>
      <c r="T33" s="915">
        <f>Inventory_List_Table341116[[#This Row],[LND ROUND]]*8</f>
        <v>112</v>
      </c>
      <c r="U33" s="915">
        <f>Inventory_List_Table341116[[#This Row],[AQ]]*Inventory_List_Table341116[[#This Row],[Q]]</f>
        <v>20</v>
      </c>
      <c r="V33" s="74" t="s">
        <v>753</v>
      </c>
      <c r="W33" s="74" t="s">
        <v>752</v>
      </c>
      <c r="X33" s="176">
        <f>Inventory_List_Table341116[[#This Row],[H CM]]*Inventory_List_Table341116[[#This Row],[W CM]]*4+Inventory_List_Table341116[[#This Row],[D CM ]]*Inventory_List_Table341116[[#This Row],[D CM ]]</f>
        <v>864</v>
      </c>
      <c r="Y33" s="177">
        <f>Inventory_List_Table341116[[#This Row],[Per piece MXN$]]/Inventory_List_Table341116[[#This Row],[SQCM]]*10000</f>
        <v>2083.3333333333335</v>
      </c>
      <c r="Z33" s="485">
        <f>Inventory_List_Table341116[[#This Row],[SQCM]]/10000*18</f>
        <v>1.5552000000000001</v>
      </c>
      <c r="AA33" s="486">
        <f t="shared" si="2"/>
        <v>2</v>
      </c>
    </row>
    <row r="34" spans="1:27" ht="30" customHeight="1" x14ac:dyDescent="0.3">
      <c r="A34" s="480" t="s">
        <v>188</v>
      </c>
      <c r="B34" s="69">
        <v>46037</v>
      </c>
      <c r="C34" s="70" t="s">
        <v>385</v>
      </c>
      <c r="D34" s="141" t="s">
        <v>755</v>
      </c>
      <c r="E34" s="481">
        <v>6</v>
      </c>
      <c r="F34" s="483">
        <v>4</v>
      </c>
      <c r="G34" s="483">
        <v>35</v>
      </c>
      <c r="H34" s="483">
        <v>12</v>
      </c>
      <c r="I34" s="483">
        <v>12</v>
      </c>
      <c r="J34" s="934">
        <v>400</v>
      </c>
      <c r="K34" s="222">
        <f>Inventory_List_Table341116[[#This Row],[Q]]*Inventory_List_Table341116[[#This Row],[Per piece MXN$]]</f>
        <v>2400</v>
      </c>
      <c r="L34" s="223">
        <f>Inventory_List_Table341116[[#This Row],[KG]]*2.20462</f>
        <v>8.8184799999999992</v>
      </c>
      <c r="M34" s="223">
        <f>Inventory_List_Table341116[[#This Row],[H CM]]/2.54</f>
        <v>13.779527559055119</v>
      </c>
      <c r="N34" s="223">
        <f>Inventory_List_Table341116[[#This Row],[W CM]]/2.54</f>
        <v>4.7244094488188972</v>
      </c>
      <c r="O34" s="223">
        <f>Inventory_List_Table341116[[#This Row],[D CM ]]/2.54</f>
        <v>4.7244094488188972</v>
      </c>
      <c r="P34" s="915">
        <f>Inventory_List_Table341116[[#This Row],[Per piece MXN$]]/$U$2</f>
        <v>22.222222222222221</v>
      </c>
      <c r="Q34" s="915">
        <f t="shared" si="3"/>
        <v>22</v>
      </c>
      <c r="R34" s="915">
        <f>Inventory_List_Table341116[[#This Row],[AQ ROUND]]*1.4</f>
        <v>30.799999999999997</v>
      </c>
      <c r="S34" s="915">
        <f t="shared" si="4"/>
        <v>31</v>
      </c>
      <c r="T34" s="915">
        <f>Inventory_List_Table341116[[#This Row],[LND ROUND]]*8</f>
        <v>248</v>
      </c>
      <c r="U34" s="915">
        <f>Inventory_List_Table341116[[#This Row],[AQ]]*Inventory_List_Table341116[[#This Row],[Q]]</f>
        <v>133.33333333333331</v>
      </c>
      <c r="V34" s="74" t="s">
        <v>720</v>
      </c>
      <c r="W34" s="74" t="s">
        <v>745</v>
      </c>
      <c r="X34" s="176">
        <f>Inventory_List_Table341116[[#This Row],[H CM]]*Inventory_List_Table341116[[#This Row],[W CM]]*4+Inventory_List_Table341116[[#This Row],[D CM ]]*Inventory_List_Table341116[[#This Row],[D CM ]]</f>
        <v>1824</v>
      </c>
      <c r="Y34" s="177">
        <f>Inventory_List_Table341116[[#This Row],[Per piece MXN$]]/Inventory_List_Table341116[[#This Row],[SQCM]]*10000</f>
        <v>2192.9824561403507</v>
      </c>
      <c r="Z34" s="485">
        <f>Inventory_List_Table341116[[#This Row],[SQCM]]/10000*18</f>
        <v>3.2831999999999999</v>
      </c>
      <c r="AA34" s="486">
        <f t="shared" si="2"/>
        <v>4</v>
      </c>
    </row>
    <row r="35" spans="1:27" ht="30" customHeight="1" x14ac:dyDescent="0.3">
      <c r="A35" s="480" t="s">
        <v>189</v>
      </c>
      <c r="B35" s="69">
        <v>46037</v>
      </c>
      <c r="C35" s="70" t="s">
        <v>389</v>
      </c>
      <c r="D35" s="141" t="s">
        <v>756</v>
      </c>
      <c r="E35" s="481">
        <v>15</v>
      </c>
      <c r="F35" s="483">
        <v>5</v>
      </c>
      <c r="G35" s="483">
        <v>35</v>
      </c>
      <c r="H35" s="483">
        <v>10</v>
      </c>
      <c r="I35" s="483">
        <v>10</v>
      </c>
      <c r="J35" s="934">
        <v>310</v>
      </c>
      <c r="K35" s="222">
        <f>Inventory_List_Table341116[[#This Row],[Q]]*Inventory_List_Table341116[[#This Row],[Per piece MXN$]]</f>
        <v>4650</v>
      </c>
      <c r="L35" s="223">
        <f>Inventory_List_Table341116[[#This Row],[KG]]*2.20462</f>
        <v>11.023099999999999</v>
      </c>
      <c r="M35" s="223">
        <f>Inventory_List_Table341116[[#This Row],[H CM]]/2.54</f>
        <v>13.779527559055119</v>
      </c>
      <c r="N35" s="223">
        <f>Inventory_List_Table341116[[#This Row],[W CM]]/2.54</f>
        <v>3.9370078740157481</v>
      </c>
      <c r="O35" s="223">
        <f>Inventory_List_Table341116[[#This Row],[D CM ]]/2.54</f>
        <v>3.9370078740157481</v>
      </c>
      <c r="P35" s="915">
        <f>Inventory_List_Table341116[[#This Row],[Per piece MXN$]]/$U$2</f>
        <v>17.222222222222221</v>
      </c>
      <c r="Q35" s="915">
        <f t="shared" si="3"/>
        <v>17</v>
      </c>
      <c r="R35" s="915">
        <f>Inventory_List_Table341116[[#This Row],[AQ ROUND]]*1.4</f>
        <v>23.799999999999997</v>
      </c>
      <c r="S35" s="915">
        <f t="shared" si="4"/>
        <v>24</v>
      </c>
      <c r="T35" s="915">
        <f>Inventory_List_Table341116[[#This Row],[LND ROUND]]*8</f>
        <v>192</v>
      </c>
      <c r="U35" s="915">
        <f>Inventory_List_Table341116[[#This Row],[AQ]]*Inventory_List_Table341116[[#This Row],[Q]]</f>
        <v>258.33333333333331</v>
      </c>
      <c r="V35" s="74" t="s">
        <v>757</v>
      </c>
      <c r="W35" s="74" t="s">
        <v>692</v>
      </c>
      <c r="X35" s="176">
        <f>Inventory_List_Table341116[[#This Row],[H CM]]*Inventory_List_Table341116[[#This Row],[W CM]]*4+Inventory_List_Table341116[[#This Row],[D CM ]]*Inventory_List_Table341116[[#This Row],[D CM ]]</f>
        <v>1500</v>
      </c>
      <c r="Y35" s="177">
        <f>Inventory_List_Table341116[[#This Row],[Per piece MXN$]]/Inventory_List_Table341116[[#This Row],[SQCM]]*10000</f>
        <v>2066.6666666666665</v>
      </c>
      <c r="Z35" s="485">
        <f>Inventory_List_Table341116[[#This Row],[SQCM]]/10000*29</f>
        <v>4.3499999999999996</v>
      </c>
      <c r="AA35" s="486">
        <f t="shared" si="2"/>
        <v>5</v>
      </c>
    </row>
    <row r="36" spans="1:27" ht="30" customHeight="1" x14ac:dyDescent="0.3">
      <c r="A36" s="480" t="s">
        <v>190</v>
      </c>
      <c r="B36" s="69">
        <v>46037</v>
      </c>
      <c r="C36" s="70" t="s">
        <v>389</v>
      </c>
      <c r="D36" s="141" t="s">
        <v>758</v>
      </c>
      <c r="E36" s="481">
        <v>6</v>
      </c>
      <c r="F36" s="483">
        <v>4</v>
      </c>
      <c r="G36" s="483">
        <v>30</v>
      </c>
      <c r="H36" s="483">
        <v>10</v>
      </c>
      <c r="I36" s="483">
        <v>10</v>
      </c>
      <c r="J36" s="934">
        <v>270</v>
      </c>
      <c r="K36" s="222">
        <f>Inventory_List_Table341116[[#This Row],[Q]]*Inventory_List_Table341116[[#This Row],[Per piece MXN$]]</f>
        <v>1620</v>
      </c>
      <c r="L36" s="223">
        <f>Inventory_List_Table341116[[#This Row],[KG]]*2.20462</f>
        <v>8.8184799999999992</v>
      </c>
      <c r="M36" s="223">
        <f>Inventory_List_Table341116[[#This Row],[H CM]]/2.54</f>
        <v>11.811023622047244</v>
      </c>
      <c r="N36" s="223">
        <f>Inventory_List_Table341116[[#This Row],[W CM]]/2.54</f>
        <v>3.9370078740157481</v>
      </c>
      <c r="O36" s="223">
        <f>Inventory_List_Table341116[[#This Row],[D CM ]]/2.54</f>
        <v>3.9370078740157481</v>
      </c>
      <c r="P36" s="915">
        <f>Inventory_List_Table341116[[#This Row],[Per piece MXN$]]/$U$2</f>
        <v>15</v>
      </c>
      <c r="Q36" s="915">
        <f t="shared" si="3"/>
        <v>15</v>
      </c>
      <c r="R36" s="915">
        <f>Inventory_List_Table341116[[#This Row],[AQ ROUND]]*1.4</f>
        <v>21</v>
      </c>
      <c r="S36" s="915">
        <f t="shared" si="4"/>
        <v>21</v>
      </c>
      <c r="T36" s="915">
        <f>Inventory_List_Table341116[[#This Row],[LND ROUND]]*8</f>
        <v>168</v>
      </c>
      <c r="U36" s="915">
        <f>Inventory_List_Table341116[[#This Row],[AQ]]*Inventory_List_Table341116[[#This Row],[Q]]</f>
        <v>90</v>
      </c>
      <c r="V36" s="74" t="s">
        <v>750</v>
      </c>
      <c r="W36" s="74" t="s">
        <v>759</v>
      </c>
      <c r="X36" s="176">
        <f>Inventory_List_Table341116[[#This Row],[H CM]]*Inventory_List_Table341116[[#This Row],[W CM]]*4+Inventory_List_Table341116[[#This Row],[D CM ]]*Inventory_List_Table341116[[#This Row],[D CM ]]</f>
        <v>1300</v>
      </c>
      <c r="Y36" s="177">
        <f>Inventory_List_Table341116[[#This Row],[Per piece MXN$]]/Inventory_List_Table341116[[#This Row],[SQCM]]*10000</f>
        <v>2076.9230769230771</v>
      </c>
      <c r="Z36" s="485">
        <f>Inventory_List_Table341116[[#This Row],[SQCM]]/10000*29</f>
        <v>3.77</v>
      </c>
      <c r="AA36" s="486">
        <f t="shared" si="2"/>
        <v>4</v>
      </c>
    </row>
    <row r="37" spans="1:27" ht="30" customHeight="1" x14ac:dyDescent="0.3">
      <c r="A37" s="480" t="s">
        <v>191</v>
      </c>
      <c r="B37" s="69">
        <v>46037</v>
      </c>
      <c r="C37" s="70" t="s">
        <v>389</v>
      </c>
      <c r="D37" s="141" t="s">
        <v>760</v>
      </c>
      <c r="E37" s="481">
        <v>3</v>
      </c>
      <c r="F37" s="483">
        <v>4</v>
      </c>
      <c r="G37" s="483">
        <v>25</v>
      </c>
      <c r="H37" s="483">
        <v>10</v>
      </c>
      <c r="I37" s="483">
        <v>10</v>
      </c>
      <c r="J37" s="934">
        <v>220</v>
      </c>
      <c r="K37" s="222">
        <f>Inventory_List_Table341116[[#This Row],[Q]]*Inventory_List_Table341116[[#This Row],[Per piece MXN$]]</f>
        <v>660</v>
      </c>
      <c r="L37" s="223">
        <f>Inventory_List_Table341116[[#This Row],[KG]]*2.20462</f>
        <v>8.8184799999999992</v>
      </c>
      <c r="M37" s="223">
        <f>Inventory_List_Table341116[[#This Row],[H CM]]/2.54</f>
        <v>9.8425196850393704</v>
      </c>
      <c r="N37" s="223">
        <f>Inventory_List_Table341116[[#This Row],[W CM]]/2.54</f>
        <v>3.9370078740157481</v>
      </c>
      <c r="O37" s="223">
        <f>Inventory_List_Table341116[[#This Row],[D CM ]]/2.54</f>
        <v>3.9370078740157481</v>
      </c>
      <c r="P37" s="915">
        <f>Inventory_List_Table341116[[#This Row],[Per piece MXN$]]/$U$2</f>
        <v>12.222222222222221</v>
      </c>
      <c r="Q37" s="915">
        <f t="shared" si="3"/>
        <v>12</v>
      </c>
      <c r="R37" s="915">
        <f>Inventory_List_Table341116[[#This Row],[AQ ROUND]]*1.4</f>
        <v>16.799999999999997</v>
      </c>
      <c r="S37" s="915">
        <f t="shared" si="4"/>
        <v>17</v>
      </c>
      <c r="T37" s="915">
        <f>Inventory_List_Table341116[[#This Row],[LND ROUND]]*8</f>
        <v>136</v>
      </c>
      <c r="U37" s="915">
        <f>Inventory_List_Table341116[[#This Row],[AQ]]*Inventory_List_Table341116[[#This Row],[Q]]</f>
        <v>36.666666666666664</v>
      </c>
      <c r="V37" s="74" t="s">
        <v>761</v>
      </c>
      <c r="W37" s="74" t="s">
        <v>757</v>
      </c>
      <c r="X37" s="176">
        <f>Inventory_List_Table341116[[#This Row],[H CM]]*Inventory_List_Table341116[[#This Row],[W CM]]*4+Inventory_List_Table341116[[#This Row],[D CM ]]*Inventory_List_Table341116[[#This Row],[D CM ]]</f>
        <v>1100</v>
      </c>
      <c r="Y37" s="177">
        <f>Inventory_List_Table341116[[#This Row],[Per piece MXN$]]/Inventory_List_Table341116[[#This Row],[SQCM]]*10000</f>
        <v>2000</v>
      </c>
      <c r="Z37" s="485">
        <f>Inventory_List_Table341116[[#This Row],[SQCM]]/10000*29</f>
        <v>3.19</v>
      </c>
      <c r="AA37" s="486">
        <f t="shared" si="2"/>
        <v>4</v>
      </c>
    </row>
    <row r="38" spans="1:27" ht="30" customHeight="1" x14ac:dyDescent="0.3">
      <c r="A38" s="480" t="s">
        <v>192</v>
      </c>
      <c r="B38" s="69">
        <v>46037</v>
      </c>
      <c r="C38" s="70" t="s">
        <v>388</v>
      </c>
      <c r="D38" s="141" t="s">
        <v>762</v>
      </c>
      <c r="E38" s="481">
        <v>3</v>
      </c>
      <c r="F38" s="483">
        <v>3</v>
      </c>
      <c r="G38" s="483">
        <v>30</v>
      </c>
      <c r="H38" s="483">
        <v>12</v>
      </c>
      <c r="I38" s="483">
        <v>12</v>
      </c>
      <c r="J38" s="934">
        <v>320</v>
      </c>
      <c r="K38" s="222">
        <f>Inventory_List_Table341116[[#This Row],[Q]]*Inventory_List_Table341116[[#This Row],[Per piece MXN$]]</f>
        <v>960</v>
      </c>
      <c r="L38" s="223">
        <f>Inventory_List_Table341116[[#This Row],[KG]]*2.20462</f>
        <v>6.613859999999999</v>
      </c>
      <c r="M38" s="223">
        <f>Inventory_List_Table341116[[#This Row],[H CM]]/2.54</f>
        <v>11.811023622047244</v>
      </c>
      <c r="N38" s="223">
        <f>Inventory_List_Table341116[[#This Row],[W CM]]/2.54</f>
        <v>4.7244094488188972</v>
      </c>
      <c r="O38" s="223">
        <f>Inventory_List_Table341116[[#This Row],[D CM ]]/2.54</f>
        <v>4.7244094488188972</v>
      </c>
      <c r="P38" s="915">
        <f>Inventory_List_Table341116[[#This Row],[Per piece MXN$]]/$U$2</f>
        <v>17.777777777777779</v>
      </c>
      <c r="Q38" s="915">
        <f t="shared" si="3"/>
        <v>18</v>
      </c>
      <c r="R38" s="915">
        <f>Inventory_List_Table341116[[#This Row],[AQ ROUND]]*1.4</f>
        <v>25.2</v>
      </c>
      <c r="S38" s="915">
        <f t="shared" si="4"/>
        <v>25</v>
      </c>
      <c r="T38" s="915">
        <f>Inventory_List_Table341116[[#This Row],[LND ROUND]]*8</f>
        <v>200</v>
      </c>
      <c r="U38" s="915">
        <f>Inventory_List_Table341116[[#This Row],[AQ]]*Inventory_List_Table341116[[#This Row],[Q]]</f>
        <v>53.333333333333336</v>
      </c>
      <c r="V38" s="74" t="s">
        <v>764</v>
      </c>
      <c r="W38" s="74" t="s">
        <v>763</v>
      </c>
      <c r="X38" s="176">
        <f>Inventory_List_Table341116[[#This Row],[H CM]]*Inventory_List_Table341116[[#This Row],[W CM]]*4+Inventory_List_Table341116[[#This Row],[D CM ]]*Inventory_List_Table341116[[#This Row],[D CM ]]</f>
        <v>1584</v>
      </c>
      <c r="Y38" s="177">
        <f>Inventory_List_Table341116[[#This Row],[Per piece MXN$]]/Inventory_List_Table341116[[#This Row],[SQCM]]*10000</f>
        <v>2020.2020202020201</v>
      </c>
      <c r="Z38" s="485">
        <f>Inventory_List_Table341116[[#This Row],[SQCM]]/10000*18</f>
        <v>2.8512000000000004</v>
      </c>
      <c r="AA38" s="486">
        <f t="shared" si="2"/>
        <v>3</v>
      </c>
    </row>
    <row r="39" spans="1:27" ht="30" customHeight="1" x14ac:dyDescent="0.3">
      <c r="A39" s="480" t="s">
        <v>193</v>
      </c>
      <c r="B39" s="69">
        <v>46037</v>
      </c>
      <c r="C39" s="70" t="s">
        <v>386</v>
      </c>
      <c r="D39" s="141" t="s">
        <v>765</v>
      </c>
      <c r="E39" s="481">
        <v>9</v>
      </c>
      <c r="F39" s="483">
        <v>4</v>
      </c>
      <c r="G39" s="483">
        <v>40</v>
      </c>
      <c r="H39" s="483">
        <v>12</v>
      </c>
      <c r="I39" s="483">
        <v>12</v>
      </c>
      <c r="J39" s="934">
        <v>460</v>
      </c>
      <c r="K39" s="222">
        <f>Inventory_List_Table341116[[#This Row],[Q]]*Inventory_List_Table341116[[#This Row],[Per piece MXN$]]</f>
        <v>4140</v>
      </c>
      <c r="L39" s="223">
        <f>Inventory_List_Table341116[[#This Row],[KG]]*2.20462</f>
        <v>8.8184799999999992</v>
      </c>
      <c r="M39" s="223">
        <f>Inventory_List_Table341116[[#This Row],[H CM]]/2.54</f>
        <v>15.748031496062993</v>
      </c>
      <c r="N39" s="223">
        <f>Inventory_List_Table341116[[#This Row],[W CM]]/2.54</f>
        <v>4.7244094488188972</v>
      </c>
      <c r="O39" s="223">
        <f>Inventory_List_Table341116[[#This Row],[D CM ]]/2.54</f>
        <v>4.7244094488188972</v>
      </c>
      <c r="P39" s="915">
        <f>Inventory_List_Table341116[[#This Row],[Per piece MXN$]]/$U$2</f>
        <v>25.555555555555557</v>
      </c>
      <c r="Q39" s="915">
        <f t="shared" si="3"/>
        <v>26</v>
      </c>
      <c r="R39" s="915">
        <f>Inventory_List_Table341116[[#This Row],[AQ ROUND]]*1.4</f>
        <v>36.4</v>
      </c>
      <c r="S39" s="915">
        <f t="shared" si="4"/>
        <v>36</v>
      </c>
      <c r="T39" s="915">
        <f>Inventory_List_Table341116[[#This Row],[LND ROUND]]*8</f>
        <v>288</v>
      </c>
      <c r="U39" s="915">
        <f>Inventory_List_Table341116[[#This Row],[AQ]]*Inventory_List_Table341116[[#This Row],[Q]]</f>
        <v>230</v>
      </c>
      <c r="V39" s="74" t="s">
        <v>717</v>
      </c>
      <c r="W39" s="74" t="s">
        <v>716</v>
      </c>
      <c r="X39" s="176">
        <f>Inventory_List_Table341116[[#This Row],[H CM]]*Inventory_List_Table341116[[#This Row],[W CM]]*4+Inventory_List_Table341116[[#This Row],[D CM ]]*Inventory_List_Table341116[[#This Row],[D CM ]]</f>
        <v>2064</v>
      </c>
      <c r="Y39" s="177">
        <f>Inventory_List_Table341116[[#This Row],[Per piece MXN$]]/Inventory_List_Table341116[[#This Row],[SQCM]]*10000</f>
        <v>2228.682170542636</v>
      </c>
      <c r="Z39" s="485">
        <f>Inventory_List_Table341116[[#This Row],[SQCM]]/10000*18</f>
        <v>3.7151999999999998</v>
      </c>
      <c r="AA39" s="486">
        <f t="shared" si="2"/>
        <v>4</v>
      </c>
    </row>
    <row r="40" spans="1:27" ht="30" customHeight="1" x14ac:dyDescent="0.3">
      <c r="A40" s="480" t="s">
        <v>194</v>
      </c>
      <c r="B40" s="69">
        <v>46037</v>
      </c>
      <c r="C40" s="70" t="s">
        <v>387</v>
      </c>
      <c r="D40" s="141" t="s">
        <v>766</v>
      </c>
      <c r="E40" s="481">
        <v>3</v>
      </c>
      <c r="F40" s="483">
        <v>4</v>
      </c>
      <c r="G40" s="483">
        <v>40</v>
      </c>
      <c r="H40" s="483">
        <v>12</v>
      </c>
      <c r="I40" s="483">
        <v>12</v>
      </c>
      <c r="J40" s="934">
        <v>420</v>
      </c>
      <c r="K40" s="222">
        <f>Inventory_List_Table341116[[#This Row],[Q]]*Inventory_List_Table341116[[#This Row],[Per piece MXN$]]</f>
        <v>1260</v>
      </c>
      <c r="L40" s="223">
        <f>Inventory_List_Table341116[[#This Row],[KG]]*2.20462</f>
        <v>8.8184799999999992</v>
      </c>
      <c r="M40" s="223">
        <f>Inventory_List_Table341116[[#This Row],[H CM]]/2.54</f>
        <v>15.748031496062993</v>
      </c>
      <c r="N40" s="223">
        <f>Inventory_List_Table341116[[#This Row],[W CM]]/2.54</f>
        <v>4.7244094488188972</v>
      </c>
      <c r="O40" s="223">
        <f>Inventory_List_Table341116[[#This Row],[D CM ]]/2.54</f>
        <v>4.7244094488188972</v>
      </c>
      <c r="P40" s="915">
        <f>Inventory_List_Table341116[[#This Row],[Per piece MXN$]]/$U$2</f>
        <v>23.333333333333332</v>
      </c>
      <c r="Q40" s="915">
        <f t="shared" si="3"/>
        <v>23</v>
      </c>
      <c r="R40" s="915">
        <f>Inventory_List_Table341116[[#This Row],[AQ ROUND]]*1.4</f>
        <v>32.199999999999996</v>
      </c>
      <c r="S40" s="915">
        <f t="shared" si="4"/>
        <v>32</v>
      </c>
      <c r="T40" s="915">
        <f>Inventory_List_Table341116[[#This Row],[LND ROUND]]*8</f>
        <v>256</v>
      </c>
      <c r="U40" s="915">
        <f>Inventory_List_Table341116[[#This Row],[AQ]]*Inventory_List_Table341116[[#This Row],[Q]]</f>
        <v>70</v>
      </c>
      <c r="V40" s="74" t="s">
        <v>689</v>
      </c>
      <c r="W40" s="74" t="s">
        <v>688</v>
      </c>
      <c r="X40" s="176">
        <f>Inventory_List_Table341116[[#This Row],[H CM]]*Inventory_List_Table341116[[#This Row],[W CM]]*4+Inventory_List_Table341116[[#This Row],[D CM ]]*Inventory_List_Table341116[[#This Row],[D CM ]]</f>
        <v>2064</v>
      </c>
      <c r="Y40" s="177">
        <f>Inventory_List_Table341116[[#This Row],[Per piece MXN$]]/Inventory_List_Table341116[[#This Row],[SQCM]]*10000</f>
        <v>2034.8837209302326</v>
      </c>
      <c r="Z40" s="485">
        <f>Inventory_List_Table341116[[#This Row],[SQCM]]/10000*18</f>
        <v>3.7151999999999998</v>
      </c>
      <c r="AA40" s="486">
        <f t="shared" si="2"/>
        <v>4</v>
      </c>
    </row>
    <row r="41" spans="1:27" ht="30" customHeight="1" x14ac:dyDescent="0.3">
      <c r="A41" s="480" t="s">
        <v>195</v>
      </c>
      <c r="B41" s="69">
        <v>46037</v>
      </c>
      <c r="C41" s="70" t="s">
        <v>387</v>
      </c>
      <c r="D41" s="141" t="s">
        <v>767</v>
      </c>
      <c r="E41" s="481">
        <v>6</v>
      </c>
      <c r="F41" s="483">
        <v>3</v>
      </c>
      <c r="G41" s="483">
        <v>35</v>
      </c>
      <c r="H41" s="483">
        <v>8</v>
      </c>
      <c r="I41" s="483">
        <v>8</v>
      </c>
      <c r="J41" s="934">
        <v>190</v>
      </c>
      <c r="K41" s="222">
        <f>Inventory_List_Table341116[[#This Row],[Q]]*Inventory_List_Table341116[[#This Row],[Per piece MXN$]]</f>
        <v>1140</v>
      </c>
      <c r="L41" s="223">
        <f>Inventory_List_Table341116[[#This Row],[KG]]*2.20462</f>
        <v>6.613859999999999</v>
      </c>
      <c r="M41" s="223">
        <f>Inventory_List_Table341116[[#This Row],[H CM]]/2.54</f>
        <v>13.779527559055119</v>
      </c>
      <c r="N41" s="223">
        <f>Inventory_List_Table341116[[#This Row],[W CM]]/2.54</f>
        <v>3.1496062992125982</v>
      </c>
      <c r="O41" s="223">
        <f>Inventory_List_Table341116[[#This Row],[D CM ]]/2.54</f>
        <v>3.1496062992125982</v>
      </c>
      <c r="P41" s="915">
        <f>Inventory_List_Table341116[[#This Row],[Per piece MXN$]]/$U$2</f>
        <v>10.555555555555555</v>
      </c>
      <c r="Q41" s="915">
        <f t="shared" si="3"/>
        <v>11</v>
      </c>
      <c r="R41" s="915">
        <f>Inventory_List_Table341116[[#This Row],[AQ ROUND]]*1.4</f>
        <v>15.399999999999999</v>
      </c>
      <c r="S41" s="915">
        <f t="shared" si="4"/>
        <v>15</v>
      </c>
      <c r="T41" s="915">
        <f>Inventory_List_Table341116[[#This Row],[LND ROUND]]*8</f>
        <v>120</v>
      </c>
      <c r="U41" s="915">
        <f>Inventory_List_Table341116[[#This Row],[AQ]]*Inventory_List_Table341116[[#This Row],[Q]]</f>
        <v>63.333333333333329</v>
      </c>
      <c r="V41" s="74" t="s">
        <v>91</v>
      </c>
      <c r="W41" s="74" t="s">
        <v>750</v>
      </c>
      <c r="X41" s="176">
        <f>Inventory_List_Table341116[[#This Row],[H CM]]*Inventory_List_Table341116[[#This Row],[W CM]]*4</f>
        <v>1120</v>
      </c>
      <c r="Y41" s="177">
        <f>Inventory_List_Table341116[[#This Row],[Per piece MXN$]]/Inventory_List_Table341116[[#This Row],[SQCM]]*10000</f>
        <v>1696.4285714285716</v>
      </c>
      <c r="Z41" s="485">
        <f>Inventory_List_Table341116[[#This Row],[SQCM]]/10000*18</f>
        <v>2.016</v>
      </c>
      <c r="AA41" s="486">
        <f t="shared" si="2"/>
        <v>3</v>
      </c>
    </row>
    <row r="42" spans="1:27" ht="30" customHeight="1" x14ac:dyDescent="0.3">
      <c r="A42" s="480" t="s">
        <v>196</v>
      </c>
      <c r="B42" s="69">
        <v>46037</v>
      </c>
      <c r="C42" s="70" t="s">
        <v>388</v>
      </c>
      <c r="D42" s="141" t="s">
        <v>768</v>
      </c>
      <c r="E42" s="481">
        <v>30</v>
      </c>
      <c r="F42" s="483">
        <v>3</v>
      </c>
      <c r="G42" s="483">
        <v>35</v>
      </c>
      <c r="H42" s="483">
        <v>8</v>
      </c>
      <c r="I42" s="483">
        <v>8</v>
      </c>
      <c r="J42" s="934">
        <v>220</v>
      </c>
      <c r="K42" s="222">
        <f>Inventory_List_Table341116[[#This Row],[Q]]*Inventory_List_Table341116[[#This Row],[Per piece MXN$]]</f>
        <v>6600</v>
      </c>
      <c r="L42" s="223">
        <f>Inventory_List_Table341116[[#This Row],[KG]]*2.20462</f>
        <v>6.613859999999999</v>
      </c>
      <c r="M42" s="223">
        <f>Inventory_List_Table341116[[#This Row],[H CM]]/2.54</f>
        <v>13.779527559055119</v>
      </c>
      <c r="N42" s="223">
        <f>Inventory_List_Table341116[[#This Row],[W CM]]/2.54</f>
        <v>3.1496062992125982</v>
      </c>
      <c r="O42" s="223">
        <f>Inventory_List_Table341116[[#This Row],[D CM ]]/2.54</f>
        <v>3.1496062992125982</v>
      </c>
      <c r="P42" s="915">
        <f>Inventory_List_Table341116[[#This Row],[Per piece MXN$]]/$U$2</f>
        <v>12.222222222222221</v>
      </c>
      <c r="Q42" s="915">
        <f t="shared" si="3"/>
        <v>12</v>
      </c>
      <c r="R42" s="915">
        <f>Inventory_List_Table341116[[#This Row],[AQ ROUND]]*1.4</f>
        <v>16.799999999999997</v>
      </c>
      <c r="S42" s="915">
        <f t="shared" si="4"/>
        <v>17</v>
      </c>
      <c r="T42" s="915">
        <f>Inventory_List_Table341116[[#This Row],[LND ROUND]]*8</f>
        <v>136</v>
      </c>
      <c r="U42" s="915">
        <f>Inventory_List_Table341116[[#This Row],[AQ]]*Inventory_List_Table341116[[#This Row],[Q]]</f>
        <v>366.66666666666663</v>
      </c>
      <c r="V42" s="74" t="s">
        <v>761</v>
      </c>
      <c r="W42" s="74" t="s">
        <v>757</v>
      </c>
      <c r="X42" s="176">
        <f>Inventory_List_Table341116[[#This Row],[H CM]]*Inventory_List_Table341116[[#This Row],[W CM]]*4+Inventory_List_Table341116[[#This Row],[D CM ]]*Inventory_List_Table341116[[#This Row],[D CM ]]</f>
        <v>1184</v>
      </c>
      <c r="Y42" s="177">
        <f>Inventory_List_Table341116[[#This Row],[Per piece MXN$]]/Inventory_List_Table341116[[#This Row],[SQCM]]*10000</f>
        <v>1858.1081081081079</v>
      </c>
      <c r="Z42" s="485">
        <f>Inventory_List_Table341116[[#This Row],[SQCM]]/10000*18</f>
        <v>2.1312000000000002</v>
      </c>
      <c r="AA42" s="486">
        <f t="shared" si="2"/>
        <v>3</v>
      </c>
    </row>
    <row r="43" spans="1:27" ht="30" customHeight="1" x14ac:dyDescent="0.3">
      <c r="A43" s="480" t="s">
        <v>197</v>
      </c>
      <c r="B43" s="69">
        <v>46037</v>
      </c>
      <c r="C43" s="70" t="s">
        <v>388</v>
      </c>
      <c r="D43" s="141" t="s">
        <v>769</v>
      </c>
      <c r="E43" s="481">
        <v>4</v>
      </c>
      <c r="F43" s="483">
        <v>2</v>
      </c>
      <c r="G43" s="483">
        <v>30</v>
      </c>
      <c r="H43" s="483">
        <v>8</v>
      </c>
      <c r="I43" s="483">
        <v>8</v>
      </c>
      <c r="J43" s="934">
        <v>210</v>
      </c>
      <c r="K43" s="222">
        <f>Inventory_List_Table341116[[#This Row],[Q]]*Inventory_List_Table341116[[#This Row],[Per piece MXN$]]</f>
        <v>840</v>
      </c>
      <c r="L43" s="223">
        <f>Inventory_List_Table341116[[#This Row],[KG]]*2.20462</f>
        <v>4.4092399999999996</v>
      </c>
      <c r="M43" s="223">
        <f>Inventory_List_Table341116[[#This Row],[H CM]]/2.54</f>
        <v>11.811023622047244</v>
      </c>
      <c r="N43" s="223">
        <f>Inventory_List_Table341116[[#This Row],[W CM]]/2.54</f>
        <v>3.1496062992125982</v>
      </c>
      <c r="O43" s="223">
        <f>Inventory_List_Table341116[[#This Row],[D CM ]]/2.54</f>
        <v>3.1496062992125982</v>
      </c>
      <c r="P43" s="915">
        <f>Inventory_List_Table341116[[#This Row],[Per piece MXN$]]/$U$2</f>
        <v>11.666666666666666</v>
      </c>
      <c r="Q43" s="915">
        <f t="shared" si="3"/>
        <v>12</v>
      </c>
      <c r="R43" s="915">
        <f>Inventory_List_Table341116[[#This Row],[AQ ROUND]]*1.4</f>
        <v>16.799999999999997</v>
      </c>
      <c r="S43" s="915">
        <f t="shared" si="4"/>
        <v>17</v>
      </c>
      <c r="T43" s="915">
        <f>Inventory_List_Table341116[[#This Row],[LND ROUND]]*8</f>
        <v>136</v>
      </c>
      <c r="U43" s="915">
        <f>Inventory_List_Table341116[[#This Row],[AQ]]*Inventory_List_Table341116[[#This Row],[Q]]</f>
        <v>46.666666666666664</v>
      </c>
      <c r="V43" s="74" t="s">
        <v>761</v>
      </c>
      <c r="W43" s="74" t="s">
        <v>757</v>
      </c>
      <c r="X43" s="176">
        <f>Inventory_List_Table341116[[#This Row],[H CM]]*Inventory_List_Table341116[[#This Row],[W CM]]*4+Inventory_List_Table341116[[#This Row],[D CM ]]*Inventory_List_Table341116[[#This Row],[D CM ]]</f>
        <v>1024</v>
      </c>
      <c r="Y43" s="177">
        <f>Inventory_List_Table341116[[#This Row],[Per piece MXN$]]/Inventory_List_Table341116[[#This Row],[SQCM]]*10000</f>
        <v>2050.78125</v>
      </c>
      <c r="Z43" s="485">
        <f>Inventory_List_Table341116[[#This Row],[SQCM]]/10000*18</f>
        <v>1.8432000000000002</v>
      </c>
      <c r="AA43" s="486">
        <f t="shared" si="2"/>
        <v>2</v>
      </c>
    </row>
    <row r="44" spans="1:27" ht="30" customHeight="1" x14ac:dyDescent="0.3">
      <c r="A44" s="480" t="s">
        <v>198</v>
      </c>
      <c r="B44" s="69">
        <v>46037</v>
      </c>
      <c r="C44" s="70" t="s">
        <v>390</v>
      </c>
      <c r="D44" s="141" t="s">
        <v>770</v>
      </c>
      <c r="E44" s="481">
        <v>2</v>
      </c>
      <c r="F44" s="483">
        <v>7</v>
      </c>
      <c r="G44" s="483">
        <v>50</v>
      </c>
      <c r="H44" s="483">
        <v>16</v>
      </c>
      <c r="I44" s="483">
        <v>16</v>
      </c>
      <c r="J44" s="934">
        <v>860</v>
      </c>
      <c r="K44" s="222">
        <f>Inventory_List_Table341116[[#This Row],[Q]]*Inventory_List_Table341116[[#This Row],[Per piece MXN$]]</f>
        <v>1720</v>
      </c>
      <c r="L44" s="223">
        <f>Inventory_List_Table341116[[#This Row],[KG]]*2.20462</f>
        <v>15.432339999999998</v>
      </c>
      <c r="M44" s="223">
        <f>Inventory_List_Table341116[[#This Row],[H CM]]/2.54</f>
        <v>19.685039370078741</v>
      </c>
      <c r="N44" s="223">
        <f>Inventory_List_Table341116[[#This Row],[W CM]]/2.54</f>
        <v>6.2992125984251963</v>
      </c>
      <c r="O44" s="223">
        <f>Inventory_List_Table341116[[#This Row],[D CM ]]/2.54</f>
        <v>6.2992125984251963</v>
      </c>
      <c r="P44" s="915">
        <f>Inventory_List_Table341116[[#This Row],[Per piece MXN$]]/$U$2</f>
        <v>47.777777777777779</v>
      </c>
      <c r="Q44" s="915">
        <f t="shared" ref="Q44:Q51" si="5">IF(MOD(P44,1)&gt;0.4,ROUNDUP(P44,0),ROUNDDOWN(P44,0))</f>
        <v>48</v>
      </c>
      <c r="R44" s="915">
        <f>Inventory_List_Table341116[[#This Row],[AQ ROUND]]*1.4</f>
        <v>67.199999999999989</v>
      </c>
      <c r="S44" s="915">
        <f t="shared" ref="S44:S51" si="6">IF(MOD(R44,1)&gt;0.4,ROUNDUP(R44,0),ROUNDDOWN(R44,0))</f>
        <v>67</v>
      </c>
      <c r="T44" s="915">
        <f>Inventory_List_Table341116[[#This Row],[LND ROUND]]*8</f>
        <v>536</v>
      </c>
      <c r="U44" s="915">
        <f>Inventory_List_Table341116[[#This Row],[AQ]]*Inventory_List_Table341116[[#This Row],[Q]]</f>
        <v>95.555555555555557</v>
      </c>
      <c r="V44" s="74" t="s">
        <v>772</v>
      </c>
      <c r="W44" s="74" t="s">
        <v>771</v>
      </c>
      <c r="X44" s="176">
        <f>Inventory_List_Table341116[[#This Row],[H CM]]*Inventory_List_Table341116[[#This Row],[W CM]]*4+Inventory_List_Table341116[[#This Row],[D CM ]]*Inventory_List_Table341116[[#This Row],[D CM ]]</f>
        <v>3456</v>
      </c>
      <c r="Y44" s="177">
        <f>Inventory_List_Table341116[[#This Row],[Per piece MXN$]]/Inventory_List_Table341116[[#This Row],[SQCM]]*10000</f>
        <v>2488.4259259259261</v>
      </c>
      <c r="Z44" s="485">
        <f>Inventory_List_Table341116[[#This Row],[SQCM]]/10000*22</f>
        <v>7.6032000000000002</v>
      </c>
      <c r="AA44" s="486">
        <f t="shared" si="2"/>
        <v>8</v>
      </c>
    </row>
    <row r="45" spans="1:27" ht="30" customHeight="1" x14ac:dyDescent="0.3">
      <c r="A45" s="480" t="s">
        <v>199</v>
      </c>
      <c r="B45" s="69">
        <v>46037</v>
      </c>
      <c r="C45" s="70" t="s">
        <v>390</v>
      </c>
      <c r="D45" s="141" t="s">
        <v>773</v>
      </c>
      <c r="E45" s="481">
        <v>2</v>
      </c>
      <c r="F45" s="483">
        <v>8</v>
      </c>
      <c r="G45" s="483">
        <v>50</v>
      </c>
      <c r="H45" s="483">
        <v>20</v>
      </c>
      <c r="I45" s="483">
        <v>20</v>
      </c>
      <c r="J45" s="934">
        <v>1160</v>
      </c>
      <c r="K45" s="222">
        <f>Inventory_List_Table341116[[#This Row],[Q]]*Inventory_List_Table341116[[#This Row],[Per piece MXN$]]</f>
        <v>2320</v>
      </c>
      <c r="L45" s="223">
        <f>Inventory_List_Table341116[[#This Row],[KG]]*2.20462</f>
        <v>17.636959999999998</v>
      </c>
      <c r="M45" s="223">
        <f>Inventory_List_Table341116[[#This Row],[H CM]]/2.54</f>
        <v>19.685039370078741</v>
      </c>
      <c r="N45" s="223">
        <f>Inventory_List_Table341116[[#This Row],[W CM]]/2.54</f>
        <v>7.8740157480314963</v>
      </c>
      <c r="O45" s="223">
        <f>Inventory_List_Table341116[[#This Row],[D CM ]]/2.54</f>
        <v>7.8740157480314963</v>
      </c>
      <c r="P45" s="915">
        <f>Inventory_List_Table341116[[#This Row],[Per piece MXN$]]/$U$2</f>
        <v>64.444444444444443</v>
      </c>
      <c r="Q45" s="915">
        <f t="shared" si="5"/>
        <v>65</v>
      </c>
      <c r="R45" s="915">
        <f>Inventory_List_Table341116[[#This Row],[AQ ROUND]]*1.4</f>
        <v>91</v>
      </c>
      <c r="S45" s="915">
        <f t="shared" si="6"/>
        <v>91</v>
      </c>
      <c r="T45" s="915">
        <f>Inventory_List_Table341116[[#This Row],[LND ROUND]]*8</f>
        <v>728</v>
      </c>
      <c r="U45" s="915">
        <f>Inventory_List_Table341116[[#This Row],[AQ]]*Inventory_List_Table341116[[#This Row],[Q]]</f>
        <v>128.88888888888889</v>
      </c>
      <c r="V45" s="74" t="s">
        <v>775</v>
      </c>
      <c r="W45" s="74" t="s">
        <v>774</v>
      </c>
      <c r="X45" s="176">
        <f>Inventory_List_Table341116[[#This Row],[H CM]]*Inventory_List_Table341116[[#This Row],[W CM]]*4+Inventory_List_Table341116[[#This Row],[D CM ]]*Inventory_List_Table341116[[#This Row],[D CM ]]</f>
        <v>4400</v>
      </c>
      <c r="Y45" s="177">
        <f>Inventory_List_Table341116[[#This Row],[Per piece MXN$]]/Inventory_List_Table341116[[#This Row],[SQCM]]*10000</f>
        <v>2636.363636363636</v>
      </c>
      <c r="Z45" s="485">
        <f>Inventory_List_Table341116[[#This Row],[SQCM]]/10000*22</f>
        <v>9.68</v>
      </c>
      <c r="AA45" s="486">
        <f t="shared" si="2"/>
        <v>10</v>
      </c>
    </row>
    <row r="46" spans="1:27" ht="30" customHeight="1" x14ac:dyDescent="0.3">
      <c r="A46" s="480" t="s">
        <v>200</v>
      </c>
      <c r="B46" s="69">
        <v>46037</v>
      </c>
      <c r="C46" s="70" t="s">
        <v>419</v>
      </c>
      <c r="D46" s="141" t="s">
        <v>776</v>
      </c>
      <c r="E46" s="481">
        <v>9</v>
      </c>
      <c r="F46" s="483">
        <v>7</v>
      </c>
      <c r="G46" s="483">
        <v>50</v>
      </c>
      <c r="H46" s="483">
        <v>16</v>
      </c>
      <c r="I46" s="483">
        <v>16</v>
      </c>
      <c r="J46" s="934">
        <v>795</v>
      </c>
      <c r="K46" s="222">
        <f>Inventory_List_Table341116[[#This Row],[Q]]*Inventory_List_Table341116[[#This Row],[Per piece MXN$]]</f>
        <v>7155</v>
      </c>
      <c r="L46" s="223">
        <f>Inventory_List_Table341116[[#This Row],[KG]]*2.20462</f>
        <v>15.432339999999998</v>
      </c>
      <c r="M46" s="223">
        <f>Inventory_List_Table341116[[#This Row],[H CM]]/2.54</f>
        <v>19.685039370078741</v>
      </c>
      <c r="N46" s="223">
        <f>Inventory_List_Table341116[[#This Row],[W CM]]/2.54</f>
        <v>6.2992125984251963</v>
      </c>
      <c r="O46" s="223">
        <f>Inventory_List_Table341116[[#This Row],[D CM ]]/2.54</f>
        <v>6.2992125984251963</v>
      </c>
      <c r="P46" s="915">
        <f>Inventory_List_Table341116[[#This Row],[Per piece MXN$]]/$U$2</f>
        <v>44.166666666666664</v>
      </c>
      <c r="Q46" s="915">
        <f t="shared" si="5"/>
        <v>44</v>
      </c>
      <c r="R46" s="915">
        <f>Inventory_List_Table341116[[#This Row],[AQ ROUND]]*1.4</f>
        <v>61.599999999999994</v>
      </c>
      <c r="S46" s="915">
        <f t="shared" si="6"/>
        <v>62</v>
      </c>
      <c r="T46" s="915">
        <f>Inventory_List_Table341116[[#This Row],[LND ROUND]]*8</f>
        <v>496</v>
      </c>
      <c r="U46" s="915">
        <f>Inventory_List_Table341116[[#This Row],[AQ]]*Inventory_List_Table341116[[#This Row],[Q]]</f>
        <v>397.5</v>
      </c>
      <c r="V46" s="74" t="s">
        <v>726</v>
      </c>
      <c r="W46" s="74" t="s">
        <v>725</v>
      </c>
      <c r="X46" s="176">
        <f>Inventory_List_Table341116[[#This Row],[H CM]]*Inventory_List_Table341116[[#This Row],[W CM]]*4+Inventory_List_Table341116[[#This Row],[D CM ]]*Inventory_List_Table341116[[#This Row],[D CM ]]</f>
        <v>3456</v>
      </c>
      <c r="Y46" s="177">
        <f>Inventory_List_Table341116[[#This Row],[Per piece MXN$]]/Inventory_List_Table341116[[#This Row],[SQCM]]*10000</f>
        <v>2300.3472222222222</v>
      </c>
      <c r="Z46" s="485">
        <f>Inventory_List_Table341116[[#This Row],[SQCM]]/10000*22</f>
        <v>7.6032000000000002</v>
      </c>
      <c r="AA46" s="486">
        <f t="shared" si="2"/>
        <v>8</v>
      </c>
    </row>
    <row r="47" spans="1:27" ht="30" customHeight="1" x14ac:dyDescent="0.3">
      <c r="A47" s="480" t="s">
        <v>201</v>
      </c>
      <c r="B47" s="69">
        <v>46037</v>
      </c>
      <c r="C47" s="70" t="s">
        <v>419</v>
      </c>
      <c r="D47" s="141" t="s">
        <v>777</v>
      </c>
      <c r="E47" s="481">
        <v>8</v>
      </c>
      <c r="F47" s="483">
        <v>5</v>
      </c>
      <c r="G47" s="483">
        <v>50</v>
      </c>
      <c r="H47" s="483">
        <v>12</v>
      </c>
      <c r="I47" s="483">
        <v>12</v>
      </c>
      <c r="J47" s="934">
        <v>620</v>
      </c>
      <c r="K47" s="222">
        <f>Inventory_List_Table341116[[#This Row],[Q]]*Inventory_List_Table341116[[#This Row],[Per piece MXN$]]</f>
        <v>4960</v>
      </c>
      <c r="L47" s="223">
        <f>Inventory_List_Table341116[[#This Row],[KG]]*2.20462</f>
        <v>11.023099999999999</v>
      </c>
      <c r="M47" s="223">
        <f>Inventory_List_Table341116[[#This Row],[H CM]]/2.54</f>
        <v>19.685039370078741</v>
      </c>
      <c r="N47" s="223">
        <f>Inventory_List_Table341116[[#This Row],[W CM]]/2.54</f>
        <v>4.7244094488188972</v>
      </c>
      <c r="O47" s="223">
        <f>Inventory_List_Table341116[[#This Row],[D CM ]]/2.54</f>
        <v>4.7244094488188972</v>
      </c>
      <c r="P47" s="915">
        <f>Inventory_List_Table341116[[#This Row],[Per piece MXN$]]/$U$2</f>
        <v>34.444444444444443</v>
      </c>
      <c r="Q47" s="915">
        <f t="shared" si="5"/>
        <v>35</v>
      </c>
      <c r="R47" s="915">
        <f>Inventory_List_Table341116[[#This Row],[AQ ROUND]]*1.4</f>
        <v>49</v>
      </c>
      <c r="S47" s="915">
        <f t="shared" si="6"/>
        <v>49</v>
      </c>
      <c r="T47" s="915">
        <f>Inventory_List_Table341116[[#This Row],[LND ROUND]]*8</f>
        <v>392</v>
      </c>
      <c r="U47" s="915">
        <f>Inventory_List_Table341116[[#This Row],[AQ]]*Inventory_List_Table341116[[#This Row],[Q]]</f>
        <v>275.55555555555554</v>
      </c>
      <c r="V47" s="74" t="s">
        <v>779</v>
      </c>
      <c r="W47" s="74" t="s">
        <v>778</v>
      </c>
      <c r="X47" s="176">
        <f>Inventory_List_Table341116[[#This Row],[H CM]]*Inventory_List_Table341116[[#This Row],[W CM]]*4+Inventory_List_Table341116[[#This Row],[D CM ]]*Inventory_List_Table341116[[#This Row],[D CM ]]</f>
        <v>2544</v>
      </c>
      <c r="Y47" s="177">
        <f>Inventory_List_Table341116[[#This Row],[Per piece MXN$]]/Inventory_List_Table341116[[#This Row],[SQCM]]*10000</f>
        <v>2437.1069182389938</v>
      </c>
      <c r="Z47" s="485">
        <f>Inventory_List_Table341116[[#This Row],[SQCM]]/10000*22</f>
        <v>5.5968</v>
      </c>
      <c r="AA47" s="486">
        <f t="shared" si="2"/>
        <v>6</v>
      </c>
    </row>
    <row r="48" spans="1:27" ht="30" customHeight="1" x14ac:dyDescent="0.3">
      <c r="A48" s="480" t="s">
        <v>202</v>
      </c>
      <c r="B48" s="69">
        <v>46037</v>
      </c>
      <c r="C48" s="70" t="s">
        <v>419</v>
      </c>
      <c r="D48" s="141" t="s">
        <v>780</v>
      </c>
      <c r="E48" s="481">
        <v>5</v>
      </c>
      <c r="F48" s="483">
        <v>4</v>
      </c>
      <c r="G48" s="483">
        <v>35</v>
      </c>
      <c r="H48" s="483">
        <v>12</v>
      </c>
      <c r="I48" s="483">
        <v>12</v>
      </c>
      <c r="J48" s="934">
        <v>495</v>
      </c>
      <c r="K48" s="222">
        <f>Inventory_List_Table341116[[#This Row],[Q]]*Inventory_List_Table341116[[#This Row],[Per piece MXN$]]</f>
        <v>2475</v>
      </c>
      <c r="L48" s="223">
        <f>Inventory_List_Table341116[[#This Row],[KG]]*2.20462</f>
        <v>8.8184799999999992</v>
      </c>
      <c r="M48" s="223">
        <f>Inventory_List_Table341116[[#This Row],[H CM]]/2.54</f>
        <v>13.779527559055119</v>
      </c>
      <c r="N48" s="223">
        <f>Inventory_List_Table341116[[#This Row],[W CM]]/2.54</f>
        <v>4.7244094488188972</v>
      </c>
      <c r="O48" s="223">
        <f>Inventory_List_Table341116[[#This Row],[D CM ]]/2.54</f>
        <v>4.7244094488188972</v>
      </c>
      <c r="P48" s="915">
        <f>Inventory_List_Table341116[[#This Row],[Per piece MXN$]]/$U$2</f>
        <v>27.5</v>
      </c>
      <c r="Q48" s="915">
        <f t="shared" si="5"/>
        <v>28</v>
      </c>
      <c r="R48" s="915">
        <f>Inventory_List_Table341116[[#This Row],[AQ ROUND]]*1.4</f>
        <v>39.199999999999996</v>
      </c>
      <c r="S48" s="915">
        <f t="shared" si="6"/>
        <v>39</v>
      </c>
      <c r="T48" s="915">
        <f>Inventory_List_Table341116[[#This Row],[LND ROUND]]*8</f>
        <v>312</v>
      </c>
      <c r="U48" s="915">
        <f>Inventory_List_Table341116[[#This Row],[AQ]]*Inventory_List_Table341116[[#This Row],[Q]]</f>
        <v>137.5</v>
      </c>
      <c r="V48" s="74" t="s">
        <v>713</v>
      </c>
      <c r="W48" s="74" t="s">
        <v>712</v>
      </c>
      <c r="X48" s="176">
        <f>Inventory_List_Table341116[[#This Row],[H CM]]*Inventory_List_Table341116[[#This Row],[W CM]]*4+Inventory_List_Table341116[[#This Row],[D CM ]]*Inventory_List_Table341116[[#This Row],[D CM ]]</f>
        <v>1824</v>
      </c>
      <c r="Y48" s="177">
        <f>Inventory_List_Table341116[[#This Row],[Per piece MXN$]]/Inventory_List_Table341116[[#This Row],[SQCM]]*10000</f>
        <v>2713.8157894736842</v>
      </c>
      <c r="Z48" s="485">
        <f>Inventory_List_Table341116[[#This Row],[SQCM]]/10000*22</f>
        <v>4.0128000000000004</v>
      </c>
      <c r="AA48" s="486">
        <f t="shared" si="2"/>
        <v>5</v>
      </c>
    </row>
    <row r="49" spans="1:27" ht="30" customHeight="1" x14ac:dyDescent="0.3">
      <c r="A49" s="480" t="s">
        <v>203</v>
      </c>
      <c r="B49" s="69">
        <v>46037</v>
      </c>
      <c r="C49" s="70" t="s">
        <v>419</v>
      </c>
      <c r="D49" s="141" t="s">
        <v>781</v>
      </c>
      <c r="E49" s="481">
        <v>6</v>
      </c>
      <c r="F49" s="483">
        <v>4</v>
      </c>
      <c r="G49" s="483">
        <v>40</v>
      </c>
      <c r="H49" s="483">
        <v>12</v>
      </c>
      <c r="I49" s="483">
        <v>12</v>
      </c>
      <c r="J49" s="934">
        <v>510</v>
      </c>
      <c r="K49" s="222">
        <f>Inventory_List_Table341116[[#This Row],[Q]]*Inventory_List_Table341116[[#This Row],[Per piece MXN$]]</f>
        <v>3060</v>
      </c>
      <c r="L49" s="223">
        <f>Inventory_List_Table341116[[#This Row],[KG]]*2.20462</f>
        <v>8.8184799999999992</v>
      </c>
      <c r="M49" s="223">
        <f>Inventory_List_Table341116[[#This Row],[H CM]]/2.54</f>
        <v>15.748031496062993</v>
      </c>
      <c r="N49" s="223">
        <f>Inventory_List_Table341116[[#This Row],[W CM]]/2.54</f>
        <v>4.7244094488188972</v>
      </c>
      <c r="O49" s="223">
        <f>Inventory_List_Table341116[[#This Row],[D CM ]]/2.54</f>
        <v>4.7244094488188972</v>
      </c>
      <c r="P49" s="915">
        <f>Inventory_List_Table341116[[#This Row],[Per piece MXN$]]/$U$2</f>
        <v>28.333333333333332</v>
      </c>
      <c r="Q49" s="915">
        <f t="shared" si="5"/>
        <v>28</v>
      </c>
      <c r="R49" s="915">
        <f>Inventory_List_Table341116[[#This Row],[AQ ROUND]]*1.4</f>
        <v>39.199999999999996</v>
      </c>
      <c r="S49" s="915">
        <f t="shared" si="6"/>
        <v>39</v>
      </c>
      <c r="T49" s="915">
        <f>Inventory_List_Table341116[[#This Row],[LND ROUND]]*8</f>
        <v>312</v>
      </c>
      <c r="U49" s="915">
        <f>Inventory_List_Table341116[[#This Row],[AQ]]*Inventory_List_Table341116[[#This Row],[Q]]</f>
        <v>170</v>
      </c>
      <c r="V49" s="74" t="s">
        <v>713</v>
      </c>
      <c r="W49" s="74" t="s">
        <v>712</v>
      </c>
      <c r="X49" s="176">
        <f>Inventory_List_Table341116[[#This Row],[H CM]]*Inventory_List_Table341116[[#This Row],[W CM]]*4+Inventory_List_Table341116[[#This Row],[D CM ]]*Inventory_List_Table341116[[#This Row],[D CM ]]</f>
        <v>2064</v>
      </c>
      <c r="Y49" s="177">
        <f>Inventory_List_Table341116[[#This Row],[Per piece MXN$]]/Inventory_List_Table341116[[#This Row],[SQCM]]*10000</f>
        <v>2470.9302325581393</v>
      </c>
      <c r="Z49" s="485">
        <f>Inventory_List_Table341116[[#This Row],[SQCM]]/10000*22</f>
        <v>4.5407999999999999</v>
      </c>
      <c r="AA49" s="486">
        <f t="shared" si="2"/>
        <v>5</v>
      </c>
    </row>
    <row r="50" spans="1:27" ht="30" customHeight="1" x14ac:dyDescent="0.3">
      <c r="A50" s="480" t="s">
        <v>204</v>
      </c>
      <c r="B50" s="69">
        <v>46037</v>
      </c>
      <c r="C50" s="70" t="s">
        <v>419</v>
      </c>
      <c r="D50" s="141" t="s">
        <v>782</v>
      </c>
      <c r="E50" s="481">
        <v>7</v>
      </c>
      <c r="F50" s="483">
        <v>6</v>
      </c>
      <c r="G50" s="483">
        <v>40</v>
      </c>
      <c r="H50" s="483">
        <v>16</v>
      </c>
      <c r="I50" s="483">
        <v>16</v>
      </c>
      <c r="J50" s="934">
        <v>755</v>
      </c>
      <c r="K50" s="222">
        <f>Inventory_List_Table341116[[#This Row],[Q]]*Inventory_List_Table341116[[#This Row],[Per piece MXN$]]</f>
        <v>5285</v>
      </c>
      <c r="L50" s="223">
        <f>Inventory_List_Table341116[[#This Row],[KG]]*2.20462</f>
        <v>13.227719999999998</v>
      </c>
      <c r="M50" s="223">
        <f>Inventory_List_Table341116[[#This Row],[H CM]]/2.54</f>
        <v>15.748031496062993</v>
      </c>
      <c r="N50" s="223">
        <f>Inventory_List_Table341116[[#This Row],[W CM]]/2.54</f>
        <v>6.2992125984251963</v>
      </c>
      <c r="O50" s="223">
        <f>Inventory_List_Table341116[[#This Row],[D CM ]]/2.54</f>
        <v>6.2992125984251963</v>
      </c>
      <c r="P50" s="915">
        <f>Inventory_List_Table341116[[#This Row],[Per piece MXN$]]/$U$2</f>
        <v>41.944444444444443</v>
      </c>
      <c r="Q50" s="915">
        <f t="shared" si="5"/>
        <v>42</v>
      </c>
      <c r="R50" s="915">
        <f>Inventory_List_Table341116[[#This Row],[AQ ROUND]]*1.4</f>
        <v>58.8</v>
      </c>
      <c r="S50" s="915">
        <f t="shared" si="6"/>
        <v>59</v>
      </c>
      <c r="T50" s="915">
        <f>Inventory_List_Table341116[[#This Row],[LND ROUND]]*8</f>
        <v>472</v>
      </c>
      <c r="U50" s="915">
        <f>Inventory_List_Table341116[[#This Row],[AQ]]*Inventory_List_Table341116[[#This Row],[Q]]</f>
        <v>293.61111111111109</v>
      </c>
      <c r="V50" s="74" t="s">
        <v>686</v>
      </c>
      <c r="W50" s="74" t="s">
        <v>685</v>
      </c>
      <c r="X50" s="176">
        <f>Inventory_List_Table341116[[#This Row],[H CM]]*Inventory_List_Table341116[[#This Row],[W CM]]*4+Inventory_List_Table341116[[#This Row],[D CM ]]*Inventory_List_Table341116[[#This Row],[D CM ]]</f>
        <v>2816</v>
      </c>
      <c r="Y50" s="177">
        <f>Inventory_List_Table341116[[#This Row],[Per piece MXN$]]/Inventory_List_Table341116[[#This Row],[SQCM]]*10000</f>
        <v>2681.1079545454545</v>
      </c>
      <c r="Z50" s="485">
        <f>Inventory_List_Table341116[[#This Row],[SQCM]]/10000*22</f>
        <v>6.1952000000000007</v>
      </c>
      <c r="AA50" s="486">
        <f t="shared" si="2"/>
        <v>7</v>
      </c>
    </row>
    <row r="51" spans="1:27" ht="30" customHeight="1" x14ac:dyDescent="0.3">
      <c r="A51" s="480" t="s">
        <v>205</v>
      </c>
      <c r="B51" s="69">
        <v>46037</v>
      </c>
      <c r="C51" s="70" t="s">
        <v>420</v>
      </c>
      <c r="D51" s="141" t="s">
        <v>783</v>
      </c>
      <c r="E51" s="481">
        <v>18</v>
      </c>
      <c r="F51" s="483">
        <v>3</v>
      </c>
      <c r="G51" s="483">
        <v>35</v>
      </c>
      <c r="H51" s="483">
        <v>8</v>
      </c>
      <c r="I51" s="483">
        <v>8</v>
      </c>
      <c r="J51" s="934">
        <v>190</v>
      </c>
      <c r="K51" s="222">
        <f>Inventory_List_Table341116[[#This Row],[Q]]*Inventory_List_Table341116[[#This Row],[Per piece MXN$]]</f>
        <v>3420</v>
      </c>
      <c r="L51" s="223">
        <f>Inventory_List_Table341116[[#This Row],[KG]]*2.20462</f>
        <v>6.613859999999999</v>
      </c>
      <c r="M51" s="223">
        <f>Inventory_List_Table341116[[#This Row],[H CM]]/2.54</f>
        <v>13.779527559055119</v>
      </c>
      <c r="N51" s="223">
        <f>Inventory_List_Table341116[[#This Row],[W CM]]/2.54</f>
        <v>3.1496062992125982</v>
      </c>
      <c r="O51" s="223">
        <f>Inventory_List_Table341116[[#This Row],[D CM ]]/2.54</f>
        <v>3.1496062992125982</v>
      </c>
      <c r="P51" s="915">
        <f>Inventory_List_Table341116[[#This Row],[Per piece MXN$]]/$U$2</f>
        <v>10.555555555555555</v>
      </c>
      <c r="Q51" s="915">
        <f t="shared" si="5"/>
        <v>11</v>
      </c>
      <c r="R51" s="915">
        <f>Inventory_List_Table341116[[#This Row],[AQ ROUND]]*1.4</f>
        <v>15.399999999999999</v>
      </c>
      <c r="S51" s="915">
        <f t="shared" si="6"/>
        <v>15</v>
      </c>
      <c r="T51" s="915">
        <f>Inventory_List_Table341116[[#This Row],[LND ROUND]]*8</f>
        <v>120</v>
      </c>
      <c r="U51" s="915">
        <f>Inventory_List_Table341116[[#This Row],[AQ]]*Inventory_List_Table341116[[#This Row],[Q]]</f>
        <v>190</v>
      </c>
      <c r="V51" s="74" t="s">
        <v>91</v>
      </c>
      <c r="W51" s="74" t="s">
        <v>750</v>
      </c>
      <c r="X51" s="176">
        <f>Inventory_List_Table341116[[#This Row],[H CM]]*Inventory_List_Table341116[[#This Row],[W CM]]*4+Inventory_List_Table341116[[#This Row],[D CM ]]*Inventory_List_Table341116[[#This Row],[D CM ]]</f>
        <v>1184</v>
      </c>
      <c r="Y51" s="177">
        <f>Inventory_List_Table341116[[#This Row],[Per piece MXN$]]/Inventory_List_Table341116[[#This Row],[SQCM]]*10000</f>
        <v>1604.7297297297298</v>
      </c>
      <c r="Z51" s="485">
        <f>Inventory_List_Table341116[[#This Row],[SQCM]]/10000*22</f>
        <v>2.6048</v>
      </c>
      <c r="AA51" s="486">
        <f t="shared" si="2"/>
        <v>3</v>
      </c>
    </row>
    <row r="52" spans="1:27" ht="30" customHeight="1" x14ac:dyDescent="0.25">
      <c r="A52" s="480" t="s">
        <v>206</v>
      </c>
      <c r="B52" s="69">
        <v>46037</v>
      </c>
      <c r="C52" s="70" t="s">
        <v>444</v>
      </c>
      <c r="D52" s="141" t="s">
        <v>785</v>
      </c>
      <c r="E52" s="481">
        <v>12</v>
      </c>
      <c r="F52" s="483">
        <v>4.2</v>
      </c>
      <c r="G52" s="483">
        <v>35</v>
      </c>
      <c r="H52" s="483">
        <v>10</v>
      </c>
      <c r="I52" s="487">
        <v>10</v>
      </c>
      <c r="J52" s="934">
        <v>310</v>
      </c>
      <c r="K52" s="222">
        <f>Inventory_List_Table341116[[#This Row],[Q]]*Inventory_List_Table341116[[#This Row],[Per piece MXN$]]</f>
        <v>3720</v>
      </c>
      <c r="L52" s="223">
        <f>Inventory_List_Table341116[[#This Row],[KG]]*2.20462</f>
        <v>9.259404</v>
      </c>
      <c r="M52" s="223">
        <f>Inventory_List_Table341116[[#This Row],[H CM]]/2.54</f>
        <v>13.779527559055119</v>
      </c>
      <c r="N52" s="223">
        <f>Inventory_List_Table341116[[#This Row],[W CM]]/2.54</f>
        <v>3.9370078740157481</v>
      </c>
      <c r="O52" s="223">
        <f>Inventory_List_Table341116[[#This Row],[D CM ]]/2.54</f>
        <v>3.9370078740157481</v>
      </c>
      <c r="P52" s="915">
        <f>Inventory_List_Table341116[[#This Row],[Per piece MXN$]]/$U$2</f>
        <v>17.222222222222221</v>
      </c>
      <c r="Q52" s="915">
        <f t="shared" ref="Q52:Q58" si="7">IF(MOD(P52,1)&gt;0.4,ROUNDUP(P52,0),ROUNDDOWN(P52,0))</f>
        <v>17</v>
      </c>
      <c r="R52" s="915">
        <f>Inventory_List_Table341116[[#This Row],[AQ ROUND]]*1.4</f>
        <v>23.799999999999997</v>
      </c>
      <c r="S52" s="915">
        <f t="shared" ref="S52:S58" si="8">IF(MOD(R52,1)&gt;0.4,ROUNDUP(R52,0),ROUNDDOWN(R52,0))</f>
        <v>24</v>
      </c>
      <c r="T52" s="915">
        <f>Inventory_List_Table341116[[#This Row],[LND ROUND]]*8</f>
        <v>192</v>
      </c>
      <c r="U52" s="915">
        <f>Inventory_List_Table341116[[#This Row],[AQ]]*Inventory_List_Table341116[[#This Row],[Q]]</f>
        <v>206.66666666666666</v>
      </c>
      <c r="V52" s="74" t="s">
        <v>757</v>
      </c>
      <c r="W52" s="74" t="s">
        <v>692</v>
      </c>
      <c r="X52" s="176">
        <f>Inventory_List_Table341116[[#This Row],[H CM]]*Inventory_List_Table341116[[#This Row],[W CM]]*4+Inventory_List_Table341116[[#This Row],[D CM ]]*Inventory_List_Table341116[[#This Row],[D CM ]]</f>
        <v>1500</v>
      </c>
      <c r="Y52" s="177">
        <f>Inventory_List_Table341116[[#This Row],[Per piece MXN$]]/Inventory_List_Table341116[[#This Row],[SQCM]]*10000</f>
        <v>2066.6666666666665</v>
      </c>
    </row>
    <row r="53" spans="1:27" ht="30" customHeight="1" x14ac:dyDescent="0.25">
      <c r="A53" s="480" t="s">
        <v>207</v>
      </c>
      <c r="B53" s="69">
        <v>46037</v>
      </c>
      <c r="C53" s="70" t="s">
        <v>444</v>
      </c>
      <c r="D53" s="141" t="s">
        <v>786</v>
      </c>
      <c r="E53" s="481">
        <v>12</v>
      </c>
      <c r="F53" s="483">
        <v>3.6</v>
      </c>
      <c r="G53" s="483">
        <v>30</v>
      </c>
      <c r="H53" s="483">
        <v>10</v>
      </c>
      <c r="I53" s="487">
        <v>10</v>
      </c>
      <c r="J53" s="934">
        <v>270</v>
      </c>
      <c r="K53" s="222">
        <f>Inventory_List_Table341116[[#This Row],[Q]]*Inventory_List_Table341116[[#This Row],[Per piece MXN$]]</f>
        <v>3240</v>
      </c>
      <c r="L53" s="223">
        <f>Inventory_List_Table341116[[#This Row],[KG]]*2.20462</f>
        <v>7.9366319999999995</v>
      </c>
      <c r="M53" s="223">
        <f>Inventory_List_Table341116[[#This Row],[H CM]]/2.54</f>
        <v>11.811023622047244</v>
      </c>
      <c r="N53" s="223">
        <f>Inventory_List_Table341116[[#This Row],[W CM]]/2.54</f>
        <v>3.9370078740157481</v>
      </c>
      <c r="O53" s="223">
        <f>Inventory_List_Table341116[[#This Row],[D CM ]]/2.54</f>
        <v>3.9370078740157481</v>
      </c>
      <c r="P53" s="915">
        <f>Inventory_List_Table341116[[#This Row],[Per piece MXN$]]/$U$2</f>
        <v>15</v>
      </c>
      <c r="Q53" s="915">
        <f t="shared" si="7"/>
        <v>15</v>
      </c>
      <c r="R53" s="915">
        <f>Inventory_List_Table341116[[#This Row],[AQ ROUND]]*1.4</f>
        <v>21</v>
      </c>
      <c r="S53" s="915">
        <f t="shared" si="8"/>
        <v>21</v>
      </c>
      <c r="T53" s="915">
        <f>Inventory_List_Table341116[[#This Row],[LND ROUND]]*8</f>
        <v>168</v>
      </c>
      <c r="U53" s="915">
        <f>Inventory_List_Table341116[[#This Row],[AQ]]*Inventory_List_Table341116[[#This Row],[Q]]</f>
        <v>180</v>
      </c>
      <c r="V53" s="74" t="s">
        <v>750</v>
      </c>
      <c r="W53" s="74" t="s">
        <v>759</v>
      </c>
      <c r="X53" s="176">
        <f>Inventory_List_Table341116[[#This Row],[H CM]]*Inventory_List_Table341116[[#This Row],[W CM]]*4+Inventory_List_Table341116[[#This Row],[D CM ]]*Inventory_List_Table341116[[#This Row],[D CM ]]</f>
        <v>1300</v>
      </c>
      <c r="Y53" s="177">
        <f>Inventory_List_Table341116[[#This Row],[Per piece MXN$]]/Inventory_List_Table341116[[#This Row],[SQCM]]*10000</f>
        <v>2076.9230769230771</v>
      </c>
    </row>
    <row r="54" spans="1:27" ht="30" customHeight="1" x14ac:dyDescent="0.25">
      <c r="A54" s="480" t="s">
        <v>208</v>
      </c>
      <c r="B54" s="69">
        <v>46037</v>
      </c>
      <c r="C54" s="70" t="s">
        <v>445</v>
      </c>
      <c r="D54" s="141" t="s">
        <v>788</v>
      </c>
      <c r="E54" s="481">
        <v>15</v>
      </c>
      <c r="F54" s="483">
        <v>4.2</v>
      </c>
      <c r="G54" s="483">
        <v>35</v>
      </c>
      <c r="H54" s="483">
        <v>10</v>
      </c>
      <c r="I54" s="487">
        <v>10</v>
      </c>
      <c r="J54" s="934">
        <v>255</v>
      </c>
      <c r="K54" s="222">
        <f>Inventory_List_Table341116[[#This Row],[Q]]*Inventory_List_Table341116[[#This Row],[Per piece MXN$]]</f>
        <v>3825</v>
      </c>
      <c r="L54" s="223">
        <f>Inventory_List_Table341116[[#This Row],[KG]]*2.20462</f>
        <v>9.259404</v>
      </c>
      <c r="M54" s="223">
        <f>Inventory_List_Table341116[[#This Row],[H CM]]/2.54</f>
        <v>13.779527559055119</v>
      </c>
      <c r="N54" s="223">
        <f>Inventory_List_Table341116[[#This Row],[W CM]]/2.54</f>
        <v>3.9370078740157481</v>
      </c>
      <c r="O54" s="223">
        <f>Inventory_List_Table341116[[#This Row],[D CM ]]/2.54</f>
        <v>3.9370078740157481</v>
      </c>
      <c r="P54" s="915">
        <f>Inventory_List_Table341116[[#This Row],[Per piece MXN$]]/$U$2</f>
        <v>14.166666666666666</v>
      </c>
      <c r="Q54" s="915">
        <f t="shared" si="7"/>
        <v>14</v>
      </c>
      <c r="R54" s="915">
        <f>Inventory_List_Table341116[[#This Row],[AQ ROUND]]*1.4</f>
        <v>19.599999999999998</v>
      </c>
      <c r="S54" s="915">
        <f t="shared" si="8"/>
        <v>20</v>
      </c>
      <c r="T54" s="915">
        <f>Inventory_List_Table341116[[#This Row],[LND ROUND]]*8</f>
        <v>160</v>
      </c>
      <c r="U54" s="915">
        <f>Inventory_List_Table341116[[#This Row],[AQ]]*Inventory_List_Table341116[[#This Row],[Q]]</f>
        <v>212.5</v>
      </c>
      <c r="V54" s="74" t="s">
        <v>752</v>
      </c>
      <c r="W54" s="74" t="s">
        <v>789</v>
      </c>
      <c r="X54" s="176">
        <f>Inventory_List_Table341116[[#This Row],[H CM]]*Inventory_List_Table341116[[#This Row],[W CM]]*4+Inventory_List_Table341116[[#This Row],[D CM ]]*Inventory_List_Table341116[[#This Row],[D CM ]]</f>
        <v>1500</v>
      </c>
      <c r="Y54" s="177">
        <f>Inventory_List_Table341116[[#This Row],[Per piece MXN$]]/Inventory_List_Table341116[[#This Row],[SQCM]]*10000</f>
        <v>1700.0000000000002</v>
      </c>
    </row>
    <row r="55" spans="1:27" ht="30" customHeight="1" x14ac:dyDescent="0.25">
      <c r="A55" s="480" t="s">
        <v>209</v>
      </c>
      <c r="B55" s="69">
        <v>46037</v>
      </c>
      <c r="C55" s="70" t="s">
        <v>445</v>
      </c>
      <c r="D55" s="141" t="s">
        <v>790</v>
      </c>
      <c r="E55" s="481">
        <v>4</v>
      </c>
      <c r="F55" s="483">
        <v>4.8</v>
      </c>
      <c r="G55" s="483">
        <v>40</v>
      </c>
      <c r="H55" s="483">
        <v>10</v>
      </c>
      <c r="I55" s="487">
        <v>10</v>
      </c>
      <c r="J55" s="934">
        <v>290</v>
      </c>
      <c r="K55" s="222">
        <f>Inventory_List_Table341116[[#This Row],[Q]]*Inventory_List_Table341116[[#This Row],[Per piece MXN$]]</f>
        <v>1160</v>
      </c>
      <c r="L55" s="223">
        <f>Inventory_List_Table341116[[#This Row],[KG]]*2.20462</f>
        <v>10.582175999999999</v>
      </c>
      <c r="M55" s="223">
        <f>Inventory_List_Table341116[[#This Row],[H CM]]/2.54</f>
        <v>15.748031496062993</v>
      </c>
      <c r="N55" s="223">
        <f>Inventory_List_Table341116[[#This Row],[W CM]]/2.54</f>
        <v>3.9370078740157481</v>
      </c>
      <c r="O55" s="223">
        <f>Inventory_List_Table341116[[#This Row],[D CM ]]/2.54</f>
        <v>3.9370078740157481</v>
      </c>
      <c r="P55" s="915">
        <f>Inventory_List_Table341116[[#This Row],[Per piece MXN$]]/$U$2</f>
        <v>16.111111111111111</v>
      </c>
      <c r="Q55" s="915">
        <f t="shared" si="7"/>
        <v>16</v>
      </c>
      <c r="R55" s="915">
        <f>Inventory_List_Table341116[[#This Row],[AQ ROUND]]*1.4</f>
        <v>22.4</v>
      </c>
      <c r="S55" s="915">
        <f t="shared" si="8"/>
        <v>22</v>
      </c>
      <c r="T55" s="915">
        <f>Inventory_List_Table341116[[#This Row],[LND ROUND]]*8</f>
        <v>176</v>
      </c>
      <c r="U55" s="915">
        <f>Inventory_List_Table341116[[#This Row],[AQ]]*Inventory_List_Table341116[[#This Row],[Q]]</f>
        <v>64.444444444444443</v>
      </c>
      <c r="V55" s="74" t="s">
        <v>119</v>
      </c>
      <c r="W55" s="74" t="s">
        <v>720</v>
      </c>
      <c r="X55" s="176">
        <f>Inventory_List_Table341116[[#This Row],[H CM]]*Inventory_List_Table341116[[#This Row],[W CM]]*4+Inventory_List_Table341116[[#This Row],[D CM ]]*Inventory_List_Table341116[[#This Row],[D CM ]]</f>
        <v>1700</v>
      </c>
      <c r="Y55" s="177">
        <f>Inventory_List_Table341116[[#This Row],[Per piece MXN$]]/Inventory_List_Table341116[[#This Row],[SQCM]]*10000</f>
        <v>1705.8823529411766</v>
      </c>
    </row>
    <row r="56" spans="1:27" ht="30" customHeight="1" x14ac:dyDescent="0.25">
      <c r="A56" s="480" t="s">
        <v>210</v>
      </c>
      <c r="B56" s="69">
        <v>46037</v>
      </c>
      <c r="C56" s="70" t="s">
        <v>445</v>
      </c>
      <c r="D56" s="141" t="s">
        <v>791</v>
      </c>
      <c r="E56" s="481">
        <v>3</v>
      </c>
      <c r="F56" s="483">
        <v>3</v>
      </c>
      <c r="G56" s="483">
        <v>25</v>
      </c>
      <c r="H56" s="483">
        <v>10</v>
      </c>
      <c r="I56" s="487">
        <v>10</v>
      </c>
      <c r="J56" s="934">
        <v>180</v>
      </c>
      <c r="K56" s="222">
        <f>Inventory_List_Table341116[[#This Row],[Q]]*Inventory_List_Table341116[[#This Row],[Per piece MXN$]]</f>
        <v>540</v>
      </c>
      <c r="L56" s="223">
        <f>Inventory_List_Table341116[[#This Row],[KG]]*2.20462</f>
        <v>6.613859999999999</v>
      </c>
      <c r="M56" s="223">
        <f>Inventory_List_Table341116[[#This Row],[H CM]]/2.54</f>
        <v>9.8425196850393704</v>
      </c>
      <c r="N56" s="223">
        <f>Inventory_List_Table341116[[#This Row],[W CM]]/2.54</f>
        <v>3.9370078740157481</v>
      </c>
      <c r="O56" s="223">
        <f>Inventory_List_Table341116[[#This Row],[D CM ]]/2.54</f>
        <v>3.9370078740157481</v>
      </c>
      <c r="P56" s="915">
        <f>Inventory_List_Table341116[[#This Row],[Per piece MXN$]]/$U$2</f>
        <v>10</v>
      </c>
      <c r="Q56" s="915">
        <f t="shared" si="7"/>
        <v>10</v>
      </c>
      <c r="R56" s="915">
        <f>Inventory_List_Table341116[[#This Row],[AQ ROUND]]*1.4</f>
        <v>14</v>
      </c>
      <c r="S56" s="915">
        <f t="shared" si="8"/>
        <v>14</v>
      </c>
      <c r="T56" s="915">
        <f>Inventory_List_Table341116[[#This Row],[LND ROUND]]*8</f>
        <v>112</v>
      </c>
      <c r="U56" s="915">
        <f>Inventory_List_Table341116[[#This Row],[AQ]]*Inventory_List_Table341116[[#This Row],[Q]]</f>
        <v>30</v>
      </c>
      <c r="V56" s="74" t="s">
        <v>753</v>
      </c>
      <c r="W56" s="74" t="s">
        <v>752</v>
      </c>
      <c r="X56" s="176">
        <f>Inventory_List_Table341116[[#This Row],[H CM]]*Inventory_List_Table341116[[#This Row],[W CM]]*4+Inventory_List_Table341116[[#This Row],[D CM ]]*Inventory_List_Table341116[[#This Row],[D CM ]]</f>
        <v>1100</v>
      </c>
      <c r="Y56" s="177">
        <f>Inventory_List_Table341116[[#This Row],[Per piece MXN$]]/Inventory_List_Table341116[[#This Row],[SQCM]]*10000</f>
        <v>1636.3636363636363</v>
      </c>
    </row>
    <row r="57" spans="1:27" ht="30" customHeight="1" x14ac:dyDescent="0.25">
      <c r="A57" s="480" t="s">
        <v>211</v>
      </c>
      <c r="B57" s="69">
        <v>46037</v>
      </c>
      <c r="C57" s="70" t="s">
        <v>446</v>
      </c>
      <c r="D57" s="141" t="s">
        <v>793</v>
      </c>
      <c r="E57" s="481">
        <v>12</v>
      </c>
      <c r="F57" s="483">
        <v>4.8</v>
      </c>
      <c r="G57" s="483">
        <v>40</v>
      </c>
      <c r="H57" s="483">
        <v>10</v>
      </c>
      <c r="I57" s="487">
        <v>10</v>
      </c>
      <c r="J57" s="934">
        <v>290</v>
      </c>
      <c r="K57" s="222">
        <f>Inventory_List_Table341116[[#This Row],[Q]]*Inventory_List_Table341116[[#This Row],[Per piece MXN$]]</f>
        <v>3480</v>
      </c>
      <c r="L57" s="223">
        <f>Inventory_List_Table341116[[#This Row],[KG]]*2.20462</f>
        <v>10.582175999999999</v>
      </c>
      <c r="M57" s="223">
        <f>Inventory_List_Table341116[[#This Row],[H CM]]/2.54</f>
        <v>15.748031496062993</v>
      </c>
      <c r="N57" s="223">
        <f>Inventory_List_Table341116[[#This Row],[W CM]]/2.54</f>
        <v>3.9370078740157481</v>
      </c>
      <c r="O57" s="223">
        <f>Inventory_List_Table341116[[#This Row],[D CM ]]/2.54</f>
        <v>3.9370078740157481</v>
      </c>
      <c r="P57" s="915">
        <f>Inventory_List_Table341116[[#This Row],[Per piece MXN$]]/$U$2</f>
        <v>16.111111111111111</v>
      </c>
      <c r="Q57" s="915">
        <f t="shared" si="7"/>
        <v>16</v>
      </c>
      <c r="R57" s="915">
        <f>Inventory_List_Table341116[[#This Row],[AQ ROUND]]*1.4</f>
        <v>22.4</v>
      </c>
      <c r="S57" s="915">
        <f t="shared" si="8"/>
        <v>22</v>
      </c>
      <c r="T57" s="915">
        <f>Inventory_List_Table341116[[#This Row],[LND ROUND]]*8</f>
        <v>176</v>
      </c>
      <c r="U57" s="915">
        <f>Inventory_List_Table341116[[#This Row],[AQ]]*Inventory_List_Table341116[[#This Row],[Q]]</f>
        <v>193.33333333333331</v>
      </c>
      <c r="V57" s="74" t="s">
        <v>119</v>
      </c>
      <c r="W57" s="74" t="s">
        <v>720</v>
      </c>
      <c r="X57" s="176">
        <f>Inventory_List_Table341116[[#This Row],[H CM]]*Inventory_List_Table341116[[#This Row],[W CM]]*4+Inventory_List_Table341116[[#This Row],[D CM ]]*Inventory_List_Table341116[[#This Row],[D CM ]]</f>
        <v>1700</v>
      </c>
      <c r="Y57" s="177">
        <f>Inventory_List_Table341116[[#This Row],[Per piece MXN$]]/Inventory_List_Table341116[[#This Row],[SQCM]]*10000</f>
        <v>1705.8823529411766</v>
      </c>
    </row>
    <row r="58" spans="1:27" ht="30" customHeight="1" x14ac:dyDescent="0.25">
      <c r="A58" s="480" t="s">
        <v>212</v>
      </c>
      <c r="B58" s="69">
        <v>46037</v>
      </c>
      <c r="C58" s="70" t="s">
        <v>446</v>
      </c>
      <c r="D58" s="141" t="s">
        <v>794</v>
      </c>
      <c r="E58" s="481">
        <v>4</v>
      </c>
      <c r="F58" s="483">
        <v>4.2</v>
      </c>
      <c r="G58" s="483">
        <v>35</v>
      </c>
      <c r="H58" s="483">
        <v>10</v>
      </c>
      <c r="I58" s="487">
        <v>10</v>
      </c>
      <c r="J58" s="934">
        <v>255</v>
      </c>
      <c r="K58" s="222">
        <f>Inventory_List_Table341116[[#This Row],[Q]]*Inventory_List_Table341116[[#This Row],[Per piece MXN$]]</f>
        <v>1020</v>
      </c>
      <c r="L58" s="223">
        <f>Inventory_List_Table341116[[#This Row],[KG]]*2.20462</f>
        <v>9.259404</v>
      </c>
      <c r="M58" s="223">
        <f>Inventory_List_Table341116[[#This Row],[H CM]]/2.54</f>
        <v>13.779527559055119</v>
      </c>
      <c r="N58" s="223">
        <f>Inventory_List_Table341116[[#This Row],[W CM]]/2.54</f>
        <v>3.9370078740157481</v>
      </c>
      <c r="O58" s="223">
        <f>Inventory_List_Table341116[[#This Row],[D CM ]]/2.54</f>
        <v>3.9370078740157481</v>
      </c>
      <c r="P58" s="915">
        <f>Inventory_List_Table341116[[#This Row],[Per piece MXN$]]/$U$2</f>
        <v>14.166666666666666</v>
      </c>
      <c r="Q58" s="915">
        <f t="shared" si="7"/>
        <v>14</v>
      </c>
      <c r="R58" s="915">
        <f>Inventory_List_Table341116[[#This Row],[AQ ROUND]]*1.4</f>
        <v>19.599999999999998</v>
      </c>
      <c r="S58" s="915">
        <f t="shared" si="8"/>
        <v>20</v>
      </c>
      <c r="T58" s="915">
        <f>Inventory_List_Table341116[[#This Row],[LND ROUND]]*8</f>
        <v>160</v>
      </c>
      <c r="U58" s="915">
        <f>Inventory_List_Table341116[[#This Row],[AQ]]*Inventory_List_Table341116[[#This Row],[Q]]</f>
        <v>56.666666666666664</v>
      </c>
      <c r="V58" s="74" t="s">
        <v>752</v>
      </c>
      <c r="W58" s="74" t="s">
        <v>789</v>
      </c>
      <c r="X58" s="176">
        <f>Inventory_List_Table341116[[#This Row],[H CM]]*Inventory_List_Table341116[[#This Row],[W CM]]*4+Inventory_List_Table341116[[#This Row],[D CM ]]*Inventory_List_Table341116[[#This Row],[D CM ]]</f>
        <v>1500</v>
      </c>
      <c r="Y58" s="177">
        <f>Inventory_List_Table341116[[#This Row],[Per piece MXN$]]/Inventory_List_Table341116[[#This Row],[SQCM]]*10000</f>
        <v>1700.0000000000002</v>
      </c>
    </row>
  </sheetData>
  <mergeCells count="1">
    <mergeCell ref="Q1:Q2"/>
  </mergeCells>
  <phoneticPr fontId="3" type="noConversion"/>
  <dataValidations count="12">
    <dataValidation allowBlank="1" showInputMessage="1" showErrorMessage="1" prompt="Enter company name in this cell" sqref="A2" xr:uid="{718297A5-7645-4B0C-AE20-9F803BF28944}"/>
    <dataValidation allowBlank="1" showInputMessage="1" showErrorMessage="1" prompt="Enter a description of the item in this column" sqref="E3" xr:uid="{600258D6-2E67-451B-B456-852DF755F188}"/>
    <dataValidation allowBlank="1" showInputMessage="1" showErrorMessage="1" prompt="Enter the unit price of each item in this column" sqref="F3" xr:uid="{9F0CC3B2-5D63-42E8-808D-94C77B88A639}"/>
    <dataValidation allowBlank="1" showInputMessage="1" showErrorMessage="1" prompt="Enter the quantity in stock for each item in this column" sqref="G3" xr:uid="{0BCAF80B-5A89-4870-9320-67786B5D878B}"/>
    <dataValidation allowBlank="1" showInputMessage="1" showErrorMessage="1" prompt="This is an automated column._x000a__x000a_The inventory value for each item is automatically calculated in this column." sqref="H3" xr:uid="{CD484CD0-34BA-49A9-AC02-17B6310F27FC}"/>
    <dataValidation allowBlank="1" showInputMessage="1" showErrorMessage="1" prompt="Enter the reorder level for each item in this column" sqref="I3" xr:uid="{764CC2A9-9B39-4C87-9016-113715D4418B}"/>
    <dataValidation allowBlank="1" showInputMessage="1" showErrorMessage="1" prompt="Enter the number of days it takes to reorder each item in this column" sqref="J3:L3" xr:uid="{722AFC56-25AF-407D-86BD-63B42E06B7C0}"/>
    <dataValidation allowBlank="1" showInputMessage="1" showErrorMessage="1" prompt="Enter the quantity in reorder for each item in this column" sqref="M3" xr:uid="{58D6733A-0AA8-4688-AC43-63C1A9507986}"/>
    <dataValidation allowBlank="1" showInputMessage="1" showErrorMessage="1" prompt="Enter yes if the item has been discontinued. When a yes is entered, the corresponding row is highlighted a light grey and the font style changed to strikethrough" sqref="N3" xr:uid="{2102FB39-DCA5-4BE1-8C97-AD366F53EBF8}"/>
    <dataValidation allowBlank="1" showInputMessage="1" showErrorMessage="1" prompt="Enter the name of the item in this column" sqref="D3" xr:uid="{BACE1FF1-AB77-43E4-AA1E-891C6795405C}"/>
    <dataValidation allowBlank="1" showInputMessage="1" showErrorMessage="1" prompt="Enter the item inventory ID in this column" sqref="C3" xr:uid="{42EA182D-7FAC-4680-AC24-1412D18B9F79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3C21CB62-FFC1-48B0-AC22-23FA1163B7B9}"/>
  </dataValidations>
  <printOptions horizontalCentered="1"/>
  <pageMargins left="0.25" right="0.25" top="0.75" bottom="0.75" header="0.3" footer="0.3"/>
  <pageSetup scale="22" fitToHeight="0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1C99-23E4-4B4F-948A-ADD1A6A90828}">
  <sheetPr codeName="Sheet14">
    <tabColor rgb="FFFFE4E1"/>
    <pageSetUpPr fitToPage="1"/>
  </sheetPr>
  <dimension ref="A1:Z42"/>
  <sheetViews>
    <sheetView showGridLines="0" zoomScale="70" zoomScaleNormal="70" workbookViewId="0">
      <selection activeCell="V4" sqref="V4:W42"/>
    </sheetView>
  </sheetViews>
  <sheetFormatPr defaultColWidth="8.625" defaultRowHeight="24" customHeight="1" x14ac:dyDescent="0.25"/>
  <cols>
    <col min="1" max="1" width="4.125" style="76" customWidth="1"/>
    <col min="2" max="2" width="15.5" style="77" customWidth="1"/>
    <col min="3" max="3" width="39.375" style="78" customWidth="1"/>
    <col min="4" max="4" width="22" style="78" bestFit="1" customWidth="1"/>
    <col min="5" max="5" width="8.75" style="78" customWidth="1"/>
    <col min="6" max="6" width="9.25" style="79" bestFit="1" customWidth="1"/>
    <col min="7" max="7" width="8.125" style="79" bestFit="1" customWidth="1"/>
    <col min="8" max="8" width="8.75" style="79" bestFit="1" customWidth="1"/>
    <col min="9" max="9" width="8.125" style="79" bestFit="1" customWidth="1"/>
    <col min="10" max="10" width="20.875" style="79" bestFit="1" customWidth="1"/>
    <col min="11" max="11" width="22" style="79" bestFit="1" customWidth="1"/>
    <col min="12" max="12" width="13.25" style="79" bestFit="1" customWidth="1"/>
    <col min="13" max="13" width="11.5" style="79" customWidth="1"/>
    <col min="14" max="14" width="11.5" style="78" customWidth="1"/>
    <col min="15" max="15" width="11.375" style="45" customWidth="1"/>
    <col min="16" max="17" width="13.75" style="45" customWidth="1"/>
    <col min="18" max="19" width="15.5" style="45" customWidth="1"/>
    <col min="20" max="20" width="18.125" style="45" bestFit="1" customWidth="1"/>
    <col min="21" max="21" width="15" style="45" customWidth="1"/>
    <col min="22" max="22" width="7.5" style="45" bestFit="1" customWidth="1"/>
    <col min="23" max="23" width="8.125" style="45" bestFit="1" customWidth="1"/>
    <col min="24" max="24" width="10.125" bestFit="1" customWidth="1"/>
    <col min="25" max="25" width="15.25" bestFit="1" customWidth="1"/>
    <col min="26" max="26" width="13.25" bestFit="1" customWidth="1"/>
    <col min="27" max="16384" width="8.625" style="45"/>
  </cols>
  <sheetData>
    <row r="1" spans="1:26" ht="36.75" x14ac:dyDescent="0.6">
      <c r="A1" s="143" t="s">
        <v>63</v>
      </c>
      <c r="B1" s="144"/>
      <c r="C1" s="17" t="s">
        <v>63</v>
      </c>
      <c r="D1" s="145"/>
      <c r="E1" s="145"/>
      <c r="F1" s="144"/>
      <c r="G1" s="146"/>
      <c r="H1" s="146"/>
      <c r="I1" s="147"/>
      <c r="J1" s="148" t="s">
        <v>132</v>
      </c>
      <c r="K1" s="180">
        <f>SUM(K18:K41)</f>
        <v>69655</v>
      </c>
      <c r="L1" s="149"/>
      <c r="M1" s="150"/>
      <c r="N1" s="144"/>
      <c r="O1" s="146"/>
      <c r="P1" s="146"/>
      <c r="Q1" s="1071"/>
      <c r="R1" s="151"/>
      <c r="S1" s="82">
        <f>SUM(K18:K42)</f>
        <v>72256.5</v>
      </c>
      <c r="T1" s="152" t="s">
        <v>133</v>
      </c>
      <c r="U1" s="153">
        <v>825</v>
      </c>
      <c r="V1" s="146"/>
      <c r="W1" s="146"/>
    </row>
    <row r="2" spans="1:26" ht="31.5" x14ac:dyDescent="0.45">
      <c r="A2" s="154" t="s">
        <v>116</v>
      </c>
      <c r="B2" s="155"/>
      <c r="C2" s="155"/>
      <c r="D2" s="156"/>
      <c r="E2" s="157"/>
      <c r="F2" s="158"/>
      <c r="G2" s="159"/>
      <c r="H2" s="146"/>
      <c r="I2" s="160"/>
      <c r="J2" s="160"/>
      <c r="K2" s="856">
        <f>SUM(Inventory_List_Table34112[TOTAL PESOS])</f>
        <v>150221.5</v>
      </c>
      <c r="L2" s="160"/>
      <c r="M2" s="144"/>
      <c r="N2" s="144"/>
      <c r="O2" s="146"/>
      <c r="P2" s="146"/>
      <c r="Q2" s="1072"/>
      <c r="R2" s="151"/>
      <c r="S2" s="151"/>
      <c r="T2" s="152" t="s">
        <v>134</v>
      </c>
      <c r="U2" s="161">
        <v>18</v>
      </c>
      <c r="V2" s="145"/>
      <c r="W2" s="162"/>
      <c r="Y2" s="163">
        <f>AVERAGE(Y4:Y41)</f>
        <v>2010.2462899162076</v>
      </c>
    </row>
    <row r="3" spans="1:26" s="67" customFormat="1" ht="40.9" customHeight="1" x14ac:dyDescent="0.25">
      <c r="A3" s="164" t="s">
        <v>135</v>
      </c>
      <c r="B3" s="165" t="s">
        <v>122</v>
      </c>
      <c r="C3" s="165" t="s">
        <v>136</v>
      </c>
      <c r="D3" s="166" t="s">
        <v>137</v>
      </c>
      <c r="E3" s="167" t="s">
        <v>123</v>
      </c>
      <c r="F3" s="168" t="s">
        <v>124</v>
      </c>
      <c r="G3" s="168" t="s">
        <v>130</v>
      </c>
      <c r="H3" s="168" t="s">
        <v>125</v>
      </c>
      <c r="I3" s="168" t="s">
        <v>126</v>
      </c>
      <c r="J3" s="168" t="s">
        <v>138</v>
      </c>
      <c r="K3" s="165" t="s">
        <v>139</v>
      </c>
      <c r="L3" s="165" t="s">
        <v>127</v>
      </c>
      <c r="M3" s="165" t="s">
        <v>140</v>
      </c>
      <c r="N3" s="165" t="s">
        <v>141</v>
      </c>
      <c r="O3" s="165" t="s">
        <v>142</v>
      </c>
      <c r="P3" s="169" t="s">
        <v>143</v>
      </c>
      <c r="Q3" s="165" t="s">
        <v>144</v>
      </c>
      <c r="R3" s="169" t="s">
        <v>145</v>
      </c>
      <c r="S3" s="169" t="s">
        <v>146</v>
      </c>
      <c r="T3" s="169" t="s">
        <v>2</v>
      </c>
      <c r="U3" s="170" t="s">
        <v>128</v>
      </c>
      <c r="V3" s="170" t="s">
        <v>131</v>
      </c>
      <c r="W3" s="171" t="s">
        <v>1</v>
      </c>
      <c r="X3" s="165" t="s">
        <v>418</v>
      </c>
      <c r="Y3" s="165" t="s">
        <v>417</v>
      </c>
      <c r="Z3" s="165" t="s">
        <v>3</v>
      </c>
    </row>
    <row r="4" spans="1:26" ht="30" customHeight="1" x14ac:dyDescent="0.25">
      <c r="A4" s="172" t="s">
        <v>147</v>
      </c>
      <c r="B4" s="69"/>
      <c r="C4" s="70" t="s">
        <v>64</v>
      </c>
      <c r="D4" s="964" t="s">
        <v>1378</v>
      </c>
      <c r="E4" s="173">
        <v>7</v>
      </c>
      <c r="F4" s="174">
        <v>30</v>
      </c>
      <c r="G4" s="174">
        <v>100</v>
      </c>
      <c r="H4" s="174">
        <v>25</v>
      </c>
      <c r="I4" s="174">
        <v>25</v>
      </c>
      <c r="J4" s="175">
        <v>2125</v>
      </c>
      <c r="K4" s="1">
        <f>Inventory_List_Table34112[[#This Row],[Q]]*Inventory_List_Table34112[[#This Row],[Per piece MXN$]]</f>
        <v>14875</v>
      </c>
      <c r="L4" s="1">
        <f>Inventory_List_Table34112[[#This Row],[KG]]*2.20462</f>
        <v>66.138599999999997</v>
      </c>
      <c r="M4" s="2">
        <f>Inventory_List_Table34112[[#This Row],[H CM]]/2.54</f>
        <v>39.370078740157481</v>
      </c>
      <c r="N4" s="2">
        <f>Inventory_List_Table34112[[#This Row],[W CM]]/2.54</f>
        <v>9.8425196850393704</v>
      </c>
      <c r="O4" s="2">
        <f>Inventory_List_Table34112[[#This Row],[D CM ]]/2.54</f>
        <v>9.8425196850393704</v>
      </c>
      <c r="P4" s="3">
        <f>Inventory_List_Table34112[[#This Row],[Per piece MXN$]]/$U$2</f>
        <v>118.05555555555556</v>
      </c>
      <c r="Q4" s="3">
        <f t="shared" ref="Q4:Q29" si="0">IF(MOD(P4,1)&gt;0.4,ROUNDUP(P4,0),ROUNDDOWN(P4,0))</f>
        <v>118</v>
      </c>
      <c r="R4" s="3">
        <f>Inventory_List_Table34112[[#This Row],[AQ ROUND]]*1.4</f>
        <v>165.2</v>
      </c>
      <c r="S4" s="3">
        <f t="shared" ref="S4:S29" si="1">IF(MOD(R4,1)&gt;0.4,ROUNDUP(R4,0),ROUNDDOWN(R4,0))</f>
        <v>165</v>
      </c>
      <c r="T4" s="3">
        <f>Inventory_List_Table34112[[#This Row],[LND ROUND]]*8</f>
        <v>1320</v>
      </c>
      <c r="U4" s="3">
        <f>Inventory_List_Table34112[[#This Row],[AQ]]*Inventory_List_Table34112[[#This Row],[Q]]</f>
        <v>826.38888888888891</v>
      </c>
      <c r="V4" s="74" t="s">
        <v>849</v>
      </c>
      <c r="W4" s="74" t="s">
        <v>848</v>
      </c>
      <c r="X4" s="176">
        <f>Inventory_List_Table34112[[#This Row],[H CM]]*Inventory_List_Table34112[[#This Row],[W CM]]*4+Inventory_List_Table34112[[#This Row],[D CM ]]*Inventory_List_Table34112[[#This Row],[D CM ]]</f>
        <v>10625</v>
      </c>
      <c r="Y4" s="177">
        <f>Inventory_List_Table34112[[#This Row],[Per piece MXN$]]/X4*10000</f>
        <v>2000</v>
      </c>
      <c r="Z4" s="176">
        <f>Inventory_List_Table34112[[#This Row],[SQCM]]/10000*29</f>
        <v>30.8125</v>
      </c>
    </row>
    <row r="5" spans="1:26" ht="30" customHeight="1" x14ac:dyDescent="0.25">
      <c r="A5" s="172" t="s">
        <v>148</v>
      </c>
      <c r="B5" s="69"/>
      <c r="C5" s="70" t="s">
        <v>64</v>
      </c>
      <c r="D5" s="964" t="s">
        <v>1379</v>
      </c>
      <c r="E5" s="173">
        <v>2</v>
      </c>
      <c r="F5" s="174">
        <v>28</v>
      </c>
      <c r="G5" s="174">
        <v>90</v>
      </c>
      <c r="H5" s="174">
        <v>25</v>
      </c>
      <c r="I5" s="174">
        <v>25</v>
      </c>
      <c r="J5" s="175">
        <v>1925</v>
      </c>
      <c r="K5" s="1">
        <f>Inventory_List_Table34112[[#This Row],[Q]]*Inventory_List_Table34112[[#This Row],[Per piece MXN$]]</f>
        <v>3850</v>
      </c>
      <c r="L5" s="1">
        <f>Inventory_List_Table34112[[#This Row],[KG]]*2.20462</f>
        <v>61.729359999999993</v>
      </c>
      <c r="M5" s="2">
        <f>Inventory_List_Table34112[[#This Row],[H CM]]/2.54</f>
        <v>35.433070866141733</v>
      </c>
      <c r="N5" s="2">
        <f>Inventory_List_Table34112[[#This Row],[W CM]]/2.54</f>
        <v>9.8425196850393704</v>
      </c>
      <c r="O5" s="2">
        <f>Inventory_List_Table34112[[#This Row],[D CM ]]/2.54</f>
        <v>9.8425196850393704</v>
      </c>
      <c r="P5" s="3">
        <f>Inventory_List_Table34112[[#This Row],[Per piece MXN$]]/$U$2</f>
        <v>106.94444444444444</v>
      </c>
      <c r="Q5" s="3">
        <f t="shared" si="0"/>
        <v>107</v>
      </c>
      <c r="R5" s="3">
        <f>Inventory_List_Table34112[[#This Row],[AQ ROUND]]*1.4</f>
        <v>149.79999999999998</v>
      </c>
      <c r="S5" s="3">
        <f t="shared" si="1"/>
        <v>150</v>
      </c>
      <c r="T5" s="3">
        <f>Inventory_List_Table34112[[#This Row],[LND ROUND]]*8</f>
        <v>1200</v>
      </c>
      <c r="U5" s="3">
        <f>Inventory_List_Table34112[[#This Row],[AQ]]*Inventory_List_Table34112[[#This Row],[Q]]</f>
        <v>213.88888888888889</v>
      </c>
      <c r="V5" s="74" t="s">
        <v>1115</v>
      </c>
      <c r="W5" s="74" t="s">
        <v>1018</v>
      </c>
      <c r="X5" s="176">
        <f>Inventory_List_Table34112[[#This Row],[H CM]]*Inventory_List_Table34112[[#This Row],[W CM]]*4+Inventory_List_Table34112[[#This Row],[D CM ]]*Inventory_List_Table34112[[#This Row],[D CM ]]</f>
        <v>9625</v>
      </c>
      <c r="Y5" s="177">
        <f>Inventory_List_Table34112[[#This Row],[Per piece MXN$]]/X5*10000</f>
        <v>2000</v>
      </c>
      <c r="Z5" s="176">
        <f>Inventory_List_Table34112[[#This Row],[SQCM]]/10000*29</f>
        <v>27.912500000000001</v>
      </c>
    </row>
    <row r="6" spans="1:26" ht="30" customHeight="1" x14ac:dyDescent="0.25">
      <c r="A6" s="172" t="s">
        <v>149</v>
      </c>
      <c r="B6" s="69"/>
      <c r="C6" s="70" t="s">
        <v>64</v>
      </c>
      <c r="D6" s="964" t="s">
        <v>1380</v>
      </c>
      <c r="E6" s="173">
        <v>2</v>
      </c>
      <c r="F6" s="174">
        <v>26</v>
      </c>
      <c r="G6" s="174">
        <v>80</v>
      </c>
      <c r="H6" s="174">
        <v>25</v>
      </c>
      <c r="I6" s="174">
        <v>25</v>
      </c>
      <c r="J6" s="175">
        <v>1725</v>
      </c>
      <c r="K6" s="1">
        <f>Inventory_List_Table34112[[#This Row],[Q]]*Inventory_List_Table34112[[#This Row],[Per piece MXN$]]</f>
        <v>3450</v>
      </c>
      <c r="L6" s="1">
        <f>Inventory_List_Table34112[[#This Row],[KG]]*2.20462</f>
        <v>57.320119999999996</v>
      </c>
      <c r="M6" s="2">
        <f>Inventory_List_Table34112[[#This Row],[H CM]]/2.54</f>
        <v>31.496062992125985</v>
      </c>
      <c r="N6" s="2">
        <f>Inventory_List_Table34112[[#This Row],[W CM]]/2.54</f>
        <v>9.8425196850393704</v>
      </c>
      <c r="O6" s="2">
        <f>Inventory_List_Table34112[[#This Row],[D CM ]]/2.54</f>
        <v>9.8425196850393704</v>
      </c>
      <c r="P6" s="3">
        <f>Inventory_List_Table34112[[#This Row],[Per piece MXN$]]/$U$2</f>
        <v>95.833333333333329</v>
      </c>
      <c r="Q6" s="3">
        <f t="shared" si="0"/>
        <v>96</v>
      </c>
      <c r="R6" s="3">
        <f>Inventory_List_Table34112[[#This Row],[AQ ROUND]]*1.4</f>
        <v>134.39999999999998</v>
      </c>
      <c r="S6" s="3">
        <f t="shared" si="1"/>
        <v>134</v>
      </c>
      <c r="T6" s="3">
        <f>Inventory_List_Table34112[[#This Row],[LND ROUND]]*8</f>
        <v>1072</v>
      </c>
      <c r="U6" s="3">
        <f>Inventory_List_Table34112[[#This Row],[AQ]]*Inventory_List_Table34112[[#This Row],[Q]]</f>
        <v>191.66666666666666</v>
      </c>
      <c r="V6" s="74" t="s">
        <v>1117</v>
      </c>
      <c r="W6" s="74" t="s">
        <v>1445</v>
      </c>
      <c r="X6" s="176">
        <f>Inventory_List_Table34112[[#This Row],[H CM]]*Inventory_List_Table34112[[#This Row],[W CM]]*4+Inventory_List_Table34112[[#This Row],[D CM ]]*Inventory_List_Table34112[[#This Row],[D CM ]]</f>
        <v>8625</v>
      </c>
      <c r="Y6" s="177">
        <f>Inventory_List_Table34112[[#This Row],[Per piece MXN$]]/X6*10000</f>
        <v>2000</v>
      </c>
      <c r="Z6" s="176">
        <f>Inventory_List_Table34112[[#This Row],[SQCM]]/10000*29</f>
        <v>25.012500000000003</v>
      </c>
    </row>
    <row r="7" spans="1:26" ht="30" customHeight="1" x14ac:dyDescent="0.25">
      <c r="A7" s="172" t="s">
        <v>150</v>
      </c>
      <c r="B7" s="69"/>
      <c r="C7" s="70" t="s">
        <v>64</v>
      </c>
      <c r="D7" s="964" t="s">
        <v>1381</v>
      </c>
      <c r="E7" s="173">
        <v>1</v>
      </c>
      <c r="F7" s="174">
        <v>24</v>
      </c>
      <c r="G7" s="174">
        <v>70</v>
      </c>
      <c r="H7" s="174">
        <v>25</v>
      </c>
      <c r="I7" s="174">
        <v>25</v>
      </c>
      <c r="J7" s="175">
        <v>1525</v>
      </c>
      <c r="K7" s="1">
        <f>Inventory_List_Table34112[[#This Row],[Q]]*Inventory_List_Table34112[[#This Row],[Per piece MXN$]]</f>
        <v>1525</v>
      </c>
      <c r="L7" s="1">
        <f>Inventory_List_Table34112[[#This Row],[KG]]*2.20462</f>
        <v>52.910879999999992</v>
      </c>
      <c r="M7" s="2">
        <f>Inventory_List_Table34112[[#This Row],[H CM]]/2.54</f>
        <v>27.559055118110237</v>
      </c>
      <c r="N7" s="2">
        <f>Inventory_List_Table34112[[#This Row],[W CM]]/2.54</f>
        <v>9.8425196850393704</v>
      </c>
      <c r="O7" s="2">
        <f>Inventory_List_Table34112[[#This Row],[D CM ]]/2.54</f>
        <v>9.8425196850393704</v>
      </c>
      <c r="P7" s="3">
        <f>Inventory_List_Table34112[[#This Row],[Per piece MXN$]]/$U$2</f>
        <v>84.722222222222229</v>
      </c>
      <c r="Q7" s="3">
        <f t="shared" si="0"/>
        <v>85</v>
      </c>
      <c r="R7" s="3">
        <f>Inventory_List_Table34112[[#This Row],[AQ ROUND]]*1.4</f>
        <v>118.99999999999999</v>
      </c>
      <c r="S7" s="3">
        <f t="shared" si="1"/>
        <v>119</v>
      </c>
      <c r="T7" s="3">
        <f>Inventory_List_Table34112[[#This Row],[LND ROUND]]*8</f>
        <v>952</v>
      </c>
      <c r="U7" s="3">
        <f>Inventory_List_Table34112[[#This Row],[AQ]]*Inventory_List_Table34112[[#This Row],[Q]]</f>
        <v>84.722222222222229</v>
      </c>
      <c r="V7" s="74" t="s">
        <v>905</v>
      </c>
      <c r="W7" s="74" t="s">
        <v>1430</v>
      </c>
      <c r="X7" s="176">
        <f>Inventory_List_Table34112[[#This Row],[H CM]]*Inventory_List_Table34112[[#This Row],[W CM]]*4+Inventory_List_Table34112[[#This Row],[D CM ]]*Inventory_List_Table34112[[#This Row],[D CM ]]</f>
        <v>7625</v>
      </c>
      <c r="Y7" s="177">
        <f>Inventory_List_Table34112[[#This Row],[Per piece MXN$]]/X7*10000</f>
        <v>2000</v>
      </c>
      <c r="Z7" s="176">
        <f>Inventory_List_Table34112[[#This Row],[SQCM]]/10000*29</f>
        <v>22.112499999999997</v>
      </c>
    </row>
    <row r="8" spans="1:26" ht="30" customHeight="1" x14ac:dyDescent="0.25">
      <c r="A8" s="172" t="s">
        <v>151</v>
      </c>
      <c r="B8" s="69"/>
      <c r="C8" s="70" t="s">
        <v>64</v>
      </c>
      <c r="D8" s="964" t="s">
        <v>1382</v>
      </c>
      <c r="E8" s="173">
        <v>1</v>
      </c>
      <c r="F8" s="174">
        <v>18</v>
      </c>
      <c r="G8" s="174">
        <v>70</v>
      </c>
      <c r="H8" s="174">
        <v>20</v>
      </c>
      <c r="I8" s="174">
        <v>20</v>
      </c>
      <c r="J8" s="175">
        <v>1200</v>
      </c>
      <c r="K8" s="1">
        <f>Inventory_List_Table34112[[#This Row],[Q]]*Inventory_List_Table34112[[#This Row],[Per piece MXN$]]</f>
        <v>1200</v>
      </c>
      <c r="L8" s="1">
        <f>Inventory_List_Table34112[[#This Row],[KG]]*2.20462</f>
        <v>39.683159999999994</v>
      </c>
      <c r="M8" s="2">
        <f>Inventory_List_Table34112[[#This Row],[H CM]]/2.54</f>
        <v>27.559055118110237</v>
      </c>
      <c r="N8" s="2">
        <f>Inventory_List_Table34112[[#This Row],[W CM]]/2.54</f>
        <v>7.8740157480314963</v>
      </c>
      <c r="O8" s="2">
        <f>Inventory_List_Table34112[[#This Row],[D CM ]]/2.54</f>
        <v>7.8740157480314963</v>
      </c>
      <c r="P8" s="3">
        <f>Inventory_List_Table34112[[#This Row],[Per piece MXN$]]/$U$2</f>
        <v>66.666666666666671</v>
      </c>
      <c r="Q8" s="3">
        <f t="shared" si="0"/>
        <v>67</v>
      </c>
      <c r="R8" s="3">
        <f>Inventory_List_Table34112[[#This Row],[AQ ROUND]]*1.4</f>
        <v>93.8</v>
      </c>
      <c r="S8" s="3">
        <f t="shared" si="1"/>
        <v>94</v>
      </c>
      <c r="T8" s="3">
        <f>Inventory_List_Table34112[[#This Row],[LND ROUND]]*8</f>
        <v>752</v>
      </c>
      <c r="U8" s="3">
        <f>Inventory_List_Table34112[[#This Row],[AQ]]*Inventory_List_Table34112[[#This Row],[Q]]</f>
        <v>66.666666666666671</v>
      </c>
      <c r="V8" s="74" t="s">
        <v>771</v>
      </c>
      <c r="W8" s="74" t="s">
        <v>839</v>
      </c>
      <c r="X8" s="176">
        <f>Inventory_List_Table34112[[#This Row],[H CM]]*Inventory_List_Table34112[[#This Row],[W CM]]*4+Inventory_List_Table34112[[#This Row],[D CM ]]*Inventory_List_Table34112[[#This Row],[D CM ]]</f>
        <v>6000</v>
      </c>
      <c r="Y8" s="177">
        <f>Inventory_List_Table34112[[#This Row],[Per piece MXN$]]/X8*10000</f>
        <v>2000</v>
      </c>
      <c r="Z8" s="176">
        <f>Inventory_List_Table34112[[#This Row],[SQCM]]/10000*29</f>
        <v>17.399999999999999</v>
      </c>
    </row>
    <row r="9" spans="1:26" ht="30" customHeight="1" x14ac:dyDescent="0.25">
      <c r="A9" s="172" t="s">
        <v>152</v>
      </c>
      <c r="B9" s="69"/>
      <c r="C9" s="70" t="s">
        <v>65</v>
      </c>
      <c r="D9" s="964" t="s">
        <v>1383</v>
      </c>
      <c r="E9" s="173">
        <v>2</v>
      </c>
      <c r="F9" s="174">
        <v>8</v>
      </c>
      <c r="G9" s="174">
        <v>50</v>
      </c>
      <c r="H9" s="174">
        <v>15</v>
      </c>
      <c r="I9" s="174">
        <v>15</v>
      </c>
      <c r="J9" s="175">
        <v>645</v>
      </c>
      <c r="K9" s="1">
        <f>Inventory_List_Table34112[[#This Row],[Q]]*Inventory_List_Table34112[[#This Row],[Per piece MXN$]]</f>
        <v>1290</v>
      </c>
      <c r="L9" s="1">
        <f>Inventory_List_Table34112[[#This Row],[KG]]*2.20462</f>
        <v>17.636959999999998</v>
      </c>
      <c r="M9" s="2">
        <f>Inventory_List_Table34112[[#This Row],[H CM]]/2.54</f>
        <v>19.685039370078741</v>
      </c>
      <c r="N9" s="2">
        <f>Inventory_List_Table34112[[#This Row],[W CM]]/2.54</f>
        <v>5.9055118110236222</v>
      </c>
      <c r="O9" s="2">
        <f>Inventory_List_Table34112[[#This Row],[D CM ]]/2.54</f>
        <v>5.9055118110236222</v>
      </c>
      <c r="P9" s="3">
        <f>Inventory_List_Table34112[[#This Row],[Per piece MXN$]]/$U$2</f>
        <v>35.833333333333336</v>
      </c>
      <c r="Q9" s="3">
        <f t="shared" si="0"/>
        <v>36</v>
      </c>
      <c r="R9" s="3">
        <f>Inventory_List_Table34112[[#This Row],[AQ ROUND]]*1.4</f>
        <v>50.4</v>
      </c>
      <c r="S9" s="3">
        <f t="shared" si="1"/>
        <v>50</v>
      </c>
      <c r="T9" s="3">
        <f>Inventory_List_Table34112[[#This Row],[LND ROUND]]*8</f>
        <v>400</v>
      </c>
      <c r="U9" s="3">
        <f>Inventory_List_Table34112[[#This Row],[AQ]]*Inventory_List_Table34112[[#This Row],[Q]]</f>
        <v>71.666666666666671</v>
      </c>
      <c r="V9" s="74" t="s">
        <v>716</v>
      </c>
      <c r="W9" s="74" t="s">
        <v>738</v>
      </c>
      <c r="X9" s="176">
        <f>Inventory_List_Table34112[[#This Row],[H CM]]*Inventory_List_Table34112[[#This Row],[W CM]]*4+Inventory_List_Table34112[[#This Row],[D CM ]]*Inventory_List_Table34112[[#This Row],[D CM ]]</f>
        <v>3225</v>
      </c>
      <c r="Y9" s="177">
        <f>Inventory_List_Table34112[[#This Row],[Per piece MXN$]]/X9*10000</f>
        <v>2000</v>
      </c>
      <c r="Z9" s="176">
        <f>Inventory_List_Table34112[[#This Row],[SQCM]]/10000*29</f>
        <v>9.3525000000000009</v>
      </c>
    </row>
    <row r="10" spans="1:26" ht="30" customHeight="1" x14ac:dyDescent="0.25">
      <c r="A10" s="172" t="s">
        <v>153</v>
      </c>
      <c r="B10" s="69"/>
      <c r="C10" s="70" t="s">
        <v>65</v>
      </c>
      <c r="D10" s="964" t="s">
        <v>1384</v>
      </c>
      <c r="E10" s="173">
        <v>3</v>
      </c>
      <c r="F10" s="174">
        <v>7</v>
      </c>
      <c r="G10" s="174">
        <v>40</v>
      </c>
      <c r="H10" s="174">
        <v>15</v>
      </c>
      <c r="I10" s="174">
        <v>15</v>
      </c>
      <c r="J10" s="175">
        <v>525</v>
      </c>
      <c r="K10" s="1">
        <f>Inventory_List_Table34112[[#This Row],[Q]]*Inventory_List_Table34112[[#This Row],[Per piece MXN$]]</f>
        <v>1575</v>
      </c>
      <c r="L10" s="1">
        <f>Inventory_List_Table34112[[#This Row],[KG]]*2.20462</f>
        <v>15.432339999999998</v>
      </c>
      <c r="M10" s="2">
        <f>Inventory_List_Table34112[[#This Row],[H CM]]/2.54</f>
        <v>15.748031496062993</v>
      </c>
      <c r="N10" s="2">
        <f>Inventory_List_Table34112[[#This Row],[W CM]]/2.54</f>
        <v>5.9055118110236222</v>
      </c>
      <c r="O10" s="2">
        <f>Inventory_List_Table34112[[#This Row],[D CM ]]/2.54</f>
        <v>5.9055118110236222</v>
      </c>
      <c r="P10" s="3">
        <f>Inventory_List_Table34112[[#This Row],[Per piece MXN$]]/$U$2</f>
        <v>29.166666666666668</v>
      </c>
      <c r="Q10" s="3">
        <f t="shared" si="0"/>
        <v>29</v>
      </c>
      <c r="R10" s="3">
        <f>Inventory_List_Table34112[[#This Row],[AQ ROUND]]*1.4</f>
        <v>40.599999999999994</v>
      </c>
      <c r="S10" s="3">
        <f t="shared" si="1"/>
        <v>41</v>
      </c>
      <c r="T10" s="3">
        <f>Inventory_List_Table34112[[#This Row],[LND ROUND]]*8</f>
        <v>328</v>
      </c>
      <c r="U10" s="3">
        <f>Inventory_List_Table34112[[#This Row],[AQ]]*Inventory_List_Table34112[[#This Row],[Q]]</f>
        <v>87.5</v>
      </c>
      <c r="V10" s="74" t="s">
        <v>827</v>
      </c>
      <c r="W10" s="74" t="s">
        <v>742</v>
      </c>
      <c r="X10" s="176">
        <f>Inventory_List_Table34112[[#This Row],[H CM]]*Inventory_List_Table34112[[#This Row],[W CM]]*4+Inventory_List_Table34112[[#This Row],[D CM ]]*Inventory_List_Table34112[[#This Row],[D CM ]]</f>
        <v>2625</v>
      </c>
      <c r="Y10" s="177">
        <f>Inventory_List_Table34112[[#This Row],[Per piece MXN$]]/X10*10000</f>
        <v>2000</v>
      </c>
      <c r="Z10" s="176">
        <f>Inventory_List_Table34112[[#This Row],[SQCM]]/10000*29</f>
        <v>7.6125000000000007</v>
      </c>
    </row>
    <row r="11" spans="1:26" ht="30" customHeight="1" x14ac:dyDescent="0.25">
      <c r="A11" s="172" t="s">
        <v>154</v>
      </c>
      <c r="B11" s="69"/>
      <c r="C11" s="70" t="s">
        <v>65</v>
      </c>
      <c r="D11" s="964" t="s">
        <v>1385</v>
      </c>
      <c r="E11" s="173">
        <v>22</v>
      </c>
      <c r="F11" s="174">
        <v>5</v>
      </c>
      <c r="G11" s="174">
        <v>30</v>
      </c>
      <c r="H11" s="174">
        <v>15</v>
      </c>
      <c r="I11" s="174">
        <v>15</v>
      </c>
      <c r="J11" s="175">
        <v>405</v>
      </c>
      <c r="K11" s="1">
        <f>Inventory_List_Table34112[[#This Row],[Q]]*Inventory_List_Table34112[[#This Row],[Per piece MXN$]]</f>
        <v>8910</v>
      </c>
      <c r="L11" s="1">
        <f>Inventory_List_Table34112[[#This Row],[KG]]*2.20462</f>
        <v>11.023099999999999</v>
      </c>
      <c r="M11" s="2">
        <f>Inventory_List_Table34112[[#This Row],[H CM]]/2.54</f>
        <v>11.811023622047244</v>
      </c>
      <c r="N11" s="2">
        <f>Inventory_List_Table34112[[#This Row],[W CM]]/2.54</f>
        <v>5.9055118110236222</v>
      </c>
      <c r="O11" s="2">
        <f>Inventory_List_Table34112[[#This Row],[D CM ]]/2.54</f>
        <v>5.9055118110236222</v>
      </c>
      <c r="P11" s="3">
        <f>Inventory_List_Table34112[[#This Row],[Per piece MXN$]]/$U$2</f>
        <v>22.5</v>
      </c>
      <c r="Q11" s="3">
        <f t="shared" si="0"/>
        <v>23</v>
      </c>
      <c r="R11" s="3">
        <f>Inventory_List_Table34112[[#This Row],[AQ ROUND]]*1.4</f>
        <v>32.199999999999996</v>
      </c>
      <c r="S11" s="3">
        <f t="shared" si="1"/>
        <v>32</v>
      </c>
      <c r="T11" s="3">
        <f>Inventory_List_Table34112[[#This Row],[LND ROUND]]*8</f>
        <v>256</v>
      </c>
      <c r="U11" s="3">
        <f>Inventory_List_Table34112[[#This Row],[AQ]]*Inventory_List_Table34112[[#This Row],[Q]]</f>
        <v>495</v>
      </c>
      <c r="V11" s="74" t="s">
        <v>689</v>
      </c>
      <c r="W11" s="74" t="s">
        <v>688</v>
      </c>
      <c r="X11" s="176">
        <f>Inventory_List_Table34112[[#This Row],[H CM]]*Inventory_List_Table34112[[#This Row],[W CM]]*4+Inventory_List_Table34112[[#This Row],[D CM ]]*Inventory_List_Table34112[[#This Row],[D CM ]]</f>
        <v>2025</v>
      </c>
      <c r="Y11" s="177">
        <f>Inventory_List_Table34112[[#This Row],[Per piece MXN$]]/X11*10000</f>
        <v>2000</v>
      </c>
      <c r="Z11" s="176">
        <f>Inventory_List_Table34112[[#This Row],[SQCM]]/10000*29</f>
        <v>5.8725000000000005</v>
      </c>
    </row>
    <row r="12" spans="1:26" ht="30" customHeight="1" x14ac:dyDescent="0.25">
      <c r="A12" s="172" t="s">
        <v>155</v>
      </c>
      <c r="B12" s="69"/>
      <c r="C12" s="70" t="s">
        <v>66</v>
      </c>
      <c r="D12" s="964" t="s">
        <v>1386</v>
      </c>
      <c r="E12" s="173">
        <v>10</v>
      </c>
      <c r="F12" s="174">
        <v>8</v>
      </c>
      <c r="G12" s="174">
        <v>50</v>
      </c>
      <c r="H12" s="174">
        <v>15</v>
      </c>
      <c r="I12" s="174">
        <v>15</v>
      </c>
      <c r="J12" s="175">
        <v>600</v>
      </c>
      <c r="K12" s="1">
        <f>Inventory_List_Table34112[[#This Row],[Q]]*Inventory_List_Table34112[[#This Row],[Per piece MXN$]]</f>
        <v>6000</v>
      </c>
      <c r="L12" s="1">
        <f>Inventory_List_Table34112[[#This Row],[KG]]*2.20462</f>
        <v>17.636959999999998</v>
      </c>
      <c r="M12" s="2">
        <f>Inventory_List_Table34112[[#This Row],[H CM]]/2.54</f>
        <v>19.685039370078741</v>
      </c>
      <c r="N12" s="2">
        <f>Inventory_List_Table34112[[#This Row],[W CM]]/2.54</f>
        <v>5.9055118110236222</v>
      </c>
      <c r="O12" s="2">
        <f>Inventory_List_Table34112[[#This Row],[D CM ]]/2.54</f>
        <v>5.9055118110236222</v>
      </c>
      <c r="P12" s="3">
        <f>Inventory_List_Table34112[[#This Row],[Per piece MXN$]]/$U$2</f>
        <v>33.333333333333336</v>
      </c>
      <c r="Q12" s="3">
        <f t="shared" si="0"/>
        <v>33</v>
      </c>
      <c r="R12" s="3">
        <f>Inventory_List_Table34112[[#This Row],[AQ ROUND]]*1.4</f>
        <v>46.199999999999996</v>
      </c>
      <c r="S12" s="3">
        <f t="shared" si="1"/>
        <v>46</v>
      </c>
      <c r="T12" s="3">
        <f>Inventory_List_Table34112[[#This Row],[LND ROUND]]*8</f>
        <v>368</v>
      </c>
      <c r="U12" s="3">
        <f>Inventory_List_Table34112[[#This Row],[AQ]]*Inventory_List_Table34112[[#This Row],[Q]]</f>
        <v>333.33333333333337</v>
      </c>
      <c r="V12" s="74" t="s">
        <v>1127</v>
      </c>
      <c r="W12" s="74" t="s">
        <v>1446</v>
      </c>
      <c r="X12" s="176">
        <f>Inventory_List_Table34112[[#This Row],[H CM]]*Inventory_List_Table34112[[#This Row],[W CM]]*4+Inventory_List_Table34112[[#This Row],[D CM ]]*Inventory_List_Table34112[[#This Row],[D CM ]]</f>
        <v>3225</v>
      </c>
      <c r="Y12" s="177">
        <f>Inventory_List_Table34112[[#This Row],[Per piece MXN$]]/X12*10000</f>
        <v>1860.4651162790697</v>
      </c>
      <c r="Z12" s="176">
        <f>Inventory_List_Table34112[[#This Row],[SQCM]]/10000*29</f>
        <v>9.3525000000000009</v>
      </c>
    </row>
    <row r="13" spans="1:26" ht="30" customHeight="1" x14ac:dyDescent="0.25">
      <c r="A13" s="172" t="s">
        <v>156</v>
      </c>
      <c r="B13" s="69"/>
      <c r="C13" s="70" t="s">
        <v>66</v>
      </c>
      <c r="D13" s="964" t="s">
        <v>1387</v>
      </c>
      <c r="E13" s="173">
        <v>40</v>
      </c>
      <c r="F13" s="174">
        <v>6.5</v>
      </c>
      <c r="G13" s="174">
        <v>40</v>
      </c>
      <c r="H13" s="174">
        <v>15</v>
      </c>
      <c r="I13" s="174">
        <v>15</v>
      </c>
      <c r="J13" s="175">
        <v>480</v>
      </c>
      <c r="K13" s="1">
        <f>Inventory_List_Table34112[[#This Row],[Q]]*Inventory_List_Table34112[[#This Row],[Per piece MXN$]]</f>
        <v>19200</v>
      </c>
      <c r="L13" s="1">
        <f>Inventory_List_Table34112[[#This Row],[KG]]*2.20462</f>
        <v>14.330029999999999</v>
      </c>
      <c r="M13" s="2">
        <f>Inventory_List_Table34112[[#This Row],[H CM]]/2.54</f>
        <v>15.748031496062993</v>
      </c>
      <c r="N13" s="2">
        <f>Inventory_List_Table34112[[#This Row],[W CM]]/2.54</f>
        <v>5.9055118110236222</v>
      </c>
      <c r="O13" s="2">
        <f>Inventory_List_Table34112[[#This Row],[D CM ]]/2.54</f>
        <v>5.9055118110236222</v>
      </c>
      <c r="P13" s="3">
        <f>Inventory_List_Table34112[[#This Row],[Per piece MXN$]]/$U$2</f>
        <v>26.666666666666668</v>
      </c>
      <c r="Q13" s="3">
        <f t="shared" si="0"/>
        <v>27</v>
      </c>
      <c r="R13" s="3">
        <f>Inventory_List_Table34112[[#This Row],[AQ ROUND]]*1.4</f>
        <v>37.799999999999997</v>
      </c>
      <c r="S13" s="3">
        <f t="shared" si="1"/>
        <v>38</v>
      </c>
      <c r="T13" s="3">
        <f>Inventory_List_Table34112[[#This Row],[LND ROUND]]*8</f>
        <v>304</v>
      </c>
      <c r="U13" s="3">
        <f>Inventory_List_Table34112[[#This Row],[AQ]]*Inventory_List_Table34112[[#This Row],[Q]]</f>
        <v>1066.6666666666667</v>
      </c>
      <c r="V13" s="74" t="s">
        <v>832</v>
      </c>
      <c r="W13" s="74" t="s">
        <v>831</v>
      </c>
      <c r="X13" s="176">
        <f>Inventory_List_Table34112[[#This Row],[H CM]]*Inventory_List_Table34112[[#This Row],[W CM]]*4+Inventory_List_Table34112[[#This Row],[D CM ]]*Inventory_List_Table34112[[#This Row],[D CM ]]</f>
        <v>2625</v>
      </c>
      <c r="Y13" s="177">
        <f>Inventory_List_Table34112[[#This Row],[Per piece MXN$]]/X13*10000</f>
        <v>1828.5714285714287</v>
      </c>
      <c r="Z13" s="176">
        <f>Inventory_List_Table34112[[#This Row],[SQCM]]/10000*29</f>
        <v>7.6125000000000007</v>
      </c>
    </row>
    <row r="14" spans="1:26" ht="30" customHeight="1" x14ac:dyDescent="0.25">
      <c r="A14" s="172" t="s">
        <v>157</v>
      </c>
      <c r="B14" s="69"/>
      <c r="C14" s="70" t="s">
        <v>67</v>
      </c>
      <c r="D14" s="964" t="s">
        <v>1388</v>
      </c>
      <c r="E14" s="173">
        <v>2</v>
      </c>
      <c r="F14" s="174">
        <v>40</v>
      </c>
      <c r="G14" s="174">
        <v>140</v>
      </c>
      <c r="H14" s="174">
        <v>30</v>
      </c>
      <c r="I14" s="174">
        <v>30</v>
      </c>
      <c r="J14" s="175">
        <v>3540</v>
      </c>
      <c r="K14" s="1">
        <f>Inventory_List_Table34112[[#This Row],[Q]]*Inventory_List_Table34112[[#This Row],[Per piece MXN$]]</f>
        <v>7080</v>
      </c>
      <c r="L14" s="1">
        <f>Inventory_List_Table34112[[#This Row],[KG]]*2.20462</f>
        <v>88.184799999999996</v>
      </c>
      <c r="M14" s="2">
        <f>Inventory_List_Table34112[[#This Row],[H CM]]/2.54</f>
        <v>55.118110236220474</v>
      </c>
      <c r="N14" s="2">
        <f>Inventory_List_Table34112[[#This Row],[W CM]]/2.54</f>
        <v>11.811023622047244</v>
      </c>
      <c r="O14" s="2">
        <f>Inventory_List_Table34112[[#This Row],[D CM ]]/2.54</f>
        <v>11.811023622047244</v>
      </c>
      <c r="P14" s="3">
        <f>Inventory_List_Table34112[[#This Row],[Per piece MXN$]]/$U$2</f>
        <v>196.66666666666666</v>
      </c>
      <c r="Q14" s="3">
        <f t="shared" si="0"/>
        <v>197</v>
      </c>
      <c r="R14" s="3">
        <f>Inventory_List_Table34112[[#This Row],[AQ ROUND]]*1.4</f>
        <v>275.79999999999995</v>
      </c>
      <c r="S14" s="3">
        <f t="shared" si="1"/>
        <v>276</v>
      </c>
      <c r="T14" s="3">
        <f>Inventory_List_Table34112[[#This Row],[LND ROUND]]*8</f>
        <v>2208</v>
      </c>
      <c r="U14" s="3">
        <f>Inventory_List_Table34112[[#This Row],[AQ]]*Inventory_List_Table34112[[#This Row],[Q]]</f>
        <v>393.33333333333331</v>
      </c>
      <c r="V14" s="74" t="s">
        <v>1112</v>
      </c>
      <c r="W14" s="74" t="s">
        <v>1347</v>
      </c>
      <c r="X14" s="176">
        <f>Inventory_List_Table34112[[#This Row],[H CM]]*Inventory_List_Table34112[[#This Row],[W CM]]*4+Inventory_List_Table34112[[#This Row],[D CM ]]*Inventory_List_Table34112[[#This Row],[D CM ]]</f>
        <v>17700</v>
      </c>
      <c r="Y14" s="177">
        <f>Inventory_List_Table34112[[#This Row],[Per piece MXN$]]/X14*10000</f>
        <v>2000</v>
      </c>
      <c r="Z14" s="176">
        <f>Inventory_List_Table34112[[#This Row],[SQCM]]/10000*29</f>
        <v>51.33</v>
      </c>
    </row>
    <row r="15" spans="1:26" ht="30" customHeight="1" x14ac:dyDescent="0.25">
      <c r="A15" s="172" t="s">
        <v>158</v>
      </c>
      <c r="B15" s="69"/>
      <c r="C15" s="70" t="s">
        <v>66</v>
      </c>
      <c r="D15" s="964" t="s">
        <v>1389</v>
      </c>
      <c r="E15" s="173">
        <v>4</v>
      </c>
      <c r="F15" s="174">
        <v>5.5</v>
      </c>
      <c r="G15" s="174">
        <v>35</v>
      </c>
      <c r="H15" s="174">
        <v>15</v>
      </c>
      <c r="I15" s="174">
        <v>15</v>
      </c>
      <c r="J15" s="175">
        <v>420</v>
      </c>
      <c r="K15" s="1">
        <f>Inventory_List_Table34112[[#This Row],[Q]]*Inventory_List_Table34112[[#This Row],[Per piece MXN$]]</f>
        <v>1680</v>
      </c>
      <c r="L15" s="1">
        <f>Inventory_List_Table34112[[#This Row],[KG]]*2.20462</f>
        <v>12.125409999999999</v>
      </c>
      <c r="M15" s="2">
        <f>Inventory_List_Table34112[[#This Row],[H CM]]/2.54</f>
        <v>13.779527559055119</v>
      </c>
      <c r="N15" s="2">
        <f>Inventory_List_Table34112[[#This Row],[W CM]]/2.54</f>
        <v>5.9055118110236222</v>
      </c>
      <c r="O15" s="2">
        <f>Inventory_List_Table34112[[#This Row],[D CM ]]/2.54</f>
        <v>5.9055118110236222</v>
      </c>
      <c r="P15" s="3">
        <f>Inventory_List_Table34112[[#This Row],[Per piece MXN$]]/$U$2</f>
        <v>23.333333333333332</v>
      </c>
      <c r="Q15" s="3">
        <f t="shared" si="0"/>
        <v>23</v>
      </c>
      <c r="R15" s="3">
        <f>Inventory_List_Table34112[[#This Row],[AQ ROUND]]*1.4</f>
        <v>32.199999999999996</v>
      </c>
      <c r="S15" s="3">
        <f t="shared" si="1"/>
        <v>32</v>
      </c>
      <c r="T15" s="3">
        <f>Inventory_List_Table34112[[#This Row],[LND ROUND]]*8</f>
        <v>256</v>
      </c>
      <c r="U15" s="3">
        <f>Inventory_List_Table34112[[#This Row],[AQ]]*Inventory_List_Table34112[[#This Row],[Q]]</f>
        <v>93.333333333333329</v>
      </c>
      <c r="V15" s="74" t="s">
        <v>689</v>
      </c>
      <c r="W15" s="74" t="s">
        <v>688</v>
      </c>
      <c r="X15" s="176">
        <f>Inventory_List_Table34112[[#This Row],[H CM]]*Inventory_List_Table34112[[#This Row],[W CM]]*4+Inventory_List_Table34112[[#This Row],[D CM ]]*Inventory_List_Table34112[[#This Row],[D CM ]]</f>
        <v>2325</v>
      </c>
      <c r="Y15" s="177">
        <f>Inventory_List_Table34112[[#This Row],[Per piece MXN$]]/X15*10000</f>
        <v>1806.4516129032256</v>
      </c>
      <c r="Z15" s="176">
        <f>Inventory_List_Table34112[[#This Row],[SQCM]]/10000*29</f>
        <v>6.7425000000000006</v>
      </c>
    </row>
    <row r="16" spans="1:26" ht="30" customHeight="1" x14ac:dyDescent="0.25">
      <c r="A16" s="172" t="s">
        <v>159</v>
      </c>
      <c r="B16" s="69"/>
      <c r="C16" s="70" t="s">
        <v>66</v>
      </c>
      <c r="D16" s="964" t="s">
        <v>1390</v>
      </c>
      <c r="E16" s="173">
        <v>12</v>
      </c>
      <c r="F16" s="174">
        <v>5</v>
      </c>
      <c r="G16" s="174">
        <v>30</v>
      </c>
      <c r="H16" s="174">
        <v>15</v>
      </c>
      <c r="I16" s="174">
        <v>15</v>
      </c>
      <c r="J16" s="175">
        <v>360</v>
      </c>
      <c r="K16" s="1">
        <f>Inventory_List_Table34112[[#This Row],[Q]]*Inventory_List_Table34112[[#This Row],[Per piece MXN$]]</f>
        <v>4320</v>
      </c>
      <c r="L16" s="1">
        <f>Inventory_List_Table34112[[#This Row],[KG]]*2.20462</f>
        <v>11.023099999999999</v>
      </c>
      <c r="M16" s="2">
        <f>Inventory_List_Table34112[[#This Row],[H CM]]/2.54</f>
        <v>11.811023622047244</v>
      </c>
      <c r="N16" s="2">
        <f>Inventory_List_Table34112[[#This Row],[W CM]]/2.54</f>
        <v>5.9055118110236222</v>
      </c>
      <c r="O16" s="2">
        <f>Inventory_List_Table34112[[#This Row],[D CM ]]/2.54</f>
        <v>5.9055118110236222</v>
      </c>
      <c r="P16" s="3">
        <f>Inventory_List_Table34112[[#This Row],[Per piece MXN$]]/$U$2</f>
        <v>20</v>
      </c>
      <c r="Q16" s="3">
        <f t="shared" si="0"/>
        <v>20</v>
      </c>
      <c r="R16" s="3">
        <f>Inventory_List_Table34112[[#This Row],[AQ ROUND]]*1.4</f>
        <v>28</v>
      </c>
      <c r="S16" s="3">
        <f t="shared" si="1"/>
        <v>28</v>
      </c>
      <c r="T16" s="3">
        <f>Inventory_List_Table34112[[#This Row],[LND ROUND]]*8</f>
        <v>224</v>
      </c>
      <c r="U16" s="3">
        <f>Inventory_List_Table34112[[#This Row],[AQ]]*Inventory_List_Table34112[[#This Row],[Q]]</f>
        <v>240</v>
      </c>
      <c r="V16" s="74" t="s">
        <v>789</v>
      </c>
      <c r="W16" s="74" t="s">
        <v>713</v>
      </c>
      <c r="X16" s="176">
        <f>Inventory_List_Table34112[[#This Row],[H CM]]*Inventory_List_Table34112[[#This Row],[W CM]]*4+Inventory_List_Table34112[[#This Row],[D CM ]]*Inventory_List_Table34112[[#This Row],[D CM ]]</f>
        <v>2025</v>
      </c>
      <c r="Y16" s="177">
        <f>Inventory_List_Table34112[[#This Row],[Per piece MXN$]]/X16*10000</f>
        <v>1777.7777777777778</v>
      </c>
      <c r="Z16" s="176">
        <f>Inventory_List_Table34112[[#This Row],[SQCM]]/10000*29</f>
        <v>5.8725000000000005</v>
      </c>
    </row>
    <row r="17" spans="1:26" ht="30" customHeight="1" x14ac:dyDescent="0.25">
      <c r="A17" s="172" t="s">
        <v>160</v>
      </c>
      <c r="B17" s="69"/>
      <c r="C17" s="70" t="s">
        <v>277</v>
      </c>
      <c r="D17" s="964" t="s">
        <v>1391</v>
      </c>
      <c r="E17" s="173">
        <v>140</v>
      </c>
      <c r="F17" s="174"/>
      <c r="G17" s="174"/>
      <c r="H17" s="174"/>
      <c r="I17" s="174"/>
      <c r="J17" s="175">
        <v>21.5</v>
      </c>
      <c r="K17" s="1">
        <f>Inventory_List_Table34112[[#This Row],[Q]]*Inventory_List_Table34112[[#This Row],[Per piece MXN$]]</f>
        <v>3010</v>
      </c>
      <c r="L17" s="1">
        <f>Inventory_List_Table34112[[#This Row],[KG]]*2.20462</f>
        <v>0</v>
      </c>
      <c r="M17" s="2">
        <f>Inventory_List_Table34112[[#This Row],[H CM]]/2.54</f>
        <v>0</v>
      </c>
      <c r="N17" s="2">
        <f>Inventory_List_Table34112[[#This Row],[W CM]]/2.54</f>
        <v>0</v>
      </c>
      <c r="O17" s="2">
        <f>Inventory_List_Table34112[[#This Row],[D CM ]]/2.54</f>
        <v>0</v>
      </c>
      <c r="P17" s="3">
        <f>Inventory_List_Table34112[[#This Row],[Per piece MXN$]]/$U$2</f>
        <v>1.1944444444444444</v>
      </c>
      <c r="Q17" s="3">
        <f t="shared" si="0"/>
        <v>1</v>
      </c>
      <c r="R17" s="3">
        <f>Inventory_List_Table34112[[#This Row],[AQ ROUND]]*1.4</f>
        <v>1.4</v>
      </c>
      <c r="S17" s="3">
        <f t="shared" si="1"/>
        <v>1</v>
      </c>
      <c r="T17" s="3">
        <f>Inventory_List_Table34112[[#This Row],[LND ROUND]]*8</f>
        <v>8</v>
      </c>
      <c r="U17" s="3">
        <f>Inventory_List_Table34112[[#This Row],[AQ]]*Inventory_List_Table34112[[#This Row],[Q]]</f>
        <v>167.22222222222223</v>
      </c>
      <c r="V17" s="74" t="s">
        <v>1264</v>
      </c>
      <c r="W17" s="74" t="s">
        <v>1264</v>
      </c>
      <c r="X17" s="176"/>
      <c r="Y17" s="177"/>
      <c r="Z17" s="176">
        <f>Inventory_List_Table34112[[#This Row],[SQCM]]/10000*29</f>
        <v>0</v>
      </c>
    </row>
    <row r="18" spans="1:26" ht="30" customHeight="1" x14ac:dyDescent="0.25">
      <c r="A18" s="172" t="s">
        <v>161</v>
      </c>
      <c r="B18" s="69">
        <v>46006</v>
      </c>
      <c r="C18" s="70" t="s">
        <v>343</v>
      </c>
      <c r="D18" s="141" t="s">
        <v>825</v>
      </c>
      <c r="E18" s="173">
        <v>18</v>
      </c>
      <c r="F18" s="174">
        <v>7</v>
      </c>
      <c r="G18" s="174">
        <v>50</v>
      </c>
      <c r="H18" s="174">
        <v>15</v>
      </c>
      <c r="I18" s="174">
        <v>15</v>
      </c>
      <c r="J18" s="175">
        <v>645</v>
      </c>
      <c r="K18" s="1">
        <f>Inventory_List_Table34112[[#This Row],[Q]]*Inventory_List_Table34112[[#This Row],[Per piece MXN$]]</f>
        <v>11610</v>
      </c>
      <c r="L18" s="1">
        <f>Inventory_List_Table34112[[#This Row],[KG]]*2.20462</f>
        <v>15.432339999999998</v>
      </c>
      <c r="M18" s="2">
        <f>Inventory_List_Table34112[[#This Row],[H CM]]/2.54</f>
        <v>19.685039370078741</v>
      </c>
      <c r="N18" s="2">
        <f>Inventory_List_Table34112[[#This Row],[W CM]]/2.54</f>
        <v>5.9055118110236222</v>
      </c>
      <c r="O18" s="2">
        <f>Inventory_List_Table34112[[#This Row],[D CM ]]/2.54</f>
        <v>5.9055118110236222</v>
      </c>
      <c r="P18" s="3">
        <f>Inventory_List_Table34112[[#This Row],[Per piece MXN$]]/$U$2</f>
        <v>35.833333333333336</v>
      </c>
      <c r="Q18" s="3">
        <f t="shared" si="0"/>
        <v>36</v>
      </c>
      <c r="R18" s="3">
        <f>Inventory_List_Table34112[[#This Row],[AQ ROUND]]*1.4</f>
        <v>50.4</v>
      </c>
      <c r="S18" s="3">
        <f t="shared" si="1"/>
        <v>50</v>
      </c>
      <c r="T18" s="3">
        <f>Inventory_List_Table34112[[#This Row],[LND ROUND]]*8</f>
        <v>400</v>
      </c>
      <c r="U18" s="3">
        <f>Inventory_List_Table34112[[#This Row],[AQ]]*Inventory_List_Table34112[[#This Row],[Q]]</f>
        <v>645</v>
      </c>
      <c r="V18" s="74" t="s">
        <v>716</v>
      </c>
      <c r="W18" s="74" t="s">
        <v>738</v>
      </c>
      <c r="X18" s="176">
        <f>Inventory_List_Table34112[[#This Row],[H CM]]*Inventory_List_Table34112[[#This Row],[W CM]]*4+Inventory_List_Table34112[[#This Row],[D CM ]]*Inventory_List_Table34112[[#This Row],[D CM ]]</f>
        <v>3225</v>
      </c>
      <c r="Y18" s="177">
        <f>Inventory_List_Table34112[[#This Row],[Per piece MXN$]]/X18*10000</f>
        <v>2000</v>
      </c>
      <c r="Z18" s="176">
        <f>Inventory_List_Table34112[[#This Row],[SQCM]]/10000*29</f>
        <v>9.3525000000000009</v>
      </c>
    </row>
    <row r="19" spans="1:26" ht="30" customHeight="1" x14ac:dyDescent="0.25">
      <c r="A19" s="172" t="s">
        <v>162</v>
      </c>
      <c r="B19" s="69">
        <v>46006</v>
      </c>
      <c r="C19" s="70" t="s">
        <v>343</v>
      </c>
      <c r="D19" s="141" t="s">
        <v>826</v>
      </c>
      <c r="E19" s="173">
        <v>12</v>
      </c>
      <c r="F19" s="174">
        <v>6</v>
      </c>
      <c r="G19" s="174">
        <v>40</v>
      </c>
      <c r="H19" s="174">
        <v>15</v>
      </c>
      <c r="I19" s="174">
        <v>15</v>
      </c>
      <c r="J19" s="175">
        <v>525</v>
      </c>
      <c r="K19" s="1">
        <f>Inventory_List_Table34112[[#This Row],[Q]]*Inventory_List_Table34112[[#This Row],[Per piece MXN$]]</f>
        <v>6300</v>
      </c>
      <c r="L19" s="1">
        <f>Inventory_List_Table34112[[#This Row],[KG]]*2.20462</f>
        <v>13.227719999999998</v>
      </c>
      <c r="M19" s="2">
        <f>Inventory_List_Table34112[[#This Row],[H CM]]/2.54</f>
        <v>15.748031496062993</v>
      </c>
      <c r="N19" s="2">
        <f>Inventory_List_Table34112[[#This Row],[W CM]]/2.54</f>
        <v>5.9055118110236222</v>
      </c>
      <c r="O19" s="2">
        <f>Inventory_List_Table34112[[#This Row],[D CM ]]/2.54</f>
        <v>5.9055118110236222</v>
      </c>
      <c r="P19" s="3">
        <f>Inventory_List_Table34112[[#This Row],[Per piece MXN$]]/$U$2</f>
        <v>29.166666666666668</v>
      </c>
      <c r="Q19" s="3">
        <f t="shared" si="0"/>
        <v>29</v>
      </c>
      <c r="R19" s="3">
        <f>Inventory_List_Table34112[[#This Row],[AQ ROUND]]*1.4</f>
        <v>40.599999999999994</v>
      </c>
      <c r="S19" s="3">
        <f t="shared" si="1"/>
        <v>41</v>
      </c>
      <c r="T19" s="3">
        <f>Inventory_List_Table34112[[#This Row],[LND ROUND]]*8</f>
        <v>328</v>
      </c>
      <c r="U19" s="3">
        <f>Inventory_List_Table34112[[#This Row],[AQ]]*Inventory_List_Table34112[[#This Row],[Q]]</f>
        <v>350</v>
      </c>
      <c r="V19" s="74" t="s">
        <v>827</v>
      </c>
      <c r="W19" s="74" t="s">
        <v>742</v>
      </c>
      <c r="X19" s="176">
        <f>Inventory_List_Table34112[[#This Row],[H CM]]*Inventory_List_Table34112[[#This Row],[W CM]]*4+Inventory_List_Table34112[[#This Row],[D CM ]]*Inventory_List_Table34112[[#This Row],[D CM ]]</f>
        <v>2625</v>
      </c>
      <c r="Y19" s="177">
        <f>Inventory_List_Table34112[[#This Row],[Per piece MXN$]]/X19*10000</f>
        <v>2000</v>
      </c>
      <c r="Z19" s="176">
        <f>Inventory_List_Table34112[[#This Row],[SQCM]]/10000*29</f>
        <v>7.6125000000000007</v>
      </c>
    </row>
    <row r="20" spans="1:26" ht="30" customHeight="1" x14ac:dyDescent="0.25">
      <c r="A20" s="172" t="s">
        <v>163</v>
      </c>
      <c r="B20" s="69">
        <v>46006</v>
      </c>
      <c r="C20" s="70" t="s">
        <v>344</v>
      </c>
      <c r="D20" s="141" t="s">
        <v>828</v>
      </c>
      <c r="E20" s="173">
        <v>4</v>
      </c>
      <c r="F20" s="174">
        <v>6</v>
      </c>
      <c r="G20" s="174">
        <v>45</v>
      </c>
      <c r="H20" s="174">
        <v>15</v>
      </c>
      <c r="I20" s="174">
        <v>15</v>
      </c>
      <c r="J20" s="175">
        <v>540</v>
      </c>
      <c r="K20" s="1">
        <f>Inventory_List_Table34112[[#This Row],[Q]]*Inventory_List_Table34112[[#This Row],[Per piece MXN$]]</f>
        <v>2160</v>
      </c>
      <c r="L20" s="1">
        <f>Inventory_List_Table34112[[#This Row],[KG]]*2.20462</f>
        <v>13.227719999999998</v>
      </c>
      <c r="M20" s="2">
        <f>Inventory_List_Table34112[[#This Row],[H CM]]/2.54</f>
        <v>17.716535433070867</v>
      </c>
      <c r="N20" s="2">
        <f>Inventory_List_Table34112[[#This Row],[W CM]]/2.54</f>
        <v>5.9055118110236222</v>
      </c>
      <c r="O20" s="2">
        <f>Inventory_List_Table34112[[#This Row],[D CM ]]/2.54</f>
        <v>5.9055118110236222</v>
      </c>
      <c r="P20" s="3">
        <f>Inventory_List_Table34112[[#This Row],[Per piece MXN$]]/$U$2</f>
        <v>30</v>
      </c>
      <c r="Q20" s="3">
        <f t="shared" si="0"/>
        <v>30</v>
      </c>
      <c r="R20" s="3">
        <f>Inventory_List_Table34112[[#This Row],[AQ ROUND]]*1.4</f>
        <v>42</v>
      </c>
      <c r="S20" s="3">
        <f t="shared" si="1"/>
        <v>42</v>
      </c>
      <c r="T20" s="3">
        <f>Inventory_List_Table34112[[#This Row],[LND ROUND]]*8</f>
        <v>336</v>
      </c>
      <c r="U20" s="3">
        <f>Inventory_List_Table34112[[#This Row],[AQ]]*Inventory_List_Table34112[[#This Row],[Q]]</f>
        <v>120</v>
      </c>
      <c r="V20" s="74" t="s">
        <v>829</v>
      </c>
      <c r="W20" s="74" t="s">
        <v>686</v>
      </c>
      <c r="X20" s="176">
        <f>Inventory_List_Table34112[[#This Row],[H CM]]*Inventory_List_Table34112[[#This Row],[W CM]]*4+Inventory_List_Table34112[[#This Row],[D CM ]]*Inventory_List_Table34112[[#This Row],[D CM ]]</f>
        <v>2925</v>
      </c>
      <c r="Y20" s="177">
        <f>Inventory_List_Table34112[[#This Row],[Per piece MXN$]]/X20*10000</f>
        <v>1846.1538461538462</v>
      </c>
      <c r="Z20" s="176">
        <f>Inventory_List_Table34112[[#This Row],[SQCM]]/10000*29</f>
        <v>8.4824999999999999</v>
      </c>
    </row>
    <row r="21" spans="1:26" ht="30" customHeight="1" x14ac:dyDescent="0.25">
      <c r="A21" s="172" t="s">
        <v>164</v>
      </c>
      <c r="B21" s="69">
        <v>46006</v>
      </c>
      <c r="C21" s="70" t="s">
        <v>345</v>
      </c>
      <c r="D21" s="141" t="s">
        <v>830</v>
      </c>
      <c r="E21" s="173">
        <v>23</v>
      </c>
      <c r="F21" s="174">
        <v>6</v>
      </c>
      <c r="G21" s="174">
        <v>40</v>
      </c>
      <c r="H21" s="174">
        <v>15</v>
      </c>
      <c r="I21" s="174">
        <v>15</v>
      </c>
      <c r="J21" s="175">
        <v>480</v>
      </c>
      <c r="K21" s="1">
        <f>Inventory_List_Table34112[[#This Row],[Q]]*Inventory_List_Table34112[[#This Row],[Per piece MXN$]]</f>
        <v>11040</v>
      </c>
      <c r="L21" s="1">
        <f>Inventory_List_Table34112[[#This Row],[KG]]*2.20462</f>
        <v>13.227719999999998</v>
      </c>
      <c r="M21" s="2">
        <f>Inventory_List_Table34112[[#This Row],[H CM]]/2.54</f>
        <v>15.748031496062993</v>
      </c>
      <c r="N21" s="2">
        <f>Inventory_List_Table34112[[#This Row],[W CM]]/2.54</f>
        <v>5.9055118110236222</v>
      </c>
      <c r="O21" s="2">
        <f>Inventory_List_Table34112[[#This Row],[D CM ]]/2.54</f>
        <v>5.9055118110236222</v>
      </c>
      <c r="P21" s="3">
        <f>Inventory_List_Table34112[[#This Row],[Per piece MXN$]]/$U$2</f>
        <v>26.666666666666668</v>
      </c>
      <c r="Q21" s="3">
        <f t="shared" si="0"/>
        <v>27</v>
      </c>
      <c r="R21" s="3">
        <f>Inventory_List_Table34112[[#This Row],[AQ ROUND]]*1.4</f>
        <v>37.799999999999997</v>
      </c>
      <c r="S21" s="3">
        <f t="shared" si="1"/>
        <v>38</v>
      </c>
      <c r="T21" s="3">
        <f>Inventory_List_Table34112[[#This Row],[LND ROUND]]*8</f>
        <v>304</v>
      </c>
      <c r="U21" s="3">
        <f>Inventory_List_Table34112[[#This Row],[AQ]]*Inventory_List_Table34112[[#This Row],[Q]]</f>
        <v>613.33333333333337</v>
      </c>
      <c r="V21" s="74" t="s">
        <v>832</v>
      </c>
      <c r="W21" s="74" t="s">
        <v>831</v>
      </c>
      <c r="X21" s="176">
        <f>Inventory_List_Table34112[[#This Row],[H CM]]*Inventory_List_Table34112[[#This Row],[W CM]]*4+Inventory_List_Table34112[[#This Row],[D CM ]]*Inventory_List_Table34112[[#This Row],[D CM ]]</f>
        <v>2625</v>
      </c>
      <c r="Y21" s="177">
        <f>Inventory_List_Table34112[[#This Row],[Per piece MXN$]]/X21*10000</f>
        <v>1828.5714285714287</v>
      </c>
      <c r="Z21" s="176">
        <f>Inventory_List_Table34112[[#This Row],[SQCM]]/10000*29</f>
        <v>7.6125000000000007</v>
      </c>
    </row>
    <row r="22" spans="1:26" ht="30" customHeight="1" x14ac:dyDescent="0.25">
      <c r="A22" s="172" t="s">
        <v>165</v>
      </c>
      <c r="B22" s="69">
        <v>46006</v>
      </c>
      <c r="C22" s="70" t="s">
        <v>345</v>
      </c>
      <c r="D22" s="141" t="s">
        <v>833</v>
      </c>
      <c r="E22" s="173">
        <v>5</v>
      </c>
      <c r="F22" s="174">
        <v>5</v>
      </c>
      <c r="G22" s="174">
        <v>35</v>
      </c>
      <c r="H22" s="174">
        <v>15</v>
      </c>
      <c r="I22" s="174">
        <v>15</v>
      </c>
      <c r="J22" s="175">
        <v>420</v>
      </c>
      <c r="K22" s="1">
        <f>Inventory_List_Table34112[[#This Row],[Q]]*Inventory_List_Table34112[[#This Row],[Per piece MXN$]]</f>
        <v>2100</v>
      </c>
      <c r="L22" s="1">
        <f>Inventory_List_Table34112[[#This Row],[KG]]*2.20462</f>
        <v>11.023099999999999</v>
      </c>
      <c r="M22" s="2">
        <f>Inventory_List_Table34112[[#This Row],[H CM]]/2.54</f>
        <v>13.779527559055119</v>
      </c>
      <c r="N22" s="2">
        <f>Inventory_List_Table34112[[#This Row],[W CM]]/2.54</f>
        <v>5.9055118110236222</v>
      </c>
      <c r="O22" s="2">
        <f>Inventory_List_Table34112[[#This Row],[D CM ]]/2.54</f>
        <v>5.9055118110236222</v>
      </c>
      <c r="P22" s="3">
        <f>Inventory_List_Table34112[[#This Row],[Per piece MXN$]]/$U$2</f>
        <v>23.333333333333332</v>
      </c>
      <c r="Q22" s="3">
        <f t="shared" si="0"/>
        <v>23</v>
      </c>
      <c r="R22" s="3">
        <f>Inventory_List_Table34112[[#This Row],[AQ ROUND]]*1.4</f>
        <v>32.199999999999996</v>
      </c>
      <c r="S22" s="3">
        <f t="shared" si="1"/>
        <v>32</v>
      </c>
      <c r="T22" s="3">
        <f>Inventory_List_Table34112[[#This Row],[LND ROUND]]*8</f>
        <v>256</v>
      </c>
      <c r="U22" s="3">
        <f>Inventory_List_Table34112[[#This Row],[AQ]]*Inventory_List_Table34112[[#This Row],[Q]]</f>
        <v>116.66666666666666</v>
      </c>
      <c r="V22" s="74" t="s">
        <v>689</v>
      </c>
      <c r="W22" s="74" t="s">
        <v>688</v>
      </c>
      <c r="X22" s="176">
        <f>Inventory_List_Table34112[[#This Row],[H CM]]*Inventory_List_Table34112[[#This Row],[W CM]]*4+Inventory_List_Table34112[[#This Row],[D CM ]]*Inventory_List_Table34112[[#This Row],[D CM ]]</f>
        <v>2325</v>
      </c>
      <c r="Y22" s="177">
        <f>Inventory_List_Table34112[[#This Row],[Per piece MXN$]]/X22*10000</f>
        <v>1806.4516129032256</v>
      </c>
      <c r="Z22" s="176">
        <f>Inventory_List_Table34112[[#This Row],[SQCM]]/10000*29</f>
        <v>6.7425000000000006</v>
      </c>
    </row>
    <row r="23" spans="1:26" ht="30" customHeight="1" x14ac:dyDescent="0.25">
      <c r="A23" s="172" t="s">
        <v>166</v>
      </c>
      <c r="B23" s="69">
        <v>46006</v>
      </c>
      <c r="C23" s="70" t="s">
        <v>345</v>
      </c>
      <c r="D23" s="141" t="s">
        <v>834</v>
      </c>
      <c r="E23" s="173">
        <v>5</v>
      </c>
      <c r="F23" s="174">
        <v>5</v>
      </c>
      <c r="G23" s="174">
        <v>30</v>
      </c>
      <c r="H23" s="174">
        <v>15</v>
      </c>
      <c r="I23" s="174">
        <v>15</v>
      </c>
      <c r="J23" s="175">
        <v>360</v>
      </c>
      <c r="K23" s="1">
        <f>Inventory_List_Table34112[[#This Row],[Q]]*Inventory_List_Table34112[[#This Row],[Per piece MXN$]]</f>
        <v>1800</v>
      </c>
      <c r="L23" s="1">
        <f>Inventory_List_Table34112[[#This Row],[KG]]*2.20462</f>
        <v>11.023099999999999</v>
      </c>
      <c r="M23" s="2">
        <f>Inventory_List_Table34112[[#This Row],[H CM]]/2.54</f>
        <v>11.811023622047244</v>
      </c>
      <c r="N23" s="2">
        <f>Inventory_List_Table34112[[#This Row],[W CM]]/2.54</f>
        <v>5.9055118110236222</v>
      </c>
      <c r="O23" s="178">
        <f>Inventory_List_Table34112[[#This Row],[D CM ]]/2.54</f>
        <v>5.9055118110236222</v>
      </c>
      <c r="P23" s="3">
        <f>Inventory_List_Table34112[[#This Row],[Per piece MXN$]]/$U$2</f>
        <v>20</v>
      </c>
      <c r="Q23" s="3">
        <f>IF(MOD(P23,1)&gt;0.4,ROUNDUP(P23,0),ROUNDDOWN(P23,0))</f>
        <v>20</v>
      </c>
      <c r="R23" s="3">
        <f>Inventory_List_Table34112[[#This Row],[AQ ROUND]]*1.4</f>
        <v>28</v>
      </c>
      <c r="S23" s="3">
        <f>IF(MOD(R23,1)&gt;0.4,ROUNDUP(R23,0),ROUNDDOWN(R23,0))</f>
        <v>28</v>
      </c>
      <c r="T23" s="3">
        <f>Inventory_List_Table34112[[#This Row],[LND ROUND]]*8</f>
        <v>224</v>
      </c>
      <c r="U23" s="3">
        <f>Inventory_List_Table34112[[#This Row],[AQ]]*Inventory_List_Table34112[[#This Row],[Q]]</f>
        <v>100</v>
      </c>
      <c r="V23" s="74" t="s">
        <v>789</v>
      </c>
      <c r="W23" s="74" t="s">
        <v>713</v>
      </c>
      <c r="X23" s="176">
        <f>Inventory_List_Table34112[[#This Row],[H CM]]*Inventory_List_Table34112[[#This Row],[W CM]]*4+Inventory_List_Table34112[[#This Row],[D CM ]]*Inventory_List_Table34112[[#This Row],[D CM ]]</f>
        <v>2025</v>
      </c>
      <c r="Y23" s="177">
        <f>Inventory_List_Table34112[[#This Row],[Per piece MXN$]]/X23*10000</f>
        <v>1777.7777777777778</v>
      </c>
      <c r="Z23" s="176">
        <f>Inventory_List_Table34112[[#This Row],[SQCM]]/10000*29</f>
        <v>5.8725000000000005</v>
      </c>
    </row>
    <row r="24" spans="1:26" ht="30" customHeight="1" x14ac:dyDescent="0.25">
      <c r="A24" s="172" t="s">
        <v>167</v>
      </c>
      <c r="B24" s="69">
        <v>46006</v>
      </c>
      <c r="C24" s="70" t="s">
        <v>346</v>
      </c>
      <c r="D24" s="141" t="s">
        <v>835</v>
      </c>
      <c r="E24" s="173">
        <v>3</v>
      </c>
      <c r="F24" s="174">
        <v>17</v>
      </c>
      <c r="G24" s="174">
        <v>80</v>
      </c>
      <c r="H24" s="174">
        <v>20</v>
      </c>
      <c r="I24" s="174">
        <v>20</v>
      </c>
      <c r="J24" s="175">
        <v>1360</v>
      </c>
      <c r="K24" s="1">
        <f>Inventory_List_Table34112[[#This Row],[Q]]*Inventory_List_Table34112[[#This Row],[Per piece MXN$]]</f>
        <v>4080</v>
      </c>
      <c r="L24" s="1">
        <f>Inventory_List_Table34112[[#This Row],[KG]]*2.20462</f>
        <v>37.478539999999995</v>
      </c>
      <c r="M24" s="2">
        <f>Inventory_List_Table34112[[#This Row],[H CM]]/2.54</f>
        <v>31.496062992125985</v>
      </c>
      <c r="N24" s="2">
        <f>Inventory_List_Table34112[[#This Row],[W CM]]/2.54</f>
        <v>7.8740157480314963</v>
      </c>
      <c r="O24" s="2">
        <f>Inventory_List_Table34112[[#This Row],[D CM ]]/2.54</f>
        <v>7.8740157480314963</v>
      </c>
      <c r="P24" s="3">
        <f>Inventory_List_Table34112[[#This Row],[Per piece MXN$]]/$U$2</f>
        <v>75.555555555555557</v>
      </c>
      <c r="Q24" s="3">
        <f t="shared" si="0"/>
        <v>76</v>
      </c>
      <c r="R24" s="3">
        <f>Inventory_List_Table34112[[#This Row],[AQ ROUND]]*1.4</f>
        <v>106.39999999999999</v>
      </c>
      <c r="S24" s="3">
        <f t="shared" si="1"/>
        <v>106</v>
      </c>
      <c r="T24" s="3">
        <f>Inventory_List_Table34112[[#This Row],[LND ROUND]]*8</f>
        <v>848</v>
      </c>
      <c r="U24" s="3">
        <f>Inventory_List_Table34112[[#This Row],[AQ]]*Inventory_List_Table34112[[#This Row],[Q]]</f>
        <v>226.66666666666669</v>
      </c>
      <c r="V24" s="74" t="s">
        <v>837</v>
      </c>
      <c r="W24" s="74" t="s">
        <v>836</v>
      </c>
      <c r="X24" s="176">
        <f>Inventory_List_Table34112[[#This Row],[H CM]]*Inventory_List_Table34112[[#This Row],[W CM]]*4+Inventory_List_Table34112[[#This Row],[D CM ]]*Inventory_List_Table34112[[#This Row],[D CM ]]</f>
        <v>6800</v>
      </c>
      <c r="Y24" s="177">
        <f>Inventory_List_Table34112[[#This Row],[Per piece MXN$]]/X24*10000</f>
        <v>2000</v>
      </c>
      <c r="Z24" s="176">
        <f>Inventory_List_Table34112[[#This Row],[SQCM]]/10000*29</f>
        <v>19.720000000000002</v>
      </c>
    </row>
    <row r="25" spans="1:26" ht="30" customHeight="1" x14ac:dyDescent="0.25">
      <c r="A25" s="172" t="s">
        <v>168</v>
      </c>
      <c r="B25" s="69">
        <v>46006</v>
      </c>
      <c r="C25" s="70" t="s">
        <v>347</v>
      </c>
      <c r="D25" s="141" t="s">
        <v>838</v>
      </c>
      <c r="E25" s="173">
        <v>1</v>
      </c>
      <c r="F25" s="174">
        <v>15</v>
      </c>
      <c r="G25" s="174">
        <v>70</v>
      </c>
      <c r="H25" s="174">
        <v>20</v>
      </c>
      <c r="I25" s="174">
        <v>20</v>
      </c>
      <c r="J25" s="175">
        <v>1200</v>
      </c>
      <c r="K25" s="1">
        <f>Inventory_List_Table34112[[#This Row],[Q]]*Inventory_List_Table34112[[#This Row],[Per piece MXN$]]</f>
        <v>1200</v>
      </c>
      <c r="L25" s="1">
        <f>Inventory_List_Table34112[[#This Row],[KG]]*2.20462</f>
        <v>33.069299999999998</v>
      </c>
      <c r="M25" s="2">
        <f>Inventory_List_Table34112[[#This Row],[H CM]]/2.54</f>
        <v>27.559055118110237</v>
      </c>
      <c r="N25" s="2">
        <f>Inventory_List_Table34112[[#This Row],[W CM]]/2.54</f>
        <v>7.8740157480314963</v>
      </c>
      <c r="O25" s="2">
        <f>Inventory_List_Table34112[[#This Row],[D CM ]]/2.54</f>
        <v>7.8740157480314963</v>
      </c>
      <c r="P25" s="3">
        <f>Inventory_List_Table34112[[#This Row],[Per piece MXN$]]/$U$2</f>
        <v>66.666666666666671</v>
      </c>
      <c r="Q25" s="3">
        <f t="shared" si="0"/>
        <v>67</v>
      </c>
      <c r="R25" s="3">
        <f>Inventory_List_Table34112[[#This Row],[AQ ROUND]]*1.4</f>
        <v>93.8</v>
      </c>
      <c r="S25" s="3">
        <f t="shared" si="1"/>
        <v>94</v>
      </c>
      <c r="T25" s="3">
        <f>Inventory_List_Table34112[[#This Row],[LND ROUND]]*8</f>
        <v>752</v>
      </c>
      <c r="U25" s="3">
        <f>Inventory_List_Table34112[[#This Row],[AQ]]*Inventory_List_Table34112[[#This Row],[Q]]</f>
        <v>66.666666666666671</v>
      </c>
      <c r="V25" s="74" t="s">
        <v>771</v>
      </c>
      <c r="W25" s="74" t="s">
        <v>839</v>
      </c>
      <c r="X25" s="176">
        <f>Inventory_List_Table34112[[#This Row],[H CM]]*Inventory_List_Table34112[[#This Row],[W CM]]*4+Inventory_List_Table34112[[#This Row],[D CM ]]*Inventory_List_Table34112[[#This Row],[D CM ]]</f>
        <v>6000</v>
      </c>
      <c r="Y25" s="177">
        <f>Inventory_List_Table34112[[#This Row],[Per piece MXN$]]/X25*10000</f>
        <v>2000</v>
      </c>
      <c r="Z25" s="176">
        <f>Inventory_List_Table34112[[#This Row],[SQCM]]/10000*29</f>
        <v>17.399999999999999</v>
      </c>
    </row>
    <row r="26" spans="1:26" ht="30" customHeight="1" x14ac:dyDescent="0.25">
      <c r="A26" s="172" t="s">
        <v>169</v>
      </c>
      <c r="B26" s="69">
        <v>46006</v>
      </c>
      <c r="C26" s="70" t="s">
        <v>347</v>
      </c>
      <c r="D26" s="141" t="s">
        <v>840</v>
      </c>
      <c r="E26" s="173">
        <v>1</v>
      </c>
      <c r="F26" s="174">
        <v>11</v>
      </c>
      <c r="G26" s="174">
        <v>50</v>
      </c>
      <c r="H26" s="174">
        <v>20</v>
      </c>
      <c r="I26" s="174">
        <v>20</v>
      </c>
      <c r="J26" s="175">
        <v>880</v>
      </c>
      <c r="K26" s="1">
        <f>Inventory_List_Table34112[[#This Row],[Q]]*Inventory_List_Table34112[[#This Row],[Per piece MXN$]]</f>
        <v>880</v>
      </c>
      <c r="L26" s="1">
        <f>Inventory_List_Table34112[[#This Row],[KG]]*2.20462</f>
        <v>24.250819999999997</v>
      </c>
      <c r="M26" s="2">
        <f>Inventory_List_Table34112[[#This Row],[H CM]]/2.54</f>
        <v>19.685039370078741</v>
      </c>
      <c r="N26" s="2">
        <f>Inventory_List_Table34112[[#This Row],[W CM]]/2.54</f>
        <v>7.8740157480314963</v>
      </c>
      <c r="O26" s="2">
        <f>Inventory_List_Table34112[[#This Row],[D CM ]]/2.54</f>
        <v>7.8740157480314963</v>
      </c>
      <c r="P26" s="3">
        <f>Inventory_List_Table34112[[#This Row],[Per piece MXN$]]/$U$2</f>
        <v>48.888888888888886</v>
      </c>
      <c r="Q26" s="3">
        <f t="shared" si="0"/>
        <v>49</v>
      </c>
      <c r="R26" s="3">
        <f>Inventory_List_Table34112[[#This Row],[AQ ROUND]]*1.4</f>
        <v>68.599999999999994</v>
      </c>
      <c r="S26" s="3">
        <f t="shared" si="1"/>
        <v>69</v>
      </c>
      <c r="T26" s="3">
        <f>Inventory_List_Table34112[[#This Row],[LND ROUND]]*8</f>
        <v>552</v>
      </c>
      <c r="U26" s="3">
        <f>Inventory_List_Table34112[[#This Row],[AQ]]*Inventory_List_Table34112[[#This Row],[Q]]</f>
        <v>48.888888888888886</v>
      </c>
      <c r="V26" s="74" t="s">
        <v>778</v>
      </c>
      <c r="W26" s="74" t="s">
        <v>815</v>
      </c>
      <c r="X26" s="176">
        <f>Inventory_List_Table34112[[#This Row],[H CM]]*Inventory_List_Table34112[[#This Row],[W CM]]*4+Inventory_List_Table34112[[#This Row],[D CM ]]*Inventory_List_Table34112[[#This Row],[D CM ]]</f>
        <v>4400</v>
      </c>
      <c r="Y26" s="177">
        <f>Inventory_List_Table34112[[#This Row],[Per piece MXN$]]/X26*10000</f>
        <v>2000</v>
      </c>
      <c r="Z26" s="176">
        <f>Inventory_List_Table34112[[#This Row],[SQCM]]/10000*29</f>
        <v>12.76</v>
      </c>
    </row>
    <row r="27" spans="1:26" ht="30" customHeight="1" x14ac:dyDescent="0.25">
      <c r="A27" s="172" t="s">
        <v>170</v>
      </c>
      <c r="B27" s="69">
        <v>46006</v>
      </c>
      <c r="C27" s="70" t="s">
        <v>348</v>
      </c>
      <c r="D27" s="141" t="s">
        <v>841</v>
      </c>
      <c r="E27" s="173">
        <v>2</v>
      </c>
      <c r="F27" s="174">
        <v>34</v>
      </c>
      <c r="G27" s="174">
        <v>120</v>
      </c>
      <c r="H27" s="174">
        <v>30</v>
      </c>
      <c r="I27" s="174">
        <v>30</v>
      </c>
      <c r="J27" s="175">
        <v>3060</v>
      </c>
      <c r="K27" s="1">
        <f>Inventory_List_Table34112[[#This Row],[Q]]*Inventory_List_Table34112[[#This Row],[Per piece MXN$]]</f>
        <v>6120</v>
      </c>
      <c r="L27" s="1">
        <f>Inventory_List_Table34112[[#This Row],[KG]]*2.20462</f>
        <v>74.957079999999991</v>
      </c>
      <c r="M27" s="2">
        <f>Inventory_List_Table34112[[#This Row],[H CM]]/2.54</f>
        <v>47.244094488188978</v>
      </c>
      <c r="N27" s="2">
        <f>Inventory_List_Table34112[[#This Row],[W CM]]/2.54</f>
        <v>11.811023622047244</v>
      </c>
      <c r="O27" s="2">
        <f>Inventory_List_Table34112[[#This Row],[D CM ]]/2.54</f>
        <v>11.811023622047244</v>
      </c>
      <c r="P27" s="3">
        <f>Inventory_List_Table34112[[#This Row],[Per piece MXN$]]/$U$2</f>
        <v>170</v>
      </c>
      <c r="Q27" s="3">
        <f t="shared" si="0"/>
        <v>170</v>
      </c>
      <c r="R27" s="3">
        <f>Inventory_List_Table34112[[#This Row],[AQ ROUND]]*1.4</f>
        <v>237.99999999999997</v>
      </c>
      <c r="S27" s="3">
        <f t="shared" si="1"/>
        <v>238</v>
      </c>
      <c r="T27" s="3">
        <f>Inventory_List_Table34112[[#This Row],[LND ROUND]]*8</f>
        <v>1904</v>
      </c>
      <c r="U27" s="3">
        <f>Inventory_List_Table34112[[#This Row],[AQ]]*Inventory_List_Table34112[[#This Row],[Q]]</f>
        <v>340</v>
      </c>
      <c r="V27" s="74" t="s">
        <v>843</v>
      </c>
      <c r="W27" s="74" t="s">
        <v>842</v>
      </c>
      <c r="X27" s="176">
        <f>Inventory_List_Table34112[[#This Row],[H CM]]*Inventory_List_Table34112[[#This Row],[W CM]]*4+Inventory_List_Table34112[[#This Row],[D CM ]]*Inventory_List_Table34112[[#This Row],[D CM ]]</f>
        <v>15300</v>
      </c>
      <c r="Y27" s="177">
        <f>Inventory_List_Table34112[[#This Row],[Per piece MXN$]]/X27*10000</f>
        <v>2000</v>
      </c>
      <c r="Z27" s="176">
        <f>Inventory_List_Table34112[[#This Row],[SQCM]]/10000*29</f>
        <v>44.37</v>
      </c>
    </row>
    <row r="28" spans="1:26" ht="30" customHeight="1" x14ac:dyDescent="0.25">
      <c r="A28" s="172" t="s">
        <v>171</v>
      </c>
      <c r="B28" s="69">
        <v>46006</v>
      </c>
      <c r="C28" s="70" t="s">
        <v>348</v>
      </c>
      <c r="D28" s="141" t="s">
        <v>844</v>
      </c>
      <c r="E28" s="173">
        <v>1</v>
      </c>
      <c r="F28" s="174">
        <v>24</v>
      </c>
      <c r="G28" s="174">
        <v>75</v>
      </c>
      <c r="H28" s="174">
        <v>30</v>
      </c>
      <c r="I28" s="174">
        <v>30</v>
      </c>
      <c r="J28" s="175">
        <v>1980</v>
      </c>
      <c r="K28" s="1">
        <f>Inventory_List_Table34112[[#This Row],[Q]]*Inventory_List_Table34112[[#This Row],[Per piece MXN$]]</f>
        <v>1980</v>
      </c>
      <c r="L28" s="1">
        <f>Inventory_List_Table34112[[#This Row],[KG]]*2.20462</f>
        <v>52.910879999999992</v>
      </c>
      <c r="M28" s="2">
        <f>Inventory_List_Table34112[[#This Row],[H CM]]/2.54</f>
        <v>29.527559055118111</v>
      </c>
      <c r="N28" s="2">
        <f>Inventory_List_Table34112[[#This Row],[W CM]]/2.54</f>
        <v>11.811023622047244</v>
      </c>
      <c r="O28" s="2">
        <f>Inventory_List_Table34112[[#This Row],[D CM ]]/2.54</f>
        <v>11.811023622047244</v>
      </c>
      <c r="P28" s="3">
        <f>Inventory_List_Table34112[[#This Row],[Per piece MXN$]]/$U$2</f>
        <v>110</v>
      </c>
      <c r="Q28" s="3">
        <f t="shared" si="0"/>
        <v>110</v>
      </c>
      <c r="R28" s="3">
        <f>Inventory_List_Table34112[[#This Row],[AQ ROUND]]*1.4</f>
        <v>154</v>
      </c>
      <c r="S28" s="3">
        <f t="shared" si="1"/>
        <v>154</v>
      </c>
      <c r="T28" s="3">
        <f>Inventory_List_Table34112[[#This Row],[LND ROUND]]*8</f>
        <v>1232</v>
      </c>
      <c r="U28" s="3">
        <f>Inventory_List_Table34112[[#This Row],[AQ]]*Inventory_List_Table34112[[#This Row],[Q]]</f>
        <v>110</v>
      </c>
      <c r="V28" s="74" t="s">
        <v>846</v>
      </c>
      <c r="W28" s="74" t="s">
        <v>845</v>
      </c>
      <c r="X28" s="176">
        <f>Inventory_List_Table34112[[#This Row],[H CM]]*Inventory_List_Table34112[[#This Row],[W CM]]*4+Inventory_List_Table34112[[#This Row],[D CM ]]*Inventory_List_Table34112[[#This Row],[D CM ]]</f>
        <v>9900</v>
      </c>
      <c r="Y28" s="177">
        <f>Inventory_List_Table34112[[#This Row],[Per piece MXN$]]/X28*10000</f>
        <v>2000</v>
      </c>
      <c r="Z28" s="176">
        <f>Inventory_List_Table34112[[#This Row],[SQCM]]/10000*29</f>
        <v>28.71</v>
      </c>
    </row>
    <row r="29" spans="1:26" ht="30" customHeight="1" x14ac:dyDescent="0.25">
      <c r="A29" s="172" t="s">
        <v>183</v>
      </c>
      <c r="B29" s="69">
        <v>46006</v>
      </c>
      <c r="C29" s="70" t="s">
        <v>348</v>
      </c>
      <c r="D29" s="141" t="s">
        <v>847</v>
      </c>
      <c r="E29" s="173">
        <v>1</v>
      </c>
      <c r="F29" s="174">
        <v>26</v>
      </c>
      <c r="G29" s="174">
        <v>100</v>
      </c>
      <c r="H29" s="174">
        <v>25</v>
      </c>
      <c r="I29" s="174">
        <v>25</v>
      </c>
      <c r="J29" s="175">
        <v>2125</v>
      </c>
      <c r="K29" s="1">
        <f>Inventory_List_Table34112[[#This Row],[Q]]*Inventory_List_Table34112[[#This Row],[Per piece MXN$]]</f>
        <v>2125</v>
      </c>
      <c r="L29" s="1">
        <f>Inventory_List_Table34112[[#This Row],[KG]]*2.20462</f>
        <v>57.320119999999996</v>
      </c>
      <c r="M29" s="2">
        <f>Inventory_List_Table34112[[#This Row],[H CM]]/2.54</f>
        <v>39.370078740157481</v>
      </c>
      <c r="N29" s="2">
        <f>Inventory_List_Table34112[[#This Row],[W CM]]/2.54</f>
        <v>9.8425196850393704</v>
      </c>
      <c r="O29" s="2">
        <f>Inventory_List_Table34112[[#This Row],[D CM ]]/2.54</f>
        <v>9.8425196850393704</v>
      </c>
      <c r="P29" s="3">
        <f>Inventory_List_Table34112[[#This Row],[Per piece MXN$]]/$U$2</f>
        <v>118.05555555555556</v>
      </c>
      <c r="Q29" s="3">
        <f t="shared" si="0"/>
        <v>118</v>
      </c>
      <c r="R29" s="3">
        <f>Inventory_List_Table34112[[#This Row],[AQ ROUND]]*1.4</f>
        <v>165.2</v>
      </c>
      <c r="S29" s="3">
        <f t="shared" si="1"/>
        <v>165</v>
      </c>
      <c r="T29" s="3">
        <f>Inventory_List_Table34112[[#This Row],[LND ROUND]]*8</f>
        <v>1320</v>
      </c>
      <c r="U29" s="3">
        <f>Inventory_List_Table34112[[#This Row],[AQ]]*Inventory_List_Table34112[[#This Row],[Q]]</f>
        <v>118.05555555555556</v>
      </c>
      <c r="V29" s="74" t="s">
        <v>849</v>
      </c>
      <c r="W29" s="74" t="s">
        <v>848</v>
      </c>
      <c r="X29" s="176">
        <f>Inventory_List_Table34112[[#This Row],[H CM]]*Inventory_List_Table34112[[#This Row],[W CM]]*4+Inventory_List_Table34112[[#This Row],[D CM ]]*Inventory_List_Table34112[[#This Row],[D CM ]]</f>
        <v>10625</v>
      </c>
      <c r="Y29" s="177">
        <f>Inventory_List_Table34112[[#This Row],[Per piece MXN$]]/X29*10000</f>
        <v>2000</v>
      </c>
      <c r="Z29" s="176">
        <f>Inventory_List_Table34112[[#This Row],[SQCM]]/10000*29</f>
        <v>30.8125</v>
      </c>
    </row>
    <row r="30" spans="1:26" ht="30" customHeight="1" x14ac:dyDescent="0.25">
      <c r="A30" s="172" t="s">
        <v>184</v>
      </c>
      <c r="B30" s="69">
        <v>46006</v>
      </c>
      <c r="C30" s="70" t="s">
        <v>349</v>
      </c>
      <c r="D30" s="141" t="s">
        <v>850</v>
      </c>
      <c r="E30" s="173">
        <v>2</v>
      </c>
      <c r="F30" s="174">
        <v>7</v>
      </c>
      <c r="G30" s="174">
        <v>50</v>
      </c>
      <c r="H30" s="174">
        <v>15</v>
      </c>
      <c r="I30" s="174">
        <v>15</v>
      </c>
      <c r="J30" s="175">
        <v>850</v>
      </c>
      <c r="K30" s="1">
        <f>Inventory_List_Table34112[[#This Row],[Q]]*Inventory_List_Table34112[[#This Row],[Per piece MXN$]]</f>
        <v>1700</v>
      </c>
      <c r="L30" s="1">
        <f>Inventory_List_Table34112[[#This Row],[KG]]*2.20462</f>
        <v>15.432339999999998</v>
      </c>
      <c r="M30" s="2">
        <f>Inventory_List_Table34112[[#This Row],[H CM]]/2.54</f>
        <v>19.685039370078741</v>
      </c>
      <c r="N30" s="2">
        <f>Inventory_List_Table34112[[#This Row],[W CM]]/2.54</f>
        <v>5.9055118110236222</v>
      </c>
      <c r="O30" s="2">
        <f>Inventory_List_Table34112[[#This Row],[D CM ]]/2.54</f>
        <v>5.9055118110236222</v>
      </c>
      <c r="P30" s="3">
        <f>Inventory_List_Table34112[[#This Row],[Per piece MXN$]]/$U$2</f>
        <v>47.222222222222221</v>
      </c>
      <c r="Q30" s="3">
        <f t="shared" ref="Q30:Q35" si="2">IF(MOD(P30,1)&gt;0.4,ROUNDUP(P30,0),ROUNDDOWN(P30,0))</f>
        <v>47</v>
      </c>
      <c r="R30" s="3">
        <f>Inventory_List_Table34112[[#This Row],[AQ ROUND]]*1.4</f>
        <v>65.8</v>
      </c>
      <c r="S30" s="3">
        <f t="shared" ref="S30:S35" si="3">IF(MOD(R30,1)&gt;0.4,ROUNDUP(R30,0),ROUNDDOWN(R30,0))</f>
        <v>66</v>
      </c>
      <c r="T30" s="3">
        <f>Inventory_List_Table34112[[#This Row],[LND ROUND]]*8</f>
        <v>528</v>
      </c>
      <c r="U30" s="3">
        <f>Inventory_List_Table34112[[#This Row],[AQ]]*Inventory_List_Table34112[[#This Row],[Q]]</f>
        <v>94.444444444444443</v>
      </c>
      <c r="V30" s="74" t="s">
        <v>852</v>
      </c>
      <c r="W30" s="74" t="s">
        <v>851</v>
      </c>
      <c r="X30" s="176">
        <f>Inventory_List_Table34112[[#This Row],[H CM]]*Inventory_List_Table34112[[#This Row],[W CM]]*4+Inventory_List_Table34112[[#This Row],[D CM ]]*Inventory_List_Table34112[[#This Row],[D CM ]]</f>
        <v>3225</v>
      </c>
      <c r="Y30" s="177">
        <f>Inventory_List_Table34112[[#This Row],[Per piece MXN$]]/X30*10000</f>
        <v>2635.6589147286822</v>
      </c>
      <c r="Z30" s="176">
        <f>Inventory_List_Table34112[[#This Row],[SQCM]]/10000*29</f>
        <v>9.3525000000000009</v>
      </c>
    </row>
    <row r="31" spans="1:26" ht="30" customHeight="1" x14ac:dyDescent="0.25">
      <c r="A31" s="172" t="s">
        <v>185</v>
      </c>
      <c r="B31" s="69">
        <v>46006</v>
      </c>
      <c r="C31" s="70" t="s">
        <v>349</v>
      </c>
      <c r="D31" s="141" t="s">
        <v>853</v>
      </c>
      <c r="E31" s="173">
        <v>1</v>
      </c>
      <c r="F31" s="174">
        <v>6</v>
      </c>
      <c r="G31" s="174">
        <v>45</v>
      </c>
      <c r="H31" s="174">
        <v>15</v>
      </c>
      <c r="I31" s="174">
        <v>15</v>
      </c>
      <c r="J31" s="175">
        <v>800</v>
      </c>
      <c r="K31" s="1">
        <f>Inventory_List_Table34112[[#This Row],[Q]]*Inventory_List_Table34112[[#This Row],[Per piece MXN$]]</f>
        <v>800</v>
      </c>
      <c r="L31" s="1">
        <f>Inventory_List_Table34112[[#This Row],[KG]]*2.20462</f>
        <v>13.227719999999998</v>
      </c>
      <c r="M31" s="2">
        <f>Inventory_List_Table34112[[#This Row],[H CM]]/2.54</f>
        <v>17.716535433070867</v>
      </c>
      <c r="N31" s="2">
        <f>Inventory_List_Table34112[[#This Row],[W CM]]/2.54</f>
        <v>5.9055118110236222</v>
      </c>
      <c r="O31" s="2">
        <f>Inventory_List_Table34112[[#This Row],[D CM ]]/2.54</f>
        <v>5.9055118110236222</v>
      </c>
      <c r="P31" s="3">
        <f>Inventory_List_Table34112[[#This Row],[Per piece MXN$]]/$U$2</f>
        <v>44.444444444444443</v>
      </c>
      <c r="Q31" s="3">
        <f t="shared" si="2"/>
        <v>45</v>
      </c>
      <c r="R31" s="3">
        <f>Inventory_List_Table34112[[#This Row],[AQ ROUND]]*1.4</f>
        <v>62.999999999999993</v>
      </c>
      <c r="S31" s="3">
        <f t="shared" si="3"/>
        <v>63</v>
      </c>
      <c r="T31" s="3">
        <f>Inventory_List_Table34112[[#This Row],[LND ROUND]]*8</f>
        <v>504</v>
      </c>
      <c r="U31" s="3">
        <f>Inventory_List_Table34112[[#This Row],[AQ]]*Inventory_List_Table34112[[#This Row],[Q]]</f>
        <v>44.444444444444443</v>
      </c>
      <c r="V31" s="74" t="s">
        <v>855</v>
      </c>
      <c r="W31" s="74" t="s">
        <v>854</v>
      </c>
      <c r="X31" s="176">
        <f>Inventory_List_Table34112[[#This Row],[H CM]]*Inventory_List_Table34112[[#This Row],[W CM]]*4+Inventory_List_Table34112[[#This Row],[D CM ]]*Inventory_List_Table34112[[#This Row],[D CM ]]</f>
        <v>2925</v>
      </c>
      <c r="Y31" s="177">
        <f>Inventory_List_Table34112[[#This Row],[Per piece MXN$]]/X31*10000</f>
        <v>2735.0427350427353</v>
      </c>
      <c r="Z31" s="176">
        <f>Inventory_List_Table34112[[#This Row],[SQCM]]/10000*29</f>
        <v>8.4824999999999999</v>
      </c>
    </row>
    <row r="32" spans="1:26" ht="30" customHeight="1" x14ac:dyDescent="0.25">
      <c r="A32" s="172" t="s">
        <v>186</v>
      </c>
      <c r="B32" s="69">
        <v>46006</v>
      </c>
      <c r="C32" s="70" t="s">
        <v>349</v>
      </c>
      <c r="D32" s="141" t="s">
        <v>856</v>
      </c>
      <c r="E32" s="173">
        <v>2</v>
      </c>
      <c r="F32" s="174">
        <v>7</v>
      </c>
      <c r="G32" s="174">
        <v>50</v>
      </c>
      <c r="H32" s="174">
        <v>12</v>
      </c>
      <c r="I32" s="174">
        <v>15</v>
      </c>
      <c r="J32" s="175">
        <v>650</v>
      </c>
      <c r="K32" s="1">
        <f>Inventory_List_Table34112[[#This Row],[Q]]*Inventory_List_Table34112[[#This Row],[Per piece MXN$]]</f>
        <v>1300</v>
      </c>
      <c r="L32" s="1">
        <f>Inventory_List_Table34112[[#This Row],[KG]]*2.20462</f>
        <v>15.432339999999998</v>
      </c>
      <c r="M32" s="2">
        <f>Inventory_List_Table34112[[#This Row],[H CM]]/2.54</f>
        <v>19.685039370078741</v>
      </c>
      <c r="N32" s="2">
        <f>Inventory_List_Table34112[[#This Row],[W CM]]/2.54</f>
        <v>4.7244094488188972</v>
      </c>
      <c r="O32" s="2">
        <f>Inventory_List_Table34112[[#This Row],[D CM ]]/2.54</f>
        <v>5.9055118110236222</v>
      </c>
      <c r="P32" s="3">
        <f>Inventory_List_Table34112[[#This Row],[Per piece MXN$]]/$U$2</f>
        <v>36.111111111111114</v>
      </c>
      <c r="Q32" s="3">
        <f t="shared" si="2"/>
        <v>36</v>
      </c>
      <c r="R32" s="3">
        <f>Inventory_List_Table34112[[#This Row],[AQ ROUND]]*1.4</f>
        <v>50.4</v>
      </c>
      <c r="S32" s="3">
        <f t="shared" si="3"/>
        <v>50</v>
      </c>
      <c r="T32" s="3">
        <f>Inventory_List_Table34112[[#This Row],[LND ROUND]]*8</f>
        <v>400</v>
      </c>
      <c r="U32" s="3">
        <f>Inventory_List_Table34112[[#This Row],[AQ]]*Inventory_List_Table34112[[#This Row],[Q]]</f>
        <v>72.222222222222229</v>
      </c>
      <c r="V32" s="74" t="s">
        <v>716</v>
      </c>
      <c r="W32" s="74" t="s">
        <v>738</v>
      </c>
      <c r="X32" s="176">
        <f>Inventory_List_Table34112[[#This Row],[H CM]]*Inventory_List_Table34112[[#This Row],[W CM]]*4+Inventory_List_Table34112[[#This Row],[D CM ]]*Inventory_List_Table34112[[#This Row],[D CM ]]</f>
        <v>2625</v>
      </c>
      <c r="Y32" s="177">
        <f>Inventory_List_Table34112[[#This Row],[Per piece MXN$]]/X32*10000</f>
        <v>2476.1904761904761</v>
      </c>
      <c r="Z32" s="176">
        <f>Inventory_List_Table34112[[#This Row],[SQCM]]/10000*29</f>
        <v>7.6125000000000007</v>
      </c>
    </row>
    <row r="33" spans="1:26" ht="30" customHeight="1" x14ac:dyDescent="0.25">
      <c r="A33" s="172" t="s">
        <v>187</v>
      </c>
      <c r="B33" s="69">
        <v>46006</v>
      </c>
      <c r="C33" s="70" t="s">
        <v>351</v>
      </c>
      <c r="D33" s="141" t="s">
        <v>857</v>
      </c>
      <c r="E33" s="173">
        <v>1</v>
      </c>
      <c r="F33" s="174">
        <v>7</v>
      </c>
      <c r="G33" s="174">
        <v>60</v>
      </c>
      <c r="H33" s="174">
        <v>15</v>
      </c>
      <c r="I33" s="174">
        <v>15</v>
      </c>
      <c r="J33" s="179">
        <v>765</v>
      </c>
      <c r="K33" s="1">
        <f>Inventory_List_Table34112[[#This Row],[Q]]*Inventory_List_Table34112[[#This Row],[Per piece MXN$]]</f>
        <v>765</v>
      </c>
      <c r="L33" s="1">
        <f>Inventory_List_Table34112[[#This Row],[KG]]*2.20462</f>
        <v>15.432339999999998</v>
      </c>
      <c r="M33" s="2">
        <f>Inventory_List_Table34112[[#This Row],[H CM]]/2.54</f>
        <v>23.622047244094489</v>
      </c>
      <c r="N33" s="2">
        <f>Inventory_List_Table34112[[#This Row],[W CM]]/2.54</f>
        <v>5.9055118110236222</v>
      </c>
      <c r="O33" s="2">
        <f>Inventory_List_Table34112[[#This Row],[D CM ]]/2.54</f>
        <v>5.9055118110236222</v>
      </c>
      <c r="P33" s="3">
        <f>Inventory_List_Table34112[[#This Row],[Per piece MXN$]]/$U$2</f>
        <v>42.5</v>
      </c>
      <c r="Q33" s="3">
        <f t="shared" si="2"/>
        <v>43</v>
      </c>
      <c r="R33" s="3">
        <f>Inventory_List_Table34112[[#This Row],[AQ ROUND]]*1.4</f>
        <v>60.199999999999996</v>
      </c>
      <c r="S33" s="3">
        <f t="shared" si="3"/>
        <v>60</v>
      </c>
      <c r="T33" s="3">
        <f>Inventory_List_Table34112[[#This Row],[LND ROUND]]*8</f>
        <v>480</v>
      </c>
      <c r="U33" s="3">
        <f>Inventory_List_Table34112[[#This Row],[AQ]]*Inventory_List_Table34112[[#This Row],[Q]]</f>
        <v>42.5</v>
      </c>
      <c r="V33" s="74" t="s">
        <v>744</v>
      </c>
      <c r="W33" s="74" t="s">
        <v>723</v>
      </c>
      <c r="X33" s="176">
        <f>Inventory_List_Table34112[[#This Row],[H CM]]*Inventory_List_Table34112[[#This Row],[W CM]]*4+Inventory_List_Table34112[[#This Row],[D CM ]]*Inventory_List_Table34112[[#This Row],[D CM ]]</f>
        <v>3825</v>
      </c>
      <c r="Y33" s="177">
        <f>Inventory_List_Table34112[[#This Row],[Per piece MXN$]]/X33*10000</f>
        <v>2000</v>
      </c>
      <c r="Z33" s="176">
        <f>Inventory_List_Table34112[[#This Row],[SQCM]]/10000*29</f>
        <v>11.092499999999999</v>
      </c>
    </row>
    <row r="34" spans="1:26" ht="30" customHeight="1" x14ac:dyDescent="0.25">
      <c r="A34" s="172" t="s">
        <v>188</v>
      </c>
      <c r="B34" s="69">
        <v>46006</v>
      </c>
      <c r="C34" s="70" t="s">
        <v>351</v>
      </c>
      <c r="D34" s="141" t="s">
        <v>858</v>
      </c>
      <c r="E34" s="173">
        <v>2</v>
      </c>
      <c r="F34" s="174">
        <v>7</v>
      </c>
      <c r="G34" s="174">
        <v>50</v>
      </c>
      <c r="H34" s="174">
        <v>15</v>
      </c>
      <c r="I34" s="174">
        <v>15</v>
      </c>
      <c r="J34" s="175">
        <v>645</v>
      </c>
      <c r="K34" s="1">
        <f>Inventory_List_Table34112[[#This Row],[Q]]*Inventory_List_Table34112[[#This Row],[Per piece MXN$]]</f>
        <v>1290</v>
      </c>
      <c r="L34" s="1">
        <f>Inventory_List_Table34112[[#This Row],[KG]]*2.20462</f>
        <v>15.432339999999998</v>
      </c>
      <c r="M34" s="2">
        <f>Inventory_List_Table34112[[#This Row],[H CM]]/2.54</f>
        <v>19.685039370078741</v>
      </c>
      <c r="N34" s="2">
        <f>Inventory_List_Table34112[[#This Row],[W CM]]/2.54</f>
        <v>5.9055118110236222</v>
      </c>
      <c r="O34" s="2">
        <f>Inventory_List_Table34112[[#This Row],[D CM ]]/2.54</f>
        <v>5.9055118110236222</v>
      </c>
      <c r="P34" s="3">
        <f>Inventory_List_Table34112[[#This Row],[Per piece MXN$]]/$U$2</f>
        <v>35.833333333333336</v>
      </c>
      <c r="Q34" s="3">
        <f t="shared" si="2"/>
        <v>36</v>
      </c>
      <c r="R34" s="3">
        <f>Inventory_List_Table34112[[#This Row],[AQ ROUND]]*1.4</f>
        <v>50.4</v>
      </c>
      <c r="S34" s="3">
        <f t="shared" si="3"/>
        <v>50</v>
      </c>
      <c r="T34" s="3">
        <f>Inventory_List_Table34112[[#This Row],[LND ROUND]]*8</f>
        <v>400</v>
      </c>
      <c r="U34" s="3">
        <f>Inventory_List_Table34112[[#This Row],[AQ]]*Inventory_List_Table34112[[#This Row],[Q]]</f>
        <v>71.666666666666671</v>
      </c>
      <c r="V34" s="74" t="s">
        <v>716</v>
      </c>
      <c r="W34" s="74" t="s">
        <v>738</v>
      </c>
      <c r="X34" s="176">
        <f>Inventory_List_Table34112[[#This Row],[H CM]]*Inventory_List_Table34112[[#This Row],[W CM]]*4+Inventory_List_Table34112[[#This Row],[D CM ]]*Inventory_List_Table34112[[#This Row],[D CM ]]</f>
        <v>3225</v>
      </c>
      <c r="Y34" s="177">
        <f>Inventory_List_Table34112[[#This Row],[Per piece MXN$]]/X34*10000</f>
        <v>2000</v>
      </c>
      <c r="Z34" s="176">
        <f>Inventory_List_Table34112[[#This Row],[SQCM]]/10000*29</f>
        <v>9.3525000000000009</v>
      </c>
    </row>
    <row r="35" spans="1:26" ht="30" customHeight="1" x14ac:dyDescent="0.25">
      <c r="A35" s="172" t="s">
        <v>189</v>
      </c>
      <c r="B35" s="69">
        <v>46006</v>
      </c>
      <c r="C35" s="70" t="s">
        <v>351</v>
      </c>
      <c r="D35" s="141" t="s">
        <v>859</v>
      </c>
      <c r="E35" s="173">
        <v>3</v>
      </c>
      <c r="F35" s="174">
        <v>6</v>
      </c>
      <c r="G35" s="174">
        <v>40</v>
      </c>
      <c r="H35" s="174">
        <v>15</v>
      </c>
      <c r="I35" s="174">
        <v>15</v>
      </c>
      <c r="J35" s="175">
        <v>525</v>
      </c>
      <c r="K35" s="1">
        <f>Inventory_List_Table34112[[#This Row],[Q]]*Inventory_List_Table34112[[#This Row],[Per piece MXN$]]</f>
        <v>1575</v>
      </c>
      <c r="L35" s="1">
        <f>Inventory_List_Table34112[[#This Row],[KG]]*2.20462</f>
        <v>13.227719999999998</v>
      </c>
      <c r="M35" s="2">
        <f>Inventory_List_Table34112[[#This Row],[H CM]]/2.54</f>
        <v>15.748031496062993</v>
      </c>
      <c r="N35" s="2">
        <f>Inventory_List_Table34112[[#This Row],[W CM]]/2.54</f>
        <v>5.9055118110236222</v>
      </c>
      <c r="O35" s="2">
        <f>Inventory_List_Table34112[[#This Row],[D CM ]]/2.54</f>
        <v>5.9055118110236222</v>
      </c>
      <c r="P35" s="3">
        <f>Inventory_List_Table34112[[#This Row],[Per piece MXN$]]/$U$2</f>
        <v>29.166666666666668</v>
      </c>
      <c r="Q35" s="3">
        <f t="shared" si="2"/>
        <v>29</v>
      </c>
      <c r="R35" s="3">
        <f>Inventory_List_Table34112[[#This Row],[AQ ROUND]]*1.4</f>
        <v>40.599999999999994</v>
      </c>
      <c r="S35" s="3">
        <f t="shared" si="3"/>
        <v>41</v>
      </c>
      <c r="T35" s="3">
        <f>Inventory_List_Table34112[[#This Row],[LND ROUND]]*8</f>
        <v>328</v>
      </c>
      <c r="U35" s="3">
        <f>Inventory_List_Table34112[[#This Row],[AQ]]*Inventory_List_Table34112[[#This Row],[Q]]</f>
        <v>87.5</v>
      </c>
      <c r="V35" s="74" t="s">
        <v>827</v>
      </c>
      <c r="W35" s="74" t="s">
        <v>742</v>
      </c>
      <c r="X35" s="176">
        <f>Inventory_List_Table34112[[#This Row],[H CM]]*Inventory_List_Table34112[[#This Row],[W CM]]*4+Inventory_List_Table34112[[#This Row],[D CM ]]*Inventory_List_Table34112[[#This Row],[D CM ]]</f>
        <v>2625</v>
      </c>
      <c r="Y35" s="177">
        <f>Inventory_List_Table34112[[#This Row],[Per piece MXN$]]/X35*10000</f>
        <v>2000</v>
      </c>
      <c r="Z35" s="176">
        <f>Inventory_List_Table34112[[#This Row],[SQCM]]/10000*29</f>
        <v>7.6125000000000007</v>
      </c>
    </row>
    <row r="36" spans="1:26" ht="30" customHeight="1" x14ac:dyDescent="0.25">
      <c r="A36" s="172" t="s">
        <v>190</v>
      </c>
      <c r="B36" s="69">
        <v>46006</v>
      </c>
      <c r="C36" s="70" t="s">
        <v>351</v>
      </c>
      <c r="D36" s="141" t="s">
        <v>860</v>
      </c>
      <c r="E36" s="173">
        <v>4</v>
      </c>
      <c r="F36" s="174">
        <v>5</v>
      </c>
      <c r="G36" s="174">
        <v>30</v>
      </c>
      <c r="H36" s="174">
        <v>15</v>
      </c>
      <c r="I36" s="174">
        <v>15</v>
      </c>
      <c r="J36" s="175">
        <v>405</v>
      </c>
      <c r="K36" s="1">
        <f>Inventory_List_Table34112[[#This Row],[Q]]*Inventory_List_Table34112[[#This Row],[Per piece MXN$]]</f>
        <v>1620</v>
      </c>
      <c r="L36" s="1">
        <f>Inventory_List_Table34112[[#This Row],[KG]]*2.20462</f>
        <v>11.023099999999999</v>
      </c>
      <c r="M36" s="2">
        <f>Inventory_List_Table34112[[#This Row],[H CM]]/2.54</f>
        <v>11.811023622047244</v>
      </c>
      <c r="N36" s="2">
        <f>Inventory_List_Table34112[[#This Row],[W CM]]/2.54</f>
        <v>5.9055118110236222</v>
      </c>
      <c r="O36" s="2">
        <f>Inventory_List_Table34112[[#This Row],[D CM ]]/2.54</f>
        <v>5.9055118110236222</v>
      </c>
      <c r="P36" s="3">
        <f>Inventory_List_Table34112[[#This Row],[Per piece MXN$]]/$U$2</f>
        <v>22.5</v>
      </c>
      <c r="Q36" s="3">
        <f t="shared" ref="Q36:Q41" si="4">IF(MOD(P36,1)&gt;0.4,ROUNDUP(P36,0),ROUNDDOWN(P36,0))</f>
        <v>23</v>
      </c>
      <c r="R36" s="3">
        <f>Inventory_List_Table34112[[#This Row],[AQ ROUND]]*1.4</f>
        <v>32.199999999999996</v>
      </c>
      <c r="S36" s="3">
        <f t="shared" ref="S36:S41" si="5">IF(MOD(R36,1)&gt;0.4,ROUNDUP(R36,0),ROUNDDOWN(R36,0))</f>
        <v>32</v>
      </c>
      <c r="T36" s="3">
        <f>Inventory_List_Table34112[[#This Row],[LND ROUND]]*8</f>
        <v>256</v>
      </c>
      <c r="U36" s="3">
        <f>Inventory_List_Table34112[[#This Row],[AQ]]*Inventory_List_Table34112[[#This Row],[Q]]</f>
        <v>90</v>
      </c>
      <c r="V36" s="74" t="s">
        <v>689</v>
      </c>
      <c r="W36" s="74" t="s">
        <v>688</v>
      </c>
      <c r="X36" s="176">
        <f>Inventory_List_Table34112[[#This Row],[H CM]]*Inventory_List_Table34112[[#This Row],[W CM]]*4+Inventory_List_Table34112[[#This Row],[D CM ]]*Inventory_List_Table34112[[#This Row],[D CM ]]</f>
        <v>2025</v>
      </c>
      <c r="Y36" s="177">
        <f>Inventory_List_Table34112[[#This Row],[Per piece MXN$]]/X36*10000</f>
        <v>2000</v>
      </c>
      <c r="Z36" s="176">
        <f>Inventory_List_Table34112[[#This Row],[SQCM]]/10000*29</f>
        <v>5.8725000000000005</v>
      </c>
    </row>
    <row r="37" spans="1:26" ht="30" customHeight="1" x14ac:dyDescent="0.25">
      <c r="A37" s="172" t="s">
        <v>191</v>
      </c>
      <c r="B37" s="69">
        <v>46006</v>
      </c>
      <c r="C37" s="70" t="s">
        <v>352</v>
      </c>
      <c r="D37" s="141" t="s">
        <v>861</v>
      </c>
      <c r="E37" s="173">
        <v>6</v>
      </c>
      <c r="F37" s="174">
        <v>6</v>
      </c>
      <c r="G37" s="174">
        <v>40</v>
      </c>
      <c r="H37" s="174">
        <v>15</v>
      </c>
      <c r="I37" s="174">
        <v>15</v>
      </c>
      <c r="J37" s="175">
        <v>525</v>
      </c>
      <c r="K37" s="1">
        <f>Inventory_List_Table34112[[#This Row],[Q]]*Inventory_List_Table34112[[#This Row],[Per piece MXN$]]</f>
        <v>3150</v>
      </c>
      <c r="L37" s="1">
        <f>Inventory_List_Table34112[[#This Row],[KG]]*2.20462</f>
        <v>13.227719999999998</v>
      </c>
      <c r="M37" s="2">
        <f>Inventory_List_Table34112[[#This Row],[H CM]]/2.54</f>
        <v>15.748031496062993</v>
      </c>
      <c r="N37" s="2">
        <f>Inventory_List_Table34112[[#This Row],[W CM]]/2.54</f>
        <v>5.9055118110236222</v>
      </c>
      <c r="O37" s="2">
        <f>Inventory_List_Table34112[[#This Row],[D CM ]]/2.54</f>
        <v>5.9055118110236222</v>
      </c>
      <c r="P37" s="3">
        <f>Inventory_List_Table34112[[#This Row],[Per piece MXN$]]/$U$2</f>
        <v>29.166666666666668</v>
      </c>
      <c r="Q37" s="3">
        <f t="shared" si="4"/>
        <v>29</v>
      </c>
      <c r="R37" s="3">
        <f>Inventory_List_Table34112[[#This Row],[AQ ROUND]]*1.4</f>
        <v>40.599999999999994</v>
      </c>
      <c r="S37" s="3">
        <f t="shared" si="5"/>
        <v>41</v>
      </c>
      <c r="T37" s="3">
        <f>Inventory_List_Table34112[[#This Row],[LND ROUND]]*8</f>
        <v>328</v>
      </c>
      <c r="U37" s="3">
        <f>Inventory_List_Table34112[[#This Row],[AQ]]*Inventory_List_Table34112[[#This Row],[Q]]</f>
        <v>175</v>
      </c>
      <c r="V37" s="74" t="s">
        <v>827</v>
      </c>
      <c r="W37" s="74" t="s">
        <v>742</v>
      </c>
      <c r="X37" s="176">
        <f>Inventory_List_Table34112[[#This Row],[H CM]]*Inventory_List_Table34112[[#This Row],[W CM]]*4+Inventory_List_Table34112[[#This Row],[D CM ]]*Inventory_List_Table34112[[#This Row],[D CM ]]</f>
        <v>2625</v>
      </c>
      <c r="Y37" s="177">
        <f>Inventory_List_Table34112[[#This Row],[Per piece MXN$]]/X37*10000</f>
        <v>2000</v>
      </c>
      <c r="Z37" s="176">
        <f>Inventory_List_Table34112[[#This Row],[SQCM]]/10000*29</f>
        <v>7.6125000000000007</v>
      </c>
    </row>
    <row r="38" spans="1:26" ht="30" customHeight="1" x14ac:dyDescent="0.25">
      <c r="A38" s="172" t="s">
        <v>192</v>
      </c>
      <c r="B38" s="69">
        <v>46006</v>
      </c>
      <c r="C38" s="70" t="s">
        <v>352</v>
      </c>
      <c r="D38" s="141" t="s">
        <v>862</v>
      </c>
      <c r="E38" s="173">
        <v>2</v>
      </c>
      <c r="F38" s="174">
        <v>5</v>
      </c>
      <c r="G38" s="174">
        <v>30</v>
      </c>
      <c r="H38" s="174">
        <v>15</v>
      </c>
      <c r="I38" s="174">
        <v>15</v>
      </c>
      <c r="J38" s="175">
        <v>405</v>
      </c>
      <c r="K38" s="1">
        <f>Inventory_List_Table34112[[#This Row],[Q]]*Inventory_List_Table34112[[#This Row],[Per piece MXN$]]</f>
        <v>810</v>
      </c>
      <c r="L38" s="1">
        <f>Inventory_List_Table34112[[#This Row],[KG]]*2.20462</f>
        <v>11.023099999999999</v>
      </c>
      <c r="M38" s="2">
        <f>Inventory_List_Table34112[[#This Row],[H CM]]/2.54</f>
        <v>11.811023622047244</v>
      </c>
      <c r="N38" s="2">
        <f>Inventory_List_Table34112[[#This Row],[W CM]]/2.54</f>
        <v>5.9055118110236222</v>
      </c>
      <c r="O38" s="2">
        <f>Inventory_List_Table34112[[#This Row],[D CM ]]/2.54</f>
        <v>5.9055118110236222</v>
      </c>
      <c r="P38" s="3">
        <f>Inventory_List_Table34112[[#This Row],[Per piece MXN$]]/$U$2</f>
        <v>22.5</v>
      </c>
      <c r="Q38" s="3">
        <f t="shared" si="4"/>
        <v>23</v>
      </c>
      <c r="R38" s="3">
        <f>Inventory_List_Table34112[[#This Row],[AQ ROUND]]*1.4</f>
        <v>32.199999999999996</v>
      </c>
      <c r="S38" s="3">
        <f t="shared" si="5"/>
        <v>32</v>
      </c>
      <c r="T38" s="3">
        <f>Inventory_List_Table34112[[#This Row],[LND ROUND]]*8</f>
        <v>256</v>
      </c>
      <c r="U38" s="3">
        <f>Inventory_List_Table34112[[#This Row],[AQ]]*Inventory_List_Table34112[[#This Row],[Q]]</f>
        <v>45</v>
      </c>
      <c r="V38" s="74" t="s">
        <v>689</v>
      </c>
      <c r="W38" s="74" t="s">
        <v>688</v>
      </c>
      <c r="X38" s="176">
        <f>Inventory_List_Table34112[[#This Row],[H CM]]*Inventory_List_Table34112[[#This Row],[W CM]]*4+Inventory_List_Table34112[[#This Row],[D CM ]]*Inventory_List_Table34112[[#This Row],[D CM ]]</f>
        <v>2025</v>
      </c>
      <c r="Y38" s="177">
        <f>Inventory_List_Table34112[[#This Row],[Per piece MXN$]]/X38*10000</f>
        <v>2000</v>
      </c>
      <c r="Z38" s="176">
        <f>Inventory_List_Table34112[[#This Row],[SQCM]]/10000*29</f>
        <v>5.8725000000000005</v>
      </c>
    </row>
    <row r="39" spans="1:26" ht="30" customHeight="1" x14ac:dyDescent="0.25">
      <c r="A39" s="172" t="s">
        <v>193</v>
      </c>
      <c r="B39" s="69">
        <v>46006</v>
      </c>
      <c r="C39" s="70" t="s">
        <v>352</v>
      </c>
      <c r="D39" s="141" t="s">
        <v>863</v>
      </c>
      <c r="E39" s="173">
        <v>3</v>
      </c>
      <c r="F39" s="174">
        <v>7</v>
      </c>
      <c r="G39" s="174">
        <v>50</v>
      </c>
      <c r="H39" s="174">
        <v>15</v>
      </c>
      <c r="I39" s="174">
        <v>15</v>
      </c>
      <c r="J39" s="175">
        <v>645</v>
      </c>
      <c r="K39" s="1">
        <f>Inventory_List_Table34112[[#This Row],[Q]]*Inventory_List_Table34112[[#This Row],[Per piece MXN$]]</f>
        <v>1935</v>
      </c>
      <c r="L39" s="1">
        <f>Inventory_List_Table34112[[#This Row],[KG]]*2.20462</f>
        <v>15.432339999999998</v>
      </c>
      <c r="M39" s="2">
        <f>Inventory_List_Table34112[[#This Row],[H CM]]/2.54</f>
        <v>19.685039370078741</v>
      </c>
      <c r="N39" s="2">
        <f>Inventory_List_Table34112[[#This Row],[W CM]]/2.54</f>
        <v>5.9055118110236222</v>
      </c>
      <c r="O39" s="2">
        <f>Inventory_List_Table34112[[#This Row],[D CM ]]/2.54</f>
        <v>5.9055118110236222</v>
      </c>
      <c r="P39" s="3">
        <f>Inventory_List_Table34112[[#This Row],[Per piece MXN$]]/$U$2</f>
        <v>35.833333333333336</v>
      </c>
      <c r="Q39" s="3">
        <f t="shared" si="4"/>
        <v>36</v>
      </c>
      <c r="R39" s="3">
        <f>Inventory_List_Table34112[[#This Row],[AQ ROUND]]*1.4</f>
        <v>50.4</v>
      </c>
      <c r="S39" s="3">
        <f t="shared" si="5"/>
        <v>50</v>
      </c>
      <c r="T39" s="3">
        <f>Inventory_List_Table34112[[#This Row],[LND ROUND]]*8</f>
        <v>400</v>
      </c>
      <c r="U39" s="3">
        <f>Inventory_List_Table34112[[#This Row],[AQ]]*Inventory_List_Table34112[[#This Row],[Q]]</f>
        <v>107.5</v>
      </c>
      <c r="V39" s="74" t="s">
        <v>716</v>
      </c>
      <c r="W39" s="74" t="s">
        <v>738</v>
      </c>
      <c r="X39" s="176">
        <f>Inventory_List_Table34112[[#This Row],[H CM]]*Inventory_List_Table34112[[#This Row],[W CM]]*4+Inventory_List_Table34112[[#This Row],[D CM ]]*Inventory_List_Table34112[[#This Row],[D CM ]]</f>
        <v>3225</v>
      </c>
      <c r="Y39" s="177">
        <f>Inventory_List_Table34112[[#This Row],[Per piece MXN$]]/X39*10000</f>
        <v>2000</v>
      </c>
      <c r="Z39" s="176">
        <f>Inventory_List_Table34112[[#This Row],[SQCM]]/10000*29</f>
        <v>9.3525000000000009</v>
      </c>
    </row>
    <row r="40" spans="1:26" ht="30" customHeight="1" x14ac:dyDescent="0.25">
      <c r="A40" s="172" t="s">
        <v>194</v>
      </c>
      <c r="B40" s="69">
        <v>46006</v>
      </c>
      <c r="C40" s="70" t="s">
        <v>353</v>
      </c>
      <c r="D40" s="141" t="s">
        <v>864</v>
      </c>
      <c r="E40" s="173">
        <v>4</v>
      </c>
      <c r="F40" s="174">
        <v>6</v>
      </c>
      <c r="G40" s="174">
        <v>40</v>
      </c>
      <c r="H40" s="174">
        <v>15</v>
      </c>
      <c r="I40" s="174">
        <v>15</v>
      </c>
      <c r="J40" s="175">
        <v>525</v>
      </c>
      <c r="K40" s="1">
        <f>Inventory_List_Table34112[[#This Row],[Q]]*Inventory_List_Table34112[[#This Row],[Per piece MXN$]]</f>
        <v>2100</v>
      </c>
      <c r="L40" s="1">
        <f>Inventory_List_Table34112[[#This Row],[KG]]*2.20462</f>
        <v>13.227719999999998</v>
      </c>
      <c r="M40" s="2">
        <f>Inventory_List_Table34112[[#This Row],[H CM]]/2.54</f>
        <v>15.748031496062993</v>
      </c>
      <c r="N40" s="2">
        <f>Inventory_List_Table34112[[#This Row],[W CM]]/2.54</f>
        <v>5.9055118110236222</v>
      </c>
      <c r="O40" s="2">
        <f>Inventory_List_Table34112[[#This Row],[D CM ]]/2.54</f>
        <v>5.9055118110236222</v>
      </c>
      <c r="P40" s="3">
        <f>Inventory_List_Table34112[[#This Row],[Per piece MXN$]]/$U$2</f>
        <v>29.166666666666668</v>
      </c>
      <c r="Q40" s="3">
        <f t="shared" si="4"/>
        <v>29</v>
      </c>
      <c r="R40" s="3">
        <f>Inventory_List_Table34112[[#This Row],[AQ ROUND]]*1.4</f>
        <v>40.599999999999994</v>
      </c>
      <c r="S40" s="3">
        <f t="shared" si="5"/>
        <v>41</v>
      </c>
      <c r="T40" s="3">
        <f>Inventory_List_Table34112[[#This Row],[LND ROUND]]*8</f>
        <v>328</v>
      </c>
      <c r="U40" s="3">
        <f>Inventory_List_Table34112[[#This Row],[AQ]]*Inventory_List_Table34112[[#This Row],[Q]]</f>
        <v>116.66666666666667</v>
      </c>
      <c r="V40" s="74" t="s">
        <v>827</v>
      </c>
      <c r="W40" s="74" t="s">
        <v>742</v>
      </c>
      <c r="X40" s="176">
        <f>Inventory_List_Table34112[[#This Row],[H CM]]*Inventory_List_Table34112[[#This Row],[W CM]]*4+Inventory_List_Table34112[[#This Row],[D CM ]]*Inventory_List_Table34112[[#This Row],[D CM ]]</f>
        <v>2625</v>
      </c>
      <c r="Y40" s="177">
        <f>Inventory_List_Table34112[[#This Row],[Per piece MXN$]]/X40*10000</f>
        <v>2000</v>
      </c>
      <c r="Z40" s="176">
        <f>Inventory_List_Table34112[[#This Row],[SQCM]]/10000*29</f>
        <v>7.6125000000000007</v>
      </c>
    </row>
    <row r="41" spans="1:26" ht="30" customHeight="1" x14ac:dyDescent="0.25">
      <c r="A41" s="172" t="s">
        <v>195</v>
      </c>
      <c r="B41" s="69">
        <v>46006</v>
      </c>
      <c r="C41" s="70" t="s">
        <v>353</v>
      </c>
      <c r="D41" s="141" t="s">
        <v>865</v>
      </c>
      <c r="E41" s="173">
        <v>3</v>
      </c>
      <c r="F41" s="174">
        <v>6</v>
      </c>
      <c r="G41" s="174">
        <v>30</v>
      </c>
      <c r="H41" s="174">
        <v>15</v>
      </c>
      <c r="I41" s="174">
        <v>15</v>
      </c>
      <c r="J41" s="175">
        <v>405</v>
      </c>
      <c r="K41" s="1">
        <f>Inventory_List_Table34112[[#This Row],[Q]]*Inventory_List_Table34112[[#This Row],[Per piece MXN$]]</f>
        <v>1215</v>
      </c>
      <c r="L41" s="1">
        <f>Inventory_List_Table34112[[#This Row],[KG]]*2.20462</f>
        <v>13.227719999999998</v>
      </c>
      <c r="M41" s="2">
        <f>Inventory_List_Table34112[[#This Row],[H CM]]/2.54</f>
        <v>11.811023622047244</v>
      </c>
      <c r="N41" s="2">
        <f>Inventory_List_Table34112[[#This Row],[W CM]]/2.54</f>
        <v>5.9055118110236222</v>
      </c>
      <c r="O41" s="2">
        <f>Inventory_List_Table34112[[#This Row],[D CM ]]/2.54</f>
        <v>5.9055118110236222</v>
      </c>
      <c r="P41" s="3">
        <f>Inventory_List_Table34112[[#This Row],[Per piece MXN$]]/$U$2</f>
        <v>22.5</v>
      </c>
      <c r="Q41" s="3">
        <f t="shared" si="4"/>
        <v>23</v>
      </c>
      <c r="R41" s="3">
        <f>Inventory_List_Table34112[[#This Row],[AQ ROUND]]*1.4</f>
        <v>32.199999999999996</v>
      </c>
      <c r="S41" s="3">
        <f t="shared" si="5"/>
        <v>32</v>
      </c>
      <c r="T41" s="3">
        <f>Inventory_List_Table34112[[#This Row],[LND ROUND]]*8</f>
        <v>256</v>
      </c>
      <c r="U41" s="3">
        <f>Inventory_List_Table34112[[#This Row],[AQ]]*Inventory_List_Table34112[[#This Row],[Q]]</f>
        <v>67.5</v>
      </c>
      <c r="V41" s="74" t="s">
        <v>689</v>
      </c>
      <c r="W41" s="74" t="s">
        <v>688</v>
      </c>
      <c r="X41" s="176">
        <f>Inventory_List_Table34112[[#This Row],[H CM]]*Inventory_List_Table34112[[#This Row],[W CM]]*4+Inventory_List_Table34112[[#This Row],[D CM ]]*Inventory_List_Table34112[[#This Row],[D CM ]]</f>
        <v>2025</v>
      </c>
      <c r="Y41" s="177">
        <f>Inventory_List_Table34112[[#This Row],[Per piece MXN$]]/X41*10000</f>
        <v>2000</v>
      </c>
      <c r="Z41" s="176">
        <f>Inventory_List_Table34112[[#This Row],[SQCM]]/10000*29</f>
        <v>5.8725000000000005</v>
      </c>
    </row>
    <row r="42" spans="1:26" ht="30" customHeight="1" x14ac:dyDescent="0.25">
      <c r="A42" s="172" t="s">
        <v>199</v>
      </c>
      <c r="B42" s="69">
        <v>46006</v>
      </c>
      <c r="C42" s="70" t="s">
        <v>443</v>
      </c>
      <c r="D42" s="141" t="s">
        <v>1392</v>
      </c>
      <c r="E42" s="173">
        <v>1</v>
      </c>
      <c r="F42" s="174"/>
      <c r="G42" s="174"/>
      <c r="H42" s="174"/>
      <c r="I42" s="174"/>
      <c r="J42" s="175">
        <v>2601.5</v>
      </c>
      <c r="K42" s="1">
        <f>Inventory_List_Table34112[[#This Row],[Q]]*Inventory_List_Table34112[[#This Row],[Per piece MXN$]]</f>
        <v>2601.5</v>
      </c>
      <c r="L42" s="1">
        <f>Inventory_List_Table34112[[#This Row],[KG]]*2.20462</f>
        <v>0</v>
      </c>
      <c r="M42" s="2">
        <f>Inventory_List_Table34112[[#This Row],[H CM]]/2.54</f>
        <v>0</v>
      </c>
      <c r="N42" s="2">
        <f>Inventory_List_Table34112[[#This Row],[W CM]]/2.54</f>
        <v>0</v>
      </c>
      <c r="O42" s="2">
        <f>Inventory_List_Table34112[[#This Row],[D CM ]]/2.54</f>
        <v>0</v>
      </c>
      <c r="P42" s="3">
        <f>Inventory_List_Table34112[[#This Row],[Per piece MXN$]]/$U$2</f>
        <v>144.52777777777777</v>
      </c>
      <c r="Q42" s="3">
        <f>IF(MOD(P42,1)&gt;0.4,ROUNDUP(P42,0),ROUNDDOWN(P42,0))</f>
        <v>145</v>
      </c>
      <c r="R42" s="3">
        <f>Inventory_List_Table34112[[#This Row],[AQ ROUND]]*1.4</f>
        <v>203</v>
      </c>
      <c r="S42" s="3">
        <f>IF(MOD(R42,1)&gt;0.4,ROUNDUP(R42,0),ROUNDDOWN(R42,0))</f>
        <v>203</v>
      </c>
      <c r="T42" s="3">
        <f>Inventory_List_Table34112[[#This Row],[LND ROUND]]*8</f>
        <v>1624</v>
      </c>
      <c r="U42" s="3">
        <f>Inventory_List_Table34112[[#This Row],[AQ]]*Inventory_List_Table34112[[#This Row],[Q]]</f>
        <v>144.52777777777777</v>
      </c>
      <c r="V42" s="74" t="s">
        <v>1447</v>
      </c>
      <c r="W42" s="74" t="s">
        <v>1448</v>
      </c>
      <c r="X42" s="176">
        <f>Inventory_List_Table34112[[#This Row],[H CM]]*Inventory_List_Table34112[[#This Row],[W CM]]*4+Inventory_List_Table34112[[#This Row],[D CM ]]*Inventory_List_Table34112[[#This Row],[D CM ]]</f>
        <v>0</v>
      </c>
      <c r="Y42" s="177" t="e">
        <f>Inventory_List_Table34112[[#This Row],[Per piece MXN$]]/X42*10000</f>
        <v>#DIV/0!</v>
      </c>
      <c r="Z42" s="176">
        <f>Inventory_List_Table34112[[#This Row],[SQCM]]/10000*29</f>
        <v>0</v>
      </c>
    </row>
  </sheetData>
  <mergeCells count="1">
    <mergeCell ref="Q1:Q2"/>
  </mergeCells>
  <phoneticPr fontId="3" type="noConversion"/>
  <dataValidations disablePrompts="1" count="12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C7984F70-579E-4753-9872-FE7DE8087164}"/>
    <dataValidation allowBlank="1" showInputMessage="1" showErrorMessage="1" prompt="Enter the item inventory ID in this column" sqref="C3" xr:uid="{2F1381D0-37E9-4824-BB72-9115F13918AA}"/>
    <dataValidation allowBlank="1" showInputMessage="1" showErrorMessage="1" prompt="Enter the name of the item in this column" sqref="D3" xr:uid="{F79398AF-947A-43A4-892D-394770EEF253}"/>
    <dataValidation allowBlank="1" showInputMessage="1" showErrorMessage="1" prompt="Enter yes if the item has been discontinued. When a yes is entered, the corresponding row is highlighted a light grey and the font style changed to strikethrough" sqref="N3" xr:uid="{9BFD4222-68A0-4C27-937E-12541D49E559}"/>
    <dataValidation allowBlank="1" showInputMessage="1" showErrorMessage="1" prompt="Enter the quantity in reorder for each item in this column" sqref="M3" xr:uid="{F31A9DA5-EFF8-4933-9DA4-047F2B5E7C8F}"/>
    <dataValidation allowBlank="1" showInputMessage="1" showErrorMessage="1" prompt="Enter the number of days it takes to reorder each item in this column" sqref="J3:L3" xr:uid="{DCE8CFAF-189F-4A62-9A2B-A4A1F90A842E}"/>
    <dataValidation allowBlank="1" showInputMessage="1" showErrorMessage="1" prompt="Enter the reorder level for each item in this column" sqref="I3" xr:uid="{27FF888B-F82C-4263-A706-7DAD1007B7EC}"/>
    <dataValidation allowBlank="1" showInputMessage="1" showErrorMessage="1" prompt="This is an automated column._x000a__x000a_The inventory value for each item is automatically calculated in this column." sqref="H3" xr:uid="{00508EC1-A81D-45B3-B4F3-61C53D38C0F4}"/>
    <dataValidation allowBlank="1" showInputMessage="1" showErrorMessage="1" prompt="Enter the quantity in stock for each item in this column" sqref="G3" xr:uid="{27E7A1F5-125F-4251-A92D-B29E63CBC51F}"/>
    <dataValidation allowBlank="1" showInputMessage="1" showErrorMessage="1" prompt="Enter the unit price of each item in this column" sqref="F3" xr:uid="{32C2392C-ED7C-4A22-B006-B649C01821BD}"/>
    <dataValidation allowBlank="1" showInputMessage="1" showErrorMessage="1" prompt="Enter a description of the item in this column" sqref="E3" xr:uid="{C35CE3CE-99B0-42FC-8237-3637DF02896D}"/>
    <dataValidation allowBlank="1" showInputMessage="1" showErrorMessage="1" prompt="Enter company name in this cell" sqref="A2" xr:uid="{9B3DDB16-278C-4DE7-B122-539F213439C5}"/>
  </dataValidations>
  <printOptions horizontalCentered="1"/>
  <pageMargins left="0.25" right="0.25" top="0.75" bottom="0.75" header="0.3" footer="0.3"/>
  <pageSetup scale="26" fitToHeight="0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27DC-AAC6-4588-9350-880AAD76630B}">
  <sheetPr codeName="Sheet15">
    <tabColor theme="9" tint="0.749992370372631"/>
    <pageSetUpPr fitToPage="1"/>
  </sheetPr>
  <dimension ref="A1:W22"/>
  <sheetViews>
    <sheetView showGridLines="0" zoomScale="70" zoomScaleNormal="70" workbookViewId="0">
      <selection activeCell="V4" sqref="V4:W22"/>
    </sheetView>
  </sheetViews>
  <sheetFormatPr defaultColWidth="8.625" defaultRowHeight="24" customHeight="1" x14ac:dyDescent="0.25"/>
  <cols>
    <col min="1" max="1" width="4.125" style="76" customWidth="1"/>
    <col min="2" max="2" width="15.5" style="77" customWidth="1"/>
    <col min="3" max="3" width="29.375" style="78" customWidth="1"/>
    <col min="4" max="4" width="22" style="78" bestFit="1" customWidth="1"/>
    <col min="5" max="5" width="6.375" style="78" customWidth="1"/>
    <col min="6" max="6" width="10.625" style="79" customWidth="1"/>
    <col min="7" max="7" width="9" style="79" customWidth="1"/>
    <col min="8" max="8" width="8.75" style="79" bestFit="1" customWidth="1"/>
    <col min="9" max="9" width="8.25" style="79" bestFit="1" customWidth="1"/>
    <col min="10" max="10" width="19.625" style="79" bestFit="1" customWidth="1"/>
    <col min="11" max="11" width="22.625" style="79" customWidth="1"/>
    <col min="12" max="12" width="13.5" style="226" bestFit="1" customWidth="1"/>
    <col min="13" max="13" width="11.25" style="79" bestFit="1" customWidth="1"/>
    <col min="14" max="14" width="11.375" style="78" bestFit="1" customWidth="1"/>
    <col min="15" max="15" width="11.125" style="45" bestFit="1" customWidth="1"/>
    <col min="16" max="17" width="13.5" style="45" bestFit="1" customWidth="1"/>
    <col min="18" max="18" width="15" style="45" bestFit="1" customWidth="1"/>
    <col min="19" max="19" width="15.75" style="45" bestFit="1" customWidth="1"/>
    <col min="20" max="20" width="18.25" style="45" bestFit="1" customWidth="1" collapsed="1"/>
    <col min="21" max="21" width="15" style="45" customWidth="1"/>
    <col min="22" max="22" width="7.5" style="45" bestFit="1" customWidth="1"/>
    <col min="23" max="23" width="10.125" style="45" customWidth="1"/>
    <col min="24" max="16384" width="8.625" style="45"/>
  </cols>
  <sheetData>
    <row r="1" spans="1:23" ht="36.75" x14ac:dyDescent="0.6">
      <c r="A1" s="382" t="s">
        <v>121</v>
      </c>
      <c r="B1" s="182"/>
      <c r="C1" s="182"/>
      <c r="D1" s="183"/>
      <c r="E1" s="183"/>
      <c r="F1" s="182"/>
      <c r="G1" s="184"/>
      <c r="H1" s="184"/>
      <c r="I1" s="185"/>
      <c r="J1" s="186" t="s">
        <v>132</v>
      </c>
      <c r="K1" s="188"/>
      <c r="L1" s="188"/>
      <c r="M1" s="189"/>
      <c r="N1" s="383">
        <f>SUM(F4:F21)</f>
        <v>11001</v>
      </c>
      <c r="O1" s="184">
        <f>N1*3.5</f>
        <v>38503.5</v>
      </c>
      <c r="P1" s="184"/>
      <c r="Q1" s="1073"/>
      <c r="R1" s="190"/>
      <c r="S1" s="191"/>
      <c r="T1" s="192" t="s">
        <v>133</v>
      </c>
      <c r="U1" s="193">
        <v>825</v>
      </c>
      <c r="V1" s="184"/>
      <c r="W1" s="184"/>
    </row>
    <row r="2" spans="1:23" ht="31.5" x14ac:dyDescent="0.45">
      <c r="A2" s="384" t="s">
        <v>267</v>
      </c>
      <c r="B2" s="196"/>
      <c r="C2" s="196"/>
      <c r="D2" s="197"/>
      <c r="E2" s="385"/>
      <c r="F2" s="386">
        <f>SUM(F3:F22)</f>
        <v>11296</v>
      </c>
      <c r="G2" s="387"/>
      <c r="H2" s="184"/>
      <c r="I2" s="200"/>
      <c r="J2" s="200"/>
      <c r="K2" s="857">
        <f>SUM(Inventory_List_Table341112[[#All],[TOTAL PESOS]])</f>
        <v>135715.5</v>
      </c>
      <c r="L2" s="202"/>
      <c r="M2" s="182"/>
      <c r="N2" s="182"/>
      <c r="O2" s="184">
        <f>N1*3</f>
        <v>33003</v>
      </c>
      <c r="P2" s="184"/>
      <c r="Q2" s="1074"/>
      <c r="R2" s="190"/>
      <c r="S2" s="191"/>
      <c r="T2" s="192" t="s">
        <v>134</v>
      </c>
      <c r="U2" s="203">
        <v>18</v>
      </c>
      <c r="V2" s="183"/>
      <c r="W2" s="191"/>
    </row>
    <row r="3" spans="1:23" s="67" customFormat="1" ht="40.9" customHeight="1" x14ac:dyDescent="0.25">
      <c r="A3" s="388" t="s">
        <v>135</v>
      </c>
      <c r="B3" s="205" t="s">
        <v>122</v>
      </c>
      <c r="C3" s="205" t="s">
        <v>136</v>
      </c>
      <c r="D3" s="206" t="s">
        <v>137</v>
      </c>
      <c r="E3" s="946" t="s">
        <v>123</v>
      </c>
      <c r="F3" s="947" t="s">
        <v>124</v>
      </c>
      <c r="G3" s="947" t="s">
        <v>130</v>
      </c>
      <c r="H3" s="947" t="s">
        <v>125</v>
      </c>
      <c r="I3" s="947" t="s">
        <v>126</v>
      </c>
      <c r="J3" s="947" t="s">
        <v>138</v>
      </c>
      <c r="K3" s="205" t="s">
        <v>139</v>
      </c>
      <c r="L3" s="209" t="s">
        <v>127</v>
      </c>
      <c r="M3" s="205" t="s">
        <v>140</v>
      </c>
      <c r="N3" s="205" t="s">
        <v>141</v>
      </c>
      <c r="O3" s="205" t="s">
        <v>142</v>
      </c>
      <c r="P3" s="210" t="s">
        <v>143</v>
      </c>
      <c r="Q3" s="205" t="s">
        <v>144</v>
      </c>
      <c r="R3" s="210" t="s">
        <v>145</v>
      </c>
      <c r="S3" s="210" t="s">
        <v>146</v>
      </c>
      <c r="T3" s="210" t="s">
        <v>2</v>
      </c>
      <c r="U3" s="211" t="s">
        <v>128</v>
      </c>
      <c r="V3" s="211" t="s">
        <v>131</v>
      </c>
      <c r="W3" s="212" t="s">
        <v>1</v>
      </c>
    </row>
    <row r="4" spans="1:23" ht="30" customHeight="1" x14ac:dyDescent="0.25">
      <c r="A4" s="68" t="s">
        <v>147</v>
      </c>
      <c r="B4" s="69">
        <v>45873</v>
      </c>
      <c r="C4" s="70" t="s">
        <v>326</v>
      </c>
      <c r="D4" s="219" t="s">
        <v>1246</v>
      </c>
      <c r="E4" s="219">
        <v>1</v>
      </c>
      <c r="F4" s="220">
        <v>327</v>
      </c>
      <c r="G4" s="220">
        <f>Inventory_List_Table341112[[#This Row],[H Inches]]*2.54</f>
        <v>60.96</v>
      </c>
      <c r="H4" s="220">
        <f>Inventory_List_Table341112[[#This Row],[W Inches]]*2.54</f>
        <v>48.26</v>
      </c>
      <c r="I4" s="220">
        <f>Inventory_List_Table341112[[#This Row],[D Incbes]]*2.54</f>
        <v>54.61</v>
      </c>
      <c r="J4" s="389">
        <f>Inventory_List_Table341112[[#This Row],[KG]]*12.5</f>
        <v>4087.5</v>
      </c>
      <c r="K4" s="1">
        <f>Inventory_List_Table341112[[#This Row],[Q]]*Inventory_List_Table341112[[#This Row],[Per piece MXN$]]</f>
        <v>4087.5</v>
      </c>
      <c r="L4" s="14">
        <f>Inventory_List_Table341112[[#This Row],[KG]]*2.20462</f>
        <v>720.91073999999992</v>
      </c>
      <c r="M4" s="2">
        <v>24</v>
      </c>
      <c r="N4" s="2">
        <v>19</v>
      </c>
      <c r="O4" s="2">
        <v>21.5</v>
      </c>
      <c r="P4" s="3">
        <f>Inventory_List_Table341112[[#This Row],[Per piece MXN$]]/$U$2</f>
        <v>227.08333333333334</v>
      </c>
      <c r="Q4" s="3">
        <f t="shared" ref="Q4:Q22" si="0">IF(MOD(P4,1)&gt;0.4,ROUNDUP(P4,0),ROUNDDOWN(P4,0))</f>
        <v>227</v>
      </c>
      <c r="R4" s="3">
        <f>Inventory_List_Table341112[[#This Row],[AQ ROUND]]*1.4</f>
        <v>317.79999999999995</v>
      </c>
      <c r="S4" s="3">
        <f t="shared" ref="S4:S22" si="1">IF(MOD(R4,1)&gt;0.4,ROUNDUP(R4,0),ROUNDDOWN(R4,0))</f>
        <v>318</v>
      </c>
      <c r="T4" s="3">
        <f>Inventory_List_Table341112[[#This Row],[LND ROUND]]*8</f>
        <v>2544</v>
      </c>
      <c r="U4" s="3">
        <f>Inventory_List_Table341112[[#This Row],[AQ]]*Inventory_List_Table341112[[#This Row],[Q]]</f>
        <v>227.08333333333334</v>
      </c>
      <c r="V4" s="74" t="s">
        <v>1247</v>
      </c>
      <c r="W4" s="74" t="s">
        <v>1248</v>
      </c>
    </row>
    <row r="5" spans="1:23" ht="30" customHeight="1" x14ac:dyDescent="0.25">
      <c r="A5" s="68" t="s">
        <v>148</v>
      </c>
      <c r="B5" s="69"/>
      <c r="C5" s="70" t="s">
        <v>326</v>
      </c>
      <c r="D5" s="219" t="s">
        <v>1249</v>
      </c>
      <c r="E5" s="219">
        <v>1</v>
      </c>
      <c r="F5" s="220">
        <v>770</v>
      </c>
      <c r="G5" s="220">
        <f>Inventory_List_Table341112[[#This Row],[H Inches]]*2.54</f>
        <v>127</v>
      </c>
      <c r="H5" s="220">
        <f>Inventory_List_Table341112[[#This Row],[W Inches]]*2.54</f>
        <v>48.26</v>
      </c>
      <c r="I5" s="220">
        <f>Inventory_List_Table341112[[#This Row],[D Incbes]]*2.54</f>
        <v>44.45</v>
      </c>
      <c r="J5" s="389">
        <f>Inventory_List_Table341112[[#This Row],[KG]]*12</f>
        <v>9240</v>
      </c>
      <c r="K5" s="1">
        <f>Inventory_List_Table341112[[#This Row],[Q]]*Inventory_List_Table341112[[#This Row],[Per piece MXN$]]</f>
        <v>9240</v>
      </c>
      <c r="L5" s="14">
        <f>Inventory_List_Table341112[[#This Row],[KG]]*2.20462</f>
        <v>1697.5573999999999</v>
      </c>
      <c r="M5" s="2">
        <v>50</v>
      </c>
      <c r="N5" s="2">
        <v>19</v>
      </c>
      <c r="O5" s="2">
        <v>17.5</v>
      </c>
      <c r="P5" s="3">
        <f>Inventory_List_Table341112[[#This Row],[Per piece MXN$]]/$U$2</f>
        <v>513.33333333333337</v>
      </c>
      <c r="Q5" s="3">
        <f t="shared" si="0"/>
        <v>513</v>
      </c>
      <c r="R5" s="3">
        <f>Inventory_List_Table341112[[#This Row],[AQ ROUND]]*1.4</f>
        <v>718.19999999999993</v>
      </c>
      <c r="S5" s="3">
        <f t="shared" si="1"/>
        <v>718</v>
      </c>
      <c r="T5" s="3">
        <f>Inventory_List_Table341112[[#This Row],[LND ROUND]]*8</f>
        <v>5744</v>
      </c>
      <c r="U5" s="3">
        <f>Inventory_List_Table341112[[#This Row],[AQ]]*Inventory_List_Table341112[[#This Row],[Q]]</f>
        <v>513.33333333333337</v>
      </c>
      <c r="V5" s="74" t="s">
        <v>1250</v>
      </c>
      <c r="W5" s="74" t="s">
        <v>1251</v>
      </c>
    </row>
    <row r="6" spans="1:23" ht="30" customHeight="1" x14ac:dyDescent="0.25">
      <c r="A6" s="945" t="s">
        <v>149</v>
      </c>
      <c r="B6" s="69"/>
      <c r="C6" s="70" t="s">
        <v>326</v>
      </c>
      <c r="D6" s="262" t="s">
        <v>1303</v>
      </c>
      <c r="E6" s="219">
        <v>1</v>
      </c>
      <c r="F6" s="220">
        <v>739</v>
      </c>
      <c r="G6" s="220">
        <f>Inventory_List_Table341112[[#This Row],[H Inches]]*2.54</f>
        <v>134.62</v>
      </c>
      <c r="H6" s="220">
        <f>Inventory_List_Table341112[[#This Row],[W Inches]]*2.54</f>
        <v>43.18</v>
      </c>
      <c r="I6" s="220">
        <f>Inventory_List_Table341112[[#This Row],[D Incbes]]*2.54</f>
        <v>46.99</v>
      </c>
      <c r="J6" s="389">
        <f>Inventory_List_Table341112[[#This Row],[KG]]*12</f>
        <v>8868</v>
      </c>
      <c r="K6" s="1">
        <f>Inventory_List_Table341112[[#This Row],[Q]]*Inventory_List_Table341112[[#This Row],[Per piece MXN$]]</f>
        <v>8868</v>
      </c>
      <c r="L6" s="14">
        <f>Inventory_List_Table341112[[#This Row],[KG]]*2.20462</f>
        <v>1629.2141799999999</v>
      </c>
      <c r="M6" s="15">
        <v>53</v>
      </c>
      <c r="N6" s="15">
        <v>17</v>
      </c>
      <c r="O6" s="15">
        <v>18.5</v>
      </c>
      <c r="P6" s="16">
        <f>Inventory_List_Table341112[[#This Row],[Per piece MXN$]]/$U$2</f>
        <v>492.66666666666669</v>
      </c>
      <c r="Q6" s="16">
        <f t="shared" si="0"/>
        <v>493</v>
      </c>
      <c r="R6" s="16">
        <f>Inventory_List_Table341112[[#This Row],[AQ ROUND]]*1.4</f>
        <v>690.19999999999993</v>
      </c>
      <c r="S6" s="16">
        <f t="shared" si="1"/>
        <v>690</v>
      </c>
      <c r="T6" s="16">
        <f>Inventory_List_Table341112[[#This Row],[LND ROUND]]*8</f>
        <v>5520</v>
      </c>
      <c r="U6" s="16">
        <f>Inventory_List_Table341112[[#This Row],[AQ]]*Inventory_List_Table341112[[#This Row],[Q]]</f>
        <v>492.66666666666669</v>
      </c>
      <c r="V6" s="74" t="s">
        <v>1304</v>
      </c>
      <c r="W6" s="74" t="s">
        <v>145</v>
      </c>
    </row>
    <row r="7" spans="1:23" ht="30" customHeight="1" x14ac:dyDescent="0.25">
      <c r="A7" s="945" t="s">
        <v>150</v>
      </c>
      <c r="B7" s="69"/>
      <c r="C7" s="70" t="s">
        <v>326</v>
      </c>
      <c r="D7" s="262" t="s">
        <v>1305</v>
      </c>
      <c r="E7" s="219">
        <v>1</v>
      </c>
      <c r="F7" s="220">
        <v>874</v>
      </c>
      <c r="G7" s="220">
        <f>Inventory_List_Table341112[[#This Row],[H Inches]]*2.54</f>
        <v>121.92</v>
      </c>
      <c r="H7" s="220">
        <f>Inventory_List_Table341112[[#This Row],[W Inches]]*2.54</f>
        <v>59.69</v>
      </c>
      <c r="I7" s="220">
        <f>Inventory_List_Table341112[[#This Row],[D Incbes]]*2.54</f>
        <v>35.56</v>
      </c>
      <c r="J7" s="389">
        <f>Inventory_List_Table341112[[#This Row],[KG]]*12</f>
        <v>10488</v>
      </c>
      <c r="K7" s="1">
        <f>Inventory_List_Table341112[[#This Row],[Q]]*Inventory_List_Table341112[[#This Row],[Per piece MXN$]]</f>
        <v>10488</v>
      </c>
      <c r="L7" s="14">
        <f>Inventory_List_Table341112[[#This Row],[KG]]*2.20462</f>
        <v>1926.8378799999998</v>
      </c>
      <c r="M7" s="15">
        <v>48</v>
      </c>
      <c r="N7" s="15">
        <v>23.5</v>
      </c>
      <c r="O7" s="15">
        <v>14</v>
      </c>
      <c r="P7" s="16">
        <f>Inventory_List_Table341112[[#This Row],[Per piece MXN$]]/$U$2</f>
        <v>582.66666666666663</v>
      </c>
      <c r="Q7" s="16">
        <f t="shared" si="0"/>
        <v>583</v>
      </c>
      <c r="R7" s="16">
        <f>Inventory_List_Table341112[[#This Row],[AQ ROUND]]*1.4</f>
        <v>816.19999999999993</v>
      </c>
      <c r="S7" s="16">
        <f t="shared" si="1"/>
        <v>816</v>
      </c>
      <c r="T7" s="16">
        <f>Inventory_List_Table341112[[#This Row],[LND ROUND]]*8</f>
        <v>6528</v>
      </c>
      <c r="U7" s="16">
        <f>Inventory_List_Table341112[[#This Row],[AQ]]*Inventory_List_Table341112[[#This Row],[Q]]</f>
        <v>582.66666666666663</v>
      </c>
      <c r="V7" s="74" t="s">
        <v>1306</v>
      </c>
      <c r="W7" s="74" t="s">
        <v>1307</v>
      </c>
    </row>
    <row r="8" spans="1:23" ht="30" customHeight="1" x14ac:dyDescent="0.25">
      <c r="A8" s="945" t="s">
        <v>151</v>
      </c>
      <c r="B8" s="69"/>
      <c r="C8" s="70" t="s">
        <v>326</v>
      </c>
      <c r="D8" s="262" t="s">
        <v>1308</v>
      </c>
      <c r="E8" s="219">
        <v>1</v>
      </c>
      <c r="F8" s="220">
        <v>1228</v>
      </c>
      <c r="G8" s="220">
        <f>Inventory_List_Table341112[[#This Row],[H Inches]]*2.54</f>
        <v>144.78</v>
      </c>
      <c r="H8" s="220">
        <f>Inventory_List_Table341112[[#This Row],[W Inches]]*2.54</f>
        <v>81.28</v>
      </c>
      <c r="I8" s="220">
        <f>Inventory_List_Table341112[[#This Row],[D Incbes]]*2.54</f>
        <v>27.94</v>
      </c>
      <c r="J8" s="389">
        <f>Inventory_List_Table341112[[#This Row],[KG]]*12</f>
        <v>14736</v>
      </c>
      <c r="K8" s="1">
        <f>Inventory_List_Table341112[[#This Row],[Q]]*Inventory_List_Table341112[[#This Row],[Per piece MXN$]]</f>
        <v>14736</v>
      </c>
      <c r="L8" s="14">
        <f>Inventory_List_Table341112[[#This Row],[KG]]*2.20462</f>
        <v>2707.2733599999997</v>
      </c>
      <c r="M8" s="15">
        <v>57</v>
      </c>
      <c r="N8" s="15">
        <v>32</v>
      </c>
      <c r="O8" s="15">
        <v>11</v>
      </c>
      <c r="P8" s="16">
        <f>Inventory_List_Table341112[[#This Row],[Per piece MXN$]]/$U$2</f>
        <v>818.66666666666663</v>
      </c>
      <c r="Q8" s="16">
        <f t="shared" si="0"/>
        <v>819</v>
      </c>
      <c r="R8" s="16">
        <f>Inventory_List_Table341112[[#This Row],[AQ ROUND]]*1.4</f>
        <v>1146.5999999999999</v>
      </c>
      <c r="S8" s="16">
        <f t="shared" si="1"/>
        <v>1147</v>
      </c>
      <c r="T8" s="16">
        <f>Inventory_List_Table341112[[#This Row],[LND ROUND]]*8</f>
        <v>9176</v>
      </c>
      <c r="U8" s="16">
        <f>Inventory_List_Table341112[[#This Row],[AQ]]*Inventory_List_Table341112[[#This Row],[Q]]</f>
        <v>818.66666666666663</v>
      </c>
      <c r="V8" s="74" t="s">
        <v>1309</v>
      </c>
      <c r="W8" s="74" t="s">
        <v>1310</v>
      </c>
    </row>
    <row r="9" spans="1:23" ht="30" customHeight="1" x14ac:dyDescent="0.25">
      <c r="A9" s="68" t="s">
        <v>152</v>
      </c>
      <c r="B9" s="70" t="s">
        <v>313</v>
      </c>
      <c r="C9" s="70" t="s">
        <v>326</v>
      </c>
      <c r="D9" s="219" t="s">
        <v>1252</v>
      </c>
      <c r="E9" s="219">
        <v>1</v>
      </c>
      <c r="F9" s="220">
        <v>959</v>
      </c>
      <c r="G9" s="220">
        <f>Inventory_List_Table341112[[#This Row],[H Inches]]*2.54</f>
        <v>124.46000000000001</v>
      </c>
      <c r="H9" s="220">
        <f>Inventory_List_Table341112[[#This Row],[W Inches]]*2.54</f>
        <v>63.5</v>
      </c>
      <c r="I9" s="220">
        <f>Inventory_List_Table341112[[#This Row],[D Incbes]]*2.54</f>
        <v>33.020000000000003</v>
      </c>
      <c r="J9" s="389">
        <f>Inventory_List_Table341112[[#This Row],[KG]]*12</f>
        <v>11508</v>
      </c>
      <c r="K9" s="1">
        <f>Inventory_List_Table341112[[#This Row],[Q]]*Inventory_List_Table341112[[#This Row],[Per piece MXN$]]</f>
        <v>11508</v>
      </c>
      <c r="L9" s="14">
        <f>Inventory_List_Table341112[[#This Row],[KG]]*2.20462</f>
        <v>2114.2305799999999</v>
      </c>
      <c r="M9" s="2">
        <v>49</v>
      </c>
      <c r="N9" s="2">
        <v>25</v>
      </c>
      <c r="O9" s="2">
        <v>13</v>
      </c>
      <c r="P9" s="3">
        <f>Inventory_List_Table341112[[#This Row],[Per piece MXN$]]/$U$2</f>
        <v>639.33333333333337</v>
      </c>
      <c r="Q9" s="3">
        <f t="shared" si="0"/>
        <v>639</v>
      </c>
      <c r="R9" s="3">
        <f>Inventory_List_Table341112[[#This Row],[AQ ROUND]]*1.4</f>
        <v>894.59999999999991</v>
      </c>
      <c r="S9" s="3">
        <f t="shared" si="1"/>
        <v>895</v>
      </c>
      <c r="T9" s="3">
        <f>Inventory_List_Table341112[[#This Row],[LND ROUND]]*8</f>
        <v>7160</v>
      </c>
      <c r="U9" s="3">
        <f>Inventory_List_Table341112[[#This Row],[AQ]]*Inventory_List_Table341112[[#This Row],[Q]]</f>
        <v>639.33333333333337</v>
      </c>
      <c r="V9" s="74" t="s">
        <v>1253</v>
      </c>
      <c r="W9" s="74" t="s">
        <v>1254</v>
      </c>
    </row>
    <row r="10" spans="1:23" ht="30" customHeight="1" x14ac:dyDescent="0.25">
      <c r="A10" s="68" t="s">
        <v>153</v>
      </c>
      <c r="B10" s="69"/>
      <c r="C10" s="70" t="s">
        <v>326</v>
      </c>
      <c r="D10" s="219" t="s">
        <v>1255</v>
      </c>
      <c r="E10" s="219">
        <v>1</v>
      </c>
      <c r="F10" s="220">
        <v>485</v>
      </c>
      <c r="G10" s="220">
        <f>Inventory_List_Table341112[[#This Row],[H Inches]]*2.54</f>
        <v>71.12</v>
      </c>
      <c r="H10" s="220">
        <f>Inventory_List_Table341112[[#This Row],[W Inches]]*2.54</f>
        <v>33.020000000000003</v>
      </c>
      <c r="I10" s="220">
        <f>Inventory_List_Table341112[[#This Row],[D Incbes]]*2.54</f>
        <v>53.34</v>
      </c>
      <c r="J10" s="389">
        <f>Inventory_List_Table341112[[#This Row],[KG]]*12</f>
        <v>5820</v>
      </c>
      <c r="K10" s="1">
        <f>Inventory_List_Table341112[[#This Row],[Q]]*Inventory_List_Table341112[[#This Row],[Per piece MXN$]]</f>
        <v>5820</v>
      </c>
      <c r="L10" s="14">
        <f>Inventory_List_Table341112[[#This Row],[KG]]*2.20462</f>
        <v>1069.2406999999998</v>
      </c>
      <c r="M10" s="2">
        <v>28</v>
      </c>
      <c r="N10" s="2">
        <v>13</v>
      </c>
      <c r="O10" s="2">
        <v>21</v>
      </c>
      <c r="P10" s="3">
        <f>Inventory_List_Table341112[[#This Row],[Per piece MXN$]]/$U$2</f>
        <v>323.33333333333331</v>
      </c>
      <c r="Q10" s="3">
        <f t="shared" si="0"/>
        <v>323</v>
      </c>
      <c r="R10" s="3">
        <f>Inventory_List_Table341112[[#This Row],[AQ ROUND]]*1.4</f>
        <v>452.2</v>
      </c>
      <c r="S10" s="3">
        <f t="shared" si="1"/>
        <v>452</v>
      </c>
      <c r="T10" s="3">
        <f>Inventory_List_Table341112[[#This Row],[LND ROUND]]*8</f>
        <v>3616</v>
      </c>
      <c r="U10" s="3">
        <f>Inventory_List_Table341112[[#This Row],[AQ]]*Inventory_List_Table341112[[#This Row],[Q]]</f>
        <v>323.33333333333331</v>
      </c>
      <c r="V10" s="74" t="s">
        <v>1236</v>
      </c>
      <c r="W10" s="74" t="s">
        <v>1237</v>
      </c>
    </row>
    <row r="11" spans="1:23" ht="30" customHeight="1" x14ac:dyDescent="0.25">
      <c r="A11" s="945" t="s">
        <v>154</v>
      </c>
      <c r="B11" s="69"/>
      <c r="C11" s="70" t="s">
        <v>326</v>
      </c>
      <c r="D11" s="262" t="s">
        <v>1311</v>
      </c>
      <c r="E11" s="219">
        <v>1</v>
      </c>
      <c r="F11" s="220">
        <v>828</v>
      </c>
      <c r="G11" s="220">
        <f>Inventory_List_Table341112[[#This Row],[H Inches]]*2.54</f>
        <v>93.98</v>
      </c>
      <c r="H11" s="220">
        <f>Inventory_List_Table341112[[#This Row],[W Inches]]*2.54</f>
        <v>50.8</v>
      </c>
      <c r="I11" s="220">
        <f>Inventory_List_Table341112[[#This Row],[D Incbes]]*2.54</f>
        <v>40.64</v>
      </c>
      <c r="J11" s="389">
        <f>Inventory_List_Table341112[[#This Row],[KG]]*12</f>
        <v>9936</v>
      </c>
      <c r="K11" s="1">
        <f>Inventory_List_Table341112[[#This Row],[Q]]*Inventory_List_Table341112[[#This Row],[Per piece MXN$]]</f>
        <v>9936</v>
      </c>
      <c r="L11" s="14">
        <f>Inventory_List_Table341112[[#This Row],[KG]]*2.20462</f>
        <v>1825.4253599999997</v>
      </c>
      <c r="M11" s="223">
        <v>37</v>
      </c>
      <c r="N11" s="70">
        <v>20</v>
      </c>
      <c r="O11" s="74">
        <v>16</v>
      </c>
      <c r="P11" s="16">
        <f>Inventory_List_Table341112[[#This Row],[Per piece MXN$]]/$U$2</f>
        <v>552</v>
      </c>
      <c r="Q11" s="16">
        <f t="shared" si="0"/>
        <v>552</v>
      </c>
      <c r="R11" s="16">
        <f>Inventory_List_Table341112[[#This Row],[AQ ROUND]]*1.4</f>
        <v>772.8</v>
      </c>
      <c r="S11" s="16">
        <f t="shared" si="1"/>
        <v>773</v>
      </c>
      <c r="T11" s="16">
        <f>Inventory_List_Table341112[[#This Row],[LND ROUND]]*8</f>
        <v>6184</v>
      </c>
      <c r="U11" s="16">
        <f>Inventory_List_Table341112[[#This Row],[AQ]]*Inventory_List_Table341112[[#This Row],[Q]]</f>
        <v>552</v>
      </c>
      <c r="V11" s="74" t="s">
        <v>1312</v>
      </c>
      <c r="W11" s="74" t="s">
        <v>1313</v>
      </c>
    </row>
    <row r="12" spans="1:23" ht="30" customHeight="1" x14ac:dyDescent="0.25">
      <c r="A12" s="68" t="s">
        <v>155</v>
      </c>
      <c r="B12" s="69"/>
      <c r="C12" s="70" t="s">
        <v>326</v>
      </c>
      <c r="D12" s="219" t="s">
        <v>1256</v>
      </c>
      <c r="E12" s="219">
        <v>1</v>
      </c>
      <c r="F12" s="220">
        <v>979</v>
      </c>
      <c r="G12" s="220">
        <f>Inventory_List_Table341112[[#This Row],[H Inches]]*2.54</f>
        <v>129.54</v>
      </c>
      <c r="H12" s="220">
        <f>Inventory_List_Table341112[[#This Row],[W Inches]]*2.54</f>
        <v>38.1</v>
      </c>
      <c r="I12" s="220">
        <f>Inventory_List_Table341112[[#This Row],[D Incbes]]*2.54</f>
        <v>66.040000000000006</v>
      </c>
      <c r="J12" s="389">
        <f>Inventory_List_Table341112[[#This Row],[KG]]*12</f>
        <v>11748</v>
      </c>
      <c r="K12" s="1">
        <f>Inventory_List_Table341112[[#This Row],[Q]]*Inventory_List_Table341112[[#This Row],[Per piece MXN$]]</f>
        <v>11748</v>
      </c>
      <c r="L12" s="14">
        <f>Inventory_List_Table341112[[#This Row],[KG]]*2.20462</f>
        <v>2158.3229799999999</v>
      </c>
      <c r="M12" s="2">
        <v>51</v>
      </c>
      <c r="N12" s="2">
        <v>15</v>
      </c>
      <c r="O12" s="2">
        <v>26</v>
      </c>
      <c r="P12" s="3">
        <f>Inventory_List_Table341112[[#This Row],[Per piece MXN$]]/$U$2</f>
        <v>652.66666666666663</v>
      </c>
      <c r="Q12" s="3">
        <f t="shared" si="0"/>
        <v>653</v>
      </c>
      <c r="R12" s="3">
        <f>Inventory_List_Table341112[[#This Row],[AQ ROUND]]*1.4</f>
        <v>914.19999999999993</v>
      </c>
      <c r="S12" s="3">
        <f t="shared" si="1"/>
        <v>914</v>
      </c>
      <c r="T12" s="3">
        <f>Inventory_List_Table341112[[#This Row],[LND ROUND]]*8</f>
        <v>7312</v>
      </c>
      <c r="U12" s="3">
        <f>Inventory_List_Table341112[[#This Row],[AQ]]*Inventory_List_Table341112[[#This Row],[Q]]</f>
        <v>652.66666666666663</v>
      </c>
      <c r="V12" s="74" t="s">
        <v>1257</v>
      </c>
      <c r="W12" s="74" t="s">
        <v>1258</v>
      </c>
    </row>
    <row r="13" spans="1:23" ht="30" customHeight="1" x14ac:dyDescent="0.25">
      <c r="A13" s="68" t="s">
        <v>156</v>
      </c>
      <c r="B13" s="69"/>
      <c r="C13" s="70" t="s">
        <v>326</v>
      </c>
      <c r="D13" s="219" t="s">
        <v>1259</v>
      </c>
      <c r="E13" s="219">
        <v>1</v>
      </c>
      <c r="F13" s="220">
        <v>1098</v>
      </c>
      <c r="G13" s="220">
        <f>Inventory_List_Table341112[[#This Row],[H Inches]]*2.54</f>
        <v>195.58</v>
      </c>
      <c r="H13" s="220">
        <f>Inventory_List_Table341112[[#This Row],[W Inches]]*2.54</f>
        <v>40.64</v>
      </c>
      <c r="I13" s="220">
        <f>Inventory_List_Table341112[[#This Row],[D Incbes]]*2.54</f>
        <v>60.96</v>
      </c>
      <c r="J13" s="389">
        <f>Inventory_List_Table341112[[#This Row],[KG]]*12</f>
        <v>13176</v>
      </c>
      <c r="K13" s="1">
        <f>Inventory_List_Table341112[[#This Row],[Q]]*Inventory_List_Table341112[[#This Row],[Per piece MXN$]]</f>
        <v>13176</v>
      </c>
      <c r="L13" s="14">
        <f>Inventory_List_Table341112[[#This Row],[KG]]*2.20462</f>
        <v>2420.6727599999999</v>
      </c>
      <c r="M13" s="2">
        <v>77</v>
      </c>
      <c r="N13" s="2">
        <v>16</v>
      </c>
      <c r="O13" s="2">
        <v>24</v>
      </c>
      <c r="P13" s="3">
        <f>Inventory_List_Table341112[[#This Row],[Per piece MXN$]]/$U$2</f>
        <v>732</v>
      </c>
      <c r="Q13" s="3">
        <f t="shared" si="0"/>
        <v>732</v>
      </c>
      <c r="R13" s="3">
        <f>Inventory_List_Table341112[[#This Row],[AQ ROUND]]*1.4</f>
        <v>1024.8</v>
      </c>
      <c r="S13" s="3">
        <f t="shared" si="1"/>
        <v>1025</v>
      </c>
      <c r="T13" s="3">
        <f>Inventory_List_Table341112[[#This Row],[LND ROUND]]*8</f>
        <v>8200</v>
      </c>
      <c r="U13" s="3">
        <f>Inventory_List_Table341112[[#This Row],[AQ]]*Inventory_List_Table341112[[#This Row],[Q]]</f>
        <v>732</v>
      </c>
      <c r="V13" s="74" t="s">
        <v>1260</v>
      </c>
      <c r="W13" s="74" t="s">
        <v>1261</v>
      </c>
    </row>
    <row r="14" spans="1:23" ht="30" customHeight="1" x14ac:dyDescent="0.25">
      <c r="A14" s="945" t="s">
        <v>157</v>
      </c>
      <c r="B14" s="69"/>
      <c r="C14" s="70" t="s">
        <v>326</v>
      </c>
      <c r="D14" s="262" t="s">
        <v>1314</v>
      </c>
      <c r="E14" s="219">
        <v>1</v>
      </c>
      <c r="F14" s="220">
        <v>891</v>
      </c>
      <c r="G14" s="220">
        <f>Inventory_List_Table341112[[#This Row],[H Inches]]*2.54</f>
        <v>195.58</v>
      </c>
      <c r="H14" s="220">
        <f>Inventory_List_Table341112[[#This Row],[W Inches]]*2.54</f>
        <v>40.64</v>
      </c>
      <c r="I14" s="220">
        <f>Inventory_List_Table341112[[#This Row],[D Incbes]]*2.54</f>
        <v>58.42</v>
      </c>
      <c r="J14" s="389">
        <f>Inventory_List_Table341112[[#This Row],[KG]]*12</f>
        <v>10692</v>
      </c>
      <c r="K14" s="1">
        <f>Inventory_List_Table341112[[#This Row],[Q]]*Inventory_List_Table341112[[#This Row],[Per piece MXN$]]</f>
        <v>10692</v>
      </c>
      <c r="L14" s="14">
        <f>Inventory_List_Table341112[[#This Row],[KG]]*2.20462</f>
        <v>1964.3164199999999</v>
      </c>
      <c r="M14" s="15">
        <v>77</v>
      </c>
      <c r="N14" s="15">
        <v>16</v>
      </c>
      <c r="O14" s="15">
        <v>23</v>
      </c>
      <c r="P14" s="16">
        <f>Inventory_List_Table341112[[#This Row],[Per piece MXN$]]/$U$2</f>
        <v>594</v>
      </c>
      <c r="Q14" s="16">
        <f t="shared" si="0"/>
        <v>594</v>
      </c>
      <c r="R14" s="16">
        <f>Inventory_List_Table341112[[#This Row],[AQ ROUND]]*1.4</f>
        <v>831.59999999999991</v>
      </c>
      <c r="S14" s="16">
        <f t="shared" si="1"/>
        <v>832</v>
      </c>
      <c r="T14" s="16">
        <f>Inventory_List_Table341112[[#This Row],[LND ROUND]]*8</f>
        <v>6656</v>
      </c>
      <c r="U14" s="16">
        <f>Inventory_List_Table341112[[#This Row],[AQ]]*Inventory_List_Table341112[[#This Row],[Q]]</f>
        <v>594</v>
      </c>
      <c r="V14" s="74" t="s">
        <v>1315</v>
      </c>
      <c r="W14" s="74" t="s">
        <v>1316</v>
      </c>
    </row>
    <row r="15" spans="1:23" s="396" customFormat="1" ht="30" customHeight="1" x14ac:dyDescent="0.25">
      <c r="A15" s="391" t="s">
        <v>158</v>
      </c>
      <c r="B15" s="392"/>
      <c r="C15" s="393" t="s">
        <v>326</v>
      </c>
      <c r="D15" s="394" t="s">
        <v>1393</v>
      </c>
      <c r="E15" s="219">
        <v>1</v>
      </c>
      <c r="F15" s="220">
        <v>383</v>
      </c>
      <c r="G15" s="220">
        <f>Inventory_List_Table341112[[#This Row],[H Inches]]*2.54</f>
        <v>76.2</v>
      </c>
      <c r="H15" s="220">
        <f>Inventory_List_Table341112[[#This Row],[W Inches]]*2.54</f>
        <v>63.5</v>
      </c>
      <c r="I15" s="220">
        <f>Inventory_List_Table341112[[#This Row],[D Incbes]]*2.54</f>
        <v>25.4</v>
      </c>
      <c r="J15" s="389">
        <f>Inventory_List_Table341112[[#This Row],[KG]]*12</f>
        <v>4596</v>
      </c>
      <c r="K15" s="1">
        <f>Inventory_List_Table341112[[#This Row],[Q]]*Inventory_List_Table341112[[#This Row],[Per piece MXN$]]</f>
        <v>4596</v>
      </c>
      <c r="L15" s="29">
        <f>Inventory_List_Table341112[[#This Row],[KG]]*2.20462</f>
        <v>844.36945999999989</v>
      </c>
      <c r="M15" s="30">
        <v>30</v>
      </c>
      <c r="N15" s="30">
        <v>25</v>
      </c>
      <c r="O15" s="30">
        <v>10</v>
      </c>
      <c r="P15" s="31">
        <f>Inventory_List_Table341112[[#This Row],[Per piece MXN$]]/$U$2</f>
        <v>255.33333333333334</v>
      </c>
      <c r="Q15" s="31">
        <f t="shared" si="0"/>
        <v>255</v>
      </c>
      <c r="R15" s="31">
        <f>Inventory_List_Table341112[[#This Row],[AQ ROUND]]*1.4</f>
        <v>357</v>
      </c>
      <c r="S15" s="31">
        <f t="shared" si="1"/>
        <v>357</v>
      </c>
      <c r="T15" s="31">
        <f>Inventory_List_Table341112[[#This Row],[LND ROUND]]*8</f>
        <v>2856</v>
      </c>
      <c r="U15" s="31">
        <f>Inventory_List_Table341112[[#This Row],[AQ]]*Inventory_List_Table341112[[#This Row],[Q]]</f>
        <v>255.33333333333334</v>
      </c>
      <c r="V15" s="395" t="s">
        <v>1426</v>
      </c>
      <c r="W15" s="395" t="s">
        <v>1449</v>
      </c>
    </row>
    <row r="16" spans="1:23" s="396" customFormat="1" ht="30" customHeight="1" x14ac:dyDescent="0.25">
      <c r="A16" s="391" t="s">
        <v>159</v>
      </c>
      <c r="B16" s="392"/>
      <c r="C16" s="393" t="s">
        <v>326</v>
      </c>
      <c r="D16" s="394" t="s">
        <v>1394</v>
      </c>
      <c r="E16" s="219">
        <v>1</v>
      </c>
      <c r="F16" s="220">
        <v>371</v>
      </c>
      <c r="G16" s="220">
        <f>Inventory_List_Table341112[[#This Row],[H Inches]]*2.54</f>
        <v>91.44</v>
      </c>
      <c r="H16" s="220">
        <f>Inventory_List_Table341112[[#This Row],[W Inches]]*2.54</f>
        <v>45.72</v>
      </c>
      <c r="I16" s="220">
        <f>Inventory_List_Table341112[[#This Row],[D Incbes]]*2.54</f>
        <v>35.56</v>
      </c>
      <c r="J16" s="389">
        <f>Inventory_List_Table341112[[#This Row],[KG]]*12</f>
        <v>4452</v>
      </c>
      <c r="K16" s="1">
        <f>Inventory_List_Table341112[[#This Row],[Q]]*Inventory_List_Table341112[[#This Row],[Per piece MXN$]]</f>
        <v>4452</v>
      </c>
      <c r="L16" s="29">
        <f>Inventory_List_Table341112[[#This Row],[KG]]*2.20462</f>
        <v>817.91401999999994</v>
      </c>
      <c r="M16" s="30">
        <v>36</v>
      </c>
      <c r="N16" s="30">
        <v>18</v>
      </c>
      <c r="O16" s="30">
        <v>14</v>
      </c>
      <c r="P16" s="31">
        <f>Inventory_List_Table341112[[#This Row],[Per piece MXN$]]/$U$2</f>
        <v>247.33333333333334</v>
      </c>
      <c r="Q16" s="31">
        <f t="shared" si="0"/>
        <v>247</v>
      </c>
      <c r="R16" s="31">
        <f>Inventory_List_Table341112[[#This Row],[AQ ROUND]]*1.4</f>
        <v>345.79999999999995</v>
      </c>
      <c r="S16" s="31">
        <f t="shared" si="1"/>
        <v>346</v>
      </c>
      <c r="T16" s="31">
        <f>Inventory_List_Table341112[[#This Row],[LND ROUND]]*8</f>
        <v>2768</v>
      </c>
      <c r="U16" s="31">
        <f>Inventory_List_Table341112[[#This Row],[AQ]]*Inventory_List_Table341112[[#This Row],[Q]]</f>
        <v>247.33333333333334</v>
      </c>
      <c r="V16" s="395" t="s">
        <v>1450</v>
      </c>
      <c r="W16" s="395" t="s">
        <v>1451</v>
      </c>
    </row>
    <row r="17" spans="1:23" ht="30" customHeight="1" x14ac:dyDescent="0.25">
      <c r="A17" s="68" t="s">
        <v>160</v>
      </c>
      <c r="B17" s="69"/>
      <c r="C17" s="70" t="s">
        <v>326</v>
      </c>
      <c r="D17" s="394" t="s">
        <v>1395</v>
      </c>
      <c r="E17" s="219">
        <v>1</v>
      </c>
      <c r="F17" s="220">
        <v>332</v>
      </c>
      <c r="G17" s="220">
        <f>Inventory_List_Table341112[[#This Row],[H Inches]]*2.54</f>
        <v>91.44</v>
      </c>
      <c r="H17" s="220">
        <f>Inventory_List_Table341112[[#This Row],[W Inches]]*2.54</f>
        <v>33.020000000000003</v>
      </c>
      <c r="I17" s="220">
        <f>Inventory_List_Table341112[[#This Row],[D Incbes]]*2.54</f>
        <v>38.1</v>
      </c>
      <c r="J17" s="389">
        <f>Inventory_List_Table341112[[#This Row],[KG]]*12</f>
        <v>3984</v>
      </c>
      <c r="K17" s="1">
        <f>Inventory_List_Table341112[[#This Row],[Q]]*Inventory_List_Table341112[[#This Row],[Per piece MXN$]]</f>
        <v>3984</v>
      </c>
      <c r="L17" s="14">
        <f>Inventory_List_Table341112[[#This Row],[KG]]*2.20462</f>
        <v>731.93383999999992</v>
      </c>
      <c r="M17" s="2">
        <v>36</v>
      </c>
      <c r="N17" s="2">
        <v>13</v>
      </c>
      <c r="O17" s="2">
        <v>15</v>
      </c>
      <c r="P17" s="3">
        <f>Inventory_List_Table341112[[#This Row],[Per piece MXN$]]/$U$2</f>
        <v>221.33333333333334</v>
      </c>
      <c r="Q17" s="3">
        <f t="shared" si="0"/>
        <v>221</v>
      </c>
      <c r="R17" s="3">
        <f>Inventory_List_Table341112[[#This Row],[AQ ROUND]]*1.4</f>
        <v>309.39999999999998</v>
      </c>
      <c r="S17" s="3">
        <f t="shared" si="1"/>
        <v>309</v>
      </c>
      <c r="T17" s="3">
        <f>Inventory_List_Table341112[[#This Row],[LND ROUND]]*8</f>
        <v>2472</v>
      </c>
      <c r="U17" s="3">
        <f>Inventory_List_Table341112[[#This Row],[AQ]]*Inventory_List_Table341112[[#This Row],[Q]]</f>
        <v>221.33333333333334</v>
      </c>
      <c r="V17" s="74" t="s">
        <v>1012</v>
      </c>
      <c r="W17" s="74" t="s">
        <v>1452</v>
      </c>
    </row>
    <row r="18" spans="1:23" ht="30" customHeight="1" x14ac:dyDescent="0.25">
      <c r="A18" s="68" t="s">
        <v>161</v>
      </c>
      <c r="B18" s="69"/>
      <c r="C18" s="70" t="s">
        <v>326</v>
      </c>
      <c r="D18" s="394" t="s">
        <v>1396</v>
      </c>
      <c r="E18" s="219">
        <v>1</v>
      </c>
      <c r="F18" s="220">
        <v>189</v>
      </c>
      <c r="G18" s="220">
        <f>Inventory_List_Table341112[[#This Row],[H Inches]]*2.54</f>
        <v>86.36</v>
      </c>
      <c r="H18" s="220">
        <f>Inventory_List_Table341112[[#This Row],[W Inches]]*2.54</f>
        <v>33.020000000000003</v>
      </c>
      <c r="I18" s="220">
        <f>Inventory_List_Table341112[[#This Row],[D Incbes]]*2.54</f>
        <v>12.7</v>
      </c>
      <c r="J18" s="389">
        <f>Inventory_List_Table341112[[#This Row],[KG]]*12</f>
        <v>2268</v>
      </c>
      <c r="K18" s="1">
        <f>Inventory_List_Table341112[[#This Row],[Q]]*Inventory_List_Table341112[[#This Row],[Per piece MXN$]]</f>
        <v>2268</v>
      </c>
      <c r="L18" s="14">
        <f>Inventory_List_Table341112[[#This Row],[KG]]*2.20462</f>
        <v>416.67317999999995</v>
      </c>
      <c r="M18" s="2">
        <v>34</v>
      </c>
      <c r="N18" s="2">
        <v>13</v>
      </c>
      <c r="O18" s="2">
        <v>5</v>
      </c>
      <c r="P18" s="3">
        <f>Inventory_List_Table341112[[#This Row],[Per piece MXN$]]/$U$2</f>
        <v>126</v>
      </c>
      <c r="Q18" s="3">
        <f t="shared" si="0"/>
        <v>126</v>
      </c>
      <c r="R18" s="3">
        <f>Inventory_List_Table341112[[#This Row],[AQ ROUND]]*1.4</f>
        <v>176.39999999999998</v>
      </c>
      <c r="S18" s="3">
        <f t="shared" si="1"/>
        <v>176</v>
      </c>
      <c r="T18" s="3">
        <f>Inventory_List_Table341112[[#This Row],[LND ROUND]]*8</f>
        <v>1408</v>
      </c>
      <c r="U18" s="3">
        <f>Inventory_List_Table341112[[#This Row],[AQ]]*Inventory_List_Table341112[[#This Row],[Q]]</f>
        <v>126</v>
      </c>
      <c r="V18" s="74" t="s">
        <v>1453</v>
      </c>
      <c r="W18" s="74" t="s">
        <v>1454</v>
      </c>
    </row>
    <row r="19" spans="1:23" ht="30" customHeight="1" x14ac:dyDescent="0.25">
      <c r="A19" s="68" t="s">
        <v>162</v>
      </c>
      <c r="B19" s="69"/>
      <c r="C19" s="70" t="s">
        <v>326</v>
      </c>
      <c r="D19" s="394" t="s">
        <v>1397</v>
      </c>
      <c r="E19" s="219">
        <v>1</v>
      </c>
      <c r="F19" s="220">
        <v>322</v>
      </c>
      <c r="G19" s="220">
        <f>Inventory_List_Table341112[[#This Row],[H Inches]]*2.54</f>
        <v>53.34</v>
      </c>
      <c r="H19" s="220">
        <f>Inventory_List_Table341112[[#This Row],[W Inches]]*2.54</f>
        <v>35.56</v>
      </c>
      <c r="I19" s="220">
        <f>Inventory_List_Table341112[[#This Row],[D Incbes]]*2.54</f>
        <v>45.72</v>
      </c>
      <c r="J19" s="389">
        <f>Inventory_List_Table341112[[#This Row],[KG]]*12</f>
        <v>3864</v>
      </c>
      <c r="K19" s="1">
        <f>Inventory_List_Table341112[[#This Row],[Q]]*Inventory_List_Table341112[[#This Row],[Per piece MXN$]]</f>
        <v>3864</v>
      </c>
      <c r="L19" s="14">
        <f>Inventory_List_Table341112[[#This Row],[KG]]*2.20462</f>
        <v>709.88763999999992</v>
      </c>
      <c r="M19" s="2">
        <v>21</v>
      </c>
      <c r="N19" s="2">
        <v>14</v>
      </c>
      <c r="O19" s="2">
        <v>18</v>
      </c>
      <c r="P19" s="3">
        <f>Inventory_List_Table341112[[#This Row],[Per piece MXN$]]/$U$2</f>
        <v>214.66666666666666</v>
      </c>
      <c r="Q19" s="3">
        <f t="shared" si="0"/>
        <v>215</v>
      </c>
      <c r="R19" s="3">
        <f>Inventory_List_Table341112[[#This Row],[AQ ROUND]]*1.4</f>
        <v>301</v>
      </c>
      <c r="S19" s="3">
        <f t="shared" si="1"/>
        <v>301</v>
      </c>
      <c r="T19" s="3">
        <f>Inventory_List_Table341112[[#This Row],[LND ROUND]]*8</f>
        <v>2408</v>
      </c>
      <c r="U19" s="3">
        <f>Inventory_List_Table341112[[#This Row],[AQ]]*Inventory_List_Table341112[[#This Row],[Q]]</f>
        <v>214.66666666666666</v>
      </c>
      <c r="V19" s="74" t="s">
        <v>1455</v>
      </c>
      <c r="W19" s="74" t="s">
        <v>1456</v>
      </c>
    </row>
    <row r="20" spans="1:23" ht="30" customHeight="1" x14ac:dyDescent="0.25">
      <c r="A20" s="68" t="s">
        <v>163</v>
      </c>
      <c r="B20" s="69"/>
      <c r="C20" s="70" t="s">
        <v>326</v>
      </c>
      <c r="D20" s="394" t="s">
        <v>1398</v>
      </c>
      <c r="E20" s="219">
        <v>1</v>
      </c>
      <c r="F20" s="220">
        <v>158</v>
      </c>
      <c r="G20" s="220">
        <f>Inventory_List_Table341112[[#This Row],[H Inches]]*2.54</f>
        <v>0</v>
      </c>
      <c r="H20" s="220">
        <f>Inventory_List_Table341112[[#This Row],[W Inches]]*2.54</f>
        <v>0</v>
      </c>
      <c r="I20" s="220">
        <f>Inventory_List_Table341112[[#This Row],[D Incbes]]*2.54</f>
        <v>0</v>
      </c>
      <c r="J20" s="389">
        <f>Inventory_List_Table341112[[#This Row],[KG]]*12</f>
        <v>1896</v>
      </c>
      <c r="K20" s="1">
        <f>Inventory_List_Table341112[[#This Row],[Q]]*Inventory_List_Table341112[[#This Row],[Per piece MXN$]]</f>
        <v>1896</v>
      </c>
      <c r="L20" s="14">
        <f>Inventory_List_Table341112[[#This Row],[KG]]*2.20462</f>
        <v>348.32995999999997</v>
      </c>
      <c r="M20" s="2"/>
      <c r="N20" s="2"/>
      <c r="O20" s="2"/>
      <c r="P20" s="3">
        <f>Inventory_List_Table341112[[#This Row],[Per piece MXN$]]/$U$2</f>
        <v>105.33333333333333</v>
      </c>
      <c r="Q20" s="3">
        <f t="shared" si="0"/>
        <v>105</v>
      </c>
      <c r="R20" s="3">
        <f>Inventory_List_Table341112[[#This Row],[AQ ROUND]]*1.4</f>
        <v>147</v>
      </c>
      <c r="S20" s="3">
        <f t="shared" si="1"/>
        <v>147</v>
      </c>
      <c r="T20" s="3">
        <f>Inventory_List_Table341112[[#This Row],[LND ROUND]]*8</f>
        <v>1176</v>
      </c>
      <c r="U20" s="3">
        <f>Inventory_List_Table341112[[#This Row],[AQ]]*Inventory_List_Table341112[[#This Row],[Q]]</f>
        <v>105.33333333333333</v>
      </c>
      <c r="V20" s="74" t="s">
        <v>1023</v>
      </c>
      <c r="W20" s="74" t="s">
        <v>1022</v>
      </c>
    </row>
    <row r="21" spans="1:23" ht="30" customHeight="1" x14ac:dyDescent="0.25">
      <c r="A21" s="68" t="s">
        <v>164</v>
      </c>
      <c r="B21" s="69"/>
      <c r="C21" s="70" t="s">
        <v>326</v>
      </c>
      <c r="D21" s="394" t="s">
        <v>1399</v>
      </c>
      <c r="E21" s="219">
        <v>1</v>
      </c>
      <c r="F21" s="220">
        <v>68</v>
      </c>
      <c r="G21" s="220">
        <f>Inventory_List_Table341112[[#This Row],[H Inches]]*2.54</f>
        <v>0</v>
      </c>
      <c r="H21" s="220">
        <f>Inventory_List_Table341112[[#This Row],[W Inches]]*2.54</f>
        <v>0</v>
      </c>
      <c r="I21" s="220">
        <f>Inventory_List_Table341112[[#This Row],[D Incbes]]*2.54</f>
        <v>0</v>
      </c>
      <c r="J21" s="389">
        <f>Inventory_List_Table341112[[#This Row],[KG]]*12</f>
        <v>816</v>
      </c>
      <c r="K21" s="1">
        <f>Inventory_List_Table341112[[#This Row],[Q]]*Inventory_List_Table341112[[#This Row],[Per piece MXN$]]</f>
        <v>816</v>
      </c>
      <c r="L21" s="14">
        <f>Inventory_List_Table341112[[#This Row],[KG]]*2.20462</f>
        <v>149.91415999999998</v>
      </c>
      <c r="M21" s="2"/>
      <c r="N21" s="2"/>
      <c r="O21" s="2"/>
      <c r="P21" s="3">
        <f>Inventory_List_Table341112[[#This Row],[Per piece MXN$]]/$U$2</f>
        <v>45.333333333333336</v>
      </c>
      <c r="Q21" s="3">
        <f t="shared" si="0"/>
        <v>45</v>
      </c>
      <c r="R21" s="3">
        <f>Inventory_List_Table341112[[#This Row],[AQ ROUND]]*1.4</f>
        <v>62.999999999999993</v>
      </c>
      <c r="S21" s="3">
        <f t="shared" si="1"/>
        <v>63</v>
      </c>
      <c r="T21" s="3">
        <f>Inventory_List_Table341112[[#This Row],[LND ROUND]]*8</f>
        <v>504</v>
      </c>
      <c r="U21" s="3">
        <f>Inventory_List_Table341112[[#This Row],[AQ]]*Inventory_List_Table341112[[#This Row],[Q]]</f>
        <v>45.333333333333336</v>
      </c>
      <c r="V21" s="74" t="s">
        <v>855</v>
      </c>
      <c r="W21" s="74" t="s">
        <v>854</v>
      </c>
    </row>
    <row r="22" spans="1:23" ht="30" customHeight="1" x14ac:dyDescent="0.25">
      <c r="A22" s="68" t="s">
        <v>165</v>
      </c>
      <c r="B22" s="69"/>
      <c r="C22" s="70" t="s">
        <v>341</v>
      </c>
      <c r="D22" s="394" t="s">
        <v>1400</v>
      </c>
      <c r="E22" s="219">
        <v>1</v>
      </c>
      <c r="F22" s="220">
        <v>295</v>
      </c>
      <c r="G22" s="220">
        <f>Inventory_List_Table341112[[#This Row],[H Inches]]*2.54</f>
        <v>0</v>
      </c>
      <c r="H22" s="220">
        <f>Inventory_List_Table341112[[#This Row],[W Inches]]*2.54</f>
        <v>0</v>
      </c>
      <c r="I22" s="220">
        <f>Inventory_List_Table341112[[#This Row],[D Incbes]]*2.54</f>
        <v>0</v>
      </c>
      <c r="J22" s="389">
        <f>Inventory_List_Table341112[[#This Row],[KG]]*12</f>
        <v>3540</v>
      </c>
      <c r="K22" s="1">
        <f>Inventory_List_Table341112[[#This Row],[Q]]*Inventory_List_Table341112[[#This Row],[Per piece MXN$]]</f>
        <v>3540</v>
      </c>
      <c r="L22" s="14">
        <f>Inventory_List_Table341112[[#This Row],[KG]]*2.20462</f>
        <v>650.36289999999997</v>
      </c>
      <c r="M22" s="2"/>
      <c r="N22" s="2"/>
      <c r="O22" s="2"/>
      <c r="P22" s="3">
        <f>Inventory_List_Table341112[[#This Row],[Per piece MXN$]]/$U$2</f>
        <v>196.66666666666666</v>
      </c>
      <c r="Q22" s="3">
        <f t="shared" si="0"/>
        <v>197</v>
      </c>
      <c r="R22" s="3">
        <f>Inventory_List_Table341112[[#This Row],[AQ ROUND]]*1.4</f>
        <v>275.79999999999995</v>
      </c>
      <c r="S22" s="3">
        <f t="shared" si="1"/>
        <v>276</v>
      </c>
      <c r="T22" s="3">
        <f>Inventory_List_Table341112[[#This Row],[LND ROUND]]*8</f>
        <v>2208</v>
      </c>
      <c r="U22" s="3">
        <f>Inventory_List_Table341112[[#This Row],[AQ]]*Inventory_List_Table341112[[#This Row],[Q]]</f>
        <v>196.66666666666666</v>
      </c>
      <c r="V22" s="74" t="s">
        <v>1112</v>
      </c>
      <c r="W22" s="74" t="s">
        <v>1347</v>
      </c>
    </row>
  </sheetData>
  <mergeCells count="1">
    <mergeCell ref="Q1:Q2"/>
  </mergeCells>
  <dataValidations count="12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1ED0C338-210F-4EFB-BD1A-BA1C364CA745}"/>
    <dataValidation allowBlank="1" showInputMessage="1" showErrorMessage="1" prompt="Enter the item inventory ID in this column" sqref="C3" xr:uid="{31A6DAD0-2EB9-46CE-9E0C-4B8B562D72A6}"/>
    <dataValidation allowBlank="1" showInputMessage="1" showErrorMessage="1" prompt="Enter the name of the item in this column" sqref="D3" xr:uid="{027C0C3A-59BC-4C79-96CA-DE2F49F1C902}"/>
    <dataValidation allowBlank="1" showInputMessage="1" showErrorMessage="1" prompt="Enter yes if the item has been discontinued. When a yes is entered, the corresponding row is highlighted a light grey and the font style changed to strikethrough" sqref="N3" xr:uid="{18DC0215-43C5-4FCC-B144-7F2FA282D118}"/>
    <dataValidation allowBlank="1" showInputMessage="1" showErrorMessage="1" prompt="Enter the quantity in reorder for each item in this column" sqref="M3" xr:uid="{053DE7BA-8189-4A5E-8BC4-15659F18E586}"/>
    <dataValidation allowBlank="1" showInputMessage="1" showErrorMessage="1" prompt="Enter the number of days it takes to reorder each item in this column" sqref="J3:L3" xr:uid="{B06226D5-AF58-4665-982C-64D0FCBC9CF3}"/>
    <dataValidation allowBlank="1" showInputMessage="1" showErrorMessage="1" prompt="Enter the reorder level for each item in this column" sqref="I3" xr:uid="{BD04443C-4B0F-465D-9BE0-EBF75410EE52}"/>
    <dataValidation allowBlank="1" showInputMessage="1" showErrorMessage="1" prompt="This is an automated column._x000a__x000a_The inventory value for each item is automatically calculated in this column." sqref="H3" xr:uid="{76C0F752-CD93-4B23-A0BA-1E5F316497D3}"/>
    <dataValidation allowBlank="1" showInputMessage="1" showErrorMessage="1" prompt="Enter the quantity in stock for each item in this column" sqref="G3" xr:uid="{AD32DDD2-2832-4F59-8AFF-91B7D832FB25}"/>
    <dataValidation allowBlank="1" showInputMessage="1" showErrorMessage="1" prompt="Enter the unit price of each item in this column" sqref="F3" xr:uid="{56A745F7-2D29-4A1E-BD9C-7A88B341E2AC}"/>
    <dataValidation allowBlank="1" showInputMessage="1" showErrorMessage="1" prompt="Enter a description of the item in this column" sqref="E3" xr:uid="{C376E3AA-0591-4CC2-8845-81B03602472D}"/>
    <dataValidation allowBlank="1" showInputMessage="1" showErrorMessage="1" prompt="Enter company name in this cell" sqref="A2" xr:uid="{950425BE-80EF-4C35-8FB3-6114F4DBF0E2}"/>
  </dataValidations>
  <printOptions horizontalCentered="1"/>
  <pageMargins left="0.25" right="0.25" top="0.75" bottom="0.75" header="0.3" footer="0.3"/>
  <pageSetup scale="26" fitToHeight="0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6DAE-2162-4C1E-867B-8445EC04F8B5}">
  <sheetPr>
    <tabColor theme="9" tint="0.749992370372631"/>
    <pageSetUpPr fitToPage="1"/>
  </sheetPr>
  <dimension ref="A1:AE55"/>
  <sheetViews>
    <sheetView showGridLines="0" topLeftCell="D1" zoomScale="70" zoomScaleNormal="70" workbookViewId="0">
      <selection activeCell="V4" sqref="V4"/>
    </sheetView>
  </sheetViews>
  <sheetFormatPr defaultColWidth="8.625" defaultRowHeight="24" customHeight="1" x14ac:dyDescent="0.25"/>
  <cols>
    <col min="1" max="1" width="9.125" style="76" bestFit="1" customWidth="1"/>
    <col min="2" max="2" width="15.5" style="77" customWidth="1"/>
    <col min="3" max="3" width="33" style="78" bestFit="1" customWidth="1"/>
    <col min="4" max="4" width="22" style="78" bestFit="1" customWidth="1"/>
    <col min="5" max="5" width="9.75" style="78" bestFit="1" customWidth="1"/>
    <col min="6" max="6" width="9.25" style="79" bestFit="1" customWidth="1"/>
    <col min="7" max="7" width="15.25" style="79" bestFit="1" customWidth="1"/>
    <col min="8" max="8" width="8.75" style="79" bestFit="1" customWidth="1"/>
    <col min="9" max="9" width="8.125" style="79" bestFit="1" customWidth="1"/>
    <col min="10" max="10" width="19.5" style="79" bestFit="1" customWidth="1"/>
    <col min="11" max="11" width="23.875" style="79" bestFit="1" customWidth="1"/>
    <col min="12" max="12" width="11.875" style="226" customWidth="1"/>
    <col min="13" max="13" width="10.125" style="226" bestFit="1" customWidth="1"/>
    <col min="14" max="14" width="9.75" style="929" customWidth="1"/>
    <col min="15" max="15" width="11.375" style="930" customWidth="1"/>
    <col min="16" max="17" width="13.75" style="926" customWidth="1"/>
    <col min="18" max="19" width="15.5" style="926" customWidth="1"/>
    <col min="20" max="20" width="18.125" style="45" bestFit="1" customWidth="1"/>
    <col min="21" max="21" width="15" style="45" customWidth="1"/>
    <col min="22" max="22" width="7.5" style="45" bestFit="1" customWidth="1"/>
    <col min="23" max="23" width="8.125" style="45" bestFit="1" customWidth="1"/>
    <col min="24" max="24" width="8.625" style="45"/>
    <col min="25" max="25" width="16.25" style="227" bestFit="1" customWidth="1"/>
    <col min="32" max="16384" width="8.625" style="45"/>
  </cols>
  <sheetData>
    <row r="1" spans="1:25" ht="36.75" x14ac:dyDescent="0.6">
      <c r="A1" s="181" t="s">
        <v>416</v>
      </c>
      <c r="B1" s="182"/>
      <c r="C1" s="182"/>
      <c r="D1" s="183"/>
      <c r="E1" s="183"/>
      <c r="F1" s="182"/>
      <c r="G1" s="184"/>
      <c r="H1" s="184"/>
      <c r="I1" s="185"/>
      <c r="J1" s="186" t="s">
        <v>132</v>
      </c>
      <c r="K1" s="187"/>
      <c r="L1" s="188"/>
      <c r="M1" s="189"/>
      <c r="N1" s="927"/>
      <c r="O1" s="928"/>
      <c r="P1" s="921"/>
      <c r="Q1" s="1075"/>
      <c r="R1" s="922"/>
      <c r="S1" s="923"/>
      <c r="T1" s="192" t="s">
        <v>133</v>
      </c>
      <c r="U1" s="193">
        <v>825</v>
      </c>
      <c r="V1" s="184"/>
      <c r="W1" s="184"/>
      <c r="X1" s="55"/>
      <c r="Y1" s="194"/>
    </row>
    <row r="2" spans="1:25" ht="31.5" x14ac:dyDescent="0.45">
      <c r="A2" s="195" t="s">
        <v>391</v>
      </c>
      <c r="B2" s="196"/>
      <c r="C2" s="196"/>
      <c r="D2" s="197"/>
      <c r="E2" s="198">
        <f>SUM(Inventory_List_Table34112022[Q])</f>
        <v>157</v>
      </c>
      <c r="F2" s="199"/>
      <c r="G2" s="199"/>
      <c r="H2" s="184"/>
      <c r="I2" s="200"/>
      <c r="J2" s="200"/>
      <c r="K2" s="201">
        <f>SUM(K4:K55)</f>
        <v>119315</v>
      </c>
      <c r="L2" s="202"/>
      <c r="M2" s="927"/>
      <c r="N2" s="927"/>
      <c r="O2" s="928"/>
      <c r="P2" s="921"/>
      <c r="Q2" s="1076"/>
      <c r="R2" s="922"/>
      <c r="S2" s="923"/>
      <c r="T2" s="192" t="s">
        <v>134</v>
      </c>
      <c r="U2" s="203">
        <v>18</v>
      </c>
      <c r="V2" s="183"/>
      <c r="W2" s="191"/>
      <c r="X2" s="55"/>
      <c r="Y2" s="56">
        <f>AVERAGE(Y4:Y55)</f>
        <v>2517.2543643294448</v>
      </c>
    </row>
    <row r="3" spans="1:25" s="67" customFormat="1" ht="40.9" customHeight="1" x14ac:dyDescent="0.25">
      <c r="A3" s="204" t="s">
        <v>135</v>
      </c>
      <c r="B3" s="205" t="s">
        <v>122</v>
      </c>
      <c r="C3" s="205" t="s">
        <v>136</v>
      </c>
      <c r="D3" s="206" t="s">
        <v>137</v>
      </c>
      <c r="E3" s="207" t="s">
        <v>123</v>
      </c>
      <c r="F3" s="208" t="s">
        <v>124</v>
      </c>
      <c r="G3" s="208" t="s">
        <v>130</v>
      </c>
      <c r="H3" s="208" t="s">
        <v>125</v>
      </c>
      <c r="I3" s="208" t="s">
        <v>126</v>
      </c>
      <c r="J3" s="208" t="s">
        <v>138</v>
      </c>
      <c r="K3" s="205" t="s">
        <v>139</v>
      </c>
      <c r="L3" s="209" t="s">
        <v>127</v>
      </c>
      <c r="M3" s="209" t="s">
        <v>140</v>
      </c>
      <c r="N3" s="209" t="s">
        <v>141</v>
      </c>
      <c r="O3" s="209" t="s">
        <v>142</v>
      </c>
      <c r="P3" s="924" t="s">
        <v>143</v>
      </c>
      <c r="Q3" s="925" t="s">
        <v>144</v>
      </c>
      <c r="R3" s="924" t="s">
        <v>145</v>
      </c>
      <c r="S3" s="924" t="s">
        <v>146</v>
      </c>
      <c r="T3" s="210" t="s">
        <v>2</v>
      </c>
      <c r="U3" s="211" t="s">
        <v>128</v>
      </c>
      <c r="V3" s="211" t="s">
        <v>131</v>
      </c>
      <c r="W3" s="212" t="s">
        <v>1</v>
      </c>
      <c r="X3" s="65" t="s">
        <v>418</v>
      </c>
      <c r="Y3" s="66" t="s">
        <v>417</v>
      </c>
    </row>
    <row r="4" spans="1:25" ht="30" customHeight="1" x14ac:dyDescent="0.25">
      <c r="A4" s="213" t="s">
        <v>147</v>
      </c>
      <c r="B4" s="69">
        <v>46039</v>
      </c>
      <c r="C4" s="70" t="s">
        <v>392</v>
      </c>
      <c r="D4" s="141" t="s">
        <v>866</v>
      </c>
      <c r="E4" s="214">
        <v>8</v>
      </c>
      <c r="F4" s="215"/>
      <c r="G4" s="215">
        <v>30</v>
      </c>
      <c r="H4" s="215">
        <v>15</v>
      </c>
      <c r="I4" s="215">
        <v>15</v>
      </c>
      <c r="J4" s="216">
        <v>500</v>
      </c>
      <c r="K4" s="1">
        <f>Inventory_List_Table34112022[[#This Row],[Q]]*Inventory_List_Table34112022[[#This Row],[Per piece MXN$]]</f>
        <v>4000</v>
      </c>
      <c r="L4" s="14">
        <f>Inventory_List_Table34112022[[#This Row],[KG]]*2.20462</f>
        <v>0</v>
      </c>
      <c r="M4" s="2">
        <f>Inventory_List_Table34112022[[#This Row],[H CM]]/2.54</f>
        <v>11.811023622047244</v>
      </c>
      <c r="N4" s="2">
        <f>Inventory_List_Table34112022[[#This Row],[W CM]]/2.54</f>
        <v>5.9055118110236222</v>
      </c>
      <c r="O4" s="2">
        <f>Inventory_List_Table34112022[[#This Row],[D CM ]]/2.54</f>
        <v>5.9055118110236222</v>
      </c>
      <c r="P4" s="3">
        <f>Inventory_List_Table34112022[[#This Row],[Per piece MXN$]]/$U$2</f>
        <v>27.777777777777779</v>
      </c>
      <c r="Q4" s="3">
        <f t="shared" ref="Q4:Q28" si="0">IF(MOD(P4,1)&gt;0.4,ROUNDUP(P4,0),ROUNDDOWN(P4,0))</f>
        <v>28</v>
      </c>
      <c r="R4" s="3">
        <f>Inventory_List_Table34112022[[#This Row],[AQ ROUND]]*1.4</f>
        <v>39.199999999999996</v>
      </c>
      <c r="S4" s="3">
        <f t="shared" ref="S4:S28" si="1">IF(MOD(R4,1)&gt;0.4,ROUNDUP(R4,0),ROUNDDOWN(R4,0))</f>
        <v>39</v>
      </c>
      <c r="T4" s="3">
        <f>Inventory_List_Table34112022[[#This Row],[LND ROUND]]*8</f>
        <v>312</v>
      </c>
      <c r="U4" s="3">
        <f>Inventory_List_Table34112022[[#This Row],[AQ]]*Inventory_List_Table34112022[[#This Row],[Q]]</f>
        <v>222.22222222222223</v>
      </c>
      <c r="V4" s="74" t="s">
        <v>713</v>
      </c>
      <c r="W4" s="74" t="s">
        <v>712</v>
      </c>
      <c r="X4" s="45">
        <f>Inventory_List_Table34112022[[#This Row],[H CM]]*Inventory_List_Table34112022[[#This Row],[W CM]]*4+Inventory_List_Table34112022[[#This Row],[D CM ]]*Inventory_List_Table34112022[[#This Row],[D CM ]]</f>
        <v>2025</v>
      </c>
      <c r="Y4" s="75">
        <f>Inventory_List_Table34112022[[#This Row],[Per piece MXN$]]/X4*10000</f>
        <v>2469.1358024691358</v>
      </c>
    </row>
    <row r="5" spans="1:25" ht="30" customHeight="1" x14ac:dyDescent="0.25">
      <c r="A5" s="213" t="s">
        <v>148</v>
      </c>
      <c r="B5" s="69">
        <v>46039</v>
      </c>
      <c r="C5" s="70" t="s">
        <v>392</v>
      </c>
      <c r="D5" s="141" t="s">
        <v>867</v>
      </c>
      <c r="E5" s="214">
        <v>15</v>
      </c>
      <c r="F5" s="215"/>
      <c r="G5" s="215">
        <v>35</v>
      </c>
      <c r="H5" s="215">
        <v>15</v>
      </c>
      <c r="I5" s="215">
        <v>15</v>
      </c>
      <c r="J5" s="216">
        <v>575</v>
      </c>
      <c r="K5" s="1">
        <f>Inventory_List_Table34112022[[#This Row],[Q]]*Inventory_List_Table34112022[[#This Row],[Per piece MXN$]]</f>
        <v>8625</v>
      </c>
      <c r="L5" s="14">
        <f>Inventory_List_Table34112022[[#This Row],[KG]]*2.20462</f>
        <v>0</v>
      </c>
      <c r="M5" s="2">
        <f>Inventory_List_Table34112022[[#This Row],[H CM]]/2.54</f>
        <v>13.779527559055119</v>
      </c>
      <c r="N5" s="2">
        <f>Inventory_List_Table34112022[[#This Row],[W CM]]/2.54</f>
        <v>5.9055118110236222</v>
      </c>
      <c r="O5" s="2">
        <f>Inventory_List_Table34112022[[#This Row],[D CM ]]/2.54</f>
        <v>5.9055118110236222</v>
      </c>
      <c r="P5" s="3">
        <f>Inventory_List_Table34112022[[#This Row],[Per piece MXN$]]/$U$2</f>
        <v>31.944444444444443</v>
      </c>
      <c r="Q5" s="3">
        <f t="shared" si="0"/>
        <v>32</v>
      </c>
      <c r="R5" s="3">
        <f>Inventory_List_Table34112022[[#This Row],[AQ ROUND]]*1.4</f>
        <v>44.8</v>
      </c>
      <c r="S5" s="3">
        <f t="shared" si="1"/>
        <v>45</v>
      </c>
      <c r="T5" s="3">
        <f>Inventory_List_Table34112022[[#This Row],[LND ROUND]]*8</f>
        <v>360</v>
      </c>
      <c r="U5" s="3">
        <f>Inventory_List_Table34112022[[#This Row],[AQ]]*Inventory_List_Table34112022[[#This Row],[Q]]</f>
        <v>479.16666666666663</v>
      </c>
      <c r="V5" s="74" t="s">
        <v>688</v>
      </c>
      <c r="W5" s="74" t="s">
        <v>855</v>
      </c>
      <c r="X5" s="45">
        <f>Inventory_List_Table34112022[[#This Row],[H CM]]*Inventory_List_Table34112022[[#This Row],[W CM]]*4+Inventory_List_Table34112022[[#This Row],[D CM ]]*Inventory_List_Table34112022[[#This Row],[D CM ]]</f>
        <v>2325</v>
      </c>
      <c r="Y5" s="75">
        <f>Inventory_List_Table34112022[[#This Row],[Per piece MXN$]]/X5*10000</f>
        <v>2473.1182795698924</v>
      </c>
    </row>
    <row r="6" spans="1:25" ht="30" customHeight="1" x14ac:dyDescent="0.25">
      <c r="A6" s="213" t="s">
        <v>149</v>
      </c>
      <c r="B6" s="69">
        <v>46039</v>
      </c>
      <c r="C6" s="70" t="s">
        <v>393</v>
      </c>
      <c r="D6" s="141" t="s">
        <v>868</v>
      </c>
      <c r="E6" s="214">
        <v>18</v>
      </c>
      <c r="F6" s="215"/>
      <c r="G6" s="215">
        <v>40</v>
      </c>
      <c r="H6" s="215">
        <v>15</v>
      </c>
      <c r="I6" s="215">
        <v>15</v>
      </c>
      <c r="J6" s="216">
        <v>650</v>
      </c>
      <c r="K6" s="1">
        <f>Inventory_List_Table34112022[[#This Row],[Q]]*Inventory_List_Table34112022[[#This Row],[Per piece MXN$]]</f>
        <v>11700</v>
      </c>
      <c r="L6" s="14">
        <f>Inventory_List_Table34112022[[#This Row],[KG]]*2.20462</f>
        <v>0</v>
      </c>
      <c r="M6" s="2">
        <f>Inventory_List_Table34112022[[#This Row],[H CM]]/2.54</f>
        <v>15.748031496062993</v>
      </c>
      <c r="N6" s="2">
        <f>Inventory_List_Table34112022[[#This Row],[W CM]]/2.54</f>
        <v>5.9055118110236222</v>
      </c>
      <c r="O6" s="2">
        <f>Inventory_List_Table34112022[[#This Row],[D CM ]]/2.54</f>
        <v>5.9055118110236222</v>
      </c>
      <c r="P6" s="3">
        <f>Inventory_List_Table34112022[[#This Row],[Per piece MXN$]]/$U$2</f>
        <v>36.111111111111114</v>
      </c>
      <c r="Q6" s="3">
        <f t="shared" si="0"/>
        <v>36</v>
      </c>
      <c r="R6" s="3">
        <f>Inventory_List_Table34112022[[#This Row],[AQ ROUND]]*1.4</f>
        <v>50.4</v>
      </c>
      <c r="S6" s="3">
        <f t="shared" si="1"/>
        <v>50</v>
      </c>
      <c r="T6" s="3">
        <f>Inventory_List_Table34112022[[#This Row],[LND ROUND]]*8</f>
        <v>400</v>
      </c>
      <c r="U6" s="3">
        <f>Inventory_List_Table34112022[[#This Row],[AQ]]*Inventory_List_Table34112022[[#This Row],[Q]]</f>
        <v>650</v>
      </c>
      <c r="V6" s="74" t="s">
        <v>716</v>
      </c>
      <c r="W6" s="74" t="s">
        <v>738</v>
      </c>
      <c r="X6" s="45">
        <f>Inventory_List_Table34112022[[#This Row],[H CM]]*Inventory_List_Table34112022[[#This Row],[W CM]]*4+Inventory_List_Table34112022[[#This Row],[D CM ]]*Inventory_List_Table34112022[[#This Row],[D CM ]]</f>
        <v>2625</v>
      </c>
      <c r="Y6" s="75">
        <f>Inventory_List_Table34112022[[#This Row],[Per piece MXN$]]/X6*10000</f>
        <v>2476.1904761904761</v>
      </c>
    </row>
    <row r="7" spans="1:25" ht="30" customHeight="1" x14ac:dyDescent="0.25">
      <c r="A7" s="213" t="s">
        <v>150</v>
      </c>
      <c r="B7" s="69">
        <v>46039</v>
      </c>
      <c r="C7" s="70" t="s">
        <v>392</v>
      </c>
      <c r="D7" s="141" t="s">
        <v>869</v>
      </c>
      <c r="E7" s="214">
        <v>12</v>
      </c>
      <c r="F7" s="215"/>
      <c r="G7" s="215">
        <v>40</v>
      </c>
      <c r="H7" s="215">
        <v>15</v>
      </c>
      <c r="I7" s="215">
        <v>15</v>
      </c>
      <c r="J7" s="216">
        <v>650</v>
      </c>
      <c r="K7" s="1">
        <f>Inventory_List_Table34112022[[#This Row],[Q]]*Inventory_List_Table34112022[[#This Row],[Per piece MXN$]]</f>
        <v>7800</v>
      </c>
      <c r="L7" s="14">
        <f>Inventory_List_Table34112022[[#This Row],[KG]]*2.20462</f>
        <v>0</v>
      </c>
      <c r="M7" s="2">
        <f>Inventory_List_Table34112022[[#This Row],[H CM]]/2.54</f>
        <v>15.748031496062993</v>
      </c>
      <c r="N7" s="2">
        <f>Inventory_List_Table34112022[[#This Row],[W CM]]/2.54</f>
        <v>5.9055118110236222</v>
      </c>
      <c r="O7" s="2">
        <f>Inventory_List_Table34112022[[#This Row],[D CM ]]/2.54</f>
        <v>5.9055118110236222</v>
      </c>
      <c r="P7" s="3">
        <f>Inventory_List_Table34112022[[#This Row],[Per piece MXN$]]/$U$2</f>
        <v>36.111111111111114</v>
      </c>
      <c r="Q7" s="3">
        <f t="shared" si="0"/>
        <v>36</v>
      </c>
      <c r="R7" s="3">
        <f>Inventory_List_Table34112022[[#This Row],[AQ ROUND]]*1.4</f>
        <v>50.4</v>
      </c>
      <c r="S7" s="3">
        <f t="shared" si="1"/>
        <v>50</v>
      </c>
      <c r="T7" s="3">
        <f>Inventory_List_Table34112022[[#This Row],[LND ROUND]]*8</f>
        <v>400</v>
      </c>
      <c r="U7" s="3">
        <f>Inventory_List_Table34112022[[#This Row],[AQ]]*Inventory_List_Table34112022[[#This Row],[Q]]</f>
        <v>433.33333333333337</v>
      </c>
      <c r="V7" s="74" t="s">
        <v>716</v>
      </c>
      <c r="W7" s="74" t="s">
        <v>738</v>
      </c>
      <c r="X7" s="45">
        <f>Inventory_List_Table34112022[[#This Row],[H CM]]*Inventory_List_Table34112022[[#This Row],[W CM]]*4+Inventory_List_Table34112022[[#This Row],[D CM ]]*Inventory_List_Table34112022[[#This Row],[D CM ]]</f>
        <v>2625</v>
      </c>
      <c r="Y7" s="75">
        <f>Inventory_List_Table34112022[[#This Row],[Per piece MXN$]]/X7*10000</f>
        <v>2476.1904761904761</v>
      </c>
    </row>
    <row r="8" spans="1:25" ht="30" customHeight="1" x14ac:dyDescent="0.25">
      <c r="A8" s="213" t="s">
        <v>151</v>
      </c>
      <c r="B8" s="69">
        <v>46039</v>
      </c>
      <c r="C8" s="70" t="s">
        <v>394</v>
      </c>
      <c r="D8" s="141" t="s">
        <v>870</v>
      </c>
      <c r="E8" s="214">
        <v>3</v>
      </c>
      <c r="F8" s="215"/>
      <c r="G8" s="215">
        <v>45</v>
      </c>
      <c r="H8" s="215">
        <v>15</v>
      </c>
      <c r="I8" s="215">
        <v>15</v>
      </c>
      <c r="J8" s="216">
        <v>725</v>
      </c>
      <c r="K8" s="1">
        <f>Inventory_List_Table34112022[[#This Row],[Q]]*Inventory_List_Table34112022[[#This Row],[Per piece MXN$]]</f>
        <v>2175</v>
      </c>
      <c r="L8" s="14">
        <f>Inventory_List_Table34112022[[#This Row],[KG]]*2.20462</f>
        <v>0</v>
      </c>
      <c r="M8" s="2">
        <f>Inventory_List_Table34112022[[#This Row],[H CM]]/2.54</f>
        <v>17.716535433070867</v>
      </c>
      <c r="N8" s="2">
        <f>Inventory_List_Table34112022[[#This Row],[W CM]]/2.54</f>
        <v>5.9055118110236222</v>
      </c>
      <c r="O8" s="2">
        <f>Inventory_List_Table34112022[[#This Row],[D CM ]]/2.54</f>
        <v>5.9055118110236222</v>
      </c>
      <c r="P8" s="3">
        <f>Inventory_List_Table34112022[[#This Row],[Per piece MXN$]]/$U$2</f>
        <v>40.277777777777779</v>
      </c>
      <c r="Q8" s="3">
        <f t="shared" si="0"/>
        <v>40</v>
      </c>
      <c r="R8" s="3">
        <f>Inventory_List_Table34112022[[#This Row],[AQ ROUND]]*1.4</f>
        <v>56</v>
      </c>
      <c r="S8" s="3">
        <f t="shared" si="1"/>
        <v>56</v>
      </c>
      <c r="T8" s="3">
        <f>Inventory_List_Table34112022[[#This Row],[LND ROUND]]*8</f>
        <v>448</v>
      </c>
      <c r="U8" s="3">
        <f>Inventory_List_Table34112022[[#This Row],[AQ]]*Inventory_List_Table34112022[[#This Row],[Q]]</f>
        <v>120.83333333333334</v>
      </c>
      <c r="V8" s="74" t="s">
        <v>871</v>
      </c>
      <c r="W8" s="74" t="s">
        <v>729</v>
      </c>
      <c r="X8" s="45">
        <f>Inventory_List_Table34112022[[#This Row],[H CM]]*Inventory_List_Table34112022[[#This Row],[W CM]]*4+Inventory_List_Table34112022[[#This Row],[D CM ]]*Inventory_List_Table34112022[[#This Row],[D CM ]]</f>
        <v>2925</v>
      </c>
      <c r="Y8" s="75">
        <f>Inventory_List_Table34112022[[#This Row],[Per piece MXN$]]/X8*10000</f>
        <v>2478.6324786324785</v>
      </c>
    </row>
    <row r="9" spans="1:25" ht="30" customHeight="1" x14ac:dyDescent="0.25">
      <c r="A9" s="213" t="s">
        <v>152</v>
      </c>
      <c r="B9" s="69">
        <v>46039</v>
      </c>
      <c r="C9" s="70" t="s">
        <v>395</v>
      </c>
      <c r="D9" s="141" t="s">
        <v>872</v>
      </c>
      <c r="E9" s="214">
        <v>7</v>
      </c>
      <c r="F9" s="215"/>
      <c r="G9" s="215">
        <v>40</v>
      </c>
      <c r="H9" s="215">
        <v>15</v>
      </c>
      <c r="I9" s="215">
        <v>15</v>
      </c>
      <c r="J9" s="216">
        <v>650</v>
      </c>
      <c r="K9" s="1">
        <f>Inventory_List_Table34112022[[#This Row],[Q]]*Inventory_List_Table34112022[[#This Row],[Per piece MXN$]]</f>
        <v>4550</v>
      </c>
      <c r="L9" s="14">
        <f>Inventory_List_Table34112022[[#This Row],[KG]]*2.20462</f>
        <v>0</v>
      </c>
      <c r="M9" s="2">
        <f>Inventory_List_Table34112022[[#This Row],[H CM]]/2.54</f>
        <v>15.748031496062993</v>
      </c>
      <c r="N9" s="2">
        <f>Inventory_List_Table34112022[[#This Row],[W CM]]/2.54</f>
        <v>5.9055118110236222</v>
      </c>
      <c r="O9" s="2">
        <f>Inventory_List_Table34112022[[#This Row],[D CM ]]/2.54</f>
        <v>5.9055118110236222</v>
      </c>
      <c r="P9" s="3">
        <f>Inventory_List_Table34112022[[#This Row],[Per piece MXN$]]/$U$2</f>
        <v>36.111111111111114</v>
      </c>
      <c r="Q9" s="3">
        <f t="shared" si="0"/>
        <v>36</v>
      </c>
      <c r="R9" s="3">
        <f>Inventory_List_Table34112022[[#This Row],[AQ ROUND]]*1.4</f>
        <v>50.4</v>
      </c>
      <c r="S9" s="3">
        <f t="shared" si="1"/>
        <v>50</v>
      </c>
      <c r="T9" s="3">
        <f>Inventory_List_Table34112022[[#This Row],[LND ROUND]]*8</f>
        <v>400</v>
      </c>
      <c r="U9" s="3">
        <f>Inventory_List_Table34112022[[#This Row],[AQ]]*Inventory_List_Table34112022[[#This Row],[Q]]</f>
        <v>252.7777777777778</v>
      </c>
      <c r="V9" s="74" t="s">
        <v>716</v>
      </c>
      <c r="W9" s="74" t="s">
        <v>738</v>
      </c>
      <c r="X9" s="45">
        <f>Inventory_List_Table34112022[[#This Row],[H CM]]*Inventory_List_Table34112022[[#This Row],[W CM]]*4+Inventory_List_Table34112022[[#This Row],[D CM ]]*Inventory_List_Table34112022[[#This Row],[D CM ]]</f>
        <v>2625</v>
      </c>
      <c r="Y9" s="75">
        <f>Inventory_List_Table34112022[[#This Row],[Per piece MXN$]]/X9*10000</f>
        <v>2476.1904761904761</v>
      </c>
    </row>
    <row r="10" spans="1:25" ht="30" customHeight="1" x14ac:dyDescent="0.25">
      <c r="A10" s="213" t="s">
        <v>153</v>
      </c>
      <c r="B10" s="69">
        <v>46039</v>
      </c>
      <c r="C10" s="70" t="s">
        <v>396</v>
      </c>
      <c r="D10" s="141" t="s">
        <v>873</v>
      </c>
      <c r="E10" s="214">
        <v>1</v>
      </c>
      <c r="F10" s="215"/>
      <c r="G10" s="215">
        <v>40</v>
      </c>
      <c r="H10" s="215">
        <v>15</v>
      </c>
      <c r="I10" s="215">
        <v>15</v>
      </c>
      <c r="J10" s="216">
        <v>650</v>
      </c>
      <c r="K10" s="1">
        <f>Inventory_List_Table34112022[[#This Row],[Q]]*Inventory_List_Table34112022[[#This Row],[Per piece MXN$]]</f>
        <v>650</v>
      </c>
      <c r="L10" s="14">
        <f>Inventory_List_Table34112022[[#This Row],[KG]]*2.20462</f>
        <v>0</v>
      </c>
      <c r="M10" s="2">
        <f>Inventory_List_Table34112022[[#This Row],[H CM]]/2.54</f>
        <v>15.748031496062993</v>
      </c>
      <c r="N10" s="2">
        <f>Inventory_List_Table34112022[[#This Row],[W CM]]/2.54</f>
        <v>5.9055118110236222</v>
      </c>
      <c r="O10" s="2">
        <f>Inventory_List_Table34112022[[#This Row],[D CM ]]/2.54</f>
        <v>5.9055118110236222</v>
      </c>
      <c r="P10" s="3">
        <f>Inventory_List_Table34112022[[#This Row],[Per piece MXN$]]/$U$2</f>
        <v>36.111111111111114</v>
      </c>
      <c r="Q10" s="3">
        <f t="shared" si="0"/>
        <v>36</v>
      </c>
      <c r="R10" s="3">
        <f>Inventory_List_Table34112022[[#This Row],[AQ ROUND]]*1.4</f>
        <v>50.4</v>
      </c>
      <c r="S10" s="3">
        <f t="shared" si="1"/>
        <v>50</v>
      </c>
      <c r="T10" s="3">
        <f>Inventory_List_Table34112022[[#This Row],[LND ROUND]]*8</f>
        <v>400</v>
      </c>
      <c r="U10" s="3">
        <f>Inventory_List_Table34112022[[#This Row],[AQ]]*Inventory_List_Table34112022[[#This Row],[Q]]</f>
        <v>36.111111111111114</v>
      </c>
      <c r="V10" s="74" t="s">
        <v>716</v>
      </c>
      <c r="W10" s="74" t="s">
        <v>738</v>
      </c>
      <c r="X10" s="45">
        <f>Inventory_List_Table34112022[[#This Row],[H CM]]*Inventory_List_Table34112022[[#This Row],[W CM]]*4+Inventory_List_Table34112022[[#This Row],[D CM ]]*Inventory_List_Table34112022[[#This Row],[D CM ]]</f>
        <v>2625</v>
      </c>
      <c r="Y10" s="75">
        <f>Inventory_List_Table34112022[[#This Row],[Per piece MXN$]]/X10*10000</f>
        <v>2476.1904761904761</v>
      </c>
    </row>
    <row r="11" spans="1:25" ht="30" customHeight="1" x14ac:dyDescent="0.25">
      <c r="A11" s="213" t="s">
        <v>154</v>
      </c>
      <c r="B11" s="69">
        <v>46039</v>
      </c>
      <c r="C11" s="70" t="s">
        <v>393</v>
      </c>
      <c r="D11" s="141" t="s">
        <v>874</v>
      </c>
      <c r="E11" s="214">
        <v>1</v>
      </c>
      <c r="F11" s="215"/>
      <c r="G11" s="215">
        <v>50</v>
      </c>
      <c r="H11" s="215">
        <v>15</v>
      </c>
      <c r="I11" s="215">
        <v>15</v>
      </c>
      <c r="J11" s="216">
        <v>750</v>
      </c>
      <c r="K11" s="1">
        <f>Inventory_List_Table34112022[[#This Row],[Q]]*Inventory_List_Table34112022[[#This Row],[Per piece MXN$]]</f>
        <v>750</v>
      </c>
      <c r="L11" s="14">
        <f>Inventory_List_Table34112022[[#This Row],[KG]]*2.20462</f>
        <v>0</v>
      </c>
      <c r="M11" s="2">
        <f>Inventory_List_Table34112022[[#This Row],[H CM]]/2.54</f>
        <v>19.685039370078741</v>
      </c>
      <c r="N11" s="2">
        <f>Inventory_List_Table34112022[[#This Row],[W CM]]/2.54</f>
        <v>5.9055118110236222</v>
      </c>
      <c r="O11" s="2">
        <f>Inventory_List_Table34112022[[#This Row],[D CM ]]/2.54</f>
        <v>5.9055118110236222</v>
      </c>
      <c r="P11" s="3">
        <f>Inventory_List_Table34112022[[#This Row],[Per piece MXN$]]/$U$2</f>
        <v>41.666666666666664</v>
      </c>
      <c r="Q11" s="3">
        <f t="shared" si="0"/>
        <v>42</v>
      </c>
      <c r="R11" s="3">
        <f>Inventory_List_Table34112022[[#This Row],[AQ ROUND]]*1.4</f>
        <v>58.8</v>
      </c>
      <c r="S11" s="3">
        <f t="shared" si="1"/>
        <v>59</v>
      </c>
      <c r="T11" s="3">
        <f>Inventory_List_Table34112022[[#This Row],[LND ROUND]]*8</f>
        <v>472</v>
      </c>
      <c r="U11" s="3">
        <f>Inventory_List_Table34112022[[#This Row],[AQ]]*Inventory_List_Table34112022[[#This Row],[Q]]</f>
        <v>41.666666666666664</v>
      </c>
      <c r="V11" s="74" t="s">
        <v>686</v>
      </c>
      <c r="W11" s="74" t="s">
        <v>685</v>
      </c>
      <c r="X11" s="45">
        <f>Inventory_List_Table34112022[[#This Row],[H CM]]*Inventory_List_Table34112022[[#This Row],[W CM]]*4+Inventory_List_Table34112022[[#This Row],[D CM ]]*Inventory_List_Table34112022[[#This Row],[D CM ]]</f>
        <v>3225</v>
      </c>
      <c r="Y11" s="75">
        <f>Inventory_List_Table34112022[[#This Row],[Per piece MXN$]]/X11*10000</f>
        <v>2325.5813953488373</v>
      </c>
    </row>
    <row r="12" spans="1:25" ht="30" customHeight="1" x14ac:dyDescent="0.25">
      <c r="A12" s="213" t="s">
        <v>155</v>
      </c>
      <c r="B12" s="69">
        <v>46039</v>
      </c>
      <c r="C12" s="70" t="s">
        <v>393</v>
      </c>
      <c r="D12" s="141" t="s">
        <v>875</v>
      </c>
      <c r="E12" s="214">
        <v>3</v>
      </c>
      <c r="F12" s="215"/>
      <c r="G12" s="215">
        <v>30</v>
      </c>
      <c r="H12" s="215">
        <v>15</v>
      </c>
      <c r="I12" s="215">
        <v>15</v>
      </c>
      <c r="J12" s="216">
        <v>500</v>
      </c>
      <c r="K12" s="1">
        <f>Inventory_List_Table34112022[[#This Row],[Q]]*Inventory_List_Table34112022[[#This Row],[Per piece MXN$]]</f>
        <v>1500</v>
      </c>
      <c r="L12" s="14">
        <f>Inventory_List_Table34112022[[#This Row],[KG]]*2.20462</f>
        <v>0</v>
      </c>
      <c r="M12" s="2">
        <f>Inventory_List_Table34112022[[#This Row],[H CM]]/2.54</f>
        <v>11.811023622047244</v>
      </c>
      <c r="N12" s="2">
        <f>Inventory_List_Table34112022[[#This Row],[W CM]]/2.54</f>
        <v>5.9055118110236222</v>
      </c>
      <c r="O12" s="2">
        <f>Inventory_List_Table34112022[[#This Row],[D CM ]]/2.54</f>
        <v>5.9055118110236222</v>
      </c>
      <c r="P12" s="3">
        <f>Inventory_List_Table34112022[[#This Row],[Per piece MXN$]]/$U$2</f>
        <v>27.777777777777779</v>
      </c>
      <c r="Q12" s="3">
        <f t="shared" si="0"/>
        <v>28</v>
      </c>
      <c r="R12" s="3">
        <f>Inventory_List_Table34112022[[#This Row],[AQ ROUND]]*1.4</f>
        <v>39.199999999999996</v>
      </c>
      <c r="S12" s="3">
        <f t="shared" si="1"/>
        <v>39</v>
      </c>
      <c r="T12" s="3">
        <f>Inventory_List_Table34112022[[#This Row],[LND ROUND]]*8</f>
        <v>312</v>
      </c>
      <c r="U12" s="3">
        <f>Inventory_List_Table34112022[[#This Row],[AQ]]*Inventory_List_Table34112022[[#This Row],[Q]]</f>
        <v>83.333333333333343</v>
      </c>
      <c r="V12" s="74" t="s">
        <v>713</v>
      </c>
      <c r="W12" s="74" t="s">
        <v>712</v>
      </c>
      <c r="X12" s="45">
        <f>Inventory_List_Table34112022[[#This Row],[H CM]]*Inventory_List_Table34112022[[#This Row],[W CM]]*4+Inventory_List_Table34112022[[#This Row],[D CM ]]*Inventory_List_Table34112022[[#This Row],[D CM ]]</f>
        <v>2025</v>
      </c>
      <c r="Y12" s="75">
        <f>Inventory_List_Table34112022[[#This Row],[Per piece MXN$]]/X12*10000</f>
        <v>2469.1358024691358</v>
      </c>
    </row>
    <row r="13" spans="1:25" ht="30" customHeight="1" x14ac:dyDescent="0.25">
      <c r="A13" s="213" t="s">
        <v>156</v>
      </c>
      <c r="B13" s="69">
        <v>46039</v>
      </c>
      <c r="C13" s="70" t="s">
        <v>397</v>
      </c>
      <c r="D13" s="141" t="s">
        <v>876</v>
      </c>
      <c r="E13" s="214">
        <v>2</v>
      </c>
      <c r="F13" s="215"/>
      <c r="G13" s="215">
        <v>30</v>
      </c>
      <c r="H13" s="215">
        <v>15</v>
      </c>
      <c r="I13" s="215">
        <v>15</v>
      </c>
      <c r="J13" s="216">
        <v>500</v>
      </c>
      <c r="K13" s="1">
        <f>Inventory_List_Table34112022[[#This Row],[Q]]*Inventory_List_Table34112022[[#This Row],[Per piece MXN$]]</f>
        <v>1000</v>
      </c>
      <c r="L13" s="14">
        <f>Inventory_List_Table34112022[[#This Row],[KG]]*2.20462</f>
        <v>0</v>
      </c>
      <c r="M13" s="2">
        <f>Inventory_List_Table34112022[[#This Row],[H CM]]/2.54</f>
        <v>11.811023622047244</v>
      </c>
      <c r="N13" s="2">
        <f>Inventory_List_Table34112022[[#This Row],[W CM]]/2.54</f>
        <v>5.9055118110236222</v>
      </c>
      <c r="O13" s="2">
        <f>Inventory_List_Table34112022[[#This Row],[D CM ]]/2.54</f>
        <v>5.9055118110236222</v>
      </c>
      <c r="P13" s="3">
        <f>Inventory_List_Table34112022[[#This Row],[Per piece MXN$]]/$U$2</f>
        <v>27.777777777777779</v>
      </c>
      <c r="Q13" s="3">
        <f t="shared" si="0"/>
        <v>28</v>
      </c>
      <c r="R13" s="3">
        <f>Inventory_List_Table34112022[[#This Row],[AQ ROUND]]*1.4</f>
        <v>39.199999999999996</v>
      </c>
      <c r="S13" s="3">
        <f t="shared" si="1"/>
        <v>39</v>
      </c>
      <c r="T13" s="3">
        <f>Inventory_List_Table34112022[[#This Row],[LND ROUND]]*8</f>
        <v>312</v>
      </c>
      <c r="U13" s="3">
        <f>Inventory_List_Table34112022[[#This Row],[AQ]]*Inventory_List_Table34112022[[#This Row],[Q]]</f>
        <v>55.555555555555557</v>
      </c>
      <c r="V13" s="74" t="s">
        <v>713</v>
      </c>
      <c r="W13" s="74" t="s">
        <v>712</v>
      </c>
      <c r="X13" s="45">
        <f>Inventory_List_Table34112022[[#This Row],[H CM]]*Inventory_List_Table34112022[[#This Row],[W CM]]*4+Inventory_List_Table34112022[[#This Row],[D CM ]]*Inventory_List_Table34112022[[#This Row],[D CM ]]</f>
        <v>2025</v>
      </c>
      <c r="Y13" s="75">
        <f>Inventory_List_Table34112022[[#This Row],[Per piece MXN$]]/X13*10000</f>
        <v>2469.1358024691358</v>
      </c>
    </row>
    <row r="14" spans="1:25" ht="30" customHeight="1" x14ac:dyDescent="0.25">
      <c r="A14" s="213" t="s">
        <v>157</v>
      </c>
      <c r="B14" s="69">
        <v>46039</v>
      </c>
      <c r="C14" s="70" t="s">
        <v>396</v>
      </c>
      <c r="D14" s="141" t="s">
        <v>877</v>
      </c>
      <c r="E14" s="214">
        <v>1</v>
      </c>
      <c r="F14" s="215"/>
      <c r="G14" s="215">
        <v>50</v>
      </c>
      <c r="H14" s="215">
        <v>15</v>
      </c>
      <c r="I14" s="215">
        <v>15</v>
      </c>
      <c r="J14" s="216">
        <v>750</v>
      </c>
      <c r="K14" s="1">
        <f>Inventory_List_Table34112022[[#This Row],[Q]]*Inventory_List_Table34112022[[#This Row],[Per piece MXN$]]</f>
        <v>750</v>
      </c>
      <c r="L14" s="14">
        <f>Inventory_List_Table34112022[[#This Row],[KG]]*2.20462</f>
        <v>0</v>
      </c>
      <c r="M14" s="2">
        <f>Inventory_List_Table34112022[[#This Row],[H CM]]/2.54</f>
        <v>19.685039370078741</v>
      </c>
      <c r="N14" s="2">
        <f>Inventory_List_Table34112022[[#This Row],[W CM]]/2.54</f>
        <v>5.9055118110236222</v>
      </c>
      <c r="O14" s="2">
        <f>Inventory_List_Table34112022[[#This Row],[D CM ]]/2.54</f>
        <v>5.9055118110236222</v>
      </c>
      <c r="P14" s="3">
        <f>Inventory_List_Table34112022[[#This Row],[Per piece MXN$]]/$U$2</f>
        <v>41.666666666666664</v>
      </c>
      <c r="Q14" s="3">
        <f t="shared" si="0"/>
        <v>42</v>
      </c>
      <c r="R14" s="3">
        <f>Inventory_List_Table34112022[[#This Row],[AQ ROUND]]*1.4</f>
        <v>58.8</v>
      </c>
      <c r="S14" s="3">
        <f t="shared" si="1"/>
        <v>59</v>
      </c>
      <c r="T14" s="3">
        <f>Inventory_List_Table34112022[[#This Row],[LND ROUND]]*8</f>
        <v>472</v>
      </c>
      <c r="U14" s="3">
        <f>Inventory_List_Table34112022[[#This Row],[AQ]]*Inventory_List_Table34112022[[#This Row],[Q]]</f>
        <v>41.666666666666664</v>
      </c>
      <c r="V14" s="74" t="s">
        <v>686</v>
      </c>
      <c r="W14" s="74" t="s">
        <v>685</v>
      </c>
      <c r="X14" s="45">
        <f>Inventory_List_Table34112022[[#This Row],[H CM]]*Inventory_List_Table34112022[[#This Row],[W CM]]*4+Inventory_List_Table34112022[[#This Row],[D CM ]]*Inventory_List_Table34112022[[#This Row],[D CM ]]</f>
        <v>3225</v>
      </c>
      <c r="Y14" s="75">
        <f>Inventory_List_Table34112022[[#This Row],[Per piece MXN$]]/X14*10000</f>
        <v>2325.5813953488373</v>
      </c>
    </row>
    <row r="15" spans="1:25" ht="30" customHeight="1" x14ac:dyDescent="0.25">
      <c r="A15" s="213" t="s">
        <v>158</v>
      </c>
      <c r="B15" s="69">
        <v>46039</v>
      </c>
      <c r="C15" s="70" t="s">
        <v>398</v>
      </c>
      <c r="D15" s="141" t="s">
        <v>878</v>
      </c>
      <c r="E15" s="214">
        <v>1</v>
      </c>
      <c r="F15" s="215"/>
      <c r="G15" s="215">
        <v>45</v>
      </c>
      <c r="H15" s="215">
        <v>15</v>
      </c>
      <c r="I15" s="215">
        <v>15</v>
      </c>
      <c r="J15" s="216">
        <v>725</v>
      </c>
      <c r="K15" s="1">
        <f>Inventory_List_Table34112022[[#This Row],[Q]]*Inventory_List_Table34112022[[#This Row],[Per piece MXN$]]</f>
        <v>725</v>
      </c>
      <c r="L15" s="14">
        <f>Inventory_List_Table34112022[[#This Row],[KG]]*2.20462</f>
        <v>0</v>
      </c>
      <c r="M15" s="2">
        <f>Inventory_List_Table34112022[[#This Row],[H CM]]/2.54</f>
        <v>17.716535433070867</v>
      </c>
      <c r="N15" s="2">
        <f>Inventory_List_Table34112022[[#This Row],[W CM]]/2.54</f>
        <v>5.9055118110236222</v>
      </c>
      <c r="O15" s="2">
        <f>Inventory_List_Table34112022[[#This Row],[D CM ]]/2.54</f>
        <v>5.9055118110236222</v>
      </c>
      <c r="P15" s="3">
        <f>Inventory_List_Table34112022[[#This Row],[Per piece MXN$]]/$U$2</f>
        <v>40.277777777777779</v>
      </c>
      <c r="Q15" s="3">
        <f t="shared" si="0"/>
        <v>40</v>
      </c>
      <c r="R15" s="3">
        <f>Inventory_List_Table34112022[[#This Row],[AQ ROUND]]*1.4</f>
        <v>56</v>
      </c>
      <c r="S15" s="3">
        <f t="shared" si="1"/>
        <v>56</v>
      </c>
      <c r="T15" s="3">
        <f>Inventory_List_Table34112022[[#This Row],[LND ROUND]]*8</f>
        <v>448</v>
      </c>
      <c r="U15" s="3">
        <f>Inventory_List_Table34112022[[#This Row],[AQ]]*Inventory_List_Table34112022[[#This Row],[Q]]</f>
        <v>40.277777777777779</v>
      </c>
      <c r="V15" s="74" t="s">
        <v>871</v>
      </c>
      <c r="W15" s="74" t="s">
        <v>729</v>
      </c>
      <c r="X15" s="45">
        <f>Inventory_List_Table34112022[[#This Row],[H CM]]*Inventory_List_Table34112022[[#This Row],[W CM]]*4+Inventory_List_Table34112022[[#This Row],[D CM ]]*Inventory_List_Table34112022[[#This Row],[D CM ]]</f>
        <v>2925</v>
      </c>
      <c r="Y15" s="75">
        <f>Inventory_List_Table34112022[[#This Row],[Per piece MXN$]]/X15*10000</f>
        <v>2478.6324786324785</v>
      </c>
    </row>
    <row r="16" spans="1:25" ht="30" customHeight="1" x14ac:dyDescent="0.25">
      <c r="A16" s="213" t="s">
        <v>159</v>
      </c>
      <c r="B16" s="69">
        <v>46039</v>
      </c>
      <c r="C16" s="70" t="s">
        <v>393</v>
      </c>
      <c r="D16" s="141" t="s">
        <v>879</v>
      </c>
      <c r="E16" s="214">
        <v>2</v>
      </c>
      <c r="F16" s="215"/>
      <c r="G16" s="215">
        <v>45</v>
      </c>
      <c r="H16" s="215">
        <v>15</v>
      </c>
      <c r="I16" s="215">
        <v>15</v>
      </c>
      <c r="J16" s="216">
        <v>725</v>
      </c>
      <c r="K16" s="1">
        <f>Inventory_List_Table34112022[[#This Row],[Q]]*Inventory_List_Table34112022[[#This Row],[Per piece MXN$]]</f>
        <v>1450</v>
      </c>
      <c r="L16" s="14">
        <f>Inventory_List_Table34112022[[#This Row],[KG]]*2.20462</f>
        <v>0</v>
      </c>
      <c r="M16" s="2">
        <f>Inventory_List_Table34112022[[#This Row],[H CM]]/2.54</f>
        <v>17.716535433070867</v>
      </c>
      <c r="N16" s="2">
        <f>Inventory_List_Table34112022[[#This Row],[W CM]]/2.54</f>
        <v>5.9055118110236222</v>
      </c>
      <c r="O16" s="2">
        <f>Inventory_List_Table34112022[[#This Row],[D CM ]]/2.54</f>
        <v>5.9055118110236222</v>
      </c>
      <c r="P16" s="3">
        <f>Inventory_List_Table34112022[[#This Row],[Per piece MXN$]]/$U$2</f>
        <v>40.277777777777779</v>
      </c>
      <c r="Q16" s="3">
        <f t="shared" si="0"/>
        <v>40</v>
      </c>
      <c r="R16" s="3">
        <f>Inventory_List_Table34112022[[#This Row],[AQ ROUND]]*1.4</f>
        <v>56</v>
      </c>
      <c r="S16" s="3">
        <f t="shared" si="1"/>
        <v>56</v>
      </c>
      <c r="T16" s="3">
        <f>Inventory_List_Table34112022[[#This Row],[LND ROUND]]*8</f>
        <v>448</v>
      </c>
      <c r="U16" s="3">
        <f>Inventory_List_Table34112022[[#This Row],[AQ]]*Inventory_List_Table34112022[[#This Row],[Q]]</f>
        <v>80.555555555555557</v>
      </c>
      <c r="V16" s="74" t="s">
        <v>871</v>
      </c>
      <c r="W16" s="74" t="s">
        <v>729</v>
      </c>
      <c r="X16" s="45">
        <f>Inventory_List_Table34112022[[#This Row],[H CM]]*Inventory_List_Table34112022[[#This Row],[W CM]]*4+Inventory_List_Table34112022[[#This Row],[D CM ]]*Inventory_List_Table34112022[[#This Row],[D CM ]]</f>
        <v>2925</v>
      </c>
      <c r="Y16" s="75">
        <f>Inventory_List_Table34112022[[#This Row],[Per piece MXN$]]/X16*10000</f>
        <v>2478.6324786324785</v>
      </c>
    </row>
    <row r="17" spans="1:31" ht="30" customHeight="1" x14ac:dyDescent="0.25">
      <c r="A17" s="213" t="s">
        <v>160</v>
      </c>
      <c r="B17" s="69">
        <v>46039</v>
      </c>
      <c r="C17" s="70" t="s">
        <v>397</v>
      </c>
      <c r="D17" s="141" t="s">
        <v>880</v>
      </c>
      <c r="E17" s="214">
        <v>1</v>
      </c>
      <c r="F17" s="215"/>
      <c r="G17" s="215">
        <v>35</v>
      </c>
      <c r="H17" s="215">
        <v>15</v>
      </c>
      <c r="I17" s="215">
        <v>15</v>
      </c>
      <c r="J17" s="216">
        <v>575</v>
      </c>
      <c r="K17" s="1">
        <f>Inventory_List_Table34112022[[#This Row],[Q]]*Inventory_List_Table34112022[[#This Row],[Per piece MXN$]]</f>
        <v>575</v>
      </c>
      <c r="L17" s="14">
        <f>Inventory_List_Table34112022[[#This Row],[KG]]*2.20462</f>
        <v>0</v>
      </c>
      <c r="M17" s="2">
        <f>Inventory_List_Table34112022[[#This Row],[H CM]]/2.54</f>
        <v>13.779527559055119</v>
      </c>
      <c r="N17" s="2">
        <f>Inventory_List_Table34112022[[#This Row],[W CM]]/2.54</f>
        <v>5.9055118110236222</v>
      </c>
      <c r="O17" s="2">
        <f>Inventory_List_Table34112022[[#This Row],[D CM ]]/2.54</f>
        <v>5.9055118110236222</v>
      </c>
      <c r="P17" s="3">
        <f>Inventory_List_Table34112022[[#This Row],[Per piece MXN$]]/$U$2</f>
        <v>31.944444444444443</v>
      </c>
      <c r="Q17" s="3">
        <f t="shared" si="0"/>
        <v>32</v>
      </c>
      <c r="R17" s="3">
        <f>Inventory_List_Table34112022[[#This Row],[AQ ROUND]]*1.4</f>
        <v>44.8</v>
      </c>
      <c r="S17" s="3">
        <f t="shared" si="1"/>
        <v>45</v>
      </c>
      <c r="T17" s="3">
        <f>Inventory_List_Table34112022[[#This Row],[LND ROUND]]*8</f>
        <v>360</v>
      </c>
      <c r="U17" s="3">
        <f>Inventory_List_Table34112022[[#This Row],[AQ]]*Inventory_List_Table34112022[[#This Row],[Q]]</f>
        <v>31.944444444444443</v>
      </c>
      <c r="V17" s="74" t="s">
        <v>688</v>
      </c>
      <c r="W17" s="74" t="s">
        <v>855</v>
      </c>
      <c r="X17" s="45">
        <f>Inventory_List_Table34112022[[#This Row],[H CM]]*Inventory_List_Table34112022[[#This Row],[W CM]]*4+Inventory_List_Table34112022[[#This Row],[D CM ]]*Inventory_List_Table34112022[[#This Row],[D CM ]]</f>
        <v>2325</v>
      </c>
      <c r="Y17" s="75">
        <f>Inventory_List_Table34112022[[#This Row],[Per piece MXN$]]/X17*10000</f>
        <v>2473.1182795698924</v>
      </c>
    </row>
    <row r="18" spans="1:31" ht="30" customHeight="1" x14ac:dyDescent="0.25">
      <c r="A18" s="213" t="s">
        <v>161</v>
      </c>
      <c r="B18" s="69">
        <v>46039</v>
      </c>
      <c r="C18" s="70" t="s">
        <v>396</v>
      </c>
      <c r="D18" s="141" t="s">
        <v>881</v>
      </c>
      <c r="E18" s="214">
        <v>1</v>
      </c>
      <c r="F18" s="215"/>
      <c r="G18" s="215">
        <v>35</v>
      </c>
      <c r="H18" s="215">
        <v>15</v>
      </c>
      <c r="I18" s="215">
        <v>15</v>
      </c>
      <c r="J18" s="216">
        <v>575</v>
      </c>
      <c r="K18" s="1">
        <f>Inventory_List_Table34112022[[#This Row],[Q]]*Inventory_List_Table34112022[[#This Row],[Per piece MXN$]]</f>
        <v>575</v>
      </c>
      <c r="L18" s="14">
        <f>Inventory_List_Table34112022[[#This Row],[KG]]*2.20462</f>
        <v>0</v>
      </c>
      <c r="M18" s="2">
        <f>Inventory_List_Table34112022[[#This Row],[H CM]]/2.54</f>
        <v>13.779527559055119</v>
      </c>
      <c r="N18" s="2">
        <f>Inventory_List_Table34112022[[#This Row],[W CM]]/2.54</f>
        <v>5.9055118110236222</v>
      </c>
      <c r="O18" s="2">
        <f>Inventory_List_Table34112022[[#This Row],[D CM ]]/2.54</f>
        <v>5.9055118110236222</v>
      </c>
      <c r="P18" s="3">
        <f>Inventory_List_Table34112022[[#This Row],[Per piece MXN$]]/$U$2</f>
        <v>31.944444444444443</v>
      </c>
      <c r="Q18" s="3">
        <f t="shared" si="0"/>
        <v>32</v>
      </c>
      <c r="R18" s="3">
        <f>Inventory_List_Table34112022[[#This Row],[AQ ROUND]]*1.4</f>
        <v>44.8</v>
      </c>
      <c r="S18" s="3">
        <f t="shared" si="1"/>
        <v>45</v>
      </c>
      <c r="T18" s="3">
        <f>Inventory_List_Table34112022[[#This Row],[LND ROUND]]*8</f>
        <v>360</v>
      </c>
      <c r="U18" s="3">
        <f>Inventory_List_Table34112022[[#This Row],[AQ]]*Inventory_List_Table34112022[[#This Row],[Q]]</f>
        <v>31.944444444444443</v>
      </c>
      <c r="V18" s="74" t="s">
        <v>688</v>
      </c>
      <c r="W18" s="74" t="s">
        <v>855</v>
      </c>
      <c r="X18" s="45">
        <f>Inventory_List_Table34112022[[#This Row],[H CM]]*Inventory_List_Table34112022[[#This Row],[W CM]]*4+Inventory_List_Table34112022[[#This Row],[D CM ]]*Inventory_List_Table34112022[[#This Row],[D CM ]]</f>
        <v>2325</v>
      </c>
      <c r="Y18" s="75">
        <f>Inventory_List_Table34112022[[#This Row],[Per piece MXN$]]/X18*10000</f>
        <v>2473.1182795698924</v>
      </c>
    </row>
    <row r="19" spans="1:31" ht="30" customHeight="1" x14ac:dyDescent="0.25">
      <c r="A19" s="213" t="s">
        <v>162</v>
      </c>
      <c r="B19" s="69">
        <v>46039</v>
      </c>
      <c r="C19" s="70" t="s">
        <v>399</v>
      </c>
      <c r="D19" s="141" t="s">
        <v>882</v>
      </c>
      <c r="E19" s="214">
        <v>1</v>
      </c>
      <c r="F19" s="215"/>
      <c r="G19" s="215">
        <v>30</v>
      </c>
      <c r="H19" s="215">
        <v>15</v>
      </c>
      <c r="I19" s="215">
        <v>15</v>
      </c>
      <c r="J19" s="216">
        <v>500</v>
      </c>
      <c r="K19" s="1">
        <f>Inventory_List_Table34112022[[#This Row],[Q]]*Inventory_List_Table34112022[[#This Row],[Per piece MXN$]]</f>
        <v>500</v>
      </c>
      <c r="L19" s="14">
        <f>Inventory_List_Table34112022[[#This Row],[KG]]*2.20462</f>
        <v>0</v>
      </c>
      <c r="M19" s="2">
        <f>Inventory_List_Table34112022[[#This Row],[H CM]]/2.54</f>
        <v>11.811023622047244</v>
      </c>
      <c r="N19" s="2">
        <f>Inventory_List_Table34112022[[#This Row],[W CM]]/2.54</f>
        <v>5.9055118110236222</v>
      </c>
      <c r="O19" s="2">
        <f>Inventory_List_Table34112022[[#This Row],[D CM ]]/2.54</f>
        <v>5.9055118110236222</v>
      </c>
      <c r="P19" s="3">
        <f>Inventory_List_Table34112022[[#This Row],[Per piece MXN$]]/$U$2</f>
        <v>27.777777777777779</v>
      </c>
      <c r="Q19" s="3">
        <f t="shared" si="0"/>
        <v>28</v>
      </c>
      <c r="R19" s="3">
        <f>Inventory_List_Table34112022[[#This Row],[AQ ROUND]]*1.4</f>
        <v>39.199999999999996</v>
      </c>
      <c r="S19" s="3">
        <f t="shared" si="1"/>
        <v>39</v>
      </c>
      <c r="T19" s="3">
        <f>Inventory_List_Table34112022[[#This Row],[LND ROUND]]*8</f>
        <v>312</v>
      </c>
      <c r="U19" s="3">
        <f>Inventory_List_Table34112022[[#This Row],[AQ]]*Inventory_List_Table34112022[[#This Row],[Q]]</f>
        <v>27.777777777777779</v>
      </c>
      <c r="V19" s="74" t="s">
        <v>713</v>
      </c>
      <c r="W19" s="74" t="s">
        <v>712</v>
      </c>
      <c r="X19" s="45">
        <f>Inventory_List_Table34112022[[#This Row],[H CM]]*Inventory_List_Table34112022[[#This Row],[W CM]]*4+Inventory_List_Table34112022[[#This Row],[D CM ]]*Inventory_List_Table34112022[[#This Row],[D CM ]]</f>
        <v>2025</v>
      </c>
      <c r="Y19" s="75">
        <f>Inventory_List_Table34112022[[#This Row],[Per piece MXN$]]/X19*10000</f>
        <v>2469.1358024691358</v>
      </c>
    </row>
    <row r="20" spans="1:31" ht="30" customHeight="1" x14ac:dyDescent="0.25">
      <c r="A20" s="213" t="s">
        <v>163</v>
      </c>
      <c r="B20" s="69">
        <v>46039</v>
      </c>
      <c r="C20" s="70" t="s">
        <v>392</v>
      </c>
      <c r="D20" s="141" t="s">
        <v>883</v>
      </c>
      <c r="E20" s="214">
        <v>3</v>
      </c>
      <c r="F20" s="215"/>
      <c r="G20" s="215">
        <v>45</v>
      </c>
      <c r="H20" s="215">
        <v>15</v>
      </c>
      <c r="I20" s="215">
        <v>15</v>
      </c>
      <c r="J20" s="216">
        <v>725</v>
      </c>
      <c r="K20" s="1">
        <f>Inventory_List_Table34112022[[#This Row],[Q]]*Inventory_List_Table34112022[[#This Row],[Per piece MXN$]]</f>
        <v>2175</v>
      </c>
      <c r="L20" s="14">
        <f>Inventory_List_Table34112022[[#This Row],[KG]]*2.20462</f>
        <v>0</v>
      </c>
      <c r="M20" s="2">
        <f>Inventory_List_Table34112022[[#This Row],[H CM]]/2.54</f>
        <v>17.716535433070867</v>
      </c>
      <c r="N20" s="2">
        <f>Inventory_List_Table34112022[[#This Row],[W CM]]/2.54</f>
        <v>5.9055118110236222</v>
      </c>
      <c r="O20" s="2">
        <f>Inventory_List_Table34112022[[#This Row],[D CM ]]/2.54</f>
        <v>5.9055118110236222</v>
      </c>
      <c r="P20" s="3">
        <f>Inventory_List_Table34112022[[#This Row],[Per piece MXN$]]/$U$2</f>
        <v>40.277777777777779</v>
      </c>
      <c r="Q20" s="3">
        <f t="shared" si="0"/>
        <v>40</v>
      </c>
      <c r="R20" s="3">
        <f>Inventory_List_Table34112022[[#This Row],[AQ ROUND]]*1.4</f>
        <v>56</v>
      </c>
      <c r="S20" s="3">
        <f t="shared" si="1"/>
        <v>56</v>
      </c>
      <c r="T20" s="3">
        <f>Inventory_List_Table34112022[[#This Row],[LND ROUND]]*8</f>
        <v>448</v>
      </c>
      <c r="U20" s="3">
        <f>Inventory_List_Table34112022[[#This Row],[AQ]]*Inventory_List_Table34112022[[#This Row],[Q]]</f>
        <v>120.83333333333334</v>
      </c>
      <c r="V20" s="74" t="s">
        <v>871</v>
      </c>
      <c r="W20" s="74" t="s">
        <v>729</v>
      </c>
      <c r="X20" s="45">
        <f>Inventory_List_Table34112022[[#This Row],[H CM]]*Inventory_List_Table34112022[[#This Row],[W CM]]*4+Inventory_List_Table34112022[[#This Row],[D CM ]]*Inventory_List_Table34112022[[#This Row],[D CM ]]</f>
        <v>2925</v>
      </c>
      <c r="Y20" s="75">
        <f>Inventory_List_Table34112022[[#This Row],[Per piece MXN$]]/X20*10000</f>
        <v>2478.6324786324785</v>
      </c>
    </row>
    <row r="21" spans="1:31" ht="30" customHeight="1" x14ac:dyDescent="0.25">
      <c r="A21" s="213" t="s">
        <v>164</v>
      </c>
      <c r="B21" s="69">
        <v>46039</v>
      </c>
      <c r="C21" s="70" t="s">
        <v>400</v>
      </c>
      <c r="D21" s="141" t="s">
        <v>884</v>
      </c>
      <c r="E21" s="214">
        <v>6</v>
      </c>
      <c r="F21" s="215"/>
      <c r="G21" s="215">
        <v>50</v>
      </c>
      <c r="H21" s="215">
        <v>15</v>
      </c>
      <c r="I21" s="215">
        <v>15</v>
      </c>
      <c r="J21" s="216">
        <v>750</v>
      </c>
      <c r="K21" s="1">
        <f>Inventory_List_Table34112022[[#This Row],[Q]]*Inventory_List_Table34112022[[#This Row],[Per piece MXN$]]</f>
        <v>4500</v>
      </c>
      <c r="L21" s="14">
        <f>Inventory_List_Table34112022[[#This Row],[KG]]*2.20462</f>
        <v>0</v>
      </c>
      <c r="M21" s="2">
        <f>Inventory_List_Table34112022[[#This Row],[H CM]]/2.54</f>
        <v>19.685039370078741</v>
      </c>
      <c r="N21" s="2">
        <f>Inventory_List_Table34112022[[#This Row],[W CM]]/2.54</f>
        <v>5.9055118110236222</v>
      </c>
      <c r="O21" s="2">
        <f>Inventory_List_Table34112022[[#This Row],[D CM ]]/2.54</f>
        <v>5.9055118110236222</v>
      </c>
      <c r="P21" s="3">
        <f>Inventory_List_Table34112022[[#This Row],[Per piece MXN$]]/$U$2</f>
        <v>41.666666666666664</v>
      </c>
      <c r="Q21" s="3">
        <f t="shared" si="0"/>
        <v>42</v>
      </c>
      <c r="R21" s="3">
        <f>Inventory_List_Table34112022[[#This Row],[AQ ROUND]]*1.4</f>
        <v>58.8</v>
      </c>
      <c r="S21" s="3">
        <f t="shared" si="1"/>
        <v>59</v>
      </c>
      <c r="T21" s="3">
        <f>Inventory_List_Table34112022[[#This Row],[LND ROUND]]*8</f>
        <v>472</v>
      </c>
      <c r="U21" s="3">
        <f>Inventory_List_Table34112022[[#This Row],[AQ]]*Inventory_List_Table34112022[[#This Row],[Q]]</f>
        <v>250</v>
      </c>
      <c r="V21" s="74" t="s">
        <v>686</v>
      </c>
      <c r="W21" s="74" t="s">
        <v>685</v>
      </c>
      <c r="X21" s="45">
        <f>Inventory_List_Table34112022[[#This Row],[H CM]]*Inventory_List_Table34112022[[#This Row],[W CM]]*4+Inventory_List_Table34112022[[#This Row],[D CM ]]*Inventory_List_Table34112022[[#This Row],[D CM ]]</f>
        <v>3225</v>
      </c>
      <c r="Y21" s="75">
        <f>Inventory_List_Table34112022[[#This Row],[Per piece MXN$]]/X21*10000</f>
        <v>2325.5813953488373</v>
      </c>
    </row>
    <row r="22" spans="1:31" ht="30" customHeight="1" x14ac:dyDescent="0.25">
      <c r="A22" s="213" t="s">
        <v>165</v>
      </c>
      <c r="B22" s="69">
        <v>46039</v>
      </c>
      <c r="C22" s="70" t="s">
        <v>400</v>
      </c>
      <c r="D22" s="141" t="s">
        <v>885</v>
      </c>
      <c r="E22" s="214">
        <v>1</v>
      </c>
      <c r="F22" s="215"/>
      <c r="G22" s="215">
        <v>55</v>
      </c>
      <c r="H22" s="215">
        <v>15</v>
      </c>
      <c r="I22" s="215">
        <v>15</v>
      </c>
      <c r="J22" s="216">
        <v>875</v>
      </c>
      <c r="K22" s="1">
        <f>Inventory_List_Table34112022[[#This Row],[Q]]*Inventory_List_Table34112022[[#This Row],[Per piece MXN$]]</f>
        <v>875</v>
      </c>
      <c r="L22" s="14">
        <f>Inventory_List_Table34112022[[#This Row],[KG]]*2.20462</f>
        <v>0</v>
      </c>
      <c r="M22" s="2">
        <f>Inventory_List_Table34112022[[#This Row],[H CM]]/2.54</f>
        <v>21.653543307086615</v>
      </c>
      <c r="N22" s="2">
        <f>Inventory_List_Table34112022[[#This Row],[W CM]]/2.54</f>
        <v>5.9055118110236222</v>
      </c>
      <c r="O22" s="2">
        <f>Inventory_List_Table34112022[[#This Row],[D CM ]]/2.54</f>
        <v>5.9055118110236222</v>
      </c>
      <c r="P22" s="3">
        <f>Inventory_List_Table34112022[[#This Row],[Per piece MXN$]]/$U$2</f>
        <v>48.611111111111114</v>
      </c>
      <c r="Q22" s="3">
        <f t="shared" si="0"/>
        <v>49</v>
      </c>
      <c r="R22" s="3">
        <f>Inventory_List_Table34112022[[#This Row],[AQ ROUND]]*1.4</f>
        <v>68.599999999999994</v>
      </c>
      <c r="S22" s="3">
        <f t="shared" si="1"/>
        <v>69</v>
      </c>
      <c r="T22" s="3">
        <f>Inventory_List_Table34112022[[#This Row],[LND ROUND]]*8</f>
        <v>552</v>
      </c>
      <c r="U22" s="3">
        <f>Inventory_List_Table34112022[[#This Row],[AQ]]*Inventory_List_Table34112022[[#This Row],[Q]]</f>
        <v>48.611111111111114</v>
      </c>
      <c r="V22" s="74" t="s">
        <v>778</v>
      </c>
      <c r="W22" s="74" t="s">
        <v>815</v>
      </c>
      <c r="X22" s="45">
        <f>Inventory_List_Table34112022[[#This Row],[H CM]]*Inventory_List_Table34112022[[#This Row],[W CM]]*4+Inventory_List_Table34112022[[#This Row],[D CM ]]*Inventory_List_Table34112022[[#This Row],[D CM ]]</f>
        <v>3525</v>
      </c>
      <c r="Y22" s="75">
        <f>Inventory_List_Table34112022[[#This Row],[Per piece MXN$]]/X22*10000</f>
        <v>2482.2695035460993</v>
      </c>
    </row>
    <row r="23" spans="1:31" ht="30" customHeight="1" x14ac:dyDescent="0.25">
      <c r="A23" s="213" t="s">
        <v>166</v>
      </c>
      <c r="B23" s="69">
        <v>46039</v>
      </c>
      <c r="C23" s="70" t="s">
        <v>400</v>
      </c>
      <c r="D23" s="141" t="s">
        <v>886</v>
      </c>
      <c r="E23" s="214">
        <v>7</v>
      </c>
      <c r="F23" s="215"/>
      <c r="G23" s="215">
        <v>60</v>
      </c>
      <c r="H23" s="215">
        <v>15</v>
      </c>
      <c r="I23" s="215">
        <v>15</v>
      </c>
      <c r="J23" s="216">
        <v>950</v>
      </c>
      <c r="K23" s="1">
        <f>Inventory_List_Table34112022[[#This Row],[Q]]*Inventory_List_Table34112022[[#This Row],[Per piece MXN$]]</f>
        <v>6650</v>
      </c>
      <c r="L23" s="14">
        <f>Inventory_List_Table34112022[[#This Row],[KG]]*2.20462</f>
        <v>0</v>
      </c>
      <c r="M23" s="2">
        <f>Inventory_List_Table34112022[[#This Row],[H CM]]/2.54</f>
        <v>23.622047244094489</v>
      </c>
      <c r="N23" s="2">
        <f>Inventory_List_Table34112022[[#This Row],[W CM]]/2.54</f>
        <v>5.9055118110236222</v>
      </c>
      <c r="O23" s="2">
        <f>Inventory_List_Table34112022[[#This Row],[D CM ]]/2.54</f>
        <v>5.9055118110236222</v>
      </c>
      <c r="P23" s="3">
        <f>Inventory_List_Table34112022[[#This Row],[Per piece MXN$]]/$U$2</f>
        <v>52.777777777777779</v>
      </c>
      <c r="Q23" s="3">
        <f t="shared" si="0"/>
        <v>53</v>
      </c>
      <c r="R23" s="3">
        <f>Inventory_List_Table34112022[[#This Row],[AQ ROUND]]*1.4</f>
        <v>74.199999999999989</v>
      </c>
      <c r="S23" s="3">
        <f t="shared" si="1"/>
        <v>74</v>
      </c>
      <c r="T23" s="3">
        <f>Inventory_List_Table34112022[[#This Row],[LND ROUND]]*8</f>
        <v>592</v>
      </c>
      <c r="U23" s="3">
        <f>Inventory_List_Table34112022[[#This Row],[AQ]]*Inventory_List_Table34112022[[#This Row],[Q]]</f>
        <v>369.44444444444446</v>
      </c>
      <c r="V23" s="74" t="s">
        <v>888</v>
      </c>
      <c r="W23" s="74" t="s">
        <v>887</v>
      </c>
      <c r="X23" s="45">
        <f>Inventory_List_Table34112022[[#This Row],[H CM]]*Inventory_List_Table34112022[[#This Row],[W CM]]*4+Inventory_List_Table34112022[[#This Row],[D CM ]]*Inventory_List_Table34112022[[#This Row],[D CM ]]</f>
        <v>3825</v>
      </c>
      <c r="Y23" s="75">
        <f>Inventory_List_Table34112022[[#This Row],[Per piece MXN$]]/X23*10000</f>
        <v>2483.6601307189544</v>
      </c>
    </row>
    <row r="24" spans="1:31" ht="30" customHeight="1" x14ac:dyDescent="0.25">
      <c r="A24" s="213" t="s">
        <v>167</v>
      </c>
      <c r="B24" s="69">
        <v>46039</v>
      </c>
      <c r="C24" s="70" t="s">
        <v>400</v>
      </c>
      <c r="D24" s="141" t="s">
        <v>889</v>
      </c>
      <c r="E24" s="214">
        <v>2</v>
      </c>
      <c r="F24" s="215"/>
      <c r="G24" s="215">
        <v>65</v>
      </c>
      <c r="H24" s="215">
        <v>15</v>
      </c>
      <c r="I24" s="215">
        <v>15</v>
      </c>
      <c r="J24" s="216">
        <v>1025</v>
      </c>
      <c r="K24" s="1">
        <f>Inventory_List_Table34112022[[#This Row],[Q]]*Inventory_List_Table34112022[[#This Row],[Per piece MXN$]]</f>
        <v>2050</v>
      </c>
      <c r="L24" s="14">
        <f>Inventory_List_Table34112022[[#This Row],[KG]]*2.20462</f>
        <v>0</v>
      </c>
      <c r="M24" s="2">
        <f>Inventory_List_Table34112022[[#This Row],[H CM]]/2.54</f>
        <v>25.590551181102363</v>
      </c>
      <c r="N24" s="2">
        <f>Inventory_List_Table34112022[[#This Row],[W CM]]/2.54</f>
        <v>5.9055118110236222</v>
      </c>
      <c r="O24" s="2">
        <f>Inventory_List_Table34112022[[#This Row],[D CM ]]/2.54</f>
        <v>5.9055118110236222</v>
      </c>
      <c r="P24" s="3">
        <f>Inventory_List_Table34112022[[#This Row],[Per piece MXN$]]/$U$2</f>
        <v>56.944444444444443</v>
      </c>
      <c r="Q24" s="3">
        <f t="shared" si="0"/>
        <v>57</v>
      </c>
      <c r="R24" s="3">
        <f>Inventory_List_Table34112022[[#This Row],[AQ ROUND]]*1.4</f>
        <v>79.8</v>
      </c>
      <c r="S24" s="3">
        <f t="shared" si="1"/>
        <v>80</v>
      </c>
      <c r="T24" s="3">
        <f>Inventory_List_Table34112022[[#This Row],[LND ROUND]]*8</f>
        <v>640</v>
      </c>
      <c r="U24" s="3">
        <f>Inventory_List_Table34112022[[#This Row],[AQ]]*Inventory_List_Table34112022[[#This Row],[Q]]</f>
        <v>113.88888888888889</v>
      </c>
      <c r="V24" s="74" t="s">
        <v>741</v>
      </c>
      <c r="W24" s="74" t="s">
        <v>890</v>
      </c>
      <c r="X24" s="45">
        <f>Inventory_List_Table34112022[[#This Row],[H CM]]*Inventory_List_Table34112022[[#This Row],[W CM]]*4+Inventory_List_Table34112022[[#This Row],[D CM ]]*Inventory_List_Table34112022[[#This Row],[D CM ]]</f>
        <v>4125</v>
      </c>
      <c r="Y24" s="75">
        <f>Inventory_List_Table34112022[[#This Row],[Per piece MXN$]]/X24*10000</f>
        <v>2484.8484848484845</v>
      </c>
    </row>
    <row r="25" spans="1:31" ht="30" customHeight="1" x14ac:dyDescent="0.25">
      <c r="A25" s="213" t="s">
        <v>168</v>
      </c>
      <c r="B25" s="69">
        <v>46039</v>
      </c>
      <c r="C25" s="70" t="s">
        <v>395</v>
      </c>
      <c r="D25" s="141" t="s">
        <v>891</v>
      </c>
      <c r="E25" s="214">
        <v>3</v>
      </c>
      <c r="F25" s="215"/>
      <c r="G25" s="215">
        <v>50</v>
      </c>
      <c r="H25" s="215">
        <v>15</v>
      </c>
      <c r="I25" s="215">
        <v>15</v>
      </c>
      <c r="J25" s="216">
        <v>750</v>
      </c>
      <c r="K25" s="1">
        <f>Inventory_List_Table34112022[[#This Row],[Q]]*Inventory_List_Table34112022[[#This Row],[Per piece MXN$]]</f>
        <v>2250</v>
      </c>
      <c r="L25" s="14">
        <f>Inventory_List_Table34112022[[#This Row],[KG]]*2.20462</f>
        <v>0</v>
      </c>
      <c r="M25" s="2">
        <f>Inventory_List_Table34112022[[#This Row],[H CM]]/2.54</f>
        <v>19.685039370078741</v>
      </c>
      <c r="N25" s="2">
        <f>Inventory_List_Table34112022[[#This Row],[W CM]]/2.54</f>
        <v>5.9055118110236222</v>
      </c>
      <c r="O25" s="2">
        <f>Inventory_List_Table34112022[[#This Row],[D CM ]]/2.54</f>
        <v>5.9055118110236222</v>
      </c>
      <c r="P25" s="3">
        <f>Inventory_List_Table34112022[[#This Row],[Per piece MXN$]]/$U$2</f>
        <v>41.666666666666664</v>
      </c>
      <c r="Q25" s="3">
        <f t="shared" si="0"/>
        <v>42</v>
      </c>
      <c r="R25" s="3">
        <f>Inventory_List_Table34112022[[#This Row],[AQ ROUND]]*1.4</f>
        <v>58.8</v>
      </c>
      <c r="S25" s="3">
        <f t="shared" si="1"/>
        <v>59</v>
      </c>
      <c r="T25" s="3">
        <f>Inventory_List_Table34112022[[#This Row],[LND ROUND]]*8</f>
        <v>472</v>
      </c>
      <c r="U25" s="3">
        <f>Inventory_List_Table34112022[[#This Row],[AQ]]*Inventory_List_Table34112022[[#This Row],[Q]]</f>
        <v>125</v>
      </c>
      <c r="V25" s="74" t="s">
        <v>686</v>
      </c>
      <c r="W25" s="74" t="s">
        <v>685</v>
      </c>
      <c r="X25" s="45">
        <f>Inventory_List_Table34112022[[#This Row],[H CM]]*Inventory_List_Table34112022[[#This Row],[W CM]]*4+Inventory_List_Table34112022[[#This Row],[D CM ]]*Inventory_List_Table34112022[[#This Row],[D CM ]]</f>
        <v>3225</v>
      </c>
      <c r="Y25" s="75">
        <f>Inventory_List_Table34112022[[#This Row],[Per piece MXN$]]/X25*10000</f>
        <v>2325.5813953488373</v>
      </c>
    </row>
    <row r="26" spans="1:31" ht="30" customHeight="1" x14ac:dyDescent="0.25">
      <c r="A26" s="213" t="s">
        <v>169</v>
      </c>
      <c r="B26" s="69">
        <v>46039</v>
      </c>
      <c r="C26" s="70" t="s">
        <v>395</v>
      </c>
      <c r="D26" s="141" t="s">
        <v>892</v>
      </c>
      <c r="E26" s="214">
        <v>2</v>
      </c>
      <c r="F26" s="215"/>
      <c r="G26" s="215">
        <v>60</v>
      </c>
      <c r="H26" s="215">
        <v>15</v>
      </c>
      <c r="I26" s="215">
        <v>15</v>
      </c>
      <c r="J26" s="216">
        <v>950</v>
      </c>
      <c r="K26" s="1">
        <f>Inventory_List_Table34112022[[#This Row],[Q]]*Inventory_List_Table34112022[[#This Row],[Per piece MXN$]]</f>
        <v>1900</v>
      </c>
      <c r="L26" s="14">
        <f>Inventory_List_Table34112022[[#This Row],[KG]]*2.20462</f>
        <v>0</v>
      </c>
      <c r="M26" s="2">
        <f>Inventory_List_Table34112022[[#This Row],[H CM]]/2.54</f>
        <v>23.622047244094489</v>
      </c>
      <c r="N26" s="2">
        <f>Inventory_List_Table34112022[[#This Row],[W CM]]/2.54</f>
        <v>5.9055118110236222</v>
      </c>
      <c r="O26" s="2">
        <f>Inventory_List_Table34112022[[#This Row],[D CM ]]/2.54</f>
        <v>5.9055118110236222</v>
      </c>
      <c r="P26" s="3">
        <f>Inventory_List_Table34112022[[#This Row],[Per piece MXN$]]/$U$2</f>
        <v>52.777777777777779</v>
      </c>
      <c r="Q26" s="3">
        <f t="shared" si="0"/>
        <v>53</v>
      </c>
      <c r="R26" s="3">
        <f>Inventory_List_Table34112022[[#This Row],[AQ ROUND]]*1.4</f>
        <v>74.199999999999989</v>
      </c>
      <c r="S26" s="3">
        <f t="shared" si="1"/>
        <v>74</v>
      </c>
      <c r="T26" s="3">
        <f>Inventory_List_Table34112022[[#This Row],[LND ROUND]]*8</f>
        <v>592</v>
      </c>
      <c r="U26" s="3">
        <f>Inventory_List_Table34112022[[#This Row],[AQ]]*Inventory_List_Table34112022[[#This Row],[Q]]</f>
        <v>105.55555555555556</v>
      </c>
      <c r="V26" s="74" t="s">
        <v>888</v>
      </c>
      <c r="W26" s="74" t="s">
        <v>887</v>
      </c>
      <c r="X26" s="45">
        <f>Inventory_List_Table34112022[[#This Row],[H CM]]*Inventory_List_Table34112022[[#This Row],[W CM]]*4+Inventory_List_Table34112022[[#This Row],[D CM ]]*Inventory_List_Table34112022[[#This Row],[D CM ]]</f>
        <v>3825</v>
      </c>
      <c r="Y26" s="75">
        <f>Inventory_List_Table34112022[[#This Row],[Per piece MXN$]]/X26*10000</f>
        <v>2483.6601307189544</v>
      </c>
    </row>
    <row r="27" spans="1:31" s="218" customFormat="1" ht="30" customHeight="1" x14ac:dyDescent="0.25">
      <c r="A27" s="217" t="s">
        <v>170</v>
      </c>
      <c r="B27" s="69">
        <v>46039</v>
      </c>
      <c r="C27" s="70" t="s">
        <v>392</v>
      </c>
      <c r="D27" s="141" t="s">
        <v>893</v>
      </c>
      <c r="E27" s="214">
        <v>3</v>
      </c>
      <c r="F27" s="215"/>
      <c r="G27" s="215">
        <v>60</v>
      </c>
      <c r="H27" s="215">
        <v>15</v>
      </c>
      <c r="I27" s="215">
        <v>15</v>
      </c>
      <c r="J27" s="216">
        <v>950</v>
      </c>
      <c r="K27" s="1">
        <f>Inventory_List_Table34112022[[#This Row],[Q]]*Inventory_List_Table34112022[[#This Row],[Per piece MXN$]]</f>
        <v>2850</v>
      </c>
      <c r="L27" s="14">
        <f>Inventory_List_Table34112022[[#This Row],[KG]]*2.20462</f>
        <v>0</v>
      </c>
      <c r="M27" s="2">
        <f>Inventory_List_Table34112022[[#This Row],[H CM]]/2.54</f>
        <v>23.622047244094489</v>
      </c>
      <c r="N27" s="2">
        <f>Inventory_List_Table34112022[[#This Row],[W CM]]/2.54</f>
        <v>5.9055118110236222</v>
      </c>
      <c r="O27" s="2">
        <f>Inventory_List_Table34112022[[#This Row],[D CM ]]/2.54</f>
        <v>5.9055118110236222</v>
      </c>
      <c r="P27" s="3">
        <f>Inventory_List_Table34112022[[#This Row],[Per piece MXN$]]/$U$2</f>
        <v>52.777777777777779</v>
      </c>
      <c r="Q27" s="3">
        <f t="shared" si="0"/>
        <v>53</v>
      </c>
      <c r="R27" s="3">
        <f>Inventory_List_Table34112022[[#This Row],[AQ ROUND]]*1.4</f>
        <v>74.199999999999989</v>
      </c>
      <c r="S27" s="3">
        <f t="shared" si="1"/>
        <v>74</v>
      </c>
      <c r="T27" s="3">
        <f>Inventory_List_Table34112022[[#This Row],[LND ROUND]]*8</f>
        <v>592</v>
      </c>
      <c r="U27" s="3">
        <f>Inventory_List_Table34112022[[#This Row],[AQ]]*Inventory_List_Table34112022[[#This Row],[Q]]</f>
        <v>158.33333333333334</v>
      </c>
      <c r="V27" s="74" t="s">
        <v>888</v>
      </c>
      <c r="W27" s="74" t="s">
        <v>887</v>
      </c>
      <c r="X27" s="45">
        <f>Inventory_List_Table34112022[[#This Row],[H CM]]*Inventory_List_Table34112022[[#This Row],[W CM]]*4+Inventory_List_Table34112022[[#This Row],[D CM ]]*Inventory_List_Table34112022[[#This Row],[D CM ]]</f>
        <v>3825</v>
      </c>
      <c r="Y27" s="75">
        <f>Inventory_List_Table34112022[[#This Row],[Per piece MXN$]]/X27*10000</f>
        <v>2483.6601307189544</v>
      </c>
      <c r="Z27"/>
      <c r="AA27"/>
      <c r="AB27"/>
      <c r="AC27"/>
      <c r="AD27"/>
      <c r="AE27"/>
    </row>
    <row r="28" spans="1:31" s="218" customFormat="1" ht="30" customHeight="1" x14ac:dyDescent="0.25">
      <c r="A28" s="217" t="s">
        <v>171</v>
      </c>
      <c r="B28" s="69">
        <v>46039</v>
      </c>
      <c r="C28" s="70" t="s">
        <v>392</v>
      </c>
      <c r="D28" s="141" t="s">
        <v>894</v>
      </c>
      <c r="E28" s="214">
        <v>3</v>
      </c>
      <c r="F28" s="215"/>
      <c r="G28" s="215">
        <v>65</v>
      </c>
      <c r="H28" s="215">
        <v>15</v>
      </c>
      <c r="I28" s="215">
        <v>15</v>
      </c>
      <c r="J28" s="216">
        <v>1025</v>
      </c>
      <c r="K28" s="1">
        <f>Inventory_List_Table34112022[[#This Row],[Q]]*Inventory_List_Table34112022[[#This Row],[Per piece MXN$]]</f>
        <v>3075</v>
      </c>
      <c r="L28" s="14">
        <f>Inventory_List_Table34112022[[#This Row],[KG]]*2.20462</f>
        <v>0</v>
      </c>
      <c r="M28" s="2">
        <f>Inventory_List_Table34112022[[#This Row],[H CM]]/2.54</f>
        <v>25.590551181102363</v>
      </c>
      <c r="N28" s="2">
        <f>Inventory_List_Table34112022[[#This Row],[W CM]]/2.54</f>
        <v>5.9055118110236222</v>
      </c>
      <c r="O28" s="2">
        <f>Inventory_List_Table34112022[[#This Row],[D CM ]]/2.54</f>
        <v>5.9055118110236222</v>
      </c>
      <c r="P28" s="3">
        <f>Inventory_List_Table34112022[[#This Row],[Per piece MXN$]]/$U$2</f>
        <v>56.944444444444443</v>
      </c>
      <c r="Q28" s="3">
        <f t="shared" si="0"/>
        <v>57</v>
      </c>
      <c r="R28" s="3">
        <f>Inventory_List_Table34112022[[#This Row],[AQ ROUND]]*1.4</f>
        <v>79.8</v>
      </c>
      <c r="S28" s="3">
        <f t="shared" si="1"/>
        <v>80</v>
      </c>
      <c r="T28" s="3">
        <f>Inventory_List_Table34112022[[#This Row],[LND ROUND]]*8</f>
        <v>640</v>
      </c>
      <c r="U28" s="3">
        <f>Inventory_List_Table34112022[[#This Row],[AQ]]*Inventory_List_Table34112022[[#This Row],[Q]]</f>
        <v>170.83333333333331</v>
      </c>
      <c r="V28" s="74" t="s">
        <v>741</v>
      </c>
      <c r="W28" s="74" t="s">
        <v>890</v>
      </c>
      <c r="X28" s="45">
        <f>Inventory_List_Table34112022[[#This Row],[H CM]]*Inventory_List_Table34112022[[#This Row],[W CM]]*4+Inventory_List_Table34112022[[#This Row],[D CM ]]*Inventory_List_Table34112022[[#This Row],[D CM ]]</f>
        <v>4125</v>
      </c>
      <c r="Y28" s="75">
        <f>Inventory_List_Table34112022[[#This Row],[Per piece MXN$]]/X28*10000</f>
        <v>2484.8484848484845</v>
      </c>
      <c r="Z28"/>
      <c r="AA28"/>
      <c r="AB28"/>
      <c r="AC28"/>
      <c r="AD28"/>
      <c r="AE28"/>
    </row>
    <row r="29" spans="1:31" ht="30" customHeight="1" x14ac:dyDescent="0.25">
      <c r="A29" s="217" t="s">
        <v>183</v>
      </c>
      <c r="B29" s="69">
        <v>46039</v>
      </c>
      <c r="C29" s="70" t="s">
        <v>395</v>
      </c>
      <c r="D29" s="141" t="s">
        <v>895</v>
      </c>
      <c r="E29" s="219">
        <v>1</v>
      </c>
      <c r="F29" s="220"/>
      <c r="G29" s="220">
        <v>55</v>
      </c>
      <c r="H29" s="220">
        <v>15</v>
      </c>
      <c r="I29" s="220">
        <v>15</v>
      </c>
      <c r="J29" s="221">
        <v>875</v>
      </c>
      <c r="K29" s="222">
        <f>Inventory_List_Table34112022[[#This Row],[Q]]*Inventory_List_Table34112022[[#This Row],[Per piece MXN$]]</f>
        <v>875</v>
      </c>
      <c r="L29" s="223">
        <f>Inventory_List_Table34112022[[#This Row],[KG]]*2.20462</f>
        <v>0</v>
      </c>
      <c r="M29" s="223">
        <f>Inventory_List_Table34112022[[#This Row],[H CM]]/2.54</f>
        <v>21.653543307086615</v>
      </c>
      <c r="N29" s="223">
        <f>Inventory_List_Table34112022[[#This Row],[W CM]]/2.54</f>
        <v>5.9055118110236222</v>
      </c>
      <c r="O29" s="224">
        <f>Inventory_List_Table34112022[[#This Row],[D CM ]]/2.54</f>
        <v>5.9055118110236222</v>
      </c>
      <c r="P29" s="915">
        <f>Inventory_List_Table34112022[[#This Row],[Per piece MXN$]]/$U$2</f>
        <v>48.611111111111114</v>
      </c>
      <c r="Q29" s="915">
        <f t="shared" ref="Q29:Q55" si="2">IF(MOD(P29,1)&gt;0.4,ROUNDUP(P29,0),ROUNDDOWN(P29,0))</f>
        <v>49</v>
      </c>
      <c r="R29" s="915">
        <f>Inventory_List_Table34112022[[#This Row],[AQ ROUND]]*1.4</f>
        <v>68.599999999999994</v>
      </c>
      <c r="S29" s="915">
        <f t="shared" ref="S29:S55" si="3">IF(MOD(R29,1)&gt;0.4,ROUNDUP(R29,0),ROUNDDOWN(R29,0))</f>
        <v>69</v>
      </c>
      <c r="T29" s="225">
        <f>Inventory_List_Table34112022[[#This Row],[LND ROUND]]*8</f>
        <v>552</v>
      </c>
      <c r="U29" s="225">
        <f>Inventory_List_Table34112022[[#This Row],[AQ]]*Inventory_List_Table34112022[[#This Row],[Q]]</f>
        <v>48.611111111111114</v>
      </c>
      <c r="V29" s="74" t="s">
        <v>778</v>
      </c>
      <c r="W29" s="74" t="s">
        <v>815</v>
      </c>
      <c r="X29" s="45">
        <f>Inventory_List_Table34112022[[#This Row],[H CM]]*Inventory_List_Table34112022[[#This Row],[W CM]]*4+Inventory_List_Table34112022[[#This Row],[D CM ]]*Inventory_List_Table34112022[[#This Row],[D CM ]]</f>
        <v>3525</v>
      </c>
      <c r="Y29" s="75">
        <f>Inventory_List_Table34112022[[#This Row],[Per piece MXN$]]/X29*10000</f>
        <v>2482.2695035460993</v>
      </c>
    </row>
    <row r="30" spans="1:31" ht="30" customHeight="1" x14ac:dyDescent="0.25">
      <c r="A30" s="217" t="s">
        <v>184</v>
      </c>
      <c r="B30" s="69">
        <v>46039</v>
      </c>
      <c r="C30" s="70" t="s">
        <v>396</v>
      </c>
      <c r="D30" s="141" t="s">
        <v>896</v>
      </c>
      <c r="E30" s="219">
        <v>1</v>
      </c>
      <c r="F30" s="220"/>
      <c r="G30" s="220">
        <v>50</v>
      </c>
      <c r="H30" s="220">
        <v>15</v>
      </c>
      <c r="I30" s="220">
        <v>15</v>
      </c>
      <c r="J30" s="221">
        <v>750</v>
      </c>
      <c r="K30" s="222">
        <f>Inventory_List_Table34112022[[#This Row],[Q]]*Inventory_List_Table34112022[[#This Row],[Per piece MXN$]]</f>
        <v>750</v>
      </c>
      <c r="L30" s="223">
        <f>Inventory_List_Table34112022[[#This Row],[KG]]*2.20462</f>
        <v>0</v>
      </c>
      <c r="M30" s="223">
        <f>Inventory_List_Table34112022[[#This Row],[H CM]]/2.54</f>
        <v>19.685039370078741</v>
      </c>
      <c r="N30" s="223">
        <f>Inventory_List_Table34112022[[#This Row],[W CM]]/2.54</f>
        <v>5.9055118110236222</v>
      </c>
      <c r="O30" s="224">
        <f>Inventory_List_Table34112022[[#This Row],[D CM ]]/2.54</f>
        <v>5.9055118110236222</v>
      </c>
      <c r="P30" s="915">
        <f>Inventory_List_Table34112022[[#This Row],[Per piece MXN$]]/$U$2</f>
        <v>41.666666666666664</v>
      </c>
      <c r="Q30" s="915">
        <f t="shared" si="2"/>
        <v>42</v>
      </c>
      <c r="R30" s="915">
        <f>Inventory_List_Table34112022[[#This Row],[AQ ROUND]]*1.4</f>
        <v>58.8</v>
      </c>
      <c r="S30" s="915">
        <f t="shared" si="3"/>
        <v>59</v>
      </c>
      <c r="T30" s="225">
        <f>Inventory_List_Table34112022[[#This Row],[LND ROUND]]*8</f>
        <v>472</v>
      </c>
      <c r="U30" s="225">
        <f>Inventory_List_Table34112022[[#This Row],[AQ]]*Inventory_List_Table34112022[[#This Row],[Q]]</f>
        <v>41.666666666666664</v>
      </c>
      <c r="V30" s="74" t="s">
        <v>686</v>
      </c>
      <c r="W30" s="74" t="s">
        <v>685</v>
      </c>
      <c r="X30" s="45">
        <f>Inventory_List_Table34112022[[#This Row],[H CM]]*Inventory_List_Table34112022[[#This Row],[W CM]]*4+Inventory_List_Table34112022[[#This Row],[D CM ]]*Inventory_List_Table34112022[[#This Row],[D CM ]]</f>
        <v>3225</v>
      </c>
      <c r="Y30" s="75">
        <f>Inventory_List_Table34112022[[#This Row],[Per piece MXN$]]/X30*10000</f>
        <v>2325.5813953488373</v>
      </c>
    </row>
    <row r="31" spans="1:31" ht="30" customHeight="1" x14ac:dyDescent="0.25">
      <c r="A31" s="217" t="s">
        <v>185</v>
      </c>
      <c r="B31" s="69">
        <v>46039</v>
      </c>
      <c r="C31" s="70" t="s">
        <v>401</v>
      </c>
      <c r="D31" s="141" t="s">
        <v>897</v>
      </c>
      <c r="E31" s="219">
        <v>1</v>
      </c>
      <c r="F31" s="220"/>
      <c r="G31" s="220">
        <v>50</v>
      </c>
      <c r="H31" s="220">
        <v>15</v>
      </c>
      <c r="I31" s="220">
        <v>15</v>
      </c>
      <c r="J31" s="221">
        <v>750</v>
      </c>
      <c r="K31" s="222">
        <f>Inventory_List_Table34112022[[#This Row],[Q]]*Inventory_List_Table34112022[[#This Row],[Per piece MXN$]]</f>
        <v>750</v>
      </c>
      <c r="L31" s="223">
        <f>Inventory_List_Table34112022[[#This Row],[KG]]*2.20462</f>
        <v>0</v>
      </c>
      <c r="M31" s="223">
        <f>Inventory_List_Table34112022[[#This Row],[H CM]]/2.54</f>
        <v>19.685039370078741</v>
      </c>
      <c r="N31" s="223">
        <f>Inventory_List_Table34112022[[#This Row],[W CM]]/2.54</f>
        <v>5.9055118110236222</v>
      </c>
      <c r="O31" s="224">
        <f>Inventory_List_Table34112022[[#This Row],[D CM ]]/2.54</f>
        <v>5.9055118110236222</v>
      </c>
      <c r="P31" s="915">
        <f>Inventory_List_Table34112022[[#This Row],[Per piece MXN$]]/$U$2</f>
        <v>41.666666666666664</v>
      </c>
      <c r="Q31" s="915">
        <f t="shared" si="2"/>
        <v>42</v>
      </c>
      <c r="R31" s="915">
        <f>Inventory_List_Table34112022[[#This Row],[AQ ROUND]]*1.4</f>
        <v>58.8</v>
      </c>
      <c r="S31" s="915">
        <f t="shared" si="3"/>
        <v>59</v>
      </c>
      <c r="T31" s="225">
        <f>Inventory_List_Table34112022[[#This Row],[LND ROUND]]*8</f>
        <v>472</v>
      </c>
      <c r="U31" s="225">
        <f>Inventory_List_Table34112022[[#This Row],[AQ]]*Inventory_List_Table34112022[[#This Row],[Q]]</f>
        <v>41.666666666666664</v>
      </c>
      <c r="V31" s="74" t="s">
        <v>686</v>
      </c>
      <c r="W31" s="74" t="s">
        <v>685</v>
      </c>
      <c r="X31" s="45">
        <f>Inventory_List_Table34112022[[#This Row],[H CM]]*Inventory_List_Table34112022[[#This Row],[W CM]]*4+Inventory_List_Table34112022[[#This Row],[D CM ]]*Inventory_List_Table34112022[[#This Row],[D CM ]]</f>
        <v>3225</v>
      </c>
      <c r="Y31" s="75">
        <f>Inventory_List_Table34112022[[#This Row],[Per piece MXN$]]/X31*10000</f>
        <v>2325.5813953488373</v>
      </c>
    </row>
    <row r="32" spans="1:31" ht="30" customHeight="1" x14ac:dyDescent="0.25">
      <c r="A32" s="217" t="s">
        <v>186</v>
      </c>
      <c r="B32" s="69">
        <v>46039</v>
      </c>
      <c r="C32" s="70" t="s">
        <v>397</v>
      </c>
      <c r="D32" s="141" t="s">
        <v>898</v>
      </c>
      <c r="E32" s="219">
        <v>1</v>
      </c>
      <c r="F32" s="220"/>
      <c r="G32" s="220">
        <v>40</v>
      </c>
      <c r="H32" s="220">
        <v>15</v>
      </c>
      <c r="I32" s="220">
        <v>15</v>
      </c>
      <c r="J32" s="221">
        <v>650</v>
      </c>
      <c r="K32" s="222">
        <f>Inventory_List_Table34112022[[#This Row],[Q]]*Inventory_List_Table34112022[[#This Row],[Per piece MXN$]]</f>
        <v>650</v>
      </c>
      <c r="L32" s="223">
        <f>Inventory_List_Table34112022[[#This Row],[KG]]*2.20462</f>
        <v>0</v>
      </c>
      <c r="M32" s="223">
        <f>Inventory_List_Table34112022[[#This Row],[H CM]]/2.54</f>
        <v>15.748031496062993</v>
      </c>
      <c r="N32" s="223">
        <f>Inventory_List_Table34112022[[#This Row],[W CM]]/2.54</f>
        <v>5.9055118110236222</v>
      </c>
      <c r="O32" s="224">
        <f>Inventory_List_Table34112022[[#This Row],[D CM ]]/2.54</f>
        <v>5.9055118110236222</v>
      </c>
      <c r="P32" s="915">
        <f>Inventory_List_Table34112022[[#This Row],[Per piece MXN$]]/$U$2</f>
        <v>36.111111111111114</v>
      </c>
      <c r="Q32" s="915">
        <f t="shared" si="2"/>
        <v>36</v>
      </c>
      <c r="R32" s="915">
        <f>Inventory_List_Table34112022[[#This Row],[AQ ROUND]]*1.4</f>
        <v>50.4</v>
      </c>
      <c r="S32" s="915">
        <f t="shared" si="3"/>
        <v>50</v>
      </c>
      <c r="T32" s="225">
        <f>Inventory_List_Table34112022[[#This Row],[LND ROUND]]*8</f>
        <v>400</v>
      </c>
      <c r="U32" s="225">
        <f>Inventory_List_Table34112022[[#This Row],[AQ]]*Inventory_List_Table34112022[[#This Row],[Q]]</f>
        <v>36.111111111111114</v>
      </c>
      <c r="V32" s="74" t="s">
        <v>716</v>
      </c>
      <c r="W32" s="74" t="s">
        <v>738</v>
      </c>
      <c r="X32" s="45">
        <f>Inventory_List_Table34112022[[#This Row],[H CM]]*Inventory_List_Table34112022[[#This Row],[W CM]]*4+Inventory_List_Table34112022[[#This Row],[D CM ]]*Inventory_List_Table34112022[[#This Row],[D CM ]]</f>
        <v>2625</v>
      </c>
      <c r="Y32" s="75">
        <f>Inventory_List_Table34112022[[#This Row],[Per piece MXN$]]/X32*10000</f>
        <v>2476.1904761904761</v>
      </c>
    </row>
    <row r="33" spans="1:25" ht="30" customHeight="1" x14ac:dyDescent="0.25">
      <c r="A33" s="217" t="s">
        <v>187</v>
      </c>
      <c r="B33" s="69">
        <v>46039</v>
      </c>
      <c r="C33" s="70" t="s">
        <v>404</v>
      </c>
      <c r="D33" s="141" t="s">
        <v>899</v>
      </c>
      <c r="E33" s="219">
        <v>5</v>
      </c>
      <c r="F33" s="220"/>
      <c r="G33" s="220">
        <v>35</v>
      </c>
      <c r="H33" s="220">
        <v>12</v>
      </c>
      <c r="I33" s="220">
        <v>12</v>
      </c>
      <c r="J33" s="221">
        <v>500</v>
      </c>
      <c r="K33" s="222">
        <f>Inventory_List_Table34112022[[#This Row],[Q]]*Inventory_List_Table34112022[[#This Row],[Per piece MXN$]]</f>
        <v>2500</v>
      </c>
      <c r="L33" s="223">
        <f>Inventory_List_Table34112022[[#This Row],[KG]]*2.20462</f>
        <v>0</v>
      </c>
      <c r="M33" s="223">
        <f>Inventory_List_Table34112022[[#This Row],[H CM]]/2.54</f>
        <v>13.779527559055119</v>
      </c>
      <c r="N33" s="223">
        <f>Inventory_List_Table34112022[[#This Row],[W CM]]/2.54</f>
        <v>4.7244094488188972</v>
      </c>
      <c r="O33" s="224">
        <f>Inventory_List_Table34112022[[#This Row],[D CM ]]/2.54</f>
        <v>4.7244094488188972</v>
      </c>
      <c r="P33" s="915">
        <f>Inventory_List_Table34112022[[#This Row],[Per piece MXN$]]/$U$2</f>
        <v>27.777777777777779</v>
      </c>
      <c r="Q33" s="915">
        <f t="shared" si="2"/>
        <v>28</v>
      </c>
      <c r="R33" s="915">
        <f>Inventory_List_Table34112022[[#This Row],[AQ ROUND]]*1.4</f>
        <v>39.199999999999996</v>
      </c>
      <c r="S33" s="915">
        <f t="shared" si="3"/>
        <v>39</v>
      </c>
      <c r="T33" s="225">
        <f>Inventory_List_Table34112022[[#This Row],[LND ROUND]]*8</f>
        <v>312</v>
      </c>
      <c r="U33" s="225">
        <f>Inventory_List_Table34112022[[#This Row],[AQ]]*Inventory_List_Table34112022[[#This Row],[Q]]</f>
        <v>138.88888888888889</v>
      </c>
      <c r="V33" s="74" t="s">
        <v>713</v>
      </c>
      <c r="W33" s="74" t="s">
        <v>712</v>
      </c>
      <c r="X33" s="45">
        <f>Inventory_List_Table34112022[[#This Row],[H CM]]*Inventory_List_Table34112022[[#This Row],[W CM]]*4+Inventory_List_Table34112022[[#This Row],[D CM ]]*Inventory_List_Table34112022[[#This Row],[D CM ]]</f>
        <v>1824</v>
      </c>
      <c r="Y33" s="75">
        <f>Inventory_List_Table34112022[[#This Row],[Per piece MXN$]]/X33*10000</f>
        <v>2741.2280701754389</v>
      </c>
    </row>
    <row r="34" spans="1:25" ht="30" customHeight="1" x14ac:dyDescent="0.25">
      <c r="A34" s="217" t="s">
        <v>188</v>
      </c>
      <c r="B34" s="69">
        <v>46039</v>
      </c>
      <c r="C34" s="70" t="s">
        <v>402</v>
      </c>
      <c r="D34" s="141" t="s">
        <v>900</v>
      </c>
      <c r="E34" s="219">
        <v>1</v>
      </c>
      <c r="F34" s="220"/>
      <c r="G34" s="220">
        <v>40</v>
      </c>
      <c r="H34" s="220">
        <v>12</v>
      </c>
      <c r="I34" s="220">
        <v>12</v>
      </c>
      <c r="J34" s="221">
        <v>510</v>
      </c>
      <c r="K34" s="222">
        <f>Inventory_List_Table34112022[[#This Row],[Q]]*Inventory_List_Table34112022[[#This Row],[Per piece MXN$]]</f>
        <v>510</v>
      </c>
      <c r="L34" s="223">
        <f>Inventory_List_Table34112022[[#This Row],[KG]]*2.20462</f>
        <v>0</v>
      </c>
      <c r="M34" s="223">
        <f>Inventory_List_Table34112022[[#This Row],[H CM]]/2.54</f>
        <v>15.748031496062993</v>
      </c>
      <c r="N34" s="223">
        <f>Inventory_List_Table34112022[[#This Row],[W CM]]/2.54</f>
        <v>4.7244094488188972</v>
      </c>
      <c r="O34" s="224">
        <f>Inventory_List_Table34112022[[#This Row],[D CM ]]/2.54</f>
        <v>4.7244094488188972</v>
      </c>
      <c r="P34" s="915">
        <f>Inventory_List_Table34112022[[#This Row],[Per piece MXN$]]/$U$2</f>
        <v>28.333333333333332</v>
      </c>
      <c r="Q34" s="915">
        <f t="shared" si="2"/>
        <v>28</v>
      </c>
      <c r="R34" s="915">
        <f>Inventory_List_Table34112022[[#This Row],[AQ ROUND]]*1.4</f>
        <v>39.199999999999996</v>
      </c>
      <c r="S34" s="915">
        <f t="shared" si="3"/>
        <v>39</v>
      </c>
      <c r="T34" s="225">
        <f>Inventory_List_Table34112022[[#This Row],[LND ROUND]]*8</f>
        <v>312</v>
      </c>
      <c r="U34" s="225">
        <f>Inventory_List_Table34112022[[#This Row],[AQ]]*Inventory_List_Table34112022[[#This Row],[Q]]</f>
        <v>28.333333333333332</v>
      </c>
      <c r="V34" s="74" t="s">
        <v>713</v>
      </c>
      <c r="W34" s="74" t="s">
        <v>712</v>
      </c>
      <c r="X34" s="45">
        <f>Inventory_List_Table34112022[[#This Row],[H CM]]*Inventory_List_Table34112022[[#This Row],[W CM]]*4+Inventory_List_Table34112022[[#This Row],[D CM ]]*Inventory_List_Table34112022[[#This Row],[D CM ]]</f>
        <v>2064</v>
      </c>
      <c r="Y34" s="75">
        <f>Inventory_List_Table34112022[[#This Row],[Per piece MXN$]]/X34*10000</f>
        <v>2470.9302325581393</v>
      </c>
    </row>
    <row r="35" spans="1:25" ht="30" customHeight="1" x14ac:dyDescent="0.25">
      <c r="A35" s="217" t="s">
        <v>189</v>
      </c>
      <c r="B35" s="69">
        <v>46039</v>
      </c>
      <c r="C35" s="70" t="s">
        <v>403</v>
      </c>
      <c r="D35" s="141" t="s">
        <v>901</v>
      </c>
      <c r="E35" s="219">
        <v>1</v>
      </c>
      <c r="F35" s="220"/>
      <c r="G35" s="220">
        <v>40</v>
      </c>
      <c r="H35" s="220">
        <v>12</v>
      </c>
      <c r="I35" s="220">
        <v>12</v>
      </c>
      <c r="J35" s="221">
        <v>510</v>
      </c>
      <c r="K35" s="222">
        <f>Inventory_List_Table34112022[[#This Row],[Q]]*Inventory_List_Table34112022[[#This Row],[Per piece MXN$]]</f>
        <v>510</v>
      </c>
      <c r="L35" s="223">
        <f>Inventory_List_Table34112022[[#This Row],[KG]]*2.20462</f>
        <v>0</v>
      </c>
      <c r="M35" s="223">
        <f>Inventory_List_Table34112022[[#This Row],[H CM]]/2.54</f>
        <v>15.748031496062993</v>
      </c>
      <c r="N35" s="223">
        <f>Inventory_List_Table34112022[[#This Row],[W CM]]/2.54</f>
        <v>4.7244094488188972</v>
      </c>
      <c r="O35" s="224">
        <f>Inventory_List_Table34112022[[#This Row],[D CM ]]/2.54</f>
        <v>4.7244094488188972</v>
      </c>
      <c r="P35" s="915">
        <f>Inventory_List_Table34112022[[#This Row],[Per piece MXN$]]/$U$2</f>
        <v>28.333333333333332</v>
      </c>
      <c r="Q35" s="915">
        <f t="shared" si="2"/>
        <v>28</v>
      </c>
      <c r="R35" s="915">
        <f>Inventory_List_Table34112022[[#This Row],[AQ ROUND]]*1.4</f>
        <v>39.199999999999996</v>
      </c>
      <c r="S35" s="915">
        <f t="shared" si="3"/>
        <v>39</v>
      </c>
      <c r="T35" s="225">
        <f>Inventory_List_Table34112022[[#This Row],[LND ROUND]]*8</f>
        <v>312</v>
      </c>
      <c r="U35" s="225">
        <f>Inventory_List_Table34112022[[#This Row],[AQ]]*Inventory_List_Table34112022[[#This Row],[Q]]</f>
        <v>28.333333333333332</v>
      </c>
      <c r="V35" s="74" t="s">
        <v>713</v>
      </c>
      <c r="W35" s="74" t="s">
        <v>712</v>
      </c>
      <c r="X35" s="45">
        <f>Inventory_List_Table34112022[[#This Row],[H CM]]*Inventory_List_Table34112022[[#This Row],[W CM]]*4+Inventory_List_Table34112022[[#This Row],[D CM ]]*Inventory_List_Table34112022[[#This Row],[D CM ]]</f>
        <v>2064</v>
      </c>
      <c r="Y35" s="75">
        <f>Inventory_List_Table34112022[[#This Row],[Per piece MXN$]]/X35*10000</f>
        <v>2470.9302325581393</v>
      </c>
    </row>
    <row r="36" spans="1:25" ht="30" customHeight="1" x14ac:dyDescent="0.25">
      <c r="A36" s="217" t="s">
        <v>190</v>
      </c>
      <c r="B36" s="69">
        <v>46039</v>
      </c>
      <c r="C36" s="70" t="s">
        <v>404</v>
      </c>
      <c r="D36" s="141" t="s">
        <v>902</v>
      </c>
      <c r="E36" s="219">
        <v>1</v>
      </c>
      <c r="F36" s="220"/>
      <c r="G36" s="220">
        <v>40</v>
      </c>
      <c r="H36" s="220">
        <v>12</v>
      </c>
      <c r="I36" s="220">
        <v>12</v>
      </c>
      <c r="J36" s="221">
        <v>510</v>
      </c>
      <c r="K36" s="222">
        <f>Inventory_List_Table34112022[[#This Row],[Q]]*Inventory_List_Table34112022[[#This Row],[Per piece MXN$]]</f>
        <v>510</v>
      </c>
      <c r="L36" s="223">
        <f>Inventory_List_Table34112022[[#This Row],[KG]]*2.20462</f>
        <v>0</v>
      </c>
      <c r="M36" s="223">
        <f>Inventory_List_Table34112022[[#This Row],[H CM]]/2.54</f>
        <v>15.748031496062993</v>
      </c>
      <c r="N36" s="223">
        <f>Inventory_List_Table34112022[[#This Row],[W CM]]/2.54</f>
        <v>4.7244094488188972</v>
      </c>
      <c r="O36" s="224">
        <f>Inventory_List_Table34112022[[#This Row],[D CM ]]/2.54</f>
        <v>4.7244094488188972</v>
      </c>
      <c r="P36" s="915">
        <f>Inventory_List_Table34112022[[#This Row],[Per piece MXN$]]/$U$2</f>
        <v>28.333333333333332</v>
      </c>
      <c r="Q36" s="915">
        <f t="shared" si="2"/>
        <v>28</v>
      </c>
      <c r="R36" s="915">
        <f>Inventory_List_Table34112022[[#This Row],[AQ ROUND]]*1.4</f>
        <v>39.199999999999996</v>
      </c>
      <c r="S36" s="915">
        <f t="shared" si="3"/>
        <v>39</v>
      </c>
      <c r="T36" s="225">
        <f>Inventory_List_Table34112022[[#This Row],[LND ROUND]]*8</f>
        <v>312</v>
      </c>
      <c r="U36" s="225">
        <f>Inventory_List_Table34112022[[#This Row],[AQ]]*Inventory_List_Table34112022[[#This Row],[Q]]</f>
        <v>28.333333333333332</v>
      </c>
      <c r="V36" s="74" t="s">
        <v>713</v>
      </c>
      <c r="W36" s="74" t="s">
        <v>712</v>
      </c>
      <c r="X36" s="45">
        <f>Inventory_List_Table34112022[[#This Row],[H CM]]*Inventory_List_Table34112022[[#This Row],[W CM]]*4+Inventory_List_Table34112022[[#This Row],[D CM ]]*Inventory_List_Table34112022[[#This Row],[D CM ]]</f>
        <v>2064</v>
      </c>
      <c r="Y36" s="75">
        <f>Inventory_List_Table34112022[[#This Row],[Per piece MXN$]]/X36*10000</f>
        <v>2470.9302325581393</v>
      </c>
    </row>
    <row r="37" spans="1:25" ht="30" customHeight="1" x14ac:dyDescent="0.25">
      <c r="A37" s="217" t="s">
        <v>191</v>
      </c>
      <c r="B37" s="69">
        <v>46039</v>
      </c>
      <c r="C37" s="70" t="s">
        <v>405</v>
      </c>
      <c r="D37" s="141" t="s">
        <v>903</v>
      </c>
      <c r="E37" s="219">
        <v>1</v>
      </c>
      <c r="F37" s="220"/>
      <c r="G37" s="220">
        <v>40</v>
      </c>
      <c r="H37" s="220">
        <v>12</v>
      </c>
      <c r="I37" s="220">
        <v>12</v>
      </c>
      <c r="J37" s="221">
        <v>510</v>
      </c>
      <c r="K37" s="222">
        <f>Inventory_List_Table34112022[[#This Row],[Q]]*Inventory_List_Table34112022[[#This Row],[Per piece MXN$]]</f>
        <v>510</v>
      </c>
      <c r="L37" s="223">
        <f>Inventory_List_Table34112022[[#This Row],[KG]]*2.20462</f>
        <v>0</v>
      </c>
      <c r="M37" s="223">
        <f>Inventory_List_Table34112022[[#This Row],[H CM]]/2.54</f>
        <v>15.748031496062993</v>
      </c>
      <c r="N37" s="223">
        <f>Inventory_List_Table34112022[[#This Row],[W CM]]/2.54</f>
        <v>4.7244094488188972</v>
      </c>
      <c r="O37" s="224">
        <f>Inventory_List_Table34112022[[#This Row],[D CM ]]/2.54</f>
        <v>4.7244094488188972</v>
      </c>
      <c r="P37" s="915">
        <f>Inventory_List_Table34112022[[#This Row],[Per piece MXN$]]/$U$2</f>
        <v>28.333333333333332</v>
      </c>
      <c r="Q37" s="915">
        <f t="shared" si="2"/>
        <v>28</v>
      </c>
      <c r="R37" s="915">
        <f>Inventory_List_Table34112022[[#This Row],[AQ ROUND]]*1.4</f>
        <v>39.199999999999996</v>
      </c>
      <c r="S37" s="915">
        <f t="shared" si="3"/>
        <v>39</v>
      </c>
      <c r="T37" s="225">
        <f>Inventory_List_Table34112022[[#This Row],[LND ROUND]]*8</f>
        <v>312</v>
      </c>
      <c r="U37" s="225">
        <f>Inventory_List_Table34112022[[#This Row],[AQ]]*Inventory_List_Table34112022[[#This Row],[Q]]</f>
        <v>28.333333333333332</v>
      </c>
      <c r="V37" s="74" t="s">
        <v>713</v>
      </c>
      <c r="W37" s="74" t="s">
        <v>712</v>
      </c>
      <c r="X37" s="45">
        <f>Inventory_List_Table34112022[[#This Row],[H CM]]*Inventory_List_Table34112022[[#This Row],[W CM]]*4+Inventory_List_Table34112022[[#This Row],[D CM ]]*Inventory_List_Table34112022[[#This Row],[D CM ]]</f>
        <v>2064</v>
      </c>
      <c r="Y37" s="75">
        <f>Inventory_List_Table34112022[[#This Row],[Per piece MXN$]]/X37*10000</f>
        <v>2470.9302325581393</v>
      </c>
    </row>
    <row r="38" spans="1:25" ht="30" customHeight="1" x14ac:dyDescent="0.25">
      <c r="A38" s="217" t="s">
        <v>192</v>
      </c>
      <c r="B38" s="69">
        <v>46039</v>
      </c>
      <c r="C38" s="70" t="s">
        <v>406</v>
      </c>
      <c r="D38" s="141" t="s">
        <v>904</v>
      </c>
      <c r="E38" s="219">
        <v>3</v>
      </c>
      <c r="F38" s="220"/>
      <c r="G38" s="220">
        <v>20</v>
      </c>
      <c r="H38" s="220">
        <v>20</v>
      </c>
      <c r="I38" s="220">
        <v>20</v>
      </c>
      <c r="J38" s="221">
        <v>1100</v>
      </c>
      <c r="K38" s="222">
        <f>Inventory_List_Table34112022[[#This Row],[Q]]*Inventory_List_Table34112022[[#This Row],[Per piece MXN$]]</f>
        <v>3300</v>
      </c>
      <c r="L38" s="223">
        <f>Inventory_List_Table34112022[[#This Row],[KG]]*2.20462</f>
        <v>0</v>
      </c>
      <c r="M38" s="223">
        <f>Inventory_List_Table34112022[[#This Row],[H CM]]/2.54</f>
        <v>7.8740157480314963</v>
      </c>
      <c r="N38" s="223">
        <f>Inventory_List_Table34112022[[#This Row],[W CM]]/2.54</f>
        <v>7.8740157480314963</v>
      </c>
      <c r="O38" s="224">
        <f>Inventory_List_Table34112022[[#This Row],[D CM ]]/2.54</f>
        <v>7.8740157480314963</v>
      </c>
      <c r="P38" s="915">
        <f>Inventory_List_Table34112022[[#This Row],[Per piece MXN$]]/$U$2</f>
        <v>61.111111111111114</v>
      </c>
      <c r="Q38" s="915">
        <f t="shared" si="2"/>
        <v>61</v>
      </c>
      <c r="R38" s="915">
        <f>Inventory_List_Table34112022[[#This Row],[AQ ROUND]]*1.4</f>
        <v>85.399999999999991</v>
      </c>
      <c r="S38" s="915">
        <f t="shared" si="3"/>
        <v>85</v>
      </c>
      <c r="T38" s="225">
        <f>Inventory_List_Table34112022[[#This Row],[LND ROUND]]*8</f>
        <v>680</v>
      </c>
      <c r="U38" s="225">
        <f>Inventory_List_Table34112022[[#This Row],[AQ]]*Inventory_List_Table34112022[[#This Row],[Q]]</f>
        <v>183.33333333333334</v>
      </c>
      <c r="V38" s="74" t="s">
        <v>906</v>
      </c>
      <c r="W38" s="74" t="s">
        <v>905</v>
      </c>
      <c r="X38" s="45">
        <f>Inventory_List_Table34112022[[#This Row],[H CM]]*Inventory_List_Table34112022[[#This Row],[W CM]]*4+Inventory_List_Table34112022[[#This Row],[D CM ]]*Inventory_List_Table34112022[[#This Row],[D CM ]]</f>
        <v>2000</v>
      </c>
      <c r="Y38" s="75">
        <f>Inventory_List_Table34112022[[#This Row],[Per piece MXN$]]/X38*10000</f>
        <v>5500</v>
      </c>
    </row>
    <row r="39" spans="1:25" ht="30" customHeight="1" x14ac:dyDescent="0.25">
      <c r="A39" s="217" t="s">
        <v>193</v>
      </c>
      <c r="B39" s="69">
        <v>46039</v>
      </c>
      <c r="C39" s="70" t="s">
        <v>407</v>
      </c>
      <c r="D39" s="141" t="s">
        <v>907</v>
      </c>
      <c r="E39" s="219">
        <v>1</v>
      </c>
      <c r="F39" s="220"/>
      <c r="G39" s="220">
        <v>45</v>
      </c>
      <c r="H39" s="220">
        <v>15</v>
      </c>
      <c r="I39" s="220">
        <v>15</v>
      </c>
      <c r="J39" s="221">
        <v>725</v>
      </c>
      <c r="K39" s="222">
        <f>Inventory_List_Table34112022[[#This Row],[Q]]*Inventory_List_Table34112022[[#This Row],[Per piece MXN$]]</f>
        <v>725</v>
      </c>
      <c r="L39" s="223">
        <f>Inventory_List_Table34112022[[#This Row],[KG]]*2.20462</f>
        <v>0</v>
      </c>
      <c r="M39" s="223">
        <f>Inventory_List_Table34112022[[#This Row],[H CM]]/2.54</f>
        <v>17.716535433070867</v>
      </c>
      <c r="N39" s="223">
        <f>Inventory_List_Table34112022[[#This Row],[W CM]]/2.54</f>
        <v>5.9055118110236222</v>
      </c>
      <c r="O39" s="224">
        <f>Inventory_List_Table34112022[[#This Row],[D CM ]]/2.54</f>
        <v>5.9055118110236222</v>
      </c>
      <c r="P39" s="915">
        <f>Inventory_List_Table34112022[[#This Row],[Per piece MXN$]]/$U$2</f>
        <v>40.277777777777779</v>
      </c>
      <c r="Q39" s="915">
        <f t="shared" si="2"/>
        <v>40</v>
      </c>
      <c r="R39" s="915">
        <f>Inventory_List_Table34112022[[#This Row],[AQ ROUND]]*1.4</f>
        <v>56</v>
      </c>
      <c r="S39" s="915">
        <f t="shared" si="3"/>
        <v>56</v>
      </c>
      <c r="T39" s="225">
        <f>Inventory_List_Table34112022[[#This Row],[LND ROUND]]*8</f>
        <v>448</v>
      </c>
      <c r="U39" s="225">
        <f>Inventory_List_Table34112022[[#This Row],[AQ]]*Inventory_List_Table34112022[[#This Row],[Q]]</f>
        <v>40.277777777777779</v>
      </c>
      <c r="V39" s="74" t="s">
        <v>871</v>
      </c>
      <c r="W39" s="74" t="s">
        <v>729</v>
      </c>
      <c r="X39" s="45">
        <f>Inventory_List_Table34112022[[#This Row],[H CM]]*Inventory_List_Table34112022[[#This Row],[W CM]]*4+Inventory_List_Table34112022[[#This Row],[D CM ]]*Inventory_List_Table34112022[[#This Row],[D CM ]]</f>
        <v>2925</v>
      </c>
      <c r="Y39" s="75">
        <f>Inventory_List_Table34112022[[#This Row],[Per piece MXN$]]/X39*10000</f>
        <v>2478.6324786324785</v>
      </c>
    </row>
    <row r="40" spans="1:25" ht="30" customHeight="1" x14ac:dyDescent="0.25">
      <c r="A40" s="217" t="s">
        <v>194</v>
      </c>
      <c r="B40" s="69">
        <v>46039</v>
      </c>
      <c r="C40" s="70" t="s">
        <v>408</v>
      </c>
      <c r="D40" s="141" t="s">
        <v>908</v>
      </c>
      <c r="E40" s="219">
        <v>1</v>
      </c>
      <c r="F40" s="220"/>
      <c r="G40" s="220">
        <v>30</v>
      </c>
      <c r="H40" s="220">
        <v>15</v>
      </c>
      <c r="I40" s="220">
        <v>15</v>
      </c>
      <c r="J40" s="221">
        <v>500</v>
      </c>
      <c r="K40" s="222">
        <f>Inventory_List_Table34112022[[#This Row],[Q]]*Inventory_List_Table34112022[[#This Row],[Per piece MXN$]]</f>
        <v>500</v>
      </c>
      <c r="L40" s="223">
        <f>Inventory_List_Table34112022[[#This Row],[KG]]*2.20462</f>
        <v>0</v>
      </c>
      <c r="M40" s="223">
        <f>Inventory_List_Table34112022[[#This Row],[H CM]]/2.54</f>
        <v>11.811023622047244</v>
      </c>
      <c r="N40" s="223">
        <f>Inventory_List_Table34112022[[#This Row],[W CM]]/2.54</f>
        <v>5.9055118110236222</v>
      </c>
      <c r="O40" s="224">
        <f>Inventory_List_Table34112022[[#This Row],[D CM ]]/2.54</f>
        <v>5.9055118110236222</v>
      </c>
      <c r="P40" s="915">
        <f>Inventory_List_Table34112022[[#This Row],[Per piece MXN$]]/$U$2</f>
        <v>27.777777777777779</v>
      </c>
      <c r="Q40" s="915">
        <f t="shared" si="2"/>
        <v>28</v>
      </c>
      <c r="R40" s="915">
        <f>Inventory_List_Table34112022[[#This Row],[AQ ROUND]]*1.4</f>
        <v>39.199999999999996</v>
      </c>
      <c r="S40" s="915">
        <f t="shared" si="3"/>
        <v>39</v>
      </c>
      <c r="T40" s="225">
        <f>Inventory_List_Table34112022[[#This Row],[LND ROUND]]*8</f>
        <v>312</v>
      </c>
      <c r="U40" s="225">
        <f>Inventory_List_Table34112022[[#This Row],[AQ]]*Inventory_List_Table34112022[[#This Row],[Q]]</f>
        <v>27.777777777777779</v>
      </c>
      <c r="V40" s="74" t="s">
        <v>713</v>
      </c>
      <c r="W40" s="74" t="s">
        <v>712</v>
      </c>
      <c r="X40" s="45">
        <f>Inventory_List_Table34112022[[#This Row],[H CM]]*Inventory_List_Table34112022[[#This Row],[W CM]]*4+Inventory_List_Table34112022[[#This Row],[D CM ]]*Inventory_List_Table34112022[[#This Row],[D CM ]]</f>
        <v>2025</v>
      </c>
      <c r="Y40" s="75">
        <f>Inventory_List_Table34112022[[#This Row],[Per piece MXN$]]/X40*10000</f>
        <v>2469.1358024691358</v>
      </c>
    </row>
    <row r="41" spans="1:25" ht="30" customHeight="1" x14ac:dyDescent="0.25">
      <c r="A41" s="217" t="s">
        <v>195</v>
      </c>
      <c r="B41" s="69">
        <v>46039</v>
      </c>
      <c r="C41" s="70" t="s">
        <v>408</v>
      </c>
      <c r="D41" s="141" t="s">
        <v>909</v>
      </c>
      <c r="E41" s="219">
        <v>4</v>
      </c>
      <c r="F41" s="220"/>
      <c r="G41" s="220">
        <v>35</v>
      </c>
      <c r="H41" s="220">
        <v>15</v>
      </c>
      <c r="I41" s="220">
        <v>15</v>
      </c>
      <c r="J41" s="221">
        <v>575</v>
      </c>
      <c r="K41" s="222">
        <f>Inventory_List_Table34112022[[#This Row],[Q]]*Inventory_List_Table34112022[[#This Row],[Per piece MXN$]]</f>
        <v>2300</v>
      </c>
      <c r="L41" s="223">
        <f>Inventory_List_Table34112022[[#This Row],[KG]]*2.20462</f>
        <v>0</v>
      </c>
      <c r="M41" s="223">
        <f>Inventory_List_Table34112022[[#This Row],[H CM]]/2.54</f>
        <v>13.779527559055119</v>
      </c>
      <c r="N41" s="223">
        <f>Inventory_List_Table34112022[[#This Row],[W CM]]/2.54</f>
        <v>5.9055118110236222</v>
      </c>
      <c r="O41" s="224">
        <f>Inventory_List_Table34112022[[#This Row],[D CM ]]/2.54</f>
        <v>5.9055118110236222</v>
      </c>
      <c r="P41" s="915">
        <f>Inventory_List_Table34112022[[#This Row],[Per piece MXN$]]/$U$2</f>
        <v>31.944444444444443</v>
      </c>
      <c r="Q41" s="915">
        <f t="shared" si="2"/>
        <v>32</v>
      </c>
      <c r="R41" s="915">
        <f>Inventory_List_Table34112022[[#This Row],[AQ ROUND]]*1.4</f>
        <v>44.8</v>
      </c>
      <c r="S41" s="915">
        <f t="shared" si="3"/>
        <v>45</v>
      </c>
      <c r="T41" s="225">
        <f>Inventory_List_Table34112022[[#This Row],[LND ROUND]]*8</f>
        <v>360</v>
      </c>
      <c r="U41" s="225">
        <f>Inventory_List_Table34112022[[#This Row],[AQ]]*Inventory_List_Table34112022[[#This Row],[Q]]</f>
        <v>127.77777777777777</v>
      </c>
      <c r="V41" s="74" t="s">
        <v>688</v>
      </c>
      <c r="W41" s="74" t="s">
        <v>855</v>
      </c>
      <c r="X41" s="45">
        <f>Inventory_List_Table34112022[[#This Row],[H CM]]*Inventory_List_Table34112022[[#This Row],[W CM]]*4+Inventory_List_Table34112022[[#This Row],[D CM ]]*Inventory_List_Table34112022[[#This Row],[D CM ]]</f>
        <v>2325</v>
      </c>
      <c r="Y41" s="75">
        <f>Inventory_List_Table34112022[[#This Row],[Per piece MXN$]]/X41*10000</f>
        <v>2473.1182795698924</v>
      </c>
    </row>
    <row r="42" spans="1:25" ht="30" customHeight="1" x14ac:dyDescent="0.25">
      <c r="A42" s="217" t="s">
        <v>196</v>
      </c>
      <c r="B42" s="69">
        <v>46039</v>
      </c>
      <c r="C42" s="70" t="s">
        <v>409</v>
      </c>
      <c r="D42" s="141" t="s">
        <v>910</v>
      </c>
      <c r="E42" s="219">
        <v>1</v>
      </c>
      <c r="F42" s="220"/>
      <c r="G42" s="220">
        <v>45</v>
      </c>
      <c r="H42" s="220">
        <v>15</v>
      </c>
      <c r="I42" s="220">
        <v>15</v>
      </c>
      <c r="J42" s="221">
        <v>725</v>
      </c>
      <c r="K42" s="222">
        <f>Inventory_List_Table34112022[[#This Row],[Q]]*Inventory_List_Table34112022[[#This Row],[Per piece MXN$]]</f>
        <v>725</v>
      </c>
      <c r="L42" s="223">
        <f>Inventory_List_Table34112022[[#This Row],[KG]]*2.20462</f>
        <v>0</v>
      </c>
      <c r="M42" s="223">
        <f>Inventory_List_Table34112022[[#This Row],[H CM]]/2.54</f>
        <v>17.716535433070867</v>
      </c>
      <c r="N42" s="223">
        <f>Inventory_List_Table34112022[[#This Row],[W CM]]/2.54</f>
        <v>5.9055118110236222</v>
      </c>
      <c r="O42" s="224">
        <f>Inventory_List_Table34112022[[#This Row],[D CM ]]/2.54</f>
        <v>5.9055118110236222</v>
      </c>
      <c r="P42" s="915">
        <f>Inventory_List_Table34112022[[#This Row],[Per piece MXN$]]/$U$2</f>
        <v>40.277777777777779</v>
      </c>
      <c r="Q42" s="915">
        <f t="shared" si="2"/>
        <v>40</v>
      </c>
      <c r="R42" s="915">
        <f>Inventory_List_Table34112022[[#This Row],[AQ ROUND]]*1.4</f>
        <v>56</v>
      </c>
      <c r="S42" s="915">
        <f t="shared" si="3"/>
        <v>56</v>
      </c>
      <c r="T42" s="225">
        <f>Inventory_List_Table34112022[[#This Row],[LND ROUND]]*8</f>
        <v>448</v>
      </c>
      <c r="U42" s="225">
        <f>Inventory_List_Table34112022[[#This Row],[AQ]]*Inventory_List_Table34112022[[#This Row],[Q]]</f>
        <v>40.277777777777779</v>
      </c>
      <c r="V42" s="74" t="s">
        <v>871</v>
      </c>
      <c r="W42" s="74" t="s">
        <v>729</v>
      </c>
      <c r="X42" s="45">
        <f>Inventory_List_Table34112022[[#This Row],[H CM]]*Inventory_List_Table34112022[[#This Row],[W CM]]*4+Inventory_List_Table34112022[[#This Row],[D CM ]]*Inventory_List_Table34112022[[#This Row],[D CM ]]</f>
        <v>2925</v>
      </c>
      <c r="Y42" s="75">
        <f>Inventory_List_Table34112022[[#This Row],[Per piece MXN$]]/X42*10000</f>
        <v>2478.6324786324785</v>
      </c>
    </row>
    <row r="43" spans="1:25" ht="30" customHeight="1" x14ac:dyDescent="0.25">
      <c r="A43" s="217" t="s">
        <v>197</v>
      </c>
      <c r="B43" s="69">
        <v>46039</v>
      </c>
      <c r="C43" s="70" t="s">
        <v>410</v>
      </c>
      <c r="D43" s="141" t="s">
        <v>911</v>
      </c>
      <c r="E43" s="219">
        <v>3</v>
      </c>
      <c r="F43" s="220"/>
      <c r="G43" s="220">
        <v>50</v>
      </c>
      <c r="H43" s="220">
        <v>15</v>
      </c>
      <c r="I43" s="220">
        <v>15</v>
      </c>
      <c r="J43" s="221">
        <v>750</v>
      </c>
      <c r="K43" s="222">
        <f>Inventory_List_Table34112022[[#This Row],[Q]]*Inventory_List_Table34112022[[#This Row],[Per piece MXN$]]</f>
        <v>2250</v>
      </c>
      <c r="L43" s="223">
        <f>Inventory_List_Table34112022[[#This Row],[KG]]*2.20462</f>
        <v>0</v>
      </c>
      <c r="M43" s="223">
        <f>Inventory_List_Table34112022[[#This Row],[H CM]]/2.54</f>
        <v>19.685039370078741</v>
      </c>
      <c r="N43" s="223">
        <f>Inventory_List_Table34112022[[#This Row],[W CM]]/2.54</f>
        <v>5.9055118110236222</v>
      </c>
      <c r="O43" s="224">
        <f>Inventory_List_Table34112022[[#This Row],[D CM ]]/2.54</f>
        <v>5.9055118110236222</v>
      </c>
      <c r="P43" s="915">
        <f>Inventory_List_Table34112022[[#This Row],[Per piece MXN$]]/$U$2</f>
        <v>41.666666666666664</v>
      </c>
      <c r="Q43" s="915">
        <f t="shared" si="2"/>
        <v>42</v>
      </c>
      <c r="R43" s="915">
        <f>Inventory_List_Table34112022[[#This Row],[AQ ROUND]]*1.4</f>
        <v>58.8</v>
      </c>
      <c r="S43" s="915">
        <f t="shared" si="3"/>
        <v>59</v>
      </c>
      <c r="T43" s="225">
        <f>Inventory_List_Table34112022[[#This Row],[LND ROUND]]*8</f>
        <v>472</v>
      </c>
      <c r="U43" s="225">
        <f>Inventory_List_Table34112022[[#This Row],[AQ]]*Inventory_List_Table34112022[[#This Row],[Q]]</f>
        <v>125</v>
      </c>
      <c r="V43" s="74" t="s">
        <v>686</v>
      </c>
      <c r="W43" s="74" t="s">
        <v>685</v>
      </c>
      <c r="X43" s="45">
        <f>Inventory_List_Table34112022[[#This Row],[H CM]]*Inventory_List_Table34112022[[#This Row],[W CM]]*4+Inventory_List_Table34112022[[#This Row],[D CM ]]*Inventory_List_Table34112022[[#This Row],[D CM ]]</f>
        <v>3225</v>
      </c>
      <c r="Y43" s="75">
        <f>Inventory_List_Table34112022[[#This Row],[Per piece MXN$]]/X43*10000</f>
        <v>2325.5813953488373</v>
      </c>
    </row>
    <row r="44" spans="1:25" ht="30" customHeight="1" x14ac:dyDescent="0.25">
      <c r="A44" s="217" t="s">
        <v>198</v>
      </c>
      <c r="B44" s="69">
        <v>46039</v>
      </c>
      <c r="C44" s="70" t="s">
        <v>410</v>
      </c>
      <c r="D44" s="141" t="s">
        <v>912</v>
      </c>
      <c r="E44" s="219">
        <v>4</v>
      </c>
      <c r="F44" s="220"/>
      <c r="G44" s="220">
        <v>55</v>
      </c>
      <c r="H44" s="220">
        <v>15</v>
      </c>
      <c r="I44" s="220">
        <v>15</v>
      </c>
      <c r="J44" s="221">
        <v>875</v>
      </c>
      <c r="K44" s="222">
        <f>Inventory_List_Table34112022[[#This Row],[Q]]*Inventory_List_Table34112022[[#This Row],[Per piece MXN$]]</f>
        <v>3500</v>
      </c>
      <c r="L44" s="223">
        <f>Inventory_List_Table34112022[[#This Row],[KG]]*2.20462</f>
        <v>0</v>
      </c>
      <c r="M44" s="223">
        <f>Inventory_List_Table34112022[[#This Row],[H CM]]/2.54</f>
        <v>21.653543307086615</v>
      </c>
      <c r="N44" s="223">
        <f>Inventory_List_Table34112022[[#This Row],[W CM]]/2.54</f>
        <v>5.9055118110236222</v>
      </c>
      <c r="O44" s="224">
        <f>Inventory_List_Table34112022[[#This Row],[D CM ]]/2.54</f>
        <v>5.9055118110236222</v>
      </c>
      <c r="P44" s="915">
        <f>Inventory_List_Table34112022[[#This Row],[Per piece MXN$]]/$U$2</f>
        <v>48.611111111111114</v>
      </c>
      <c r="Q44" s="915">
        <f t="shared" si="2"/>
        <v>49</v>
      </c>
      <c r="R44" s="915">
        <f>Inventory_List_Table34112022[[#This Row],[AQ ROUND]]*1.4</f>
        <v>68.599999999999994</v>
      </c>
      <c r="S44" s="915">
        <f t="shared" si="3"/>
        <v>69</v>
      </c>
      <c r="T44" s="225">
        <f>Inventory_List_Table34112022[[#This Row],[LND ROUND]]*8</f>
        <v>552</v>
      </c>
      <c r="U44" s="225">
        <f>Inventory_List_Table34112022[[#This Row],[AQ]]*Inventory_List_Table34112022[[#This Row],[Q]]</f>
        <v>194.44444444444446</v>
      </c>
      <c r="V44" s="74" t="s">
        <v>778</v>
      </c>
      <c r="W44" s="74" t="s">
        <v>815</v>
      </c>
      <c r="X44" s="45">
        <f>Inventory_List_Table34112022[[#This Row],[H CM]]*Inventory_List_Table34112022[[#This Row],[W CM]]*4+Inventory_List_Table34112022[[#This Row],[D CM ]]*Inventory_List_Table34112022[[#This Row],[D CM ]]</f>
        <v>3525</v>
      </c>
      <c r="Y44" s="75">
        <f>Inventory_List_Table34112022[[#This Row],[Per piece MXN$]]/X44*10000</f>
        <v>2482.2695035460993</v>
      </c>
    </row>
    <row r="45" spans="1:25" ht="30" customHeight="1" x14ac:dyDescent="0.25">
      <c r="A45" s="217" t="s">
        <v>199</v>
      </c>
      <c r="B45" s="69">
        <v>46039</v>
      </c>
      <c r="C45" s="70" t="s">
        <v>411</v>
      </c>
      <c r="D45" s="141" t="s">
        <v>913</v>
      </c>
      <c r="E45" s="219">
        <v>3</v>
      </c>
      <c r="F45" s="220"/>
      <c r="G45" s="220">
        <v>60</v>
      </c>
      <c r="H45" s="220">
        <v>15</v>
      </c>
      <c r="I45" s="220">
        <v>15</v>
      </c>
      <c r="J45" s="221">
        <v>950</v>
      </c>
      <c r="K45" s="222">
        <f>Inventory_List_Table34112022[[#This Row],[Q]]*Inventory_List_Table34112022[[#This Row],[Per piece MXN$]]</f>
        <v>2850</v>
      </c>
      <c r="L45" s="223">
        <f>Inventory_List_Table34112022[[#This Row],[KG]]*2.20462</f>
        <v>0</v>
      </c>
      <c r="M45" s="223">
        <f>Inventory_List_Table34112022[[#This Row],[H CM]]/2.54</f>
        <v>23.622047244094489</v>
      </c>
      <c r="N45" s="223">
        <f>Inventory_List_Table34112022[[#This Row],[W CM]]/2.54</f>
        <v>5.9055118110236222</v>
      </c>
      <c r="O45" s="224">
        <f>Inventory_List_Table34112022[[#This Row],[D CM ]]/2.54</f>
        <v>5.9055118110236222</v>
      </c>
      <c r="P45" s="915">
        <f>Inventory_List_Table34112022[[#This Row],[Per piece MXN$]]/$U$2</f>
        <v>52.777777777777779</v>
      </c>
      <c r="Q45" s="915">
        <f t="shared" si="2"/>
        <v>53</v>
      </c>
      <c r="R45" s="915">
        <f>Inventory_List_Table34112022[[#This Row],[AQ ROUND]]*1.4</f>
        <v>74.199999999999989</v>
      </c>
      <c r="S45" s="915">
        <f t="shared" si="3"/>
        <v>74</v>
      </c>
      <c r="T45" s="225">
        <f>Inventory_List_Table34112022[[#This Row],[LND ROUND]]*8</f>
        <v>592</v>
      </c>
      <c r="U45" s="225">
        <f>Inventory_List_Table34112022[[#This Row],[AQ]]*Inventory_List_Table34112022[[#This Row],[Q]]</f>
        <v>158.33333333333334</v>
      </c>
      <c r="V45" s="74" t="s">
        <v>888</v>
      </c>
      <c r="W45" s="74" t="s">
        <v>887</v>
      </c>
      <c r="X45" s="45">
        <f>Inventory_List_Table34112022[[#This Row],[H CM]]*Inventory_List_Table34112022[[#This Row],[W CM]]*4+Inventory_List_Table34112022[[#This Row],[D CM ]]*Inventory_List_Table34112022[[#This Row],[D CM ]]</f>
        <v>3825</v>
      </c>
      <c r="Y45" s="75">
        <f>Inventory_List_Table34112022[[#This Row],[Per piece MXN$]]/X45*10000</f>
        <v>2483.6601307189544</v>
      </c>
    </row>
    <row r="46" spans="1:25" ht="30" customHeight="1" x14ac:dyDescent="0.25">
      <c r="A46" s="217" t="s">
        <v>200</v>
      </c>
      <c r="B46" s="69">
        <v>46039</v>
      </c>
      <c r="C46" s="70" t="s">
        <v>412</v>
      </c>
      <c r="D46" s="141" t="s">
        <v>914</v>
      </c>
      <c r="E46" s="219">
        <v>3</v>
      </c>
      <c r="F46" s="220"/>
      <c r="G46" s="220">
        <v>50</v>
      </c>
      <c r="H46" s="220">
        <v>15</v>
      </c>
      <c r="I46" s="220">
        <v>15</v>
      </c>
      <c r="J46" s="221">
        <v>750</v>
      </c>
      <c r="K46" s="222">
        <f>Inventory_List_Table34112022[[#This Row],[Q]]*Inventory_List_Table34112022[[#This Row],[Per piece MXN$]]</f>
        <v>2250</v>
      </c>
      <c r="L46" s="223">
        <f>Inventory_List_Table34112022[[#This Row],[KG]]*2.20462</f>
        <v>0</v>
      </c>
      <c r="M46" s="223">
        <f>Inventory_List_Table34112022[[#This Row],[H CM]]/2.54</f>
        <v>19.685039370078741</v>
      </c>
      <c r="N46" s="223">
        <f>Inventory_List_Table34112022[[#This Row],[W CM]]/2.54</f>
        <v>5.9055118110236222</v>
      </c>
      <c r="O46" s="224">
        <f>Inventory_List_Table34112022[[#This Row],[D CM ]]/2.54</f>
        <v>5.9055118110236222</v>
      </c>
      <c r="P46" s="915">
        <f>Inventory_List_Table34112022[[#This Row],[Per piece MXN$]]/$U$2</f>
        <v>41.666666666666664</v>
      </c>
      <c r="Q46" s="915">
        <f t="shared" si="2"/>
        <v>42</v>
      </c>
      <c r="R46" s="915">
        <f>Inventory_List_Table34112022[[#This Row],[AQ ROUND]]*1.4</f>
        <v>58.8</v>
      </c>
      <c r="S46" s="915">
        <f t="shared" si="3"/>
        <v>59</v>
      </c>
      <c r="T46" s="225">
        <f>Inventory_List_Table34112022[[#This Row],[LND ROUND]]*8</f>
        <v>472</v>
      </c>
      <c r="U46" s="225">
        <f>Inventory_List_Table34112022[[#This Row],[AQ]]*Inventory_List_Table34112022[[#This Row],[Q]]</f>
        <v>125</v>
      </c>
      <c r="V46" s="74" t="s">
        <v>686</v>
      </c>
      <c r="W46" s="74" t="s">
        <v>685</v>
      </c>
      <c r="X46" s="45">
        <f>Inventory_List_Table34112022[[#This Row],[H CM]]*Inventory_List_Table34112022[[#This Row],[W CM]]*4+Inventory_List_Table34112022[[#This Row],[D CM ]]*Inventory_List_Table34112022[[#This Row],[D CM ]]</f>
        <v>3225</v>
      </c>
      <c r="Y46" s="75">
        <f>Inventory_List_Table34112022[[#This Row],[Per piece MXN$]]/X46*10000</f>
        <v>2325.5813953488373</v>
      </c>
    </row>
    <row r="47" spans="1:25" ht="30" customHeight="1" x14ac:dyDescent="0.25">
      <c r="A47" s="217" t="s">
        <v>201</v>
      </c>
      <c r="B47" s="69">
        <v>46039</v>
      </c>
      <c r="C47" s="70" t="s">
        <v>413</v>
      </c>
      <c r="D47" s="141" t="s">
        <v>915</v>
      </c>
      <c r="E47" s="219">
        <v>2</v>
      </c>
      <c r="F47" s="220"/>
      <c r="G47" s="220">
        <v>50</v>
      </c>
      <c r="H47" s="220">
        <v>15</v>
      </c>
      <c r="I47" s="220">
        <v>15</v>
      </c>
      <c r="J47" s="221">
        <v>750</v>
      </c>
      <c r="K47" s="222">
        <f>Inventory_List_Table34112022[[#This Row],[Q]]*Inventory_List_Table34112022[[#This Row],[Per piece MXN$]]</f>
        <v>1500</v>
      </c>
      <c r="L47" s="223">
        <f>Inventory_List_Table34112022[[#This Row],[KG]]*2.20462</f>
        <v>0</v>
      </c>
      <c r="M47" s="223">
        <f>Inventory_List_Table34112022[[#This Row],[H CM]]/2.54</f>
        <v>19.685039370078741</v>
      </c>
      <c r="N47" s="223">
        <f>Inventory_List_Table34112022[[#This Row],[W CM]]/2.54</f>
        <v>5.9055118110236222</v>
      </c>
      <c r="O47" s="224">
        <f>Inventory_List_Table34112022[[#This Row],[D CM ]]/2.54</f>
        <v>5.9055118110236222</v>
      </c>
      <c r="P47" s="915">
        <f>Inventory_List_Table34112022[[#This Row],[Per piece MXN$]]/$U$2</f>
        <v>41.666666666666664</v>
      </c>
      <c r="Q47" s="915">
        <f t="shared" si="2"/>
        <v>42</v>
      </c>
      <c r="R47" s="915">
        <f>Inventory_List_Table34112022[[#This Row],[AQ ROUND]]*1.4</f>
        <v>58.8</v>
      </c>
      <c r="S47" s="915">
        <f t="shared" si="3"/>
        <v>59</v>
      </c>
      <c r="T47" s="225">
        <f>Inventory_List_Table34112022[[#This Row],[LND ROUND]]*8</f>
        <v>472</v>
      </c>
      <c r="U47" s="225">
        <f>Inventory_List_Table34112022[[#This Row],[AQ]]*Inventory_List_Table34112022[[#This Row],[Q]]</f>
        <v>83.333333333333329</v>
      </c>
      <c r="V47" s="74" t="s">
        <v>686</v>
      </c>
      <c r="W47" s="74" t="s">
        <v>685</v>
      </c>
      <c r="X47" s="45">
        <f>Inventory_List_Table34112022[[#This Row],[H CM]]*Inventory_List_Table34112022[[#This Row],[W CM]]*4+Inventory_List_Table34112022[[#This Row],[D CM ]]*Inventory_List_Table34112022[[#This Row],[D CM ]]</f>
        <v>3225</v>
      </c>
      <c r="Y47" s="75">
        <f>Inventory_List_Table34112022[[#This Row],[Per piece MXN$]]/X47*10000</f>
        <v>2325.5813953488373</v>
      </c>
    </row>
    <row r="48" spans="1:25" ht="30" customHeight="1" x14ac:dyDescent="0.25">
      <c r="A48" s="217" t="s">
        <v>202</v>
      </c>
      <c r="B48" s="69">
        <v>46039</v>
      </c>
      <c r="C48" s="70" t="s">
        <v>414</v>
      </c>
      <c r="D48" s="141" t="s">
        <v>916</v>
      </c>
      <c r="E48" s="219">
        <v>2</v>
      </c>
      <c r="F48" s="220"/>
      <c r="G48" s="220">
        <v>85</v>
      </c>
      <c r="H48" s="220">
        <v>20</v>
      </c>
      <c r="I48" s="220">
        <v>20</v>
      </c>
      <c r="J48" s="221">
        <v>1800</v>
      </c>
      <c r="K48" s="222">
        <f>Inventory_List_Table34112022[[#This Row],[Q]]*Inventory_List_Table34112022[[#This Row],[Per piece MXN$]]</f>
        <v>3600</v>
      </c>
      <c r="L48" s="223">
        <f>Inventory_List_Table34112022[[#This Row],[KG]]*2.20462</f>
        <v>0</v>
      </c>
      <c r="M48" s="223">
        <f>Inventory_List_Table34112022[[#This Row],[H CM]]/2.54</f>
        <v>33.464566929133859</v>
      </c>
      <c r="N48" s="223">
        <f>Inventory_List_Table34112022[[#This Row],[W CM]]/2.54</f>
        <v>7.8740157480314963</v>
      </c>
      <c r="O48" s="224">
        <f>Inventory_List_Table34112022[[#This Row],[D CM ]]/2.54</f>
        <v>7.8740157480314963</v>
      </c>
      <c r="P48" s="915">
        <f>Inventory_List_Table34112022[[#This Row],[Per piece MXN$]]/$U$2</f>
        <v>100</v>
      </c>
      <c r="Q48" s="915">
        <f t="shared" si="2"/>
        <v>100</v>
      </c>
      <c r="R48" s="915">
        <f>Inventory_List_Table34112022[[#This Row],[AQ ROUND]]*1.4</f>
        <v>140</v>
      </c>
      <c r="S48" s="915">
        <f t="shared" si="3"/>
        <v>140</v>
      </c>
      <c r="T48" s="225">
        <f>Inventory_List_Table34112022[[#This Row],[LND ROUND]]*8</f>
        <v>1120</v>
      </c>
      <c r="U48" s="225">
        <f>Inventory_List_Table34112022[[#This Row],[AQ]]*Inventory_List_Table34112022[[#This Row],[Q]]</f>
        <v>200</v>
      </c>
      <c r="V48" s="74" t="s">
        <v>918</v>
      </c>
      <c r="W48" s="74" t="s">
        <v>917</v>
      </c>
      <c r="X48" s="45">
        <f>Inventory_List_Table34112022[[#This Row],[H CM]]*Inventory_List_Table34112022[[#This Row],[W CM]]*4+Inventory_List_Table34112022[[#This Row],[D CM ]]*Inventory_List_Table34112022[[#This Row],[D CM ]]</f>
        <v>7200</v>
      </c>
      <c r="Y48" s="75">
        <f>Inventory_List_Table34112022[[#This Row],[Per piece MXN$]]/X48*10000</f>
        <v>2500</v>
      </c>
    </row>
    <row r="49" spans="1:25" ht="30" customHeight="1" x14ac:dyDescent="0.25">
      <c r="A49" s="217" t="s">
        <v>203</v>
      </c>
      <c r="B49" s="69">
        <v>46039</v>
      </c>
      <c r="C49" s="70" t="s">
        <v>414</v>
      </c>
      <c r="D49" s="141" t="s">
        <v>919</v>
      </c>
      <c r="E49" s="219">
        <v>1</v>
      </c>
      <c r="F49" s="220"/>
      <c r="G49" s="220">
        <v>90</v>
      </c>
      <c r="H49" s="220">
        <v>20</v>
      </c>
      <c r="I49" s="220">
        <v>20</v>
      </c>
      <c r="J49" s="221">
        <v>1900</v>
      </c>
      <c r="K49" s="222">
        <f>Inventory_List_Table34112022[[#This Row],[Q]]*Inventory_List_Table34112022[[#This Row],[Per piece MXN$]]</f>
        <v>1900</v>
      </c>
      <c r="L49" s="223">
        <f>Inventory_List_Table34112022[[#This Row],[KG]]*2.20462</f>
        <v>0</v>
      </c>
      <c r="M49" s="223">
        <f>Inventory_List_Table34112022[[#This Row],[H CM]]/2.54</f>
        <v>35.433070866141733</v>
      </c>
      <c r="N49" s="223">
        <f>Inventory_List_Table34112022[[#This Row],[W CM]]/2.54</f>
        <v>7.8740157480314963</v>
      </c>
      <c r="O49" s="224">
        <f>Inventory_List_Table34112022[[#This Row],[D CM ]]/2.54</f>
        <v>7.8740157480314963</v>
      </c>
      <c r="P49" s="915">
        <f>Inventory_List_Table34112022[[#This Row],[Per piece MXN$]]/$U$2</f>
        <v>105.55555555555556</v>
      </c>
      <c r="Q49" s="915">
        <f t="shared" si="2"/>
        <v>106</v>
      </c>
      <c r="R49" s="915">
        <f>Inventory_List_Table34112022[[#This Row],[AQ ROUND]]*1.4</f>
        <v>148.39999999999998</v>
      </c>
      <c r="S49" s="915">
        <f t="shared" si="3"/>
        <v>148</v>
      </c>
      <c r="T49" s="225">
        <f>Inventory_List_Table34112022[[#This Row],[LND ROUND]]*8</f>
        <v>1184</v>
      </c>
      <c r="U49" s="225">
        <f>Inventory_List_Table34112022[[#This Row],[AQ]]*Inventory_List_Table34112022[[#This Row],[Q]]</f>
        <v>105.55555555555556</v>
      </c>
      <c r="V49" s="74" t="s">
        <v>836</v>
      </c>
      <c r="W49" s="74" t="s">
        <v>429</v>
      </c>
      <c r="X49" s="45">
        <f>Inventory_List_Table34112022[[#This Row],[H CM]]*Inventory_List_Table34112022[[#This Row],[W CM]]*4+Inventory_List_Table34112022[[#This Row],[D CM ]]*Inventory_List_Table34112022[[#This Row],[D CM ]]</f>
        <v>7600</v>
      </c>
      <c r="Y49" s="75">
        <f>Inventory_List_Table34112022[[#This Row],[Per piece MXN$]]/X49*10000</f>
        <v>2500</v>
      </c>
    </row>
    <row r="50" spans="1:25" ht="30" customHeight="1" x14ac:dyDescent="0.25">
      <c r="A50" s="217" t="s">
        <v>204</v>
      </c>
      <c r="B50" s="69">
        <v>46039</v>
      </c>
      <c r="C50" s="70" t="s">
        <v>414</v>
      </c>
      <c r="D50" s="141" t="s">
        <v>920</v>
      </c>
      <c r="E50" s="219">
        <v>1</v>
      </c>
      <c r="F50" s="220"/>
      <c r="G50" s="220">
        <v>75</v>
      </c>
      <c r="H50" s="220">
        <v>20</v>
      </c>
      <c r="I50" s="220">
        <v>20</v>
      </c>
      <c r="J50" s="221">
        <v>1600</v>
      </c>
      <c r="K50" s="222">
        <f>Inventory_List_Table34112022[[#This Row],[Q]]*Inventory_List_Table34112022[[#This Row],[Per piece MXN$]]</f>
        <v>1600</v>
      </c>
      <c r="L50" s="223">
        <f>Inventory_List_Table34112022[[#This Row],[KG]]*2.20462</f>
        <v>0</v>
      </c>
      <c r="M50" s="223">
        <f>Inventory_List_Table34112022[[#This Row],[H CM]]/2.54</f>
        <v>29.527559055118111</v>
      </c>
      <c r="N50" s="223">
        <f>Inventory_List_Table34112022[[#This Row],[W CM]]/2.54</f>
        <v>7.8740157480314963</v>
      </c>
      <c r="O50" s="224">
        <f>Inventory_List_Table34112022[[#This Row],[D CM ]]/2.54</f>
        <v>7.8740157480314963</v>
      </c>
      <c r="P50" s="915">
        <f>Inventory_List_Table34112022[[#This Row],[Per piece MXN$]]/$U$2</f>
        <v>88.888888888888886</v>
      </c>
      <c r="Q50" s="915">
        <f t="shared" si="2"/>
        <v>89</v>
      </c>
      <c r="R50" s="915">
        <f>Inventory_List_Table34112022[[#This Row],[AQ ROUND]]*1.4</f>
        <v>124.6</v>
      </c>
      <c r="S50" s="915">
        <f t="shared" si="3"/>
        <v>125</v>
      </c>
      <c r="T50" s="225">
        <f>Inventory_List_Table34112022[[#This Row],[LND ROUND]]*8</f>
        <v>1000</v>
      </c>
      <c r="U50" s="225">
        <f>Inventory_List_Table34112022[[#This Row],[AQ]]*Inventory_List_Table34112022[[#This Row],[Q]]</f>
        <v>88.888888888888886</v>
      </c>
      <c r="V50" s="74" t="s">
        <v>337</v>
      </c>
      <c r="W50" s="74" t="s">
        <v>921</v>
      </c>
      <c r="X50" s="45">
        <f>Inventory_List_Table34112022[[#This Row],[H CM]]*Inventory_List_Table34112022[[#This Row],[W CM]]*4+Inventory_List_Table34112022[[#This Row],[D CM ]]*Inventory_List_Table34112022[[#This Row],[D CM ]]</f>
        <v>6400</v>
      </c>
      <c r="Y50" s="75">
        <f>Inventory_List_Table34112022[[#This Row],[Per piece MXN$]]/X50*10000</f>
        <v>2500</v>
      </c>
    </row>
    <row r="51" spans="1:25" ht="30" customHeight="1" x14ac:dyDescent="0.25">
      <c r="A51" s="217" t="s">
        <v>205</v>
      </c>
      <c r="B51" s="69">
        <v>46039</v>
      </c>
      <c r="C51" s="70" t="s">
        <v>414</v>
      </c>
      <c r="D51" s="141" t="s">
        <v>922</v>
      </c>
      <c r="E51" s="219">
        <v>1</v>
      </c>
      <c r="F51" s="220"/>
      <c r="G51" s="220">
        <v>40</v>
      </c>
      <c r="H51" s="220">
        <v>20</v>
      </c>
      <c r="I51" s="220">
        <v>20</v>
      </c>
      <c r="J51" s="221">
        <v>900</v>
      </c>
      <c r="K51" s="222">
        <f>Inventory_List_Table34112022[[#This Row],[Q]]*Inventory_List_Table34112022[[#This Row],[Per piece MXN$]]</f>
        <v>900</v>
      </c>
      <c r="L51" s="223">
        <f>Inventory_List_Table34112022[[#This Row],[KG]]*2.20462</f>
        <v>0</v>
      </c>
      <c r="M51" s="223">
        <f>Inventory_List_Table34112022[[#This Row],[H CM]]/2.54</f>
        <v>15.748031496062993</v>
      </c>
      <c r="N51" s="223">
        <f>Inventory_List_Table34112022[[#This Row],[W CM]]/2.54</f>
        <v>7.8740157480314963</v>
      </c>
      <c r="O51" s="224">
        <f>Inventory_List_Table34112022[[#This Row],[D CM ]]/2.54</f>
        <v>7.8740157480314963</v>
      </c>
      <c r="P51" s="915">
        <f>Inventory_List_Table34112022[[#This Row],[Per piece MXN$]]/$U$2</f>
        <v>50</v>
      </c>
      <c r="Q51" s="915">
        <f t="shared" si="2"/>
        <v>50</v>
      </c>
      <c r="R51" s="915">
        <f>Inventory_List_Table34112022[[#This Row],[AQ ROUND]]*1.4</f>
        <v>70</v>
      </c>
      <c r="S51" s="915">
        <f t="shared" si="3"/>
        <v>70</v>
      </c>
      <c r="T51" s="225">
        <f>Inventory_List_Table34112022[[#This Row],[LND ROUND]]*8</f>
        <v>560</v>
      </c>
      <c r="U51" s="225">
        <f>Inventory_List_Table34112022[[#This Row],[AQ]]*Inventory_List_Table34112022[[#This Row],[Q]]</f>
        <v>50</v>
      </c>
      <c r="V51" s="74" t="s">
        <v>738</v>
      </c>
      <c r="W51" s="74" t="s">
        <v>923</v>
      </c>
      <c r="X51" s="45">
        <f>Inventory_List_Table34112022[[#This Row],[H CM]]*Inventory_List_Table34112022[[#This Row],[W CM]]*4+Inventory_List_Table34112022[[#This Row],[D CM ]]*Inventory_List_Table34112022[[#This Row],[D CM ]]</f>
        <v>3600</v>
      </c>
      <c r="Y51" s="75">
        <f>Inventory_List_Table34112022[[#This Row],[Per piece MXN$]]/X51*10000</f>
        <v>2500</v>
      </c>
    </row>
    <row r="52" spans="1:25" ht="30" customHeight="1" x14ac:dyDescent="0.25">
      <c r="A52" s="217" t="s">
        <v>206</v>
      </c>
      <c r="B52" s="69">
        <v>46039</v>
      </c>
      <c r="C52" s="70" t="s">
        <v>415</v>
      </c>
      <c r="D52" s="141" t="s">
        <v>924</v>
      </c>
      <c r="E52" s="219">
        <v>3</v>
      </c>
      <c r="F52" s="220"/>
      <c r="G52" s="220">
        <v>75</v>
      </c>
      <c r="H52" s="220">
        <v>20</v>
      </c>
      <c r="I52" s="220">
        <v>20</v>
      </c>
      <c r="J52" s="221">
        <v>1600</v>
      </c>
      <c r="K52" s="222">
        <f>Inventory_List_Table34112022[[#This Row],[Q]]*Inventory_List_Table34112022[[#This Row],[Per piece MXN$]]</f>
        <v>4800</v>
      </c>
      <c r="L52" s="223">
        <f>Inventory_List_Table34112022[[#This Row],[KG]]*2.20462</f>
        <v>0</v>
      </c>
      <c r="M52" s="223">
        <f>Inventory_List_Table34112022[[#This Row],[H CM]]/2.54</f>
        <v>29.527559055118111</v>
      </c>
      <c r="N52" s="223">
        <f>Inventory_List_Table34112022[[#This Row],[W CM]]/2.54</f>
        <v>7.8740157480314963</v>
      </c>
      <c r="O52" s="224">
        <f>Inventory_List_Table34112022[[#This Row],[D CM ]]/2.54</f>
        <v>7.8740157480314963</v>
      </c>
      <c r="P52" s="915">
        <f>Inventory_List_Table34112022[[#This Row],[Per piece MXN$]]/$U$2</f>
        <v>88.888888888888886</v>
      </c>
      <c r="Q52" s="915">
        <f t="shared" si="2"/>
        <v>89</v>
      </c>
      <c r="R52" s="915">
        <f>Inventory_List_Table34112022[[#This Row],[AQ ROUND]]*1.4</f>
        <v>124.6</v>
      </c>
      <c r="S52" s="915">
        <f t="shared" si="3"/>
        <v>125</v>
      </c>
      <c r="T52" s="225">
        <f>Inventory_List_Table34112022[[#This Row],[LND ROUND]]*8</f>
        <v>1000</v>
      </c>
      <c r="U52" s="225">
        <f>Inventory_List_Table34112022[[#This Row],[AQ]]*Inventory_List_Table34112022[[#This Row],[Q]]</f>
        <v>266.66666666666663</v>
      </c>
      <c r="V52" s="74" t="s">
        <v>337</v>
      </c>
      <c r="W52" s="74" t="s">
        <v>921</v>
      </c>
      <c r="X52" s="45">
        <f>Inventory_List_Table34112022[[#This Row],[H CM]]*Inventory_List_Table34112022[[#This Row],[W CM]]*4+Inventory_List_Table34112022[[#This Row],[D CM ]]*Inventory_List_Table34112022[[#This Row],[D CM ]]</f>
        <v>6400</v>
      </c>
      <c r="Y52" s="75">
        <f>Inventory_List_Table34112022[[#This Row],[Per piece MXN$]]/X52*10000</f>
        <v>2500</v>
      </c>
    </row>
    <row r="53" spans="1:25" ht="30" customHeight="1" x14ac:dyDescent="0.25">
      <c r="A53" s="217" t="s">
        <v>207</v>
      </c>
      <c r="B53" s="69">
        <v>46039</v>
      </c>
      <c r="C53" s="70" t="s">
        <v>415</v>
      </c>
      <c r="D53" s="141" t="s">
        <v>925</v>
      </c>
      <c r="E53" s="219">
        <v>2</v>
      </c>
      <c r="F53" s="220"/>
      <c r="G53" s="220">
        <v>70</v>
      </c>
      <c r="H53" s="220">
        <v>20</v>
      </c>
      <c r="I53" s="220">
        <v>20</v>
      </c>
      <c r="J53" s="221">
        <v>1500</v>
      </c>
      <c r="K53" s="222">
        <f>Inventory_List_Table34112022[[#This Row],[Q]]*Inventory_List_Table34112022[[#This Row],[Per piece MXN$]]</f>
        <v>3000</v>
      </c>
      <c r="L53" s="223">
        <f>Inventory_List_Table34112022[[#This Row],[KG]]*2.20462</f>
        <v>0</v>
      </c>
      <c r="M53" s="223">
        <f>Inventory_List_Table34112022[[#This Row],[H CM]]/2.54</f>
        <v>27.559055118110237</v>
      </c>
      <c r="N53" s="223">
        <f>Inventory_List_Table34112022[[#This Row],[W CM]]/2.54</f>
        <v>7.8740157480314963</v>
      </c>
      <c r="O53" s="224">
        <f>Inventory_List_Table34112022[[#This Row],[D CM ]]/2.54</f>
        <v>7.8740157480314963</v>
      </c>
      <c r="P53" s="915">
        <f>Inventory_List_Table34112022[[#This Row],[Per piece MXN$]]/$U$2</f>
        <v>83.333333333333329</v>
      </c>
      <c r="Q53" s="915">
        <f t="shared" si="2"/>
        <v>83</v>
      </c>
      <c r="R53" s="915">
        <f>Inventory_List_Table34112022[[#This Row],[AQ ROUND]]*1.4</f>
        <v>116.19999999999999</v>
      </c>
      <c r="S53" s="915">
        <f t="shared" si="3"/>
        <v>116</v>
      </c>
      <c r="T53" s="225">
        <f>Inventory_List_Table34112022[[#This Row],[LND ROUND]]*8</f>
        <v>928</v>
      </c>
      <c r="U53" s="225">
        <f>Inventory_List_Table34112022[[#This Row],[AQ]]*Inventory_List_Table34112022[[#This Row],[Q]]</f>
        <v>166.66666666666666</v>
      </c>
      <c r="V53" s="74" t="s">
        <v>927</v>
      </c>
      <c r="W53" s="74" t="s">
        <v>926</v>
      </c>
      <c r="X53" s="45">
        <f>Inventory_List_Table34112022[[#This Row],[H CM]]*Inventory_List_Table34112022[[#This Row],[W CM]]*4+Inventory_List_Table34112022[[#This Row],[D CM ]]*Inventory_List_Table34112022[[#This Row],[D CM ]]</f>
        <v>6000</v>
      </c>
      <c r="Y53" s="75">
        <f>Inventory_List_Table34112022[[#This Row],[Per piece MXN$]]/X53*10000</f>
        <v>2500</v>
      </c>
    </row>
    <row r="54" spans="1:25" ht="30" customHeight="1" x14ac:dyDescent="0.25">
      <c r="A54" s="217" t="s">
        <v>208</v>
      </c>
      <c r="B54" s="69">
        <v>46039</v>
      </c>
      <c r="C54" s="70" t="s">
        <v>415</v>
      </c>
      <c r="D54" s="141" t="s">
        <v>928</v>
      </c>
      <c r="E54" s="219">
        <v>1</v>
      </c>
      <c r="F54" s="220"/>
      <c r="G54" s="220">
        <v>60</v>
      </c>
      <c r="H54" s="220">
        <v>20</v>
      </c>
      <c r="I54" s="220">
        <v>20</v>
      </c>
      <c r="J54" s="221">
        <v>1300</v>
      </c>
      <c r="K54" s="222">
        <f>Inventory_List_Table34112022[[#This Row],[Q]]*Inventory_List_Table34112022[[#This Row],[Per piece MXN$]]</f>
        <v>1300</v>
      </c>
      <c r="L54" s="223">
        <f>Inventory_List_Table34112022[[#This Row],[KG]]*2.20462</f>
        <v>0</v>
      </c>
      <c r="M54" s="223">
        <f>Inventory_List_Table34112022[[#This Row],[H CM]]/2.54</f>
        <v>23.622047244094489</v>
      </c>
      <c r="N54" s="223">
        <f>Inventory_List_Table34112022[[#This Row],[W CM]]/2.54</f>
        <v>7.8740157480314963</v>
      </c>
      <c r="O54" s="224">
        <f>Inventory_List_Table34112022[[#This Row],[D CM ]]/2.54</f>
        <v>7.8740157480314963</v>
      </c>
      <c r="P54" s="915">
        <f>Inventory_List_Table34112022[[#This Row],[Per piece MXN$]]/$U$2</f>
        <v>72.222222222222229</v>
      </c>
      <c r="Q54" s="915">
        <f t="shared" si="2"/>
        <v>72</v>
      </c>
      <c r="R54" s="915">
        <f>Inventory_List_Table34112022[[#This Row],[AQ ROUND]]*1.4</f>
        <v>100.8</v>
      </c>
      <c r="S54" s="915">
        <f t="shared" si="3"/>
        <v>101</v>
      </c>
      <c r="T54" s="225">
        <f>Inventory_List_Table34112022[[#This Row],[LND ROUND]]*8</f>
        <v>808</v>
      </c>
      <c r="U54" s="225">
        <f>Inventory_List_Table34112022[[#This Row],[AQ]]*Inventory_List_Table34112022[[#This Row],[Q]]</f>
        <v>72.222222222222229</v>
      </c>
      <c r="V54" s="74" t="s">
        <v>732</v>
      </c>
      <c r="W54" s="74" t="s">
        <v>731</v>
      </c>
      <c r="X54" s="45">
        <f>Inventory_List_Table34112022[[#This Row],[H CM]]*Inventory_List_Table34112022[[#This Row],[W CM]]*4+Inventory_List_Table34112022[[#This Row],[D CM ]]*Inventory_List_Table34112022[[#This Row],[D CM ]]</f>
        <v>5200</v>
      </c>
      <c r="Y54" s="75">
        <f>Inventory_List_Table34112022[[#This Row],[Per piece MXN$]]/X54*10000</f>
        <v>2500</v>
      </c>
    </row>
    <row r="55" spans="1:25" ht="30" customHeight="1" x14ac:dyDescent="0.25">
      <c r="A55" s="217" t="s">
        <v>209</v>
      </c>
      <c r="B55" s="69">
        <v>46039</v>
      </c>
      <c r="C55" s="70" t="s">
        <v>415</v>
      </c>
      <c r="D55" s="141" t="s">
        <v>929</v>
      </c>
      <c r="E55" s="219">
        <v>1</v>
      </c>
      <c r="F55" s="220"/>
      <c r="G55" s="220">
        <v>50</v>
      </c>
      <c r="H55" s="220">
        <v>20</v>
      </c>
      <c r="I55" s="220">
        <v>20</v>
      </c>
      <c r="J55" s="221">
        <v>1100</v>
      </c>
      <c r="K55" s="222">
        <f>Inventory_List_Table34112022[[#This Row],[Q]]*Inventory_List_Table34112022[[#This Row],[Per piece MXN$]]</f>
        <v>1100</v>
      </c>
      <c r="L55" s="223">
        <f>Inventory_List_Table34112022[[#This Row],[KG]]*2.20462</f>
        <v>0</v>
      </c>
      <c r="M55" s="223">
        <f>Inventory_List_Table34112022[[#This Row],[H CM]]/2.54</f>
        <v>19.685039370078741</v>
      </c>
      <c r="N55" s="223">
        <f>Inventory_List_Table34112022[[#This Row],[W CM]]/2.54</f>
        <v>7.8740157480314963</v>
      </c>
      <c r="O55" s="224">
        <f>Inventory_List_Table34112022[[#This Row],[D CM ]]/2.54</f>
        <v>7.8740157480314963</v>
      </c>
      <c r="P55" s="915">
        <f>Inventory_List_Table34112022[[#This Row],[Per piece MXN$]]/$U$2</f>
        <v>61.111111111111114</v>
      </c>
      <c r="Q55" s="915">
        <f t="shared" si="2"/>
        <v>61</v>
      </c>
      <c r="R55" s="915">
        <f>Inventory_List_Table34112022[[#This Row],[AQ ROUND]]*1.4</f>
        <v>85.399999999999991</v>
      </c>
      <c r="S55" s="915">
        <f t="shared" si="3"/>
        <v>85</v>
      </c>
      <c r="T55" s="225">
        <f>Inventory_List_Table34112022[[#This Row],[LND ROUND]]*8</f>
        <v>680</v>
      </c>
      <c r="U55" s="225">
        <f>Inventory_List_Table34112022[[#This Row],[AQ]]*Inventory_List_Table34112022[[#This Row],[Q]]</f>
        <v>61.111111111111114</v>
      </c>
      <c r="V55" s="74" t="s">
        <v>906</v>
      </c>
      <c r="W55" s="74" t="s">
        <v>905</v>
      </c>
      <c r="X55" s="45">
        <f>Inventory_List_Table34112022[[#This Row],[H CM]]*Inventory_List_Table34112022[[#This Row],[W CM]]*4+Inventory_List_Table34112022[[#This Row],[D CM ]]*Inventory_List_Table34112022[[#This Row],[D CM ]]</f>
        <v>4400</v>
      </c>
      <c r="Y55" s="75">
        <f>Inventory_List_Table34112022[[#This Row],[Per piece MXN$]]/X55*10000</f>
        <v>2500</v>
      </c>
    </row>
  </sheetData>
  <mergeCells count="1">
    <mergeCell ref="Q1:Q2"/>
  </mergeCells>
  <phoneticPr fontId="3" type="noConversion"/>
  <dataValidations count="12">
    <dataValidation allowBlank="1" showInputMessage="1" showErrorMessage="1" prompt="Enter company name in this cell" sqref="A2" xr:uid="{B089975B-756E-4106-896A-9F08A7EBFBB9}"/>
    <dataValidation allowBlank="1" showInputMessage="1" showErrorMessage="1" prompt="Enter a description of the item in this column" sqref="E3" xr:uid="{1A1BA5E7-2488-41FE-BC42-DA02202702F7}"/>
    <dataValidation allowBlank="1" showInputMessage="1" showErrorMessage="1" prompt="Enter the unit price of each item in this column" sqref="F3" xr:uid="{14254FED-89BB-4856-ADE0-CBC2B4354698}"/>
    <dataValidation allowBlank="1" showInputMessage="1" showErrorMessage="1" prompt="Enter the quantity in stock for each item in this column" sqref="G3" xr:uid="{C435CDB1-7DCC-4BD8-A9F1-26C3CE43B81C}"/>
    <dataValidation allowBlank="1" showInputMessage="1" showErrorMessage="1" prompt="This is an automated column._x000a__x000a_The inventory value for each item is automatically calculated in this column." sqref="H3" xr:uid="{809F3C4F-53DD-42F0-B112-5F48619BDDE7}"/>
    <dataValidation allowBlank="1" showInputMessage="1" showErrorMessage="1" prompt="Enter the reorder level for each item in this column" sqref="I3" xr:uid="{6A97ADCC-7186-4450-91D3-728BBFF48571}"/>
    <dataValidation allowBlank="1" showInputMessage="1" showErrorMessage="1" prompt="Enter the number of days it takes to reorder each item in this column" sqref="J3:L3" xr:uid="{6CE1B1E7-9C6B-4369-B21B-C1C1334F1267}"/>
    <dataValidation allowBlank="1" showInputMessage="1" showErrorMessage="1" prompt="Enter the quantity in reorder for each item in this column" sqref="M3" xr:uid="{B92C8821-AAAE-4D82-B3A6-E5DD8CF9ED55}"/>
    <dataValidation allowBlank="1" showInputMessage="1" showErrorMessage="1" prompt="Enter yes if the item has been discontinued. When a yes is entered, the corresponding row is highlighted a light grey and the font style changed to strikethrough" sqref="N3" xr:uid="{90230CB6-FEFE-4070-B601-1B83F8741E86}"/>
    <dataValidation allowBlank="1" showInputMessage="1" showErrorMessage="1" prompt="Enter the name of the item in this column" sqref="D3" xr:uid="{EEC23F17-F6BA-4AC0-BA8B-4FE881830FB1}"/>
    <dataValidation allowBlank="1" showInputMessage="1" showErrorMessage="1" prompt="Enter the item inventory ID in this column" sqref="C3" xr:uid="{18DFB29A-F7A0-440C-BC86-A0E785A8662E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78A7C5B1-E093-40BB-9039-4893F33B1638}"/>
  </dataValidations>
  <printOptions horizontalCentered="1"/>
  <pageMargins left="0.25" right="0.25" top="0.75" bottom="0.75" header="0.3" footer="0.3"/>
  <pageSetup scale="47" fitToHeight="0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B446-3848-4100-98C9-4C607FEF3781}">
  <sheetPr>
    <tabColor theme="8" tint="0.39997558519241921"/>
    <pageSetUpPr fitToPage="1"/>
  </sheetPr>
  <dimension ref="A1:Z15"/>
  <sheetViews>
    <sheetView showGridLines="0" topLeftCell="C1" zoomScale="70" zoomScaleNormal="70" workbookViewId="0">
      <selection activeCell="V4" sqref="V4:W15"/>
    </sheetView>
  </sheetViews>
  <sheetFormatPr defaultColWidth="8.625" defaultRowHeight="24" customHeight="1" x14ac:dyDescent="0.25"/>
  <cols>
    <col min="1" max="1" width="9.125" style="76" bestFit="1" customWidth="1"/>
    <col min="2" max="2" width="15.5" style="77" customWidth="1"/>
    <col min="3" max="3" width="29.375" style="78" customWidth="1"/>
    <col min="4" max="4" width="22" style="78" bestFit="1" customWidth="1"/>
    <col min="5" max="5" width="7" style="78" bestFit="1" customWidth="1"/>
    <col min="6" max="6" width="9.25" style="79" bestFit="1" customWidth="1"/>
    <col min="7" max="7" width="17" style="79" bestFit="1" customWidth="1"/>
    <col min="8" max="8" width="8.75" style="79" bestFit="1" customWidth="1"/>
    <col min="9" max="9" width="8.125" style="79" bestFit="1" customWidth="1"/>
    <col min="10" max="10" width="23.375" style="79" bestFit="1" customWidth="1"/>
    <col min="11" max="11" width="26.5" style="79" bestFit="1" customWidth="1"/>
    <col min="12" max="12" width="11.875" style="79" customWidth="1"/>
    <col min="13" max="13" width="11.5" style="79" customWidth="1"/>
    <col min="14" max="14" width="11.5" style="78" customWidth="1"/>
    <col min="15" max="15" width="11.375" style="45" customWidth="1"/>
    <col min="16" max="17" width="13.75" style="45" customWidth="1"/>
    <col min="18" max="19" width="15.5" style="45" customWidth="1"/>
    <col min="20" max="20" width="18.125" style="45" bestFit="1" customWidth="1"/>
    <col min="21" max="21" width="15" style="45" customWidth="1"/>
    <col min="22" max="22" width="7.5" style="45" bestFit="1" customWidth="1"/>
    <col min="23" max="23" width="8.125" style="45" bestFit="1" customWidth="1"/>
    <col min="24" max="24" width="10.125" bestFit="1" customWidth="1"/>
    <col min="25" max="25" width="15.125" bestFit="1" customWidth="1"/>
    <col min="26" max="16384" width="8.625" style="45"/>
  </cols>
  <sheetData>
    <row r="1" spans="1:26" ht="36.75" x14ac:dyDescent="0.6">
      <c r="A1" s="582" t="s">
        <v>25</v>
      </c>
      <c r="B1" s="583"/>
      <c r="C1" s="583"/>
      <c r="D1" s="584"/>
      <c r="E1" s="584"/>
      <c r="F1" s="583"/>
      <c r="G1" s="585"/>
      <c r="H1" s="585"/>
      <c r="I1" s="586"/>
      <c r="J1" s="587" t="s">
        <v>132</v>
      </c>
      <c r="K1" s="588"/>
      <c r="L1" s="588"/>
      <c r="M1" s="589"/>
      <c r="N1" s="583"/>
      <c r="O1" s="585"/>
      <c r="P1" s="585"/>
      <c r="Q1" s="1077"/>
      <c r="R1" s="590"/>
      <c r="S1" s="591"/>
      <c r="T1" s="592" t="s">
        <v>133</v>
      </c>
      <c r="U1" s="593">
        <v>825</v>
      </c>
      <c r="V1" s="585"/>
      <c r="W1" s="585"/>
    </row>
    <row r="2" spans="1:26" ht="31.5" x14ac:dyDescent="0.45">
      <c r="A2" s="594" t="s">
        <v>110</v>
      </c>
      <c r="B2" s="595"/>
      <c r="C2" s="595"/>
      <c r="D2" s="596"/>
      <c r="E2" s="597">
        <f>SUM(E4:E15)</f>
        <v>12</v>
      </c>
      <c r="F2" s="598"/>
      <c r="G2" s="599"/>
      <c r="H2" s="585"/>
      <c r="I2" s="600"/>
      <c r="J2" s="601"/>
      <c r="K2" s="602">
        <f>SUM(K4:K15)</f>
        <v>114240</v>
      </c>
      <c r="L2" s="600"/>
      <c r="M2" s="583"/>
      <c r="N2" s="583"/>
      <c r="O2" s="585"/>
      <c r="P2" s="585"/>
      <c r="Q2" s="1078"/>
      <c r="R2" s="590"/>
      <c r="S2" s="591"/>
      <c r="T2" s="592" t="s">
        <v>134</v>
      </c>
      <c r="U2" s="603">
        <v>18</v>
      </c>
      <c r="V2" s="584"/>
      <c r="W2" s="591"/>
    </row>
    <row r="3" spans="1:26" s="67" customFormat="1" ht="40.9" customHeight="1" x14ac:dyDescent="0.25">
      <c r="A3" s="604" t="s">
        <v>135</v>
      </c>
      <c r="B3" s="605" t="s">
        <v>122</v>
      </c>
      <c r="C3" s="605" t="s">
        <v>136</v>
      </c>
      <c r="D3" s="606" t="s">
        <v>137</v>
      </c>
      <c r="E3" s="607" t="s">
        <v>123</v>
      </c>
      <c r="F3" s="608" t="s">
        <v>124</v>
      </c>
      <c r="G3" s="608" t="s">
        <v>130</v>
      </c>
      <c r="H3" s="608" t="s">
        <v>125</v>
      </c>
      <c r="I3" s="608" t="s">
        <v>126</v>
      </c>
      <c r="J3" s="608" t="s">
        <v>138</v>
      </c>
      <c r="K3" s="605" t="s">
        <v>139</v>
      </c>
      <c r="L3" s="605" t="s">
        <v>127</v>
      </c>
      <c r="M3" s="605" t="s">
        <v>140</v>
      </c>
      <c r="N3" s="605" t="s">
        <v>141</v>
      </c>
      <c r="O3" s="605" t="s">
        <v>142</v>
      </c>
      <c r="P3" s="609" t="s">
        <v>143</v>
      </c>
      <c r="Q3" s="605" t="s">
        <v>144</v>
      </c>
      <c r="R3" s="609" t="s">
        <v>145</v>
      </c>
      <c r="S3" s="609" t="s">
        <v>146</v>
      </c>
      <c r="T3" s="609" t="s">
        <v>2</v>
      </c>
      <c r="U3" s="610" t="s">
        <v>128</v>
      </c>
      <c r="V3" s="610" t="s">
        <v>131</v>
      </c>
      <c r="W3" s="611" t="s">
        <v>1</v>
      </c>
      <c r="X3" s="605" t="s">
        <v>3</v>
      </c>
      <c r="Y3" s="605" t="s">
        <v>441</v>
      </c>
    </row>
    <row r="4" spans="1:26" ht="30" customHeight="1" x14ac:dyDescent="0.3">
      <c r="A4" s="68" t="s">
        <v>147</v>
      </c>
      <c r="B4" s="69">
        <v>46036</v>
      </c>
      <c r="C4" s="70" t="s">
        <v>374</v>
      </c>
      <c r="D4" s="141" t="s">
        <v>576</v>
      </c>
      <c r="E4" s="71">
        <v>1</v>
      </c>
      <c r="F4" s="72"/>
      <c r="G4" s="72">
        <v>150</v>
      </c>
      <c r="H4" s="72">
        <v>60</v>
      </c>
      <c r="I4" s="72">
        <v>10</v>
      </c>
      <c r="J4" s="73">
        <v>8550</v>
      </c>
      <c r="K4" s="1">
        <f>Inventory_List_Table341120[[#This Row],[Q]]*Inventory_List_Table341120[[#This Row],[Per piece MXN$]]</f>
        <v>8550</v>
      </c>
      <c r="L4" s="1">
        <f>Inventory_List_Table341120[[#This Row],[KG]]*2.20462</f>
        <v>0</v>
      </c>
      <c r="M4" s="2">
        <f>Inventory_List_Table341120[[#This Row],[H CM]]/2.54</f>
        <v>59.055118110236222</v>
      </c>
      <c r="N4" s="2">
        <f>Inventory_List_Table341120[[#This Row],[W CM]]/2.54</f>
        <v>23.622047244094489</v>
      </c>
      <c r="O4" s="2">
        <f>Inventory_List_Table341120[[#This Row],[D CM ]]/2.54</f>
        <v>3.9370078740157481</v>
      </c>
      <c r="P4" s="3">
        <f>Inventory_List_Table341120[[#This Row],[Per piece MXN$]]/$U$2</f>
        <v>475</v>
      </c>
      <c r="Q4" s="3">
        <f t="shared" ref="Q4:Q15" si="0">IF(MOD(P4,1)&gt;0.4,ROUNDUP(P4,0),ROUNDDOWN(P4,0))</f>
        <v>475</v>
      </c>
      <c r="R4" s="3">
        <f>Inventory_List_Table341120[[#This Row],[AQ ROUND]]*1.4</f>
        <v>665</v>
      </c>
      <c r="S4" s="3">
        <f t="shared" ref="S4:S15" si="1">IF(MOD(R4,1)&gt;0.4,ROUNDUP(R4,0),ROUNDDOWN(R4,0))</f>
        <v>665</v>
      </c>
      <c r="T4" s="3">
        <f>Inventory_List_Table341120[[#This Row],[LND ROUND]]*8</f>
        <v>5320</v>
      </c>
      <c r="U4" s="3">
        <f>Inventory_List_Table341120[[#This Row],[AQ]]*Inventory_List_Table341120[[#This Row],[Q]]</f>
        <v>475</v>
      </c>
      <c r="V4" s="74" t="s">
        <v>578</v>
      </c>
      <c r="W4" s="74" t="s">
        <v>577</v>
      </c>
      <c r="X4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13260</v>
      </c>
      <c r="Y4" s="177">
        <f>Inventory_List_Table341120[[#This Row],[Per piece MXN$]]/X4*10000</f>
        <v>6447.9638009049777</v>
      </c>
      <c r="Z4" s="485">
        <f>Inventory_List_Table341120[[#This Row],[Column1]]/10000*29</f>
        <v>38.454000000000001</v>
      </c>
    </row>
    <row r="5" spans="1:26" ht="30" customHeight="1" x14ac:dyDescent="0.3">
      <c r="A5" s="68" t="s">
        <v>148</v>
      </c>
      <c r="B5" s="69">
        <v>46036</v>
      </c>
      <c r="C5" s="70" t="s">
        <v>374</v>
      </c>
      <c r="D5" s="141" t="s">
        <v>579</v>
      </c>
      <c r="E5" s="71">
        <v>1</v>
      </c>
      <c r="F5" s="72"/>
      <c r="G5" s="72">
        <v>173</v>
      </c>
      <c r="H5" s="72">
        <v>60</v>
      </c>
      <c r="I5" s="72">
        <v>10</v>
      </c>
      <c r="J5" s="73">
        <v>9684</v>
      </c>
      <c r="K5" s="1">
        <f>Inventory_List_Table341120[[#This Row],[Q]]*Inventory_List_Table341120[[#This Row],[Per piece MXN$]]</f>
        <v>9684</v>
      </c>
      <c r="L5" s="1">
        <f>Inventory_List_Table341120[[#This Row],[KG]]*2.20462</f>
        <v>0</v>
      </c>
      <c r="M5" s="2">
        <f>Inventory_List_Table341120[[#This Row],[H CM]]/2.54</f>
        <v>68.110236220472444</v>
      </c>
      <c r="N5" s="2">
        <f>Inventory_List_Table341120[[#This Row],[W CM]]/2.54</f>
        <v>23.622047244094489</v>
      </c>
      <c r="O5" s="2">
        <f>Inventory_List_Table341120[[#This Row],[D CM ]]/2.54</f>
        <v>3.9370078740157481</v>
      </c>
      <c r="P5" s="3">
        <f>Inventory_List_Table341120[[#This Row],[Per piece MXN$]]/$U$2</f>
        <v>538</v>
      </c>
      <c r="Q5" s="3">
        <f t="shared" si="0"/>
        <v>538</v>
      </c>
      <c r="R5" s="3">
        <f>Inventory_List_Table341120[[#This Row],[AQ ROUND]]*1.4</f>
        <v>753.19999999999993</v>
      </c>
      <c r="S5" s="3">
        <f t="shared" si="1"/>
        <v>753</v>
      </c>
      <c r="T5" s="3">
        <f>Inventory_List_Table341120[[#This Row],[LND ROUND]]*8</f>
        <v>6024</v>
      </c>
      <c r="U5" s="3">
        <f>Inventory_List_Table341120[[#This Row],[AQ]]*Inventory_List_Table341120[[#This Row],[Q]]</f>
        <v>538</v>
      </c>
      <c r="V5" s="74" t="s">
        <v>581</v>
      </c>
      <c r="W5" s="74" t="s">
        <v>580</v>
      </c>
      <c r="X5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15100</v>
      </c>
      <c r="Y5" s="177">
        <f>Inventory_List_Table341120[[#This Row],[Per piece MXN$]]/X5*10000</f>
        <v>6413.245033112582</v>
      </c>
      <c r="Z5" s="485">
        <f>Inventory_List_Table341120[[#This Row],[Column1]]/10000*29</f>
        <v>43.79</v>
      </c>
    </row>
    <row r="6" spans="1:26" ht="30" customHeight="1" x14ac:dyDescent="0.3">
      <c r="A6" s="68" t="s">
        <v>149</v>
      </c>
      <c r="B6" s="69">
        <v>46036</v>
      </c>
      <c r="C6" s="70" t="s">
        <v>375</v>
      </c>
      <c r="D6" s="141" t="s">
        <v>582</v>
      </c>
      <c r="E6" s="71">
        <v>1</v>
      </c>
      <c r="F6" s="72"/>
      <c r="G6" s="72">
        <v>166</v>
      </c>
      <c r="H6" s="72">
        <v>60</v>
      </c>
      <c r="I6" s="72">
        <v>10</v>
      </c>
      <c r="J6" s="73">
        <v>9250</v>
      </c>
      <c r="K6" s="1">
        <f>Inventory_List_Table341120[[#This Row],[Q]]*Inventory_List_Table341120[[#This Row],[Per piece MXN$]]</f>
        <v>9250</v>
      </c>
      <c r="L6" s="1">
        <f>Inventory_List_Table341120[[#This Row],[KG]]*2.20462</f>
        <v>0</v>
      </c>
      <c r="M6" s="2">
        <f>Inventory_List_Table341120[[#This Row],[H CM]]/2.54</f>
        <v>65.354330708661422</v>
      </c>
      <c r="N6" s="2">
        <f>Inventory_List_Table341120[[#This Row],[W CM]]/2.54</f>
        <v>23.622047244094489</v>
      </c>
      <c r="O6" s="2">
        <f>Inventory_List_Table341120[[#This Row],[D CM ]]/2.54</f>
        <v>3.9370078740157481</v>
      </c>
      <c r="P6" s="3">
        <f>Inventory_List_Table341120[[#This Row],[Per piece MXN$]]/$U$2</f>
        <v>513.88888888888891</v>
      </c>
      <c r="Q6" s="3">
        <f t="shared" si="0"/>
        <v>514</v>
      </c>
      <c r="R6" s="3">
        <f>Inventory_List_Table341120[[#This Row],[AQ ROUND]]*1.4</f>
        <v>719.59999999999991</v>
      </c>
      <c r="S6" s="3">
        <f t="shared" si="1"/>
        <v>720</v>
      </c>
      <c r="T6" s="3">
        <f>Inventory_List_Table341120[[#This Row],[LND ROUND]]*8</f>
        <v>5760</v>
      </c>
      <c r="U6" s="3">
        <f>Inventory_List_Table341120[[#This Row],[AQ]]*Inventory_List_Table341120[[#This Row],[Q]]</f>
        <v>513.88888888888891</v>
      </c>
      <c r="V6" s="74" t="s">
        <v>584</v>
      </c>
      <c r="W6" s="74" t="s">
        <v>583</v>
      </c>
      <c r="X6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14540</v>
      </c>
      <c r="Y6" s="177">
        <f>Inventory_List_Table341120[[#This Row],[Per piece MXN$]]/X6*10000</f>
        <v>6361.7606602475926</v>
      </c>
      <c r="Z6" s="485">
        <f>Inventory_List_Table341120[[#This Row],[Column1]]/10000*29</f>
        <v>42.165999999999997</v>
      </c>
    </row>
    <row r="7" spans="1:26" ht="30" customHeight="1" x14ac:dyDescent="0.3">
      <c r="A7" s="68" t="s">
        <v>150</v>
      </c>
      <c r="B7" s="69">
        <v>46036</v>
      </c>
      <c r="C7" s="70" t="s">
        <v>376</v>
      </c>
      <c r="D7" s="141" t="s">
        <v>585</v>
      </c>
      <c r="E7" s="71">
        <v>1</v>
      </c>
      <c r="F7" s="72"/>
      <c r="G7" s="72">
        <v>177</v>
      </c>
      <c r="H7" s="72">
        <v>60</v>
      </c>
      <c r="I7" s="72">
        <v>10</v>
      </c>
      <c r="J7" s="73">
        <v>9840</v>
      </c>
      <c r="K7" s="1">
        <f>Inventory_List_Table341120[[#This Row],[Q]]*Inventory_List_Table341120[[#This Row],[Per piece MXN$]]</f>
        <v>9840</v>
      </c>
      <c r="L7" s="1">
        <f>Inventory_List_Table341120[[#This Row],[KG]]*2.20462</f>
        <v>0</v>
      </c>
      <c r="M7" s="2">
        <f>Inventory_List_Table341120[[#This Row],[H CM]]/2.54</f>
        <v>69.685039370078741</v>
      </c>
      <c r="N7" s="2">
        <f>Inventory_List_Table341120[[#This Row],[W CM]]/2.54</f>
        <v>23.622047244094489</v>
      </c>
      <c r="O7" s="2">
        <f>Inventory_List_Table341120[[#This Row],[D CM ]]/2.54</f>
        <v>3.9370078740157481</v>
      </c>
      <c r="P7" s="3">
        <f>Inventory_List_Table341120[[#This Row],[Per piece MXN$]]/$U$2</f>
        <v>546.66666666666663</v>
      </c>
      <c r="Q7" s="3">
        <f t="shared" si="0"/>
        <v>547</v>
      </c>
      <c r="R7" s="3">
        <f>Inventory_List_Table341120[[#This Row],[AQ ROUND]]*1.4</f>
        <v>765.8</v>
      </c>
      <c r="S7" s="3">
        <f t="shared" si="1"/>
        <v>766</v>
      </c>
      <c r="T7" s="3">
        <f>Inventory_List_Table341120[[#This Row],[LND ROUND]]*8</f>
        <v>6128</v>
      </c>
      <c r="U7" s="3">
        <f>Inventory_List_Table341120[[#This Row],[AQ]]*Inventory_List_Table341120[[#This Row],[Q]]</f>
        <v>546.66666666666663</v>
      </c>
      <c r="V7" s="74" t="s">
        <v>587</v>
      </c>
      <c r="W7" s="74" t="s">
        <v>586</v>
      </c>
      <c r="X7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15420</v>
      </c>
      <c r="Y7" s="177">
        <f>Inventory_List_Table341120[[#This Row],[Per piece MXN$]]/X7*10000</f>
        <v>6381.322957198443</v>
      </c>
      <c r="Z7" s="485">
        <f>Inventory_List_Table341120[[#This Row],[Column1]]/10000*29</f>
        <v>44.718000000000004</v>
      </c>
    </row>
    <row r="8" spans="1:26" ht="30" customHeight="1" x14ac:dyDescent="0.3">
      <c r="A8" s="68" t="s">
        <v>151</v>
      </c>
      <c r="B8" s="69">
        <v>46036</v>
      </c>
      <c r="C8" s="70" t="s">
        <v>374</v>
      </c>
      <c r="D8" s="141" t="s">
        <v>588</v>
      </c>
      <c r="E8" s="71">
        <v>1</v>
      </c>
      <c r="F8" s="72"/>
      <c r="G8" s="72">
        <v>175</v>
      </c>
      <c r="H8" s="72">
        <v>60</v>
      </c>
      <c r="I8" s="72">
        <v>10</v>
      </c>
      <c r="J8" s="73">
        <v>9792</v>
      </c>
      <c r="K8" s="1">
        <f>Inventory_List_Table341120[[#This Row],[Q]]*Inventory_List_Table341120[[#This Row],[Per piece MXN$]]</f>
        <v>9792</v>
      </c>
      <c r="L8" s="1">
        <f>Inventory_List_Table341120[[#This Row],[KG]]*2.20462</f>
        <v>0</v>
      </c>
      <c r="M8" s="2">
        <f>Inventory_List_Table341120[[#This Row],[H CM]]/2.54</f>
        <v>68.897637795275585</v>
      </c>
      <c r="N8" s="2">
        <f>Inventory_List_Table341120[[#This Row],[W CM]]/2.54</f>
        <v>23.622047244094489</v>
      </c>
      <c r="O8" s="2">
        <f>Inventory_List_Table341120[[#This Row],[D CM ]]/2.54</f>
        <v>3.9370078740157481</v>
      </c>
      <c r="P8" s="3">
        <f>Inventory_List_Table341120[[#This Row],[Per piece MXN$]]/$U$2</f>
        <v>544</v>
      </c>
      <c r="Q8" s="3">
        <f t="shared" si="0"/>
        <v>544</v>
      </c>
      <c r="R8" s="3">
        <f>Inventory_List_Table341120[[#This Row],[AQ ROUND]]*1.4</f>
        <v>761.59999999999991</v>
      </c>
      <c r="S8" s="3">
        <f t="shared" si="1"/>
        <v>762</v>
      </c>
      <c r="T8" s="3">
        <f>Inventory_List_Table341120[[#This Row],[LND ROUND]]*8</f>
        <v>6096</v>
      </c>
      <c r="U8" s="3">
        <f>Inventory_List_Table341120[[#This Row],[AQ]]*Inventory_List_Table341120[[#This Row],[Q]]</f>
        <v>544</v>
      </c>
      <c r="V8" s="74" t="s">
        <v>590</v>
      </c>
      <c r="W8" s="74" t="s">
        <v>589</v>
      </c>
      <c r="X8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15260</v>
      </c>
      <c r="Y8" s="177">
        <f>Inventory_List_Table341120[[#This Row],[Per piece MXN$]]/X8*10000</f>
        <v>6416.7758846657925</v>
      </c>
      <c r="Z8" s="485">
        <f>Inventory_List_Table341120[[#This Row],[Column1]]/10000*29</f>
        <v>44.253999999999998</v>
      </c>
    </row>
    <row r="9" spans="1:26" ht="30" customHeight="1" x14ac:dyDescent="0.3">
      <c r="A9" s="68" t="s">
        <v>152</v>
      </c>
      <c r="B9" s="69">
        <v>46036</v>
      </c>
      <c r="C9" s="70" t="s">
        <v>374</v>
      </c>
      <c r="D9" s="141" t="s">
        <v>591</v>
      </c>
      <c r="E9" s="71">
        <v>1</v>
      </c>
      <c r="F9" s="72"/>
      <c r="G9" s="72">
        <v>180</v>
      </c>
      <c r="H9" s="72">
        <v>60</v>
      </c>
      <c r="I9" s="72">
        <v>10</v>
      </c>
      <c r="J9" s="73">
        <v>10073</v>
      </c>
      <c r="K9" s="1">
        <f>Inventory_List_Table341120[[#This Row],[Q]]*Inventory_List_Table341120[[#This Row],[Per piece MXN$]]</f>
        <v>10073</v>
      </c>
      <c r="L9" s="1">
        <f>Inventory_List_Table341120[[#This Row],[KG]]*2.20462</f>
        <v>0</v>
      </c>
      <c r="M9" s="2">
        <f>Inventory_List_Table341120[[#This Row],[H CM]]/2.54</f>
        <v>70.866141732283467</v>
      </c>
      <c r="N9" s="2">
        <f>Inventory_List_Table341120[[#This Row],[W CM]]/2.54</f>
        <v>23.622047244094489</v>
      </c>
      <c r="O9" s="2">
        <f>Inventory_List_Table341120[[#This Row],[D CM ]]/2.54</f>
        <v>3.9370078740157481</v>
      </c>
      <c r="P9" s="3">
        <f>Inventory_List_Table341120[[#This Row],[Per piece MXN$]]/$U$2</f>
        <v>559.61111111111109</v>
      </c>
      <c r="Q9" s="3">
        <f t="shared" si="0"/>
        <v>560</v>
      </c>
      <c r="R9" s="3">
        <f>Inventory_List_Table341120[[#This Row],[AQ ROUND]]*1.4</f>
        <v>784</v>
      </c>
      <c r="S9" s="3">
        <f t="shared" si="1"/>
        <v>784</v>
      </c>
      <c r="T9" s="3">
        <f>Inventory_List_Table341120[[#This Row],[LND ROUND]]*8</f>
        <v>6272</v>
      </c>
      <c r="U9" s="3">
        <f>Inventory_List_Table341120[[#This Row],[AQ]]*Inventory_List_Table341120[[#This Row],[Q]]</f>
        <v>559.61111111111109</v>
      </c>
      <c r="V9" s="74" t="s">
        <v>593</v>
      </c>
      <c r="W9" s="74" t="s">
        <v>592</v>
      </c>
      <c r="X9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15660</v>
      </c>
      <c r="Y9" s="177">
        <f>Inventory_List_Table341120[[#This Row],[Per piece MXN$]]/X9*10000</f>
        <v>6432.3116219667945</v>
      </c>
      <c r="Z9" s="485">
        <f>Inventory_List_Table341120[[#This Row],[Column1]]/10000*29</f>
        <v>45.414000000000001</v>
      </c>
    </row>
    <row r="10" spans="1:26" ht="30" customHeight="1" x14ac:dyDescent="0.3">
      <c r="A10" s="68" t="s">
        <v>153</v>
      </c>
      <c r="B10" s="69">
        <v>46036</v>
      </c>
      <c r="C10" s="70" t="s">
        <v>374</v>
      </c>
      <c r="D10" s="141" t="s">
        <v>594</v>
      </c>
      <c r="E10" s="71">
        <v>1</v>
      </c>
      <c r="F10" s="72"/>
      <c r="G10" s="72">
        <v>144</v>
      </c>
      <c r="H10" s="72">
        <v>60</v>
      </c>
      <c r="I10" s="72">
        <v>10</v>
      </c>
      <c r="J10" s="73">
        <v>8461</v>
      </c>
      <c r="K10" s="1">
        <f>Inventory_List_Table341120[[#This Row],[Q]]*Inventory_List_Table341120[[#This Row],[Per piece MXN$]]</f>
        <v>8461</v>
      </c>
      <c r="L10" s="1">
        <f>Inventory_List_Table341120[[#This Row],[KG]]*2.20462</f>
        <v>0</v>
      </c>
      <c r="M10" s="2">
        <f>Inventory_List_Table341120[[#This Row],[H CM]]/2.54</f>
        <v>56.69291338582677</v>
      </c>
      <c r="N10" s="2">
        <f>Inventory_List_Table341120[[#This Row],[W CM]]/2.54</f>
        <v>23.622047244094489</v>
      </c>
      <c r="O10" s="2">
        <f>Inventory_List_Table341120[[#This Row],[D CM ]]/2.54</f>
        <v>3.9370078740157481</v>
      </c>
      <c r="P10" s="3">
        <f>Inventory_List_Table341120[[#This Row],[Per piece MXN$]]/$U$2</f>
        <v>470.05555555555554</v>
      </c>
      <c r="Q10" s="3">
        <f t="shared" si="0"/>
        <v>470</v>
      </c>
      <c r="R10" s="3">
        <f>Inventory_List_Table341120[[#This Row],[AQ ROUND]]*1.4</f>
        <v>658</v>
      </c>
      <c r="S10" s="3">
        <f t="shared" si="1"/>
        <v>658</v>
      </c>
      <c r="T10" s="3">
        <f>Inventory_List_Table341120[[#This Row],[LND ROUND]]*8</f>
        <v>5264</v>
      </c>
      <c r="U10" s="3">
        <f>Inventory_List_Table341120[[#This Row],[AQ]]*Inventory_List_Table341120[[#This Row],[Q]]</f>
        <v>470.05555555555554</v>
      </c>
      <c r="V10" s="74" t="s">
        <v>596</v>
      </c>
      <c r="W10" s="74" t="s">
        <v>595</v>
      </c>
      <c r="X10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12780</v>
      </c>
      <c r="Y10" s="177">
        <f>Inventory_List_Table341120[[#This Row],[Per piece MXN$]]/X10*10000</f>
        <v>6620.5007824726135</v>
      </c>
      <c r="Z10" s="485">
        <f>Inventory_List_Table341120[[#This Row],[Column1]]/10000*29</f>
        <v>37.061999999999998</v>
      </c>
    </row>
    <row r="11" spans="1:26" ht="30" customHeight="1" x14ac:dyDescent="0.3">
      <c r="A11" s="68" t="s">
        <v>154</v>
      </c>
      <c r="B11" s="69">
        <v>46036</v>
      </c>
      <c r="C11" s="70" t="s">
        <v>374</v>
      </c>
      <c r="D11" s="141" t="s">
        <v>597</v>
      </c>
      <c r="E11" s="71">
        <v>1</v>
      </c>
      <c r="F11" s="72"/>
      <c r="G11" s="72">
        <v>162</v>
      </c>
      <c r="H11" s="72">
        <v>60</v>
      </c>
      <c r="I11" s="72">
        <v>10</v>
      </c>
      <c r="J11" s="73">
        <v>9300</v>
      </c>
      <c r="K11" s="1">
        <f>Inventory_List_Table341120[[#This Row],[Q]]*Inventory_List_Table341120[[#This Row],[Per piece MXN$]]</f>
        <v>9300</v>
      </c>
      <c r="L11" s="1">
        <f>Inventory_List_Table341120[[#This Row],[KG]]*2.20462</f>
        <v>0</v>
      </c>
      <c r="M11" s="2">
        <f>Inventory_List_Table341120[[#This Row],[H CM]]/2.54</f>
        <v>63.779527559055119</v>
      </c>
      <c r="N11" s="2">
        <f>Inventory_List_Table341120[[#This Row],[W CM]]/2.54</f>
        <v>23.622047244094489</v>
      </c>
      <c r="O11" s="2">
        <f>Inventory_List_Table341120[[#This Row],[D CM ]]/2.54</f>
        <v>3.9370078740157481</v>
      </c>
      <c r="P11" s="3">
        <f>Inventory_List_Table341120[[#This Row],[Per piece MXN$]]/$U$2</f>
        <v>516.66666666666663</v>
      </c>
      <c r="Q11" s="3">
        <f t="shared" si="0"/>
        <v>517</v>
      </c>
      <c r="R11" s="3">
        <f>Inventory_List_Table341120[[#This Row],[AQ ROUND]]*1.4</f>
        <v>723.8</v>
      </c>
      <c r="S11" s="3">
        <f t="shared" si="1"/>
        <v>724</v>
      </c>
      <c r="T11" s="3">
        <f>Inventory_List_Table341120[[#This Row],[LND ROUND]]*8</f>
        <v>5792</v>
      </c>
      <c r="U11" s="3">
        <f>Inventory_List_Table341120[[#This Row],[AQ]]*Inventory_List_Table341120[[#This Row],[Q]]</f>
        <v>516.66666666666663</v>
      </c>
      <c r="V11" s="74" t="s">
        <v>599</v>
      </c>
      <c r="W11" s="74" t="s">
        <v>598</v>
      </c>
      <c r="X11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14220</v>
      </c>
      <c r="Y11" s="177">
        <f>Inventory_List_Table341120[[#This Row],[Per piece MXN$]]/X11*10000</f>
        <v>6540.0843881856545</v>
      </c>
      <c r="Z11" s="485">
        <f>Inventory_List_Table341120[[#This Row],[Column1]]/10000*29</f>
        <v>41.238</v>
      </c>
    </row>
    <row r="12" spans="1:26" ht="30" customHeight="1" x14ac:dyDescent="0.3">
      <c r="A12" s="68" t="s">
        <v>155</v>
      </c>
      <c r="B12" s="69">
        <v>46036</v>
      </c>
      <c r="C12" s="70" t="s">
        <v>375</v>
      </c>
      <c r="D12" s="141" t="s">
        <v>600</v>
      </c>
      <c r="E12" s="71">
        <v>1</v>
      </c>
      <c r="F12" s="72"/>
      <c r="G12" s="72">
        <v>180</v>
      </c>
      <c r="H12" s="72">
        <v>60</v>
      </c>
      <c r="I12" s="72">
        <v>10</v>
      </c>
      <c r="J12" s="73">
        <v>10073</v>
      </c>
      <c r="K12" s="1">
        <f>Inventory_List_Table341120[[#This Row],[Q]]*Inventory_List_Table341120[[#This Row],[Per piece MXN$]]</f>
        <v>10073</v>
      </c>
      <c r="L12" s="1">
        <f>Inventory_List_Table341120[[#This Row],[KG]]*2.20462</f>
        <v>0</v>
      </c>
      <c r="M12" s="2">
        <f>Inventory_List_Table341120[[#This Row],[H CM]]/2.54</f>
        <v>70.866141732283467</v>
      </c>
      <c r="N12" s="2">
        <f>Inventory_List_Table341120[[#This Row],[W CM]]/2.54</f>
        <v>23.622047244094489</v>
      </c>
      <c r="O12" s="2">
        <f>Inventory_List_Table341120[[#This Row],[D CM ]]/2.54</f>
        <v>3.9370078740157481</v>
      </c>
      <c r="P12" s="3">
        <f>Inventory_List_Table341120[[#This Row],[Per piece MXN$]]/$U$2</f>
        <v>559.61111111111109</v>
      </c>
      <c r="Q12" s="3">
        <f t="shared" si="0"/>
        <v>560</v>
      </c>
      <c r="R12" s="3">
        <f>Inventory_List_Table341120[[#This Row],[AQ ROUND]]*1.4</f>
        <v>784</v>
      </c>
      <c r="S12" s="3">
        <f t="shared" si="1"/>
        <v>784</v>
      </c>
      <c r="T12" s="3">
        <f>Inventory_List_Table341120[[#This Row],[LND ROUND]]*8</f>
        <v>6272</v>
      </c>
      <c r="U12" s="3">
        <f>Inventory_List_Table341120[[#This Row],[AQ]]*Inventory_List_Table341120[[#This Row],[Q]]</f>
        <v>559.61111111111109</v>
      </c>
      <c r="V12" s="74" t="s">
        <v>593</v>
      </c>
      <c r="W12" s="74" t="s">
        <v>592</v>
      </c>
      <c r="X12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15660</v>
      </c>
      <c r="Y12" s="177">
        <f>Inventory_List_Table341120[[#This Row],[Per piece MXN$]]/X12*10000</f>
        <v>6432.3116219667945</v>
      </c>
      <c r="Z12" s="485">
        <f>Inventory_List_Table341120[[#This Row],[Column1]]/10000*29</f>
        <v>45.414000000000001</v>
      </c>
    </row>
    <row r="13" spans="1:26" ht="30" customHeight="1" x14ac:dyDescent="0.3">
      <c r="A13" s="68" t="s">
        <v>156</v>
      </c>
      <c r="B13" s="69">
        <v>46036</v>
      </c>
      <c r="C13" s="70" t="s">
        <v>374</v>
      </c>
      <c r="D13" s="141" t="s">
        <v>601</v>
      </c>
      <c r="E13" s="71">
        <v>1</v>
      </c>
      <c r="F13" s="72"/>
      <c r="G13" s="72">
        <v>180</v>
      </c>
      <c r="H13" s="72">
        <v>60</v>
      </c>
      <c r="I13" s="72">
        <v>10</v>
      </c>
      <c r="J13" s="73">
        <v>10073</v>
      </c>
      <c r="K13" s="1">
        <f>Inventory_List_Table341120[[#This Row],[Q]]*Inventory_List_Table341120[[#This Row],[Per piece MXN$]]</f>
        <v>10073</v>
      </c>
      <c r="L13" s="1">
        <f>Inventory_List_Table341120[[#This Row],[KG]]*2.20462</f>
        <v>0</v>
      </c>
      <c r="M13" s="2">
        <f>Inventory_List_Table341120[[#This Row],[H CM]]/2.54</f>
        <v>70.866141732283467</v>
      </c>
      <c r="N13" s="2">
        <f>Inventory_List_Table341120[[#This Row],[W CM]]/2.54</f>
        <v>23.622047244094489</v>
      </c>
      <c r="O13" s="2">
        <f>Inventory_List_Table341120[[#This Row],[D CM ]]/2.54</f>
        <v>3.9370078740157481</v>
      </c>
      <c r="P13" s="3">
        <f>Inventory_List_Table341120[[#This Row],[Per piece MXN$]]/$U$2</f>
        <v>559.61111111111109</v>
      </c>
      <c r="Q13" s="3">
        <f t="shared" si="0"/>
        <v>560</v>
      </c>
      <c r="R13" s="3">
        <f>Inventory_List_Table341120[[#This Row],[AQ ROUND]]*1.4</f>
        <v>784</v>
      </c>
      <c r="S13" s="3">
        <f t="shared" si="1"/>
        <v>784</v>
      </c>
      <c r="T13" s="3">
        <f>Inventory_List_Table341120[[#This Row],[LND ROUND]]*8</f>
        <v>6272</v>
      </c>
      <c r="U13" s="3">
        <f>Inventory_List_Table341120[[#This Row],[AQ]]*Inventory_List_Table341120[[#This Row],[Q]]</f>
        <v>559.61111111111109</v>
      </c>
      <c r="V13" s="74" t="s">
        <v>593</v>
      </c>
      <c r="W13" s="74" t="s">
        <v>592</v>
      </c>
      <c r="X13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15660</v>
      </c>
      <c r="Y13" s="177">
        <f>Inventory_List_Table341120[[#This Row],[Per piece MXN$]]/X13*10000</f>
        <v>6432.3116219667945</v>
      </c>
      <c r="Z13" s="485">
        <f>Inventory_List_Table341120[[#This Row],[Column1]]/10000*29</f>
        <v>45.414000000000001</v>
      </c>
    </row>
    <row r="14" spans="1:26" ht="30" customHeight="1" x14ac:dyDescent="0.3">
      <c r="A14" s="68" t="s">
        <v>157</v>
      </c>
      <c r="B14" s="69">
        <v>46036</v>
      </c>
      <c r="C14" s="70" t="s">
        <v>374</v>
      </c>
      <c r="D14" s="141" t="s">
        <v>602</v>
      </c>
      <c r="E14" s="71">
        <v>1</v>
      </c>
      <c r="F14" s="72"/>
      <c r="G14" s="72">
        <v>172</v>
      </c>
      <c r="H14" s="72">
        <v>60</v>
      </c>
      <c r="I14" s="72">
        <v>10</v>
      </c>
      <c r="J14" s="73">
        <v>9628</v>
      </c>
      <c r="K14" s="1">
        <f>Inventory_List_Table341120[[#This Row],[Q]]*Inventory_List_Table341120[[#This Row],[Per piece MXN$]]</f>
        <v>9628</v>
      </c>
      <c r="L14" s="1">
        <f>Inventory_List_Table341120[[#This Row],[KG]]*2.20462</f>
        <v>0</v>
      </c>
      <c r="M14" s="2">
        <f>Inventory_List_Table341120[[#This Row],[H CM]]/2.54</f>
        <v>67.71653543307086</v>
      </c>
      <c r="N14" s="2">
        <f>Inventory_List_Table341120[[#This Row],[W CM]]/2.54</f>
        <v>23.622047244094489</v>
      </c>
      <c r="O14" s="2">
        <f>Inventory_List_Table341120[[#This Row],[D CM ]]/2.54</f>
        <v>3.9370078740157481</v>
      </c>
      <c r="P14" s="3">
        <f>Inventory_List_Table341120[[#This Row],[Per piece MXN$]]/$U$2</f>
        <v>534.88888888888891</v>
      </c>
      <c r="Q14" s="3">
        <f t="shared" si="0"/>
        <v>535</v>
      </c>
      <c r="R14" s="3">
        <f>Inventory_List_Table341120[[#This Row],[AQ ROUND]]*1.4</f>
        <v>749</v>
      </c>
      <c r="S14" s="3">
        <f t="shared" si="1"/>
        <v>749</v>
      </c>
      <c r="T14" s="3">
        <f>Inventory_List_Table341120[[#This Row],[LND ROUND]]*8</f>
        <v>5992</v>
      </c>
      <c r="U14" s="3">
        <f>Inventory_List_Table341120[[#This Row],[AQ]]*Inventory_List_Table341120[[#This Row],[Q]]</f>
        <v>534.88888888888891</v>
      </c>
      <c r="V14" s="74" t="s">
        <v>604</v>
      </c>
      <c r="W14" s="74" t="s">
        <v>603</v>
      </c>
      <c r="X14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15020</v>
      </c>
      <c r="Y14" s="177">
        <f>Inventory_List_Table341120[[#This Row],[Per piece MXN$]]/X14*10000</f>
        <v>6410.1198402130485</v>
      </c>
      <c r="Z14" s="485">
        <f>Inventory_List_Table341120[[#This Row],[Column1]]/10000*29</f>
        <v>43.558</v>
      </c>
    </row>
    <row r="15" spans="1:26" ht="30" customHeight="1" x14ac:dyDescent="0.3">
      <c r="A15" s="68" t="s">
        <v>158</v>
      </c>
      <c r="B15" s="69">
        <v>46036</v>
      </c>
      <c r="C15" s="70" t="s">
        <v>375</v>
      </c>
      <c r="D15" s="141" t="s">
        <v>605</v>
      </c>
      <c r="E15" s="71">
        <v>1</v>
      </c>
      <c r="F15" s="72"/>
      <c r="G15" s="72">
        <v>170</v>
      </c>
      <c r="H15" s="72">
        <v>60</v>
      </c>
      <c r="I15" s="72">
        <v>10</v>
      </c>
      <c r="J15" s="73">
        <v>9516</v>
      </c>
      <c r="K15" s="1">
        <f>Inventory_List_Table341120[[#This Row],[Q]]*Inventory_List_Table341120[[#This Row],[Per piece MXN$]]</f>
        <v>9516</v>
      </c>
      <c r="L15" s="1">
        <f>Inventory_List_Table341120[[#This Row],[KG]]*2.20462</f>
        <v>0</v>
      </c>
      <c r="M15" s="2">
        <f>Inventory_List_Table341120[[#This Row],[H CM]]/2.54</f>
        <v>66.929133858267718</v>
      </c>
      <c r="N15" s="2">
        <f>Inventory_List_Table341120[[#This Row],[W CM]]/2.54</f>
        <v>23.622047244094489</v>
      </c>
      <c r="O15" s="2">
        <f>Inventory_List_Table341120[[#This Row],[D CM ]]/2.54</f>
        <v>3.9370078740157481</v>
      </c>
      <c r="P15" s="3">
        <f>Inventory_List_Table341120[[#This Row],[Per piece MXN$]]/$U$2</f>
        <v>528.66666666666663</v>
      </c>
      <c r="Q15" s="3">
        <f t="shared" si="0"/>
        <v>529</v>
      </c>
      <c r="R15" s="3">
        <f>Inventory_List_Table341120[[#This Row],[AQ ROUND]]*1.4</f>
        <v>740.59999999999991</v>
      </c>
      <c r="S15" s="3">
        <f t="shared" si="1"/>
        <v>741</v>
      </c>
      <c r="T15" s="3">
        <f>Inventory_List_Table341120[[#This Row],[LND ROUND]]*8</f>
        <v>5928</v>
      </c>
      <c r="U15" s="3">
        <f>Inventory_List_Table341120[[#This Row],[AQ]]*Inventory_List_Table341120[[#This Row],[Q]]</f>
        <v>528.66666666666663</v>
      </c>
      <c r="V15" s="74" t="s">
        <v>607</v>
      </c>
      <c r="W15" s="74" t="s">
        <v>606</v>
      </c>
      <c r="X15" s="176">
        <f>Inventory_List_Table341120[[#This Row],[H CM]]*Inventory_List_Table341120[[#This Row],[W CM]]+Inventory_List_Table341120[[#This Row],[W CM]]+Inventory_List_Table341120[[#This Row],[W CM]]*Inventory_List_Table341120[[#This Row],[D CM ]]*2+Inventory_List_Table341120[[#This Row],[H CM]]*Inventory_List_Table341120[[#This Row],[D CM ]]*2</f>
        <v>14860</v>
      </c>
      <c r="Y15" s="177">
        <f>Inventory_List_Table341120[[#This Row],[Per piece MXN$]]/X15*10000</f>
        <v>6403.7685060565273</v>
      </c>
      <c r="Z15" s="485">
        <f>Inventory_List_Table341120[[#This Row],[Column1]]/10000*29</f>
        <v>43.094000000000001</v>
      </c>
    </row>
  </sheetData>
  <mergeCells count="1">
    <mergeCell ref="Q1:Q2"/>
  </mergeCells>
  <phoneticPr fontId="3" type="noConversion"/>
  <dataValidations count="12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915F8214-D507-4E23-ACDA-3EF33B1231FD}"/>
    <dataValidation allowBlank="1" showInputMessage="1" showErrorMessage="1" prompt="Enter the item inventory ID in this column" sqref="C3" xr:uid="{0ED5110C-0E7F-4B6E-A2F4-4349D7EA6B2A}"/>
    <dataValidation allowBlank="1" showInputMessage="1" showErrorMessage="1" prompt="Enter the name of the item in this column" sqref="D3" xr:uid="{B4E005B0-D5AE-42AC-87FD-F4A04775DA8F}"/>
    <dataValidation allowBlank="1" showInputMessage="1" showErrorMessage="1" prompt="Enter yes if the item has been discontinued. When a yes is entered, the corresponding row is highlighted a light grey and the font style changed to strikethrough" sqref="N3" xr:uid="{8FCE84C7-18F2-488B-B4CD-CBB86FCCBA29}"/>
    <dataValidation allowBlank="1" showInputMessage="1" showErrorMessage="1" prompt="Enter the quantity in reorder for each item in this column" sqref="M3" xr:uid="{D819965C-67C8-4BFB-8361-33EFA91ACEC8}"/>
    <dataValidation allowBlank="1" showInputMessage="1" showErrorMessage="1" prompt="Enter the number of days it takes to reorder each item in this column" sqref="J3:L3" xr:uid="{6AB58FEB-066F-4BC9-B067-5EEA495C12C1}"/>
    <dataValidation allowBlank="1" showInputMessage="1" showErrorMessage="1" prompt="Enter the reorder level for each item in this column" sqref="I3" xr:uid="{8EF3FDD4-06C1-44B2-8960-44B31681495B}"/>
    <dataValidation allowBlank="1" showInputMessage="1" showErrorMessage="1" prompt="This is an automated column._x000a__x000a_The inventory value for each item is automatically calculated in this column." sqref="H3" xr:uid="{C9494743-AD21-4A33-BB47-05F9887DA1DF}"/>
    <dataValidation allowBlank="1" showInputMessage="1" showErrorMessage="1" prompt="Enter the quantity in stock for each item in this column" sqref="G3" xr:uid="{E1DE6523-F54F-4586-9843-81DA61BF0D0A}"/>
    <dataValidation allowBlank="1" showInputMessage="1" showErrorMessage="1" prompt="Enter the unit price of each item in this column" sqref="F3" xr:uid="{94CB2F66-1172-4D1E-B359-98948CB3C8EE}"/>
    <dataValidation allowBlank="1" showInputMessage="1" showErrorMessage="1" prompt="Enter a description of the item in this column" sqref="E3" xr:uid="{F3E0EDE9-2421-4775-B257-90C946819A73}"/>
    <dataValidation allowBlank="1" showInputMessage="1" showErrorMessage="1" prompt="Enter company name in this cell" sqref="A2" xr:uid="{C4AEE207-6AF3-4AE8-B53B-1999B24C24B2}"/>
  </dataValidations>
  <printOptions horizontalCentered="1"/>
  <pageMargins left="0.25" right="0.25" top="0.75" bottom="0.75" header="0.3" footer="0.3"/>
  <pageSetup scale="47" fitToHeight="0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B7DD-C5EE-4C99-9D5E-D534DD65F519}">
  <sheetPr codeName="Sheet9">
    <tabColor rgb="FFF0E68C"/>
    <pageSetUpPr fitToPage="1"/>
  </sheetPr>
  <dimension ref="A1:W17"/>
  <sheetViews>
    <sheetView showGridLines="0" topLeftCell="H1" zoomScaleNormal="100" workbookViewId="0">
      <selection activeCell="V4" sqref="V4:W17"/>
    </sheetView>
  </sheetViews>
  <sheetFormatPr defaultColWidth="8.625" defaultRowHeight="24" customHeight="1" x14ac:dyDescent="0.25"/>
  <cols>
    <col min="1" max="1" width="4.125" style="76" customWidth="1"/>
    <col min="2" max="2" width="15.5" style="77" customWidth="1"/>
    <col min="3" max="3" width="29.375" style="78" customWidth="1"/>
    <col min="4" max="4" width="22" style="78" bestFit="1" customWidth="1"/>
    <col min="5" max="5" width="6.375" style="78" customWidth="1"/>
    <col min="6" max="6" width="9.25" style="79" bestFit="1" customWidth="1"/>
    <col min="7" max="7" width="8.125" style="79" bestFit="1" customWidth="1"/>
    <col min="8" max="8" width="8.75" style="79" bestFit="1" customWidth="1"/>
    <col min="9" max="9" width="8.125" style="79" bestFit="1" customWidth="1"/>
    <col min="10" max="10" width="25.75" style="79" bestFit="1" customWidth="1"/>
    <col min="11" max="11" width="21.625" style="79" bestFit="1" customWidth="1"/>
    <col min="12" max="12" width="13.75" style="226" customWidth="1"/>
    <col min="13" max="13" width="11.5" style="79" customWidth="1"/>
    <col min="14" max="14" width="11.5" style="78" customWidth="1"/>
    <col min="15" max="15" width="11.375" style="45" customWidth="1"/>
    <col min="16" max="17" width="13.75" style="45" customWidth="1"/>
    <col min="18" max="18" width="24.25" style="45" customWidth="1"/>
    <col min="19" max="19" width="15.5" style="45" customWidth="1"/>
    <col min="20" max="20" width="18.125" style="45" bestFit="1" customWidth="1"/>
    <col min="21" max="21" width="15" style="45" customWidth="1"/>
    <col min="22" max="22" width="7.5" style="45" bestFit="1" customWidth="1"/>
    <col min="23" max="23" width="8.125" style="45" bestFit="1" customWidth="1"/>
    <col min="24" max="16384" width="8.625" style="45"/>
  </cols>
  <sheetData>
    <row r="1" spans="1:23" ht="36.75" x14ac:dyDescent="0.6">
      <c r="A1" s="228" t="s">
        <v>108</v>
      </c>
      <c r="B1" s="229"/>
      <c r="C1" s="229"/>
      <c r="D1" s="230"/>
      <c r="E1" s="230"/>
      <c r="F1" s="229"/>
      <c r="G1" s="231"/>
      <c r="H1" s="231"/>
      <c r="I1" s="232"/>
      <c r="J1" s="233" t="s">
        <v>132</v>
      </c>
      <c r="K1" s="180">
        <f>SUM(K16:K17)</f>
        <v>16300</v>
      </c>
      <c r="L1" s="234"/>
      <c r="M1" s="235"/>
      <c r="N1" s="229"/>
      <c r="O1" s="231"/>
      <c r="P1" s="231"/>
      <c r="Q1" s="1079"/>
      <c r="R1" s="1079"/>
      <c r="S1" s="236"/>
      <c r="T1" s="237" t="s">
        <v>133</v>
      </c>
      <c r="U1" s="238">
        <v>825</v>
      </c>
      <c r="V1" s="231"/>
      <c r="W1" s="231"/>
    </row>
    <row r="2" spans="1:23" ht="31.5" x14ac:dyDescent="0.45">
      <c r="A2" s="239" t="s">
        <v>111</v>
      </c>
      <c r="B2" s="240"/>
      <c r="C2" s="240"/>
      <c r="D2" s="241"/>
      <c r="E2" s="242"/>
      <c r="F2" s="243">
        <f>SUM(F7:F13)</f>
        <v>1950</v>
      </c>
      <c r="G2" s="244"/>
      <c r="H2" s="231"/>
      <c r="I2" s="245"/>
      <c r="J2" s="246"/>
      <c r="K2" s="858">
        <f>SUM(Inventory_List_Table341114[TOTAL PESOS])</f>
        <v>103400</v>
      </c>
      <c r="L2" s="247"/>
      <c r="M2" s="229"/>
      <c r="N2" s="229"/>
      <c r="O2" s="231"/>
      <c r="P2" s="231"/>
      <c r="Q2" s="1080"/>
      <c r="R2" s="1080"/>
      <c r="S2" s="236"/>
      <c r="T2" s="237" t="s">
        <v>134</v>
      </c>
      <c r="U2" s="248">
        <v>18</v>
      </c>
      <c r="V2" s="230"/>
      <c r="W2" s="236"/>
    </row>
    <row r="3" spans="1:23" s="67" customFormat="1" ht="40.9" customHeight="1" x14ac:dyDescent="0.25">
      <c r="A3" s="249" t="s">
        <v>135</v>
      </c>
      <c r="B3" s="250" t="s">
        <v>122</v>
      </c>
      <c r="C3" s="250" t="s">
        <v>136</v>
      </c>
      <c r="D3" s="251" t="s">
        <v>137</v>
      </c>
      <c r="E3" s="252" t="s">
        <v>123</v>
      </c>
      <c r="F3" s="253" t="s">
        <v>124</v>
      </c>
      <c r="G3" s="253" t="s">
        <v>130</v>
      </c>
      <c r="H3" s="253" t="s">
        <v>125</v>
      </c>
      <c r="I3" s="253" t="s">
        <v>126</v>
      </c>
      <c r="J3" s="253" t="s">
        <v>138</v>
      </c>
      <c r="K3" s="250" t="s">
        <v>139</v>
      </c>
      <c r="L3" s="254" t="s">
        <v>127</v>
      </c>
      <c r="M3" s="250" t="s">
        <v>140</v>
      </c>
      <c r="N3" s="250" t="s">
        <v>141</v>
      </c>
      <c r="O3" s="250" t="s">
        <v>142</v>
      </c>
      <c r="P3" s="255" t="s">
        <v>143</v>
      </c>
      <c r="Q3" s="250" t="s">
        <v>144</v>
      </c>
      <c r="R3" s="255" t="s">
        <v>145</v>
      </c>
      <c r="S3" s="255" t="s">
        <v>146</v>
      </c>
      <c r="T3" s="255" t="s">
        <v>2</v>
      </c>
      <c r="U3" s="256" t="s">
        <v>128</v>
      </c>
      <c r="V3" s="256" t="s">
        <v>131</v>
      </c>
      <c r="W3" s="257" t="s">
        <v>1</v>
      </c>
    </row>
    <row r="4" spans="1:23" ht="30" customHeight="1" x14ac:dyDescent="0.2">
      <c r="A4" s="258" t="s">
        <v>147</v>
      </c>
      <c r="B4" s="69"/>
      <c r="C4" s="259" t="s">
        <v>279</v>
      </c>
      <c r="D4" s="259" t="s">
        <v>280</v>
      </c>
      <c r="E4" s="948">
        <v>5</v>
      </c>
      <c r="F4" s="260">
        <v>7</v>
      </c>
      <c r="G4" s="260">
        <v>40</v>
      </c>
      <c r="H4" s="260">
        <v>12</v>
      </c>
      <c r="I4" s="260"/>
      <c r="J4" s="261">
        <v>1200</v>
      </c>
      <c r="K4" s="1">
        <f>Inventory_List_Table341114[[#This Row],[Q]]*Inventory_List_Table341114[[#This Row],[Per piece MXN$]]</f>
        <v>6000</v>
      </c>
      <c r="L4" s="14">
        <f>Inventory_List_Table341114[[#This Row],[KG]]*2.20462</f>
        <v>15.432339999999998</v>
      </c>
      <c r="M4" s="2">
        <f>Inventory_List_Table341114[[#This Row],[H CM]]/2.54</f>
        <v>15.748031496062993</v>
      </c>
      <c r="N4" s="2">
        <f>Inventory_List_Table341114[[#This Row],[W CM]]/2.54</f>
        <v>4.7244094488188972</v>
      </c>
      <c r="O4" s="2">
        <f>Inventory_List_Table341114[[#This Row],[D CM ]]/2.54</f>
        <v>0</v>
      </c>
      <c r="P4" s="3">
        <f>Inventory_List_Table341114[[#This Row],[Per piece MXN$]]/$U$2</f>
        <v>66.666666666666671</v>
      </c>
      <c r="Q4" s="3">
        <f t="shared" ref="Q4:Q16" si="0">IF(MOD(P4,1)&gt;0.4,ROUNDUP(P4,0),ROUNDDOWN(P4,0))</f>
        <v>67</v>
      </c>
      <c r="R4" s="3">
        <f>Inventory_List_Table341114[[#This Row],[AQ ROUND]]*1.4</f>
        <v>93.8</v>
      </c>
      <c r="S4" s="3">
        <f t="shared" ref="S4:S16" si="1">IF(MOD(R4,1)&gt;0.4,ROUNDUP(R4,0),ROUNDDOWN(R4,0))</f>
        <v>94</v>
      </c>
      <c r="T4" s="3">
        <f>Inventory_List_Table341114[[#This Row],[LND ROUND]]*8</f>
        <v>752</v>
      </c>
      <c r="U4" s="3">
        <f>Inventory_List_Table341114[[#This Row],[AQ]]*Inventory_List_Table341114[[#This Row],[Q]]</f>
        <v>333.33333333333337</v>
      </c>
      <c r="V4" s="74" t="s">
        <v>771</v>
      </c>
      <c r="W4" s="74" t="s">
        <v>839</v>
      </c>
    </row>
    <row r="5" spans="1:23" ht="30" customHeight="1" x14ac:dyDescent="0.2">
      <c r="A5" s="258" t="s">
        <v>148</v>
      </c>
      <c r="B5" s="69"/>
      <c r="C5" s="259" t="s">
        <v>281</v>
      </c>
      <c r="D5" s="259" t="s">
        <v>282</v>
      </c>
      <c r="E5" s="948">
        <v>50</v>
      </c>
      <c r="F5" s="260">
        <v>2</v>
      </c>
      <c r="G5" s="260"/>
      <c r="H5" s="260"/>
      <c r="I5" s="260"/>
      <c r="J5" s="261">
        <v>400</v>
      </c>
      <c r="K5" s="1">
        <f>Inventory_List_Table341114[[#This Row],[Q]]*Inventory_List_Table341114[[#This Row],[Per piece MXN$]]</f>
        <v>20000</v>
      </c>
      <c r="L5" s="14">
        <f>Inventory_List_Table341114[[#This Row],[KG]]*2.20462</f>
        <v>4.4092399999999996</v>
      </c>
      <c r="M5" s="2">
        <f>Inventory_List_Table341114[[#This Row],[H CM]]/2.54</f>
        <v>0</v>
      </c>
      <c r="N5" s="2">
        <f>Inventory_List_Table341114[[#This Row],[W CM]]/2.54</f>
        <v>0</v>
      </c>
      <c r="O5" s="2">
        <f>Inventory_List_Table341114[[#This Row],[D CM ]]/2.54</f>
        <v>0</v>
      </c>
      <c r="P5" s="3">
        <f>Inventory_List_Table341114[[#This Row],[Per piece MXN$]]/$U$2</f>
        <v>22.222222222222221</v>
      </c>
      <c r="Q5" s="3">
        <f t="shared" si="0"/>
        <v>22</v>
      </c>
      <c r="R5" s="3">
        <f>Inventory_List_Table341114[[#This Row],[AQ ROUND]]*1.4</f>
        <v>30.799999999999997</v>
      </c>
      <c r="S5" s="3">
        <f t="shared" si="1"/>
        <v>31</v>
      </c>
      <c r="T5" s="3">
        <f>Inventory_List_Table341114[[#This Row],[LND ROUND]]*8</f>
        <v>248</v>
      </c>
      <c r="U5" s="3">
        <f>Inventory_List_Table341114[[#This Row],[AQ]]*Inventory_List_Table341114[[#This Row],[Q]]</f>
        <v>1111.1111111111111</v>
      </c>
      <c r="V5" s="74" t="s">
        <v>720</v>
      </c>
      <c r="W5" s="74" t="s">
        <v>745</v>
      </c>
    </row>
    <row r="6" spans="1:23" ht="30" customHeight="1" x14ac:dyDescent="0.25">
      <c r="A6" s="258" t="s">
        <v>149</v>
      </c>
      <c r="B6" s="69"/>
      <c r="C6" s="70" t="s">
        <v>109</v>
      </c>
      <c r="D6" s="70" t="s">
        <v>1401</v>
      </c>
      <c r="E6" s="949">
        <v>3</v>
      </c>
      <c r="F6" s="260">
        <v>32</v>
      </c>
      <c r="G6" s="260">
        <v>96</v>
      </c>
      <c r="H6" s="260"/>
      <c r="I6" s="260"/>
      <c r="J6" s="261">
        <v>10000</v>
      </c>
      <c r="K6" s="1">
        <f>Inventory_List_Table341114[[#This Row],[Q]]*Inventory_List_Table341114[[#This Row],[Per piece MXN$]]</f>
        <v>30000</v>
      </c>
      <c r="L6" s="14">
        <f>Inventory_List_Table341114[[#This Row],[KG]]*2.20462</f>
        <v>70.547839999999994</v>
      </c>
      <c r="M6" s="2">
        <f>Inventory_List_Table341114[[#This Row],[H CM]]/2.54</f>
        <v>37.795275590551178</v>
      </c>
      <c r="N6" s="2">
        <f>Inventory_List_Table341114[[#This Row],[W CM]]/2.54</f>
        <v>0</v>
      </c>
      <c r="O6" s="2">
        <f>Inventory_List_Table341114[[#This Row],[D CM ]]/2.54</f>
        <v>0</v>
      </c>
      <c r="P6" s="3">
        <f>Inventory_List_Table341114[[#This Row],[Per piece MXN$]]/$U$2</f>
        <v>555.55555555555554</v>
      </c>
      <c r="Q6" s="3">
        <f t="shared" si="0"/>
        <v>556</v>
      </c>
      <c r="R6" s="3">
        <f>Inventory_List_Table341114[[#This Row],[AQ ROUND]]*1.4</f>
        <v>778.4</v>
      </c>
      <c r="S6" s="3">
        <f t="shared" si="1"/>
        <v>778</v>
      </c>
      <c r="T6" s="3">
        <f>Inventory_List_Table341114[[#This Row],[LND ROUND]]*8</f>
        <v>6224</v>
      </c>
      <c r="U6" s="3">
        <f>Inventory_List_Table341114[[#This Row],[AQ]]*Inventory_List_Table341114[[#This Row],[Q]]</f>
        <v>1666.6666666666665</v>
      </c>
      <c r="V6" s="74" t="s">
        <v>1152</v>
      </c>
      <c r="W6" s="74" t="s">
        <v>1457</v>
      </c>
    </row>
    <row r="7" spans="1:23" ht="30" customHeight="1" x14ac:dyDescent="0.25">
      <c r="A7" s="945" t="s">
        <v>150</v>
      </c>
      <c r="B7" s="69"/>
      <c r="C7" s="70" t="s">
        <v>283</v>
      </c>
      <c r="D7" s="70" t="s">
        <v>1323</v>
      </c>
      <c r="E7" s="949">
        <v>1</v>
      </c>
      <c r="F7" s="260">
        <v>473</v>
      </c>
      <c r="G7" s="260">
        <v>140</v>
      </c>
      <c r="H7" s="260">
        <v>55</v>
      </c>
      <c r="I7" s="260">
        <v>40</v>
      </c>
      <c r="J7" s="261">
        <v>5676</v>
      </c>
      <c r="K7" s="1">
        <f>Inventory_List_Table341114[[#This Row],[Q]]*Inventory_List_Table341114[[#This Row],[Per piece MXN$]]</f>
        <v>5676</v>
      </c>
      <c r="L7" s="14">
        <f>Inventory_List_Table341114[[#This Row],[KG]]*2.20462</f>
        <v>1042.7852599999999</v>
      </c>
      <c r="M7" s="15">
        <f>Inventory_List_Table341114[[#This Row],[H CM]]/2.54</f>
        <v>55.118110236220474</v>
      </c>
      <c r="N7" s="15">
        <f>Inventory_List_Table341114[[#This Row],[W CM]]/2.54</f>
        <v>21.653543307086615</v>
      </c>
      <c r="O7" s="15">
        <f>Inventory_List_Table341114[[#This Row],[D CM ]]/2.54</f>
        <v>15.748031496062993</v>
      </c>
      <c r="P7" s="16">
        <f>Inventory_List_Table341114[[#This Row],[Per piece MXN$]]/$U$2</f>
        <v>315.33333333333331</v>
      </c>
      <c r="Q7" s="16">
        <f t="shared" si="0"/>
        <v>315</v>
      </c>
      <c r="R7" s="16">
        <f>Inventory_List_Table341114[[#This Row],[AQ ROUND]]*1.4</f>
        <v>441</v>
      </c>
      <c r="S7" s="16">
        <f t="shared" si="1"/>
        <v>441</v>
      </c>
      <c r="T7" s="16">
        <f>Inventory_List_Table341114[[#This Row],[LND ROUND]]*8</f>
        <v>3528</v>
      </c>
      <c r="U7" s="16">
        <f>Inventory_List_Table341114[[#This Row],[AQ]]*Inventory_List_Table341114[[#This Row],[Q]]</f>
        <v>315.33333333333331</v>
      </c>
      <c r="V7" s="74" t="s">
        <v>1324</v>
      </c>
      <c r="W7" s="74" t="s">
        <v>1325</v>
      </c>
    </row>
    <row r="8" spans="1:23" ht="30" customHeight="1" x14ac:dyDescent="0.25">
      <c r="A8" s="945" t="s">
        <v>151</v>
      </c>
      <c r="B8" s="69"/>
      <c r="C8" s="70" t="s">
        <v>283</v>
      </c>
      <c r="D8" s="70" t="s">
        <v>1326</v>
      </c>
      <c r="E8" s="949">
        <v>1</v>
      </c>
      <c r="F8" s="260">
        <v>308</v>
      </c>
      <c r="G8" s="260">
        <v>140</v>
      </c>
      <c r="H8" s="260">
        <v>48</v>
      </c>
      <c r="I8" s="260">
        <v>30</v>
      </c>
      <c r="J8" s="261">
        <v>3696</v>
      </c>
      <c r="K8" s="1">
        <f>Inventory_List_Table341114[[#This Row],[Q]]*Inventory_List_Table341114[[#This Row],[Per piece MXN$]]</f>
        <v>3696</v>
      </c>
      <c r="L8" s="14">
        <f>Inventory_List_Table341114[[#This Row],[KG]]*2.20462</f>
        <v>679.0229599999999</v>
      </c>
      <c r="M8" s="15">
        <f>Inventory_List_Table341114[[#This Row],[H CM]]/2.54</f>
        <v>55.118110236220474</v>
      </c>
      <c r="N8" s="15">
        <f>Inventory_List_Table341114[[#This Row],[W CM]]/2.54</f>
        <v>18.897637795275589</v>
      </c>
      <c r="O8" s="15">
        <f>Inventory_List_Table341114[[#This Row],[D CM ]]/2.54</f>
        <v>11.811023622047244</v>
      </c>
      <c r="P8" s="16">
        <f>Inventory_List_Table341114[[#This Row],[Per piece MXN$]]/$U$2</f>
        <v>205.33333333333334</v>
      </c>
      <c r="Q8" s="16">
        <f t="shared" si="0"/>
        <v>205</v>
      </c>
      <c r="R8" s="16">
        <f>Inventory_List_Table341114[[#This Row],[AQ ROUND]]*1.4</f>
        <v>287</v>
      </c>
      <c r="S8" s="16">
        <f t="shared" si="1"/>
        <v>287</v>
      </c>
      <c r="T8" s="16">
        <f>Inventory_List_Table341114[[#This Row],[LND ROUND]]*8</f>
        <v>2296</v>
      </c>
      <c r="U8" s="16">
        <f>Inventory_List_Table341114[[#This Row],[AQ]]*Inventory_List_Table341114[[#This Row],[Q]]</f>
        <v>205.33333333333334</v>
      </c>
      <c r="V8" s="74" t="s">
        <v>1327</v>
      </c>
      <c r="W8" s="74" t="s">
        <v>1328</v>
      </c>
    </row>
    <row r="9" spans="1:23" ht="30" customHeight="1" x14ac:dyDescent="0.25">
      <c r="A9" s="945" t="s">
        <v>152</v>
      </c>
      <c r="B9" s="69"/>
      <c r="C9" s="70" t="s">
        <v>284</v>
      </c>
      <c r="D9" s="70" t="s">
        <v>1329</v>
      </c>
      <c r="E9" s="949">
        <v>1</v>
      </c>
      <c r="F9" s="260">
        <v>185</v>
      </c>
      <c r="G9" s="260">
        <v>70</v>
      </c>
      <c r="H9" s="260">
        <v>42</v>
      </c>
      <c r="I9" s="260">
        <v>30</v>
      </c>
      <c r="J9" s="261">
        <v>2220</v>
      </c>
      <c r="K9" s="1">
        <f>Inventory_List_Table341114[[#This Row],[Q]]*Inventory_List_Table341114[[#This Row],[Per piece MXN$]]</f>
        <v>2220</v>
      </c>
      <c r="L9" s="14">
        <f>Inventory_List_Table341114[[#This Row],[KG]]*2.20462</f>
        <v>407.85469999999998</v>
      </c>
      <c r="M9" s="15">
        <f>Inventory_List_Table341114[[#This Row],[H CM]]/2.54</f>
        <v>27.559055118110237</v>
      </c>
      <c r="N9" s="15">
        <f>Inventory_List_Table341114[[#This Row],[W CM]]/2.54</f>
        <v>16.535433070866141</v>
      </c>
      <c r="O9" s="15">
        <f>Inventory_List_Table341114[[#This Row],[D CM ]]/2.54</f>
        <v>11.811023622047244</v>
      </c>
      <c r="P9" s="16">
        <f>Inventory_List_Table341114[[#This Row],[Per piece MXN$]]/$U$2</f>
        <v>123.33333333333333</v>
      </c>
      <c r="Q9" s="16">
        <f t="shared" si="0"/>
        <v>123</v>
      </c>
      <c r="R9" s="16">
        <f>Inventory_List_Table341114[[#This Row],[AQ ROUND]]*1.4</f>
        <v>172.2</v>
      </c>
      <c r="S9" s="16">
        <f t="shared" si="1"/>
        <v>172</v>
      </c>
      <c r="T9" s="16">
        <f>Inventory_List_Table341114[[#This Row],[LND ROUND]]*8</f>
        <v>1376</v>
      </c>
      <c r="U9" s="16">
        <f>Inventory_List_Table341114[[#This Row],[AQ]]*Inventory_List_Table341114[[#This Row],[Q]]</f>
        <v>123.33333333333333</v>
      </c>
      <c r="V9" s="74" t="s">
        <v>1015</v>
      </c>
      <c r="W9" s="74" t="s">
        <v>1330</v>
      </c>
    </row>
    <row r="10" spans="1:23" ht="30" customHeight="1" x14ac:dyDescent="0.25">
      <c r="A10" s="945" t="s">
        <v>153</v>
      </c>
      <c r="B10" s="69"/>
      <c r="C10" s="70" t="s">
        <v>285</v>
      </c>
      <c r="D10" s="70" t="s">
        <v>1331</v>
      </c>
      <c r="E10" s="949">
        <v>1</v>
      </c>
      <c r="F10" s="260">
        <v>285</v>
      </c>
      <c r="G10" s="260">
        <v>60</v>
      </c>
      <c r="H10" s="260">
        <v>45</v>
      </c>
      <c r="I10" s="260">
        <v>38</v>
      </c>
      <c r="J10" s="261">
        <v>3420</v>
      </c>
      <c r="K10" s="1">
        <f>Inventory_List_Table341114[[#This Row],[Q]]*Inventory_List_Table341114[[#This Row],[Per piece MXN$]]</f>
        <v>3420</v>
      </c>
      <c r="L10" s="14">
        <f>Inventory_List_Table341114[[#This Row],[KG]]*2.20462</f>
        <v>628.31669999999997</v>
      </c>
      <c r="M10" s="15">
        <f>Inventory_List_Table341114[[#This Row],[H CM]]/2.54</f>
        <v>23.622047244094489</v>
      </c>
      <c r="N10" s="15">
        <f>Inventory_List_Table341114[[#This Row],[W CM]]/2.54</f>
        <v>17.716535433070867</v>
      </c>
      <c r="O10" s="15">
        <f>Inventory_List_Table341114[[#This Row],[D CM ]]/2.54</f>
        <v>14.960629921259843</v>
      </c>
      <c r="P10" s="16">
        <f>Inventory_List_Table341114[[#This Row],[Per piece MXN$]]/$U$2</f>
        <v>190</v>
      </c>
      <c r="Q10" s="16">
        <f t="shared" si="0"/>
        <v>190</v>
      </c>
      <c r="R10" s="16">
        <f>Inventory_List_Table341114[[#This Row],[AQ ROUND]]*1.4</f>
        <v>266</v>
      </c>
      <c r="S10" s="16">
        <f t="shared" si="1"/>
        <v>266</v>
      </c>
      <c r="T10" s="16">
        <f>Inventory_List_Table341114[[#This Row],[LND ROUND]]*8</f>
        <v>2128</v>
      </c>
      <c r="U10" s="16">
        <f>Inventory_List_Table341114[[#This Row],[AQ]]*Inventory_List_Table341114[[#This Row],[Q]]</f>
        <v>190</v>
      </c>
      <c r="V10" s="74" t="s">
        <v>1332</v>
      </c>
      <c r="W10" s="74" t="s">
        <v>1333</v>
      </c>
    </row>
    <row r="11" spans="1:23" ht="30" customHeight="1" x14ac:dyDescent="0.25">
      <c r="A11" s="945" t="s">
        <v>154</v>
      </c>
      <c r="B11" s="69"/>
      <c r="C11" s="70" t="s">
        <v>286</v>
      </c>
      <c r="D11" s="70" t="s">
        <v>1334</v>
      </c>
      <c r="E11" s="949">
        <v>1</v>
      </c>
      <c r="F11" s="260">
        <v>198</v>
      </c>
      <c r="G11" s="260">
        <v>80</v>
      </c>
      <c r="H11" s="260">
        <v>80</v>
      </c>
      <c r="I11" s="260">
        <v>29</v>
      </c>
      <c r="J11" s="261">
        <v>2376</v>
      </c>
      <c r="K11" s="1">
        <f>Inventory_List_Table341114[[#This Row],[Q]]*Inventory_List_Table341114[[#This Row],[Per piece MXN$]]</f>
        <v>2376</v>
      </c>
      <c r="L11" s="14">
        <f>Inventory_List_Table341114[[#This Row],[KG]]*2.20462</f>
        <v>436.51475999999997</v>
      </c>
      <c r="M11" s="15">
        <f>Inventory_List_Table341114[[#This Row],[H CM]]/2.54</f>
        <v>31.496062992125985</v>
      </c>
      <c r="N11" s="15">
        <f>Inventory_List_Table341114[[#This Row],[W CM]]/2.54</f>
        <v>31.496062992125985</v>
      </c>
      <c r="O11" s="15">
        <f>Inventory_List_Table341114[[#This Row],[D CM ]]/2.54</f>
        <v>11.417322834645669</v>
      </c>
      <c r="P11" s="16">
        <f>Inventory_List_Table341114[[#This Row],[Per piece MXN$]]/$U$2</f>
        <v>132</v>
      </c>
      <c r="Q11" s="16">
        <f t="shared" si="0"/>
        <v>132</v>
      </c>
      <c r="R11" s="16">
        <f>Inventory_List_Table341114[[#This Row],[AQ ROUND]]*1.4</f>
        <v>184.79999999999998</v>
      </c>
      <c r="S11" s="16">
        <f t="shared" si="1"/>
        <v>185</v>
      </c>
      <c r="T11" s="16">
        <f>Inventory_List_Table341114[[#This Row],[LND ROUND]]*8</f>
        <v>1480</v>
      </c>
      <c r="U11" s="16">
        <f>Inventory_List_Table341114[[#This Row],[AQ]]*Inventory_List_Table341114[[#This Row],[Q]]</f>
        <v>132</v>
      </c>
      <c r="V11" s="74" t="s">
        <v>1335</v>
      </c>
      <c r="W11" s="74" t="s">
        <v>1336</v>
      </c>
    </row>
    <row r="12" spans="1:23" ht="30" customHeight="1" x14ac:dyDescent="0.25">
      <c r="A12" s="945" t="s">
        <v>155</v>
      </c>
      <c r="B12" s="69"/>
      <c r="C12" s="70" t="s">
        <v>286</v>
      </c>
      <c r="D12" s="70" t="s">
        <v>1337</v>
      </c>
      <c r="E12" s="949">
        <v>1</v>
      </c>
      <c r="F12" s="260">
        <v>247</v>
      </c>
      <c r="G12" s="260">
        <v>66</v>
      </c>
      <c r="H12" s="260">
        <v>45</v>
      </c>
      <c r="I12" s="260">
        <v>36</v>
      </c>
      <c r="J12" s="261">
        <v>2964</v>
      </c>
      <c r="K12" s="1">
        <f>Inventory_List_Table341114[[#This Row],[Q]]*Inventory_List_Table341114[[#This Row],[Per piece MXN$]]</f>
        <v>2964</v>
      </c>
      <c r="L12" s="14">
        <f>Inventory_List_Table341114[[#This Row],[KG]]*2.20462</f>
        <v>544.54113999999993</v>
      </c>
      <c r="M12" s="15">
        <f>Inventory_List_Table341114[[#This Row],[H CM]]/2.54</f>
        <v>25.984251968503937</v>
      </c>
      <c r="N12" s="15">
        <f>Inventory_List_Table341114[[#This Row],[W CM]]/2.54</f>
        <v>17.716535433070867</v>
      </c>
      <c r="O12" s="15">
        <f>Inventory_List_Table341114[[#This Row],[D CM ]]/2.54</f>
        <v>14.173228346456693</v>
      </c>
      <c r="P12" s="16">
        <f>Inventory_List_Table341114[[#This Row],[Per piece MXN$]]/$U$2</f>
        <v>164.66666666666666</v>
      </c>
      <c r="Q12" s="16">
        <f t="shared" si="0"/>
        <v>165</v>
      </c>
      <c r="R12" s="16">
        <f>Inventory_List_Table341114[[#This Row],[AQ ROUND]]*1.4</f>
        <v>230.99999999999997</v>
      </c>
      <c r="S12" s="16">
        <f t="shared" si="1"/>
        <v>231</v>
      </c>
      <c r="T12" s="16">
        <f>Inventory_List_Table341114[[#This Row],[LND ROUND]]*8</f>
        <v>1848</v>
      </c>
      <c r="U12" s="16">
        <f>Inventory_List_Table341114[[#This Row],[AQ]]*Inventory_List_Table341114[[#This Row],[Q]]</f>
        <v>164.66666666666666</v>
      </c>
      <c r="V12" s="74" t="s">
        <v>848</v>
      </c>
      <c r="W12" s="74" t="s">
        <v>1338</v>
      </c>
    </row>
    <row r="13" spans="1:23" ht="30" customHeight="1" x14ac:dyDescent="0.25">
      <c r="A13" s="945" t="s">
        <v>156</v>
      </c>
      <c r="B13" s="69"/>
      <c r="C13" s="70" t="s">
        <v>287</v>
      </c>
      <c r="D13" s="70" t="s">
        <v>1339</v>
      </c>
      <c r="E13" s="949">
        <v>1</v>
      </c>
      <c r="F13" s="260">
        <v>254</v>
      </c>
      <c r="G13" s="260">
        <v>80</v>
      </c>
      <c r="H13" s="260">
        <v>50</v>
      </c>
      <c r="I13" s="260">
        <v>35</v>
      </c>
      <c r="J13" s="261">
        <v>3048</v>
      </c>
      <c r="K13" s="1">
        <f>Inventory_List_Table341114[[#This Row],[Q]]*Inventory_List_Table341114[[#This Row],[Per piece MXN$]]</f>
        <v>3048</v>
      </c>
      <c r="L13" s="14">
        <f>Inventory_List_Table341114[[#This Row],[KG]]*2.20462</f>
        <v>559.97348</v>
      </c>
      <c r="M13" s="15">
        <f>Inventory_List_Table341114[[#This Row],[H CM]]/2.54</f>
        <v>31.496062992125985</v>
      </c>
      <c r="N13" s="15">
        <f>Inventory_List_Table341114[[#This Row],[W CM]]/2.54</f>
        <v>19.685039370078741</v>
      </c>
      <c r="O13" s="15">
        <f>Inventory_List_Table341114[[#This Row],[D CM ]]/2.54</f>
        <v>13.779527559055119</v>
      </c>
      <c r="P13" s="16">
        <f>Inventory_List_Table341114[[#This Row],[Per piece MXN$]]/$U$2</f>
        <v>169.33333333333334</v>
      </c>
      <c r="Q13" s="16">
        <f t="shared" si="0"/>
        <v>169</v>
      </c>
      <c r="R13" s="16">
        <f>Inventory_List_Table341114[[#This Row],[AQ ROUND]]*1.4</f>
        <v>236.6</v>
      </c>
      <c r="S13" s="16">
        <f t="shared" si="1"/>
        <v>237</v>
      </c>
      <c r="T13" s="16">
        <f>Inventory_List_Table341114[[#This Row],[LND ROUND]]*8</f>
        <v>1896</v>
      </c>
      <c r="U13" s="16">
        <f>Inventory_List_Table341114[[#This Row],[AQ]]*Inventory_List_Table341114[[#This Row],[Q]]</f>
        <v>169.33333333333334</v>
      </c>
      <c r="V13" s="74" t="s">
        <v>1340</v>
      </c>
      <c r="W13" s="74" t="s">
        <v>1341</v>
      </c>
    </row>
    <row r="14" spans="1:23" ht="30" customHeight="1" x14ac:dyDescent="0.25">
      <c r="A14" s="945" t="s">
        <v>157</v>
      </c>
      <c r="B14" s="69"/>
      <c r="C14" s="70" t="s">
        <v>286</v>
      </c>
      <c r="D14" s="70" t="s">
        <v>1342</v>
      </c>
      <c r="E14" s="949">
        <v>1</v>
      </c>
      <c r="F14" s="260">
        <v>350</v>
      </c>
      <c r="G14" s="260"/>
      <c r="H14" s="260"/>
      <c r="I14" s="260"/>
      <c r="J14" s="261">
        <v>3850</v>
      </c>
      <c r="K14" s="1">
        <f>Inventory_List_Table341114[[#This Row],[Q]]*Inventory_List_Table341114[[#This Row],[Per piece MXN$]]</f>
        <v>3850</v>
      </c>
      <c r="L14" s="14">
        <f>Inventory_List_Table341114[[#This Row],[KG]]*2.20462</f>
        <v>771.61699999999996</v>
      </c>
      <c r="M14" s="15">
        <f>Inventory_List_Table341114[[#This Row],[H CM]]/2.54</f>
        <v>0</v>
      </c>
      <c r="N14" s="15">
        <f>Inventory_List_Table341114[[#This Row],[W CM]]/2.54</f>
        <v>0</v>
      </c>
      <c r="O14" s="15">
        <f>Inventory_List_Table341114[[#This Row],[D CM ]]/2.54</f>
        <v>0</v>
      </c>
      <c r="P14" s="16">
        <f>Inventory_List_Table341114[[#This Row],[Per piece MXN$]]/$U$2</f>
        <v>213.88888888888889</v>
      </c>
      <c r="Q14" s="16">
        <f t="shared" si="0"/>
        <v>214</v>
      </c>
      <c r="R14" s="16">
        <f>Inventory_List_Table341114[[#This Row],[AQ ROUND]]*1.4</f>
        <v>299.59999999999997</v>
      </c>
      <c r="S14" s="16">
        <f t="shared" si="1"/>
        <v>300</v>
      </c>
      <c r="T14" s="16">
        <f>Inventory_List_Table341114[[#This Row],[LND ROUND]]*8</f>
        <v>2400</v>
      </c>
      <c r="U14" s="16">
        <f>Inventory_List_Table341114[[#This Row],[AQ]]*Inventory_List_Table341114[[#This Row],[Q]]</f>
        <v>213.88888888888889</v>
      </c>
      <c r="V14" s="74" t="s">
        <v>1343</v>
      </c>
      <c r="W14" s="74" t="s">
        <v>1344</v>
      </c>
    </row>
    <row r="15" spans="1:23" ht="30" customHeight="1" x14ac:dyDescent="0.25">
      <c r="A15" s="945" t="s">
        <v>158</v>
      </c>
      <c r="B15" s="69"/>
      <c r="C15" s="70" t="s">
        <v>287</v>
      </c>
      <c r="D15" s="70" t="s">
        <v>1345</v>
      </c>
      <c r="E15" s="949">
        <v>1</v>
      </c>
      <c r="F15" s="260">
        <v>350</v>
      </c>
      <c r="G15" s="260"/>
      <c r="H15" s="260"/>
      <c r="I15" s="260"/>
      <c r="J15" s="261">
        <v>3850</v>
      </c>
      <c r="K15" s="1">
        <f>Inventory_List_Table341114[[#This Row],[Q]]*Inventory_List_Table341114[[#This Row],[Per piece MXN$]]</f>
        <v>3850</v>
      </c>
      <c r="L15" s="14">
        <f>Inventory_List_Table341114[[#This Row],[KG]]*2.20462</f>
        <v>771.61699999999996</v>
      </c>
      <c r="M15" s="15">
        <f>Inventory_List_Table341114[[#This Row],[H CM]]/2.54</f>
        <v>0</v>
      </c>
      <c r="N15" s="15">
        <f>Inventory_List_Table341114[[#This Row],[W CM]]/2.54</f>
        <v>0</v>
      </c>
      <c r="O15" s="15">
        <f>Inventory_List_Table341114[[#This Row],[D CM ]]/2.54</f>
        <v>0</v>
      </c>
      <c r="P15" s="16">
        <f>Inventory_List_Table341114[[#This Row],[Per piece MXN$]]/$U$2</f>
        <v>213.88888888888889</v>
      </c>
      <c r="Q15" s="16">
        <f t="shared" si="0"/>
        <v>214</v>
      </c>
      <c r="R15" s="16">
        <f>Inventory_List_Table341114[[#This Row],[AQ ROUND]]*1.4</f>
        <v>299.59999999999997</v>
      </c>
      <c r="S15" s="16">
        <f t="shared" si="1"/>
        <v>300</v>
      </c>
      <c r="T15" s="16">
        <f>Inventory_List_Table341114[[#This Row],[LND ROUND]]*8</f>
        <v>2400</v>
      </c>
      <c r="U15" s="16">
        <f>Inventory_List_Table341114[[#This Row],[AQ]]*Inventory_List_Table341114[[#This Row],[Q]]</f>
        <v>213.88888888888889</v>
      </c>
      <c r="V15" s="74" t="s">
        <v>1343</v>
      </c>
      <c r="W15" s="74" t="s">
        <v>1344</v>
      </c>
    </row>
    <row r="16" spans="1:23" ht="30" customHeight="1" x14ac:dyDescent="0.25">
      <c r="A16" s="258" t="s">
        <v>159</v>
      </c>
      <c r="B16" s="69">
        <v>46039</v>
      </c>
      <c r="C16" s="70" t="s">
        <v>421</v>
      </c>
      <c r="D16" s="141" t="s">
        <v>934</v>
      </c>
      <c r="E16" s="949">
        <v>11</v>
      </c>
      <c r="F16" s="260">
        <v>3</v>
      </c>
      <c r="G16" s="260">
        <v>40</v>
      </c>
      <c r="H16" s="260">
        <v>12</v>
      </c>
      <c r="I16" s="260"/>
      <c r="J16" s="261">
        <v>1100</v>
      </c>
      <c r="K16" s="1">
        <f>Inventory_List_Table341114[[#This Row],[Q]]*Inventory_List_Table341114[[#This Row],[Per piece MXN$]]</f>
        <v>12100</v>
      </c>
      <c r="L16" s="14">
        <f>Inventory_List_Table341114[[#This Row],[KG]]*2.20462</f>
        <v>6.613859999999999</v>
      </c>
      <c r="M16" s="2">
        <f>Inventory_List_Table341114[[#This Row],[H CM]]/2.54</f>
        <v>15.748031496062993</v>
      </c>
      <c r="N16" s="2">
        <f>Inventory_List_Table341114[[#This Row],[W CM]]/2.54</f>
        <v>4.7244094488188972</v>
      </c>
      <c r="O16" s="2">
        <f>Inventory_List_Table341114[[#This Row],[D CM ]]/2.54</f>
        <v>0</v>
      </c>
      <c r="P16" s="3">
        <f>Inventory_List_Table341114[[#This Row],[Per piece MXN$]]/$U$2</f>
        <v>61.111111111111114</v>
      </c>
      <c r="Q16" s="3">
        <f t="shared" si="0"/>
        <v>61</v>
      </c>
      <c r="R16" s="3">
        <f>Inventory_List_Table341114[[#This Row],[AQ ROUND]]*1.4</f>
        <v>85.399999999999991</v>
      </c>
      <c r="S16" s="3">
        <f t="shared" si="1"/>
        <v>85</v>
      </c>
      <c r="T16" s="3">
        <f>Inventory_List_Table341114[[#This Row],[LND ROUND]]*8</f>
        <v>680</v>
      </c>
      <c r="U16" s="3">
        <f>Inventory_List_Table341114[[#This Row],[AQ]]*Inventory_List_Table341114[[#This Row],[Q]]</f>
        <v>672.22222222222229</v>
      </c>
      <c r="V16" s="74" t="s">
        <v>906</v>
      </c>
      <c r="W16" s="74" t="s">
        <v>905</v>
      </c>
    </row>
    <row r="17" spans="2:23" ht="24" customHeight="1" x14ac:dyDescent="0.25">
      <c r="B17" s="69">
        <v>46039</v>
      </c>
      <c r="C17" s="70" t="s">
        <v>1353</v>
      </c>
      <c r="D17" s="70" t="s">
        <v>1402</v>
      </c>
      <c r="E17" s="949">
        <v>42</v>
      </c>
      <c r="F17" s="260">
        <v>30</v>
      </c>
      <c r="G17" s="260"/>
      <c r="H17" s="260"/>
      <c r="I17" s="260"/>
      <c r="J17" s="1057">
        <v>100</v>
      </c>
      <c r="K17" s="222">
        <f>Inventory_List_Table341114[[#This Row],[Q]]*Inventory_List_Table341114[[#This Row],[Per piece MXN$]]</f>
        <v>4200</v>
      </c>
      <c r="L17" s="223">
        <f>Inventory_List_Table341114[[#This Row],[KG]]*2.20462</f>
        <v>66.138599999999997</v>
      </c>
      <c r="M17" s="223">
        <f>Inventory_List_Table341114[[#This Row],[H CM]]/2.54</f>
        <v>0</v>
      </c>
      <c r="N17" s="70">
        <f>Inventory_List_Table341114[[#This Row],[W CM]]/2.54</f>
        <v>0</v>
      </c>
      <c r="O17" s="74">
        <f>Inventory_List_Table341114[[#This Row],[D CM ]]/2.54</f>
        <v>0</v>
      </c>
      <c r="P17" s="225">
        <f>Inventory_List_Table341114[[#This Row],[Per piece MXN$]]/$U$2</f>
        <v>5.5555555555555554</v>
      </c>
      <c r="Q17" s="74">
        <f>IF(MOD(P17,1)&gt;0.4,ROUNDUP(P17,0),ROUNDDOWN(P17,0))</f>
        <v>6</v>
      </c>
      <c r="R17" s="225">
        <f>Inventory_List_Table341114[[#This Row],[AQ ROUND]]*1.4</f>
        <v>8.3999999999999986</v>
      </c>
      <c r="S17" s="225">
        <f>IF(MOD(R17,1)&gt;0.4,ROUNDUP(R17,0),ROUNDDOWN(R17,0))</f>
        <v>8</v>
      </c>
      <c r="T17" s="225">
        <f>Inventory_List_Table341114[[#This Row],[LND ROUND]]*8</f>
        <v>64</v>
      </c>
      <c r="U17" s="225">
        <f>Inventory_List_Table341114[[#This Row],[AQ]]*Inventory_List_Table341114[[#This Row],[Q]]</f>
        <v>233.33333333333331</v>
      </c>
      <c r="V17" s="74" t="s">
        <v>1141</v>
      </c>
      <c r="W17" s="74" t="s">
        <v>1136</v>
      </c>
    </row>
  </sheetData>
  <mergeCells count="2">
    <mergeCell ref="Q1:Q2"/>
    <mergeCell ref="R1:R2"/>
  </mergeCells>
  <dataValidations count="12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A1E17B8D-2B3E-4DAA-BC4E-B19654C3401C}"/>
    <dataValidation allowBlank="1" showInputMessage="1" showErrorMessage="1" prompt="Enter the item inventory ID in this column" sqref="C3" xr:uid="{B7E14A0C-6F7F-496F-A84D-FDD3C59E13D5}"/>
    <dataValidation allowBlank="1" showInputMessage="1" showErrorMessage="1" prompt="Enter the name of the item in this column" sqref="D3" xr:uid="{D9D21098-0E62-4FCA-9002-D79E2CEC4D1B}"/>
    <dataValidation allowBlank="1" showInputMessage="1" showErrorMessage="1" prompt="Enter yes if the item has been discontinued. When a yes is entered, the corresponding row is highlighted a light grey and the font style changed to strikethrough" sqref="N3" xr:uid="{87B2F15B-4B32-471C-B670-0A036D77CD6D}"/>
    <dataValidation allowBlank="1" showInputMessage="1" showErrorMessage="1" prompt="Enter the quantity in reorder for each item in this column" sqref="M3" xr:uid="{EAFA5828-1B24-4C8A-A127-E33E94350CCA}"/>
    <dataValidation allowBlank="1" showInputMessage="1" showErrorMessage="1" prompt="Enter the number of days it takes to reorder each item in this column" sqref="J3:L3" xr:uid="{E2E252DD-4835-4BC4-AFEB-48D67019B03A}"/>
    <dataValidation allowBlank="1" showInputMessage="1" showErrorMessage="1" prompt="Enter the reorder level for each item in this column" sqref="I3" xr:uid="{5486D7D7-C73F-49F4-942E-577D49BC5F35}"/>
    <dataValidation allowBlank="1" showInputMessage="1" showErrorMessage="1" prompt="This is an automated column._x000a__x000a_The inventory value for each item is automatically calculated in this column." sqref="H3" xr:uid="{AF6E9F37-DA44-42C5-87F0-91DD049BE261}"/>
    <dataValidation allowBlank="1" showInputMessage="1" showErrorMessage="1" prompt="Enter the quantity in stock for each item in this column" sqref="G3" xr:uid="{8C256AEE-83FF-4BFB-B15B-8B04ECB0BBA0}"/>
    <dataValidation allowBlank="1" showInputMessage="1" showErrorMessage="1" prompt="Enter the unit price of each item in this column" sqref="F3" xr:uid="{F7D7D614-43ED-41A6-8D46-6DB9153474C9}"/>
    <dataValidation allowBlank="1" showInputMessage="1" showErrorMessage="1" prompt="Enter a description of the item in this column" sqref="E3" xr:uid="{52577A1E-52F5-48B6-BAF5-DCD6C9A85507}"/>
    <dataValidation allowBlank="1" showInputMessage="1" showErrorMessage="1" prompt="Enter company name in this cell" sqref="A2" xr:uid="{99F73D7C-6A0B-4110-941F-1EA7D94E4CEF}"/>
  </dataValidations>
  <printOptions horizontalCentered="1"/>
  <pageMargins left="0.25" right="0.25" top="0.75" bottom="0.75" header="0.3" footer="0.3"/>
  <pageSetup scale="25" fitToHeight="0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08D9-4E9F-4751-8D6F-2AE0497F0BA1}">
  <sheetPr>
    <tabColor theme="0" tint="-0.14999847407452621"/>
    <pageSetUpPr fitToPage="1"/>
  </sheetPr>
  <dimension ref="A1:Y12"/>
  <sheetViews>
    <sheetView showGridLines="0" zoomScale="70" zoomScaleNormal="70" workbookViewId="0">
      <selection activeCell="V4" sqref="V4:W12"/>
    </sheetView>
  </sheetViews>
  <sheetFormatPr defaultColWidth="8.625" defaultRowHeight="24" customHeight="1" x14ac:dyDescent="0.25"/>
  <cols>
    <col min="1" max="1" width="4.125" style="76" customWidth="1"/>
    <col min="2" max="2" width="15.5" style="77" customWidth="1"/>
    <col min="3" max="3" width="29.375" style="78" customWidth="1"/>
    <col min="4" max="4" width="22" style="78" bestFit="1" customWidth="1"/>
    <col min="5" max="5" width="7.375" style="78" bestFit="1" customWidth="1"/>
    <col min="6" max="6" width="9.25" style="79" bestFit="1" customWidth="1"/>
    <col min="7" max="7" width="8.125" style="79" bestFit="1" customWidth="1"/>
    <col min="8" max="8" width="8.75" style="79" bestFit="1" customWidth="1"/>
    <col min="9" max="9" width="8.125" style="79" bestFit="1" customWidth="1"/>
    <col min="10" max="10" width="19.5" style="79" bestFit="1" customWidth="1"/>
    <col min="11" max="11" width="22.625" style="79" customWidth="1"/>
    <col min="12" max="12" width="11.875" style="79" customWidth="1"/>
    <col min="13" max="13" width="11.5" style="79" customWidth="1"/>
    <col min="14" max="14" width="11.5" style="78" customWidth="1"/>
    <col min="15" max="15" width="11.375" style="45" customWidth="1"/>
    <col min="16" max="17" width="13.75" style="45" customWidth="1"/>
    <col min="18" max="19" width="15.5" style="45" customWidth="1"/>
    <col min="20" max="20" width="18.125" style="45" bestFit="1" customWidth="1"/>
    <col min="21" max="21" width="15" style="45" customWidth="1"/>
    <col min="22" max="22" width="7.5" style="45" bestFit="1" customWidth="1"/>
    <col min="23" max="23" width="8.125" style="45" bestFit="1" customWidth="1"/>
    <col min="24" max="24" width="8.625" style="45"/>
    <col min="25" max="25" width="14.125" style="45" bestFit="1" customWidth="1"/>
    <col min="26" max="16384" width="8.625" style="45"/>
  </cols>
  <sheetData>
    <row r="1" spans="1:25" ht="36.75" x14ac:dyDescent="0.6">
      <c r="A1" s="33" t="s">
        <v>120</v>
      </c>
      <c r="B1" s="34"/>
      <c r="C1" s="34"/>
      <c r="D1" s="35"/>
      <c r="E1" s="35"/>
      <c r="F1" s="34"/>
      <c r="G1" s="36"/>
      <c r="H1" s="36"/>
      <c r="I1" s="37"/>
      <c r="J1" s="38"/>
      <c r="K1" s="39"/>
      <c r="L1" s="39"/>
      <c r="M1" s="40"/>
      <c r="N1" s="34"/>
      <c r="O1" s="1081"/>
      <c r="P1" s="1081"/>
      <c r="Q1" s="1081"/>
      <c r="R1" s="41"/>
      <c r="S1" s="42"/>
      <c r="T1" s="43" t="s">
        <v>133</v>
      </c>
      <c r="U1" s="44">
        <v>825</v>
      </c>
      <c r="V1" s="36"/>
      <c r="W1" s="36"/>
      <c r="X1" s="36"/>
      <c r="Y1" s="36"/>
    </row>
    <row r="2" spans="1:25" ht="31.5" x14ac:dyDescent="0.45">
      <c r="A2" s="46" t="s">
        <v>373</v>
      </c>
      <c r="B2" s="47"/>
      <c r="C2" s="47"/>
      <c r="D2" s="48"/>
      <c r="E2" s="49"/>
      <c r="F2" s="50"/>
      <c r="G2" s="51"/>
      <c r="H2" s="36"/>
      <c r="I2" s="52"/>
      <c r="J2" s="52"/>
      <c r="K2" s="612">
        <f>SUM(K4:K12)</f>
        <v>77185</v>
      </c>
      <c r="L2" s="52"/>
      <c r="M2" s="34"/>
      <c r="N2" s="34"/>
      <c r="O2" s="1082"/>
      <c r="P2" s="1082"/>
      <c r="Q2" s="1082"/>
      <c r="R2" s="41"/>
      <c r="S2" s="42"/>
      <c r="T2" s="43" t="s">
        <v>134</v>
      </c>
      <c r="U2" s="54">
        <v>18</v>
      </c>
      <c r="V2" s="35"/>
      <c r="W2" s="42"/>
      <c r="X2" s="36"/>
      <c r="Y2" s="53">
        <f>AVERAGE(Y4:Y55)</f>
        <v>5531.805020189965</v>
      </c>
    </row>
    <row r="3" spans="1:25" s="67" customFormat="1" ht="40.9" customHeight="1" x14ac:dyDescent="0.25">
      <c r="A3" s="57" t="s">
        <v>135</v>
      </c>
      <c r="B3" s="58" t="s">
        <v>122</v>
      </c>
      <c r="C3" s="58" t="s">
        <v>136</v>
      </c>
      <c r="D3" s="59" t="s">
        <v>137</v>
      </c>
      <c r="E3" s="60" t="s">
        <v>123</v>
      </c>
      <c r="F3" s="61" t="s">
        <v>124</v>
      </c>
      <c r="G3" s="61" t="s">
        <v>130</v>
      </c>
      <c r="H3" s="61" t="s">
        <v>125</v>
      </c>
      <c r="I3" s="61" t="s">
        <v>126</v>
      </c>
      <c r="J3" s="61" t="s">
        <v>138</v>
      </c>
      <c r="K3" s="58" t="s">
        <v>139</v>
      </c>
      <c r="L3" s="58" t="s">
        <v>127</v>
      </c>
      <c r="M3" s="58" t="s">
        <v>140</v>
      </c>
      <c r="N3" s="58" t="s">
        <v>141</v>
      </c>
      <c r="O3" s="58" t="s">
        <v>142</v>
      </c>
      <c r="P3" s="62" t="s">
        <v>143</v>
      </c>
      <c r="Q3" s="58" t="s">
        <v>144</v>
      </c>
      <c r="R3" s="62" t="s">
        <v>145</v>
      </c>
      <c r="S3" s="62" t="s">
        <v>146</v>
      </c>
      <c r="T3" s="62" t="s">
        <v>2</v>
      </c>
      <c r="U3" s="63" t="s">
        <v>128</v>
      </c>
      <c r="V3" s="63" t="s">
        <v>131</v>
      </c>
      <c r="W3" s="64" t="s">
        <v>1</v>
      </c>
      <c r="X3" s="80" t="s">
        <v>418</v>
      </c>
      <c r="Y3" s="81" t="s">
        <v>417</v>
      </c>
    </row>
    <row r="4" spans="1:25" ht="30" customHeight="1" x14ac:dyDescent="0.25">
      <c r="A4" s="68" t="s">
        <v>147</v>
      </c>
      <c r="B4" s="69">
        <v>46035</v>
      </c>
      <c r="C4" s="70" t="s">
        <v>377</v>
      </c>
      <c r="D4" s="141" t="s">
        <v>608</v>
      </c>
      <c r="E4" s="71">
        <v>10</v>
      </c>
      <c r="F4" s="72"/>
      <c r="G4" s="72">
        <v>30</v>
      </c>
      <c r="H4" s="72">
        <v>15</v>
      </c>
      <c r="I4" s="72">
        <v>15</v>
      </c>
      <c r="J4" s="73">
        <v>2000</v>
      </c>
      <c r="K4" s="1">
        <f>Inventory_List_Table341121[[#This Row],[Q]]*Inventory_List_Table341121[[#This Row],[Per piece MXN$]]</f>
        <v>20000</v>
      </c>
      <c r="L4" s="1">
        <f>Inventory_List_Table341121[[#This Row],[KG]]*2.20462</f>
        <v>0</v>
      </c>
      <c r="M4" s="2">
        <f>Inventory_List_Table341121[[#This Row],[H CM]]/2.54</f>
        <v>11.811023622047244</v>
      </c>
      <c r="N4" s="2">
        <f>Inventory_List_Table341121[[#This Row],[W CM]]/2.54</f>
        <v>5.9055118110236222</v>
      </c>
      <c r="O4" s="2">
        <f>Inventory_List_Table341121[[#This Row],[D CM ]]/2.54</f>
        <v>5.9055118110236222</v>
      </c>
      <c r="P4" s="3">
        <f>Inventory_List_Table341121[[#This Row],[Per piece MXN$]]/$U$2</f>
        <v>111.11111111111111</v>
      </c>
      <c r="Q4" s="3">
        <f t="shared" ref="Q4:Q12" si="0">IF(MOD(P4,1)&gt;0.4,ROUNDUP(P4,0),ROUNDDOWN(P4,0))</f>
        <v>111</v>
      </c>
      <c r="R4" s="3">
        <f>Inventory_List_Table341121[[#This Row],[AQ ROUND]]*1.4</f>
        <v>155.39999999999998</v>
      </c>
      <c r="S4" s="3">
        <f t="shared" ref="S4:S12" si="1">IF(MOD(R4,1)&gt;0.4,ROUNDUP(R4,0),ROUNDDOWN(R4,0))</f>
        <v>155</v>
      </c>
      <c r="T4" s="3">
        <f>Inventory_List_Table341121[[#This Row],[LND ROUND]]*8</f>
        <v>1240</v>
      </c>
      <c r="U4" s="3">
        <f>Inventory_List_Table341121[[#This Row],[AQ]]*Inventory_List_Table341121[[#This Row],[Q]]</f>
        <v>1111.1111111111111</v>
      </c>
      <c r="V4" s="74" t="s">
        <v>610</v>
      </c>
      <c r="W4" s="74" t="s">
        <v>609</v>
      </c>
      <c r="X4" s="45">
        <f>Inventory_List_Table341121[[#This Row],[H CM]]*Inventory_List_Table341121[[#This Row],[W CM]]*4+Inventory_List_Table341121[[#This Row],[D CM ]]*Inventory_List_Table341121[[#This Row],[D CM ]]</f>
        <v>2025</v>
      </c>
      <c r="Y4" s="75">
        <f>Inventory_List_Table341121[[#This Row],[Per piece MXN$]]/X4*10000</f>
        <v>9876.5432098765432</v>
      </c>
    </row>
    <row r="5" spans="1:25" ht="30" customHeight="1" x14ac:dyDescent="0.25">
      <c r="A5" s="68" t="s">
        <v>148</v>
      </c>
      <c r="B5" s="69">
        <v>46035</v>
      </c>
      <c r="C5" s="70" t="s">
        <v>377</v>
      </c>
      <c r="D5" s="141" t="s">
        <v>611</v>
      </c>
      <c r="E5" s="71">
        <v>10</v>
      </c>
      <c r="F5" s="72"/>
      <c r="G5" s="72">
        <v>40</v>
      </c>
      <c r="H5" s="72">
        <v>15</v>
      </c>
      <c r="I5" s="72">
        <v>15</v>
      </c>
      <c r="J5" s="73">
        <v>2570</v>
      </c>
      <c r="K5" s="1">
        <f>Inventory_List_Table341121[[#This Row],[Q]]*Inventory_List_Table341121[[#This Row],[Per piece MXN$]]</f>
        <v>25700</v>
      </c>
      <c r="L5" s="1">
        <f>Inventory_List_Table341121[[#This Row],[KG]]*2.20462</f>
        <v>0</v>
      </c>
      <c r="M5" s="2">
        <f>Inventory_List_Table341121[[#This Row],[H CM]]/2.54</f>
        <v>15.748031496062993</v>
      </c>
      <c r="N5" s="2">
        <f>Inventory_List_Table341121[[#This Row],[W CM]]/2.54</f>
        <v>5.9055118110236222</v>
      </c>
      <c r="O5" s="2">
        <f>Inventory_List_Table341121[[#This Row],[D CM ]]/2.54</f>
        <v>5.9055118110236222</v>
      </c>
      <c r="P5" s="3">
        <f>Inventory_List_Table341121[[#This Row],[Per piece MXN$]]/$U$2</f>
        <v>142.77777777777777</v>
      </c>
      <c r="Q5" s="3">
        <f t="shared" si="0"/>
        <v>143</v>
      </c>
      <c r="R5" s="3">
        <f>Inventory_List_Table341121[[#This Row],[AQ ROUND]]*1.4</f>
        <v>200.2</v>
      </c>
      <c r="S5" s="3">
        <f t="shared" si="1"/>
        <v>200</v>
      </c>
      <c r="T5" s="3">
        <f>Inventory_List_Table341121[[#This Row],[LND ROUND]]*8</f>
        <v>1600</v>
      </c>
      <c r="U5" s="3">
        <f>Inventory_List_Table341121[[#This Row],[AQ]]*Inventory_List_Table341121[[#This Row],[Q]]</f>
        <v>1427.7777777777778</v>
      </c>
      <c r="V5" s="74" t="s">
        <v>613</v>
      </c>
      <c r="W5" s="74" t="s">
        <v>612</v>
      </c>
      <c r="X5" s="45">
        <f>Inventory_List_Table341121[[#This Row],[H CM]]*Inventory_List_Table341121[[#This Row],[W CM]]*4+Inventory_List_Table341121[[#This Row],[D CM ]]*Inventory_List_Table341121[[#This Row],[D CM ]]</f>
        <v>2625</v>
      </c>
      <c r="Y5" s="75">
        <f>Inventory_List_Table341121[[#This Row],[Per piece MXN$]]/X5*10000</f>
        <v>9790.4761904761908</v>
      </c>
    </row>
    <row r="6" spans="1:25" ht="30" customHeight="1" x14ac:dyDescent="0.25">
      <c r="A6" s="68" t="s">
        <v>149</v>
      </c>
      <c r="B6" s="69">
        <v>46035</v>
      </c>
      <c r="C6" s="70" t="s">
        <v>378</v>
      </c>
      <c r="D6" s="141" t="s">
        <v>614</v>
      </c>
      <c r="E6" s="71">
        <v>2</v>
      </c>
      <c r="F6" s="72"/>
      <c r="G6" s="72">
        <v>20</v>
      </c>
      <c r="H6" s="72">
        <v>20</v>
      </c>
      <c r="I6" s="72">
        <v>20</v>
      </c>
      <c r="J6" s="73">
        <v>2630</v>
      </c>
      <c r="K6" s="1">
        <f>Inventory_List_Table341121[[#This Row],[Q]]*Inventory_List_Table341121[[#This Row],[Per piece MXN$]]</f>
        <v>5260</v>
      </c>
      <c r="L6" s="1">
        <f>Inventory_List_Table341121[[#This Row],[KG]]*2.20462</f>
        <v>0</v>
      </c>
      <c r="M6" s="2">
        <f>Inventory_List_Table341121[[#This Row],[H CM]]/2.54</f>
        <v>7.8740157480314963</v>
      </c>
      <c r="N6" s="2">
        <f>Inventory_List_Table341121[[#This Row],[W CM]]/2.54</f>
        <v>7.8740157480314963</v>
      </c>
      <c r="O6" s="2">
        <f>Inventory_List_Table341121[[#This Row],[D CM ]]/2.54</f>
        <v>7.8740157480314963</v>
      </c>
      <c r="P6" s="3">
        <f>Inventory_List_Table341121[[#This Row],[Per piece MXN$]]/$U$2</f>
        <v>146.11111111111111</v>
      </c>
      <c r="Q6" s="3">
        <f t="shared" si="0"/>
        <v>146</v>
      </c>
      <c r="R6" s="3">
        <f>Inventory_List_Table341121[[#This Row],[AQ ROUND]]*1.4</f>
        <v>204.39999999999998</v>
      </c>
      <c r="S6" s="3">
        <f t="shared" si="1"/>
        <v>204</v>
      </c>
      <c r="T6" s="3">
        <f>Inventory_List_Table341121[[#This Row],[LND ROUND]]*8</f>
        <v>1632</v>
      </c>
      <c r="U6" s="3">
        <f>Inventory_List_Table341121[[#This Row],[AQ]]*Inventory_List_Table341121[[#This Row],[Q]]</f>
        <v>292.22222222222223</v>
      </c>
      <c r="V6" s="74" t="s">
        <v>616</v>
      </c>
      <c r="W6" s="74" t="s">
        <v>615</v>
      </c>
      <c r="X6" s="45">
        <f>Inventory_List_Table341121[[#This Row],[H CM]]*Inventory_List_Table341121[[#This Row],[W CM]]*4+Inventory_List_Table341121[[#This Row],[D CM ]]*Inventory_List_Table341121[[#This Row],[D CM ]]</f>
        <v>2000</v>
      </c>
      <c r="Y6" s="75">
        <f>Inventory_List_Table341121[[#This Row],[Per piece MXN$]]/X6*10000</f>
        <v>13150</v>
      </c>
    </row>
    <row r="7" spans="1:25" ht="30" customHeight="1" x14ac:dyDescent="0.25">
      <c r="A7" s="68" t="s">
        <v>150</v>
      </c>
      <c r="B7" s="69">
        <v>46035</v>
      </c>
      <c r="C7" s="70" t="s">
        <v>379</v>
      </c>
      <c r="D7" s="141" t="s">
        <v>617</v>
      </c>
      <c r="E7" s="71">
        <v>1</v>
      </c>
      <c r="F7" s="72"/>
      <c r="G7" s="72">
        <v>130</v>
      </c>
      <c r="H7" s="72">
        <v>30</v>
      </c>
      <c r="I7" s="72">
        <v>30</v>
      </c>
      <c r="J7" s="73">
        <v>4625</v>
      </c>
      <c r="K7" s="1">
        <f>Inventory_List_Table341121[[#This Row],[Q]]*Inventory_List_Table341121[[#This Row],[Per piece MXN$]]</f>
        <v>4625</v>
      </c>
      <c r="L7" s="1">
        <f>Inventory_List_Table341121[[#This Row],[KG]]*2.20462</f>
        <v>0</v>
      </c>
      <c r="M7" s="2">
        <f>Inventory_List_Table341121[[#This Row],[H CM]]/2.54</f>
        <v>51.181102362204726</v>
      </c>
      <c r="N7" s="2">
        <f>Inventory_List_Table341121[[#This Row],[W CM]]/2.54</f>
        <v>11.811023622047244</v>
      </c>
      <c r="O7" s="2">
        <f>Inventory_List_Table341121[[#This Row],[D CM ]]/2.54</f>
        <v>11.811023622047244</v>
      </c>
      <c r="P7" s="3">
        <f>Inventory_List_Table341121[[#This Row],[Per piece MXN$]]/$U$2</f>
        <v>256.94444444444446</v>
      </c>
      <c r="Q7" s="3">
        <f t="shared" si="0"/>
        <v>257</v>
      </c>
      <c r="R7" s="3">
        <f>Inventory_List_Table341121[[#This Row],[AQ ROUND]]*1.4</f>
        <v>359.79999999999995</v>
      </c>
      <c r="S7" s="3">
        <f t="shared" si="1"/>
        <v>360</v>
      </c>
      <c r="T7" s="3">
        <f>Inventory_List_Table341121[[#This Row],[LND ROUND]]*8</f>
        <v>2880</v>
      </c>
      <c r="U7" s="3">
        <f>Inventory_List_Table341121[[#This Row],[AQ]]*Inventory_List_Table341121[[#This Row],[Q]]</f>
        <v>256.94444444444446</v>
      </c>
      <c r="V7" s="74" t="s">
        <v>619</v>
      </c>
      <c r="W7" s="74" t="s">
        <v>618</v>
      </c>
      <c r="X7" s="45">
        <f>Inventory_List_Table341121[[#This Row],[H CM]]*Inventory_List_Table341121[[#This Row],[W CM]]*4+Inventory_List_Table341121[[#This Row],[D CM ]]*Inventory_List_Table341121[[#This Row],[D CM ]]</f>
        <v>16500</v>
      </c>
      <c r="Y7" s="75">
        <f>Inventory_List_Table341121[[#This Row],[Per piece MXN$]]/X7*10000</f>
        <v>2803.0303030303025</v>
      </c>
    </row>
    <row r="8" spans="1:25" ht="30" customHeight="1" x14ac:dyDescent="0.25">
      <c r="A8" s="68" t="s">
        <v>151</v>
      </c>
      <c r="B8" s="69">
        <v>46035</v>
      </c>
      <c r="C8" s="70" t="s">
        <v>379</v>
      </c>
      <c r="D8" s="141" t="s">
        <v>620</v>
      </c>
      <c r="E8" s="71">
        <v>1</v>
      </c>
      <c r="F8" s="72"/>
      <c r="G8" s="72">
        <v>140</v>
      </c>
      <c r="H8" s="72">
        <v>30</v>
      </c>
      <c r="I8" s="72">
        <v>30</v>
      </c>
      <c r="J8" s="73">
        <v>4925</v>
      </c>
      <c r="K8" s="1">
        <f>Inventory_List_Table341121[[#This Row],[Q]]*Inventory_List_Table341121[[#This Row],[Per piece MXN$]]</f>
        <v>4925</v>
      </c>
      <c r="L8" s="1">
        <f>Inventory_List_Table341121[[#This Row],[KG]]*2.20462</f>
        <v>0</v>
      </c>
      <c r="M8" s="2">
        <f>Inventory_List_Table341121[[#This Row],[H CM]]/2.54</f>
        <v>55.118110236220474</v>
      </c>
      <c r="N8" s="2">
        <f>Inventory_List_Table341121[[#This Row],[W CM]]/2.54</f>
        <v>11.811023622047244</v>
      </c>
      <c r="O8" s="2">
        <f>Inventory_List_Table341121[[#This Row],[D CM ]]/2.54</f>
        <v>11.811023622047244</v>
      </c>
      <c r="P8" s="3">
        <f>Inventory_List_Table341121[[#This Row],[Per piece MXN$]]/$U$2</f>
        <v>273.61111111111109</v>
      </c>
      <c r="Q8" s="3">
        <f t="shared" si="0"/>
        <v>274</v>
      </c>
      <c r="R8" s="3">
        <f>Inventory_List_Table341121[[#This Row],[AQ ROUND]]*1.4</f>
        <v>383.59999999999997</v>
      </c>
      <c r="S8" s="3">
        <f t="shared" si="1"/>
        <v>384</v>
      </c>
      <c r="T8" s="3">
        <f>Inventory_List_Table341121[[#This Row],[LND ROUND]]*8</f>
        <v>3072</v>
      </c>
      <c r="U8" s="3">
        <f>Inventory_List_Table341121[[#This Row],[AQ]]*Inventory_List_Table341121[[#This Row],[Q]]</f>
        <v>273.61111111111109</v>
      </c>
      <c r="V8" s="74" t="s">
        <v>622</v>
      </c>
      <c r="W8" s="74" t="s">
        <v>621</v>
      </c>
      <c r="X8" s="45">
        <f>Inventory_List_Table341121[[#This Row],[H CM]]*Inventory_List_Table341121[[#This Row],[W CM]]*4+Inventory_List_Table341121[[#This Row],[D CM ]]*Inventory_List_Table341121[[#This Row],[D CM ]]</f>
        <v>17700</v>
      </c>
      <c r="Y8" s="75">
        <f>Inventory_List_Table341121[[#This Row],[Per piece MXN$]]/X8*10000</f>
        <v>2782.4858757062148</v>
      </c>
    </row>
    <row r="9" spans="1:25" ht="30" customHeight="1" x14ac:dyDescent="0.25">
      <c r="A9" s="68" t="s">
        <v>152</v>
      </c>
      <c r="B9" s="69">
        <v>46035</v>
      </c>
      <c r="C9" s="70" t="s">
        <v>379</v>
      </c>
      <c r="D9" s="141" t="s">
        <v>623</v>
      </c>
      <c r="E9" s="71">
        <v>1</v>
      </c>
      <c r="F9" s="72"/>
      <c r="G9" s="72">
        <v>150</v>
      </c>
      <c r="H9" s="72">
        <v>30</v>
      </c>
      <c r="I9" s="72">
        <v>30</v>
      </c>
      <c r="J9" s="73">
        <v>5225</v>
      </c>
      <c r="K9" s="1">
        <f>Inventory_List_Table341121[[#This Row],[Q]]*Inventory_List_Table341121[[#This Row],[Per piece MXN$]]</f>
        <v>5225</v>
      </c>
      <c r="L9" s="1">
        <f>Inventory_List_Table341121[[#This Row],[KG]]*2.20462</f>
        <v>0</v>
      </c>
      <c r="M9" s="2">
        <f>Inventory_List_Table341121[[#This Row],[H CM]]/2.54</f>
        <v>59.055118110236222</v>
      </c>
      <c r="N9" s="2">
        <f>Inventory_List_Table341121[[#This Row],[W CM]]/2.54</f>
        <v>11.811023622047244</v>
      </c>
      <c r="O9" s="2">
        <f>Inventory_List_Table341121[[#This Row],[D CM ]]/2.54</f>
        <v>11.811023622047244</v>
      </c>
      <c r="P9" s="3">
        <f>Inventory_List_Table341121[[#This Row],[Per piece MXN$]]/$U$2</f>
        <v>290.27777777777777</v>
      </c>
      <c r="Q9" s="3">
        <f t="shared" si="0"/>
        <v>290</v>
      </c>
      <c r="R9" s="3">
        <f>Inventory_List_Table341121[[#This Row],[AQ ROUND]]*1.4</f>
        <v>406</v>
      </c>
      <c r="S9" s="3">
        <f t="shared" si="1"/>
        <v>406</v>
      </c>
      <c r="T9" s="3">
        <f>Inventory_List_Table341121[[#This Row],[LND ROUND]]*8</f>
        <v>3248</v>
      </c>
      <c r="U9" s="3">
        <f>Inventory_List_Table341121[[#This Row],[AQ]]*Inventory_List_Table341121[[#This Row],[Q]]</f>
        <v>290.27777777777777</v>
      </c>
      <c r="V9" s="74" t="s">
        <v>625</v>
      </c>
      <c r="W9" s="74" t="s">
        <v>624</v>
      </c>
      <c r="X9" s="45">
        <f>Inventory_List_Table341121[[#This Row],[H CM]]*Inventory_List_Table341121[[#This Row],[W CM]]*4+Inventory_List_Table341121[[#This Row],[D CM ]]*Inventory_List_Table341121[[#This Row],[D CM ]]</f>
        <v>18900</v>
      </c>
      <c r="Y9" s="75">
        <f>Inventory_List_Table341121[[#This Row],[Per piece MXN$]]/X9*10000</f>
        <v>2764.5502645502647</v>
      </c>
    </row>
    <row r="10" spans="1:25" ht="30" customHeight="1" x14ac:dyDescent="0.25">
      <c r="A10" s="68" t="s">
        <v>153</v>
      </c>
      <c r="B10" s="69">
        <v>46035</v>
      </c>
      <c r="C10" s="70" t="s">
        <v>380</v>
      </c>
      <c r="D10" s="141" t="s">
        <v>626</v>
      </c>
      <c r="E10" s="71">
        <v>1</v>
      </c>
      <c r="F10" s="72"/>
      <c r="G10" s="72">
        <v>135</v>
      </c>
      <c r="H10" s="72">
        <v>25</v>
      </c>
      <c r="I10" s="72">
        <v>25</v>
      </c>
      <c r="J10" s="73">
        <v>4025</v>
      </c>
      <c r="K10" s="1">
        <f>Inventory_List_Table341121[[#This Row],[Q]]*Inventory_List_Table341121[[#This Row],[Per piece MXN$]]</f>
        <v>4025</v>
      </c>
      <c r="L10" s="1">
        <f>Inventory_List_Table341121[[#This Row],[KG]]*2.20462</f>
        <v>0</v>
      </c>
      <c r="M10" s="2">
        <f>Inventory_List_Table341121[[#This Row],[H CM]]/2.54</f>
        <v>53.1496062992126</v>
      </c>
      <c r="N10" s="2">
        <f>Inventory_List_Table341121[[#This Row],[W CM]]/2.54</f>
        <v>9.8425196850393704</v>
      </c>
      <c r="O10" s="2">
        <f>Inventory_List_Table341121[[#This Row],[D CM ]]/2.54</f>
        <v>9.8425196850393704</v>
      </c>
      <c r="P10" s="3">
        <f>Inventory_List_Table341121[[#This Row],[Per piece MXN$]]/$U$2</f>
        <v>223.61111111111111</v>
      </c>
      <c r="Q10" s="3">
        <f t="shared" si="0"/>
        <v>224</v>
      </c>
      <c r="R10" s="3">
        <f>Inventory_List_Table341121[[#This Row],[AQ ROUND]]*1.4</f>
        <v>313.59999999999997</v>
      </c>
      <c r="S10" s="3">
        <f t="shared" si="1"/>
        <v>314</v>
      </c>
      <c r="T10" s="3">
        <f>Inventory_List_Table341121[[#This Row],[LND ROUND]]*8</f>
        <v>2512</v>
      </c>
      <c r="U10" s="3">
        <f>Inventory_List_Table341121[[#This Row],[AQ]]*Inventory_List_Table341121[[#This Row],[Q]]</f>
        <v>223.61111111111111</v>
      </c>
      <c r="V10" s="74" t="s">
        <v>628</v>
      </c>
      <c r="W10" s="74" t="s">
        <v>627</v>
      </c>
      <c r="X10" s="45">
        <f>Inventory_List_Table341121[[#This Row],[H CM]]*Inventory_List_Table341121[[#This Row],[W CM]]*4+Inventory_List_Table341121[[#This Row],[D CM ]]*Inventory_List_Table341121[[#This Row],[D CM ]]</f>
        <v>14125</v>
      </c>
      <c r="Y10" s="75">
        <f>Inventory_List_Table341121[[#This Row],[Per piece MXN$]]/X10*10000</f>
        <v>2849.5575221238937</v>
      </c>
    </row>
    <row r="11" spans="1:25" ht="30" customHeight="1" x14ac:dyDescent="0.25">
      <c r="A11" s="68" t="s">
        <v>154</v>
      </c>
      <c r="B11" s="69">
        <v>46035</v>
      </c>
      <c r="C11" s="70" t="s">
        <v>380</v>
      </c>
      <c r="D11" s="141" t="s">
        <v>629</v>
      </c>
      <c r="E11" s="71">
        <v>1</v>
      </c>
      <c r="F11" s="72"/>
      <c r="G11" s="72">
        <v>130</v>
      </c>
      <c r="H11" s="72">
        <v>25</v>
      </c>
      <c r="I11" s="72">
        <v>25</v>
      </c>
      <c r="J11" s="73">
        <v>3900</v>
      </c>
      <c r="K11" s="1">
        <f>Inventory_List_Table341121[[#This Row],[Q]]*Inventory_List_Table341121[[#This Row],[Per piece MXN$]]</f>
        <v>3900</v>
      </c>
      <c r="L11" s="1">
        <f>Inventory_List_Table341121[[#This Row],[KG]]*2.20462</f>
        <v>0</v>
      </c>
      <c r="M11" s="2">
        <f>Inventory_List_Table341121[[#This Row],[H CM]]/2.54</f>
        <v>51.181102362204726</v>
      </c>
      <c r="N11" s="2">
        <f>Inventory_List_Table341121[[#This Row],[W CM]]/2.54</f>
        <v>9.8425196850393704</v>
      </c>
      <c r="O11" s="2">
        <f>Inventory_List_Table341121[[#This Row],[D CM ]]/2.54</f>
        <v>9.8425196850393704</v>
      </c>
      <c r="P11" s="3">
        <f>Inventory_List_Table341121[[#This Row],[Per piece MXN$]]/$U$2</f>
        <v>216.66666666666666</v>
      </c>
      <c r="Q11" s="3">
        <f t="shared" si="0"/>
        <v>217</v>
      </c>
      <c r="R11" s="3">
        <f>Inventory_List_Table341121[[#This Row],[AQ ROUND]]*1.4</f>
        <v>303.79999999999995</v>
      </c>
      <c r="S11" s="3">
        <f t="shared" si="1"/>
        <v>304</v>
      </c>
      <c r="T11" s="3">
        <f>Inventory_List_Table341121[[#This Row],[LND ROUND]]*8</f>
        <v>2432</v>
      </c>
      <c r="U11" s="3">
        <f>Inventory_List_Table341121[[#This Row],[AQ]]*Inventory_List_Table341121[[#This Row],[Q]]</f>
        <v>216.66666666666666</v>
      </c>
      <c r="V11" s="74" t="s">
        <v>631</v>
      </c>
      <c r="W11" s="74" t="s">
        <v>630</v>
      </c>
      <c r="X11" s="45">
        <f>Inventory_List_Table341121[[#This Row],[H CM]]*Inventory_List_Table341121[[#This Row],[W CM]]*4+Inventory_List_Table341121[[#This Row],[D CM ]]*Inventory_List_Table341121[[#This Row],[D CM ]]</f>
        <v>13625</v>
      </c>
      <c r="Y11" s="75">
        <f>Inventory_List_Table341121[[#This Row],[Per piece MXN$]]/X11*10000</f>
        <v>2862.3853211009177</v>
      </c>
    </row>
    <row r="12" spans="1:25" ht="30" customHeight="1" x14ac:dyDescent="0.25">
      <c r="A12" s="68" t="s">
        <v>155</v>
      </c>
      <c r="B12" s="69">
        <v>46035</v>
      </c>
      <c r="C12" s="70" t="s">
        <v>380</v>
      </c>
      <c r="D12" s="141" t="s">
        <v>632</v>
      </c>
      <c r="E12" s="71">
        <v>1</v>
      </c>
      <c r="F12" s="72"/>
      <c r="G12" s="72">
        <v>115</v>
      </c>
      <c r="H12" s="72">
        <v>25</v>
      </c>
      <c r="I12" s="72">
        <v>25</v>
      </c>
      <c r="J12" s="73">
        <v>3525</v>
      </c>
      <c r="K12" s="1">
        <f>Inventory_List_Table341121[[#This Row],[Q]]*Inventory_List_Table341121[[#This Row],[Per piece MXN$]]</f>
        <v>3525</v>
      </c>
      <c r="L12" s="1">
        <f>Inventory_List_Table341121[[#This Row],[KG]]*2.20462</f>
        <v>0</v>
      </c>
      <c r="M12" s="2">
        <f>Inventory_List_Table341121[[#This Row],[H CM]]/2.54</f>
        <v>45.275590551181104</v>
      </c>
      <c r="N12" s="2">
        <f>Inventory_List_Table341121[[#This Row],[W CM]]/2.54</f>
        <v>9.8425196850393704</v>
      </c>
      <c r="O12" s="2">
        <f>Inventory_List_Table341121[[#This Row],[D CM ]]/2.54</f>
        <v>9.8425196850393704</v>
      </c>
      <c r="P12" s="3">
        <f>Inventory_List_Table341121[[#This Row],[Per piece MXN$]]/$U$2</f>
        <v>195.83333333333334</v>
      </c>
      <c r="Q12" s="3">
        <f t="shared" si="0"/>
        <v>196</v>
      </c>
      <c r="R12" s="3">
        <f>Inventory_List_Table341121[[#This Row],[AQ ROUND]]*1.4</f>
        <v>274.39999999999998</v>
      </c>
      <c r="S12" s="3">
        <f t="shared" si="1"/>
        <v>274</v>
      </c>
      <c r="T12" s="3">
        <f>Inventory_List_Table341121[[#This Row],[LND ROUND]]*8</f>
        <v>2192</v>
      </c>
      <c r="U12" s="3">
        <f>Inventory_List_Table341121[[#This Row],[AQ]]*Inventory_List_Table341121[[#This Row],[Q]]</f>
        <v>195.83333333333334</v>
      </c>
      <c r="V12" s="74" t="s">
        <v>633</v>
      </c>
      <c r="W12" s="74" t="s">
        <v>622</v>
      </c>
      <c r="X12" s="45">
        <f>Inventory_List_Table341121[[#This Row],[H CM]]*Inventory_List_Table341121[[#This Row],[W CM]]*4+Inventory_List_Table341121[[#This Row],[D CM ]]*Inventory_List_Table341121[[#This Row],[D CM ]]</f>
        <v>12125</v>
      </c>
      <c r="Y12" s="75">
        <f>Inventory_List_Table341121[[#This Row],[Per piece MXN$]]/X12*10000</f>
        <v>2907.216494845361</v>
      </c>
    </row>
  </sheetData>
  <mergeCells count="3">
    <mergeCell ref="Q1:Q2"/>
    <mergeCell ref="O1:O2"/>
    <mergeCell ref="P1:P2"/>
  </mergeCells>
  <dataValidations count="12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B101CA64-F1EB-4801-8C70-3CBE06B28B80}"/>
    <dataValidation allowBlank="1" showInputMessage="1" showErrorMessage="1" prompt="Enter the item inventory ID in this column" sqref="C3" xr:uid="{952A0344-7EC0-4F74-A226-BABFA1CF1D19}"/>
    <dataValidation allowBlank="1" showInputMessage="1" showErrorMessage="1" prompt="Enter the name of the item in this column" sqref="D3" xr:uid="{26E6B73F-F31A-4D96-8D35-DF4AB2139E71}"/>
    <dataValidation allowBlank="1" showInputMessage="1" showErrorMessage="1" prompt="Enter yes if the item has been discontinued. When a yes is entered, the corresponding row is highlighted a light grey and the font style changed to strikethrough" sqref="N3" xr:uid="{E17B0EB1-0D7D-4658-B92A-CEDC9EF1E9C0}"/>
    <dataValidation allowBlank="1" showInputMessage="1" showErrorMessage="1" prompt="Enter the quantity in reorder for each item in this column" sqref="M3" xr:uid="{2A90CD87-A32F-49FF-98CB-EC6B7EE56FA4}"/>
    <dataValidation allowBlank="1" showInputMessage="1" showErrorMessage="1" prompt="Enter the number of days it takes to reorder each item in this column" sqref="J3:L3" xr:uid="{888E3E42-6482-473C-B1DA-8081CB9E6FD5}"/>
    <dataValidation allowBlank="1" showInputMessage="1" showErrorMessage="1" prompt="Enter the reorder level for each item in this column" sqref="I3" xr:uid="{B3AC7AC0-2261-476C-8BD2-BA2DE4C6A326}"/>
    <dataValidation allowBlank="1" showInputMessage="1" showErrorMessage="1" prompt="This is an automated column._x000a__x000a_The inventory value for each item is automatically calculated in this column." sqref="H3" xr:uid="{27391546-67C7-46C5-931C-09BD4FCB4B5C}"/>
    <dataValidation allowBlank="1" showInputMessage="1" showErrorMessage="1" prompt="Enter the quantity in stock for each item in this column" sqref="G3" xr:uid="{E7B95C78-09B9-46CE-A9FE-560A90322796}"/>
    <dataValidation allowBlank="1" showInputMessage="1" showErrorMessage="1" prompt="Enter the unit price of each item in this column" sqref="F3" xr:uid="{7D4DC07A-8C37-4FFB-AB6B-E2BE584ACC97}"/>
    <dataValidation allowBlank="1" showInputMessage="1" showErrorMessage="1" prompt="Enter a description of the item in this column" sqref="E3" xr:uid="{78A81D45-E796-4D43-A205-C92264ADB6DD}"/>
    <dataValidation allowBlank="1" showInputMessage="1" showErrorMessage="1" prompt="Enter company name in this cell" sqref="A2" xr:uid="{0AB492F7-ADF8-414A-AA1A-0088DFD204FB}"/>
  </dataValidations>
  <printOptions horizontalCentered="1"/>
  <pageMargins left="0.25" right="0.25" top="0.75" bottom="0.75" header="0.3" footer="0.3"/>
  <pageSetup scale="47" fitToHeight="0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021F-C783-49C3-8490-01D4CAD82A3D}">
  <sheetPr codeName="Sheet3">
    <tabColor rgb="FFB0E0E6"/>
    <pageSetUpPr fitToPage="1"/>
  </sheetPr>
  <dimension ref="A1:W32"/>
  <sheetViews>
    <sheetView showGridLines="0" topLeftCell="C1" zoomScale="70" zoomScaleNormal="70" workbookViewId="0">
      <selection activeCell="V4" sqref="V4:W32"/>
    </sheetView>
  </sheetViews>
  <sheetFormatPr defaultColWidth="8.625" defaultRowHeight="24" customHeight="1" x14ac:dyDescent="0.25"/>
  <cols>
    <col min="1" max="1" width="4.125" style="76" customWidth="1"/>
    <col min="2" max="2" width="15.5" style="77" customWidth="1"/>
    <col min="3" max="3" width="41" style="309" bestFit="1" customWidth="1"/>
    <col min="4" max="4" width="26" style="78" customWidth="1"/>
    <col min="5" max="5" width="9.75" style="78" customWidth="1"/>
    <col min="6" max="6" width="9.25" style="79" bestFit="1" customWidth="1"/>
    <col min="7" max="7" width="8.125" style="79" bestFit="1" customWidth="1"/>
    <col min="8" max="8" width="8.75" style="79" bestFit="1" customWidth="1"/>
    <col min="9" max="9" width="8.125" style="79" bestFit="1" customWidth="1"/>
    <col min="10" max="10" width="19.5" style="79" bestFit="1" customWidth="1"/>
    <col min="11" max="11" width="25" style="79" bestFit="1" customWidth="1"/>
    <col min="12" max="12" width="12.875" style="79" bestFit="1" customWidth="1"/>
    <col min="13" max="13" width="15.5" style="79" bestFit="1" customWidth="1"/>
    <col min="14" max="14" width="11.25" style="78" bestFit="1" customWidth="1"/>
    <col min="15" max="15" width="23.25" style="45" customWidth="1"/>
    <col min="16" max="16" width="11.875" style="45" bestFit="1" customWidth="1"/>
    <col min="17" max="17" width="20.375" style="45" bestFit="1" customWidth="1"/>
    <col min="18" max="18" width="11.75" style="45" bestFit="1" customWidth="1"/>
    <col min="19" max="19" width="21.75" style="45" bestFit="1" customWidth="1"/>
    <col min="20" max="20" width="18.125" style="45" bestFit="1" customWidth="1" collapsed="1"/>
    <col min="21" max="21" width="15" style="45" customWidth="1"/>
    <col min="22" max="22" width="7.5" style="45" bestFit="1" customWidth="1"/>
    <col min="23" max="23" width="8.125" style="45" bestFit="1" customWidth="1"/>
    <col min="24" max="16384" width="8.625" style="45"/>
  </cols>
  <sheetData>
    <row r="1" spans="1:23" ht="36.75" x14ac:dyDescent="0.6">
      <c r="A1" s="263" t="s">
        <v>100</v>
      </c>
      <c r="B1" s="264"/>
      <c r="C1" s="265"/>
      <c r="D1" s="266"/>
      <c r="E1" s="266"/>
      <c r="F1" s="264"/>
      <c r="G1" s="267"/>
      <c r="H1" s="267"/>
      <c r="I1" s="268"/>
      <c r="J1" s="269" t="s">
        <v>132</v>
      </c>
      <c r="K1" s="270"/>
      <c r="L1" s="270" t="s">
        <v>91</v>
      </c>
      <c r="M1" s="271">
        <f>SUM(K24:K27)</f>
        <v>4200</v>
      </c>
      <c r="N1" s="272" t="s">
        <v>100</v>
      </c>
      <c r="O1" s="273">
        <f>SUM(K19:K23)</f>
        <v>6975</v>
      </c>
      <c r="P1" s="274" t="s">
        <v>86</v>
      </c>
      <c r="Q1" s="273">
        <f>SUM(K13:K18)</f>
        <v>18000</v>
      </c>
      <c r="R1" s="275" t="s">
        <v>13</v>
      </c>
      <c r="S1" s="276">
        <f>SUM(K4:K12)</f>
        <v>27000</v>
      </c>
      <c r="T1" s="277"/>
      <c r="U1" s="278">
        <v>825</v>
      </c>
      <c r="V1" s="267"/>
      <c r="W1" s="267"/>
    </row>
    <row r="2" spans="1:23" ht="31.5" x14ac:dyDescent="0.45">
      <c r="A2" s="279" t="s">
        <v>278</v>
      </c>
      <c r="B2" s="280"/>
      <c r="C2" s="281"/>
      <c r="D2" s="282"/>
      <c r="E2" s="283"/>
      <c r="F2" s="284"/>
      <c r="G2" s="285"/>
      <c r="H2" s="267"/>
      <c r="I2" s="286"/>
      <c r="J2" s="286"/>
      <c r="K2" s="855">
        <f>SUM(Inventory_List_Table34[TOTAL PESOS])</f>
        <v>61290</v>
      </c>
      <c r="L2" s="286"/>
      <c r="M2" s="264"/>
      <c r="N2" s="264"/>
      <c r="O2" s="287">
        <f>SUM(K28:K32)</f>
        <v>5115</v>
      </c>
      <c r="P2" s="267"/>
      <c r="Q2" s="288">
        <f>O2+O1</f>
        <v>12090</v>
      </c>
      <c r="R2" s="289"/>
      <c r="S2" s="276">
        <f>S1+Q1+Q2+M1</f>
        <v>61290</v>
      </c>
      <c r="T2" s="277" t="s">
        <v>134</v>
      </c>
      <c r="U2" s="290">
        <v>18</v>
      </c>
      <c r="V2" s="266"/>
      <c r="W2" s="291"/>
    </row>
    <row r="3" spans="1:23" s="67" customFormat="1" ht="40.9" customHeight="1" x14ac:dyDescent="0.25">
      <c r="A3" s="292" t="s">
        <v>135</v>
      </c>
      <c r="B3" s="293" t="s">
        <v>122</v>
      </c>
      <c r="C3" s="294" t="s">
        <v>136</v>
      </c>
      <c r="D3" s="294" t="s">
        <v>137</v>
      </c>
      <c r="E3" s="295" t="s">
        <v>123</v>
      </c>
      <c r="F3" s="296" t="s">
        <v>124</v>
      </c>
      <c r="G3" s="296" t="s">
        <v>130</v>
      </c>
      <c r="H3" s="296" t="s">
        <v>125</v>
      </c>
      <c r="I3" s="296" t="s">
        <v>126</v>
      </c>
      <c r="J3" s="296" t="s">
        <v>138</v>
      </c>
      <c r="K3" s="293" t="s">
        <v>139</v>
      </c>
      <c r="L3" s="293" t="s">
        <v>127</v>
      </c>
      <c r="M3" s="293" t="s">
        <v>140</v>
      </c>
      <c r="N3" s="293" t="s">
        <v>141</v>
      </c>
      <c r="O3" s="293" t="s">
        <v>142</v>
      </c>
      <c r="P3" s="297" t="s">
        <v>143</v>
      </c>
      <c r="Q3" s="293" t="s">
        <v>144</v>
      </c>
      <c r="R3" s="297" t="s">
        <v>145</v>
      </c>
      <c r="S3" s="298" t="s">
        <v>146</v>
      </c>
      <c r="T3" s="297" t="s">
        <v>2</v>
      </c>
      <c r="U3" s="299" t="s">
        <v>128</v>
      </c>
      <c r="V3" s="299" t="s">
        <v>131</v>
      </c>
      <c r="W3" s="300" t="s">
        <v>1</v>
      </c>
    </row>
    <row r="4" spans="1:23" ht="30" customHeight="1" x14ac:dyDescent="0.35">
      <c r="A4" s="301" t="s">
        <v>147</v>
      </c>
      <c r="B4" s="69"/>
      <c r="C4" s="302" t="s">
        <v>68</v>
      </c>
      <c r="D4" s="965" t="s">
        <v>69</v>
      </c>
      <c r="E4" s="303">
        <v>100</v>
      </c>
      <c r="F4" s="304">
        <v>0.5</v>
      </c>
      <c r="G4" s="303">
        <v>8</v>
      </c>
      <c r="H4" s="304"/>
      <c r="I4" s="304"/>
      <c r="J4" s="305">
        <v>58</v>
      </c>
      <c r="K4" s="1">
        <f>Inventory_List_Table34[[#This Row],[Q]]*Inventory_List_Table34[[#This Row],[Per piece MXN$]]</f>
        <v>5800</v>
      </c>
      <c r="L4" s="1">
        <f>Inventory_List_Table34[[#This Row],[KG]]*2.20462</f>
        <v>1.1023099999999999</v>
      </c>
      <c r="M4" s="2">
        <f>Inventory_List_Table34[[#This Row],[H CM]]/2.54</f>
        <v>3.1496062992125982</v>
      </c>
      <c r="N4" s="2">
        <f>Inventory_List_Table34[[#This Row],[W CM]]/2.54</f>
        <v>0</v>
      </c>
      <c r="O4" s="2">
        <f>Inventory_List_Table34[[#This Row],[D CM ]]/2.54</f>
        <v>0</v>
      </c>
      <c r="P4" s="3">
        <f>Inventory_List_Table34[[#This Row],[Per piece MXN$]]/$U$2</f>
        <v>3.2222222222222223</v>
      </c>
      <c r="Q4" s="3">
        <f t="shared" ref="Q4:Q27" si="0">IF(MOD(P4,1)&gt;0.4,ROUNDUP(P4,0),ROUNDDOWN(P4,0))</f>
        <v>3</v>
      </c>
      <c r="R4" s="3">
        <f>Inventory_List_Table34[[#This Row],[AQ ROUND]]*1.4</f>
        <v>4.1999999999999993</v>
      </c>
      <c r="S4" s="3">
        <f t="shared" ref="S4:S27" si="1">IF(MOD(R4,1)&gt;0.4,ROUNDUP(R4,0),ROUNDDOWN(R4,0))</f>
        <v>4</v>
      </c>
      <c r="T4" s="3">
        <f>Inventory_List_Table34[[#This Row],[LND ROUND]]*8</f>
        <v>32</v>
      </c>
      <c r="U4" s="3">
        <f>Inventory_List_Table34[[#This Row],[AQ]]*Inventory_List_Table34[[#This Row],[Q]]</f>
        <v>322.22222222222223</v>
      </c>
      <c r="V4" s="74" t="s">
        <v>1134</v>
      </c>
      <c r="W4" s="74" t="s">
        <v>1458</v>
      </c>
    </row>
    <row r="5" spans="1:23" ht="30" customHeight="1" x14ac:dyDescent="0.35">
      <c r="A5" s="301" t="s">
        <v>148</v>
      </c>
      <c r="B5" s="69"/>
      <c r="C5" s="302" t="s">
        <v>70</v>
      </c>
      <c r="D5" s="965" t="s">
        <v>71</v>
      </c>
      <c r="E5" s="303">
        <v>50</v>
      </c>
      <c r="F5" s="304">
        <v>0.5</v>
      </c>
      <c r="G5" s="303">
        <v>8</v>
      </c>
      <c r="H5" s="304"/>
      <c r="I5" s="304"/>
      <c r="J5" s="305">
        <v>58</v>
      </c>
      <c r="K5" s="1">
        <f>Inventory_List_Table34[[#This Row],[Q]]*Inventory_List_Table34[[#This Row],[Per piece MXN$]]</f>
        <v>2900</v>
      </c>
      <c r="L5" s="1">
        <f>Inventory_List_Table34[[#This Row],[KG]]*2.20462</f>
        <v>1.1023099999999999</v>
      </c>
      <c r="M5" s="15">
        <f>Inventory_List_Table34[[#This Row],[H CM]]/2.54</f>
        <v>3.1496062992125982</v>
      </c>
      <c r="N5" s="15">
        <f>Inventory_List_Table34[[#This Row],[W CM]]/2.54</f>
        <v>0</v>
      </c>
      <c r="O5" s="15">
        <f>Inventory_List_Table34[[#This Row],[D CM ]]/2.54</f>
        <v>0</v>
      </c>
      <c r="P5" s="16">
        <f>Inventory_List_Table34[[#This Row],[Per piece MXN$]]/$U$2</f>
        <v>3.2222222222222223</v>
      </c>
      <c r="Q5" s="16">
        <f t="shared" si="0"/>
        <v>3</v>
      </c>
      <c r="R5" s="16">
        <f>Inventory_List_Table34[[#This Row],[AQ ROUND]]*1.4</f>
        <v>4.1999999999999993</v>
      </c>
      <c r="S5" s="16">
        <f t="shared" si="1"/>
        <v>4</v>
      </c>
      <c r="T5" s="16">
        <f>Inventory_List_Table34[[#This Row],[LND ROUND]]*8</f>
        <v>32</v>
      </c>
      <c r="U5" s="16">
        <f>Inventory_List_Table34[[#This Row],[AQ]]*Inventory_List_Table34[[#This Row],[Q]]</f>
        <v>161.11111111111111</v>
      </c>
      <c r="V5" s="74" t="s">
        <v>1134</v>
      </c>
      <c r="W5" s="74" t="s">
        <v>1458</v>
      </c>
    </row>
    <row r="6" spans="1:23" ht="30" customHeight="1" x14ac:dyDescent="0.35">
      <c r="A6" s="301" t="s">
        <v>149</v>
      </c>
      <c r="B6" s="69"/>
      <c r="C6" s="302" t="s">
        <v>72</v>
      </c>
      <c r="D6" s="965" t="s">
        <v>73</v>
      </c>
      <c r="E6" s="303">
        <v>50</v>
      </c>
      <c r="F6" s="304">
        <v>0.5</v>
      </c>
      <c r="G6" s="303">
        <v>8</v>
      </c>
      <c r="H6" s="304"/>
      <c r="I6" s="304"/>
      <c r="J6" s="305">
        <v>58</v>
      </c>
      <c r="K6" s="1">
        <f>Inventory_List_Table34[[#This Row],[Q]]*Inventory_List_Table34[[#This Row],[Per piece MXN$]]</f>
        <v>2900</v>
      </c>
      <c r="L6" s="1">
        <f>Inventory_List_Table34[[#This Row],[KG]]*2.20462</f>
        <v>1.1023099999999999</v>
      </c>
      <c r="M6" s="15">
        <f>Inventory_List_Table34[[#This Row],[H CM]]/2.54</f>
        <v>3.1496062992125982</v>
      </c>
      <c r="N6" s="15">
        <f>Inventory_List_Table34[[#This Row],[W CM]]/2.54</f>
        <v>0</v>
      </c>
      <c r="O6" s="15">
        <f>Inventory_List_Table34[[#This Row],[D CM ]]/2.54</f>
        <v>0</v>
      </c>
      <c r="P6" s="16">
        <f>Inventory_List_Table34[[#This Row],[Per piece MXN$]]/$U$2</f>
        <v>3.2222222222222223</v>
      </c>
      <c r="Q6" s="16">
        <f t="shared" si="0"/>
        <v>3</v>
      </c>
      <c r="R6" s="16">
        <f>Inventory_List_Table34[[#This Row],[AQ ROUND]]*1.4</f>
        <v>4.1999999999999993</v>
      </c>
      <c r="S6" s="16">
        <f t="shared" si="1"/>
        <v>4</v>
      </c>
      <c r="T6" s="16">
        <f>Inventory_List_Table34[[#This Row],[LND ROUND]]*8</f>
        <v>32</v>
      </c>
      <c r="U6" s="16">
        <f>Inventory_List_Table34[[#This Row],[AQ]]*Inventory_List_Table34[[#This Row],[Q]]</f>
        <v>161.11111111111111</v>
      </c>
      <c r="V6" s="74" t="s">
        <v>1134</v>
      </c>
      <c r="W6" s="74" t="s">
        <v>1458</v>
      </c>
    </row>
    <row r="7" spans="1:23" ht="30" customHeight="1" x14ac:dyDescent="0.35">
      <c r="A7" s="301" t="s">
        <v>150</v>
      </c>
      <c r="B7" s="69"/>
      <c r="C7" s="302" t="s">
        <v>74</v>
      </c>
      <c r="D7" s="965" t="s">
        <v>75</v>
      </c>
      <c r="E7" s="303">
        <v>30</v>
      </c>
      <c r="F7" s="304">
        <v>2.5</v>
      </c>
      <c r="G7" s="303">
        <v>14</v>
      </c>
      <c r="H7" s="304">
        <v>16</v>
      </c>
      <c r="I7" s="304"/>
      <c r="J7" s="305">
        <v>260</v>
      </c>
      <c r="K7" s="1">
        <f>Inventory_List_Table34[[#This Row],[Q]]*Inventory_List_Table34[[#This Row],[Per piece MXN$]]</f>
        <v>7800</v>
      </c>
      <c r="L7" s="1">
        <f>Inventory_List_Table34[[#This Row],[KG]]*2.20462</f>
        <v>5.5115499999999997</v>
      </c>
      <c r="M7" s="15">
        <f>Inventory_List_Table34[[#This Row],[H CM]]/2.54</f>
        <v>5.5118110236220472</v>
      </c>
      <c r="N7" s="15">
        <f>Inventory_List_Table34[[#This Row],[W CM]]/2.54</f>
        <v>6.2992125984251963</v>
      </c>
      <c r="O7" s="15">
        <f>Inventory_List_Table34[[#This Row],[D CM ]]/2.54</f>
        <v>0</v>
      </c>
      <c r="P7" s="16">
        <f>Inventory_List_Table34[[#This Row],[Per piece MXN$]]/$U$2</f>
        <v>14.444444444444445</v>
      </c>
      <c r="Q7" s="16">
        <f t="shared" si="0"/>
        <v>15</v>
      </c>
      <c r="R7" s="16">
        <f>Inventory_List_Table34[[#This Row],[AQ ROUND]]*1.4</f>
        <v>21</v>
      </c>
      <c r="S7" s="16">
        <f t="shared" si="1"/>
        <v>21</v>
      </c>
      <c r="T7" s="16">
        <f>Inventory_List_Table34[[#This Row],[LND ROUND]]*8</f>
        <v>168</v>
      </c>
      <c r="U7" s="16">
        <f>Inventory_List_Table34[[#This Row],[AQ]]*Inventory_List_Table34[[#This Row],[Q]]</f>
        <v>433.33333333333331</v>
      </c>
      <c r="V7" s="74" t="s">
        <v>750</v>
      </c>
      <c r="W7" s="74" t="s">
        <v>759</v>
      </c>
    </row>
    <row r="8" spans="1:23" ht="30" customHeight="1" x14ac:dyDescent="0.35">
      <c r="A8" s="301" t="s">
        <v>151</v>
      </c>
      <c r="B8" s="69"/>
      <c r="C8" s="302" t="s">
        <v>76</v>
      </c>
      <c r="D8" s="965" t="s">
        <v>77</v>
      </c>
      <c r="E8" s="303">
        <v>3</v>
      </c>
      <c r="F8" s="304">
        <v>5</v>
      </c>
      <c r="G8" s="303">
        <v>25</v>
      </c>
      <c r="H8" s="304"/>
      <c r="I8" s="304"/>
      <c r="J8" s="305">
        <v>380</v>
      </c>
      <c r="K8" s="1">
        <f>Inventory_List_Table34[[#This Row],[Q]]*Inventory_List_Table34[[#This Row],[Per piece MXN$]]</f>
        <v>1140</v>
      </c>
      <c r="L8" s="1">
        <f>Inventory_List_Table34[[#This Row],[KG]]*2.20462</f>
        <v>11.023099999999999</v>
      </c>
      <c r="M8" s="15">
        <f>Inventory_List_Table34[[#This Row],[H CM]]/2.54</f>
        <v>9.8425196850393704</v>
      </c>
      <c r="N8" s="15">
        <f>Inventory_List_Table34[[#This Row],[W CM]]/2.54</f>
        <v>0</v>
      </c>
      <c r="O8" s="15">
        <f>Inventory_List_Table34[[#This Row],[D CM ]]/2.54</f>
        <v>0</v>
      </c>
      <c r="P8" s="16">
        <f>Inventory_List_Table34[[#This Row],[Per piece MXN$]]/$U$2</f>
        <v>21.111111111111111</v>
      </c>
      <c r="Q8" s="16">
        <f t="shared" si="0"/>
        <v>21</v>
      </c>
      <c r="R8" s="16">
        <f>Inventory_List_Table34[[#This Row],[AQ ROUND]]*1.4</f>
        <v>29.4</v>
      </c>
      <c r="S8" s="16">
        <f t="shared" si="1"/>
        <v>29</v>
      </c>
      <c r="T8" s="16">
        <f>Inventory_List_Table34[[#This Row],[LND ROUND]]*8</f>
        <v>232</v>
      </c>
      <c r="U8" s="16">
        <f>Inventory_List_Table34[[#This Row],[AQ]]*Inventory_List_Table34[[#This Row],[Q]]</f>
        <v>63.333333333333329</v>
      </c>
      <c r="V8" s="74" t="s">
        <v>759</v>
      </c>
      <c r="W8" s="74" t="s">
        <v>827</v>
      </c>
    </row>
    <row r="9" spans="1:23" ht="30" customHeight="1" x14ac:dyDescent="0.35">
      <c r="A9" s="301" t="s">
        <v>152</v>
      </c>
      <c r="B9" s="69"/>
      <c r="C9" s="302" t="s">
        <v>78</v>
      </c>
      <c r="D9" s="965" t="s">
        <v>79</v>
      </c>
      <c r="E9" s="303">
        <v>3</v>
      </c>
      <c r="F9" s="304">
        <v>5</v>
      </c>
      <c r="G9" s="303">
        <v>25</v>
      </c>
      <c r="H9" s="304"/>
      <c r="I9" s="304"/>
      <c r="J9" s="305">
        <v>380</v>
      </c>
      <c r="K9" s="1">
        <f>Inventory_List_Table34[[#This Row],[Q]]*Inventory_List_Table34[[#This Row],[Per piece MXN$]]</f>
        <v>1140</v>
      </c>
      <c r="L9" s="1">
        <f>Inventory_List_Table34[[#This Row],[KG]]*2.20462</f>
        <v>11.023099999999999</v>
      </c>
      <c r="M9" s="15">
        <f>Inventory_List_Table34[[#This Row],[H CM]]/2.54</f>
        <v>9.8425196850393704</v>
      </c>
      <c r="N9" s="15">
        <f>Inventory_List_Table34[[#This Row],[W CM]]/2.54</f>
        <v>0</v>
      </c>
      <c r="O9" s="15">
        <f>Inventory_List_Table34[[#This Row],[D CM ]]/2.54</f>
        <v>0</v>
      </c>
      <c r="P9" s="16">
        <f>Inventory_List_Table34[[#This Row],[Per piece MXN$]]/$U$2</f>
        <v>21.111111111111111</v>
      </c>
      <c r="Q9" s="16">
        <f t="shared" si="0"/>
        <v>21</v>
      </c>
      <c r="R9" s="16">
        <f>Inventory_List_Table34[[#This Row],[AQ ROUND]]*1.4</f>
        <v>29.4</v>
      </c>
      <c r="S9" s="16">
        <f t="shared" si="1"/>
        <v>29</v>
      </c>
      <c r="T9" s="16">
        <f>Inventory_List_Table34[[#This Row],[LND ROUND]]*8</f>
        <v>232</v>
      </c>
      <c r="U9" s="16">
        <f>Inventory_List_Table34[[#This Row],[AQ]]*Inventory_List_Table34[[#This Row],[Q]]</f>
        <v>63.333333333333329</v>
      </c>
      <c r="V9" s="74" t="s">
        <v>759</v>
      </c>
      <c r="W9" s="74" t="s">
        <v>827</v>
      </c>
    </row>
    <row r="10" spans="1:23" ht="30" customHeight="1" x14ac:dyDescent="0.35">
      <c r="A10" s="301" t="s">
        <v>153</v>
      </c>
      <c r="B10" s="69"/>
      <c r="C10" s="302" t="s">
        <v>80</v>
      </c>
      <c r="D10" s="965" t="s">
        <v>81</v>
      </c>
      <c r="E10" s="303">
        <v>3</v>
      </c>
      <c r="F10" s="304">
        <v>5</v>
      </c>
      <c r="G10" s="303">
        <v>25</v>
      </c>
      <c r="H10" s="304"/>
      <c r="I10" s="304"/>
      <c r="J10" s="305">
        <v>380</v>
      </c>
      <c r="K10" s="1">
        <f>Inventory_List_Table34[[#This Row],[Q]]*Inventory_List_Table34[[#This Row],[Per piece MXN$]]</f>
        <v>1140</v>
      </c>
      <c r="L10" s="1">
        <f>Inventory_List_Table34[[#This Row],[KG]]*2.20462</f>
        <v>11.023099999999999</v>
      </c>
      <c r="M10" s="15">
        <f>Inventory_List_Table34[[#This Row],[H CM]]/2.54</f>
        <v>9.8425196850393704</v>
      </c>
      <c r="N10" s="15">
        <f>Inventory_List_Table34[[#This Row],[W CM]]/2.54</f>
        <v>0</v>
      </c>
      <c r="O10" s="15">
        <f>Inventory_List_Table34[[#This Row],[D CM ]]/2.54</f>
        <v>0</v>
      </c>
      <c r="P10" s="16">
        <f>Inventory_List_Table34[[#This Row],[Per piece MXN$]]/$U$2</f>
        <v>21.111111111111111</v>
      </c>
      <c r="Q10" s="16">
        <f t="shared" si="0"/>
        <v>21</v>
      </c>
      <c r="R10" s="16">
        <f>Inventory_List_Table34[[#This Row],[AQ ROUND]]*1.4</f>
        <v>29.4</v>
      </c>
      <c r="S10" s="16">
        <f t="shared" si="1"/>
        <v>29</v>
      </c>
      <c r="T10" s="16">
        <f>Inventory_List_Table34[[#This Row],[LND ROUND]]*8</f>
        <v>232</v>
      </c>
      <c r="U10" s="16">
        <f>Inventory_List_Table34[[#This Row],[AQ]]*Inventory_List_Table34[[#This Row],[Q]]</f>
        <v>63.333333333333329</v>
      </c>
      <c r="V10" s="74" t="s">
        <v>759</v>
      </c>
      <c r="W10" s="74" t="s">
        <v>827</v>
      </c>
    </row>
    <row r="11" spans="1:23" ht="30" customHeight="1" x14ac:dyDescent="0.35">
      <c r="A11" s="301" t="s">
        <v>154</v>
      </c>
      <c r="B11" s="69"/>
      <c r="C11" s="302" t="s">
        <v>82</v>
      </c>
      <c r="D11" s="965" t="s">
        <v>83</v>
      </c>
      <c r="E11" s="303">
        <v>3</v>
      </c>
      <c r="F11" s="304">
        <v>5</v>
      </c>
      <c r="G11" s="303">
        <v>25</v>
      </c>
      <c r="H11" s="304"/>
      <c r="I11" s="304"/>
      <c r="J11" s="305">
        <v>380</v>
      </c>
      <c r="K11" s="1">
        <f>Inventory_List_Table34[[#This Row],[Q]]*Inventory_List_Table34[[#This Row],[Per piece MXN$]]</f>
        <v>1140</v>
      </c>
      <c r="L11" s="1">
        <f>Inventory_List_Table34[[#This Row],[KG]]*2.20462</f>
        <v>11.023099999999999</v>
      </c>
      <c r="M11" s="15">
        <f>Inventory_List_Table34[[#This Row],[H CM]]/2.54</f>
        <v>9.8425196850393704</v>
      </c>
      <c r="N11" s="15">
        <f>Inventory_List_Table34[[#This Row],[W CM]]/2.54</f>
        <v>0</v>
      </c>
      <c r="O11" s="15">
        <f>Inventory_List_Table34[[#This Row],[D CM ]]/2.54</f>
        <v>0</v>
      </c>
      <c r="P11" s="16">
        <f>Inventory_List_Table34[[#This Row],[Per piece MXN$]]/$U$2</f>
        <v>21.111111111111111</v>
      </c>
      <c r="Q11" s="16">
        <f t="shared" si="0"/>
        <v>21</v>
      </c>
      <c r="R11" s="16">
        <f>Inventory_List_Table34[[#This Row],[AQ ROUND]]*1.4</f>
        <v>29.4</v>
      </c>
      <c r="S11" s="16">
        <f t="shared" si="1"/>
        <v>29</v>
      </c>
      <c r="T11" s="16">
        <f>Inventory_List_Table34[[#This Row],[LND ROUND]]*8</f>
        <v>232</v>
      </c>
      <c r="U11" s="16">
        <f>Inventory_List_Table34[[#This Row],[AQ]]*Inventory_List_Table34[[#This Row],[Q]]</f>
        <v>63.333333333333329</v>
      </c>
      <c r="V11" s="74" t="s">
        <v>759</v>
      </c>
      <c r="W11" s="74" t="s">
        <v>827</v>
      </c>
    </row>
    <row r="12" spans="1:23" ht="30" customHeight="1" x14ac:dyDescent="0.35">
      <c r="A12" s="301" t="s">
        <v>155</v>
      </c>
      <c r="B12" s="69"/>
      <c r="C12" s="302" t="s">
        <v>84</v>
      </c>
      <c r="D12" s="965" t="s">
        <v>85</v>
      </c>
      <c r="E12" s="303">
        <v>8</v>
      </c>
      <c r="F12" s="304">
        <v>5</v>
      </c>
      <c r="G12" s="303">
        <v>25</v>
      </c>
      <c r="H12" s="304"/>
      <c r="I12" s="304"/>
      <c r="J12" s="305">
        <v>380</v>
      </c>
      <c r="K12" s="1">
        <f>Inventory_List_Table34[[#This Row],[Q]]*Inventory_List_Table34[[#This Row],[Per piece MXN$]]</f>
        <v>3040</v>
      </c>
      <c r="L12" s="1">
        <f>Inventory_List_Table34[[#This Row],[KG]]*2.20462</f>
        <v>11.023099999999999</v>
      </c>
      <c r="M12" s="15">
        <f>Inventory_List_Table34[[#This Row],[H CM]]/2.54</f>
        <v>9.8425196850393704</v>
      </c>
      <c r="N12" s="15">
        <f>Inventory_List_Table34[[#This Row],[W CM]]/2.54</f>
        <v>0</v>
      </c>
      <c r="O12" s="15">
        <f>Inventory_List_Table34[[#This Row],[D CM ]]/2.54</f>
        <v>0</v>
      </c>
      <c r="P12" s="16">
        <f>Inventory_List_Table34[[#This Row],[Per piece MXN$]]/$U$2</f>
        <v>21.111111111111111</v>
      </c>
      <c r="Q12" s="16">
        <f t="shared" si="0"/>
        <v>21</v>
      </c>
      <c r="R12" s="16">
        <f>Inventory_List_Table34[[#This Row],[AQ ROUND]]*1.4</f>
        <v>29.4</v>
      </c>
      <c r="S12" s="16">
        <f t="shared" si="1"/>
        <v>29</v>
      </c>
      <c r="T12" s="16">
        <f>Inventory_List_Table34[[#This Row],[LND ROUND]]*8</f>
        <v>232</v>
      </c>
      <c r="U12" s="16">
        <f>Inventory_List_Table34[[#This Row],[AQ]]*Inventory_List_Table34[[#This Row],[Q]]</f>
        <v>168.88888888888889</v>
      </c>
      <c r="V12" s="74" t="s">
        <v>759</v>
      </c>
      <c r="W12" s="74" t="s">
        <v>827</v>
      </c>
    </row>
    <row r="13" spans="1:23" ht="30" customHeight="1" x14ac:dyDescent="0.25">
      <c r="A13" s="301" t="s">
        <v>147</v>
      </c>
      <c r="B13" s="69">
        <v>45860</v>
      </c>
      <c r="C13" s="302" t="s">
        <v>87</v>
      </c>
      <c r="D13" s="966" t="s">
        <v>88</v>
      </c>
      <c r="E13" s="306">
        <v>10</v>
      </c>
      <c r="F13" s="304">
        <v>5</v>
      </c>
      <c r="G13" s="304">
        <v>4</v>
      </c>
      <c r="H13" s="304">
        <v>4</v>
      </c>
      <c r="I13" s="304"/>
      <c r="J13" s="307">
        <v>360</v>
      </c>
      <c r="K13" s="1">
        <f>Inventory_List_Table34[[#This Row],[Q]]*Inventory_List_Table34[[#This Row],[Per piece MXN$]]</f>
        <v>3600</v>
      </c>
      <c r="L13" s="1">
        <f>Inventory_List_Table34[[#This Row],[KG]]*2.20462</f>
        <v>11.023099999999999</v>
      </c>
      <c r="M13" s="2">
        <f>Inventory_List_Table34[[#This Row],[H CM]]/2.54</f>
        <v>1.5748031496062991</v>
      </c>
      <c r="N13" s="2">
        <f>Inventory_List_Table34[[#This Row],[W CM]]/2.54</f>
        <v>1.5748031496062991</v>
      </c>
      <c r="O13" s="2">
        <f>Inventory_List_Table34[[#This Row],[D CM ]]/2.54</f>
        <v>0</v>
      </c>
      <c r="P13" s="3">
        <f>Inventory_List_Table34[[#This Row],[Per piece MXN$]]/$U$2</f>
        <v>20</v>
      </c>
      <c r="Q13" s="3">
        <f t="shared" si="0"/>
        <v>20</v>
      </c>
      <c r="R13" s="3">
        <f>Inventory_List_Table34[[#This Row],[AQ ROUND]]*1.4</f>
        <v>28</v>
      </c>
      <c r="S13" s="3">
        <f t="shared" si="1"/>
        <v>28</v>
      </c>
      <c r="T13" s="3">
        <f>Inventory_List_Table34[[#This Row],[LND ROUND]]*8</f>
        <v>224</v>
      </c>
      <c r="U13" s="3">
        <f>Inventory_List_Table34[[#This Row],[AQ]]*Inventory_List_Table34[[#This Row],[Q]]</f>
        <v>200</v>
      </c>
      <c r="V13" s="74" t="s">
        <v>789</v>
      </c>
      <c r="W13" s="74" t="s">
        <v>713</v>
      </c>
    </row>
    <row r="14" spans="1:23" ht="30" customHeight="1" x14ac:dyDescent="0.25">
      <c r="A14" s="301" t="s">
        <v>148</v>
      </c>
      <c r="B14" s="69"/>
      <c r="C14" s="308" t="s">
        <v>89</v>
      </c>
      <c r="D14" s="967" t="s">
        <v>90</v>
      </c>
      <c r="E14" s="306">
        <v>10</v>
      </c>
      <c r="F14" s="304">
        <v>4</v>
      </c>
      <c r="G14" s="304">
        <v>2</v>
      </c>
      <c r="H14" s="304">
        <v>2</v>
      </c>
      <c r="I14" s="304"/>
      <c r="J14" s="307">
        <v>190</v>
      </c>
      <c r="K14" s="1">
        <f>Inventory_List_Table34[[#This Row],[Q]]*Inventory_List_Table34[[#This Row],[Per piece MXN$]]</f>
        <v>1900</v>
      </c>
      <c r="L14" s="1">
        <f>Inventory_List_Table34[[#This Row],[KG]]*2.20462</f>
        <v>8.8184799999999992</v>
      </c>
      <c r="M14" s="2">
        <f>Inventory_List_Table34[[#This Row],[H CM]]/2.54</f>
        <v>0.78740157480314954</v>
      </c>
      <c r="N14" s="2">
        <f>Inventory_List_Table34[[#This Row],[W CM]]/2.54</f>
        <v>0.78740157480314954</v>
      </c>
      <c r="O14" s="2">
        <f>Inventory_List_Table34[[#This Row],[D CM ]]/2.54</f>
        <v>0</v>
      </c>
      <c r="P14" s="3">
        <f>Inventory_List_Table34[[#This Row],[Per piece MXN$]]/$U$2</f>
        <v>10.555555555555555</v>
      </c>
      <c r="Q14" s="3">
        <f t="shared" si="0"/>
        <v>11</v>
      </c>
      <c r="R14" s="3">
        <f>Inventory_List_Table34[[#This Row],[AQ ROUND]]*1.4</f>
        <v>15.399999999999999</v>
      </c>
      <c r="S14" s="3">
        <f t="shared" si="1"/>
        <v>15</v>
      </c>
      <c r="T14" s="3">
        <f>Inventory_List_Table34[[#This Row],[LND ROUND]]*8</f>
        <v>120</v>
      </c>
      <c r="U14" s="3">
        <f>Inventory_List_Table34[[#This Row],[AQ]]*Inventory_List_Table34[[#This Row],[Q]]</f>
        <v>105.55555555555556</v>
      </c>
      <c r="V14" s="74" t="s">
        <v>91</v>
      </c>
      <c r="W14" s="74" t="s">
        <v>750</v>
      </c>
    </row>
    <row r="15" spans="1:23" ht="30" customHeight="1" x14ac:dyDescent="0.25">
      <c r="A15" s="301" t="s">
        <v>149</v>
      </c>
      <c r="B15" s="69"/>
      <c r="C15" s="308" t="s">
        <v>92</v>
      </c>
      <c r="D15" s="967" t="s">
        <v>93</v>
      </c>
      <c r="E15" s="306">
        <v>10</v>
      </c>
      <c r="F15" s="304">
        <v>4</v>
      </c>
      <c r="G15" s="304">
        <v>3</v>
      </c>
      <c r="H15" s="304">
        <v>3</v>
      </c>
      <c r="I15" s="304"/>
      <c r="J15" s="307">
        <v>500</v>
      </c>
      <c r="K15" s="1">
        <f>Inventory_List_Table34[[#This Row],[Q]]*Inventory_List_Table34[[#This Row],[Per piece MXN$]]</f>
        <v>5000</v>
      </c>
      <c r="L15" s="1">
        <f>Inventory_List_Table34[[#This Row],[KG]]*2.20462</f>
        <v>8.8184799999999992</v>
      </c>
      <c r="M15" s="2">
        <f>Inventory_List_Table34[[#This Row],[H CM]]/2.54</f>
        <v>1.1811023622047243</v>
      </c>
      <c r="N15" s="2">
        <f>Inventory_List_Table34[[#This Row],[W CM]]/2.54</f>
        <v>1.1811023622047243</v>
      </c>
      <c r="O15" s="2">
        <f>Inventory_List_Table34[[#This Row],[D CM ]]/2.54</f>
        <v>0</v>
      </c>
      <c r="P15" s="3">
        <f>Inventory_List_Table34[[#This Row],[Per piece MXN$]]/$U$2</f>
        <v>27.777777777777779</v>
      </c>
      <c r="Q15" s="3">
        <f>IF(MOD(P15,1)&gt;0.4,ROUNDUP(P15,0),ROUNDDOWN(P15,0))</f>
        <v>28</v>
      </c>
      <c r="R15" s="3">
        <f>Inventory_List_Table34[[#This Row],[AQ ROUND]]*1.4</f>
        <v>39.199999999999996</v>
      </c>
      <c r="S15" s="3">
        <f t="shared" si="1"/>
        <v>39</v>
      </c>
      <c r="T15" s="3">
        <f>Inventory_List_Table34[[#This Row],[LND ROUND]]*8</f>
        <v>312</v>
      </c>
      <c r="U15" s="3">
        <f>Inventory_List_Table34[[#This Row],[AQ]]*Inventory_List_Table34[[#This Row],[Q]]</f>
        <v>277.77777777777777</v>
      </c>
      <c r="V15" s="74" t="s">
        <v>713</v>
      </c>
      <c r="W15" s="74" t="s">
        <v>712</v>
      </c>
    </row>
    <row r="16" spans="1:23" ht="30" customHeight="1" x14ac:dyDescent="0.25">
      <c r="A16" s="301" t="s">
        <v>150</v>
      </c>
      <c r="B16" s="69"/>
      <c r="C16" s="308" t="s">
        <v>94</v>
      </c>
      <c r="D16" s="967" t="s">
        <v>95</v>
      </c>
      <c r="E16" s="306">
        <v>10</v>
      </c>
      <c r="F16" s="304">
        <v>4</v>
      </c>
      <c r="G16" s="304">
        <v>2</v>
      </c>
      <c r="H16" s="304">
        <v>2</v>
      </c>
      <c r="I16" s="304"/>
      <c r="J16" s="307">
        <v>250</v>
      </c>
      <c r="K16" s="1">
        <f>Inventory_List_Table34[[#This Row],[Q]]*Inventory_List_Table34[[#This Row],[Per piece MXN$]]</f>
        <v>2500</v>
      </c>
      <c r="L16" s="1">
        <f>Inventory_List_Table34[[#This Row],[KG]]*2.20462</f>
        <v>8.8184799999999992</v>
      </c>
      <c r="M16" s="2">
        <f>Inventory_List_Table34[[#This Row],[H CM]]/2.54</f>
        <v>0.78740157480314954</v>
      </c>
      <c r="N16" s="2">
        <f>Inventory_List_Table34[[#This Row],[W CM]]/2.54</f>
        <v>0.78740157480314954</v>
      </c>
      <c r="O16" s="2">
        <f>Inventory_List_Table34[[#This Row],[D CM ]]/2.54</f>
        <v>0</v>
      </c>
      <c r="P16" s="3">
        <f>Inventory_List_Table34[[#This Row],[Per piece MXN$]]/$U$2</f>
        <v>13.888888888888889</v>
      </c>
      <c r="Q16" s="3">
        <f t="shared" si="0"/>
        <v>14</v>
      </c>
      <c r="R16" s="3">
        <f>Inventory_List_Table34[[#This Row],[AQ ROUND]]*1.4</f>
        <v>19.599999999999998</v>
      </c>
      <c r="S16" s="3">
        <f t="shared" si="1"/>
        <v>20</v>
      </c>
      <c r="T16" s="3">
        <f>Inventory_List_Table34[[#This Row],[LND ROUND]]*8</f>
        <v>160</v>
      </c>
      <c r="U16" s="3">
        <f>Inventory_List_Table34[[#This Row],[AQ]]*Inventory_List_Table34[[#This Row],[Q]]</f>
        <v>138.88888888888889</v>
      </c>
      <c r="V16" s="74" t="s">
        <v>752</v>
      </c>
      <c r="W16" s="74" t="s">
        <v>789</v>
      </c>
    </row>
    <row r="17" spans="1:23" ht="30" customHeight="1" x14ac:dyDescent="0.25">
      <c r="A17" s="301" t="s">
        <v>151</v>
      </c>
      <c r="B17" s="69"/>
      <c r="C17" s="308" t="s">
        <v>96</v>
      </c>
      <c r="D17" s="967" t="s">
        <v>97</v>
      </c>
      <c r="E17" s="306">
        <v>10</v>
      </c>
      <c r="F17" s="304">
        <v>4</v>
      </c>
      <c r="G17" s="304">
        <v>2</v>
      </c>
      <c r="H17" s="304">
        <v>2</v>
      </c>
      <c r="I17" s="304"/>
      <c r="J17" s="307">
        <v>250</v>
      </c>
      <c r="K17" s="1">
        <f>Inventory_List_Table34[[#This Row],[Q]]*Inventory_List_Table34[[#This Row],[Per piece MXN$]]</f>
        <v>2500</v>
      </c>
      <c r="L17" s="1">
        <f>Inventory_List_Table34[[#This Row],[KG]]*2.20462</f>
        <v>8.8184799999999992</v>
      </c>
      <c r="M17" s="2">
        <f>Inventory_List_Table34[[#This Row],[H CM]]/2.54</f>
        <v>0.78740157480314954</v>
      </c>
      <c r="N17" s="2">
        <f>Inventory_List_Table34[[#This Row],[W CM]]/2.54</f>
        <v>0.78740157480314954</v>
      </c>
      <c r="O17" s="2">
        <f>Inventory_List_Table34[[#This Row],[D CM ]]/2.54</f>
        <v>0</v>
      </c>
      <c r="P17" s="3">
        <f>Inventory_List_Table34[[#This Row],[Per piece MXN$]]/$U$2</f>
        <v>13.888888888888889</v>
      </c>
      <c r="Q17" s="3">
        <f t="shared" si="0"/>
        <v>14</v>
      </c>
      <c r="R17" s="3">
        <f>Inventory_List_Table34[[#This Row],[AQ ROUND]]*1.4</f>
        <v>19.599999999999998</v>
      </c>
      <c r="S17" s="3">
        <f t="shared" si="1"/>
        <v>20</v>
      </c>
      <c r="T17" s="3">
        <f>Inventory_List_Table34[[#This Row],[LND ROUND]]*8</f>
        <v>160</v>
      </c>
      <c r="U17" s="3">
        <f>Inventory_List_Table34[[#This Row],[AQ]]*Inventory_List_Table34[[#This Row],[Q]]</f>
        <v>138.88888888888889</v>
      </c>
      <c r="V17" s="74" t="s">
        <v>752</v>
      </c>
      <c r="W17" s="74" t="s">
        <v>789</v>
      </c>
    </row>
    <row r="18" spans="1:23" ht="30" customHeight="1" x14ac:dyDescent="0.25">
      <c r="A18" s="301" t="s">
        <v>152</v>
      </c>
      <c r="B18" s="69"/>
      <c r="C18" s="308" t="s">
        <v>98</v>
      </c>
      <c r="D18" s="967" t="s">
        <v>99</v>
      </c>
      <c r="E18" s="306">
        <v>10</v>
      </c>
      <c r="F18" s="304">
        <v>4</v>
      </c>
      <c r="G18" s="304">
        <v>2</v>
      </c>
      <c r="H18" s="304">
        <v>2</v>
      </c>
      <c r="I18" s="304"/>
      <c r="J18" s="307">
        <v>250</v>
      </c>
      <c r="K18" s="1">
        <f>Inventory_List_Table34[[#This Row],[Q]]*Inventory_List_Table34[[#This Row],[Per piece MXN$]]</f>
        <v>2500</v>
      </c>
      <c r="L18" s="1">
        <f>Inventory_List_Table34[[#This Row],[KG]]*2.20462</f>
        <v>8.8184799999999992</v>
      </c>
      <c r="M18" s="2">
        <f>Inventory_List_Table34[[#This Row],[H CM]]/2.54</f>
        <v>0.78740157480314954</v>
      </c>
      <c r="N18" s="2">
        <f>Inventory_List_Table34[[#This Row],[W CM]]/2.54</f>
        <v>0.78740157480314954</v>
      </c>
      <c r="O18" s="2">
        <f>Inventory_List_Table34[[#This Row],[D CM ]]/2.54</f>
        <v>0</v>
      </c>
      <c r="P18" s="3">
        <f>Inventory_List_Table34[[#This Row],[Per piece MXN$]]/$U$2</f>
        <v>13.888888888888889</v>
      </c>
      <c r="Q18" s="3">
        <f t="shared" si="0"/>
        <v>14</v>
      </c>
      <c r="R18" s="3">
        <f>Inventory_List_Table34[[#This Row],[AQ ROUND]]*1.4</f>
        <v>19.599999999999998</v>
      </c>
      <c r="S18" s="3">
        <f t="shared" si="1"/>
        <v>20</v>
      </c>
      <c r="T18" s="3">
        <f>Inventory_List_Table34[[#This Row],[LND ROUND]]*8</f>
        <v>160</v>
      </c>
      <c r="U18" s="3">
        <f>Inventory_List_Table34[[#This Row],[AQ]]*Inventory_List_Table34[[#This Row],[Q]]</f>
        <v>138.88888888888889</v>
      </c>
      <c r="V18" s="74" t="s">
        <v>752</v>
      </c>
      <c r="W18" s="74" t="s">
        <v>789</v>
      </c>
    </row>
    <row r="19" spans="1:23" ht="30" customHeight="1" x14ac:dyDescent="0.25">
      <c r="A19" s="301" t="s">
        <v>162</v>
      </c>
      <c r="B19" s="69"/>
      <c r="C19" s="308" t="s">
        <v>101</v>
      </c>
      <c r="D19" s="967" t="s">
        <v>1403</v>
      </c>
      <c r="E19" s="306">
        <v>15</v>
      </c>
      <c r="F19" s="304">
        <v>1</v>
      </c>
      <c r="G19" s="304">
        <v>8</v>
      </c>
      <c r="H19" s="304"/>
      <c r="I19" s="304"/>
      <c r="J19" s="307">
        <v>85</v>
      </c>
      <c r="K19" s="1">
        <f>Inventory_List_Table34[[#This Row],[Q]]*Inventory_List_Table34[[#This Row],[Per piece MXN$]]</f>
        <v>1275</v>
      </c>
      <c r="L19" s="1">
        <f>Inventory_List_Table34[[#This Row],[KG]]*2.20462</f>
        <v>2.2046199999999998</v>
      </c>
      <c r="M19" s="2">
        <f>Inventory_List_Table34[[#This Row],[H CM]]/2.54</f>
        <v>3.1496062992125982</v>
      </c>
      <c r="N19" s="2">
        <f>Inventory_List_Table34[[#This Row],[W CM]]/2.54</f>
        <v>0</v>
      </c>
      <c r="O19" s="2">
        <f>Inventory_List_Table34[[#This Row],[D CM ]]/2.54</f>
        <v>0</v>
      </c>
      <c r="P19" s="3">
        <f>Inventory_List_Table34[[#This Row],[Per piece MXN$]]/$U$2</f>
        <v>4.7222222222222223</v>
      </c>
      <c r="Q19" s="3">
        <f t="shared" si="0"/>
        <v>5</v>
      </c>
      <c r="R19" s="3">
        <f>Inventory_List_Table34[[#This Row],[AQ ROUND]]*1.4</f>
        <v>7</v>
      </c>
      <c r="S19" s="3">
        <f t="shared" si="1"/>
        <v>7</v>
      </c>
      <c r="T19" s="3">
        <f>Inventory_List_Table34[[#This Row],[LND ROUND]]*8</f>
        <v>56</v>
      </c>
      <c r="U19" s="3">
        <f>Inventory_List_Table34[[#This Row],[AQ]]*Inventory_List_Table34[[#This Row],[Q]]</f>
        <v>70.833333333333329</v>
      </c>
      <c r="V19" s="74" t="s">
        <v>1133</v>
      </c>
      <c r="W19" s="74" t="s">
        <v>1265</v>
      </c>
    </row>
    <row r="20" spans="1:23" ht="30" customHeight="1" x14ac:dyDescent="0.25">
      <c r="A20" s="301" t="s">
        <v>163</v>
      </c>
      <c r="B20" s="69"/>
      <c r="C20" s="308" t="s">
        <v>291</v>
      </c>
      <c r="D20" s="967" t="s">
        <v>1404</v>
      </c>
      <c r="E20" s="306">
        <v>20</v>
      </c>
      <c r="F20" s="304">
        <v>1</v>
      </c>
      <c r="G20" s="304">
        <v>8</v>
      </c>
      <c r="H20" s="304"/>
      <c r="I20" s="304"/>
      <c r="J20" s="307">
        <v>85</v>
      </c>
      <c r="K20" s="1">
        <f>Inventory_List_Table34[[#This Row],[Q]]*Inventory_List_Table34[[#This Row],[Per piece MXN$]]</f>
        <v>1700</v>
      </c>
      <c r="L20" s="1">
        <f>Inventory_List_Table34[[#This Row],[KG]]*2.20462</f>
        <v>2.2046199999999998</v>
      </c>
      <c r="M20" s="2">
        <f>Inventory_List_Table34[[#This Row],[H CM]]/2.54</f>
        <v>3.1496062992125982</v>
      </c>
      <c r="N20" s="2">
        <f>Inventory_List_Table34[[#This Row],[W CM]]/2.54</f>
        <v>0</v>
      </c>
      <c r="O20" s="2">
        <f>Inventory_List_Table34[[#This Row],[D CM ]]/2.54</f>
        <v>0</v>
      </c>
      <c r="P20" s="3">
        <f>Inventory_List_Table34[[#This Row],[Per piece MXN$]]/$U$2</f>
        <v>4.7222222222222223</v>
      </c>
      <c r="Q20" s="3">
        <f t="shared" si="0"/>
        <v>5</v>
      </c>
      <c r="R20" s="3">
        <f>Inventory_List_Table34[[#This Row],[AQ ROUND]]*1.4</f>
        <v>7</v>
      </c>
      <c r="S20" s="3">
        <f t="shared" si="1"/>
        <v>7</v>
      </c>
      <c r="T20" s="3">
        <f>Inventory_List_Table34[[#This Row],[LND ROUND]]*8</f>
        <v>56</v>
      </c>
      <c r="U20" s="3">
        <f>Inventory_List_Table34[[#This Row],[AQ]]*Inventory_List_Table34[[#This Row],[Q]]</f>
        <v>94.444444444444443</v>
      </c>
      <c r="V20" s="74" t="s">
        <v>1133</v>
      </c>
      <c r="W20" s="74" t="s">
        <v>1265</v>
      </c>
    </row>
    <row r="21" spans="1:23" ht="30" customHeight="1" x14ac:dyDescent="0.25">
      <c r="A21" s="301" t="s">
        <v>164</v>
      </c>
      <c r="B21" s="69"/>
      <c r="C21" s="308" t="s">
        <v>102</v>
      </c>
      <c r="D21" s="967" t="s">
        <v>1405</v>
      </c>
      <c r="E21" s="306">
        <v>10</v>
      </c>
      <c r="F21" s="304">
        <v>1</v>
      </c>
      <c r="G21" s="304">
        <v>8</v>
      </c>
      <c r="H21" s="304"/>
      <c r="I21" s="304"/>
      <c r="J21" s="307">
        <v>85</v>
      </c>
      <c r="K21" s="1">
        <f>Inventory_List_Table34[[#This Row],[Q]]*Inventory_List_Table34[[#This Row],[Per piece MXN$]]</f>
        <v>850</v>
      </c>
      <c r="L21" s="1">
        <f>Inventory_List_Table34[[#This Row],[KG]]*2.20462</f>
        <v>2.2046199999999998</v>
      </c>
      <c r="M21" s="2">
        <f>Inventory_List_Table34[[#This Row],[H CM]]/2.54</f>
        <v>3.1496062992125982</v>
      </c>
      <c r="N21" s="2">
        <f>Inventory_List_Table34[[#This Row],[W CM]]/2.54</f>
        <v>0</v>
      </c>
      <c r="O21" s="2">
        <f>Inventory_List_Table34[[#This Row],[D CM ]]/2.54</f>
        <v>0</v>
      </c>
      <c r="P21" s="3">
        <f>Inventory_List_Table34[[#This Row],[Per piece MXN$]]/$U$2</f>
        <v>4.7222222222222223</v>
      </c>
      <c r="Q21" s="3">
        <f t="shared" si="0"/>
        <v>5</v>
      </c>
      <c r="R21" s="3">
        <f>Inventory_List_Table34[[#This Row],[AQ ROUND]]*1.4</f>
        <v>7</v>
      </c>
      <c r="S21" s="3">
        <f t="shared" si="1"/>
        <v>7</v>
      </c>
      <c r="T21" s="3">
        <f>Inventory_List_Table34[[#This Row],[LND ROUND]]*8</f>
        <v>56</v>
      </c>
      <c r="U21" s="3">
        <f>Inventory_List_Table34[[#This Row],[AQ]]*Inventory_List_Table34[[#This Row],[Q]]</f>
        <v>47.222222222222221</v>
      </c>
      <c r="V21" s="74" t="s">
        <v>1133</v>
      </c>
      <c r="W21" s="74" t="s">
        <v>1265</v>
      </c>
    </row>
    <row r="22" spans="1:23" ht="30" customHeight="1" x14ac:dyDescent="0.25">
      <c r="A22" s="301" t="s">
        <v>165</v>
      </c>
      <c r="B22" s="69"/>
      <c r="C22" s="308" t="s">
        <v>103</v>
      </c>
      <c r="D22" s="967" t="s">
        <v>1406</v>
      </c>
      <c r="E22" s="306">
        <v>15</v>
      </c>
      <c r="F22" s="304">
        <v>2</v>
      </c>
      <c r="G22" s="304">
        <v>10</v>
      </c>
      <c r="H22" s="304"/>
      <c r="I22" s="304"/>
      <c r="J22" s="307">
        <v>110</v>
      </c>
      <c r="K22" s="1">
        <f>Inventory_List_Table34[[#This Row],[Q]]*Inventory_List_Table34[[#This Row],[Per piece MXN$]]</f>
        <v>1650</v>
      </c>
      <c r="L22" s="1">
        <f>Inventory_List_Table34[[#This Row],[KG]]*2.20462</f>
        <v>4.4092399999999996</v>
      </c>
      <c r="M22" s="2">
        <f>Inventory_List_Table34[[#This Row],[H CM]]/2.54</f>
        <v>3.9370078740157481</v>
      </c>
      <c r="N22" s="2">
        <f>Inventory_List_Table34[[#This Row],[W CM]]/2.54</f>
        <v>0</v>
      </c>
      <c r="O22" s="2">
        <f>Inventory_List_Table34[[#This Row],[D CM ]]/2.54</f>
        <v>0</v>
      </c>
      <c r="P22" s="3">
        <f>Inventory_List_Table34[[#This Row],[Per piece MXN$]]/$U$2</f>
        <v>6.1111111111111107</v>
      </c>
      <c r="Q22" s="3">
        <f t="shared" si="0"/>
        <v>6</v>
      </c>
      <c r="R22" s="3">
        <f>Inventory_List_Table34[[#This Row],[AQ ROUND]]*1.4</f>
        <v>8.3999999999999986</v>
      </c>
      <c r="S22" s="3">
        <f t="shared" si="1"/>
        <v>8</v>
      </c>
      <c r="T22" s="3">
        <f>Inventory_List_Table34[[#This Row],[LND ROUND]]*8</f>
        <v>64</v>
      </c>
      <c r="U22" s="3">
        <f>Inventory_List_Table34[[#This Row],[AQ]]*Inventory_List_Table34[[#This Row],[Q]]</f>
        <v>91.666666666666657</v>
      </c>
      <c r="V22" s="74" t="s">
        <v>1141</v>
      </c>
      <c r="W22" s="74" t="s">
        <v>1136</v>
      </c>
    </row>
    <row r="23" spans="1:23" ht="30" customHeight="1" x14ac:dyDescent="0.25">
      <c r="A23" s="301" t="s">
        <v>166</v>
      </c>
      <c r="B23" s="69"/>
      <c r="C23" s="308" t="s">
        <v>104</v>
      </c>
      <c r="D23" s="967" t="s">
        <v>1407</v>
      </c>
      <c r="E23" s="306">
        <v>15</v>
      </c>
      <c r="F23" s="304">
        <v>1.5</v>
      </c>
      <c r="G23" s="304">
        <v>10</v>
      </c>
      <c r="H23" s="304"/>
      <c r="I23" s="304"/>
      <c r="J23" s="307">
        <v>100</v>
      </c>
      <c r="K23" s="1">
        <f>Inventory_List_Table34[[#This Row],[Q]]*Inventory_List_Table34[[#This Row],[Per piece MXN$]]</f>
        <v>1500</v>
      </c>
      <c r="L23" s="1">
        <f>Inventory_List_Table34[[#This Row],[KG]]*2.20462</f>
        <v>3.3069299999999995</v>
      </c>
      <c r="M23" s="2">
        <f>Inventory_List_Table34[[#This Row],[H CM]]/2.54</f>
        <v>3.9370078740157481</v>
      </c>
      <c r="N23" s="2">
        <f>Inventory_List_Table34[[#This Row],[W CM]]/2.54</f>
        <v>0</v>
      </c>
      <c r="O23" s="2">
        <f>Inventory_List_Table34[[#This Row],[D CM ]]/2.54</f>
        <v>0</v>
      </c>
      <c r="P23" s="3">
        <f>Inventory_List_Table34[[#This Row],[Per piece MXN$]]/$U$2</f>
        <v>5.5555555555555554</v>
      </c>
      <c r="Q23" s="3">
        <f t="shared" si="0"/>
        <v>6</v>
      </c>
      <c r="R23" s="3">
        <f>Inventory_List_Table34[[#This Row],[AQ ROUND]]*1.4</f>
        <v>8.3999999999999986</v>
      </c>
      <c r="S23" s="3">
        <f t="shared" si="1"/>
        <v>8</v>
      </c>
      <c r="T23" s="3">
        <f>Inventory_List_Table34[[#This Row],[LND ROUND]]*8</f>
        <v>64</v>
      </c>
      <c r="U23" s="3">
        <f>Inventory_List_Table34[[#This Row],[AQ]]*Inventory_List_Table34[[#This Row],[Q]]</f>
        <v>83.333333333333329</v>
      </c>
      <c r="V23" s="74" t="s">
        <v>1141</v>
      </c>
      <c r="W23" s="74" t="s">
        <v>1136</v>
      </c>
    </row>
    <row r="24" spans="1:23" ht="30" customHeight="1" x14ac:dyDescent="0.25">
      <c r="A24" s="301" t="s">
        <v>167</v>
      </c>
      <c r="B24" s="69"/>
      <c r="C24" s="308" t="s">
        <v>105</v>
      </c>
      <c r="D24" s="967" t="s">
        <v>1408</v>
      </c>
      <c r="E24" s="306">
        <v>4</v>
      </c>
      <c r="F24" s="304"/>
      <c r="G24" s="304">
        <v>26</v>
      </c>
      <c r="H24" s="304">
        <v>14</v>
      </c>
      <c r="I24" s="304"/>
      <c r="J24" s="307">
        <v>300</v>
      </c>
      <c r="K24" s="1">
        <f>Inventory_List_Table34[[#This Row],[Q]]*Inventory_List_Table34[[#This Row],[Per piece MXN$]]</f>
        <v>1200</v>
      </c>
      <c r="L24" s="1">
        <f>Inventory_List_Table34[[#This Row],[KG]]*2.20462</f>
        <v>0</v>
      </c>
      <c r="M24" s="2">
        <f>Inventory_List_Table34[[#This Row],[H CM]]/2.54</f>
        <v>10.236220472440944</v>
      </c>
      <c r="N24" s="2">
        <f>Inventory_List_Table34[[#This Row],[W CM]]/2.54</f>
        <v>5.5118110236220472</v>
      </c>
      <c r="O24" s="2">
        <f>Inventory_List_Table34[[#This Row],[D CM ]]/2.54</f>
        <v>0</v>
      </c>
      <c r="P24" s="3">
        <f>Inventory_List_Table34[[#This Row],[Per piece MXN$]]/$U$2</f>
        <v>16.666666666666668</v>
      </c>
      <c r="Q24" s="3">
        <f t="shared" si="0"/>
        <v>17</v>
      </c>
      <c r="R24" s="3">
        <f>Inventory_List_Table34[[#This Row],[AQ ROUND]]*1.4</f>
        <v>23.799999999999997</v>
      </c>
      <c r="S24" s="3">
        <f t="shared" si="1"/>
        <v>24</v>
      </c>
      <c r="T24" s="3">
        <f>Inventory_List_Table34[[#This Row],[LND ROUND]]*8</f>
        <v>192</v>
      </c>
      <c r="U24" s="3">
        <f>Inventory_List_Table34[[#This Row],[AQ]]*Inventory_List_Table34[[#This Row],[Q]]</f>
        <v>66.666666666666671</v>
      </c>
      <c r="V24" s="74" t="s">
        <v>757</v>
      </c>
      <c r="W24" s="74" t="s">
        <v>692</v>
      </c>
    </row>
    <row r="25" spans="1:23" ht="30" customHeight="1" x14ac:dyDescent="0.25">
      <c r="A25" s="301" t="s">
        <v>168</v>
      </c>
      <c r="B25" s="69"/>
      <c r="C25" s="308" t="s">
        <v>106</v>
      </c>
      <c r="D25" s="967" t="s">
        <v>1409</v>
      </c>
      <c r="E25" s="306">
        <v>2</v>
      </c>
      <c r="F25" s="304"/>
      <c r="G25" s="304">
        <v>30</v>
      </c>
      <c r="H25" s="304">
        <v>20</v>
      </c>
      <c r="I25" s="304"/>
      <c r="J25" s="307">
        <v>350</v>
      </c>
      <c r="K25" s="1">
        <f>Inventory_List_Table34[[#This Row],[Q]]*Inventory_List_Table34[[#This Row],[Per piece MXN$]]</f>
        <v>700</v>
      </c>
      <c r="L25" s="1">
        <f>Inventory_List_Table34[[#This Row],[KG]]*2.20462</f>
        <v>0</v>
      </c>
      <c r="M25" s="2">
        <f>Inventory_List_Table34[[#This Row],[H CM]]/2.54</f>
        <v>11.811023622047244</v>
      </c>
      <c r="N25" s="2">
        <f>Inventory_List_Table34[[#This Row],[W CM]]/2.54</f>
        <v>7.8740157480314963</v>
      </c>
      <c r="O25" s="2">
        <f>Inventory_List_Table34[[#This Row],[D CM ]]/2.54</f>
        <v>0</v>
      </c>
      <c r="P25" s="3">
        <f>Inventory_List_Table34[[#This Row],[Per piece MXN$]]/$U$2</f>
        <v>19.444444444444443</v>
      </c>
      <c r="Q25" s="3">
        <f t="shared" si="0"/>
        <v>20</v>
      </c>
      <c r="R25" s="3">
        <f>Inventory_List_Table34[[#This Row],[AQ ROUND]]*1.4</f>
        <v>28</v>
      </c>
      <c r="S25" s="3">
        <f t="shared" si="1"/>
        <v>28</v>
      </c>
      <c r="T25" s="3">
        <f>Inventory_List_Table34[[#This Row],[LND ROUND]]*8</f>
        <v>224</v>
      </c>
      <c r="U25" s="3">
        <f>Inventory_List_Table34[[#This Row],[AQ]]*Inventory_List_Table34[[#This Row],[Q]]</f>
        <v>38.888888888888886</v>
      </c>
      <c r="V25" s="74" t="s">
        <v>789</v>
      </c>
      <c r="W25" s="74" t="s">
        <v>713</v>
      </c>
    </row>
    <row r="26" spans="1:23" ht="30" customHeight="1" x14ac:dyDescent="0.25">
      <c r="A26" s="301" t="s">
        <v>169</v>
      </c>
      <c r="B26" s="69"/>
      <c r="C26" s="308" t="s">
        <v>107</v>
      </c>
      <c r="D26" s="967" t="s">
        <v>1410</v>
      </c>
      <c r="E26" s="306">
        <v>4</v>
      </c>
      <c r="F26" s="304"/>
      <c r="G26" s="304">
        <v>40</v>
      </c>
      <c r="H26" s="304">
        <v>20</v>
      </c>
      <c r="I26" s="304"/>
      <c r="J26" s="307">
        <v>400</v>
      </c>
      <c r="K26" s="1">
        <f>Inventory_List_Table34[[#This Row],[Q]]*Inventory_List_Table34[[#This Row],[Per piece MXN$]]</f>
        <v>1600</v>
      </c>
      <c r="L26" s="1">
        <f>Inventory_List_Table34[[#This Row],[KG]]*2.20462</f>
        <v>0</v>
      </c>
      <c r="M26" s="2">
        <f>Inventory_List_Table34[[#This Row],[H CM]]/2.54</f>
        <v>15.748031496062993</v>
      </c>
      <c r="N26" s="2">
        <f>Inventory_List_Table34[[#This Row],[W CM]]/2.54</f>
        <v>7.8740157480314963</v>
      </c>
      <c r="O26" s="2">
        <f>Inventory_List_Table34[[#This Row],[D CM ]]/2.54</f>
        <v>0</v>
      </c>
      <c r="P26" s="3">
        <f>Inventory_List_Table34[[#This Row],[Per piece MXN$]]/$U$2</f>
        <v>22.222222222222221</v>
      </c>
      <c r="Q26" s="3">
        <f t="shared" si="0"/>
        <v>22</v>
      </c>
      <c r="R26" s="3">
        <f>Inventory_List_Table34[[#This Row],[AQ ROUND]]*1.4</f>
        <v>30.799999999999997</v>
      </c>
      <c r="S26" s="3">
        <f t="shared" si="1"/>
        <v>31</v>
      </c>
      <c r="T26" s="3">
        <f>Inventory_List_Table34[[#This Row],[LND ROUND]]*8</f>
        <v>248</v>
      </c>
      <c r="U26" s="3">
        <f>Inventory_List_Table34[[#This Row],[AQ]]*Inventory_List_Table34[[#This Row],[Q]]</f>
        <v>88.888888888888886</v>
      </c>
      <c r="V26" s="74" t="s">
        <v>720</v>
      </c>
      <c r="W26" s="74" t="s">
        <v>745</v>
      </c>
    </row>
    <row r="27" spans="1:23" ht="30" customHeight="1" x14ac:dyDescent="0.25">
      <c r="A27" s="301" t="s">
        <v>170</v>
      </c>
      <c r="B27" s="69"/>
      <c r="C27" s="308" t="s">
        <v>107</v>
      </c>
      <c r="D27" s="967" t="s">
        <v>1411</v>
      </c>
      <c r="E27" s="306">
        <v>2</v>
      </c>
      <c r="F27" s="304"/>
      <c r="G27" s="304">
        <v>35</v>
      </c>
      <c r="H27" s="304">
        <v>20</v>
      </c>
      <c r="I27" s="304"/>
      <c r="J27" s="307">
        <v>350</v>
      </c>
      <c r="K27" s="1">
        <f>Inventory_List_Table34[[#This Row],[Q]]*Inventory_List_Table34[[#This Row],[Per piece MXN$]]</f>
        <v>700</v>
      </c>
      <c r="L27" s="1">
        <f>Inventory_List_Table34[[#This Row],[KG]]*2.20462</f>
        <v>0</v>
      </c>
      <c r="M27" s="2">
        <f>Inventory_List_Table34[[#This Row],[H CM]]/2.54</f>
        <v>13.779527559055119</v>
      </c>
      <c r="N27" s="2">
        <f>Inventory_List_Table34[[#This Row],[W CM]]/2.54</f>
        <v>7.8740157480314963</v>
      </c>
      <c r="O27" s="2">
        <f>Inventory_List_Table34[[#This Row],[D CM ]]/2.54</f>
        <v>0</v>
      </c>
      <c r="P27" s="3">
        <f>Inventory_List_Table34[[#This Row],[Per piece MXN$]]/$U$2</f>
        <v>19.444444444444443</v>
      </c>
      <c r="Q27" s="3">
        <f t="shared" si="0"/>
        <v>20</v>
      </c>
      <c r="R27" s="3">
        <f>Inventory_List_Table34[[#This Row],[AQ ROUND]]*1.4</f>
        <v>28</v>
      </c>
      <c r="S27" s="3">
        <f t="shared" si="1"/>
        <v>28</v>
      </c>
      <c r="T27" s="3">
        <f>Inventory_List_Table34[[#This Row],[LND ROUND]]*8</f>
        <v>224</v>
      </c>
      <c r="U27" s="3">
        <f>Inventory_List_Table34[[#This Row],[AQ]]*Inventory_List_Table34[[#This Row],[Q]]</f>
        <v>38.888888888888886</v>
      </c>
      <c r="V27" s="74" t="s">
        <v>789</v>
      </c>
      <c r="W27" s="74" t="s">
        <v>713</v>
      </c>
    </row>
    <row r="28" spans="1:23" ht="30" customHeight="1" x14ac:dyDescent="0.25">
      <c r="A28" s="301" t="s">
        <v>171</v>
      </c>
      <c r="B28" s="69">
        <v>45902</v>
      </c>
      <c r="C28" s="308" t="s">
        <v>289</v>
      </c>
      <c r="D28" s="967" t="s">
        <v>305</v>
      </c>
      <c r="E28" s="306">
        <v>60</v>
      </c>
      <c r="F28" s="304"/>
      <c r="G28" s="304">
        <v>8</v>
      </c>
      <c r="H28" s="304"/>
      <c r="I28" s="304"/>
      <c r="J28" s="307">
        <v>10</v>
      </c>
      <c r="K28" s="1">
        <f>Inventory_List_Table34[[#This Row],[Q]]*Inventory_List_Table34[[#This Row],[Per piece MXN$]]</f>
        <v>600</v>
      </c>
      <c r="L28" s="1">
        <f>Inventory_List_Table34[[#This Row],[KG]]*2.20462</f>
        <v>0</v>
      </c>
      <c r="M28" s="2">
        <f>Inventory_List_Table34[[#This Row],[H CM]]/2.54</f>
        <v>3.1496062992125982</v>
      </c>
      <c r="N28" s="2">
        <f>Inventory_List_Table34[[#This Row],[W CM]]/2.54</f>
        <v>0</v>
      </c>
      <c r="O28" s="178">
        <f>Inventory_List_Table34[[#This Row],[D CM ]]/2.54</f>
        <v>0</v>
      </c>
      <c r="P28" s="3">
        <f>Inventory_List_Table34[[#This Row],[Per piece MXN$]]/$U$2</f>
        <v>0.55555555555555558</v>
      </c>
      <c r="Q28" s="3">
        <f>IF(MOD(P28,1)&gt;0.4,ROUNDUP(P28,0),ROUNDDOWN(P28,0))</f>
        <v>1</v>
      </c>
      <c r="R28" s="3">
        <f>Inventory_List_Table34[[#This Row],[AQ ROUND]]*1.4</f>
        <v>1.4</v>
      </c>
      <c r="S28" s="3">
        <f>IF(MOD(R28,1)&gt;0.4,ROUNDUP(R28,0),ROUNDDOWN(R28,0))</f>
        <v>1</v>
      </c>
      <c r="T28" s="3">
        <f>Inventory_List_Table34[[#This Row],[LND ROUND]]*8</f>
        <v>8</v>
      </c>
      <c r="U28" s="3">
        <f>Inventory_List_Table34[[#This Row],[AQ]]*Inventory_List_Table34[[#This Row],[Q]]</f>
        <v>33.333333333333336</v>
      </c>
      <c r="V28" s="74" t="s">
        <v>1264</v>
      </c>
      <c r="W28" s="74" t="s">
        <v>1264</v>
      </c>
    </row>
    <row r="29" spans="1:23" ht="30" customHeight="1" x14ac:dyDescent="0.25">
      <c r="A29" s="301" t="s">
        <v>183</v>
      </c>
      <c r="B29" s="69"/>
      <c r="C29" s="308" t="s">
        <v>290</v>
      </c>
      <c r="D29" s="967" t="s">
        <v>306</v>
      </c>
      <c r="E29" s="306">
        <v>120</v>
      </c>
      <c r="F29" s="304"/>
      <c r="G29" s="304">
        <v>8</v>
      </c>
      <c r="H29" s="304"/>
      <c r="I29" s="304"/>
      <c r="J29" s="307">
        <v>10</v>
      </c>
      <c r="K29" s="1">
        <f>Inventory_List_Table34[[#This Row],[Q]]*Inventory_List_Table34[[#This Row],[Per piece MXN$]]</f>
        <v>1200</v>
      </c>
      <c r="L29" s="1">
        <f>Inventory_List_Table34[[#This Row],[KG]]*2.20462</f>
        <v>0</v>
      </c>
      <c r="M29" s="2">
        <f>Inventory_List_Table34[[#This Row],[H CM]]/2.54</f>
        <v>3.1496062992125982</v>
      </c>
      <c r="N29" s="2">
        <f>Inventory_List_Table34[[#This Row],[W CM]]/2.54</f>
        <v>0</v>
      </c>
      <c r="O29" s="178">
        <f>Inventory_List_Table34[[#This Row],[D CM ]]/2.54</f>
        <v>0</v>
      </c>
      <c r="P29" s="3">
        <f>Inventory_List_Table34[[#This Row],[Per piece MXN$]]/$U$2</f>
        <v>0.55555555555555558</v>
      </c>
      <c r="Q29" s="3">
        <f>IF(MOD(P29,1)&gt;0.4,ROUNDUP(P29,0),ROUNDDOWN(P29,0))</f>
        <v>1</v>
      </c>
      <c r="R29" s="3">
        <f>Inventory_List_Table34[[#This Row],[AQ ROUND]]*1.4</f>
        <v>1.4</v>
      </c>
      <c r="S29" s="3">
        <f>IF(MOD(R29,1)&gt;0.4,ROUNDUP(R29,0),ROUNDDOWN(R29,0))</f>
        <v>1</v>
      </c>
      <c r="T29" s="3">
        <f>Inventory_List_Table34[[#This Row],[LND ROUND]]*8</f>
        <v>8</v>
      </c>
      <c r="U29" s="3">
        <f>Inventory_List_Table34[[#This Row],[AQ]]*Inventory_List_Table34[[#This Row],[Q]]</f>
        <v>66.666666666666671</v>
      </c>
      <c r="V29" s="74" t="s">
        <v>1264</v>
      </c>
      <c r="W29" s="74" t="s">
        <v>1264</v>
      </c>
    </row>
    <row r="30" spans="1:23" ht="30" customHeight="1" x14ac:dyDescent="0.25">
      <c r="A30" s="301" t="s">
        <v>184</v>
      </c>
      <c r="B30" s="69"/>
      <c r="C30" s="308" t="s">
        <v>288</v>
      </c>
      <c r="D30" s="967" t="s">
        <v>307</v>
      </c>
      <c r="E30" s="306">
        <v>13</v>
      </c>
      <c r="F30" s="304"/>
      <c r="G30" s="304">
        <v>8</v>
      </c>
      <c r="H30" s="304"/>
      <c r="I30" s="304"/>
      <c r="J30" s="307">
        <v>85</v>
      </c>
      <c r="K30" s="1">
        <f>Inventory_List_Table34[[#This Row],[Q]]*Inventory_List_Table34[[#This Row],[Per piece MXN$]]</f>
        <v>1105</v>
      </c>
      <c r="L30" s="1">
        <f>Inventory_List_Table34[[#This Row],[KG]]*2.20462</f>
        <v>0</v>
      </c>
      <c r="M30" s="2">
        <f>Inventory_List_Table34[[#This Row],[H CM]]/2.54</f>
        <v>3.1496062992125982</v>
      </c>
      <c r="N30" s="2">
        <f>Inventory_List_Table34[[#This Row],[W CM]]/2.54</f>
        <v>0</v>
      </c>
      <c r="O30" s="178">
        <f>Inventory_List_Table34[[#This Row],[D CM ]]/2.54</f>
        <v>0</v>
      </c>
      <c r="P30" s="3">
        <f>Inventory_List_Table34[[#This Row],[Per piece MXN$]]/$U$2</f>
        <v>4.7222222222222223</v>
      </c>
      <c r="Q30" s="3">
        <f>IF(MOD(P30,1)&gt;0.4,ROUNDUP(P30,0),ROUNDDOWN(P30,0))</f>
        <v>5</v>
      </c>
      <c r="R30" s="3">
        <f>Inventory_List_Table34[[#This Row],[AQ ROUND]]*1.4</f>
        <v>7</v>
      </c>
      <c r="S30" s="3">
        <f>IF(MOD(R30,1)&gt;0.4,ROUNDUP(R30,0),ROUNDDOWN(R30,0))</f>
        <v>7</v>
      </c>
      <c r="T30" s="3">
        <f>Inventory_List_Table34[[#This Row],[LND ROUND]]*8</f>
        <v>56</v>
      </c>
      <c r="U30" s="3">
        <f>Inventory_List_Table34[[#This Row],[AQ]]*Inventory_List_Table34[[#This Row],[Q]]</f>
        <v>61.388888888888893</v>
      </c>
      <c r="V30" s="74" t="s">
        <v>1133</v>
      </c>
      <c r="W30" s="74" t="s">
        <v>1265</v>
      </c>
    </row>
    <row r="31" spans="1:23" ht="30" customHeight="1" x14ac:dyDescent="0.25">
      <c r="A31" s="301" t="s">
        <v>185</v>
      </c>
      <c r="B31" s="69"/>
      <c r="C31" s="308" t="s">
        <v>292</v>
      </c>
      <c r="D31" s="967" t="s">
        <v>308</v>
      </c>
      <c r="E31" s="306">
        <v>13</v>
      </c>
      <c r="F31" s="304"/>
      <c r="G31" s="304">
        <v>8</v>
      </c>
      <c r="H31" s="304"/>
      <c r="I31" s="304"/>
      <c r="J31" s="307">
        <v>85</v>
      </c>
      <c r="K31" s="1">
        <f>Inventory_List_Table34[[#This Row],[Q]]*Inventory_List_Table34[[#This Row],[Per piece MXN$]]</f>
        <v>1105</v>
      </c>
      <c r="L31" s="1">
        <f>Inventory_List_Table34[[#This Row],[KG]]*2.20462</f>
        <v>0</v>
      </c>
      <c r="M31" s="2">
        <f>Inventory_List_Table34[[#This Row],[H CM]]/2.54</f>
        <v>3.1496062992125982</v>
      </c>
      <c r="N31" s="2">
        <f>Inventory_List_Table34[[#This Row],[W CM]]/2.54</f>
        <v>0</v>
      </c>
      <c r="O31" s="178">
        <f>Inventory_List_Table34[[#This Row],[D CM ]]/2.54</f>
        <v>0</v>
      </c>
      <c r="P31" s="3">
        <f>Inventory_List_Table34[[#This Row],[Per piece MXN$]]/$U$2</f>
        <v>4.7222222222222223</v>
      </c>
      <c r="Q31" s="3">
        <f>IF(MOD(P31,1)&gt;0.4,ROUNDUP(P31,0),ROUNDDOWN(P31,0))</f>
        <v>5</v>
      </c>
      <c r="R31" s="3">
        <f>Inventory_List_Table34[[#This Row],[AQ ROUND]]*1.4</f>
        <v>7</v>
      </c>
      <c r="S31" s="3">
        <f>IF(MOD(R31,1)&gt;0.4,ROUNDUP(R31,0),ROUNDDOWN(R31,0))</f>
        <v>7</v>
      </c>
      <c r="T31" s="3">
        <f>Inventory_List_Table34[[#This Row],[LND ROUND]]*8</f>
        <v>56</v>
      </c>
      <c r="U31" s="3">
        <f>Inventory_List_Table34[[#This Row],[AQ]]*Inventory_List_Table34[[#This Row],[Q]]</f>
        <v>61.388888888888893</v>
      </c>
      <c r="V31" s="74" t="s">
        <v>1133</v>
      </c>
      <c r="W31" s="74" t="s">
        <v>1265</v>
      </c>
    </row>
    <row r="32" spans="1:23" ht="30" customHeight="1" x14ac:dyDescent="0.25">
      <c r="A32" s="301" t="s">
        <v>186</v>
      </c>
      <c r="B32" s="69"/>
      <c r="C32" s="308" t="s">
        <v>293</v>
      </c>
      <c r="D32" s="967" t="s">
        <v>309</v>
      </c>
      <c r="E32" s="306">
        <v>13</v>
      </c>
      <c r="F32" s="304"/>
      <c r="G32" s="304">
        <v>8</v>
      </c>
      <c r="H32" s="304"/>
      <c r="I32" s="304"/>
      <c r="J32" s="307">
        <v>85</v>
      </c>
      <c r="K32" s="307">
        <f>Inventory_List_Table34[[#This Row],[Q]]*Inventory_List_Table34[[#This Row],[Per piece MXN$]]</f>
        <v>1105</v>
      </c>
      <c r="L32" s="1">
        <f>Inventory_List_Table34[[#This Row],[KG]]*2.20462</f>
        <v>0</v>
      </c>
      <c r="M32" s="2">
        <f>Inventory_List_Table34[[#This Row],[H CM]]/2.54</f>
        <v>3.1496062992125982</v>
      </c>
      <c r="N32" s="2">
        <f>Inventory_List_Table34[[#This Row],[W CM]]/2.54</f>
        <v>0</v>
      </c>
      <c r="O32" s="178">
        <f>Inventory_List_Table34[[#This Row],[D CM ]]/2.54</f>
        <v>0</v>
      </c>
      <c r="P32" s="3">
        <f>Inventory_List_Table34[[#This Row],[Per piece MXN$]]/$U$2</f>
        <v>4.7222222222222223</v>
      </c>
      <c r="Q32" s="3">
        <f>IF(MOD(P32,1)&gt;0.4,ROUNDUP(P32,0),ROUNDDOWN(P32,0))</f>
        <v>5</v>
      </c>
      <c r="R32" s="3">
        <f>Inventory_List_Table34[[#This Row],[AQ ROUND]]*1.4</f>
        <v>7</v>
      </c>
      <c r="S32" s="3">
        <f>IF(MOD(R32,1)&gt;0.4,ROUNDUP(R32,0),ROUNDDOWN(R32,0))</f>
        <v>7</v>
      </c>
      <c r="T32" s="3">
        <f>Inventory_List_Table34[[#This Row],[LND ROUND]]*8</f>
        <v>56</v>
      </c>
      <c r="U32" s="3">
        <f>Inventory_List_Table34[[#This Row],[AQ]]*Inventory_List_Table34[[#This Row],[Q]]</f>
        <v>61.388888888888893</v>
      </c>
      <c r="V32" s="74" t="s">
        <v>1133</v>
      </c>
      <c r="W32" s="74" t="s">
        <v>1265</v>
      </c>
    </row>
  </sheetData>
  <phoneticPr fontId="3" type="noConversion"/>
  <dataValidations count="12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CA491B03-F48D-4DA5-A6D9-49F56440BE05}"/>
    <dataValidation allowBlank="1" showInputMessage="1" showErrorMessage="1" prompt="Enter the item inventory ID in this column" sqref="C3" xr:uid="{17DF84DD-B59B-4E88-A948-05E4BECE2368}"/>
    <dataValidation allowBlank="1" showInputMessage="1" showErrorMessage="1" prompt="Enter the name of the item in this column" sqref="D3" xr:uid="{D3C0A899-90BC-46A2-BC37-0AD08C59D244}"/>
    <dataValidation allowBlank="1" showInputMessage="1" showErrorMessage="1" prompt="Enter yes if the item has been discontinued. When a yes is entered, the corresponding row is highlighted a light grey and the font style changed to strikethrough" sqref="N3" xr:uid="{F514B968-7738-4297-9D2D-A6D3888537A7}"/>
    <dataValidation allowBlank="1" showInputMessage="1" showErrorMessage="1" prompt="Enter the quantity in reorder for each item in this column" sqref="M3" xr:uid="{7F0D1907-9C08-4898-BA07-AE0392B618D2}"/>
    <dataValidation allowBlank="1" showInputMessage="1" showErrorMessage="1" prompt="Enter the number of days it takes to reorder each item in this column" sqref="J3:L3" xr:uid="{4CD14A85-8748-4C41-BD16-9615E3B61B5E}"/>
    <dataValidation allowBlank="1" showInputMessage="1" showErrorMessage="1" prompt="Enter the reorder level for each item in this column" sqref="I3" xr:uid="{D7C368A4-E9BE-4643-8B69-DF3165A334AF}"/>
    <dataValidation allowBlank="1" showInputMessage="1" showErrorMessage="1" prompt="This is an automated column._x000a__x000a_The inventory value for each item is automatically calculated in this column." sqref="H3" xr:uid="{ED8FAF78-F0DC-4164-8B4A-810FE56D69E8}"/>
    <dataValidation allowBlank="1" showInputMessage="1" showErrorMessage="1" prompt="Enter the quantity in stock for each item in this column" sqref="G3" xr:uid="{CB2D6481-5685-49FC-9A3B-BA281697B870}"/>
    <dataValidation allowBlank="1" showInputMessage="1" showErrorMessage="1" prompt="Enter the unit price of each item in this column" sqref="F3" xr:uid="{4437D14A-3BAC-47FC-A4B2-E2C731F82DC9}"/>
    <dataValidation allowBlank="1" showInputMessage="1" showErrorMessage="1" prompt="Enter a description of the item in this column" sqref="E3" xr:uid="{EF3C7447-ED9C-477A-B5CA-AACF3CD2A6CB}"/>
    <dataValidation allowBlank="1" showInputMessage="1" showErrorMessage="1" prompt="Enter company name in this cell" sqref="A2" xr:uid="{300E93D1-09FF-4793-A2C1-104E11EA22E8}"/>
  </dataValidations>
  <printOptions horizontalCentered="1"/>
  <pageMargins left="0.25" right="0.25" top="0.75" bottom="0.75" header="0.3" footer="0.3"/>
  <pageSetup scale="24" fitToHeight="0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13D3-17AC-40C0-886C-D0C6B12ECCEF}">
  <sheetPr>
    <tabColor rgb="FFF5DEB3"/>
    <pageSetUpPr fitToPage="1"/>
  </sheetPr>
  <dimension ref="A1:W4"/>
  <sheetViews>
    <sheetView showGridLines="0" topLeftCell="D1" zoomScale="85" zoomScaleNormal="85" workbookViewId="0">
      <selection activeCell="V4" sqref="V4:W4"/>
    </sheetView>
  </sheetViews>
  <sheetFormatPr defaultColWidth="8.625" defaultRowHeight="24" customHeight="1" x14ac:dyDescent="0.25"/>
  <cols>
    <col min="1" max="1" width="4.125" style="76" customWidth="1"/>
    <col min="2" max="2" width="15.5" style="77" customWidth="1"/>
    <col min="3" max="3" width="29.375" style="78" customWidth="1"/>
    <col min="4" max="4" width="22" style="78" bestFit="1" customWidth="1"/>
    <col min="5" max="5" width="7.625" style="78" bestFit="1" customWidth="1"/>
    <col min="6" max="6" width="9.25" style="79" bestFit="1" customWidth="1"/>
    <col min="7" max="7" width="8.25" style="79" bestFit="1" customWidth="1"/>
    <col min="8" max="8" width="8.75" style="79" bestFit="1" customWidth="1"/>
    <col min="9" max="9" width="8.125" style="79" bestFit="1" customWidth="1"/>
    <col min="10" max="10" width="19.625" style="79" bestFit="1" customWidth="1"/>
    <col min="11" max="11" width="26.375" style="79" bestFit="1" customWidth="1"/>
    <col min="12" max="12" width="15.75" style="79" bestFit="1" customWidth="1"/>
    <col min="13" max="13" width="11.5" style="79" customWidth="1"/>
    <col min="14" max="14" width="11.5" style="78" customWidth="1"/>
    <col min="15" max="15" width="11.375" style="45" customWidth="1"/>
    <col min="16" max="17" width="13.75" style="45" customWidth="1"/>
    <col min="18" max="19" width="15.5" style="45" customWidth="1"/>
    <col min="20" max="20" width="18.25" style="45" bestFit="1" customWidth="1"/>
    <col min="21" max="21" width="15" style="45" customWidth="1"/>
    <col min="22" max="22" width="7.5" style="45" bestFit="1" customWidth="1"/>
    <col min="23" max="23" width="8.125" style="45" bestFit="1" customWidth="1"/>
    <col min="24" max="16384" width="8.625" style="45"/>
  </cols>
  <sheetData>
    <row r="1" spans="1:23" ht="44.25" x14ac:dyDescent="0.6">
      <c r="A1" s="488" t="s">
        <v>112</v>
      </c>
      <c r="B1" s="24"/>
      <c r="C1" s="489"/>
      <c r="D1" s="490"/>
      <c r="E1" s="491"/>
      <c r="F1" s="489"/>
      <c r="G1" s="492"/>
      <c r="H1" s="492"/>
      <c r="I1" s="493"/>
      <c r="J1" s="494" t="s">
        <v>132</v>
      </c>
      <c r="K1" s="495"/>
      <c r="L1" s="495"/>
      <c r="M1" s="496"/>
      <c r="N1" s="489"/>
      <c r="O1" s="492"/>
      <c r="P1" s="492"/>
      <c r="Q1" s="1083"/>
      <c r="R1" s="497"/>
      <c r="S1" s="498"/>
      <c r="T1" s="499" t="s">
        <v>133</v>
      </c>
      <c r="U1" s="500">
        <v>825</v>
      </c>
      <c r="V1" s="492"/>
      <c r="W1" s="492"/>
    </row>
    <row r="2" spans="1:23" ht="31.5" x14ac:dyDescent="0.45">
      <c r="A2" s="501" t="s">
        <v>113</v>
      </c>
      <c r="B2" s="502"/>
      <c r="C2" s="502"/>
      <c r="D2" s="503"/>
      <c r="E2" s="504"/>
      <c r="F2" s="505"/>
      <c r="G2" s="506"/>
      <c r="H2" s="492"/>
      <c r="I2" s="507"/>
      <c r="J2" s="507"/>
      <c r="K2" s="855">
        <f>SUM(K4:K4)</f>
        <v>30000</v>
      </c>
      <c r="L2" s="507"/>
      <c r="M2" s="489"/>
      <c r="N2" s="489"/>
      <c r="O2" s="492"/>
      <c r="P2" s="492"/>
      <c r="Q2" s="1084"/>
      <c r="R2" s="497"/>
      <c r="S2" s="498"/>
      <c r="T2" s="499" t="s">
        <v>134</v>
      </c>
      <c r="U2" s="508">
        <v>18</v>
      </c>
      <c r="V2" s="491"/>
      <c r="W2" s="498"/>
    </row>
    <row r="3" spans="1:23" s="67" customFormat="1" ht="40.9" customHeight="1" x14ac:dyDescent="0.25">
      <c r="A3" s="509" t="s">
        <v>447</v>
      </c>
      <c r="B3" s="510" t="s">
        <v>122</v>
      </c>
      <c r="C3" s="510" t="s">
        <v>136</v>
      </c>
      <c r="D3" s="511" t="s">
        <v>137</v>
      </c>
      <c r="E3" s="512" t="s">
        <v>123</v>
      </c>
      <c r="F3" s="513" t="s">
        <v>124</v>
      </c>
      <c r="G3" s="513" t="s">
        <v>130</v>
      </c>
      <c r="H3" s="513" t="s">
        <v>125</v>
      </c>
      <c r="I3" s="513" t="s">
        <v>126</v>
      </c>
      <c r="J3" s="513" t="s">
        <v>138</v>
      </c>
      <c r="K3" s="510" t="s">
        <v>139</v>
      </c>
      <c r="L3" s="510" t="s">
        <v>127</v>
      </c>
      <c r="M3" s="510" t="s">
        <v>140</v>
      </c>
      <c r="N3" s="510" t="s">
        <v>141</v>
      </c>
      <c r="O3" s="510" t="s">
        <v>142</v>
      </c>
      <c r="P3" s="514" t="s">
        <v>143</v>
      </c>
      <c r="Q3" s="510" t="s">
        <v>144</v>
      </c>
      <c r="R3" s="514" t="s">
        <v>145</v>
      </c>
      <c r="S3" s="514" t="s">
        <v>146</v>
      </c>
      <c r="T3" s="514" t="s">
        <v>2</v>
      </c>
      <c r="U3" s="515" t="s">
        <v>128</v>
      </c>
      <c r="V3" s="515" t="s">
        <v>131</v>
      </c>
      <c r="W3" s="516" t="s">
        <v>1</v>
      </c>
    </row>
    <row r="4" spans="1:23" ht="30" customHeight="1" x14ac:dyDescent="0.25">
      <c r="A4" s="956" t="s">
        <v>147</v>
      </c>
      <c r="B4" s="69">
        <v>46003</v>
      </c>
      <c r="C4" s="70" t="s">
        <v>339</v>
      </c>
      <c r="D4" s="262" t="s">
        <v>1270</v>
      </c>
      <c r="E4" s="953">
        <v>2</v>
      </c>
      <c r="F4" s="954">
        <v>480</v>
      </c>
      <c r="G4" s="954">
        <v>70</v>
      </c>
      <c r="H4" s="954"/>
      <c r="I4" s="954"/>
      <c r="J4" s="955">
        <v>15000</v>
      </c>
      <c r="K4" s="1">
        <f>Inventory_List_Table3411161819[[#This Row],[Q]]*Inventory_List_Table3411161819[[#This Row],[Per piece MXN$]]</f>
        <v>30000</v>
      </c>
      <c r="L4" s="1">
        <f>Inventory_List_Table3411161819[[#This Row],[KG]]*2.20462</f>
        <v>1058.2175999999999</v>
      </c>
      <c r="M4" s="15">
        <f>Inventory_List_Table3411161819[[#This Row],[H CM]]/2.54</f>
        <v>27.559055118110237</v>
      </c>
      <c r="N4" s="15">
        <f>Inventory_List_Table3411161819[[#This Row],[W CM]]/2.54</f>
        <v>0</v>
      </c>
      <c r="O4" s="15">
        <f>Inventory_List_Table3411161819[[#This Row],[D CM ]]/2.54</f>
        <v>0</v>
      </c>
      <c r="P4" s="16">
        <f>Inventory_List_Table3411161819[[#This Row],[Per piece MXN$]]/$U$2</f>
        <v>833.33333333333337</v>
      </c>
      <c r="Q4" s="16">
        <f>IF(MOD(P4,1)&gt;0.4,ROUNDUP(P4,0),ROUNDDOWN(P4,0))</f>
        <v>833</v>
      </c>
      <c r="R4" s="16">
        <f>Inventory_List_Table3411161819[[#This Row],[AQ ROUND]]*1.4</f>
        <v>1166.1999999999998</v>
      </c>
      <c r="S4" s="16">
        <f>IF(MOD(R4,1)&gt;0.4,ROUNDUP(R4,0),ROUNDDOWN(R4,0))</f>
        <v>1166</v>
      </c>
      <c r="T4" s="16">
        <f>Inventory_List_Table3411161819[[#This Row],[LND ROUND]]*8</f>
        <v>9328</v>
      </c>
      <c r="U4" s="16">
        <f>Inventory_List_Table3411161819[[#This Row],[AQ]]*Inventory_List_Table3411161819[[#This Row],[Q]]</f>
        <v>1666.6666666666667</v>
      </c>
      <c r="V4" s="74" t="s">
        <v>1271</v>
      </c>
      <c r="W4" s="74" t="s">
        <v>1272</v>
      </c>
    </row>
  </sheetData>
  <mergeCells count="1">
    <mergeCell ref="Q1:Q2"/>
  </mergeCells>
  <dataValidations count="12">
    <dataValidation allowBlank="1" showInputMessage="1" showErrorMessage="1" prompt="Enter company name in this cell" sqref="A2" xr:uid="{D13968B7-FEA5-43B2-96EF-E76AECA26360}"/>
    <dataValidation allowBlank="1" showInputMessage="1" showErrorMessage="1" prompt="Enter a description of the item in this column" sqref="E3" xr:uid="{115D42C4-34B0-4F19-AD04-58D98D810FA4}"/>
    <dataValidation allowBlank="1" showInputMessage="1" showErrorMessage="1" prompt="Enter the unit price of each item in this column" sqref="F3" xr:uid="{D3368D93-5FB7-42D0-B48F-ED5174F9C92E}"/>
    <dataValidation allowBlank="1" showInputMessage="1" showErrorMessage="1" prompt="Enter the quantity in stock for each item in this column" sqref="G3" xr:uid="{4DC934BA-49F7-4462-8F26-09AD22B5FEFE}"/>
    <dataValidation allowBlank="1" showInputMessage="1" showErrorMessage="1" prompt="This is an automated column._x000a__x000a_The inventory value for each item is automatically calculated in this column." sqref="H3" xr:uid="{9EA83894-EE84-4882-87DC-1A623FF603CC}"/>
    <dataValidation allowBlank="1" showInputMessage="1" showErrorMessage="1" prompt="Enter the reorder level for each item in this column" sqref="I3" xr:uid="{0E1F1730-7867-4148-A39D-B43BC696BA4C}"/>
    <dataValidation allowBlank="1" showInputMessage="1" showErrorMessage="1" prompt="Enter the number of days it takes to reorder each item in this column" sqref="J3:L3" xr:uid="{B4A056D0-B5F0-4216-B608-B8A4A7D913CB}"/>
    <dataValidation allowBlank="1" showInputMessage="1" showErrorMessage="1" prompt="Enter the quantity in reorder for each item in this column" sqref="M3" xr:uid="{713CF01E-3C8A-44D2-906F-F25230C03202}"/>
    <dataValidation allowBlank="1" showInputMessage="1" showErrorMessage="1" prompt="Enter yes if the item has been discontinued. When a yes is entered, the corresponding row is highlighted a light grey and the font style changed to strikethrough" sqref="N3" xr:uid="{959B166B-8624-4354-BC2F-030ECD3A03A7}"/>
    <dataValidation allowBlank="1" showInputMessage="1" showErrorMessage="1" prompt="Enter the name of the item in this column" sqref="D3" xr:uid="{438DA3C2-C2C8-433C-A45E-C2709B88214A}"/>
    <dataValidation allowBlank="1" showInputMessage="1" showErrorMessage="1" prompt="Enter the item inventory ID in this column" sqref="C3" xr:uid="{E1128381-6206-4A90-A9C5-DC483B78376B}"/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7F533623-60E6-4EF9-98E3-47552EDF2B3E}"/>
  </dataValidations>
  <printOptions horizontalCentered="1"/>
  <pageMargins left="0.25" right="0.25" top="0.75" bottom="0.75" header="0.3" footer="0.3"/>
  <pageSetup scale="25" fitToHeight="0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2F96-F5B4-414F-BE32-C0DA81533B75}">
  <sheetPr>
    <tabColor rgb="FFF08080"/>
    <pageSetUpPr fitToPage="1"/>
  </sheetPr>
  <dimension ref="A1:W4"/>
  <sheetViews>
    <sheetView showGridLines="0" zoomScale="85" zoomScaleNormal="85" workbookViewId="0">
      <selection activeCell="D11" sqref="D11"/>
    </sheetView>
  </sheetViews>
  <sheetFormatPr defaultColWidth="8.625" defaultRowHeight="24" customHeight="1" x14ac:dyDescent="0.25"/>
  <cols>
    <col min="1" max="1" width="4.125" style="76" customWidth="1"/>
    <col min="2" max="2" width="15.5" style="77" customWidth="1"/>
    <col min="3" max="3" width="29.375" style="78" customWidth="1"/>
    <col min="4" max="4" width="22" style="78" bestFit="1" customWidth="1"/>
    <col min="5" max="5" width="7.625" style="78" bestFit="1" customWidth="1"/>
    <col min="6" max="6" width="9.25" style="79" bestFit="1" customWidth="1"/>
    <col min="7" max="7" width="8.25" style="79" bestFit="1" customWidth="1"/>
    <col min="8" max="8" width="8.75" style="79" bestFit="1" customWidth="1"/>
    <col min="9" max="9" width="8.125" style="79" bestFit="1" customWidth="1"/>
    <col min="10" max="10" width="19.5" style="79" bestFit="1" customWidth="1"/>
    <col min="11" max="11" width="25" style="79" bestFit="1" customWidth="1"/>
    <col min="12" max="12" width="14.625" style="79" bestFit="1" customWidth="1"/>
    <col min="13" max="13" width="11.5" style="79" customWidth="1"/>
    <col min="14" max="14" width="11.5" style="78" customWidth="1"/>
    <col min="15" max="15" width="11.375" style="45" customWidth="1"/>
    <col min="16" max="17" width="13.75" style="45" customWidth="1"/>
    <col min="18" max="19" width="15.5" style="45" customWidth="1"/>
    <col min="20" max="20" width="18.25" style="45" bestFit="1" customWidth="1"/>
    <col min="21" max="21" width="15" style="45" customWidth="1"/>
    <col min="22" max="22" width="7.5" style="45" bestFit="1" customWidth="1"/>
    <col min="23" max="23" width="8.125" style="45" bestFit="1" customWidth="1"/>
    <col min="24" max="16384" width="8.625" style="45"/>
  </cols>
  <sheetData>
    <row r="1" spans="1:23" ht="44.25" x14ac:dyDescent="0.6">
      <c r="A1" s="517" t="s">
        <v>337</v>
      </c>
      <c r="B1" s="23"/>
      <c r="C1" s="518"/>
      <c r="D1" s="519"/>
      <c r="E1" s="520"/>
      <c r="F1" s="518"/>
      <c r="G1" s="521"/>
      <c r="H1" s="521"/>
      <c r="I1" s="522"/>
      <c r="J1" s="523" t="s">
        <v>132</v>
      </c>
      <c r="K1" s="524"/>
      <c r="L1" s="524"/>
      <c r="M1" s="525"/>
      <c r="N1" s="518"/>
      <c r="O1" s="521"/>
      <c r="P1" s="521"/>
      <c r="Q1" s="1085"/>
      <c r="R1" s="526"/>
      <c r="S1" s="527"/>
      <c r="T1" s="528" t="s">
        <v>133</v>
      </c>
      <c r="U1" s="529">
        <v>825</v>
      </c>
      <c r="V1" s="521"/>
      <c r="W1" s="521"/>
    </row>
    <row r="2" spans="1:23" ht="31.5" x14ac:dyDescent="0.45">
      <c r="A2" s="530" t="s">
        <v>338</v>
      </c>
      <c r="B2" s="531"/>
      <c r="C2" s="531"/>
      <c r="D2" s="532"/>
      <c r="E2" s="533"/>
      <c r="F2" s="534"/>
      <c r="G2" s="535"/>
      <c r="H2" s="521"/>
      <c r="I2" s="536"/>
      <c r="J2" s="536"/>
      <c r="K2" s="855">
        <f>SUM(K4:K4)</f>
        <v>12000</v>
      </c>
      <c r="L2" s="536"/>
      <c r="M2" s="518"/>
      <c r="N2" s="518"/>
      <c r="O2" s="521"/>
      <c r="P2" s="521"/>
      <c r="Q2" s="1086"/>
      <c r="R2" s="526"/>
      <c r="S2" s="527"/>
      <c r="T2" s="528" t="s">
        <v>134</v>
      </c>
      <c r="U2" s="537">
        <v>18</v>
      </c>
      <c r="V2" s="520"/>
      <c r="W2" s="527"/>
    </row>
    <row r="3" spans="1:23" s="67" customFormat="1" ht="40.9" customHeight="1" x14ac:dyDescent="0.25">
      <c r="A3" s="538" t="s">
        <v>135</v>
      </c>
      <c r="B3" s="539" t="s">
        <v>122</v>
      </c>
      <c r="C3" s="539" t="s">
        <v>136</v>
      </c>
      <c r="D3" s="540" t="s">
        <v>137</v>
      </c>
      <c r="E3" s="541" t="s">
        <v>123</v>
      </c>
      <c r="F3" s="542" t="s">
        <v>124</v>
      </c>
      <c r="G3" s="542" t="s">
        <v>130</v>
      </c>
      <c r="H3" s="542" t="s">
        <v>125</v>
      </c>
      <c r="I3" s="542" t="s">
        <v>126</v>
      </c>
      <c r="J3" s="542" t="s">
        <v>138</v>
      </c>
      <c r="K3" s="539" t="s">
        <v>139</v>
      </c>
      <c r="L3" s="539" t="s">
        <v>127</v>
      </c>
      <c r="M3" s="539" t="s">
        <v>140</v>
      </c>
      <c r="N3" s="539" t="s">
        <v>141</v>
      </c>
      <c r="O3" s="539" t="s">
        <v>142</v>
      </c>
      <c r="P3" s="543" t="s">
        <v>143</v>
      </c>
      <c r="Q3" s="539" t="s">
        <v>144</v>
      </c>
      <c r="R3" s="543" t="s">
        <v>145</v>
      </c>
      <c r="S3" s="543" t="s">
        <v>146</v>
      </c>
      <c r="T3" s="543" t="s">
        <v>2</v>
      </c>
      <c r="U3" s="544" t="s">
        <v>128</v>
      </c>
      <c r="V3" s="544" t="s">
        <v>131</v>
      </c>
      <c r="W3" s="545" t="s">
        <v>1</v>
      </c>
    </row>
    <row r="4" spans="1:23" ht="30" customHeight="1" x14ac:dyDescent="0.25">
      <c r="A4" s="945" t="s">
        <v>147</v>
      </c>
      <c r="B4" s="69">
        <v>46003</v>
      </c>
      <c r="C4" s="70" t="s">
        <v>340</v>
      </c>
      <c r="D4" s="262" t="s">
        <v>1266</v>
      </c>
      <c r="E4" s="950">
        <v>1</v>
      </c>
      <c r="F4" s="951">
        <v>385</v>
      </c>
      <c r="G4" s="951">
        <v>60</v>
      </c>
      <c r="H4" s="951">
        <v>32</v>
      </c>
      <c r="I4" s="951"/>
      <c r="J4" s="952">
        <v>12000</v>
      </c>
      <c r="K4" s="1">
        <f>Inventory_List_Table34111618[[#This Row],[Q]]*Inventory_List_Table34111618[[#This Row],[Per piece MXN$]]</f>
        <v>12000</v>
      </c>
      <c r="L4" s="1">
        <f>Inventory_List_Table34111618[[#This Row],[KG]]*2.20462</f>
        <v>848.77869999999996</v>
      </c>
      <c r="M4" s="15">
        <f>Inventory_List_Table34111618[[#This Row],[H CM]]/2.54</f>
        <v>23.622047244094489</v>
      </c>
      <c r="N4" s="15">
        <f>Inventory_List_Table34111618[[#This Row],[W CM]]/2.54</f>
        <v>12.598425196850393</v>
      </c>
      <c r="O4" s="15">
        <f>Inventory_List_Table34111618[[#This Row],[D CM ]]/2.54</f>
        <v>0</v>
      </c>
      <c r="P4" s="16">
        <f>Inventory_List_Table34111618[[#This Row],[Per piece MXN$]]/$U$2</f>
        <v>666.66666666666663</v>
      </c>
      <c r="Q4" s="16">
        <f>IF(MOD(P4,1)&gt;0.4,ROUNDUP(P4,0),ROUNDDOWN(P4,0))</f>
        <v>667</v>
      </c>
      <c r="R4" s="16">
        <f>Inventory_List_Table34111618[[#This Row],[AQ ROUND]]*1.4</f>
        <v>933.8</v>
      </c>
      <c r="S4" s="16">
        <f>IF(MOD(R4,1)&gt;0.4,ROUNDUP(R4,0),ROUNDDOWN(R4,0))</f>
        <v>934</v>
      </c>
      <c r="T4" s="16">
        <f>Inventory_List_Table34111618[[#This Row],[LND ROUND]]*8</f>
        <v>7472</v>
      </c>
      <c r="U4" s="16">
        <f>Inventory_List_Table34111618[[#This Row],[AQ]]*Inventory_List_Table34111618[[#This Row],[Q]]</f>
        <v>666.66666666666663</v>
      </c>
      <c r="V4" s="74" t="s">
        <v>1267</v>
      </c>
      <c r="W4" s="74" t="s">
        <v>1268</v>
      </c>
    </row>
  </sheetData>
  <mergeCells count="1">
    <mergeCell ref="Q1:Q2"/>
  </mergeCells>
  <dataValidations count="12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3" xr:uid="{D2C9DA62-1611-41A1-A511-FC07B07F5C29}"/>
    <dataValidation allowBlank="1" showInputMessage="1" showErrorMessage="1" prompt="Enter the item inventory ID in this column" sqref="C3" xr:uid="{4CE0AC5E-4E97-4AFB-BBCA-42DCFB9CF3AA}"/>
    <dataValidation allowBlank="1" showInputMessage="1" showErrorMessage="1" prompt="Enter the name of the item in this column" sqref="D3" xr:uid="{E7E0412B-E9A4-40D0-96C6-27AD1B983104}"/>
    <dataValidation allowBlank="1" showInputMessage="1" showErrorMessage="1" prompt="Enter yes if the item has been discontinued. When a yes is entered, the corresponding row is highlighted a light grey and the font style changed to strikethrough" sqref="N3" xr:uid="{2CFFF29A-22C6-4304-BE20-E86B218C6F65}"/>
    <dataValidation allowBlank="1" showInputMessage="1" showErrorMessage="1" prompt="Enter the quantity in reorder for each item in this column" sqref="M3" xr:uid="{3306DE26-43D5-439A-A7F8-6A9B3B630140}"/>
    <dataValidation allowBlank="1" showInputMessage="1" showErrorMessage="1" prompt="Enter the number of days it takes to reorder each item in this column" sqref="J3:L3" xr:uid="{D577DA0B-8468-4CA3-844C-D5B6A007D194}"/>
    <dataValidation allowBlank="1" showInputMessage="1" showErrorMessage="1" prompt="Enter the reorder level for each item in this column" sqref="I3" xr:uid="{A7FD8911-BB69-456F-BABF-6E33D52839F3}"/>
    <dataValidation allowBlank="1" showInputMessage="1" showErrorMessage="1" prompt="This is an automated column._x000a__x000a_The inventory value for each item is automatically calculated in this column." sqref="H3" xr:uid="{BA08AA40-1335-4095-822D-17405423050B}"/>
    <dataValidation allowBlank="1" showInputMessage="1" showErrorMessage="1" prompt="Enter the quantity in stock for each item in this column" sqref="G3" xr:uid="{68B524FA-38C4-4901-90C8-799A724AD964}"/>
    <dataValidation allowBlank="1" showInputMessage="1" showErrorMessage="1" prompt="Enter the unit price of each item in this column" sqref="F3" xr:uid="{F2ED1FDE-F0DF-4BB2-89D3-5AD5352EE102}"/>
    <dataValidation allowBlank="1" showInputMessage="1" showErrorMessage="1" prompt="Enter a description of the item in this column" sqref="E3" xr:uid="{627FF614-0793-4D8D-8B37-7C5CD77862EA}"/>
    <dataValidation allowBlank="1" showInputMessage="1" showErrorMessage="1" prompt="Enter company name in this cell" sqref="A2" xr:uid="{01AE165A-6E12-4CFE-B20C-278C21DEBCD3}"/>
  </dataValidations>
  <printOptions horizontalCentered="1"/>
  <pageMargins left="0.25" right="0.25" top="0.75" bottom="0.75" header="0.3" footer="0.3"/>
  <pageSetup scale="25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0138EE-2E2E-4C4B-9EFC-B08AA63A1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E39826-E5C2-4497-9DAB-26E51B5E5AD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651663D-B88E-4AD7-9DE9-C58C987430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4.xml><?xml version="1.0" encoding="utf-8"?>
<ds:datastoreItem xmlns:ds="http://schemas.openxmlformats.org/officeDocument/2006/customXml" ds:itemID="{99D1F540-32A9-4ED6-9336-A9BD181B306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14</vt:i4>
      </vt:variant>
    </vt:vector>
  </HeadingPairs>
  <TitlesOfParts>
    <vt:vector size="35" baseType="lpstr">
      <vt:lpstr>-vPayment</vt:lpstr>
      <vt:lpstr>-vSupplies</vt:lpstr>
      <vt:lpstr>-vCrates</vt:lpstr>
      <vt:lpstr>-TRK1</vt:lpstr>
      <vt:lpstr>-TRK2</vt:lpstr>
      <vt:lpstr>-TRK3</vt:lpstr>
      <vt:lpstr>-TRK4</vt:lpstr>
      <vt:lpstr>EM</vt:lpstr>
      <vt:lpstr>JM</vt:lpstr>
      <vt:lpstr>TE</vt:lpstr>
      <vt:lpstr>DH</vt:lpstr>
      <vt:lpstr>ML</vt:lpstr>
      <vt:lpstr>GE</vt:lpstr>
      <vt:lpstr>FR</vt:lpstr>
      <vt:lpstr>ET</vt:lpstr>
      <vt:lpstr>AM</vt:lpstr>
      <vt:lpstr>BT</vt:lpstr>
      <vt:lpstr>RF</vt:lpstr>
      <vt:lpstr>GS</vt:lpstr>
      <vt:lpstr>CP</vt:lpstr>
      <vt:lpstr>AN</vt:lpstr>
      <vt:lpstr>AM!Print_Titles</vt:lpstr>
      <vt:lpstr>AN!Print_Titles</vt:lpstr>
      <vt:lpstr>BT!Print_Titles</vt:lpstr>
      <vt:lpstr>CP!Print_Titles</vt:lpstr>
      <vt:lpstr>DH!Print_Titles</vt:lpstr>
      <vt:lpstr>EM!Print_Titles</vt:lpstr>
      <vt:lpstr>ET!Print_Titles</vt:lpstr>
      <vt:lpstr>FR!Print_Titles</vt:lpstr>
      <vt:lpstr>GE!Print_Titles</vt:lpstr>
      <vt:lpstr>GS!Print_Titles</vt:lpstr>
      <vt:lpstr>JM!Print_Titles</vt:lpstr>
      <vt:lpstr>ML!Print_Titles</vt:lpstr>
      <vt:lpstr>RF!Print_Titles</vt:lpstr>
      <vt:lpstr>TE!Print_Titles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Jouhayeerk</dc:creator>
  <cp:keywords/>
  <dc:description/>
  <cp:lastModifiedBy>Ramses L. Jouhayerk</cp:lastModifiedBy>
  <cp:revision/>
  <dcterms:created xsi:type="dcterms:W3CDTF">2023-10-19T18:19:29Z</dcterms:created>
  <dcterms:modified xsi:type="dcterms:W3CDTF">2026-02-14T04:16:51Z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