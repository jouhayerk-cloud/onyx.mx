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th\OneDrive\Documentos\"/>
    </mc:Choice>
  </mc:AlternateContent>
  <xr:revisionPtr revIDLastSave="0" documentId="13_ncr:1_{A97264EB-D234-484A-9015-2D326F7A0A80}" xr6:coauthVersionLast="47" xr6:coauthVersionMax="47" xr10:uidLastSave="{00000000-0000-0000-0000-000000000000}"/>
  <bookViews>
    <workbookView xWindow="-108" yWindow="-108" windowWidth="23256" windowHeight="12456" xr2:uid="{7CBFDB39-DD75-4798-A6AA-A710728A0365}"/>
  </bookViews>
  <sheets>
    <sheet name="--STKR" sheetId="1" r:id="rId1"/>
  </sheets>
  <externalReferences>
    <externalReference r:id="rId2"/>
    <externalReference r:id="rId3"/>
    <externalReference r:id="rId4"/>
  </externalReferences>
  <definedNames>
    <definedName name="Categories">OFFSET('[1]Admin &amp; Settings'!$C$10,1,,COUNTA('[1]Admin &amp; Settings'!$C$10:$C$33)-1,1)</definedName>
    <definedName name="Months">[2]Expenses!#REF!</definedName>
    <definedName name="Status">[3]TE!$AB$4:$AB$6</definedName>
    <definedName name="valHighlight">IFERROR(IF(#REF!="Yes",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M9" i="1"/>
  <c r="K9" i="1"/>
  <c r="M8" i="1"/>
  <c r="K8" i="1"/>
  <c r="M7" i="1"/>
  <c r="K7" i="1"/>
  <c r="M6" i="1"/>
  <c r="K6" i="1"/>
  <c r="M5" i="1"/>
  <c r="K5" i="1"/>
  <c r="M4" i="1"/>
  <c r="K4" i="1"/>
  <c r="M3" i="1"/>
  <c r="K3" i="1"/>
  <c r="M2" i="1"/>
  <c r="K2" i="1"/>
</calcChain>
</file>

<file path=xl/sharedStrings.xml><?xml version="1.0" encoding="utf-8"?>
<sst xmlns="http://schemas.openxmlformats.org/spreadsheetml/2006/main" count="45" uniqueCount="32">
  <si>
    <t>V</t>
  </si>
  <si>
    <t>ACQ</t>
  </si>
  <si>
    <t>DESCRIPTION</t>
  </si>
  <si>
    <t>Barcode</t>
  </si>
  <si>
    <t>Q</t>
  </si>
  <si>
    <t>KG</t>
  </si>
  <si>
    <t>H CM</t>
  </si>
  <si>
    <t>W CM</t>
  </si>
  <si>
    <t>D CM</t>
  </si>
  <si>
    <t>RETAIL</t>
  </si>
  <si>
    <t>SPECS</t>
  </si>
  <si>
    <t>RTCODE</t>
  </si>
  <si>
    <t>COPIES</t>
  </si>
  <si>
    <t>ML</t>
  </si>
  <si>
    <t>OL</t>
  </si>
  <si>
    <t>AQUA POL</t>
  </si>
  <si>
    <t>ML82536XL</t>
  </si>
  <si>
    <t>OX</t>
  </si>
  <si>
    <t>PINK POL</t>
  </si>
  <si>
    <t>ML82537XO</t>
  </si>
  <si>
    <t>MM</t>
  </si>
  <si>
    <t>ML82538ME</t>
  </si>
  <si>
    <t>LE</t>
  </si>
  <si>
    <t>AQUA COL</t>
  </si>
  <si>
    <t>HA</t>
  </si>
  <si>
    <t>ME</t>
  </si>
  <si>
    <t>AQUA CUBE POL</t>
  </si>
  <si>
    <t>ML82533OM</t>
  </si>
  <si>
    <t>MO</t>
  </si>
  <si>
    <t>ML82534MF</t>
  </si>
  <si>
    <t>ML82542NM</t>
  </si>
  <si>
    <t>ML82541LF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</si>
</sst>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Univers"/>
      <family val="2"/>
      <scheme val="minor"/>
    </font>
    <font>
      <sz val="11"/>
      <color theme="1"/>
      <name val="Univers"/>
      <family val="2"/>
      <scheme val="minor"/>
    </font>
    <font>
      <b/>
      <sz val="10"/>
      <color theme="0"/>
      <name val="Atkinson Hyperlegible"/>
    </font>
    <font>
      <b/>
      <sz val="11"/>
      <color theme="0"/>
      <name val="Atkinson Hyperlegible"/>
    </font>
    <font>
      <sz val="11"/>
      <color theme="1"/>
      <name val="Atkinson Hyperlegible"/>
    </font>
    <font>
      <sz val="10"/>
      <color theme="1"/>
      <name val="Atkinson Hyperlegible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AA7C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44" fontId="5" fillId="3" borderId="0" xfId="1" applyFont="1" applyFill="1" applyAlignment="1">
      <alignment vertical="center"/>
    </xf>
    <xf numFmtId="0" fontId="5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file:///C:\Users\shane\Dropbox\Marketing\Workbook%20Start%20Page%20Template%20(NO%20FFF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47281db9cfc48e/Desktop/Linked%20Folder/Money_Tracker.xlsm" TargetMode="External"/><Relationship Id="rId1" Type="http://schemas.openxmlformats.org/officeDocument/2006/relationships/externalLinkPath" Target="https://d.docs.live.net/C347281DB9CFC48E/Desktop/Linked%20Folder/Money_Tracker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h\Downloads\book825-DEC%2014.xlsx" TargetMode="External"/><Relationship Id="rId1" Type="http://schemas.openxmlformats.org/officeDocument/2006/relationships/externalLinkPath" Target="file:///C:\Users\marth\Downloads\book825-DEC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>
        <row r="10">
          <cell r="C10" t="str">
            <v>Categories</v>
          </cell>
        </row>
        <row r="11">
          <cell r="C11" t="str">
            <v>Excel</v>
          </cell>
        </row>
        <row r="12">
          <cell r="C12" t="str">
            <v>Marketing</v>
          </cell>
        </row>
        <row r="13">
          <cell r="C13" t="str">
            <v>Cooking</v>
          </cell>
        </row>
        <row r="14">
          <cell r="C14" t="str">
            <v>Python Learning</v>
          </cell>
        </row>
        <row r="15">
          <cell r="C15" t="str">
            <v>Investing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nses"/>
    </sheetNames>
    <sheetDataSet>
      <sheetData sheetId="0">
        <row r="2">
          <cell r="K2" t="str">
            <v>C:\Users\marth\OneDrive\Desktop\Linked Folder\IMG\*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TRL"/>
      <sheetName val="BALANCE"/>
      <sheetName val="SUPPLIES"/>
      <sheetName val="IDLE VENDORS"/>
      <sheetName val="Packing List"/>
      <sheetName val="SUPPLIES a"/>
      <sheetName val="TRK1"/>
      <sheetName val="TRK2"/>
      <sheetName val="TRK3"/>
      <sheetName val="BLNK"/>
      <sheetName val="RF"/>
      <sheetName val="AM"/>
      <sheetName val="JM"/>
      <sheetName val="AN"/>
      <sheetName val="CP"/>
      <sheetName val="ML"/>
      <sheetName val="EM"/>
      <sheetName val="DH"/>
      <sheetName val="FR"/>
      <sheetName val="TE"/>
      <sheetName val="GE"/>
      <sheetName val="GS"/>
      <sheetName val="BT"/>
      <sheetName val="--STK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D27A-6ACD-4AEB-A0E0-985C7890B174}">
  <sheetPr>
    <tabColor rgb="FF7030A0"/>
  </sheetPr>
  <dimension ref="A1:M9"/>
  <sheetViews>
    <sheetView tabSelected="1" zoomScale="115" zoomScaleNormal="115" workbookViewId="0">
      <selection activeCell="N16" sqref="N16"/>
    </sheetView>
  </sheetViews>
  <sheetFormatPr defaultColWidth="9" defaultRowHeight="15.75" customHeight="1" x14ac:dyDescent="0.3"/>
  <cols>
    <col min="1" max="1" width="4.3984375" style="5" bestFit="1" customWidth="1"/>
    <col min="2" max="2" width="5.8984375" style="3" bestFit="1" customWidth="1"/>
    <col min="3" max="3" width="37.09765625" style="3" bestFit="1" customWidth="1"/>
    <col min="4" max="4" width="14.59765625" style="3" bestFit="1" customWidth="1"/>
    <col min="5" max="5" width="4.69921875" style="3" bestFit="1" customWidth="1"/>
    <col min="6" max="6" width="6.09765625" style="3" bestFit="1" customWidth="1"/>
    <col min="7" max="7" width="5.59765625" style="3" bestFit="1" customWidth="1"/>
    <col min="8" max="8" width="6" style="3" bestFit="1" customWidth="1"/>
    <col min="9" max="9" width="5.59765625" style="3" bestFit="1" customWidth="1"/>
    <col min="10" max="10" width="7.3984375" style="3" bestFit="1" customWidth="1"/>
    <col min="11" max="11" width="15" style="3" bestFit="1" customWidth="1"/>
    <col min="12" max="12" width="10.59765625" style="3" bestFit="1" customWidth="1"/>
    <col min="13" max="16384" width="9" style="3"/>
  </cols>
  <sheetData>
    <row r="1" spans="1:13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.75" customHeight="1" x14ac:dyDescent="0.3">
      <c r="A2" s="4" t="s">
        <v>13</v>
      </c>
      <c r="B2" s="3" t="s">
        <v>14</v>
      </c>
      <c r="C2" s="3" t="s">
        <v>15</v>
      </c>
      <c r="D2" s="3" t="s">
        <v>16</v>
      </c>
      <c r="E2" s="3">
        <v>9</v>
      </c>
      <c r="G2" s="3">
        <v>12</v>
      </c>
      <c r="H2" s="3">
        <v>40</v>
      </c>
      <c r="J2" s="3">
        <v>288</v>
      </c>
      <c r="K2" s="3" t="str">
        <f>G2 &amp; "X" &amp; H2 &amp;"CM"</f>
        <v>12X40CM</v>
      </c>
      <c r="L2" s="3" t="str">
        <f>"8250" &amp;J2</f>
        <v>8250288</v>
      </c>
      <c r="M2" s="3">
        <f>E2*2</f>
        <v>18</v>
      </c>
    </row>
    <row r="3" spans="1:13" ht="15.75" customHeight="1" x14ac:dyDescent="0.3">
      <c r="A3" s="4" t="s">
        <v>13</v>
      </c>
      <c r="B3" s="3" t="s">
        <v>17</v>
      </c>
      <c r="C3" s="3" t="s">
        <v>18</v>
      </c>
      <c r="D3" s="3" t="s">
        <v>19</v>
      </c>
      <c r="E3" s="3">
        <v>3</v>
      </c>
      <c r="G3" s="3">
        <v>12</v>
      </c>
      <c r="H3" s="3">
        <v>40</v>
      </c>
      <c r="J3" s="3">
        <v>256</v>
      </c>
      <c r="K3" s="3" t="str">
        <f t="shared" ref="K3:K9" si="0">G3 &amp; "X" &amp; H3 &amp;"CM"</f>
        <v>12X40CM</v>
      </c>
      <c r="L3" s="3" t="str">
        <f t="shared" ref="L3:L9" si="1">"8250" &amp;J3</f>
        <v>8250256</v>
      </c>
      <c r="M3" s="3">
        <f t="shared" ref="M3:M9" si="2">E3*2</f>
        <v>6</v>
      </c>
    </row>
    <row r="4" spans="1:13" ht="15.75" customHeight="1" x14ac:dyDescent="0.3">
      <c r="A4" s="4" t="s">
        <v>13</v>
      </c>
      <c r="B4" s="3" t="s">
        <v>20</v>
      </c>
      <c r="C4" s="3" t="s">
        <v>18</v>
      </c>
      <c r="D4" s="3" t="s">
        <v>21</v>
      </c>
      <c r="E4" s="3">
        <v>6</v>
      </c>
      <c r="G4" s="3">
        <v>8</v>
      </c>
      <c r="H4" s="3">
        <v>35</v>
      </c>
      <c r="J4" s="3">
        <v>120</v>
      </c>
      <c r="K4" s="3" t="str">
        <f t="shared" si="0"/>
        <v>8X35CM</v>
      </c>
      <c r="L4" s="3" t="str">
        <f t="shared" si="1"/>
        <v>8250120</v>
      </c>
      <c r="M4" s="3">
        <f t="shared" si="2"/>
        <v>12</v>
      </c>
    </row>
    <row r="5" spans="1:13" ht="15.75" customHeight="1" x14ac:dyDescent="0.3">
      <c r="A5" s="4" t="s">
        <v>13</v>
      </c>
      <c r="B5" s="3" t="s">
        <v>22</v>
      </c>
      <c r="C5" s="3" t="s">
        <v>23</v>
      </c>
      <c r="D5" s="3" t="s">
        <v>30</v>
      </c>
      <c r="E5" s="3">
        <v>2</v>
      </c>
      <c r="G5" s="3">
        <v>20</v>
      </c>
      <c r="H5" s="3">
        <v>50</v>
      </c>
      <c r="J5" s="3">
        <v>728</v>
      </c>
      <c r="K5" s="3" t="str">
        <f t="shared" si="0"/>
        <v>20X50CM</v>
      </c>
      <c r="L5" s="3" t="str">
        <f t="shared" si="1"/>
        <v>8250728</v>
      </c>
      <c r="M5" s="3">
        <f t="shared" si="2"/>
        <v>4</v>
      </c>
    </row>
    <row r="6" spans="1:13" ht="15.75" customHeight="1" x14ac:dyDescent="0.3">
      <c r="A6" s="4" t="s">
        <v>13</v>
      </c>
      <c r="B6" s="3" t="s">
        <v>24</v>
      </c>
      <c r="C6" s="3" t="s">
        <v>23</v>
      </c>
      <c r="D6" s="3" t="s">
        <v>31</v>
      </c>
      <c r="E6" s="3">
        <v>2</v>
      </c>
      <c r="G6" s="3">
        <v>16</v>
      </c>
      <c r="H6" s="3">
        <v>50</v>
      </c>
      <c r="J6" s="3">
        <v>536</v>
      </c>
      <c r="K6" s="3" t="str">
        <f t="shared" si="0"/>
        <v>16X50CM</v>
      </c>
      <c r="L6" s="3" t="str">
        <f t="shared" si="1"/>
        <v>8250536</v>
      </c>
      <c r="M6" s="3">
        <f t="shared" si="2"/>
        <v>4</v>
      </c>
    </row>
    <row r="7" spans="1:13" ht="15.75" customHeight="1" x14ac:dyDescent="0.3">
      <c r="A7" s="4" t="s">
        <v>13</v>
      </c>
      <c r="B7" s="3" t="s">
        <v>25</v>
      </c>
      <c r="C7" s="3" t="s">
        <v>26</v>
      </c>
      <c r="D7" s="3" t="s">
        <v>27</v>
      </c>
      <c r="E7" s="3">
        <v>3</v>
      </c>
      <c r="G7" s="3">
        <v>10</v>
      </c>
      <c r="H7" s="3">
        <v>30</v>
      </c>
      <c r="J7" s="3">
        <v>168</v>
      </c>
      <c r="K7" s="3" t="str">
        <f t="shared" si="0"/>
        <v>10X30CM</v>
      </c>
      <c r="L7" s="3" t="str">
        <f t="shared" si="1"/>
        <v>8250168</v>
      </c>
      <c r="M7" s="3">
        <f t="shared" si="2"/>
        <v>6</v>
      </c>
    </row>
    <row r="8" spans="1:13" ht="15.75" customHeight="1" x14ac:dyDescent="0.3">
      <c r="A8" s="4" t="s">
        <v>13</v>
      </c>
      <c r="B8" s="3" t="s">
        <v>28</v>
      </c>
      <c r="C8" s="3" t="s">
        <v>26</v>
      </c>
      <c r="D8" s="3" t="s">
        <v>29</v>
      </c>
      <c r="E8" s="3">
        <v>3</v>
      </c>
      <c r="G8" s="3">
        <v>10</v>
      </c>
      <c r="H8" s="3">
        <v>25</v>
      </c>
      <c r="J8" s="3">
        <v>136</v>
      </c>
      <c r="K8" s="3" t="str">
        <f>G8 &amp; H8 &amp;"CM"</f>
        <v>1025CM</v>
      </c>
      <c r="L8" s="3" t="str">
        <f t="shared" si="1"/>
        <v>8250136</v>
      </c>
      <c r="M8" s="3">
        <f t="shared" si="2"/>
        <v>6</v>
      </c>
    </row>
    <row r="9" spans="1:13" ht="15.75" customHeight="1" x14ac:dyDescent="0.3">
      <c r="A9" s="4" t="s">
        <v>13</v>
      </c>
      <c r="B9" s="3" t="s">
        <v>14</v>
      </c>
      <c r="C9" s="3" t="s">
        <v>15</v>
      </c>
      <c r="D9" s="3" t="s">
        <v>16</v>
      </c>
      <c r="E9" s="3">
        <v>3</v>
      </c>
      <c r="G9" s="3">
        <v>12</v>
      </c>
      <c r="H9" s="3">
        <v>40</v>
      </c>
      <c r="J9" s="3">
        <v>288</v>
      </c>
      <c r="K9" s="3" t="str">
        <f t="shared" si="0"/>
        <v>12X40CM</v>
      </c>
      <c r="L9" s="3" t="str">
        <f t="shared" si="1"/>
        <v>8250288</v>
      </c>
      <c r="M9" s="3">
        <f t="shared" si="2"/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--STKR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Jouhayeerk</dc:creator>
  <cp:lastModifiedBy>Martha Jouhayeerk</cp:lastModifiedBy>
  <dcterms:created xsi:type="dcterms:W3CDTF">2026-01-15T22:13:54Z</dcterms:created>
  <dcterms:modified xsi:type="dcterms:W3CDTF">2026-01-15T22:24:29Z</dcterms:modified>
</cp:coreProperties>
</file>