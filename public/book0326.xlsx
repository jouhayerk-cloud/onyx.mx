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Jouhayerk\Onyx.mx\app\public\"/>
    </mc:Choice>
  </mc:AlternateContent>
  <xr:revisionPtr revIDLastSave="0" documentId="13_ncr:1_{86278F15-5F61-4978-A34D-9DA5EAED3311}" xr6:coauthVersionLast="47" xr6:coauthVersionMax="47" xr10:uidLastSave="{00000000-0000-0000-0000-000000000000}"/>
  <bookViews>
    <workbookView xWindow="0" yWindow="15" windowWidth="29040" windowHeight="16440" xr2:uid="{00000000-000D-0000-FFFF-FFFF00000000}"/>
  </bookViews>
  <sheets>
    <sheet name="-Log" sheetId="49" r:id="rId1"/>
    <sheet name="-Production" sheetId="55" r:id="rId2"/>
    <sheet name="-Supplies" sheetId="46" r:id="rId3"/>
    <sheet name="-Crates" sheetId="45" r:id="rId4"/>
    <sheet name="-PayLog" sheetId="62" r:id="rId5"/>
    <sheet name="JM" sheetId="35" r:id="rId6"/>
    <sheet name="EM" sheetId="56" r:id="rId7"/>
    <sheet name="CA" sheetId="57" r:id="rId8"/>
    <sheet name="AN" sheetId="58" r:id="rId9"/>
    <sheet name="SU" sheetId="59" r:id="rId10"/>
    <sheet name="TE" sheetId="60" r:id="rId11"/>
    <sheet name="DH" sheetId="61" r:id="rId12"/>
    <sheet name="ML" sheetId="63" r:id="rId13"/>
    <sheet name="GE" sheetId="64" r:id="rId14"/>
    <sheet name="FR" sheetId="65" r:id="rId15"/>
    <sheet name="ET" sheetId="66" r:id="rId16"/>
    <sheet name="AM" sheetId="67" r:id="rId17"/>
    <sheet name="RF " sheetId="68" r:id="rId18"/>
    <sheet name="GS" sheetId="69" r:id="rId19"/>
    <sheet name="CP" sheetId="70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16" hidden="1">AM!#REF!</definedName>
    <definedName name="_xlnm._FilterDatabase" localSheetId="8" hidden="1">AN!#REF!</definedName>
    <definedName name="_xlnm._FilterDatabase" localSheetId="7" hidden="1">CA!#REF!</definedName>
    <definedName name="_xlnm._FilterDatabase" localSheetId="19" hidden="1">CP!#REF!</definedName>
    <definedName name="_xlnm._FilterDatabase" localSheetId="11" hidden="1">DH!#REF!</definedName>
    <definedName name="_xlnm._FilterDatabase" localSheetId="6" hidden="1">EM!#REF!</definedName>
    <definedName name="_xlnm._FilterDatabase" localSheetId="15" hidden="1">ET!#REF!</definedName>
    <definedName name="_xlnm._FilterDatabase" localSheetId="14" hidden="1">FR!#REF!</definedName>
    <definedName name="_xlnm._FilterDatabase" localSheetId="13" hidden="1">GE!#REF!</definedName>
    <definedName name="_xlnm._FilterDatabase" localSheetId="18" hidden="1">GS!#REF!</definedName>
    <definedName name="_xlnm._FilterDatabase" localSheetId="5" hidden="1">JM!#REF!</definedName>
    <definedName name="_xlnm._FilterDatabase" localSheetId="12" hidden="1">ML!#REF!</definedName>
    <definedName name="_xlnm._FilterDatabase" localSheetId="17" hidden="1">'RF '!#REF!</definedName>
    <definedName name="_xlnm._FilterDatabase" localSheetId="9" hidden="1">SU!#REF!</definedName>
    <definedName name="_xlnm._FilterDatabase" localSheetId="10" hidden="1">TE!#REF!</definedName>
    <definedName name="Categories" localSheetId="16">OFFSET('[1]Admin &amp; Settings'!$C$10,1,,COUNTA('[1]Admin &amp; Settings'!$C$10:$C$33)-1,1)</definedName>
    <definedName name="Categories" localSheetId="8">OFFSET('[1]Admin &amp; Settings'!$C$10,1,,COUNTA('[1]Admin &amp; Settings'!$C$10:$C$33)-1,1)</definedName>
    <definedName name="Categories" localSheetId="7">OFFSET('[1]Admin &amp; Settings'!$C$10,1,,COUNTA('[1]Admin &amp; Settings'!$C$10:$C$33)-1,1)</definedName>
    <definedName name="Categories" localSheetId="19">OFFSET('[1]Admin &amp; Settings'!$C$10,1,,COUNTA('[1]Admin &amp; Settings'!$C$10:$C$33)-1,1)</definedName>
    <definedName name="Categories" localSheetId="11">OFFSET('[1]Admin &amp; Settings'!$C$10,1,,COUNTA('[1]Admin &amp; Settings'!$C$10:$C$33)-1,1)</definedName>
    <definedName name="Categories" localSheetId="6">OFFSET('[1]Admin &amp; Settings'!$C$10,1,,COUNTA('[1]Admin &amp; Settings'!$C$10:$C$33)-1,1)</definedName>
    <definedName name="Categories" localSheetId="15">OFFSET('[1]Admin &amp; Settings'!$C$10,1,,COUNTA('[1]Admin &amp; Settings'!$C$10:$C$33)-1,1)</definedName>
    <definedName name="Categories" localSheetId="14">OFFSET('[1]Admin &amp; Settings'!$C$10,1,,COUNTA('[1]Admin &amp; Settings'!$C$10:$C$33)-1,1)</definedName>
    <definedName name="Categories" localSheetId="13">OFFSET('[1]Admin &amp; Settings'!$C$10,1,,COUNTA('[1]Admin &amp; Settings'!$C$10:$C$33)-1,1)</definedName>
    <definedName name="Categories" localSheetId="18">OFFSET('[1]Admin &amp; Settings'!$C$10,1,,COUNTA('[1]Admin &amp; Settings'!$C$10:$C$33)-1,1)</definedName>
    <definedName name="Categories" localSheetId="5">OFFSET('[1]Admin &amp; Settings'!$C$10,1,,COUNTA('[1]Admin &amp; Settings'!$C$10:$C$33)-1,1)</definedName>
    <definedName name="Categories" localSheetId="12">OFFSET('[1]Admin &amp; Settings'!$C$10,1,,COUNTA('[1]Admin &amp; Settings'!$C$10:$C$33)-1,1)</definedName>
    <definedName name="Categories" localSheetId="17">OFFSET('[1]Admin &amp; Settings'!$C$10,1,,COUNTA('[1]Admin &amp; Settings'!$C$10:$C$33)-1,1)</definedName>
    <definedName name="Categories" localSheetId="9">OFFSET('[1]Admin &amp; Settings'!$C$10,1,,COUNTA('[1]Admin &amp; Settings'!$C$10:$C$33)-1,1)</definedName>
    <definedName name="Categories" localSheetId="10">OFFSET('[1]Admin &amp; Settings'!$C$10,1,,COUNTA('[1]Admin &amp; Settings'!$C$10:$C$33)-1,1)</definedName>
    <definedName name="Categories">OFFSET('[2]Admin &amp; Settings'!$C$10,1,,COUNTA('[2]Admin &amp; Settings'!$C$10:$C$33)-1,1)</definedName>
    <definedName name="Months">[3]Expenses!#REF!</definedName>
    <definedName name="_xlnm.Print_Titles" localSheetId="16">AM!$1:$2</definedName>
    <definedName name="_xlnm.Print_Titles" localSheetId="8">AN!$1:$2</definedName>
    <definedName name="_xlnm.Print_Titles" localSheetId="7">CA!$1:$2</definedName>
    <definedName name="_xlnm.Print_Titles" localSheetId="19">CP!$1:$2</definedName>
    <definedName name="_xlnm.Print_Titles" localSheetId="11">DH!$1:$2</definedName>
    <definedName name="_xlnm.Print_Titles" localSheetId="6">EM!$1:$2</definedName>
    <definedName name="_xlnm.Print_Titles" localSheetId="15">ET!$1:$2</definedName>
    <definedName name="_xlnm.Print_Titles" localSheetId="14">FR!$1:$2</definedName>
    <definedName name="_xlnm.Print_Titles" localSheetId="13">GE!$1:$2</definedName>
    <definedName name="_xlnm.Print_Titles" localSheetId="18">GS!$1:$2</definedName>
    <definedName name="_xlnm.Print_Titles" localSheetId="5">JM!$1:$2</definedName>
    <definedName name="_xlnm.Print_Titles" localSheetId="12">ML!$1:$2</definedName>
    <definedName name="_xlnm.Print_Titles" localSheetId="17">'RF '!$1:$2</definedName>
    <definedName name="_xlnm.Print_Titles" localSheetId="9">SU!$1:$2</definedName>
    <definedName name="_xlnm.Print_Titles" localSheetId="10">TE!$1:$2</definedName>
    <definedName name="Status" localSheetId="16">[4]TE!$AB$4:$AB$6</definedName>
    <definedName name="Status" localSheetId="8">[4]TE!$AB$4:$AB$6</definedName>
    <definedName name="Status" localSheetId="7">[4]TE!$AB$4:$AB$6</definedName>
    <definedName name="Status" localSheetId="19">[4]TE!$AB$4:$AB$6</definedName>
    <definedName name="Status" localSheetId="3">[5]TE!$AB$4:$AB$6</definedName>
    <definedName name="Status" localSheetId="11">[4]TE!$AB$4:$AB$6</definedName>
    <definedName name="Status" localSheetId="6">[4]TE!$AB$4:$AB$6</definedName>
    <definedName name="Status" localSheetId="15">[4]TE!$AB$4:$AB$6</definedName>
    <definedName name="Status" localSheetId="14">[4]TE!$AB$4:$AB$6</definedName>
    <definedName name="Status" localSheetId="13">[4]TE!$AB$4:$AB$6</definedName>
    <definedName name="Status" localSheetId="18">[4]TE!$AB$4:$AB$6</definedName>
    <definedName name="Status" localSheetId="5">[4]TE!$AB$4:$AB$6</definedName>
    <definedName name="Status" localSheetId="0">[6]TE!$AB$4:$AB$6</definedName>
    <definedName name="Status" localSheetId="12">[4]TE!$AB$4:$AB$6</definedName>
    <definedName name="Status" localSheetId="17">[4]TE!$AB$4:$AB$6</definedName>
    <definedName name="Status" localSheetId="9">[4]TE!$AB$4:$AB$6</definedName>
    <definedName name="Status" localSheetId="2">[5]TE!$AB$4:$AB$6</definedName>
    <definedName name="Status" localSheetId="10">[4]TE!$AB$4:$AB$6</definedName>
    <definedName name="Status">#REF!</definedName>
    <definedName name="valHighlight" localSheetId="16">IFERROR(IF(AM!#REF!="Yes", TRUE, FALSE),FALSE)</definedName>
    <definedName name="valHighlight" localSheetId="8">IFERROR(IF(AN!#REF!="Yes", TRUE, FALSE),FALSE)</definedName>
    <definedName name="valHighlight" localSheetId="7">IFERROR(IF(CA!#REF!="Yes", TRUE, FALSE),FALSE)</definedName>
    <definedName name="valHighlight" localSheetId="19">IFERROR(IF(CP!#REF!="Yes", TRUE, FALSE),FALSE)</definedName>
    <definedName name="valHighlight" localSheetId="11">IFERROR(IF(DH!#REF!="Yes", TRUE, FALSE),FALSE)</definedName>
    <definedName name="valHighlight" localSheetId="6">IFERROR(IF(EM!#REF!="Yes", TRUE, FALSE),FALSE)</definedName>
    <definedName name="valHighlight" localSheetId="15">IFERROR(IF(ET!#REF!="Yes", TRUE, FALSE),FALSE)</definedName>
    <definedName name="valHighlight" localSheetId="14">IFERROR(IF(FR!#REF!="Yes", TRUE, FALSE),FALSE)</definedName>
    <definedName name="valHighlight" localSheetId="13">IFERROR(IF(GE!#REF!="Yes", TRUE, FALSE),FALSE)</definedName>
    <definedName name="valHighlight" localSheetId="18">IFERROR(IF(GS!#REF!="Yes", TRUE, FALSE),FALSE)</definedName>
    <definedName name="valHighlight" localSheetId="5">IFERROR(IF(JM!#REF!="Yes", TRUE, FALSE),FALSE)</definedName>
    <definedName name="valHighlight" localSheetId="12">IFERROR(IF(ML!#REF!="Yes", TRUE, FALSE),FALSE)</definedName>
    <definedName name="valHighlight" localSheetId="17">IFERROR(IF('RF '!#REF!="Yes", TRUE, FALSE),FALSE)</definedName>
    <definedName name="valHighlight" localSheetId="9">IFERROR(IF(SU!#REF!="Yes", TRUE, FALSE),FALSE)</definedName>
    <definedName name="valHighlight" localSheetId="10">IFERROR(IF(TE!#REF!="Yes", TRUE, FALSE),FALSE)</definedName>
    <definedName name="valHighlight">IFERROR(IF(#REF!="Yes",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4_dd2a1f7b-2283-4274-aa1e-b59c19bdd2d0" name="Page004" connection="Query - Page004"/>
          <x15:modelTable id="Table001  Page 1_afc22110-aa6e-4a56-b41a-7e0c7b9cbeef" name="Table001  Page 1" connection="Query - Table001 (Page 1)"/>
          <x15:modelTable id="Table002  Page 2_d58b31cc-4048-4d36-a39c-5360eabff941" name="Table002  Page 2" connection="Query - Table002 (Page 2)"/>
          <x15:modelTable id="Page001_abcd4fa0-4f33-4cdb-b9cd-7e683c203e3d" name="Page001" connection="Query - Page001"/>
          <x15:modelTable id="Page003_f071ef70-4739-43eb-b4e6-7e7f3d419e03" name="Page003" connection="Query - Page003"/>
          <x15:modelTable id="Page002_c0f01627-1c58-446f-b8d0-dfb3d9add719" name="Page002" connection="Query - Page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45" l="1"/>
  <c r="Q16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R15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R29" i="45"/>
  <c r="R30" i="45"/>
  <c r="R31" i="45"/>
  <c r="R32" i="45"/>
  <c r="R33" i="45"/>
  <c r="R34" i="45"/>
  <c r="R35" i="45"/>
  <c r="R36" i="45"/>
  <c r="R37" i="45"/>
  <c r="R38" i="45"/>
  <c r="R39" i="45"/>
  <c r="R40" i="45"/>
  <c r="R41" i="45"/>
  <c r="R42" i="45"/>
  <c r="R43" i="45"/>
  <c r="R44" i="45"/>
  <c r="R45" i="45"/>
  <c r="R46" i="45"/>
  <c r="R47" i="45"/>
  <c r="R48" i="45"/>
  <c r="R49" i="45"/>
  <c r="R50" i="45"/>
  <c r="R51" i="45"/>
  <c r="R52" i="45"/>
  <c r="R53" i="45"/>
  <c r="R54" i="45"/>
  <c r="R55" i="45"/>
  <c r="R56" i="45"/>
  <c r="R57" i="45"/>
  <c r="R58" i="45"/>
  <c r="R59" i="45"/>
  <c r="R60" i="45"/>
  <c r="R61" i="45"/>
  <c r="R62" i="45"/>
  <c r="R63" i="45"/>
  <c r="R64" i="45"/>
  <c r="R65" i="45"/>
  <c r="R66" i="45"/>
  <c r="R67" i="45"/>
  <c r="R68" i="45"/>
  <c r="R69" i="45"/>
  <c r="R70" i="45"/>
  <c r="R71" i="45"/>
  <c r="R72" i="45"/>
  <c r="R73" i="45"/>
  <c r="R74" i="45"/>
  <c r="R75" i="45"/>
  <c r="R76" i="45"/>
  <c r="R77" i="45"/>
  <c r="R78" i="45"/>
  <c r="R79" i="45"/>
  <c r="R80" i="45"/>
  <c r="R81" i="45"/>
  <c r="R82" i="45"/>
  <c r="R83" i="45"/>
  <c r="R84" i="45"/>
  <c r="R85" i="45"/>
  <c r="R86" i="45"/>
  <c r="R87" i="45"/>
  <c r="R88" i="45"/>
  <c r="R89" i="45"/>
  <c r="R90" i="45"/>
  <c r="R91" i="45"/>
  <c r="R92" i="45"/>
  <c r="R93" i="45"/>
  <c r="R94" i="45"/>
  <c r="R95" i="45"/>
  <c r="R96" i="45"/>
  <c r="R97" i="45"/>
  <c r="R98" i="45"/>
  <c r="R99" i="45"/>
  <c r="R100" i="45"/>
  <c r="R101" i="45"/>
  <c r="R102" i="45"/>
  <c r="R103" i="45"/>
  <c r="R104" i="45"/>
  <c r="R105" i="45"/>
  <c r="R106" i="45"/>
  <c r="R107" i="45"/>
  <c r="R108" i="45"/>
  <c r="R109" i="45"/>
  <c r="R110" i="45"/>
  <c r="R111" i="45"/>
  <c r="R112" i="45"/>
  <c r="R113" i="45"/>
  <c r="R114" i="45"/>
  <c r="R115" i="45"/>
  <c r="R116" i="45"/>
  <c r="R117" i="45"/>
  <c r="R118" i="45"/>
  <c r="R119" i="45"/>
  <c r="R120" i="45"/>
  <c r="R121" i="45"/>
  <c r="R122" i="45"/>
  <c r="R123" i="45"/>
  <c r="R124" i="45"/>
  <c r="R125" i="45"/>
  <c r="R126" i="45"/>
  <c r="R127" i="45"/>
  <c r="R128" i="45"/>
  <c r="R129" i="45"/>
  <c r="R130" i="45"/>
  <c r="R131" i="45"/>
  <c r="R132" i="45"/>
  <c r="R133" i="45"/>
  <c r="R134" i="45"/>
  <c r="R135" i="45"/>
  <c r="R136" i="45"/>
  <c r="R137" i="45"/>
  <c r="R138" i="45"/>
  <c r="R139" i="45"/>
  <c r="R140" i="45"/>
  <c r="L15" i="45"/>
  <c r="M15" i="45"/>
  <c r="N15" i="45"/>
  <c r="O15" i="45"/>
  <c r="P15" i="45"/>
  <c r="L16" i="45"/>
  <c r="M16" i="45"/>
  <c r="N16" i="45"/>
  <c r="O16" i="45"/>
  <c r="P16" i="45"/>
  <c r="L17" i="45"/>
  <c r="M17" i="45"/>
  <c r="N17" i="45"/>
  <c r="O17" i="45"/>
  <c r="P17" i="45"/>
  <c r="L18" i="45"/>
  <c r="M18" i="45"/>
  <c r="N18" i="45"/>
  <c r="O18" i="45"/>
  <c r="P18" i="45"/>
  <c r="L19" i="45"/>
  <c r="M19" i="45"/>
  <c r="N19" i="45"/>
  <c r="O19" i="45"/>
  <c r="P19" i="45"/>
  <c r="L20" i="45"/>
  <c r="M20" i="45"/>
  <c r="N20" i="45"/>
  <c r="O20" i="45"/>
  <c r="P20" i="45"/>
  <c r="L21" i="45"/>
  <c r="M21" i="45"/>
  <c r="N21" i="45"/>
  <c r="O21" i="45"/>
  <c r="P21" i="45"/>
  <c r="L22" i="45"/>
  <c r="M22" i="45"/>
  <c r="N22" i="45"/>
  <c r="O22" i="45"/>
  <c r="P22" i="45"/>
  <c r="L23" i="45"/>
  <c r="M23" i="45"/>
  <c r="N23" i="45"/>
  <c r="O23" i="45"/>
  <c r="P23" i="45"/>
  <c r="L24" i="45"/>
  <c r="M24" i="45"/>
  <c r="N24" i="45"/>
  <c r="O24" i="45"/>
  <c r="P24" i="45"/>
  <c r="L25" i="45"/>
  <c r="M25" i="45"/>
  <c r="N25" i="45"/>
  <c r="O25" i="45"/>
  <c r="P25" i="45"/>
  <c r="L26" i="45"/>
  <c r="M26" i="45"/>
  <c r="N26" i="45"/>
  <c r="O26" i="45"/>
  <c r="P26" i="45"/>
  <c r="L27" i="45"/>
  <c r="M27" i="45"/>
  <c r="N27" i="45"/>
  <c r="O27" i="45"/>
  <c r="P27" i="45"/>
  <c r="L28" i="45"/>
  <c r="M28" i="45"/>
  <c r="N28" i="45"/>
  <c r="O28" i="45"/>
  <c r="P28" i="45"/>
  <c r="L29" i="45"/>
  <c r="M29" i="45"/>
  <c r="N29" i="45"/>
  <c r="O29" i="45"/>
  <c r="P29" i="45"/>
  <c r="L30" i="45"/>
  <c r="M30" i="45"/>
  <c r="N30" i="45"/>
  <c r="O30" i="45"/>
  <c r="P30" i="45"/>
  <c r="L31" i="45"/>
  <c r="M31" i="45"/>
  <c r="N31" i="45"/>
  <c r="O31" i="45"/>
  <c r="P31" i="45"/>
  <c r="L32" i="45"/>
  <c r="M32" i="45"/>
  <c r="N32" i="45"/>
  <c r="O32" i="45"/>
  <c r="P32" i="45"/>
  <c r="L33" i="45"/>
  <c r="M33" i="45"/>
  <c r="N33" i="45"/>
  <c r="O33" i="45"/>
  <c r="P33" i="45"/>
  <c r="L34" i="45"/>
  <c r="M34" i="45"/>
  <c r="N34" i="45"/>
  <c r="O34" i="45"/>
  <c r="P34" i="45"/>
  <c r="L35" i="45"/>
  <c r="M35" i="45"/>
  <c r="N35" i="45"/>
  <c r="O35" i="45"/>
  <c r="P35" i="45"/>
  <c r="L36" i="45"/>
  <c r="M36" i="45"/>
  <c r="N36" i="45"/>
  <c r="O36" i="45"/>
  <c r="P36" i="45"/>
  <c r="L37" i="45"/>
  <c r="M37" i="45"/>
  <c r="N37" i="45"/>
  <c r="O37" i="45"/>
  <c r="P37" i="45"/>
  <c r="L38" i="45"/>
  <c r="M38" i="45"/>
  <c r="N38" i="45"/>
  <c r="O38" i="45"/>
  <c r="P38" i="45"/>
  <c r="L39" i="45"/>
  <c r="M39" i="45"/>
  <c r="N39" i="45"/>
  <c r="O39" i="45"/>
  <c r="P39" i="45"/>
  <c r="L40" i="45"/>
  <c r="M40" i="45"/>
  <c r="N40" i="45"/>
  <c r="O40" i="45"/>
  <c r="P40" i="45"/>
  <c r="L41" i="45"/>
  <c r="M41" i="45"/>
  <c r="N41" i="45"/>
  <c r="O41" i="45"/>
  <c r="P41" i="45"/>
  <c r="L42" i="45"/>
  <c r="M42" i="45"/>
  <c r="N42" i="45"/>
  <c r="O42" i="45"/>
  <c r="P42" i="45"/>
  <c r="L43" i="45"/>
  <c r="M43" i="45"/>
  <c r="N43" i="45"/>
  <c r="O43" i="45"/>
  <c r="P43" i="45"/>
  <c r="L44" i="45"/>
  <c r="M44" i="45"/>
  <c r="N44" i="45"/>
  <c r="O44" i="45"/>
  <c r="P44" i="45"/>
  <c r="L45" i="45"/>
  <c r="M45" i="45"/>
  <c r="N45" i="45"/>
  <c r="O45" i="45"/>
  <c r="P45" i="45"/>
  <c r="L46" i="45"/>
  <c r="M46" i="45"/>
  <c r="N46" i="45"/>
  <c r="O46" i="45"/>
  <c r="P46" i="45"/>
  <c r="L47" i="45"/>
  <c r="M47" i="45"/>
  <c r="N47" i="45"/>
  <c r="O47" i="45"/>
  <c r="P47" i="45"/>
  <c r="L48" i="45"/>
  <c r="M48" i="45"/>
  <c r="N48" i="45"/>
  <c r="O48" i="45"/>
  <c r="P48" i="45"/>
  <c r="L49" i="45"/>
  <c r="M49" i="45"/>
  <c r="N49" i="45"/>
  <c r="O49" i="45"/>
  <c r="P49" i="45"/>
  <c r="L50" i="45"/>
  <c r="M50" i="45"/>
  <c r="N50" i="45"/>
  <c r="O50" i="45"/>
  <c r="P50" i="45"/>
  <c r="L51" i="45"/>
  <c r="M51" i="45"/>
  <c r="N51" i="45"/>
  <c r="O51" i="45"/>
  <c r="P51" i="45"/>
  <c r="L52" i="45"/>
  <c r="M52" i="45"/>
  <c r="N52" i="45"/>
  <c r="O52" i="45"/>
  <c r="P52" i="45"/>
  <c r="L53" i="45"/>
  <c r="M53" i="45"/>
  <c r="N53" i="45"/>
  <c r="O53" i="45"/>
  <c r="P53" i="45"/>
  <c r="L54" i="45"/>
  <c r="M54" i="45"/>
  <c r="N54" i="45"/>
  <c r="O54" i="45"/>
  <c r="P54" i="45"/>
  <c r="L55" i="45"/>
  <c r="M55" i="45"/>
  <c r="N55" i="45"/>
  <c r="O55" i="45"/>
  <c r="P55" i="45"/>
  <c r="L56" i="45"/>
  <c r="M56" i="45"/>
  <c r="N56" i="45"/>
  <c r="O56" i="45"/>
  <c r="P56" i="45"/>
  <c r="L57" i="45"/>
  <c r="M57" i="45"/>
  <c r="N57" i="45"/>
  <c r="O57" i="45"/>
  <c r="P57" i="45"/>
  <c r="L58" i="45"/>
  <c r="M58" i="45"/>
  <c r="N58" i="45"/>
  <c r="O58" i="45"/>
  <c r="P58" i="45"/>
  <c r="L59" i="45"/>
  <c r="M59" i="45"/>
  <c r="N59" i="45"/>
  <c r="O59" i="45"/>
  <c r="P59" i="45"/>
  <c r="L60" i="45"/>
  <c r="M60" i="45"/>
  <c r="N60" i="45"/>
  <c r="O60" i="45"/>
  <c r="P60" i="45"/>
  <c r="L61" i="45"/>
  <c r="M61" i="45"/>
  <c r="N61" i="45"/>
  <c r="O61" i="45"/>
  <c r="P61" i="45"/>
  <c r="L62" i="45"/>
  <c r="M62" i="45"/>
  <c r="N62" i="45"/>
  <c r="O62" i="45"/>
  <c r="P62" i="45"/>
  <c r="L63" i="45"/>
  <c r="M63" i="45"/>
  <c r="N63" i="45"/>
  <c r="O63" i="45"/>
  <c r="P63" i="45"/>
  <c r="L64" i="45"/>
  <c r="M64" i="45"/>
  <c r="N64" i="45"/>
  <c r="O64" i="45"/>
  <c r="P64" i="45"/>
  <c r="L65" i="45"/>
  <c r="M65" i="45"/>
  <c r="N65" i="45"/>
  <c r="O65" i="45"/>
  <c r="P65" i="45"/>
  <c r="L66" i="45"/>
  <c r="M66" i="45"/>
  <c r="N66" i="45"/>
  <c r="O66" i="45"/>
  <c r="P66" i="45"/>
  <c r="L67" i="45"/>
  <c r="M67" i="45"/>
  <c r="N67" i="45"/>
  <c r="O67" i="45"/>
  <c r="P67" i="45"/>
  <c r="L68" i="45"/>
  <c r="M68" i="45"/>
  <c r="N68" i="45"/>
  <c r="O68" i="45"/>
  <c r="P68" i="45"/>
  <c r="L69" i="45"/>
  <c r="M69" i="45"/>
  <c r="N69" i="45"/>
  <c r="O69" i="45"/>
  <c r="P69" i="45"/>
  <c r="L70" i="45"/>
  <c r="M70" i="45"/>
  <c r="N70" i="45"/>
  <c r="O70" i="45"/>
  <c r="P70" i="45"/>
  <c r="L71" i="45"/>
  <c r="M71" i="45"/>
  <c r="N71" i="45"/>
  <c r="O71" i="45"/>
  <c r="P71" i="45"/>
  <c r="L72" i="45"/>
  <c r="M72" i="45"/>
  <c r="N72" i="45"/>
  <c r="O72" i="45"/>
  <c r="P72" i="45"/>
  <c r="L73" i="45"/>
  <c r="M73" i="45"/>
  <c r="N73" i="45"/>
  <c r="O73" i="45"/>
  <c r="P73" i="45"/>
  <c r="L74" i="45"/>
  <c r="M74" i="45"/>
  <c r="N74" i="45"/>
  <c r="O74" i="45"/>
  <c r="P74" i="45"/>
  <c r="L75" i="45"/>
  <c r="M75" i="45"/>
  <c r="N75" i="45"/>
  <c r="O75" i="45"/>
  <c r="P75" i="45"/>
  <c r="L76" i="45"/>
  <c r="M76" i="45"/>
  <c r="N76" i="45"/>
  <c r="O76" i="45"/>
  <c r="P76" i="45"/>
  <c r="L77" i="45"/>
  <c r="M77" i="45"/>
  <c r="N77" i="45"/>
  <c r="O77" i="45"/>
  <c r="P77" i="45"/>
  <c r="L78" i="45"/>
  <c r="M78" i="45"/>
  <c r="N78" i="45"/>
  <c r="O78" i="45"/>
  <c r="P78" i="45"/>
  <c r="L79" i="45"/>
  <c r="M79" i="45"/>
  <c r="N79" i="45"/>
  <c r="O79" i="45"/>
  <c r="P79" i="45"/>
  <c r="L80" i="45"/>
  <c r="M80" i="45"/>
  <c r="N80" i="45"/>
  <c r="O80" i="45"/>
  <c r="P80" i="45"/>
  <c r="L81" i="45"/>
  <c r="M81" i="45"/>
  <c r="N81" i="45"/>
  <c r="O81" i="45"/>
  <c r="P81" i="45"/>
  <c r="L82" i="45"/>
  <c r="M82" i="45"/>
  <c r="N82" i="45"/>
  <c r="O82" i="45"/>
  <c r="P82" i="45"/>
  <c r="L83" i="45"/>
  <c r="M83" i="45"/>
  <c r="N83" i="45"/>
  <c r="O83" i="45"/>
  <c r="P83" i="45"/>
  <c r="L84" i="45"/>
  <c r="M84" i="45"/>
  <c r="N84" i="45"/>
  <c r="O84" i="45"/>
  <c r="P84" i="45"/>
  <c r="L85" i="45"/>
  <c r="M85" i="45"/>
  <c r="N85" i="45"/>
  <c r="O85" i="45"/>
  <c r="P85" i="45"/>
  <c r="L86" i="45"/>
  <c r="M86" i="45"/>
  <c r="N86" i="45"/>
  <c r="O86" i="45"/>
  <c r="P86" i="45"/>
  <c r="L87" i="45"/>
  <c r="M87" i="45"/>
  <c r="N87" i="45"/>
  <c r="O87" i="45"/>
  <c r="P87" i="45"/>
  <c r="L88" i="45"/>
  <c r="M88" i="45"/>
  <c r="N88" i="45"/>
  <c r="O88" i="45"/>
  <c r="P88" i="45"/>
  <c r="L89" i="45"/>
  <c r="M89" i="45"/>
  <c r="N89" i="45"/>
  <c r="O89" i="45"/>
  <c r="P89" i="45"/>
  <c r="L90" i="45"/>
  <c r="M90" i="45"/>
  <c r="N90" i="45"/>
  <c r="O90" i="45"/>
  <c r="P90" i="45"/>
  <c r="L91" i="45"/>
  <c r="M91" i="45"/>
  <c r="N91" i="45"/>
  <c r="O91" i="45"/>
  <c r="P91" i="45"/>
  <c r="L92" i="45"/>
  <c r="M92" i="45"/>
  <c r="N92" i="45"/>
  <c r="O92" i="45"/>
  <c r="P92" i="45"/>
  <c r="L93" i="45"/>
  <c r="M93" i="45"/>
  <c r="N93" i="45"/>
  <c r="O93" i="45"/>
  <c r="P93" i="45"/>
  <c r="L94" i="45"/>
  <c r="M94" i="45"/>
  <c r="N94" i="45"/>
  <c r="O94" i="45"/>
  <c r="P94" i="45"/>
  <c r="L95" i="45"/>
  <c r="M95" i="45"/>
  <c r="N95" i="45"/>
  <c r="O95" i="45"/>
  <c r="P95" i="45"/>
  <c r="L96" i="45"/>
  <c r="M96" i="45"/>
  <c r="N96" i="45"/>
  <c r="O96" i="45"/>
  <c r="P96" i="45"/>
  <c r="L97" i="45"/>
  <c r="M97" i="45"/>
  <c r="N97" i="45"/>
  <c r="O97" i="45"/>
  <c r="P97" i="45"/>
  <c r="L98" i="45"/>
  <c r="M98" i="45"/>
  <c r="N98" i="45"/>
  <c r="O98" i="45"/>
  <c r="P98" i="45"/>
  <c r="L99" i="45"/>
  <c r="M99" i="45"/>
  <c r="N99" i="45"/>
  <c r="O99" i="45"/>
  <c r="P99" i="45"/>
  <c r="L100" i="45"/>
  <c r="M100" i="45"/>
  <c r="N100" i="45"/>
  <c r="O100" i="45"/>
  <c r="P100" i="45"/>
  <c r="L101" i="45"/>
  <c r="M101" i="45"/>
  <c r="N101" i="45"/>
  <c r="O101" i="45"/>
  <c r="P101" i="45"/>
  <c r="L102" i="45"/>
  <c r="M102" i="45"/>
  <c r="N102" i="45"/>
  <c r="O102" i="45"/>
  <c r="P102" i="45"/>
  <c r="L103" i="45"/>
  <c r="M103" i="45"/>
  <c r="N103" i="45"/>
  <c r="O103" i="45"/>
  <c r="P103" i="45"/>
  <c r="L104" i="45"/>
  <c r="M104" i="45"/>
  <c r="N104" i="45"/>
  <c r="O104" i="45"/>
  <c r="P104" i="45"/>
  <c r="L105" i="45"/>
  <c r="M105" i="45"/>
  <c r="N105" i="45"/>
  <c r="O105" i="45"/>
  <c r="P105" i="45"/>
  <c r="L106" i="45"/>
  <c r="M106" i="45"/>
  <c r="N106" i="45"/>
  <c r="O106" i="45"/>
  <c r="P106" i="45"/>
  <c r="L107" i="45"/>
  <c r="M107" i="45"/>
  <c r="N107" i="45"/>
  <c r="O107" i="45"/>
  <c r="P107" i="45"/>
  <c r="L108" i="45"/>
  <c r="M108" i="45"/>
  <c r="N108" i="45"/>
  <c r="O108" i="45"/>
  <c r="P108" i="45"/>
  <c r="L109" i="45"/>
  <c r="M109" i="45"/>
  <c r="N109" i="45"/>
  <c r="O109" i="45"/>
  <c r="P109" i="45"/>
  <c r="L110" i="45"/>
  <c r="M110" i="45"/>
  <c r="N110" i="45"/>
  <c r="O110" i="45"/>
  <c r="P110" i="45"/>
  <c r="L111" i="45"/>
  <c r="M111" i="45"/>
  <c r="N111" i="45"/>
  <c r="O111" i="45"/>
  <c r="P111" i="45"/>
  <c r="L112" i="45"/>
  <c r="M112" i="45"/>
  <c r="N112" i="45"/>
  <c r="O112" i="45"/>
  <c r="P112" i="45"/>
  <c r="L113" i="45"/>
  <c r="M113" i="45"/>
  <c r="N113" i="45"/>
  <c r="O113" i="45"/>
  <c r="P113" i="45"/>
  <c r="L114" i="45"/>
  <c r="M114" i="45"/>
  <c r="N114" i="45"/>
  <c r="O114" i="45"/>
  <c r="P114" i="45"/>
  <c r="L115" i="45"/>
  <c r="M115" i="45"/>
  <c r="N115" i="45"/>
  <c r="O115" i="45"/>
  <c r="P115" i="45"/>
  <c r="L116" i="45"/>
  <c r="M116" i="45"/>
  <c r="N116" i="45"/>
  <c r="O116" i="45"/>
  <c r="P116" i="45"/>
  <c r="L117" i="45"/>
  <c r="M117" i="45"/>
  <c r="N117" i="45"/>
  <c r="O117" i="45"/>
  <c r="P117" i="45"/>
  <c r="L118" i="45"/>
  <c r="M118" i="45"/>
  <c r="N118" i="45"/>
  <c r="O118" i="45"/>
  <c r="P118" i="45"/>
  <c r="L119" i="45"/>
  <c r="M119" i="45"/>
  <c r="N119" i="45"/>
  <c r="O119" i="45"/>
  <c r="P119" i="45"/>
  <c r="L120" i="45"/>
  <c r="M120" i="45"/>
  <c r="N120" i="45"/>
  <c r="O120" i="45"/>
  <c r="P120" i="45"/>
  <c r="L121" i="45"/>
  <c r="M121" i="45"/>
  <c r="N121" i="45"/>
  <c r="O121" i="45"/>
  <c r="P121" i="45"/>
  <c r="L122" i="45"/>
  <c r="M122" i="45"/>
  <c r="N122" i="45"/>
  <c r="O122" i="45"/>
  <c r="P122" i="45"/>
  <c r="L123" i="45"/>
  <c r="M123" i="45"/>
  <c r="N123" i="45"/>
  <c r="O123" i="45"/>
  <c r="P123" i="45"/>
  <c r="L124" i="45"/>
  <c r="M124" i="45"/>
  <c r="N124" i="45"/>
  <c r="O124" i="45"/>
  <c r="P124" i="45"/>
  <c r="L125" i="45"/>
  <c r="M125" i="45"/>
  <c r="N125" i="45"/>
  <c r="O125" i="45"/>
  <c r="P125" i="45"/>
  <c r="L126" i="45"/>
  <c r="M126" i="45"/>
  <c r="N126" i="45"/>
  <c r="O126" i="45"/>
  <c r="P126" i="45"/>
  <c r="L127" i="45"/>
  <c r="M127" i="45"/>
  <c r="N127" i="45"/>
  <c r="O127" i="45"/>
  <c r="P127" i="45"/>
  <c r="L128" i="45"/>
  <c r="M128" i="45"/>
  <c r="N128" i="45"/>
  <c r="O128" i="45"/>
  <c r="P128" i="45"/>
  <c r="L129" i="45"/>
  <c r="M129" i="45"/>
  <c r="N129" i="45"/>
  <c r="O129" i="45"/>
  <c r="P129" i="45"/>
  <c r="L130" i="45"/>
  <c r="M130" i="45"/>
  <c r="N130" i="45"/>
  <c r="O130" i="45"/>
  <c r="P130" i="45"/>
  <c r="L131" i="45"/>
  <c r="M131" i="45"/>
  <c r="N131" i="45"/>
  <c r="O131" i="45"/>
  <c r="P131" i="45"/>
  <c r="L132" i="45"/>
  <c r="M132" i="45"/>
  <c r="N132" i="45"/>
  <c r="O132" i="45"/>
  <c r="P132" i="45"/>
  <c r="L133" i="45"/>
  <c r="M133" i="45"/>
  <c r="N133" i="45"/>
  <c r="O133" i="45"/>
  <c r="P133" i="45"/>
  <c r="L134" i="45"/>
  <c r="M134" i="45"/>
  <c r="N134" i="45"/>
  <c r="O134" i="45"/>
  <c r="P134" i="45"/>
  <c r="L135" i="45"/>
  <c r="M135" i="45"/>
  <c r="N135" i="45"/>
  <c r="O135" i="45"/>
  <c r="P135" i="45"/>
  <c r="L136" i="45"/>
  <c r="M136" i="45"/>
  <c r="N136" i="45"/>
  <c r="O136" i="45"/>
  <c r="P136" i="45"/>
  <c r="L137" i="45"/>
  <c r="M137" i="45"/>
  <c r="N137" i="45"/>
  <c r="O137" i="45"/>
  <c r="P137" i="45"/>
  <c r="L138" i="45"/>
  <c r="M138" i="45"/>
  <c r="N138" i="45"/>
  <c r="O138" i="45"/>
  <c r="P138" i="45"/>
  <c r="L139" i="45"/>
  <c r="M139" i="45"/>
  <c r="N139" i="45"/>
  <c r="O139" i="45"/>
  <c r="P139" i="45"/>
  <c r="L140" i="45"/>
  <c r="M140" i="45"/>
  <c r="N140" i="45"/>
  <c r="O140" i="45"/>
  <c r="P140" i="45"/>
  <c r="E13" i="49"/>
  <c r="E12" i="49"/>
  <c r="E11" i="49"/>
  <c r="E10" i="49"/>
  <c r="F4" i="60"/>
  <c r="F5" i="60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56" i="60"/>
  <c r="F57" i="60"/>
  <c r="F58" i="60"/>
  <c r="F59" i="60"/>
  <c r="F60" i="60"/>
  <c r="F61" i="60"/>
  <c r="F62" i="60"/>
  <c r="F63" i="60"/>
  <c r="F64" i="60"/>
  <c r="F65" i="60"/>
  <c r="F66" i="60"/>
  <c r="F67" i="60"/>
  <c r="F68" i="60"/>
  <c r="F69" i="60"/>
  <c r="F70" i="60"/>
  <c r="F71" i="60"/>
  <c r="F72" i="60"/>
  <c r="F73" i="60"/>
  <c r="F74" i="60"/>
  <c r="F75" i="60"/>
  <c r="F76" i="60"/>
  <c r="F77" i="60"/>
  <c r="F78" i="60"/>
  <c r="F79" i="60"/>
  <c r="F80" i="60"/>
  <c r="F81" i="60"/>
  <c r="F82" i="60"/>
  <c r="F83" i="60"/>
  <c r="F84" i="60"/>
  <c r="F85" i="60"/>
  <c r="F86" i="60"/>
  <c r="F87" i="60"/>
  <c r="F88" i="60"/>
  <c r="F89" i="60"/>
  <c r="F90" i="60"/>
  <c r="F91" i="60"/>
  <c r="F92" i="60"/>
  <c r="F93" i="60"/>
  <c r="F94" i="60"/>
  <c r="F95" i="60"/>
  <c r="F96" i="60"/>
  <c r="F97" i="60"/>
  <c r="F98" i="60"/>
  <c r="F99" i="60"/>
  <c r="F100" i="60"/>
  <c r="F101" i="60"/>
  <c r="F102" i="60"/>
  <c r="F3" i="60"/>
  <c r="F4" i="59"/>
  <c r="F5" i="59"/>
  <c r="F6" i="59"/>
  <c r="F7" i="59"/>
  <c r="F8" i="59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33" i="59"/>
  <c r="F34" i="59"/>
  <c r="F35" i="59"/>
  <c r="F36" i="59"/>
  <c r="F37" i="59"/>
  <c r="F38" i="59"/>
  <c r="F39" i="59"/>
  <c r="F40" i="59"/>
  <c r="F41" i="59"/>
  <c r="F42" i="59"/>
  <c r="F43" i="59"/>
  <c r="F44" i="59"/>
  <c r="F45" i="59"/>
  <c r="F46" i="59"/>
  <c r="F47" i="59"/>
  <c r="F48" i="59"/>
  <c r="F49" i="59"/>
  <c r="F50" i="59"/>
  <c r="F51" i="59"/>
  <c r="F52" i="59"/>
  <c r="F53" i="59"/>
  <c r="F54" i="59"/>
  <c r="F55" i="59"/>
  <c r="F56" i="59"/>
  <c r="F57" i="59"/>
  <c r="F58" i="59"/>
  <c r="F59" i="59"/>
  <c r="F60" i="59"/>
  <c r="F61" i="59"/>
  <c r="F62" i="59"/>
  <c r="F63" i="59"/>
  <c r="F64" i="59"/>
  <c r="F65" i="59"/>
  <c r="F66" i="59"/>
  <c r="F67" i="59"/>
  <c r="F68" i="59"/>
  <c r="F69" i="59"/>
  <c r="F70" i="59"/>
  <c r="F71" i="59"/>
  <c r="F72" i="59"/>
  <c r="F73" i="59"/>
  <c r="F74" i="59"/>
  <c r="F75" i="59"/>
  <c r="F76" i="59"/>
  <c r="F77" i="59"/>
  <c r="F78" i="59"/>
  <c r="F79" i="59"/>
  <c r="F80" i="59"/>
  <c r="F81" i="59"/>
  <c r="F82" i="59"/>
  <c r="F83" i="59"/>
  <c r="F84" i="59"/>
  <c r="F85" i="59"/>
  <c r="F86" i="59"/>
  <c r="F87" i="59"/>
  <c r="F88" i="59"/>
  <c r="F89" i="59"/>
  <c r="F90" i="59"/>
  <c r="F91" i="59"/>
  <c r="F92" i="59"/>
  <c r="F93" i="59"/>
  <c r="F94" i="59"/>
  <c r="F95" i="59"/>
  <c r="F96" i="59"/>
  <c r="F97" i="59"/>
  <c r="F98" i="59"/>
  <c r="F99" i="59"/>
  <c r="F100" i="59"/>
  <c r="F101" i="59"/>
  <c r="F102" i="59"/>
  <c r="F3" i="59"/>
  <c r="F4" i="58"/>
  <c r="F5" i="58"/>
  <c r="F6" i="58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8" i="58"/>
  <c r="F59" i="58"/>
  <c r="F60" i="58"/>
  <c r="F61" i="58"/>
  <c r="F62" i="58"/>
  <c r="F63" i="58"/>
  <c r="F64" i="58"/>
  <c r="F65" i="58"/>
  <c r="F66" i="58"/>
  <c r="F67" i="58"/>
  <c r="F68" i="58"/>
  <c r="F69" i="58"/>
  <c r="F70" i="58"/>
  <c r="F71" i="58"/>
  <c r="F72" i="58"/>
  <c r="F73" i="58"/>
  <c r="F74" i="58"/>
  <c r="F75" i="58"/>
  <c r="F76" i="58"/>
  <c r="F77" i="58"/>
  <c r="F78" i="58"/>
  <c r="F79" i="58"/>
  <c r="F80" i="58"/>
  <c r="F81" i="58"/>
  <c r="F82" i="58"/>
  <c r="F83" i="58"/>
  <c r="F84" i="58"/>
  <c r="F85" i="58"/>
  <c r="F86" i="58"/>
  <c r="F87" i="58"/>
  <c r="F88" i="58"/>
  <c r="F89" i="58"/>
  <c r="F90" i="58"/>
  <c r="F91" i="58"/>
  <c r="F92" i="58"/>
  <c r="F93" i="58"/>
  <c r="F94" i="58"/>
  <c r="F95" i="58"/>
  <c r="F96" i="58"/>
  <c r="F97" i="58"/>
  <c r="F98" i="58"/>
  <c r="F99" i="58"/>
  <c r="F100" i="58"/>
  <c r="F101" i="58"/>
  <c r="F102" i="58"/>
  <c r="F3" i="58"/>
  <c r="F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F46" i="56"/>
  <c r="F47" i="56"/>
  <c r="F48" i="56"/>
  <c r="F49" i="56"/>
  <c r="F50" i="56"/>
  <c r="F51" i="56"/>
  <c r="F52" i="56"/>
  <c r="F53" i="56"/>
  <c r="F54" i="56"/>
  <c r="F55" i="56"/>
  <c r="F56" i="56"/>
  <c r="F57" i="56"/>
  <c r="F58" i="56"/>
  <c r="F59" i="56"/>
  <c r="F60" i="56"/>
  <c r="F61" i="56"/>
  <c r="F62" i="56"/>
  <c r="F63" i="56"/>
  <c r="F64" i="56"/>
  <c r="F65" i="56"/>
  <c r="F66" i="56"/>
  <c r="F67" i="56"/>
  <c r="F68" i="56"/>
  <c r="F69" i="56"/>
  <c r="F70" i="56"/>
  <c r="F71" i="56"/>
  <c r="F72" i="56"/>
  <c r="F73" i="56"/>
  <c r="F74" i="56"/>
  <c r="F75" i="56"/>
  <c r="F76" i="56"/>
  <c r="F77" i="56"/>
  <c r="F78" i="56"/>
  <c r="F79" i="56"/>
  <c r="F80" i="56"/>
  <c r="F81" i="56"/>
  <c r="F82" i="56"/>
  <c r="F83" i="56"/>
  <c r="F84" i="56"/>
  <c r="F85" i="56"/>
  <c r="F86" i="56"/>
  <c r="F87" i="56"/>
  <c r="F88" i="56"/>
  <c r="F89" i="56"/>
  <c r="F90" i="56"/>
  <c r="F91" i="56"/>
  <c r="F92" i="56"/>
  <c r="F93" i="56"/>
  <c r="F94" i="56"/>
  <c r="F95" i="56"/>
  <c r="F96" i="56"/>
  <c r="F97" i="56"/>
  <c r="F98" i="56"/>
  <c r="F99" i="56"/>
  <c r="F100" i="56"/>
  <c r="F101" i="56"/>
  <c r="F102" i="56"/>
  <c r="F3" i="56"/>
  <c r="F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3" i="35"/>
  <c r="F5" i="57"/>
  <c r="F6" i="57"/>
  <c r="F7" i="57"/>
  <c r="F8" i="57"/>
  <c r="F9" i="57"/>
  <c r="F10" i="57"/>
  <c r="F11" i="57"/>
  <c r="F12" i="57"/>
  <c r="F13" i="57"/>
  <c r="F14" i="57"/>
  <c r="F15" i="57"/>
  <c r="F16" i="57"/>
  <c r="F17" i="57"/>
  <c r="F18" i="57"/>
  <c r="F19" i="57"/>
  <c r="F20" i="57"/>
  <c r="F21" i="57"/>
  <c r="F22" i="57"/>
  <c r="F23" i="57"/>
  <c r="F24" i="57"/>
  <c r="F25" i="57"/>
  <c r="F26" i="57"/>
  <c r="F27" i="57"/>
  <c r="F28" i="57"/>
  <c r="F29" i="57"/>
  <c r="F30" i="57"/>
  <c r="F31" i="57"/>
  <c r="F32" i="57"/>
  <c r="F33" i="57"/>
  <c r="F34" i="57"/>
  <c r="F35" i="57"/>
  <c r="F36" i="57"/>
  <c r="F37" i="57"/>
  <c r="F38" i="57"/>
  <c r="F39" i="57"/>
  <c r="F40" i="57"/>
  <c r="F41" i="57"/>
  <c r="F42" i="57"/>
  <c r="F43" i="57"/>
  <c r="F44" i="57"/>
  <c r="F45" i="57"/>
  <c r="F46" i="57"/>
  <c r="F47" i="57"/>
  <c r="F48" i="57"/>
  <c r="F49" i="57"/>
  <c r="F50" i="57"/>
  <c r="F51" i="57"/>
  <c r="F52" i="57"/>
  <c r="F53" i="57"/>
  <c r="F54" i="57"/>
  <c r="F55" i="57"/>
  <c r="F56" i="57"/>
  <c r="F57" i="57"/>
  <c r="F58" i="57"/>
  <c r="F59" i="57"/>
  <c r="F60" i="57"/>
  <c r="F61" i="57"/>
  <c r="F62" i="57"/>
  <c r="F63" i="57"/>
  <c r="F64" i="57"/>
  <c r="F65" i="57"/>
  <c r="F66" i="57"/>
  <c r="F67" i="57"/>
  <c r="F68" i="57"/>
  <c r="F69" i="57"/>
  <c r="F70" i="57"/>
  <c r="F71" i="57"/>
  <c r="F72" i="57"/>
  <c r="F73" i="57"/>
  <c r="F74" i="57"/>
  <c r="F75" i="57"/>
  <c r="F76" i="57"/>
  <c r="F77" i="57"/>
  <c r="F78" i="57"/>
  <c r="F79" i="57"/>
  <c r="F80" i="57"/>
  <c r="F81" i="57"/>
  <c r="F82" i="57"/>
  <c r="F83" i="57"/>
  <c r="F84" i="57"/>
  <c r="F85" i="57"/>
  <c r="F86" i="57"/>
  <c r="F87" i="57"/>
  <c r="F88" i="57"/>
  <c r="F89" i="57"/>
  <c r="F90" i="57"/>
  <c r="F91" i="57"/>
  <c r="F92" i="57"/>
  <c r="F93" i="57"/>
  <c r="F94" i="57"/>
  <c r="F95" i="57"/>
  <c r="F96" i="57"/>
  <c r="F97" i="57"/>
  <c r="F98" i="57"/>
  <c r="F99" i="57"/>
  <c r="F100" i="57"/>
  <c r="F101" i="57"/>
  <c r="F102" i="57"/>
  <c r="F3" i="57"/>
  <c r="F4" i="57"/>
  <c r="AA102" i="70"/>
  <c r="Z102" i="70"/>
  <c r="Y102" i="70"/>
  <c r="X102" i="70"/>
  <c r="W102" i="70"/>
  <c r="V102" i="70"/>
  <c r="U102" i="70"/>
  <c r="T102" i="70"/>
  <c r="S102" i="70"/>
  <c r="R102" i="70"/>
  <c r="Q102" i="70"/>
  <c r="P102" i="70"/>
  <c r="O102" i="70"/>
  <c r="N102" i="70"/>
  <c r="M102" i="70"/>
  <c r="F102" i="70"/>
  <c r="AA101" i="70"/>
  <c r="Z101" i="70"/>
  <c r="Y101" i="70"/>
  <c r="X101" i="70"/>
  <c r="W101" i="70"/>
  <c r="V101" i="70"/>
  <c r="U101" i="70"/>
  <c r="T101" i="70"/>
  <c r="S101" i="70"/>
  <c r="R101" i="70"/>
  <c r="Q101" i="70"/>
  <c r="P101" i="70"/>
  <c r="O101" i="70"/>
  <c r="N101" i="70"/>
  <c r="M101" i="70"/>
  <c r="F101" i="70"/>
  <c r="AA100" i="70"/>
  <c r="Z100" i="70"/>
  <c r="Y100" i="70"/>
  <c r="X100" i="70"/>
  <c r="W100" i="70"/>
  <c r="V100" i="70"/>
  <c r="U100" i="70"/>
  <c r="T100" i="70"/>
  <c r="S100" i="70"/>
  <c r="R100" i="70"/>
  <c r="Q100" i="70"/>
  <c r="P100" i="70"/>
  <c r="O100" i="70"/>
  <c r="N100" i="70"/>
  <c r="M100" i="70"/>
  <c r="F100" i="70"/>
  <c r="AA99" i="70"/>
  <c r="Z99" i="70"/>
  <c r="Y99" i="70"/>
  <c r="X99" i="70"/>
  <c r="W99" i="70"/>
  <c r="V99" i="70"/>
  <c r="U99" i="70"/>
  <c r="T99" i="70"/>
  <c r="S99" i="70"/>
  <c r="R99" i="70"/>
  <c r="Q99" i="70"/>
  <c r="P99" i="70"/>
  <c r="O99" i="70"/>
  <c r="N99" i="70"/>
  <c r="M99" i="70"/>
  <c r="F99" i="70"/>
  <c r="AA98" i="70"/>
  <c r="Z98" i="70"/>
  <c r="Y98" i="70"/>
  <c r="X98" i="70"/>
  <c r="W98" i="70"/>
  <c r="V98" i="70"/>
  <c r="U98" i="70"/>
  <c r="T98" i="70"/>
  <c r="S98" i="70"/>
  <c r="R98" i="70"/>
  <c r="Q98" i="70"/>
  <c r="P98" i="70"/>
  <c r="O98" i="70"/>
  <c r="N98" i="70"/>
  <c r="M98" i="70"/>
  <c r="F98" i="70"/>
  <c r="AA97" i="70"/>
  <c r="Z97" i="70"/>
  <c r="Y97" i="70"/>
  <c r="X97" i="70"/>
  <c r="W97" i="70"/>
  <c r="V97" i="70"/>
  <c r="U97" i="70"/>
  <c r="T97" i="70"/>
  <c r="S97" i="70"/>
  <c r="R97" i="70"/>
  <c r="Q97" i="70"/>
  <c r="P97" i="70"/>
  <c r="O97" i="70"/>
  <c r="N97" i="70"/>
  <c r="M97" i="70"/>
  <c r="F97" i="70"/>
  <c r="AA96" i="70"/>
  <c r="Z96" i="70"/>
  <c r="Y96" i="70"/>
  <c r="X96" i="70"/>
  <c r="W96" i="70"/>
  <c r="V96" i="70"/>
  <c r="U96" i="70"/>
  <c r="T96" i="70"/>
  <c r="S96" i="70"/>
  <c r="R96" i="70"/>
  <c r="Q96" i="70"/>
  <c r="P96" i="70"/>
  <c r="O96" i="70"/>
  <c r="N96" i="70"/>
  <c r="M96" i="70"/>
  <c r="F96" i="70"/>
  <c r="AA95" i="70"/>
  <c r="Z95" i="70"/>
  <c r="Y95" i="70"/>
  <c r="X95" i="70"/>
  <c r="W95" i="70"/>
  <c r="V95" i="70"/>
  <c r="U95" i="70"/>
  <c r="T95" i="70"/>
  <c r="S95" i="70"/>
  <c r="R95" i="70"/>
  <c r="Q95" i="70"/>
  <c r="P95" i="70"/>
  <c r="O95" i="70"/>
  <c r="N95" i="70"/>
  <c r="M95" i="70"/>
  <c r="F95" i="70"/>
  <c r="AA94" i="70"/>
  <c r="Z94" i="70"/>
  <c r="Y94" i="70"/>
  <c r="X94" i="70"/>
  <c r="W94" i="70"/>
  <c r="V94" i="70"/>
  <c r="U94" i="70"/>
  <c r="T94" i="70"/>
  <c r="S94" i="70"/>
  <c r="R94" i="70"/>
  <c r="Q94" i="70"/>
  <c r="P94" i="70"/>
  <c r="O94" i="70"/>
  <c r="N94" i="70"/>
  <c r="M94" i="70"/>
  <c r="F94" i="70"/>
  <c r="AA93" i="70"/>
  <c r="Z93" i="70"/>
  <c r="Y93" i="70"/>
  <c r="X93" i="70"/>
  <c r="W93" i="70"/>
  <c r="V93" i="70"/>
  <c r="U93" i="70"/>
  <c r="T93" i="70"/>
  <c r="S93" i="70"/>
  <c r="R93" i="70"/>
  <c r="Q93" i="70"/>
  <c r="P93" i="70"/>
  <c r="O93" i="70"/>
  <c r="N93" i="70"/>
  <c r="M93" i="70"/>
  <c r="F93" i="70"/>
  <c r="AA92" i="70"/>
  <c r="Z92" i="70"/>
  <c r="Y92" i="70"/>
  <c r="X92" i="70"/>
  <c r="W92" i="70"/>
  <c r="V92" i="70"/>
  <c r="U92" i="70"/>
  <c r="T92" i="70"/>
  <c r="S92" i="70"/>
  <c r="R92" i="70"/>
  <c r="Q92" i="70"/>
  <c r="P92" i="70"/>
  <c r="O92" i="70"/>
  <c r="N92" i="70"/>
  <c r="M92" i="70"/>
  <c r="F92" i="70"/>
  <c r="AA91" i="70"/>
  <c r="Z91" i="70"/>
  <c r="Y91" i="70"/>
  <c r="X91" i="70"/>
  <c r="W91" i="70"/>
  <c r="V91" i="70"/>
  <c r="U91" i="70"/>
  <c r="T91" i="70"/>
  <c r="S91" i="70"/>
  <c r="R91" i="70"/>
  <c r="Q91" i="70"/>
  <c r="P91" i="70"/>
  <c r="O91" i="70"/>
  <c r="N91" i="70"/>
  <c r="M91" i="70"/>
  <c r="F91" i="70"/>
  <c r="AA90" i="70"/>
  <c r="Z90" i="70"/>
  <c r="Y90" i="70"/>
  <c r="X90" i="70"/>
  <c r="W90" i="70"/>
  <c r="V90" i="70"/>
  <c r="U90" i="70"/>
  <c r="T90" i="70"/>
  <c r="S90" i="70"/>
  <c r="R90" i="70"/>
  <c r="Q90" i="70"/>
  <c r="P90" i="70"/>
  <c r="O90" i="70"/>
  <c r="N90" i="70"/>
  <c r="M90" i="70"/>
  <c r="F90" i="70"/>
  <c r="AA89" i="70"/>
  <c r="Z89" i="70"/>
  <c r="Y89" i="70"/>
  <c r="X89" i="70"/>
  <c r="W89" i="70"/>
  <c r="V89" i="70"/>
  <c r="U89" i="70"/>
  <c r="T89" i="70"/>
  <c r="S89" i="70"/>
  <c r="R89" i="70"/>
  <c r="Q89" i="70"/>
  <c r="P89" i="70"/>
  <c r="O89" i="70"/>
  <c r="N89" i="70"/>
  <c r="M89" i="70"/>
  <c r="F89" i="70"/>
  <c r="AA88" i="70"/>
  <c r="Z88" i="70"/>
  <c r="Y88" i="70"/>
  <c r="X88" i="70"/>
  <c r="W88" i="70"/>
  <c r="V88" i="70"/>
  <c r="U88" i="70"/>
  <c r="T88" i="70"/>
  <c r="S88" i="70"/>
  <c r="R88" i="70"/>
  <c r="Q88" i="70"/>
  <c r="P88" i="70"/>
  <c r="O88" i="70"/>
  <c r="N88" i="70"/>
  <c r="M88" i="70"/>
  <c r="F88" i="70"/>
  <c r="AA87" i="70"/>
  <c r="Z87" i="70"/>
  <c r="Y87" i="70"/>
  <c r="X87" i="70"/>
  <c r="W87" i="70"/>
  <c r="V87" i="70"/>
  <c r="U87" i="70"/>
  <c r="T87" i="70"/>
  <c r="S87" i="70"/>
  <c r="R87" i="70"/>
  <c r="Q87" i="70"/>
  <c r="P87" i="70"/>
  <c r="O87" i="70"/>
  <c r="N87" i="70"/>
  <c r="M87" i="70"/>
  <c r="F87" i="70"/>
  <c r="AA86" i="70"/>
  <c r="Z86" i="70"/>
  <c r="Y86" i="70"/>
  <c r="X86" i="70"/>
  <c r="W86" i="70"/>
  <c r="V86" i="70"/>
  <c r="U86" i="70"/>
  <c r="T86" i="70"/>
  <c r="S86" i="70"/>
  <c r="R86" i="70"/>
  <c r="Q86" i="70"/>
  <c r="P86" i="70"/>
  <c r="O86" i="70"/>
  <c r="N86" i="70"/>
  <c r="M86" i="70"/>
  <c r="F86" i="70"/>
  <c r="AA85" i="70"/>
  <c r="Z85" i="70"/>
  <c r="Y85" i="70"/>
  <c r="X85" i="70"/>
  <c r="W85" i="70"/>
  <c r="V85" i="70"/>
  <c r="U85" i="70"/>
  <c r="T85" i="70"/>
  <c r="S85" i="70"/>
  <c r="R85" i="70"/>
  <c r="Q85" i="70"/>
  <c r="P85" i="70"/>
  <c r="O85" i="70"/>
  <c r="N85" i="70"/>
  <c r="M85" i="70"/>
  <c r="F85" i="70"/>
  <c r="AA84" i="70"/>
  <c r="Z84" i="70"/>
  <c r="Y84" i="70"/>
  <c r="X84" i="70"/>
  <c r="W84" i="70"/>
  <c r="V84" i="70"/>
  <c r="U84" i="70"/>
  <c r="T84" i="70"/>
  <c r="S84" i="70"/>
  <c r="R84" i="70"/>
  <c r="Q84" i="70"/>
  <c r="P84" i="70"/>
  <c r="O84" i="70"/>
  <c r="N84" i="70"/>
  <c r="M84" i="70"/>
  <c r="F84" i="70"/>
  <c r="AA83" i="70"/>
  <c r="Z83" i="70"/>
  <c r="Y83" i="70"/>
  <c r="X83" i="70"/>
  <c r="W83" i="70"/>
  <c r="V83" i="70"/>
  <c r="U83" i="70"/>
  <c r="T83" i="70"/>
  <c r="S83" i="70"/>
  <c r="R83" i="70"/>
  <c r="Q83" i="70"/>
  <c r="P83" i="70"/>
  <c r="O83" i="70"/>
  <c r="N83" i="70"/>
  <c r="M83" i="70"/>
  <c r="F83" i="70"/>
  <c r="AA82" i="70"/>
  <c r="Z82" i="70"/>
  <c r="Y82" i="70"/>
  <c r="X82" i="70"/>
  <c r="W82" i="70"/>
  <c r="V82" i="70"/>
  <c r="U82" i="70"/>
  <c r="T82" i="70"/>
  <c r="S82" i="70"/>
  <c r="R82" i="70"/>
  <c r="Q82" i="70"/>
  <c r="P82" i="70"/>
  <c r="O82" i="70"/>
  <c r="N82" i="70"/>
  <c r="M82" i="70"/>
  <c r="F82" i="70"/>
  <c r="AA81" i="70"/>
  <c r="Z81" i="70"/>
  <c r="Y81" i="70"/>
  <c r="X81" i="70"/>
  <c r="W81" i="70"/>
  <c r="V81" i="70"/>
  <c r="U81" i="70"/>
  <c r="T81" i="70"/>
  <c r="S81" i="70"/>
  <c r="R81" i="70"/>
  <c r="Q81" i="70"/>
  <c r="P81" i="70"/>
  <c r="O81" i="70"/>
  <c r="N81" i="70"/>
  <c r="M81" i="70"/>
  <c r="F81" i="70"/>
  <c r="AA80" i="70"/>
  <c r="Z80" i="70"/>
  <c r="Y80" i="70"/>
  <c r="X80" i="70"/>
  <c r="W80" i="70"/>
  <c r="V80" i="70"/>
  <c r="U80" i="70"/>
  <c r="T80" i="70"/>
  <c r="S80" i="70"/>
  <c r="R80" i="70"/>
  <c r="Q80" i="70"/>
  <c r="P80" i="70"/>
  <c r="O80" i="70"/>
  <c r="N80" i="70"/>
  <c r="M80" i="70"/>
  <c r="F80" i="70"/>
  <c r="AA79" i="70"/>
  <c r="Z79" i="70"/>
  <c r="Y79" i="70"/>
  <c r="X79" i="70"/>
  <c r="W79" i="70"/>
  <c r="V79" i="70"/>
  <c r="U79" i="70"/>
  <c r="T79" i="70"/>
  <c r="S79" i="70"/>
  <c r="R79" i="70"/>
  <c r="Q79" i="70"/>
  <c r="P79" i="70"/>
  <c r="O79" i="70"/>
  <c r="N79" i="70"/>
  <c r="M79" i="70"/>
  <c r="F79" i="70"/>
  <c r="AA78" i="70"/>
  <c r="Z78" i="70"/>
  <c r="Y78" i="70"/>
  <c r="X78" i="70"/>
  <c r="W78" i="70"/>
  <c r="V78" i="70"/>
  <c r="U78" i="70"/>
  <c r="T78" i="70"/>
  <c r="S78" i="70"/>
  <c r="R78" i="70"/>
  <c r="Q78" i="70"/>
  <c r="P78" i="70"/>
  <c r="O78" i="70"/>
  <c r="N78" i="70"/>
  <c r="M78" i="70"/>
  <c r="F78" i="70"/>
  <c r="AA77" i="70"/>
  <c r="Z77" i="70"/>
  <c r="Y77" i="70"/>
  <c r="X77" i="70"/>
  <c r="W77" i="70"/>
  <c r="V77" i="70"/>
  <c r="U77" i="70"/>
  <c r="T77" i="70"/>
  <c r="S77" i="70"/>
  <c r="R77" i="70"/>
  <c r="Q77" i="70"/>
  <c r="P77" i="70"/>
  <c r="O77" i="70"/>
  <c r="N77" i="70"/>
  <c r="M77" i="70"/>
  <c r="F77" i="70"/>
  <c r="AA76" i="70"/>
  <c r="Z76" i="70"/>
  <c r="Y76" i="70"/>
  <c r="X76" i="70"/>
  <c r="W76" i="70"/>
  <c r="V76" i="70"/>
  <c r="U76" i="70"/>
  <c r="T76" i="70"/>
  <c r="S76" i="70"/>
  <c r="R76" i="70"/>
  <c r="Q76" i="70"/>
  <c r="P76" i="70"/>
  <c r="O76" i="70"/>
  <c r="N76" i="70"/>
  <c r="M76" i="70"/>
  <c r="F76" i="70"/>
  <c r="AA75" i="70"/>
  <c r="Z75" i="70"/>
  <c r="Y75" i="70"/>
  <c r="X75" i="70"/>
  <c r="W75" i="70"/>
  <c r="V75" i="70"/>
  <c r="U75" i="70"/>
  <c r="T75" i="70"/>
  <c r="S75" i="70"/>
  <c r="R75" i="70"/>
  <c r="Q75" i="70"/>
  <c r="P75" i="70"/>
  <c r="O75" i="70"/>
  <c r="N75" i="70"/>
  <c r="M75" i="70"/>
  <c r="F75" i="70"/>
  <c r="AA74" i="70"/>
  <c r="Z74" i="70"/>
  <c r="Y74" i="70"/>
  <c r="X74" i="70"/>
  <c r="W74" i="70"/>
  <c r="V74" i="70"/>
  <c r="U74" i="70"/>
  <c r="T74" i="70"/>
  <c r="S74" i="70"/>
  <c r="R74" i="70"/>
  <c r="Q74" i="70"/>
  <c r="P74" i="70"/>
  <c r="O74" i="70"/>
  <c r="N74" i="70"/>
  <c r="M74" i="70"/>
  <c r="F74" i="70"/>
  <c r="AA73" i="70"/>
  <c r="Z73" i="70"/>
  <c r="Y73" i="70"/>
  <c r="X73" i="70"/>
  <c r="W73" i="70"/>
  <c r="V73" i="70"/>
  <c r="U73" i="70"/>
  <c r="T73" i="70"/>
  <c r="S73" i="70"/>
  <c r="R73" i="70"/>
  <c r="Q73" i="70"/>
  <c r="P73" i="70"/>
  <c r="O73" i="70"/>
  <c r="N73" i="70"/>
  <c r="M73" i="70"/>
  <c r="F73" i="70"/>
  <c r="AA72" i="70"/>
  <c r="Z72" i="70"/>
  <c r="Y72" i="70"/>
  <c r="X72" i="70"/>
  <c r="W72" i="70"/>
  <c r="V72" i="70"/>
  <c r="U72" i="70"/>
  <c r="T72" i="70"/>
  <c r="S72" i="70"/>
  <c r="R72" i="70"/>
  <c r="Q72" i="70"/>
  <c r="P72" i="70"/>
  <c r="O72" i="70"/>
  <c r="N72" i="70"/>
  <c r="M72" i="70"/>
  <c r="F72" i="70"/>
  <c r="AA71" i="70"/>
  <c r="Z71" i="70"/>
  <c r="Y71" i="70"/>
  <c r="X71" i="70"/>
  <c r="W71" i="70"/>
  <c r="V71" i="70"/>
  <c r="U71" i="70"/>
  <c r="T71" i="70"/>
  <c r="S71" i="70"/>
  <c r="R71" i="70"/>
  <c r="Q71" i="70"/>
  <c r="P71" i="70"/>
  <c r="O71" i="70"/>
  <c r="N71" i="70"/>
  <c r="M71" i="70"/>
  <c r="F71" i="70"/>
  <c r="AA70" i="70"/>
  <c r="Z70" i="70"/>
  <c r="Y70" i="70"/>
  <c r="X70" i="70"/>
  <c r="W70" i="70"/>
  <c r="V70" i="70"/>
  <c r="U70" i="70"/>
  <c r="T70" i="70"/>
  <c r="S70" i="70"/>
  <c r="R70" i="70"/>
  <c r="Q70" i="70"/>
  <c r="P70" i="70"/>
  <c r="O70" i="70"/>
  <c r="N70" i="70"/>
  <c r="M70" i="70"/>
  <c r="F70" i="70"/>
  <c r="AA69" i="70"/>
  <c r="Z69" i="70"/>
  <c r="Y69" i="70"/>
  <c r="X69" i="70"/>
  <c r="W69" i="70"/>
  <c r="V69" i="70"/>
  <c r="U69" i="70"/>
  <c r="T69" i="70"/>
  <c r="S69" i="70"/>
  <c r="R69" i="70"/>
  <c r="Q69" i="70"/>
  <c r="P69" i="70"/>
  <c r="O69" i="70"/>
  <c r="N69" i="70"/>
  <c r="M69" i="70"/>
  <c r="F69" i="70"/>
  <c r="AA68" i="70"/>
  <c r="Z68" i="70"/>
  <c r="Y68" i="70"/>
  <c r="X68" i="70"/>
  <c r="W68" i="70"/>
  <c r="V68" i="70"/>
  <c r="U68" i="70"/>
  <c r="T68" i="70"/>
  <c r="S68" i="70"/>
  <c r="R68" i="70"/>
  <c r="Q68" i="70"/>
  <c r="P68" i="70"/>
  <c r="O68" i="70"/>
  <c r="N68" i="70"/>
  <c r="M68" i="70"/>
  <c r="F68" i="70"/>
  <c r="AA67" i="70"/>
  <c r="Z67" i="70"/>
  <c r="Y67" i="70"/>
  <c r="X67" i="70"/>
  <c r="W67" i="70"/>
  <c r="V67" i="70"/>
  <c r="U67" i="70"/>
  <c r="T67" i="70"/>
  <c r="S67" i="70"/>
  <c r="R67" i="70"/>
  <c r="Q67" i="70"/>
  <c r="P67" i="70"/>
  <c r="O67" i="70"/>
  <c r="N67" i="70"/>
  <c r="M67" i="70"/>
  <c r="F67" i="70"/>
  <c r="AA66" i="70"/>
  <c r="Z66" i="70"/>
  <c r="Y66" i="70"/>
  <c r="X66" i="70"/>
  <c r="W66" i="70"/>
  <c r="V66" i="70"/>
  <c r="U66" i="70"/>
  <c r="T66" i="70"/>
  <c r="S66" i="70"/>
  <c r="R66" i="70"/>
  <c r="Q66" i="70"/>
  <c r="P66" i="70"/>
  <c r="O66" i="70"/>
  <c r="N66" i="70"/>
  <c r="M66" i="70"/>
  <c r="F66" i="70"/>
  <c r="AA65" i="70"/>
  <c r="Z65" i="70"/>
  <c r="Y65" i="70"/>
  <c r="X65" i="70"/>
  <c r="W65" i="70"/>
  <c r="V65" i="70"/>
  <c r="U65" i="70"/>
  <c r="T65" i="70"/>
  <c r="S65" i="70"/>
  <c r="R65" i="70"/>
  <c r="Q65" i="70"/>
  <c r="P65" i="70"/>
  <c r="O65" i="70"/>
  <c r="N65" i="70"/>
  <c r="M65" i="70"/>
  <c r="F65" i="70"/>
  <c r="AA64" i="70"/>
  <c r="Z64" i="70"/>
  <c r="Y64" i="70"/>
  <c r="X64" i="70"/>
  <c r="W64" i="70"/>
  <c r="V64" i="70"/>
  <c r="U64" i="70"/>
  <c r="T64" i="70"/>
  <c r="S64" i="70"/>
  <c r="R64" i="70"/>
  <c r="Q64" i="70"/>
  <c r="P64" i="70"/>
  <c r="O64" i="70"/>
  <c r="N64" i="70"/>
  <c r="M64" i="70"/>
  <c r="F64" i="70"/>
  <c r="AA63" i="70"/>
  <c r="Z63" i="70"/>
  <c r="Y63" i="70"/>
  <c r="X63" i="70"/>
  <c r="W63" i="70"/>
  <c r="V63" i="70"/>
  <c r="U63" i="70"/>
  <c r="T63" i="70"/>
  <c r="S63" i="70"/>
  <c r="R63" i="70"/>
  <c r="Q63" i="70"/>
  <c r="P63" i="70"/>
  <c r="O63" i="70"/>
  <c r="N63" i="70"/>
  <c r="M63" i="70"/>
  <c r="F63" i="70"/>
  <c r="AA62" i="70"/>
  <c r="Z62" i="70"/>
  <c r="Y62" i="70"/>
  <c r="X62" i="70"/>
  <c r="W62" i="70"/>
  <c r="V62" i="70"/>
  <c r="U62" i="70"/>
  <c r="T62" i="70"/>
  <c r="S62" i="70"/>
  <c r="R62" i="70"/>
  <c r="Q62" i="70"/>
  <c r="P62" i="70"/>
  <c r="O62" i="70"/>
  <c r="N62" i="70"/>
  <c r="M62" i="70"/>
  <c r="F62" i="70"/>
  <c r="AA61" i="70"/>
  <c r="Z61" i="70"/>
  <c r="Y61" i="70"/>
  <c r="X61" i="70"/>
  <c r="W61" i="70"/>
  <c r="V61" i="70"/>
  <c r="U61" i="70"/>
  <c r="T61" i="70"/>
  <c r="S61" i="70"/>
  <c r="R61" i="70"/>
  <c r="Q61" i="70"/>
  <c r="P61" i="70"/>
  <c r="O61" i="70"/>
  <c r="N61" i="70"/>
  <c r="M61" i="70"/>
  <c r="F61" i="70"/>
  <c r="AA60" i="70"/>
  <c r="Z60" i="70"/>
  <c r="Y60" i="70"/>
  <c r="X60" i="70"/>
  <c r="W60" i="70"/>
  <c r="V60" i="70"/>
  <c r="U60" i="70"/>
  <c r="T60" i="70"/>
  <c r="S60" i="70"/>
  <c r="R60" i="70"/>
  <c r="Q60" i="70"/>
  <c r="P60" i="70"/>
  <c r="O60" i="70"/>
  <c r="N60" i="70"/>
  <c r="M60" i="70"/>
  <c r="F60" i="70"/>
  <c r="AA59" i="70"/>
  <c r="Z59" i="70"/>
  <c r="Y59" i="70"/>
  <c r="X59" i="70"/>
  <c r="W59" i="70"/>
  <c r="V59" i="70"/>
  <c r="U59" i="70"/>
  <c r="T59" i="70"/>
  <c r="S59" i="70"/>
  <c r="R59" i="70"/>
  <c r="Q59" i="70"/>
  <c r="P59" i="70"/>
  <c r="O59" i="70"/>
  <c r="N59" i="70"/>
  <c r="M59" i="70"/>
  <c r="F59" i="70"/>
  <c r="AA58" i="70"/>
  <c r="Z58" i="70"/>
  <c r="Y58" i="70"/>
  <c r="X58" i="70"/>
  <c r="W58" i="70"/>
  <c r="V58" i="70"/>
  <c r="U58" i="70"/>
  <c r="T58" i="70"/>
  <c r="S58" i="70"/>
  <c r="R58" i="70"/>
  <c r="Q58" i="70"/>
  <c r="P58" i="70"/>
  <c r="O58" i="70"/>
  <c r="N58" i="70"/>
  <c r="M58" i="70"/>
  <c r="F58" i="70"/>
  <c r="AA57" i="70"/>
  <c r="Z57" i="70"/>
  <c r="Y57" i="70"/>
  <c r="X57" i="70"/>
  <c r="W57" i="70"/>
  <c r="V57" i="70"/>
  <c r="U57" i="70"/>
  <c r="T57" i="70"/>
  <c r="S57" i="70"/>
  <c r="R57" i="70"/>
  <c r="Q57" i="70"/>
  <c r="P57" i="70"/>
  <c r="O57" i="70"/>
  <c r="N57" i="70"/>
  <c r="M57" i="70"/>
  <c r="F57" i="70"/>
  <c r="AA56" i="70"/>
  <c r="Z56" i="70"/>
  <c r="Y56" i="70"/>
  <c r="X56" i="70"/>
  <c r="W56" i="70"/>
  <c r="V56" i="70"/>
  <c r="U56" i="70"/>
  <c r="T56" i="70"/>
  <c r="S56" i="70"/>
  <c r="R56" i="70"/>
  <c r="Q56" i="70"/>
  <c r="P56" i="70"/>
  <c r="O56" i="70"/>
  <c r="N56" i="70"/>
  <c r="M56" i="70"/>
  <c r="F56" i="70"/>
  <c r="AA55" i="70"/>
  <c r="Z55" i="70"/>
  <c r="Y55" i="70"/>
  <c r="X55" i="70"/>
  <c r="W55" i="70"/>
  <c r="V55" i="70"/>
  <c r="U55" i="70"/>
  <c r="T55" i="70"/>
  <c r="S55" i="70"/>
  <c r="R55" i="70"/>
  <c r="Q55" i="70"/>
  <c r="P55" i="70"/>
  <c r="O55" i="70"/>
  <c r="N55" i="70"/>
  <c r="M55" i="70"/>
  <c r="F55" i="70"/>
  <c r="AA54" i="70"/>
  <c r="Z54" i="70"/>
  <c r="Y54" i="70"/>
  <c r="X54" i="70"/>
  <c r="W54" i="70"/>
  <c r="V54" i="70"/>
  <c r="U54" i="70"/>
  <c r="T54" i="70"/>
  <c r="S54" i="70"/>
  <c r="R54" i="70"/>
  <c r="Q54" i="70"/>
  <c r="P54" i="70"/>
  <c r="O54" i="70"/>
  <c r="N54" i="70"/>
  <c r="M54" i="70"/>
  <c r="F54" i="70"/>
  <c r="AA53" i="70"/>
  <c r="Z53" i="70"/>
  <c r="Y53" i="70"/>
  <c r="X53" i="70"/>
  <c r="W53" i="70"/>
  <c r="V53" i="70"/>
  <c r="U53" i="70"/>
  <c r="T53" i="70"/>
  <c r="S53" i="70"/>
  <c r="R53" i="70"/>
  <c r="Q53" i="70"/>
  <c r="P53" i="70"/>
  <c r="O53" i="70"/>
  <c r="N53" i="70"/>
  <c r="M53" i="70"/>
  <c r="F53" i="70"/>
  <c r="AA52" i="70"/>
  <c r="Z52" i="70"/>
  <c r="Y52" i="70"/>
  <c r="X52" i="70"/>
  <c r="W52" i="70"/>
  <c r="V52" i="70"/>
  <c r="U52" i="70"/>
  <c r="T52" i="70"/>
  <c r="S52" i="70"/>
  <c r="R52" i="70"/>
  <c r="Q52" i="70"/>
  <c r="P52" i="70"/>
  <c r="O52" i="70"/>
  <c r="N52" i="70"/>
  <c r="M52" i="70"/>
  <c r="F52" i="70"/>
  <c r="AA51" i="70"/>
  <c r="Z51" i="70"/>
  <c r="Y51" i="70"/>
  <c r="X51" i="70"/>
  <c r="W51" i="70"/>
  <c r="V51" i="70"/>
  <c r="U51" i="70"/>
  <c r="T51" i="70"/>
  <c r="S51" i="70"/>
  <c r="R51" i="70"/>
  <c r="Q51" i="70"/>
  <c r="P51" i="70"/>
  <c r="O51" i="70"/>
  <c r="N51" i="70"/>
  <c r="M51" i="70"/>
  <c r="F51" i="70"/>
  <c r="AA50" i="70"/>
  <c r="Z50" i="70"/>
  <c r="Y50" i="70"/>
  <c r="X50" i="70"/>
  <c r="W50" i="70"/>
  <c r="V50" i="70"/>
  <c r="U50" i="70"/>
  <c r="T50" i="70"/>
  <c r="S50" i="70"/>
  <c r="R50" i="70"/>
  <c r="Q50" i="70"/>
  <c r="P50" i="70"/>
  <c r="O50" i="70"/>
  <c r="N50" i="70"/>
  <c r="M50" i="70"/>
  <c r="F50" i="70"/>
  <c r="AA49" i="70"/>
  <c r="Z49" i="70"/>
  <c r="Y49" i="70"/>
  <c r="X49" i="70"/>
  <c r="W49" i="70"/>
  <c r="V49" i="70"/>
  <c r="U49" i="70"/>
  <c r="T49" i="70"/>
  <c r="S49" i="70"/>
  <c r="R49" i="70"/>
  <c r="Q49" i="70"/>
  <c r="P49" i="70"/>
  <c r="O49" i="70"/>
  <c r="N49" i="70"/>
  <c r="M49" i="70"/>
  <c r="F49" i="70"/>
  <c r="AA48" i="70"/>
  <c r="Z48" i="70"/>
  <c r="Y48" i="70"/>
  <c r="X48" i="70"/>
  <c r="W48" i="70"/>
  <c r="V48" i="70"/>
  <c r="U48" i="70"/>
  <c r="T48" i="70"/>
  <c r="S48" i="70"/>
  <c r="R48" i="70"/>
  <c r="Q48" i="70"/>
  <c r="P48" i="70"/>
  <c r="O48" i="70"/>
  <c r="N48" i="70"/>
  <c r="M48" i="70"/>
  <c r="F48" i="70"/>
  <c r="AA47" i="70"/>
  <c r="Z47" i="70"/>
  <c r="Y47" i="70"/>
  <c r="X47" i="70"/>
  <c r="W47" i="70"/>
  <c r="V47" i="70"/>
  <c r="U47" i="70"/>
  <c r="T47" i="70"/>
  <c r="S47" i="70"/>
  <c r="R47" i="70"/>
  <c r="Q47" i="70"/>
  <c r="P47" i="70"/>
  <c r="O47" i="70"/>
  <c r="N47" i="70"/>
  <c r="M47" i="70"/>
  <c r="F47" i="70"/>
  <c r="AA46" i="70"/>
  <c r="Z46" i="70"/>
  <c r="Y46" i="70"/>
  <c r="X46" i="70"/>
  <c r="W46" i="70"/>
  <c r="V46" i="70"/>
  <c r="U46" i="70"/>
  <c r="T46" i="70"/>
  <c r="S46" i="70"/>
  <c r="R46" i="70"/>
  <c r="Q46" i="70"/>
  <c r="P46" i="70"/>
  <c r="O46" i="70"/>
  <c r="N46" i="70"/>
  <c r="M46" i="70"/>
  <c r="F46" i="70"/>
  <c r="AA45" i="70"/>
  <c r="Z45" i="70"/>
  <c r="Y45" i="70"/>
  <c r="X45" i="70"/>
  <c r="W45" i="70"/>
  <c r="V45" i="70"/>
  <c r="U45" i="70"/>
  <c r="T45" i="70"/>
  <c r="S45" i="70"/>
  <c r="R45" i="70"/>
  <c r="Q45" i="70"/>
  <c r="P45" i="70"/>
  <c r="O45" i="70"/>
  <c r="N45" i="70"/>
  <c r="M45" i="70"/>
  <c r="F45" i="70"/>
  <c r="AA44" i="70"/>
  <c r="Z44" i="70"/>
  <c r="Y44" i="70"/>
  <c r="X44" i="70"/>
  <c r="W44" i="70"/>
  <c r="V44" i="70"/>
  <c r="U44" i="70"/>
  <c r="T44" i="70"/>
  <c r="S44" i="70"/>
  <c r="R44" i="70"/>
  <c r="Q44" i="70"/>
  <c r="P44" i="70"/>
  <c r="O44" i="70"/>
  <c r="N44" i="70"/>
  <c r="M44" i="70"/>
  <c r="F44" i="70"/>
  <c r="AA43" i="70"/>
  <c r="Z43" i="70"/>
  <c r="Y43" i="70"/>
  <c r="X43" i="70"/>
  <c r="W43" i="70"/>
  <c r="V43" i="70"/>
  <c r="U43" i="70"/>
  <c r="T43" i="70"/>
  <c r="S43" i="70"/>
  <c r="R43" i="70"/>
  <c r="Q43" i="70"/>
  <c r="P43" i="70"/>
  <c r="O43" i="70"/>
  <c r="N43" i="70"/>
  <c r="M43" i="70"/>
  <c r="F43" i="70"/>
  <c r="AA42" i="70"/>
  <c r="Z42" i="70"/>
  <c r="Y42" i="70"/>
  <c r="X42" i="70"/>
  <c r="W42" i="70"/>
  <c r="V42" i="70"/>
  <c r="U42" i="70"/>
  <c r="T42" i="70"/>
  <c r="S42" i="70"/>
  <c r="R42" i="70"/>
  <c r="Q42" i="70"/>
  <c r="P42" i="70"/>
  <c r="O42" i="70"/>
  <c r="N42" i="70"/>
  <c r="M42" i="70"/>
  <c r="F42" i="70"/>
  <c r="AA41" i="70"/>
  <c r="Z41" i="70"/>
  <c r="Y41" i="70"/>
  <c r="X41" i="70"/>
  <c r="W41" i="70"/>
  <c r="V41" i="70"/>
  <c r="U41" i="70"/>
  <c r="T41" i="70"/>
  <c r="S41" i="70"/>
  <c r="R41" i="70"/>
  <c r="Q41" i="70"/>
  <c r="P41" i="70"/>
  <c r="O41" i="70"/>
  <c r="N41" i="70"/>
  <c r="M41" i="70"/>
  <c r="F41" i="70"/>
  <c r="AA40" i="70"/>
  <c r="Z40" i="70"/>
  <c r="Y40" i="70"/>
  <c r="X40" i="70"/>
  <c r="W40" i="70"/>
  <c r="V40" i="70"/>
  <c r="U40" i="70"/>
  <c r="T40" i="70"/>
  <c r="S40" i="70"/>
  <c r="R40" i="70"/>
  <c r="Q40" i="70"/>
  <c r="P40" i="70"/>
  <c r="O40" i="70"/>
  <c r="N40" i="70"/>
  <c r="M40" i="70"/>
  <c r="F40" i="70"/>
  <c r="AA39" i="70"/>
  <c r="Z39" i="70"/>
  <c r="Y39" i="70"/>
  <c r="X39" i="70"/>
  <c r="W39" i="70"/>
  <c r="V39" i="70"/>
  <c r="U39" i="70"/>
  <c r="T39" i="70"/>
  <c r="S39" i="70"/>
  <c r="R39" i="70"/>
  <c r="Q39" i="70"/>
  <c r="P39" i="70"/>
  <c r="O39" i="70"/>
  <c r="N39" i="70"/>
  <c r="M39" i="70"/>
  <c r="F39" i="70"/>
  <c r="AA38" i="70"/>
  <c r="Z38" i="70"/>
  <c r="Y38" i="70"/>
  <c r="X38" i="70"/>
  <c r="W38" i="70"/>
  <c r="V38" i="70"/>
  <c r="U38" i="70"/>
  <c r="T38" i="70"/>
  <c r="S38" i="70"/>
  <c r="R38" i="70"/>
  <c r="Q38" i="70"/>
  <c r="P38" i="70"/>
  <c r="O38" i="70"/>
  <c r="N38" i="70"/>
  <c r="M38" i="70"/>
  <c r="F38" i="70"/>
  <c r="AA37" i="70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F37" i="70"/>
  <c r="AA36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F36" i="70"/>
  <c r="AA35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F35" i="70"/>
  <c r="AA34" i="70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F34" i="70"/>
  <c r="AA33" i="70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F33" i="70"/>
  <c r="AA32" i="70"/>
  <c r="Z32" i="70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F32" i="70"/>
  <c r="AA31" i="70"/>
  <c r="Z31" i="70"/>
  <c r="Y31" i="70"/>
  <c r="X31" i="70"/>
  <c r="W31" i="70"/>
  <c r="V31" i="70"/>
  <c r="U31" i="70"/>
  <c r="T31" i="70"/>
  <c r="S31" i="70"/>
  <c r="R31" i="70"/>
  <c r="Q31" i="70"/>
  <c r="P31" i="70"/>
  <c r="O31" i="70"/>
  <c r="N31" i="70"/>
  <c r="M31" i="70"/>
  <c r="F31" i="70"/>
  <c r="AA30" i="70"/>
  <c r="Z30" i="70"/>
  <c r="Y30" i="70"/>
  <c r="X30" i="70"/>
  <c r="W30" i="70"/>
  <c r="V30" i="70"/>
  <c r="U30" i="70"/>
  <c r="T30" i="70"/>
  <c r="S30" i="70"/>
  <c r="R30" i="70"/>
  <c r="Q30" i="70"/>
  <c r="P30" i="70"/>
  <c r="O30" i="70"/>
  <c r="N30" i="70"/>
  <c r="M30" i="70"/>
  <c r="F30" i="70"/>
  <c r="AA29" i="70"/>
  <c r="Z29" i="70"/>
  <c r="Y29" i="70"/>
  <c r="X29" i="70"/>
  <c r="W29" i="70"/>
  <c r="V29" i="70"/>
  <c r="U29" i="70"/>
  <c r="T29" i="70"/>
  <c r="S29" i="70"/>
  <c r="R29" i="70"/>
  <c r="Q29" i="70"/>
  <c r="P29" i="70"/>
  <c r="O29" i="70"/>
  <c r="N29" i="70"/>
  <c r="M29" i="70"/>
  <c r="F29" i="70"/>
  <c r="AA28" i="70"/>
  <c r="Z28" i="70"/>
  <c r="Y28" i="70"/>
  <c r="X28" i="70"/>
  <c r="W28" i="70"/>
  <c r="V28" i="70"/>
  <c r="U28" i="70"/>
  <c r="T28" i="70"/>
  <c r="S28" i="70"/>
  <c r="R28" i="70"/>
  <c r="Q28" i="70"/>
  <c r="P28" i="70"/>
  <c r="O28" i="70"/>
  <c r="N28" i="70"/>
  <c r="M28" i="70"/>
  <c r="F28" i="70"/>
  <c r="AA27" i="70"/>
  <c r="Z27" i="70"/>
  <c r="Y27" i="70"/>
  <c r="X27" i="70"/>
  <c r="W27" i="70"/>
  <c r="V27" i="70"/>
  <c r="U27" i="70"/>
  <c r="T27" i="70"/>
  <c r="S27" i="70"/>
  <c r="R27" i="70"/>
  <c r="Q27" i="70"/>
  <c r="P27" i="70"/>
  <c r="O27" i="70"/>
  <c r="N27" i="70"/>
  <c r="M27" i="70"/>
  <c r="F27" i="70"/>
  <c r="AA26" i="70"/>
  <c r="Z26" i="70"/>
  <c r="Y26" i="70"/>
  <c r="X26" i="70"/>
  <c r="W26" i="70"/>
  <c r="V26" i="70"/>
  <c r="U26" i="70"/>
  <c r="T26" i="70"/>
  <c r="S26" i="70"/>
  <c r="R26" i="70"/>
  <c r="Q26" i="70"/>
  <c r="P26" i="70"/>
  <c r="O26" i="70"/>
  <c r="N26" i="70"/>
  <c r="M26" i="70"/>
  <c r="F26" i="70"/>
  <c r="AA25" i="70"/>
  <c r="Z25" i="70"/>
  <c r="Y25" i="70"/>
  <c r="X25" i="70"/>
  <c r="W25" i="70"/>
  <c r="V25" i="70"/>
  <c r="U25" i="70"/>
  <c r="T25" i="70"/>
  <c r="S25" i="70"/>
  <c r="R25" i="70"/>
  <c r="Q25" i="70"/>
  <c r="P25" i="70"/>
  <c r="O25" i="70"/>
  <c r="N25" i="70"/>
  <c r="M25" i="70"/>
  <c r="F25" i="70"/>
  <c r="AA24" i="70"/>
  <c r="Z24" i="70"/>
  <c r="Y24" i="70"/>
  <c r="X24" i="70"/>
  <c r="W24" i="70"/>
  <c r="V24" i="70"/>
  <c r="U24" i="70"/>
  <c r="T24" i="70"/>
  <c r="S24" i="70"/>
  <c r="R24" i="70"/>
  <c r="Q24" i="70"/>
  <c r="P24" i="70"/>
  <c r="O24" i="70"/>
  <c r="N24" i="70"/>
  <c r="M24" i="70"/>
  <c r="F24" i="70"/>
  <c r="AA23" i="70"/>
  <c r="Z23" i="70"/>
  <c r="Y23" i="70"/>
  <c r="X23" i="70"/>
  <c r="W23" i="70"/>
  <c r="V23" i="70"/>
  <c r="U23" i="70"/>
  <c r="T23" i="70"/>
  <c r="S23" i="70"/>
  <c r="R23" i="70"/>
  <c r="Q23" i="70"/>
  <c r="P23" i="70"/>
  <c r="O23" i="70"/>
  <c r="N23" i="70"/>
  <c r="M23" i="70"/>
  <c r="F23" i="70"/>
  <c r="AA22" i="70"/>
  <c r="Z22" i="70"/>
  <c r="Y22" i="70"/>
  <c r="X22" i="70"/>
  <c r="W22" i="70"/>
  <c r="V22" i="70"/>
  <c r="U22" i="70"/>
  <c r="T22" i="70"/>
  <c r="S22" i="70"/>
  <c r="R22" i="70"/>
  <c r="Q22" i="70"/>
  <c r="P22" i="70"/>
  <c r="O22" i="70"/>
  <c r="N22" i="70"/>
  <c r="M22" i="70"/>
  <c r="F22" i="70"/>
  <c r="AA21" i="70"/>
  <c r="Z21" i="70"/>
  <c r="Y21" i="70"/>
  <c r="X21" i="70"/>
  <c r="W21" i="70"/>
  <c r="V21" i="70"/>
  <c r="U21" i="70"/>
  <c r="T21" i="70"/>
  <c r="S21" i="70"/>
  <c r="R21" i="70"/>
  <c r="Q21" i="70"/>
  <c r="P21" i="70"/>
  <c r="O21" i="70"/>
  <c r="N21" i="70"/>
  <c r="M21" i="70"/>
  <c r="F21" i="70"/>
  <c r="AA20" i="70"/>
  <c r="Z20" i="70"/>
  <c r="Y20" i="70"/>
  <c r="X20" i="70"/>
  <c r="W20" i="70"/>
  <c r="V20" i="70"/>
  <c r="U20" i="70"/>
  <c r="T20" i="70"/>
  <c r="S20" i="70"/>
  <c r="R20" i="70"/>
  <c r="Q20" i="70"/>
  <c r="P20" i="70"/>
  <c r="O20" i="70"/>
  <c r="N20" i="70"/>
  <c r="M20" i="70"/>
  <c r="F20" i="70"/>
  <c r="AA19" i="70"/>
  <c r="Z19" i="70"/>
  <c r="Y19" i="70"/>
  <c r="X19" i="70"/>
  <c r="W19" i="70"/>
  <c r="V19" i="70"/>
  <c r="U19" i="70"/>
  <c r="T19" i="70"/>
  <c r="S19" i="70"/>
  <c r="R19" i="70"/>
  <c r="Q19" i="70"/>
  <c r="P19" i="70"/>
  <c r="O19" i="70"/>
  <c r="N19" i="70"/>
  <c r="M19" i="70"/>
  <c r="F19" i="70"/>
  <c r="AA18" i="70"/>
  <c r="Z18" i="70"/>
  <c r="Y18" i="70"/>
  <c r="X18" i="70"/>
  <c r="W18" i="70"/>
  <c r="V18" i="70"/>
  <c r="U18" i="70"/>
  <c r="T18" i="70"/>
  <c r="S18" i="70"/>
  <c r="R18" i="70"/>
  <c r="Q18" i="70"/>
  <c r="P18" i="70"/>
  <c r="O18" i="70"/>
  <c r="N18" i="70"/>
  <c r="M18" i="70"/>
  <c r="F18" i="70"/>
  <c r="AA17" i="70"/>
  <c r="Z17" i="70"/>
  <c r="Y17" i="70"/>
  <c r="X17" i="70"/>
  <c r="W17" i="70"/>
  <c r="V17" i="70"/>
  <c r="U17" i="70"/>
  <c r="T17" i="70"/>
  <c r="S17" i="70"/>
  <c r="R17" i="70"/>
  <c r="Q17" i="70"/>
  <c r="P17" i="70"/>
  <c r="O17" i="70"/>
  <c r="N17" i="70"/>
  <c r="M17" i="70"/>
  <c r="F17" i="70"/>
  <c r="AA16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F16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F15" i="70"/>
  <c r="AA14" i="70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F14" i="70"/>
  <c r="AA13" i="70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F13" i="70"/>
  <c r="AA12" i="70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F12" i="70"/>
  <c r="AA11" i="70"/>
  <c r="Z11" i="70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F11" i="70"/>
  <c r="AA10" i="70"/>
  <c r="Z10" i="70"/>
  <c r="Y10" i="70"/>
  <c r="X10" i="70"/>
  <c r="W10" i="70"/>
  <c r="V10" i="70"/>
  <c r="U10" i="70"/>
  <c r="T10" i="70"/>
  <c r="S10" i="70"/>
  <c r="R10" i="70"/>
  <c r="Q10" i="70"/>
  <c r="P10" i="70"/>
  <c r="O10" i="70"/>
  <c r="N10" i="70"/>
  <c r="M10" i="70"/>
  <c r="F10" i="70"/>
  <c r="AA9" i="70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F9" i="70"/>
  <c r="AA8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F8" i="70"/>
  <c r="AA7" i="70"/>
  <c r="Z7" i="70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F7" i="70"/>
  <c r="AA6" i="70"/>
  <c r="Z6" i="70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F6" i="70"/>
  <c r="AA5" i="70"/>
  <c r="Z5" i="70"/>
  <c r="Y5" i="70"/>
  <c r="X5" i="70"/>
  <c r="W5" i="70"/>
  <c r="V5" i="70"/>
  <c r="U5" i="70"/>
  <c r="T5" i="70"/>
  <c r="S5" i="70"/>
  <c r="R5" i="70"/>
  <c r="Q5" i="70"/>
  <c r="P5" i="70"/>
  <c r="O5" i="70"/>
  <c r="N5" i="70"/>
  <c r="M5" i="70"/>
  <c r="F5" i="70"/>
  <c r="AA4" i="70"/>
  <c r="Z4" i="70"/>
  <c r="Y4" i="70"/>
  <c r="X4" i="70"/>
  <c r="W4" i="70"/>
  <c r="V4" i="70"/>
  <c r="U4" i="70"/>
  <c r="T4" i="70"/>
  <c r="S4" i="70"/>
  <c r="R4" i="70"/>
  <c r="Q4" i="70"/>
  <c r="P4" i="70"/>
  <c r="O4" i="70"/>
  <c r="N4" i="70"/>
  <c r="M4" i="70"/>
  <c r="F4" i="70"/>
  <c r="AA3" i="70"/>
  <c r="Z3" i="70"/>
  <c r="Y3" i="70"/>
  <c r="X3" i="70"/>
  <c r="W3" i="70"/>
  <c r="V3" i="70"/>
  <c r="U3" i="70"/>
  <c r="T3" i="70"/>
  <c r="S3" i="70"/>
  <c r="R3" i="70"/>
  <c r="Q3" i="70"/>
  <c r="P3" i="70"/>
  <c r="O3" i="70"/>
  <c r="N3" i="70"/>
  <c r="M3" i="70"/>
  <c r="F3" i="70"/>
  <c r="AA1" i="70"/>
  <c r="AA102" i="69"/>
  <c r="Z102" i="69"/>
  <c r="Y102" i="69"/>
  <c r="X102" i="69"/>
  <c r="W102" i="69"/>
  <c r="V102" i="69"/>
  <c r="U102" i="69"/>
  <c r="T102" i="69"/>
  <c r="S102" i="69"/>
  <c r="R102" i="69"/>
  <c r="Q102" i="69"/>
  <c r="P102" i="69"/>
  <c r="O102" i="69"/>
  <c r="N102" i="69"/>
  <c r="M102" i="69"/>
  <c r="F102" i="69"/>
  <c r="AA101" i="69"/>
  <c r="Z101" i="69"/>
  <c r="Y101" i="69"/>
  <c r="X101" i="69"/>
  <c r="W101" i="69"/>
  <c r="V101" i="69"/>
  <c r="U101" i="69"/>
  <c r="T101" i="69"/>
  <c r="S101" i="69"/>
  <c r="R101" i="69"/>
  <c r="Q101" i="69"/>
  <c r="P101" i="69"/>
  <c r="O101" i="69"/>
  <c r="N101" i="69"/>
  <c r="M101" i="69"/>
  <c r="F101" i="69"/>
  <c r="AA100" i="69"/>
  <c r="Z100" i="69"/>
  <c r="Y100" i="69"/>
  <c r="X100" i="69"/>
  <c r="W100" i="69"/>
  <c r="V100" i="69"/>
  <c r="U100" i="69"/>
  <c r="T100" i="69"/>
  <c r="S100" i="69"/>
  <c r="R100" i="69"/>
  <c r="Q100" i="69"/>
  <c r="P100" i="69"/>
  <c r="O100" i="69"/>
  <c r="N100" i="69"/>
  <c r="M100" i="69"/>
  <c r="F100" i="69"/>
  <c r="AA99" i="69"/>
  <c r="Z99" i="69"/>
  <c r="Y99" i="69"/>
  <c r="X99" i="69"/>
  <c r="W99" i="69"/>
  <c r="V99" i="69"/>
  <c r="U99" i="69"/>
  <c r="T99" i="69"/>
  <c r="S99" i="69"/>
  <c r="R99" i="69"/>
  <c r="Q99" i="69"/>
  <c r="P99" i="69"/>
  <c r="O99" i="69"/>
  <c r="N99" i="69"/>
  <c r="M99" i="69"/>
  <c r="F99" i="69"/>
  <c r="AA98" i="69"/>
  <c r="Z98" i="69"/>
  <c r="Y98" i="69"/>
  <c r="X98" i="69"/>
  <c r="W98" i="69"/>
  <c r="V98" i="69"/>
  <c r="U98" i="69"/>
  <c r="T98" i="69"/>
  <c r="S98" i="69"/>
  <c r="R98" i="69"/>
  <c r="Q98" i="69"/>
  <c r="P98" i="69"/>
  <c r="O98" i="69"/>
  <c r="N98" i="69"/>
  <c r="M98" i="69"/>
  <c r="F98" i="69"/>
  <c r="AA97" i="69"/>
  <c r="Z97" i="69"/>
  <c r="Y97" i="69"/>
  <c r="X97" i="69"/>
  <c r="W97" i="69"/>
  <c r="V97" i="69"/>
  <c r="U97" i="69"/>
  <c r="T97" i="69"/>
  <c r="S97" i="69"/>
  <c r="R97" i="69"/>
  <c r="Q97" i="69"/>
  <c r="P97" i="69"/>
  <c r="O97" i="69"/>
  <c r="N97" i="69"/>
  <c r="M97" i="69"/>
  <c r="F97" i="69"/>
  <c r="AA96" i="69"/>
  <c r="Z96" i="69"/>
  <c r="Y96" i="69"/>
  <c r="X96" i="69"/>
  <c r="W96" i="69"/>
  <c r="V96" i="69"/>
  <c r="U96" i="69"/>
  <c r="T96" i="69"/>
  <c r="S96" i="69"/>
  <c r="R96" i="69"/>
  <c r="Q96" i="69"/>
  <c r="P96" i="69"/>
  <c r="O96" i="69"/>
  <c r="N96" i="69"/>
  <c r="M96" i="69"/>
  <c r="F96" i="69"/>
  <c r="AA95" i="69"/>
  <c r="Z95" i="69"/>
  <c r="Y95" i="69"/>
  <c r="X95" i="69"/>
  <c r="W95" i="69"/>
  <c r="V95" i="69"/>
  <c r="U95" i="69"/>
  <c r="T95" i="69"/>
  <c r="S95" i="69"/>
  <c r="R95" i="69"/>
  <c r="Q95" i="69"/>
  <c r="P95" i="69"/>
  <c r="O95" i="69"/>
  <c r="N95" i="69"/>
  <c r="M95" i="69"/>
  <c r="F95" i="69"/>
  <c r="AA94" i="69"/>
  <c r="Z94" i="69"/>
  <c r="Y94" i="69"/>
  <c r="X94" i="69"/>
  <c r="W94" i="69"/>
  <c r="V94" i="69"/>
  <c r="U94" i="69"/>
  <c r="T94" i="69"/>
  <c r="S94" i="69"/>
  <c r="R94" i="69"/>
  <c r="Q94" i="69"/>
  <c r="P94" i="69"/>
  <c r="O94" i="69"/>
  <c r="N94" i="69"/>
  <c r="M94" i="69"/>
  <c r="F94" i="69"/>
  <c r="AA93" i="69"/>
  <c r="Z93" i="69"/>
  <c r="Y93" i="69"/>
  <c r="X93" i="69"/>
  <c r="W93" i="69"/>
  <c r="V93" i="69"/>
  <c r="U93" i="69"/>
  <c r="T93" i="69"/>
  <c r="S93" i="69"/>
  <c r="R93" i="69"/>
  <c r="Q93" i="69"/>
  <c r="P93" i="69"/>
  <c r="O93" i="69"/>
  <c r="N93" i="69"/>
  <c r="M93" i="69"/>
  <c r="F93" i="69"/>
  <c r="AA92" i="69"/>
  <c r="Z92" i="69"/>
  <c r="Y92" i="69"/>
  <c r="X92" i="69"/>
  <c r="W92" i="69"/>
  <c r="V92" i="69"/>
  <c r="U92" i="69"/>
  <c r="T92" i="69"/>
  <c r="S92" i="69"/>
  <c r="R92" i="69"/>
  <c r="Q92" i="69"/>
  <c r="P92" i="69"/>
  <c r="O92" i="69"/>
  <c r="N92" i="69"/>
  <c r="M92" i="69"/>
  <c r="F92" i="69"/>
  <c r="AA91" i="69"/>
  <c r="Z91" i="69"/>
  <c r="Y91" i="69"/>
  <c r="X91" i="69"/>
  <c r="W91" i="69"/>
  <c r="V91" i="69"/>
  <c r="U91" i="69"/>
  <c r="T91" i="69"/>
  <c r="S91" i="69"/>
  <c r="R91" i="69"/>
  <c r="Q91" i="69"/>
  <c r="P91" i="69"/>
  <c r="O91" i="69"/>
  <c r="N91" i="69"/>
  <c r="M91" i="69"/>
  <c r="F91" i="69"/>
  <c r="AA90" i="69"/>
  <c r="Z90" i="69"/>
  <c r="Y90" i="69"/>
  <c r="X90" i="69"/>
  <c r="W90" i="69"/>
  <c r="V90" i="69"/>
  <c r="U90" i="69"/>
  <c r="T90" i="69"/>
  <c r="S90" i="69"/>
  <c r="R90" i="69"/>
  <c r="Q90" i="69"/>
  <c r="P90" i="69"/>
  <c r="O90" i="69"/>
  <c r="N90" i="69"/>
  <c r="M90" i="69"/>
  <c r="F90" i="69"/>
  <c r="AA89" i="69"/>
  <c r="Z89" i="69"/>
  <c r="Y89" i="69"/>
  <c r="X89" i="69"/>
  <c r="W89" i="69"/>
  <c r="V89" i="69"/>
  <c r="U89" i="69"/>
  <c r="T89" i="69"/>
  <c r="S89" i="69"/>
  <c r="R89" i="69"/>
  <c r="Q89" i="69"/>
  <c r="P89" i="69"/>
  <c r="O89" i="69"/>
  <c r="N89" i="69"/>
  <c r="M89" i="69"/>
  <c r="F89" i="69"/>
  <c r="AA88" i="69"/>
  <c r="Z88" i="69"/>
  <c r="Y88" i="69"/>
  <c r="X88" i="69"/>
  <c r="W88" i="69"/>
  <c r="V88" i="69"/>
  <c r="U88" i="69"/>
  <c r="T88" i="69"/>
  <c r="S88" i="69"/>
  <c r="R88" i="69"/>
  <c r="Q88" i="69"/>
  <c r="P88" i="69"/>
  <c r="O88" i="69"/>
  <c r="N88" i="69"/>
  <c r="M88" i="69"/>
  <c r="F88" i="69"/>
  <c r="AA87" i="69"/>
  <c r="Z87" i="69"/>
  <c r="Y87" i="69"/>
  <c r="X87" i="69"/>
  <c r="W87" i="69"/>
  <c r="V87" i="69"/>
  <c r="U87" i="69"/>
  <c r="T87" i="69"/>
  <c r="S87" i="69"/>
  <c r="R87" i="69"/>
  <c r="Q87" i="69"/>
  <c r="P87" i="69"/>
  <c r="O87" i="69"/>
  <c r="N87" i="69"/>
  <c r="M87" i="69"/>
  <c r="F87" i="69"/>
  <c r="AA86" i="69"/>
  <c r="Z86" i="69"/>
  <c r="Y86" i="69"/>
  <c r="X86" i="69"/>
  <c r="W86" i="69"/>
  <c r="V86" i="69"/>
  <c r="U86" i="69"/>
  <c r="T86" i="69"/>
  <c r="S86" i="69"/>
  <c r="R86" i="69"/>
  <c r="Q86" i="69"/>
  <c r="P86" i="69"/>
  <c r="O86" i="69"/>
  <c r="N86" i="69"/>
  <c r="M86" i="69"/>
  <c r="F86" i="69"/>
  <c r="AA85" i="69"/>
  <c r="Z85" i="69"/>
  <c r="Y85" i="69"/>
  <c r="X85" i="69"/>
  <c r="W85" i="69"/>
  <c r="V85" i="69"/>
  <c r="U85" i="69"/>
  <c r="T85" i="69"/>
  <c r="S85" i="69"/>
  <c r="R85" i="69"/>
  <c r="Q85" i="69"/>
  <c r="P85" i="69"/>
  <c r="O85" i="69"/>
  <c r="N85" i="69"/>
  <c r="M85" i="69"/>
  <c r="F85" i="69"/>
  <c r="AA84" i="69"/>
  <c r="Z84" i="69"/>
  <c r="Y84" i="69"/>
  <c r="X84" i="69"/>
  <c r="W84" i="69"/>
  <c r="V84" i="69"/>
  <c r="U84" i="69"/>
  <c r="T84" i="69"/>
  <c r="S84" i="69"/>
  <c r="R84" i="69"/>
  <c r="Q84" i="69"/>
  <c r="P84" i="69"/>
  <c r="O84" i="69"/>
  <c r="N84" i="69"/>
  <c r="M84" i="69"/>
  <c r="F84" i="69"/>
  <c r="AA83" i="69"/>
  <c r="Z83" i="69"/>
  <c r="Y83" i="69"/>
  <c r="X83" i="69"/>
  <c r="W83" i="69"/>
  <c r="V83" i="69"/>
  <c r="U83" i="69"/>
  <c r="T83" i="69"/>
  <c r="S83" i="69"/>
  <c r="R83" i="69"/>
  <c r="Q83" i="69"/>
  <c r="P83" i="69"/>
  <c r="O83" i="69"/>
  <c r="N83" i="69"/>
  <c r="M83" i="69"/>
  <c r="F83" i="69"/>
  <c r="AA82" i="69"/>
  <c r="Z82" i="69"/>
  <c r="Y82" i="69"/>
  <c r="X82" i="69"/>
  <c r="W82" i="69"/>
  <c r="V82" i="69"/>
  <c r="U82" i="69"/>
  <c r="T82" i="69"/>
  <c r="S82" i="69"/>
  <c r="R82" i="69"/>
  <c r="Q82" i="69"/>
  <c r="P82" i="69"/>
  <c r="O82" i="69"/>
  <c r="N82" i="69"/>
  <c r="M82" i="69"/>
  <c r="F82" i="69"/>
  <c r="AA81" i="69"/>
  <c r="Z81" i="69"/>
  <c r="Y81" i="69"/>
  <c r="X81" i="69"/>
  <c r="W81" i="69"/>
  <c r="V81" i="69"/>
  <c r="U81" i="69"/>
  <c r="T81" i="69"/>
  <c r="S81" i="69"/>
  <c r="R81" i="69"/>
  <c r="Q81" i="69"/>
  <c r="P81" i="69"/>
  <c r="O81" i="69"/>
  <c r="N81" i="69"/>
  <c r="M81" i="69"/>
  <c r="F81" i="69"/>
  <c r="AA80" i="69"/>
  <c r="Z80" i="69"/>
  <c r="Y80" i="69"/>
  <c r="X80" i="69"/>
  <c r="W80" i="69"/>
  <c r="V80" i="69"/>
  <c r="U80" i="69"/>
  <c r="T80" i="69"/>
  <c r="S80" i="69"/>
  <c r="R80" i="69"/>
  <c r="Q80" i="69"/>
  <c r="P80" i="69"/>
  <c r="O80" i="69"/>
  <c r="N80" i="69"/>
  <c r="M80" i="69"/>
  <c r="F80" i="69"/>
  <c r="AA79" i="69"/>
  <c r="Z79" i="69"/>
  <c r="Y79" i="69"/>
  <c r="X79" i="69"/>
  <c r="W79" i="69"/>
  <c r="V79" i="69"/>
  <c r="U79" i="69"/>
  <c r="T79" i="69"/>
  <c r="S79" i="69"/>
  <c r="R79" i="69"/>
  <c r="Q79" i="69"/>
  <c r="P79" i="69"/>
  <c r="O79" i="69"/>
  <c r="N79" i="69"/>
  <c r="M79" i="69"/>
  <c r="F79" i="69"/>
  <c r="AA78" i="69"/>
  <c r="Z78" i="69"/>
  <c r="Y78" i="69"/>
  <c r="X78" i="69"/>
  <c r="W78" i="69"/>
  <c r="V78" i="69"/>
  <c r="U78" i="69"/>
  <c r="T78" i="69"/>
  <c r="S78" i="69"/>
  <c r="R78" i="69"/>
  <c r="Q78" i="69"/>
  <c r="P78" i="69"/>
  <c r="O78" i="69"/>
  <c r="N78" i="69"/>
  <c r="M78" i="69"/>
  <c r="F78" i="69"/>
  <c r="AA77" i="69"/>
  <c r="Z77" i="69"/>
  <c r="Y77" i="69"/>
  <c r="X77" i="69"/>
  <c r="W77" i="69"/>
  <c r="V77" i="69"/>
  <c r="U77" i="69"/>
  <c r="T77" i="69"/>
  <c r="S77" i="69"/>
  <c r="R77" i="69"/>
  <c r="Q77" i="69"/>
  <c r="P77" i="69"/>
  <c r="O77" i="69"/>
  <c r="N77" i="69"/>
  <c r="M77" i="69"/>
  <c r="F77" i="69"/>
  <c r="AA76" i="69"/>
  <c r="Z76" i="69"/>
  <c r="Y76" i="69"/>
  <c r="X76" i="69"/>
  <c r="W76" i="69"/>
  <c r="V76" i="69"/>
  <c r="U76" i="69"/>
  <c r="T76" i="69"/>
  <c r="S76" i="69"/>
  <c r="R76" i="69"/>
  <c r="Q76" i="69"/>
  <c r="P76" i="69"/>
  <c r="O76" i="69"/>
  <c r="N76" i="69"/>
  <c r="M76" i="69"/>
  <c r="F76" i="69"/>
  <c r="AA75" i="69"/>
  <c r="Z75" i="69"/>
  <c r="Y75" i="69"/>
  <c r="X75" i="69"/>
  <c r="W75" i="69"/>
  <c r="V75" i="69"/>
  <c r="U75" i="69"/>
  <c r="T75" i="69"/>
  <c r="S75" i="69"/>
  <c r="R75" i="69"/>
  <c r="Q75" i="69"/>
  <c r="P75" i="69"/>
  <c r="O75" i="69"/>
  <c r="N75" i="69"/>
  <c r="M75" i="69"/>
  <c r="F75" i="69"/>
  <c r="AA74" i="69"/>
  <c r="Z74" i="69"/>
  <c r="Y74" i="69"/>
  <c r="X74" i="69"/>
  <c r="W74" i="69"/>
  <c r="V74" i="69"/>
  <c r="U74" i="69"/>
  <c r="T74" i="69"/>
  <c r="S74" i="69"/>
  <c r="R74" i="69"/>
  <c r="Q74" i="69"/>
  <c r="P74" i="69"/>
  <c r="O74" i="69"/>
  <c r="N74" i="69"/>
  <c r="M74" i="69"/>
  <c r="F74" i="69"/>
  <c r="AA73" i="69"/>
  <c r="Z73" i="69"/>
  <c r="Y73" i="69"/>
  <c r="X73" i="69"/>
  <c r="W73" i="69"/>
  <c r="V73" i="69"/>
  <c r="U73" i="69"/>
  <c r="T73" i="69"/>
  <c r="S73" i="69"/>
  <c r="R73" i="69"/>
  <c r="Q73" i="69"/>
  <c r="P73" i="69"/>
  <c r="O73" i="69"/>
  <c r="N73" i="69"/>
  <c r="M73" i="69"/>
  <c r="F73" i="69"/>
  <c r="AA72" i="69"/>
  <c r="Z72" i="69"/>
  <c r="Y72" i="69"/>
  <c r="X72" i="69"/>
  <c r="W72" i="69"/>
  <c r="V72" i="69"/>
  <c r="U72" i="69"/>
  <c r="T72" i="69"/>
  <c r="S72" i="69"/>
  <c r="R72" i="69"/>
  <c r="Q72" i="69"/>
  <c r="P72" i="69"/>
  <c r="O72" i="69"/>
  <c r="N72" i="69"/>
  <c r="M72" i="69"/>
  <c r="F72" i="69"/>
  <c r="AA71" i="69"/>
  <c r="Z71" i="69"/>
  <c r="Y71" i="69"/>
  <c r="X71" i="69"/>
  <c r="W71" i="69"/>
  <c r="V71" i="69"/>
  <c r="U71" i="69"/>
  <c r="T71" i="69"/>
  <c r="S71" i="69"/>
  <c r="R71" i="69"/>
  <c r="Q71" i="69"/>
  <c r="P71" i="69"/>
  <c r="O71" i="69"/>
  <c r="N71" i="69"/>
  <c r="M71" i="69"/>
  <c r="F71" i="69"/>
  <c r="AA70" i="69"/>
  <c r="Z70" i="69"/>
  <c r="Y70" i="69"/>
  <c r="X70" i="69"/>
  <c r="W70" i="69"/>
  <c r="V70" i="69"/>
  <c r="U70" i="69"/>
  <c r="T70" i="69"/>
  <c r="S70" i="69"/>
  <c r="R70" i="69"/>
  <c r="Q70" i="69"/>
  <c r="P70" i="69"/>
  <c r="O70" i="69"/>
  <c r="N70" i="69"/>
  <c r="M70" i="69"/>
  <c r="F70" i="69"/>
  <c r="AA69" i="69"/>
  <c r="Z69" i="69"/>
  <c r="Y69" i="69"/>
  <c r="X69" i="69"/>
  <c r="W69" i="69"/>
  <c r="V69" i="69"/>
  <c r="U69" i="69"/>
  <c r="T69" i="69"/>
  <c r="S69" i="69"/>
  <c r="R69" i="69"/>
  <c r="Q69" i="69"/>
  <c r="P69" i="69"/>
  <c r="O69" i="69"/>
  <c r="N69" i="69"/>
  <c r="M69" i="69"/>
  <c r="F69" i="69"/>
  <c r="AA68" i="69"/>
  <c r="Z68" i="69"/>
  <c r="Y68" i="69"/>
  <c r="X68" i="69"/>
  <c r="W68" i="69"/>
  <c r="V68" i="69"/>
  <c r="U68" i="69"/>
  <c r="T68" i="69"/>
  <c r="S68" i="69"/>
  <c r="R68" i="69"/>
  <c r="Q68" i="69"/>
  <c r="P68" i="69"/>
  <c r="O68" i="69"/>
  <c r="N68" i="69"/>
  <c r="M68" i="69"/>
  <c r="F68" i="69"/>
  <c r="AA67" i="69"/>
  <c r="Z67" i="69"/>
  <c r="Y67" i="69"/>
  <c r="X67" i="69"/>
  <c r="W67" i="69"/>
  <c r="V67" i="69"/>
  <c r="U67" i="69"/>
  <c r="T67" i="69"/>
  <c r="S67" i="69"/>
  <c r="R67" i="69"/>
  <c r="Q67" i="69"/>
  <c r="P67" i="69"/>
  <c r="O67" i="69"/>
  <c r="N67" i="69"/>
  <c r="M67" i="69"/>
  <c r="F67" i="69"/>
  <c r="AA66" i="69"/>
  <c r="Z66" i="69"/>
  <c r="Y66" i="69"/>
  <c r="X66" i="69"/>
  <c r="W66" i="69"/>
  <c r="V66" i="69"/>
  <c r="U66" i="69"/>
  <c r="T66" i="69"/>
  <c r="S66" i="69"/>
  <c r="R66" i="69"/>
  <c r="Q66" i="69"/>
  <c r="P66" i="69"/>
  <c r="O66" i="69"/>
  <c r="N66" i="69"/>
  <c r="M66" i="69"/>
  <c r="F66" i="69"/>
  <c r="AA65" i="69"/>
  <c r="Z65" i="69"/>
  <c r="Y65" i="69"/>
  <c r="X65" i="69"/>
  <c r="W65" i="69"/>
  <c r="V65" i="69"/>
  <c r="U65" i="69"/>
  <c r="T65" i="69"/>
  <c r="S65" i="69"/>
  <c r="R65" i="69"/>
  <c r="Q65" i="69"/>
  <c r="P65" i="69"/>
  <c r="O65" i="69"/>
  <c r="N65" i="69"/>
  <c r="M65" i="69"/>
  <c r="F65" i="69"/>
  <c r="AA64" i="69"/>
  <c r="Z64" i="69"/>
  <c r="Y64" i="69"/>
  <c r="X64" i="69"/>
  <c r="W64" i="69"/>
  <c r="V64" i="69"/>
  <c r="U64" i="69"/>
  <c r="T64" i="69"/>
  <c r="S64" i="69"/>
  <c r="R64" i="69"/>
  <c r="Q64" i="69"/>
  <c r="P64" i="69"/>
  <c r="O64" i="69"/>
  <c r="N64" i="69"/>
  <c r="M64" i="69"/>
  <c r="F64" i="69"/>
  <c r="AA63" i="69"/>
  <c r="Z63" i="69"/>
  <c r="Y63" i="69"/>
  <c r="X63" i="69"/>
  <c r="W63" i="69"/>
  <c r="V63" i="69"/>
  <c r="U63" i="69"/>
  <c r="T63" i="69"/>
  <c r="S63" i="69"/>
  <c r="R63" i="69"/>
  <c r="Q63" i="69"/>
  <c r="P63" i="69"/>
  <c r="O63" i="69"/>
  <c r="N63" i="69"/>
  <c r="M63" i="69"/>
  <c r="F63" i="69"/>
  <c r="AA62" i="69"/>
  <c r="Z62" i="69"/>
  <c r="Y62" i="69"/>
  <c r="X62" i="69"/>
  <c r="W62" i="69"/>
  <c r="V62" i="69"/>
  <c r="U62" i="69"/>
  <c r="T62" i="69"/>
  <c r="S62" i="69"/>
  <c r="R62" i="69"/>
  <c r="Q62" i="69"/>
  <c r="P62" i="69"/>
  <c r="O62" i="69"/>
  <c r="N62" i="69"/>
  <c r="M62" i="69"/>
  <c r="F62" i="69"/>
  <c r="AA61" i="69"/>
  <c r="Z61" i="69"/>
  <c r="Y61" i="69"/>
  <c r="X61" i="69"/>
  <c r="W61" i="69"/>
  <c r="V61" i="69"/>
  <c r="U61" i="69"/>
  <c r="T61" i="69"/>
  <c r="S61" i="69"/>
  <c r="R61" i="69"/>
  <c r="Q61" i="69"/>
  <c r="P61" i="69"/>
  <c r="O61" i="69"/>
  <c r="N61" i="69"/>
  <c r="M61" i="69"/>
  <c r="F61" i="69"/>
  <c r="AA60" i="69"/>
  <c r="Z60" i="69"/>
  <c r="Y60" i="69"/>
  <c r="X60" i="69"/>
  <c r="W60" i="69"/>
  <c r="V60" i="69"/>
  <c r="U60" i="69"/>
  <c r="T60" i="69"/>
  <c r="S60" i="69"/>
  <c r="R60" i="69"/>
  <c r="Q60" i="69"/>
  <c r="P60" i="69"/>
  <c r="O60" i="69"/>
  <c r="N60" i="69"/>
  <c r="M60" i="69"/>
  <c r="F60" i="69"/>
  <c r="AA59" i="69"/>
  <c r="Z59" i="69"/>
  <c r="Y59" i="69"/>
  <c r="X59" i="69"/>
  <c r="W59" i="69"/>
  <c r="V59" i="69"/>
  <c r="U59" i="69"/>
  <c r="T59" i="69"/>
  <c r="S59" i="69"/>
  <c r="R59" i="69"/>
  <c r="Q59" i="69"/>
  <c r="P59" i="69"/>
  <c r="O59" i="69"/>
  <c r="N59" i="69"/>
  <c r="M59" i="69"/>
  <c r="F59" i="69"/>
  <c r="AA58" i="69"/>
  <c r="Z58" i="69"/>
  <c r="Y58" i="69"/>
  <c r="X58" i="69"/>
  <c r="W58" i="69"/>
  <c r="V58" i="69"/>
  <c r="U58" i="69"/>
  <c r="T58" i="69"/>
  <c r="S58" i="69"/>
  <c r="R58" i="69"/>
  <c r="Q58" i="69"/>
  <c r="P58" i="69"/>
  <c r="O58" i="69"/>
  <c r="N58" i="69"/>
  <c r="M58" i="69"/>
  <c r="F58" i="69"/>
  <c r="AA57" i="69"/>
  <c r="Z57" i="69"/>
  <c r="Y57" i="69"/>
  <c r="X57" i="69"/>
  <c r="W57" i="69"/>
  <c r="V57" i="69"/>
  <c r="U57" i="69"/>
  <c r="T57" i="69"/>
  <c r="S57" i="69"/>
  <c r="R57" i="69"/>
  <c r="Q57" i="69"/>
  <c r="P57" i="69"/>
  <c r="O57" i="69"/>
  <c r="N57" i="69"/>
  <c r="M57" i="69"/>
  <c r="F57" i="69"/>
  <c r="AA56" i="69"/>
  <c r="Z56" i="69"/>
  <c r="Y56" i="69"/>
  <c r="X56" i="69"/>
  <c r="W56" i="69"/>
  <c r="V56" i="69"/>
  <c r="U56" i="69"/>
  <c r="T56" i="69"/>
  <c r="S56" i="69"/>
  <c r="R56" i="69"/>
  <c r="Q56" i="69"/>
  <c r="P56" i="69"/>
  <c r="O56" i="69"/>
  <c r="N56" i="69"/>
  <c r="M56" i="69"/>
  <c r="F56" i="69"/>
  <c r="AA55" i="69"/>
  <c r="Z55" i="69"/>
  <c r="Y55" i="69"/>
  <c r="X55" i="69"/>
  <c r="W55" i="69"/>
  <c r="V55" i="69"/>
  <c r="U55" i="69"/>
  <c r="T55" i="69"/>
  <c r="S55" i="69"/>
  <c r="R55" i="69"/>
  <c r="Q55" i="69"/>
  <c r="P55" i="69"/>
  <c r="O55" i="69"/>
  <c r="N55" i="69"/>
  <c r="M55" i="69"/>
  <c r="F55" i="69"/>
  <c r="AA54" i="69"/>
  <c r="Z54" i="69"/>
  <c r="Y54" i="69"/>
  <c r="X54" i="69"/>
  <c r="W54" i="69"/>
  <c r="V54" i="69"/>
  <c r="U54" i="69"/>
  <c r="T54" i="69"/>
  <c r="S54" i="69"/>
  <c r="R54" i="69"/>
  <c r="Q54" i="69"/>
  <c r="P54" i="69"/>
  <c r="O54" i="69"/>
  <c r="N54" i="69"/>
  <c r="M54" i="69"/>
  <c r="F54" i="69"/>
  <c r="AA53" i="69"/>
  <c r="Z53" i="69"/>
  <c r="Y53" i="69"/>
  <c r="X53" i="69"/>
  <c r="W53" i="69"/>
  <c r="V53" i="69"/>
  <c r="U53" i="69"/>
  <c r="T53" i="69"/>
  <c r="S53" i="69"/>
  <c r="R53" i="69"/>
  <c r="Q53" i="69"/>
  <c r="P53" i="69"/>
  <c r="O53" i="69"/>
  <c r="N53" i="69"/>
  <c r="M53" i="69"/>
  <c r="F53" i="69"/>
  <c r="AA52" i="69"/>
  <c r="Z52" i="69"/>
  <c r="Y52" i="69"/>
  <c r="X52" i="69"/>
  <c r="W52" i="69"/>
  <c r="V52" i="69"/>
  <c r="U52" i="69"/>
  <c r="T52" i="69"/>
  <c r="S52" i="69"/>
  <c r="R52" i="69"/>
  <c r="Q52" i="69"/>
  <c r="P52" i="69"/>
  <c r="O52" i="69"/>
  <c r="N52" i="69"/>
  <c r="M52" i="69"/>
  <c r="F52" i="69"/>
  <c r="AA51" i="69"/>
  <c r="Z51" i="69"/>
  <c r="Y51" i="69"/>
  <c r="X51" i="69"/>
  <c r="W51" i="69"/>
  <c r="V51" i="69"/>
  <c r="U51" i="69"/>
  <c r="T51" i="69"/>
  <c r="S51" i="69"/>
  <c r="R51" i="69"/>
  <c r="Q51" i="69"/>
  <c r="P51" i="69"/>
  <c r="O51" i="69"/>
  <c r="N51" i="69"/>
  <c r="M51" i="69"/>
  <c r="F51" i="69"/>
  <c r="AA50" i="69"/>
  <c r="Z50" i="69"/>
  <c r="Y50" i="69"/>
  <c r="X50" i="69"/>
  <c r="W50" i="69"/>
  <c r="V50" i="69"/>
  <c r="U50" i="69"/>
  <c r="T50" i="69"/>
  <c r="S50" i="69"/>
  <c r="R50" i="69"/>
  <c r="Q50" i="69"/>
  <c r="P50" i="69"/>
  <c r="O50" i="69"/>
  <c r="N50" i="69"/>
  <c r="M50" i="69"/>
  <c r="F50" i="69"/>
  <c r="AA49" i="69"/>
  <c r="Z49" i="69"/>
  <c r="Y49" i="69"/>
  <c r="X49" i="69"/>
  <c r="W49" i="69"/>
  <c r="V49" i="69"/>
  <c r="U49" i="69"/>
  <c r="T49" i="69"/>
  <c r="S49" i="69"/>
  <c r="R49" i="69"/>
  <c r="Q49" i="69"/>
  <c r="P49" i="69"/>
  <c r="O49" i="69"/>
  <c r="N49" i="69"/>
  <c r="M49" i="69"/>
  <c r="F49" i="69"/>
  <c r="AA48" i="69"/>
  <c r="Z48" i="69"/>
  <c r="Y48" i="69"/>
  <c r="X48" i="69"/>
  <c r="W48" i="69"/>
  <c r="V48" i="69"/>
  <c r="U48" i="69"/>
  <c r="T48" i="69"/>
  <c r="S48" i="69"/>
  <c r="R48" i="69"/>
  <c r="Q48" i="69"/>
  <c r="P48" i="69"/>
  <c r="O48" i="69"/>
  <c r="N48" i="69"/>
  <c r="M48" i="69"/>
  <c r="F48" i="69"/>
  <c r="AA47" i="69"/>
  <c r="Z47" i="69"/>
  <c r="Y47" i="69"/>
  <c r="X47" i="69"/>
  <c r="W47" i="69"/>
  <c r="V47" i="69"/>
  <c r="U47" i="69"/>
  <c r="T47" i="69"/>
  <c r="S47" i="69"/>
  <c r="R47" i="69"/>
  <c r="Q47" i="69"/>
  <c r="P47" i="69"/>
  <c r="O47" i="69"/>
  <c r="N47" i="69"/>
  <c r="M47" i="69"/>
  <c r="F47" i="69"/>
  <c r="AA46" i="69"/>
  <c r="Z46" i="69"/>
  <c r="Y46" i="69"/>
  <c r="X46" i="69"/>
  <c r="W46" i="69"/>
  <c r="V46" i="69"/>
  <c r="U46" i="69"/>
  <c r="T46" i="69"/>
  <c r="S46" i="69"/>
  <c r="R46" i="69"/>
  <c r="Q46" i="69"/>
  <c r="P46" i="69"/>
  <c r="O46" i="69"/>
  <c r="N46" i="69"/>
  <c r="M46" i="69"/>
  <c r="F46" i="69"/>
  <c r="AA45" i="69"/>
  <c r="Z45" i="69"/>
  <c r="Y45" i="69"/>
  <c r="X45" i="69"/>
  <c r="W45" i="69"/>
  <c r="V45" i="69"/>
  <c r="U45" i="69"/>
  <c r="T45" i="69"/>
  <c r="S45" i="69"/>
  <c r="R45" i="69"/>
  <c r="Q45" i="69"/>
  <c r="P45" i="69"/>
  <c r="O45" i="69"/>
  <c r="N45" i="69"/>
  <c r="M45" i="69"/>
  <c r="F45" i="69"/>
  <c r="AA44" i="69"/>
  <c r="Z44" i="69"/>
  <c r="Y44" i="69"/>
  <c r="X44" i="69"/>
  <c r="W44" i="69"/>
  <c r="V44" i="69"/>
  <c r="U44" i="69"/>
  <c r="T44" i="69"/>
  <c r="S44" i="69"/>
  <c r="R44" i="69"/>
  <c r="Q44" i="69"/>
  <c r="P44" i="69"/>
  <c r="O44" i="69"/>
  <c r="N44" i="69"/>
  <c r="M44" i="69"/>
  <c r="F44" i="69"/>
  <c r="AA43" i="69"/>
  <c r="Z43" i="69"/>
  <c r="Y43" i="69"/>
  <c r="X43" i="69"/>
  <c r="W43" i="69"/>
  <c r="V43" i="69"/>
  <c r="U43" i="69"/>
  <c r="T43" i="69"/>
  <c r="S43" i="69"/>
  <c r="R43" i="69"/>
  <c r="Q43" i="69"/>
  <c r="P43" i="69"/>
  <c r="O43" i="69"/>
  <c r="N43" i="69"/>
  <c r="M43" i="69"/>
  <c r="F43" i="69"/>
  <c r="AA42" i="69"/>
  <c r="Z42" i="69"/>
  <c r="Y42" i="69"/>
  <c r="X42" i="69"/>
  <c r="W42" i="69"/>
  <c r="V42" i="69"/>
  <c r="U42" i="69"/>
  <c r="T42" i="69"/>
  <c r="S42" i="69"/>
  <c r="R42" i="69"/>
  <c r="Q42" i="69"/>
  <c r="P42" i="69"/>
  <c r="O42" i="69"/>
  <c r="N42" i="69"/>
  <c r="M42" i="69"/>
  <c r="F42" i="69"/>
  <c r="AA41" i="69"/>
  <c r="Z41" i="69"/>
  <c r="Y41" i="69"/>
  <c r="X41" i="69"/>
  <c r="W41" i="69"/>
  <c r="V41" i="69"/>
  <c r="U41" i="69"/>
  <c r="T41" i="69"/>
  <c r="S41" i="69"/>
  <c r="R41" i="69"/>
  <c r="Q41" i="69"/>
  <c r="P41" i="69"/>
  <c r="O41" i="69"/>
  <c r="N41" i="69"/>
  <c r="M41" i="69"/>
  <c r="F41" i="69"/>
  <c r="AA40" i="69"/>
  <c r="Z40" i="69"/>
  <c r="Y40" i="69"/>
  <c r="X40" i="69"/>
  <c r="W40" i="69"/>
  <c r="V40" i="69"/>
  <c r="U40" i="69"/>
  <c r="T40" i="69"/>
  <c r="S40" i="69"/>
  <c r="R40" i="69"/>
  <c r="Q40" i="69"/>
  <c r="P40" i="69"/>
  <c r="O40" i="69"/>
  <c r="N40" i="69"/>
  <c r="M40" i="69"/>
  <c r="F40" i="69"/>
  <c r="AA39" i="69"/>
  <c r="Z39" i="69"/>
  <c r="Y39" i="69"/>
  <c r="X39" i="69"/>
  <c r="W39" i="69"/>
  <c r="V39" i="69"/>
  <c r="U39" i="69"/>
  <c r="T39" i="69"/>
  <c r="S39" i="69"/>
  <c r="R39" i="69"/>
  <c r="Q39" i="69"/>
  <c r="P39" i="69"/>
  <c r="O39" i="69"/>
  <c r="N39" i="69"/>
  <c r="M39" i="69"/>
  <c r="F39" i="69"/>
  <c r="AA38" i="69"/>
  <c r="Z38" i="69"/>
  <c r="Y38" i="69"/>
  <c r="X38" i="69"/>
  <c r="W38" i="69"/>
  <c r="V38" i="69"/>
  <c r="U38" i="69"/>
  <c r="T38" i="69"/>
  <c r="S38" i="69"/>
  <c r="R38" i="69"/>
  <c r="Q38" i="69"/>
  <c r="P38" i="69"/>
  <c r="O38" i="69"/>
  <c r="N38" i="69"/>
  <c r="M38" i="69"/>
  <c r="F38" i="69"/>
  <c r="AA37" i="69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F37" i="69"/>
  <c r="AA36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F36" i="69"/>
  <c r="AA35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F35" i="69"/>
  <c r="AA34" i="69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F34" i="69"/>
  <c r="AA33" i="69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F33" i="69"/>
  <c r="AA32" i="69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F32" i="69"/>
  <c r="AA31" i="69"/>
  <c r="Z31" i="69"/>
  <c r="Y31" i="69"/>
  <c r="X31" i="69"/>
  <c r="W31" i="69"/>
  <c r="V31" i="69"/>
  <c r="U31" i="69"/>
  <c r="T31" i="69"/>
  <c r="S31" i="69"/>
  <c r="R31" i="69"/>
  <c r="Q31" i="69"/>
  <c r="P31" i="69"/>
  <c r="O31" i="69"/>
  <c r="N31" i="69"/>
  <c r="M31" i="69"/>
  <c r="F31" i="69"/>
  <c r="AA30" i="69"/>
  <c r="Z30" i="69"/>
  <c r="Y30" i="69"/>
  <c r="X30" i="69"/>
  <c r="W30" i="69"/>
  <c r="V30" i="69"/>
  <c r="U30" i="69"/>
  <c r="T30" i="69"/>
  <c r="S30" i="69"/>
  <c r="R30" i="69"/>
  <c r="Q30" i="69"/>
  <c r="P30" i="69"/>
  <c r="O30" i="69"/>
  <c r="N30" i="69"/>
  <c r="M30" i="69"/>
  <c r="F30" i="69"/>
  <c r="AA29" i="69"/>
  <c r="Z29" i="69"/>
  <c r="Y29" i="69"/>
  <c r="X29" i="69"/>
  <c r="W29" i="69"/>
  <c r="V29" i="69"/>
  <c r="U29" i="69"/>
  <c r="T29" i="69"/>
  <c r="S29" i="69"/>
  <c r="R29" i="69"/>
  <c r="Q29" i="69"/>
  <c r="P29" i="69"/>
  <c r="O29" i="69"/>
  <c r="N29" i="69"/>
  <c r="M29" i="69"/>
  <c r="F29" i="69"/>
  <c r="AA28" i="69"/>
  <c r="Z28" i="69"/>
  <c r="Y28" i="69"/>
  <c r="X28" i="69"/>
  <c r="W28" i="69"/>
  <c r="V28" i="69"/>
  <c r="U28" i="69"/>
  <c r="T28" i="69"/>
  <c r="S28" i="69"/>
  <c r="R28" i="69"/>
  <c r="Q28" i="69"/>
  <c r="P28" i="69"/>
  <c r="O28" i="69"/>
  <c r="N28" i="69"/>
  <c r="M28" i="69"/>
  <c r="F28" i="69"/>
  <c r="AA27" i="69"/>
  <c r="Z27" i="69"/>
  <c r="Y27" i="69"/>
  <c r="X27" i="69"/>
  <c r="W27" i="69"/>
  <c r="V27" i="69"/>
  <c r="U27" i="69"/>
  <c r="T27" i="69"/>
  <c r="S27" i="69"/>
  <c r="R27" i="69"/>
  <c r="Q27" i="69"/>
  <c r="P27" i="69"/>
  <c r="O27" i="69"/>
  <c r="N27" i="69"/>
  <c r="M27" i="69"/>
  <c r="F27" i="69"/>
  <c r="AA26" i="69"/>
  <c r="Z26" i="69"/>
  <c r="Y26" i="69"/>
  <c r="X26" i="69"/>
  <c r="W26" i="69"/>
  <c r="V26" i="69"/>
  <c r="U26" i="69"/>
  <c r="T26" i="69"/>
  <c r="S26" i="69"/>
  <c r="R26" i="69"/>
  <c r="Q26" i="69"/>
  <c r="P26" i="69"/>
  <c r="O26" i="69"/>
  <c r="N26" i="69"/>
  <c r="M26" i="69"/>
  <c r="F26" i="69"/>
  <c r="AA25" i="69"/>
  <c r="Z25" i="69"/>
  <c r="Y25" i="69"/>
  <c r="X25" i="69"/>
  <c r="W25" i="69"/>
  <c r="V25" i="69"/>
  <c r="U25" i="69"/>
  <c r="T25" i="69"/>
  <c r="S25" i="69"/>
  <c r="R25" i="69"/>
  <c r="Q25" i="69"/>
  <c r="P25" i="69"/>
  <c r="O25" i="69"/>
  <c r="N25" i="69"/>
  <c r="M25" i="69"/>
  <c r="F25" i="69"/>
  <c r="AA24" i="69"/>
  <c r="Z24" i="69"/>
  <c r="Y24" i="69"/>
  <c r="X24" i="69"/>
  <c r="W24" i="69"/>
  <c r="V24" i="69"/>
  <c r="U24" i="69"/>
  <c r="T24" i="69"/>
  <c r="S24" i="69"/>
  <c r="R24" i="69"/>
  <c r="Q24" i="69"/>
  <c r="P24" i="69"/>
  <c r="O24" i="69"/>
  <c r="N24" i="69"/>
  <c r="M24" i="69"/>
  <c r="F24" i="69"/>
  <c r="AA23" i="69"/>
  <c r="Z23" i="69"/>
  <c r="Y23" i="69"/>
  <c r="X23" i="69"/>
  <c r="W23" i="69"/>
  <c r="V23" i="69"/>
  <c r="U23" i="69"/>
  <c r="T23" i="69"/>
  <c r="S23" i="69"/>
  <c r="R23" i="69"/>
  <c r="Q23" i="69"/>
  <c r="P23" i="69"/>
  <c r="O23" i="69"/>
  <c r="N23" i="69"/>
  <c r="M23" i="69"/>
  <c r="F23" i="69"/>
  <c r="AA22" i="69"/>
  <c r="Z22" i="69"/>
  <c r="Y22" i="69"/>
  <c r="X22" i="69"/>
  <c r="W22" i="69"/>
  <c r="V22" i="69"/>
  <c r="U22" i="69"/>
  <c r="T22" i="69"/>
  <c r="S22" i="69"/>
  <c r="R22" i="69"/>
  <c r="Q22" i="69"/>
  <c r="P22" i="69"/>
  <c r="O22" i="69"/>
  <c r="N22" i="69"/>
  <c r="M22" i="69"/>
  <c r="F22" i="69"/>
  <c r="AA21" i="69"/>
  <c r="Z21" i="69"/>
  <c r="Y21" i="69"/>
  <c r="X21" i="69"/>
  <c r="W21" i="69"/>
  <c r="V21" i="69"/>
  <c r="U21" i="69"/>
  <c r="T21" i="69"/>
  <c r="S21" i="69"/>
  <c r="R21" i="69"/>
  <c r="Q21" i="69"/>
  <c r="P21" i="69"/>
  <c r="O21" i="69"/>
  <c r="N21" i="69"/>
  <c r="M21" i="69"/>
  <c r="F21" i="69"/>
  <c r="AA20" i="69"/>
  <c r="Z20" i="69"/>
  <c r="Y20" i="69"/>
  <c r="X20" i="69"/>
  <c r="W20" i="69"/>
  <c r="V20" i="69"/>
  <c r="U20" i="69"/>
  <c r="T20" i="69"/>
  <c r="S20" i="69"/>
  <c r="R20" i="69"/>
  <c r="Q20" i="69"/>
  <c r="P20" i="69"/>
  <c r="O20" i="69"/>
  <c r="N20" i="69"/>
  <c r="M20" i="69"/>
  <c r="F20" i="69"/>
  <c r="AA19" i="69"/>
  <c r="Z19" i="69"/>
  <c r="Y19" i="69"/>
  <c r="X19" i="69"/>
  <c r="W19" i="69"/>
  <c r="V19" i="69"/>
  <c r="U19" i="69"/>
  <c r="T19" i="69"/>
  <c r="S19" i="69"/>
  <c r="R19" i="69"/>
  <c r="Q19" i="69"/>
  <c r="P19" i="69"/>
  <c r="O19" i="69"/>
  <c r="N19" i="69"/>
  <c r="M19" i="69"/>
  <c r="F19" i="69"/>
  <c r="AA18" i="69"/>
  <c r="Z18" i="69"/>
  <c r="Y18" i="69"/>
  <c r="X18" i="69"/>
  <c r="W18" i="69"/>
  <c r="V18" i="69"/>
  <c r="U18" i="69"/>
  <c r="T18" i="69"/>
  <c r="S18" i="69"/>
  <c r="R18" i="69"/>
  <c r="Q18" i="69"/>
  <c r="P18" i="69"/>
  <c r="O18" i="69"/>
  <c r="N18" i="69"/>
  <c r="M18" i="69"/>
  <c r="F18" i="69"/>
  <c r="AA17" i="69"/>
  <c r="Z17" i="69"/>
  <c r="Y17" i="69"/>
  <c r="X17" i="69"/>
  <c r="W17" i="69"/>
  <c r="V17" i="69"/>
  <c r="U17" i="69"/>
  <c r="T17" i="69"/>
  <c r="S17" i="69"/>
  <c r="R17" i="69"/>
  <c r="Q17" i="69"/>
  <c r="P17" i="69"/>
  <c r="O17" i="69"/>
  <c r="N17" i="69"/>
  <c r="M17" i="69"/>
  <c r="F17" i="69"/>
  <c r="AA16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F16" i="69"/>
  <c r="AA15" i="69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F15" i="69"/>
  <c r="AA14" i="69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F14" i="69"/>
  <c r="AA13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F13" i="69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F12" i="69"/>
  <c r="AA11" i="69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F11" i="69"/>
  <c r="AA10" i="69"/>
  <c r="Z10" i="69"/>
  <c r="Y10" i="69"/>
  <c r="X10" i="69"/>
  <c r="W10" i="69"/>
  <c r="V10" i="69"/>
  <c r="U10" i="69"/>
  <c r="T10" i="69"/>
  <c r="S10" i="69"/>
  <c r="R10" i="69"/>
  <c r="Q10" i="69"/>
  <c r="P10" i="69"/>
  <c r="O10" i="69"/>
  <c r="N10" i="69"/>
  <c r="M10" i="69"/>
  <c r="F10" i="69"/>
  <c r="AA9" i="69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F9" i="69"/>
  <c r="AA8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F8" i="69"/>
  <c r="AA7" i="69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F7" i="69"/>
  <c r="AA6" i="69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F6" i="69"/>
  <c r="AA5" i="69"/>
  <c r="Z5" i="69"/>
  <c r="Y5" i="69"/>
  <c r="X5" i="69"/>
  <c r="W5" i="69"/>
  <c r="V5" i="69"/>
  <c r="U5" i="69"/>
  <c r="T5" i="69"/>
  <c r="S5" i="69"/>
  <c r="R5" i="69"/>
  <c r="Q5" i="69"/>
  <c r="P5" i="69"/>
  <c r="O5" i="69"/>
  <c r="N5" i="69"/>
  <c r="M5" i="69"/>
  <c r="M1" i="69" s="1"/>
  <c r="F5" i="69"/>
  <c r="AA4" i="69"/>
  <c r="Z4" i="69"/>
  <c r="Y4" i="69"/>
  <c r="X4" i="69"/>
  <c r="W4" i="69"/>
  <c r="V4" i="69"/>
  <c r="U4" i="69"/>
  <c r="T4" i="69"/>
  <c r="S4" i="69"/>
  <c r="R4" i="69"/>
  <c r="Q4" i="69"/>
  <c r="P4" i="69"/>
  <c r="O4" i="69"/>
  <c r="N4" i="69"/>
  <c r="M4" i="69"/>
  <c r="F4" i="69"/>
  <c r="AA3" i="69"/>
  <c r="Z3" i="69"/>
  <c r="Y3" i="69"/>
  <c r="X3" i="69"/>
  <c r="W3" i="69"/>
  <c r="W1" i="69" s="1"/>
  <c r="V3" i="69"/>
  <c r="U3" i="69"/>
  <c r="T3" i="69"/>
  <c r="S3" i="69"/>
  <c r="R3" i="69"/>
  <c r="Q3" i="69"/>
  <c r="P3" i="69"/>
  <c r="O3" i="69"/>
  <c r="N3" i="69"/>
  <c r="M3" i="69"/>
  <c r="F3" i="69"/>
  <c r="AA1" i="69"/>
  <c r="AA102" i="68"/>
  <c r="Z102" i="68"/>
  <c r="Y102" i="68"/>
  <c r="X102" i="68"/>
  <c r="W102" i="68"/>
  <c r="V102" i="68"/>
  <c r="U102" i="68"/>
  <c r="T102" i="68"/>
  <c r="S102" i="68"/>
  <c r="R102" i="68"/>
  <c r="Q102" i="68"/>
  <c r="P102" i="68"/>
  <c r="O102" i="68"/>
  <c r="N102" i="68"/>
  <c r="M102" i="68"/>
  <c r="F102" i="68"/>
  <c r="AA101" i="68"/>
  <c r="Z101" i="68"/>
  <c r="Y101" i="68"/>
  <c r="X101" i="68"/>
  <c r="W101" i="68"/>
  <c r="V101" i="68"/>
  <c r="U101" i="68"/>
  <c r="T101" i="68"/>
  <c r="S101" i="68"/>
  <c r="R101" i="68"/>
  <c r="Q101" i="68"/>
  <c r="P101" i="68"/>
  <c r="O101" i="68"/>
  <c r="N101" i="68"/>
  <c r="M101" i="68"/>
  <c r="F101" i="68"/>
  <c r="AA100" i="68"/>
  <c r="Z100" i="68"/>
  <c r="Y100" i="68"/>
  <c r="X100" i="68"/>
  <c r="W100" i="68"/>
  <c r="V100" i="68"/>
  <c r="U100" i="68"/>
  <c r="T100" i="68"/>
  <c r="S100" i="68"/>
  <c r="R100" i="68"/>
  <c r="Q100" i="68"/>
  <c r="P100" i="68"/>
  <c r="O100" i="68"/>
  <c r="N100" i="68"/>
  <c r="M100" i="68"/>
  <c r="F100" i="68"/>
  <c r="AA99" i="68"/>
  <c r="Z99" i="68"/>
  <c r="Y99" i="68"/>
  <c r="X99" i="68"/>
  <c r="W99" i="68"/>
  <c r="V99" i="68"/>
  <c r="U99" i="68"/>
  <c r="T99" i="68"/>
  <c r="S99" i="68"/>
  <c r="R99" i="68"/>
  <c r="Q99" i="68"/>
  <c r="P99" i="68"/>
  <c r="O99" i="68"/>
  <c r="N99" i="68"/>
  <c r="M99" i="68"/>
  <c r="F99" i="68"/>
  <c r="AA98" i="68"/>
  <c r="Z98" i="68"/>
  <c r="Y98" i="68"/>
  <c r="X98" i="68"/>
  <c r="W98" i="68"/>
  <c r="V98" i="68"/>
  <c r="U98" i="68"/>
  <c r="T98" i="68"/>
  <c r="S98" i="68"/>
  <c r="R98" i="68"/>
  <c r="Q98" i="68"/>
  <c r="P98" i="68"/>
  <c r="O98" i="68"/>
  <c r="N98" i="68"/>
  <c r="M98" i="68"/>
  <c r="F98" i="68"/>
  <c r="AA97" i="68"/>
  <c r="Z97" i="68"/>
  <c r="Y97" i="68"/>
  <c r="X97" i="68"/>
  <c r="W97" i="68"/>
  <c r="V97" i="68"/>
  <c r="U97" i="68"/>
  <c r="T97" i="68"/>
  <c r="S97" i="68"/>
  <c r="R97" i="68"/>
  <c r="Q97" i="68"/>
  <c r="P97" i="68"/>
  <c r="O97" i="68"/>
  <c r="N97" i="68"/>
  <c r="M97" i="68"/>
  <c r="F97" i="68"/>
  <c r="AA96" i="68"/>
  <c r="Z96" i="68"/>
  <c r="Y96" i="68"/>
  <c r="X96" i="68"/>
  <c r="W96" i="68"/>
  <c r="V96" i="68"/>
  <c r="U96" i="68"/>
  <c r="T96" i="68"/>
  <c r="S96" i="68"/>
  <c r="R96" i="68"/>
  <c r="Q96" i="68"/>
  <c r="P96" i="68"/>
  <c r="O96" i="68"/>
  <c r="N96" i="68"/>
  <c r="M96" i="68"/>
  <c r="F96" i="68"/>
  <c r="AA95" i="68"/>
  <c r="Z95" i="68"/>
  <c r="Y95" i="68"/>
  <c r="X95" i="68"/>
  <c r="W95" i="68"/>
  <c r="V95" i="68"/>
  <c r="U95" i="68"/>
  <c r="T95" i="68"/>
  <c r="S95" i="68"/>
  <c r="R95" i="68"/>
  <c r="Q95" i="68"/>
  <c r="P95" i="68"/>
  <c r="O95" i="68"/>
  <c r="N95" i="68"/>
  <c r="M95" i="68"/>
  <c r="F95" i="68"/>
  <c r="AA94" i="68"/>
  <c r="Z94" i="68"/>
  <c r="Y94" i="68"/>
  <c r="X94" i="68"/>
  <c r="W94" i="68"/>
  <c r="V94" i="68"/>
  <c r="U94" i="68"/>
  <c r="T94" i="68"/>
  <c r="S94" i="68"/>
  <c r="R94" i="68"/>
  <c r="Q94" i="68"/>
  <c r="P94" i="68"/>
  <c r="O94" i="68"/>
  <c r="N94" i="68"/>
  <c r="M94" i="68"/>
  <c r="F94" i="68"/>
  <c r="AA93" i="68"/>
  <c r="Z93" i="68"/>
  <c r="Y93" i="68"/>
  <c r="X93" i="68"/>
  <c r="W93" i="68"/>
  <c r="V93" i="68"/>
  <c r="U93" i="68"/>
  <c r="T93" i="68"/>
  <c r="S93" i="68"/>
  <c r="R93" i="68"/>
  <c r="Q93" i="68"/>
  <c r="P93" i="68"/>
  <c r="O93" i="68"/>
  <c r="N93" i="68"/>
  <c r="M93" i="68"/>
  <c r="F93" i="68"/>
  <c r="AA92" i="68"/>
  <c r="Z92" i="68"/>
  <c r="Y92" i="68"/>
  <c r="X92" i="68"/>
  <c r="W92" i="68"/>
  <c r="V92" i="68"/>
  <c r="U92" i="68"/>
  <c r="T92" i="68"/>
  <c r="S92" i="68"/>
  <c r="R92" i="68"/>
  <c r="Q92" i="68"/>
  <c r="P92" i="68"/>
  <c r="O92" i="68"/>
  <c r="N92" i="68"/>
  <c r="M92" i="68"/>
  <c r="F92" i="68"/>
  <c r="AA91" i="68"/>
  <c r="Z91" i="68"/>
  <c r="Y91" i="68"/>
  <c r="X91" i="68"/>
  <c r="W91" i="68"/>
  <c r="V91" i="68"/>
  <c r="U91" i="68"/>
  <c r="T91" i="68"/>
  <c r="S91" i="68"/>
  <c r="R91" i="68"/>
  <c r="Q91" i="68"/>
  <c r="P91" i="68"/>
  <c r="O91" i="68"/>
  <c r="N91" i="68"/>
  <c r="M91" i="68"/>
  <c r="F91" i="68"/>
  <c r="AA90" i="68"/>
  <c r="Z90" i="68"/>
  <c r="Y90" i="68"/>
  <c r="X90" i="68"/>
  <c r="W90" i="68"/>
  <c r="V90" i="68"/>
  <c r="U90" i="68"/>
  <c r="T90" i="68"/>
  <c r="S90" i="68"/>
  <c r="R90" i="68"/>
  <c r="Q90" i="68"/>
  <c r="P90" i="68"/>
  <c r="O90" i="68"/>
  <c r="N90" i="68"/>
  <c r="M90" i="68"/>
  <c r="F90" i="68"/>
  <c r="AA89" i="68"/>
  <c r="Z89" i="68"/>
  <c r="Y89" i="68"/>
  <c r="X89" i="68"/>
  <c r="W89" i="68"/>
  <c r="V89" i="68"/>
  <c r="U89" i="68"/>
  <c r="T89" i="68"/>
  <c r="S89" i="68"/>
  <c r="R89" i="68"/>
  <c r="Q89" i="68"/>
  <c r="P89" i="68"/>
  <c r="O89" i="68"/>
  <c r="N89" i="68"/>
  <c r="M89" i="68"/>
  <c r="F89" i="68"/>
  <c r="AA88" i="68"/>
  <c r="Z88" i="68"/>
  <c r="Y88" i="68"/>
  <c r="X88" i="68"/>
  <c r="W88" i="68"/>
  <c r="V88" i="68"/>
  <c r="U88" i="68"/>
  <c r="T88" i="68"/>
  <c r="S88" i="68"/>
  <c r="R88" i="68"/>
  <c r="Q88" i="68"/>
  <c r="P88" i="68"/>
  <c r="O88" i="68"/>
  <c r="N88" i="68"/>
  <c r="M88" i="68"/>
  <c r="F88" i="68"/>
  <c r="AA87" i="68"/>
  <c r="Z87" i="68"/>
  <c r="Y87" i="68"/>
  <c r="X87" i="68"/>
  <c r="W87" i="68"/>
  <c r="V87" i="68"/>
  <c r="U87" i="68"/>
  <c r="T87" i="68"/>
  <c r="S87" i="68"/>
  <c r="R87" i="68"/>
  <c r="Q87" i="68"/>
  <c r="P87" i="68"/>
  <c r="O87" i="68"/>
  <c r="N87" i="68"/>
  <c r="M87" i="68"/>
  <c r="F87" i="68"/>
  <c r="AA86" i="68"/>
  <c r="Z86" i="68"/>
  <c r="Y86" i="68"/>
  <c r="X86" i="68"/>
  <c r="W86" i="68"/>
  <c r="V86" i="68"/>
  <c r="U86" i="68"/>
  <c r="T86" i="68"/>
  <c r="S86" i="68"/>
  <c r="R86" i="68"/>
  <c r="Q86" i="68"/>
  <c r="P86" i="68"/>
  <c r="O86" i="68"/>
  <c r="N86" i="68"/>
  <c r="M86" i="68"/>
  <c r="F86" i="68"/>
  <c r="AA85" i="68"/>
  <c r="Z85" i="68"/>
  <c r="Y85" i="68"/>
  <c r="X85" i="68"/>
  <c r="W85" i="68"/>
  <c r="V85" i="68"/>
  <c r="U85" i="68"/>
  <c r="T85" i="68"/>
  <c r="S85" i="68"/>
  <c r="R85" i="68"/>
  <c r="Q85" i="68"/>
  <c r="P85" i="68"/>
  <c r="O85" i="68"/>
  <c r="N85" i="68"/>
  <c r="M85" i="68"/>
  <c r="F85" i="68"/>
  <c r="AA84" i="68"/>
  <c r="Z84" i="68"/>
  <c r="Y84" i="68"/>
  <c r="X84" i="68"/>
  <c r="W84" i="68"/>
  <c r="V84" i="68"/>
  <c r="U84" i="68"/>
  <c r="T84" i="68"/>
  <c r="S84" i="68"/>
  <c r="R84" i="68"/>
  <c r="Q84" i="68"/>
  <c r="P84" i="68"/>
  <c r="O84" i="68"/>
  <c r="N84" i="68"/>
  <c r="M84" i="68"/>
  <c r="F84" i="68"/>
  <c r="AA83" i="68"/>
  <c r="Z83" i="68"/>
  <c r="Y83" i="68"/>
  <c r="X83" i="68"/>
  <c r="W83" i="68"/>
  <c r="V83" i="68"/>
  <c r="U83" i="68"/>
  <c r="T83" i="68"/>
  <c r="S83" i="68"/>
  <c r="R83" i="68"/>
  <c r="Q83" i="68"/>
  <c r="P83" i="68"/>
  <c r="O83" i="68"/>
  <c r="N83" i="68"/>
  <c r="M83" i="68"/>
  <c r="F83" i="68"/>
  <c r="AA82" i="68"/>
  <c r="Z82" i="68"/>
  <c r="Y82" i="68"/>
  <c r="X82" i="68"/>
  <c r="W82" i="68"/>
  <c r="V82" i="68"/>
  <c r="U82" i="68"/>
  <c r="T82" i="68"/>
  <c r="S82" i="68"/>
  <c r="R82" i="68"/>
  <c r="Q82" i="68"/>
  <c r="P82" i="68"/>
  <c r="O82" i="68"/>
  <c r="N82" i="68"/>
  <c r="M82" i="68"/>
  <c r="F82" i="68"/>
  <c r="AA81" i="68"/>
  <c r="Z81" i="68"/>
  <c r="Y81" i="68"/>
  <c r="X81" i="68"/>
  <c r="W81" i="68"/>
  <c r="V81" i="68"/>
  <c r="U81" i="68"/>
  <c r="T81" i="68"/>
  <c r="S81" i="68"/>
  <c r="R81" i="68"/>
  <c r="Q81" i="68"/>
  <c r="P81" i="68"/>
  <c r="O81" i="68"/>
  <c r="N81" i="68"/>
  <c r="M81" i="68"/>
  <c r="F81" i="68"/>
  <c r="AA80" i="68"/>
  <c r="Z80" i="68"/>
  <c r="Y80" i="68"/>
  <c r="X80" i="68"/>
  <c r="W80" i="68"/>
  <c r="V80" i="68"/>
  <c r="U80" i="68"/>
  <c r="T80" i="68"/>
  <c r="S80" i="68"/>
  <c r="R80" i="68"/>
  <c r="Q80" i="68"/>
  <c r="P80" i="68"/>
  <c r="O80" i="68"/>
  <c r="N80" i="68"/>
  <c r="M80" i="68"/>
  <c r="F80" i="68"/>
  <c r="AA79" i="68"/>
  <c r="Z79" i="68"/>
  <c r="Y79" i="68"/>
  <c r="X79" i="68"/>
  <c r="W79" i="68"/>
  <c r="V79" i="68"/>
  <c r="U79" i="68"/>
  <c r="T79" i="68"/>
  <c r="S79" i="68"/>
  <c r="R79" i="68"/>
  <c r="Q79" i="68"/>
  <c r="P79" i="68"/>
  <c r="O79" i="68"/>
  <c r="N79" i="68"/>
  <c r="M79" i="68"/>
  <c r="F79" i="68"/>
  <c r="AA78" i="68"/>
  <c r="Z78" i="68"/>
  <c r="Y78" i="68"/>
  <c r="X78" i="68"/>
  <c r="W78" i="68"/>
  <c r="V78" i="68"/>
  <c r="U78" i="68"/>
  <c r="T78" i="68"/>
  <c r="S78" i="68"/>
  <c r="R78" i="68"/>
  <c r="Q78" i="68"/>
  <c r="P78" i="68"/>
  <c r="O78" i="68"/>
  <c r="N78" i="68"/>
  <c r="M78" i="68"/>
  <c r="F78" i="68"/>
  <c r="AA77" i="68"/>
  <c r="Z77" i="68"/>
  <c r="Y77" i="68"/>
  <c r="X77" i="68"/>
  <c r="W77" i="68"/>
  <c r="V77" i="68"/>
  <c r="U77" i="68"/>
  <c r="T77" i="68"/>
  <c r="S77" i="68"/>
  <c r="R77" i="68"/>
  <c r="Q77" i="68"/>
  <c r="P77" i="68"/>
  <c r="O77" i="68"/>
  <c r="N77" i="68"/>
  <c r="M77" i="68"/>
  <c r="F77" i="68"/>
  <c r="AA76" i="68"/>
  <c r="Z76" i="68"/>
  <c r="Y76" i="68"/>
  <c r="X76" i="68"/>
  <c r="W76" i="68"/>
  <c r="V76" i="68"/>
  <c r="U76" i="68"/>
  <c r="T76" i="68"/>
  <c r="S76" i="68"/>
  <c r="R76" i="68"/>
  <c r="Q76" i="68"/>
  <c r="P76" i="68"/>
  <c r="O76" i="68"/>
  <c r="N76" i="68"/>
  <c r="M76" i="68"/>
  <c r="F76" i="68"/>
  <c r="AA75" i="68"/>
  <c r="Z75" i="68"/>
  <c r="Y75" i="68"/>
  <c r="X75" i="68"/>
  <c r="W75" i="68"/>
  <c r="V75" i="68"/>
  <c r="U75" i="68"/>
  <c r="T75" i="68"/>
  <c r="S75" i="68"/>
  <c r="R75" i="68"/>
  <c r="Q75" i="68"/>
  <c r="P75" i="68"/>
  <c r="O75" i="68"/>
  <c r="N75" i="68"/>
  <c r="M75" i="68"/>
  <c r="F75" i="68"/>
  <c r="AA74" i="68"/>
  <c r="Z74" i="68"/>
  <c r="Y74" i="68"/>
  <c r="X74" i="68"/>
  <c r="W74" i="68"/>
  <c r="V74" i="68"/>
  <c r="U74" i="68"/>
  <c r="T74" i="68"/>
  <c r="S74" i="68"/>
  <c r="R74" i="68"/>
  <c r="Q74" i="68"/>
  <c r="P74" i="68"/>
  <c r="O74" i="68"/>
  <c r="N74" i="68"/>
  <c r="M74" i="68"/>
  <c r="F74" i="68"/>
  <c r="AA73" i="68"/>
  <c r="Z73" i="68"/>
  <c r="Y73" i="68"/>
  <c r="X73" i="68"/>
  <c r="W73" i="68"/>
  <c r="V73" i="68"/>
  <c r="U73" i="68"/>
  <c r="T73" i="68"/>
  <c r="S73" i="68"/>
  <c r="R73" i="68"/>
  <c r="Q73" i="68"/>
  <c r="P73" i="68"/>
  <c r="O73" i="68"/>
  <c r="N73" i="68"/>
  <c r="M73" i="68"/>
  <c r="F73" i="68"/>
  <c r="AA72" i="68"/>
  <c r="Z72" i="68"/>
  <c r="Y72" i="68"/>
  <c r="X72" i="68"/>
  <c r="W72" i="68"/>
  <c r="V72" i="68"/>
  <c r="U72" i="68"/>
  <c r="T72" i="68"/>
  <c r="S72" i="68"/>
  <c r="R72" i="68"/>
  <c r="Q72" i="68"/>
  <c r="P72" i="68"/>
  <c r="O72" i="68"/>
  <c r="N72" i="68"/>
  <c r="M72" i="68"/>
  <c r="F72" i="68"/>
  <c r="AA71" i="68"/>
  <c r="Z71" i="68"/>
  <c r="Y71" i="68"/>
  <c r="X71" i="68"/>
  <c r="W71" i="68"/>
  <c r="V71" i="68"/>
  <c r="U71" i="68"/>
  <c r="T71" i="68"/>
  <c r="S71" i="68"/>
  <c r="R71" i="68"/>
  <c r="Q71" i="68"/>
  <c r="P71" i="68"/>
  <c r="O71" i="68"/>
  <c r="N71" i="68"/>
  <c r="M71" i="68"/>
  <c r="F71" i="68"/>
  <c r="AA70" i="68"/>
  <c r="Z70" i="68"/>
  <c r="Y70" i="68"/>
  <c r="X70" i="68"/>
  <c r="W70" i="68"/>
  <c r="V70" i="68"/>
  <c r="U70" i="68"/>
  <c r="T70" i="68"/>
  <c r="S70" i="68"/>
  <c r="R70" i="68"/>
  <c r="Q70" i="68"/>
  <c r="P70" i="68"/>
  <c r="O70" i="68"/>
  <c r="N70" i="68"/>
  <c r="M70" i="68"/>
  <c r="F70" i="68"/>
  <c r="AA69" i="68"/>
  <c r="Z69" i="68"/>
  <c r="Y69" i="68"/>
  <c r="X69" i="68"/>
  <c r="W69" i="68"/>
  <c r="V69" i="68"/>
  <c r="U69" i="68"/>
  <c r="T69" i="68"/>
  <c r="S69" i="68"/>
  <c r="R69" i="68"/>
  <c r="Q69" i="68"/>
  <c r="P69" i="68"/>
  <c r="O69" i="68"/>
  <c r="N69" i="68"/>
  <c r="M69" i="68"/>
  <c r="F69" i="68"/>
  <c r="AA68" i="68"/>
  <c r="Z68" i="68"/>
  <c r="Y68" i="68"/>
  <c r="X68" i="68"/>
  <c r="W68" i="68"/>
  <c r="V68" i="68"/>
  <c r="U68" i="68"/>
  <c r="T68" i="68"/>
  <c r="S68" i="68"/>
  <c r="R68" i="68"/>
  <c r="Q68" i="68"/>
  <c r="P68" i="68"/>
  <c r="O68" i="68"/>
  <c r="N68" i="68"/>
  <c r="M68" i="68"/>
  <c r="F68" i="68"/>
  <c r="AA67" i="68"/>
  <c r="Z67" i="68"/>
  <c r="Y67" i="68"/>
  <c r="X67" i="68"/>
  <c r="W67" i="68"/>
  <c r="V67" i="68"/>
  <c r="U67" i="68"/>
  <c r="T67" i="68"/>
  <c r="S67" i="68"/>
  <c r="R67" i="68"/>
  <c r="Q67" i="68"/>
  <c r="P67" i="68"/>
  <c r="O67" i="68"/>
  <c r="N67" i="68"/>
  <c r="M67" i="68"/>
  <c r="F67" i="68"/>
  <c r="AA66" i="68"/>
  <c r="Z66" i="68"/>
  <c r="Y66" i="68"/>
  <c r="X66" i="68"/>
  <c r="W66" i="68"/>
  <c r="V66" i="68"/>
  <c r="U66" i="68"/>
  <c r="T66" i="68"/>
  <c r="S66" i="68"/>
  <c r="R66" i="68"/>
  <c r="Q66" i="68"/>
  <c r="P66" i="68"/>
  <c r="O66" i="68"/>
  <c r="N66" i="68"/>
  <c r="M66" i="68"/>
  <c r="F66" i="68"/>
  <c r="AA65" i="68"/>
  <c r="Z65" i="68"/>
  <c r="Y65" i="68"/>
  <c r="X65" i="68"/>
  <c r="W65" i="68"/>
  <c r="V65" i="68"/>
  <c r="U65" i="68"/>
  <c r="T65" i="68"/>
  <c r="S65" i="68"/>
  <c r="R65" i="68"/>
  <c r="Q65" i="68"/>
  <c r="P65" i="68"/>
  <c r="O65" i="68"/>
  <c r="N65" i="68"/>
  <c r="M65" i="68"/>
  <c r="F65" i="68"/>
  <c r="AA64" i="68"/>
  <c r="Z64" i="68"/>
  <c r="Y64" i="68"/>
  <c r="X64" i="68"/>
  <c r="W64" i="68"/>
  <c r="V64" i="68"/>
  <c r="U64" i="68"/>
  <c r="T64" i="68"/>
  <c r="S64" i="68"/>
  <c r="R64" i="68"/>
  <c r="Q64" i="68"/>
  <c r="P64" i="68"/>
  <c r="O64" i="68"/>
  <c r="N64" i="68"/>
  <c r="M64" i="68"/>
  <c r="F64" i="68"/>
  <c r="AA63" i="68"/>
  <c r="Z63" i="68"/>
  <c r="Y63" i="68"/>
  <c r="X63" i="68"/>
  <c r="W63" i="68"/>
  <c r="V63" i="68"/>
  <c r="U63" i="68"/>
  <c r="T63" i="68"/>
  <c r="S63" i="68"/>
  <c r="R63" i="68"/>
  <c r="Q63" i="68"/>
  <c r="P63" i="68"/>
  <c r="O63" i="68"/>
  <c r="N63" i="68"/>
  <c r="M63" i="68"/>
  <c r="F63" i="68"/>
  <c r="AA62" i="68"/>
  <c r="Z62" i="68"/>
  <c r="Y62" i="68"/>
  <c r="X62" i="68"/>
  <c r="W62" i="68"/>
  <c r="V62" i="68"/>
  <c r="U62" i="68"/>
  <c r="T62" i="68"/>
  <c r="S62" i="68"/>
  <c r="R62" i="68"/>
  <c r="Q62" i="68"/>
  <c r="P62" i="68"/>
  <c r="O62" i="68"/>
  <c r="N62" i="68"/>
  <c r="M62" i="68"/>
  <c r="F62" i="68"/>
  <c r="AA61" i="68"/>
  <c r="Z61" i="68"/>
  <c r="Y61" i="68"/>
  <c r="X61" i="68"/>
  <c r="W61" i="68"/>
  <c r="V61" i="68"/>
  <c r="U61" i="68"/>
  <c r="T61" i="68"/>
  <c r="S61" i="68"/>
  <c r="R61" i="68"/>
  <c r="Q61" i="68"/>
  <c r="P61" i="68"/>
  <c r="O61" i="68"/>
  <c r="N61" i="68"/>
  <c r="M61" i="68"/>
  <c r="F61" i="68"/>
  <c r="AA60" i="68"/>
  <c r="Z60" i="68"/>
  <c r="Y60" i="68"/>
  <c r="X60" i="68"/>
  <c r="W60" i="68"/>
  <c r="V60" i="68"/>
  <c r="U60" i="68"/>
  <c r="T60" i="68"/>
  <c r="S60" i="68"/>
  <c r="R60" i="68"/>
  <c r="Q60" i="68"/>
  <c r="P60" i="68"/>
  <c r="O60" i="68"/>
  <c r="N60" i="68"/>
  <c r="M60" i="68"/>
  <c r="F60" i="68"/>
  <c r="AA59" i="68"/>
  <c r="Z59" i="68"/>
  <c r="Y59" i="68"/>
  <c r="X59" i="68"/>
  <c r="W59" i="68"/>
  <c r="V59" i="68"/>
  <c r="U59" i="68"/>
  <c r="T59" i="68"/>
  <c r="S59" i="68"/>
  <c r="R59" i="68"/>
  <c r="Q59" i="68"/>
  <c r="P59" i="68"/>
  <c r="O59" i="68"/>
  <c r="N59" i="68"/>
  <c r="M59" i="68"/>
  <c r="F59" i="68"/>
  <c r="AA58" i="68"/>
  <c r="Z58" i="68"/>
  <c r="Y58" i="68"/>
  <c r="X58" i="68"/>
  <c r="W58" i="68"/>
  <c r="V58" i="68"/>
  <c r="U58" i="68"/>
  <c r="T58" i="68"/>
  <c r="S58" i="68"/>
  <c r="R58" i="68"/>
  <c r="Q58" i="68"/>
  <c r="P58" i="68"/>
  <c r="O58" i="68"/>
  <c r="N58" i="68"/>
  <c r="M58" i="68"/>
  <c r="F58" i="68"/>
  <c r="AA57" i="68"/>
  <c r="Z57" i="68"/>
  <c r="Y57" i="68"/>
  <c r="X57" i="68"/>
  <c r="W57" i="68"/>
  <c r="V57" i="68"/>
  <c r="U57" i="68"/>
  <c r="T57" i="68"/>
  <c r="S57" i="68"/>
  <c r="R57" i="68"/>
  <c r="Q57" i="68"/>
  <c r="P57" i="68"/>
  <c r="O57" i="68"/>
  <c r="N57" i="68"/>
  <c r="M57" i="68"/>
  <c r="F57" i="68"/>
  <c r="AA56" i="68"/>
  <c r="Z56" i="68"/>
  <c r="Y56" i="68"/>
  <c r="X56" i="68"/>
  <c r="W56" i="68"/>
  <c r="V56" i="68"/>
  <c r="U56" i="68"/>
  <c r="T56" i="68"/>
  <c r="S56" i="68"/>
  <c r="R56" i="68"/>
  <c r="Q56" i="68"/>
  <c r="P56" i="68"/>
  <c r="O56" i="68"/>
  <c r="N56" i="68"/>
  <c r="M56" i="68"/>
  <c r="F56" i="68"/>
  <c r="AA55" i="68"/>
  <c r="Z55" i="68"/>
  <c r="Y55" i="68"/>
  <c r="X55" i="68"/>
  <c r="W55" i="68"/>
  <c r="V55" i="68"/>
  <c r="U55" i="68"/>
  <c r="T55" i="68"/>
  <c r="S55" i="68"/>
  <c r="R55" i="68"/>
  <c r="Q55" i="68"/>
  <c r="P55" i="68"/>
  <c r="O55" i="68"/>
  <c r="N55" i="68"/>
  <c r="M55" i="68"/>
  <c r="F55" i="68"/>
  <c r="AA54" i="68"/>
  <c r="Z54" i="68"/>
  <c r="Y54" i="68"/>
  <c r="X54" i="68"/>
  <c r="W54" i="68"/>
  <c r="V54" i="68"/>
  <c r="U54" i="68"/>
  <c r="T54" i="68"/>
  <c r="S54" i="68"/>
  <c r="R54" i="68"/>
  <c r="Q54" i="68"/>
  <c r="P54" i="68"/>
  <c r="O54" i="68"/>
  <c r="N54" i="68"/>
  <c r="M54" i="68"/>
  <c r="F54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F53" i="68"/>
  <c r="AA52" i="68"/>
  <c r="Z52" i="68"/>
  <c r="Y52" i="68"/>
  <c r="X52" i="68"/>
  <c r="W52" i="68"/>
  <c r="V52" i="68"/>
  <c r="U52" i="68"/>
  <c r="T52" i="68"/>
  <c r="S52" i="68"/>
  <c r="R52" i="68"/>
  <c r="Q52" i="68"/>
  <c r="P52" i="68"/>
  <c r="O52" i="68"/>
  <c r="N52" i="68"/>
  <c r="M52" i="68"/>
  <c r="F52" i="68"/>
  <c r="AA51" i="68"/>
  <c r="Z51" i="68"/>
  <c r="Y51" i="68"/>
  <c r="X51" i="68"/>
  <c r="W51" i="68"/>
  <c r="V51" i="68"/>
  <c r="U51" i="68"/>
  <c r="T51" i="68"/>
  <c r="S51" i="68"/>
  <c r="R51" i="68"/>
  <c r="Q51" i="68"/>
  <c r="P51" i="68"/>
  <c r="O51" i="68"/>
  <c r="N51" i="68"/>
  <c r="M51" i="68"/>
  <c r="F51" i="68"/>
  <c r="AA50" i="68"/>
  <c r="Z50" i="68"/>
  <c r="Y50" i="68"/>
  <c r="X50" i="68"/>
  <c r="W50" i="68"/>
  <c r="V50" i="68"/>
  <c r="U50" i="68"/>
  <c r="T50" i="68"/>
  <c r="S50" i="68"/>
  <c r="R50" i="68"/>
  <c r="Q50" i="68"/>
  <c r="P50" i="68"/>
  <c r="O50" i="68"/>
  <c r="N50" i="68"/>
  <c r="M50" i="68"/>
  <c r="F50" i="68"/>
  <c r="AA49" i="68"/>
  <c r="Z49" i="68"/>
  <c r="Y49" i="68"/>
  <c r="X49" i="68"/>
  <c r="W49" i="68"/>
  <c r="V49" i="68"/>
  <c r="U49" i="68"/>
  <c r="T49" i="68"/>
  <c r="S49" i="68"/>
  <c r="R49" i="68"/>
  <c r="Q49" i="68"/>
  <c r="P49" i="68"/>
  <c r="O49" i="68"/>
  <c r="N49" i="68"/>
  <c r="M49" i="68"/>
  <c r="F49" i="68"/>
  <c r="AA48" i="68"/>
  <c r="Z48" i="68"/>
  <c r="Y48" i="68"/>
  <c r="X48" i="68"/>
  <c r="W48" i="68"/>
  <c r="V48" i="68"/>
  <c r="U48" i="68"/>
  <c r="T48" i="68"/>
  <c r="S48" i="68"/>
  <c r="R48" i="68"/>
  <c r="Q48" i="68"/>
  <c r="P48" i="68"/>
  <c r="O48" i="68"/>
  <c r="N48" i="68"/>
  <c r="M48" i="68"/>
  <c r="F48" i="68"/>
  <c r="AA47" i="68"/>
  <c r="Z47" i="68"/>
  <c r="Y47" i="68"/>
  <c r="X47" i="68"/>
  <c r="W47" i="68"/>
  <c r="V47" i="68"/>
  <c r="U47" i="68"/>
  <c r="T47" i="68"/>
  <c r="S47" i="68"/>
  <c r="R47" i="68"/>
  <c r="Q47" i="68"/>
  <c r="P47" i="68"/>
  <c r="O47" i="68"/>
  <c r="N47" i="68"/>
  <c r="M47" i="68"/>
  <c r="F47" i="68"/>
  <c r="AA46" i="68"/>
  <c r="Z46" i="68"/>
  <c r="Y46" i="68"/>
  <c r="X46" i="68"/>
  <c r="W46" i="68"/>
  <c r="V46" i="68"/>
  <c r="U46" i="68"/>
  <c r="T46" i="68"/>
  <c r="S46" i="68"/>
  <c r="R46" i="68"/>
  <c r="Q46" i="68"/>
  <c r="P46" i="68"/>
  <c r="O46" i="68"/>
  <c r="N46" i="68"/>
  <c r="M46" i="68"/>
  <c r="F46" i="68"/>
  <c r="AA45" i="68"/>
  <c r="Z45" i="68"/>
  <c r="Y45" i="68"/>
  <c r="X45" i="68"/>
  <c r="W45" i="68"/>
  <c r="V45" i="68"/>
  <c r="U45" i="68"/>
  <c r="T45" i="68"/>
  <c r="S45" i="68"/>
  <c r="R45" i="68"/>
  <c r="Q45" i="68"/>
  <c r="P45" i="68"/>
  <c r="O45" i="68"/>
  <c r="N45" i="68"/>
  <c r="M45" i="68"/>
  <c r="F45" i="68"/>
  <c r="AA44" i="68"/>
  <c r="Z44" i="68"/>
  <c r="Y44" i="68"/>
  <c r="X44" i="68"/>
  <c r="W44" i="68"/>
  <c r="V44" i="68"/>
  <c r="U44" i="68"/>
  <c r="T44" i="68"/>
  <c r="S44" i="68"/>
  <c r="R44" i="68"/>
  <c r="Q44" i="68"/>
  <c r="P44" i="68"/>
  <c r="O44" i="68"/>
  <c r="N44" i="68"/>
  <c r="M44" i="68"/>
  <c r="F44" i="68"/>
  <c r="AA43" i="68"/>
  <c r="Z43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F43" i="68"/>
  <c r="AA42" i="68"/>
  <c r="Z42" i="68"/>
  <c r="Y42" i="68"/>
  <c r="X42" i="68"/>
  <c r="W42" i="68"/>
  <c r="V42" i="68"/>
  <c r="U42" i="68"/>
  <c r="T42" i="68"/>
  <c r="S42" i="68"/>
  <c r="R42" i="68"/>
  <c r="Q42" i="68"/>
  <c r="P42" i="68"/>
  <c r="O42" i="68"/>
  <c r="N42" i="68"/>
  <c r="M42" i="68"/>
  <c r="F42" i="68"/>
  <c r="AA41" i="68"/>
  <c r="Z41" i="68"/>
  <c r="Y41" i="68"/>
  <c r="X41" i="68"/>
  <c r="W41" i="68"/>
  <c r="V41" i="68"/>
  <c r="U41" i="68"/>
  <c r="T41" i="68"/>
  <c r="S41" i="68"/>
  <c r="R41" i="68"/>
  <c r="Q41" i="68"/>
  <c r="P41" i="68"/>
  <c r="O41" i="68"/>
  <c r="N41" i="68"/>
  <c r="M41" i="68"/>
  <c r="F41" i="68"/>
  <c r="AA40" i="68"/>
  <c r="Z40" i="68"/>
  <c r="Y40" i="68"/>
  <c r="X40" i="68"/>
  <c r="W40" i="68"/>
  <c r="V40" i="68"/>
  <c r="U40" i="68"/>
  <c r="T40" i="68"/>
  <c r="S40" i="68"/>
  <c r="R40" i="68"/>
  <c r="Q40" i="68"/>
  <c r="P40" i="68"/>
  <c r="O40" i="68"/>
  <c r="N40" i="68"/>
  <c r="M40" i="68"/>
  <c r="F40" i="68"/>
  <c r="AA39" i="68"/>
  <c r="Z39" i="68"/>
  <c r="Y39" i="68"/>
  <c r="X39" i="68"/>
  <c r="W39" i="68"/>
  <c r="V39" i="68"/>
  <c r="U39" i="68"/>
  <c r="T39" i="68"/>
  <c r="S39" i="68"/>
  <c r="R39" i="68"/>
  <c r="Q39" i="68"/>
  <c r="P39" i="68"/>
  <c r="O39" i="68"/>
  <c r="N39" i="68"/>
  <c r="M39" i="68"/>
  <c r="F39" i="68"/>
  <c r="AA38" i="68"/>
  <c r="Z38" i="68"/>
  <c r="Y38" i="68"/>
  <c r="X38" i="68"/>
  <c r="W38" i="68"/>
  <c r="V38" i="68"/>
  <c r="U38" i="68"/>
  <c r="T38" i="68"/>
  <c r="S38" i="68"/>
  <c r="R38" i="68"/>
  <c r="Q38" i="68"/>
  <c r="P38" i="68"/>
  <c r="O38" i="68"/>
  <c r="N38" i="68"/>
  <c r="M38" i="68"/>
  <c r="F38" i="68"/>
  <c r="AA37" i="68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F37" i="68"/>
  <c r="AA36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F36" i="68"/>
  <c r="AA35" i="68"/>
  <c r="Z35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F35" i="68"/>
  <c r="AA34" i="68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F34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F33" i="68"/>
  <c r="AA32" i="68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F32" i="68"/>
  <c r="AA31" i="68"/>
  <c r="Z31" i="68"/>
  <c r="Y31" i="68"/>
  <c r="X31" i="68"/>
  <c r="W31" i="68"/>
  <c r="V31" i="68"/>
  <c r="U31" i="68"/>
  <c r="T31" i="68"/>
  <c r="S31" i="68"/>
  <c r="R31" i="68"/>
  <c r="Q31" i="68"/>
  <c r="P31" i="68"/>
  <c r="O31" i="68"/>
  <c r="N31" i="68"/>
  <c r="M31" i="68"/>
  <c r="F31" i="68"/>
  <c r="AA30" i="68"/>
  <c r="Z30" i="68"/>
  <c r="Y30" i="68"/>
  <c r="X30" i="68"/>
  <c r="W30" i="68"/>
  <c r="V30" i="68"/>
  <c r="U30" i="68"/>
  <c r="T30" i="68"/>
  <c r="S30" i="68"/>
  <c r="R30" i="68"/>
  <c r="Q30" i="68"/>
  <c r="P30" i="68"/>
  <c r="O30" i="68"/>
  <c r="N30" i="68"/>
  <c r="M30" i="68"/>
  <c r="F30" i="68"/>
  <c r="AA29" i="68"/>
  <c r="Z29" i="68"/>
  <c r="Y29" i="68"/>
  <c r="X29" i="68"/>
  <c r="W29" i="68"/>
  <c r="V29" i="68"/>
  <c r="U29" i="68"/>
  <c r="T29" i="68"/>
  <c r="S29" i="68"/>
  <c r="R29" i="68"/>
  <c r="Q29" i="68"/>
  <c r="P29" i="68"/>
  <c r="O29" i="68"/>
  <c r="N29" i="68"/>
  <c r="M29" i="68"/>
  <c r="F29" i="68"/>
  <c r="AA28" i="68"/>
  <c r="Z28" i="68"/>
  <c r="Y28" i="68"/>
  <c r="X28" i="68"/>
  <c r="W28" i="68"/>
  <c r="V28" i="68"/>
  <c r="U28" i="68"/>
  <c r="T28" i="68"/>
  <c r="S28" i="68"/>
  <c r="R28" i="68"/>
  <c r="Q28" i="68"/>
  <c r="P28" i="68"/>
  <c r="O28" i="68"/>
  <c r="N28" i="68"/>
  <c r="M28" i="68"/>
  <c r="F28" i="68"/>
  <c r="AA27" i="68"/>
  <c r="Z27" i="68"/>
  <c r="Y27" i="68"/>
  <c r="X27" i="68"/>
  <c r="W27" i="68"/>
  <c r="V27" i="68"/>
  <c r="U27" i="68"/>
  <c r="T27" i="68"/>
  <c r="S27" i="68"/>
  <c r="R27" i="68"/>
  <c r="Q27" i="68"/>
  <c r="P27" i="68"/>
  <c r="O27" i="68"/>
  <c r="N27" i="68"/>
  <c r="M27" i="68"/>
  <c r="F27" i="68"/>
  <c r="AA26" i="68"/>
  <c r="Z26" i="68"/>
  <c r="Y26" i="68"/>
  <c r="X26" i="68"/>
  <c r="W26" i="68"/>
  <c r="V26" i="68"/>
  <c r="U26" i="68"/>
  <c r="T26" i="68"/>
  <c r="S26" i="68"/>
  <c r="R26" i="68"/>
  <c r="Q26" i="68"/>
  <c r="P26" i="68"/>
  <c r="O26" i="68"/>
  <c r="N26" i="68"/>
  <c r="M26" i="68"/>
  <c r="F26" i="68"/>
  <c r="AA25" i="68"/>
  <c r="Z25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F25" i="68"/>
  <c r="AA24" i="68"/>
  <c r="Z24" i="68"/>
  <c r="Y24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F24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F23" i="68"/>
  <c r="AA22" i="68"/>
  <c r="Z22" i="68"/>
  <c r="Y22" i="68"/>
  <c r="X22" i="68"/>
  <c r="W22" i="68"/>
  <c r="V22" i="68"/>
  <c r="U22" i="68"/>
  <c r="T22" i="68"/>
  <c r="S22" i="68"/>
  <c r="R22" i="68"/>
  <c r="Q22" i="68"/>
  <c r="P22" i="68"/>
  <c r="O22" i="68"/>
  <c r="N22" i="68"/>
  <c r="M22" i="68"/>
  <c r="F22" i="68"/>
  <c r="AA21" i="68"/>
  <c r="Z21" i="68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F21" i="68"/>
  <c r="AA20" i="68"/>
  <c r="Z20" i="68"/>
  <c r="Y20" i="68"/>
  <c r="X20" i="68"/>
  <c r="W20" i="68"/>
  <c r="V20" i="68"/>
  <c r="U20" i="68"/>
  <c r="T20" i="68"/>
  <c r="S20" i="68"/>
  <c r="R20" i="68"/>
  <c r="Q20" i="68"/>
  <c r="P20" i="68"/>
  <c r="O20" i="68"/>
  <c r="N20" i="68"/>
  <c r="M20" i="68"/>
  <c r="F20" i="68"/>
  <c r="AA19" i="68"/>
  <c r="Z19" i="68"/>
  <c r="Y19" i="68"/>
  <c r="X19" i="68"/>
  <c r="W19" i="68"/>
  <c r="V19" i="68"/>
  <c r="U19" i="68"/>
  <c r="T19" i="68"/>
  <c r="S19" i="68"/>
  <c r="R19" i="68"/>
  <c r="Q19" i="68"/>
  <c r="P19" i="68"/>
  <c r="O19" i="68"/>
  <c r="N19" i="68"/>
  <c r="M19" i="68"/>
  <c r="F19" i="68"/>
  <c r="AA18" i="68"/>
  <c r="Z18" i="68"/>
  <c r="Y18" i="68"/>
  <c r="X18" i="68"/>
  <c r="W18" i="68"/>
  <c r="V18" i="68"/>
  <c r="U18" i="68"/>
  <c r="T18" i="68"/>
  <c r="S18" i="68"/>
  <c r="R18" i="68"/>
  <c r="Q18" i="68"/>
  <c r="P18" i="68"/>
  <c r="O18" i="68"/>
  <c r="N18" i="68"/>
  <c r="M18" i="68"/>
  <c r="F18" i="68"/>
  <c r="AA17" i="68"/>
  <c r="Z17" i="68"/>
  <c r="Y17" i="68"/>
  <c r="X17" i="68"/>
  <c r="W17" i="68"/>
  <c r="V17" i="68"/>
  <c r="U17" i="68"/>
  <c r="T17" i="68"/>
  <c r="S17" i="68"/>
  <c r="R17" i="68"/>
  <c r="Q17" i="68"/>
  <c r="P17" i="68"/>
  <c r="O17" i="68"/>
  <c r="N17" i="68"/>
  <c r="M17" i="68"/>
  <c r="F17" i="68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F16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F15" i="68"/>
  <c r="AA14" i="68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F14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F13" i="68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F12" i="68"/>
  <c r="AA11" i="68"/>
  <c r="Z11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F11" i="68"/>
  <c r="AA10" i="68"/>
  <c r="Z10" i="68"/>
  <c r="Y10" i="68"/>
  <c r="X10" i="68"/>
  <c r="W10" i="68"/>
  <c r="V10" i="68"/>
  <c r="U10" i="68"/>
  <c r="T10" i="68"/>
  <c r="S10" i="68"/>
  <c r="R10" i="68"/>
  <c r="Q10" i="68"/>
  <c r="P10" i="68"/>
  <c r="O10" i="68"/>
  <c r="N10" i="68"/>
  <c r="M10" i="68"/>
  <c r="F10" i="68"/>
  <c r="AA9" i="68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F9" i="68"/>
  <c r="AA8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F8" i="68"/>
  <c r="AA7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F7" i="68"/>
  <c r="AA6" i="68"/>
  <c r="Z6" i="68"/>
  <c r="Y6" i="68"/>
  <c r="X6" i="68"/>
  <c r="W6" i="68"/>
  <c r="V6" i="68"/>
  <c r="U6" i="68"/>
  <c r="T6" i="68"/>
  <c r="S6" i="68"/>
  <c r="R6" i="68"/>
  <c r="Q6" i="68"/>
  <c r="P6" i="68"/>
  <c r="O6" i="68"/>
  <c r="N6" i="68"/>
  <c r="M6" i="68"/>
  <c r="F6" i="68"/>
  <c r="AA5" i="68"/>
  <c r="Z5" i="68"/>
  <c r="Y5" i="68"/>
  <c r="X5" i="68"/>
  <c r="W5" i="68"/>
  <c r="V5" i="68"/>
  <c r="U5" i="68"/>
  <c r="T5" i="68"/>
  <c r="S5" i="68"/>
  <c r="R5" i="68"/>
  <c r="Q5" i="68"/>
  <c r="P5" i="68"/>
  <c r="O5" i="68"/>
  <c r="N5" i="68"/>
  <c r="M5" i="68"/>
  <c r="F5" i="68"/>
  <c r="AA4" i="68"/>
  <c r="Z4" i="68"/>
  <c r="Y4" i="68"/>
  <c r="X4" i="68"/>
  <c r="W4" i="68"/>
  <c r="V4" i="68"/>
  <c r="U4" i="68"/>
  <c r="T4" i="68"/>
  <c r="S4" i="68"/>
  <c r="R4" i="68"/>
  <c r="Q4" i="68"/>
  <c r="P4" i="68"/>
  <c r="O4" i="68"/>
  <c r="N4" i="68"/>
  <c r="M4" i="68"/>
  <c r="F4" i="68"/>
  <c r="AA3" i="68"/>
  <c r="Z3" i="68"/>
  <c r="Y3" i="68"/>
  <c r="X3" i="68"/>
  <c r="W3" i="68"/>
  <c r="V3" i="68"/>
  <c r="U3" i="68"/>
  <c r="T3" i="68"/>
  <c r="S3" i="68"/>
  <c r="R3" i="68"/>
  <c r="Q3" i="68"/>
  <c r="P3" i="68"/>
  <c r="O3" i="68"/>
  <c r="N3" i="68"/>
  <c r="M3" i="68"/>
  <c r="F3" i="68"/>
  <c r="AA1" i="68"/>
  <c r="AA102" i="67"/>
  <c r="Z102" i="67"/>
  <c r="Y102" i="67"/>
  <c r="X102" i="67"/>
  <c r="W102" i="67"/>
  <c r="V102" i="67"/>
  <c r="U102" i="67"/>
  <c r="T102" i="67"/>
  <c r="S102" i="67"/>
  <c r="R102" i="67"/>
  <c r="Q102" i="67"/>
  <c r="P102" i="67"/>
  <c r="O102" i="67"/>
  <c r="N102" i="67"/>
  <c r="M102" i="67"/>
  <c r="F102" i="67"/>
  <c r="AA101" i="67"/>
  <c r="Z101" i="67"/>
  <c r="Y101" i="67"/>
  <c r="X101" i="67"/>
  <c r="W101" i="67"/>
  <c r="V101" i="67"/>
  <c r="U101" i="67"/>
  <c r="T101" i="67"/>
  <c r="S101" i="67"/>
  <c r="R101" i="67"/>
  <c r="Q101" i="67"/>
  <c r="P101" i="67"/>
  <c r="O101" i="67"/>
  <c r="N101" i="67"/>
  <c r="M101" i="67"/>
  <c r="F101" i="67"/>
  <c r="AA100" i="67"/>
  <c r="Z100" i="67"/>
  <c r="Y100" i="67"/>
  <c r="X100" i="67"/>
  <c r="W100" i="67"/>
  <c r="V100" i="67"/>
  <c r="U100" i="67"/>
  <c r="T100" i="67"/>
  <c r="S100" i="67"/>
  <c r="R100" i="67"/>
  <c r="Q100" i="67"/>
  <c r="P100" i="67"/>
  <c r="O100" i="67"/>
  <c r="N100" i="67"/>
  <c r="M100" i="67"/>
  <c r="F100" i="67"/>
  <c r="AA99" i="67"/>
  <c r="Z99" i="67"/>
  <c r="Y99" i="67"/>
  <c r="X99" i="67"/>
  <c r="W99" i="67"/>
  <c r="V99" i="67"/>
  <c r="U99" i="67"/>
  <c r="T99" i="67"/>
  <c r="S99" i="67"/>
  <c r="R99" i="67"/>
  <c r="Q99" i="67"/>
  <c r="P99" i="67"/>
  <c r="O99" i="67"/>
  <c r="N99" i="67"/>
  <c r="M99" i="67"/>
  <c r="F99" i="67"/>
  <c r="AA98" i="67"/>
  <c r="Z98" i="67"/>
  <c r="Y98" i="67"/>
  <c r="X98" i="67"/>
  <c r="W98" i="67"/>
  <c r="V98" i="67"/>
  <c r="U98" i="67"/>
  <c r="T98" i="67"/>
  <c r="S98" i="67"/>
  <c r="R98" i="67"/>
  <c r="Q98" i="67"/>
  <c r="P98" i="67"/>
  <c r="O98" i="67"/>
  <c r="N98" i="67"/>
  <c r="M98" i="67"/>
  <c r="F98" i="67"/>
  <c r="AA97" i="67"/>
  <c r="Z97" i="67"/>
  <c r="Y97" i="67"/>
  <c r="X97" i="67"/>
  <c r="W97" i="67"/>
  <c r="V97" i="67"/>
  <c r="U97" i="67"/>
  <c r="T97" i="67"/>
  <c r="S97" i="67"/>
  <c r="R97" i="67"/>
  <c r="Q97" i="67"/>
  <c r="P97" i="67"/>
  <c r="O97" i="67"/>
  <c r="N97" i="67"/>
  <c r="M97" i="67"/>
  <c r="F97" i="67"/>
  <c r="AA96" i="67"/>
  <c r="Z96" i="67"/>
  <c r="Y96" i="67"/>
  <c r="X96" i="67"/>
  <c r="W96" i="67"/>
  <c r="V96" i="67"/>
  <c r="U96" i="67"/>
  <c r="T96" i="67"/>
  <c r="S96" i="67"/>
  <c r="R96" i="67"/>
  <c r="Q96" i="67"/>
  <c r="P96" i="67"/>
  <c r="O96" i="67"/>
  <c r="N96" i="67"/>
  <c r="M96" i="67"/>
  <c r="F96" i="67"/>
  <c r="AA95" i="67"/>
  <c r="Z95" i="67"/>
  <c r="Y95" i="67"/>
  <c r="X95" i="67"/>
  <c r="W95" i="67"/>
  <c r="V95" i="67"/>
  <c r="U95" i="67"/>
  <c r="T95" i="67"/>
  <c r="S95" i="67"/>
  <c r="R95" i="67"/>
  <c r="Q95" i="67"/>
  <c r="P95" i="67"/>
  <c r="O95" i="67"/>
  <c r="N95" i="67"/>
  <c r="M95" i="67"/>
  <c r="F95" i="67"/>
  <c r="AA94" i="67"/>
  <c r="Z94" i="67"/>
  <c r="Y94" i="67"/>
  <c r="X94" i="67"/>
  <c r="W94" i="67"/>
  <c r="V94" i="67"/>
  <c r="U94" i="67"/>
  <c r="T94" i="67"/>
  <c r="S94" i="67"/>
  <c r="R94" i="67"/>
  <c r="Q94" i="67"/>
  <c r="P94" i="67"/>
  <c r="O94" i="67"/>
  <c r="N94" i="67"/>
  <c r="M94" i="67"/>
  <c r="F94" i="67"/>
  <c r="AA93" i="67"/>
  <c r="Z93" i="67"/>
  <c r="Y93" i="67"/>
  <c r="X93" i="67"/>
  <c r="W93" i="67"/>
  <c r="V93" i="67"/>
  <c r="U93" i="67"/>
  <c r="T93" i="67"/>
  <c r="S93" i="67"/>
  <c r="R93" i="67"/>
  <c r="Q93" i="67"/>
  <c r="P93" i="67"/>
  <c r="O93" i="67"/>
  <c r="N93" i="67"/>
  <c r="M93" i="67"/>
  <c r="F93" i="67"/>
  <c r="AA92" i="67"/>
  <c r="Z92" i="67"/>
  <c r="Y92" i="67"/>
  <c r="X92" i="67"/>
  <c r="W92" i="67"/>
  <c r="V92" i="67"/>
  <c r="U92" i="67"/>
  <c r="T92" i="67"/>
  <c r="S92" i="67"/>
  <c r="R92" i="67"/>
  <c r="Q92" i="67"/>
  <c r="P92" i="67"/>
  <c r="O92" i="67"/>
  <c r="N92" i="67"/>
  <c r="M92" i="67"/>
  <c r="F92" i="67"/>
  <c r="AA91" i="67"/>
  <c r="Z91" i="67"/>
  <c r="Y91" i="67"/>
  <c r="X91" i="67"/>
  <c r="W91" i="67"/>
  <c r="V91" i="67"/>
  <c r="U91" i="67"/>
  <c r="T91" i="67"/>
  <c r="S91" i="67"/>
  <c r="R91" i="67"/>
  <c r="Q91" i="67"/>
  <c r="P91" i="67"/>
  <c r="O91" i="67"/>
  <c r="N91" i="67"/>
  <c r="M91" i="67"/>
  <c r="F91" i="67"/>
  <c r="AA90" i="67"/>
  <c r="Z90" i="67"/>
  <c r="Y90" i="67"/>
  <c r="X90" i="67"/>
  <c r="W90" i="67"/>
  <c r="V90" i="67"/>
  <c r="U90" i="67"/>
  <c r="T90" i="67"/>
  <c r="S90" i="67"/>
  <c r="R90" i="67"/>
  <c r="Q90" i="67"/>
  <c r="P90" i="67"/>
  <c r="O90" i="67"/>
  <c r="N90" i="67"/>
  <c r="M90" i="67"/>
  <c r="F90" i="67"/>
  <c r="AA89" i="67"/>
  <c r="Z89" i="67"/>
  <c r="Y89" i="67"/>
  <c r="X89" i="67"/>
  <c r="W89" i="67"/>
  <c r="V89" i="67"/>
  <c r="U89" i="67"/>
  <c r="T89" i="67"/>
  <c r="S89" i="67"/>
  <c r="R89" i="67"/>
  <c r="Q89" i="67"/>
  <c r="P89" i="67"/>
  <c r="O89" i="67"/>
  <c r="N89" i="67"/>
  <c r="M89" i="67"/>
  <c r="F89" i="67"/>
  <c r="AA88" i="67"/>
  <c r="Z88" i="67"/>
  <c r="Y88" i="67"/>
  <c r="X88" i="67"/>
  <c r="W88" i="67"/>
  <c r="V88" i="67"/>
  <c r="U88" i="67"/>
  <c r="T88" i="67"/>
  <c r="S88" i="67"/>
  <c r="R88" i="67"/>
  <c r="Q88" i="67"/>
  <c r="P88" i="67"/>
  <c r="O88" i="67"/>
  <c r="N88" i="67"/>
  <c r="M88" i="67"/>
  <c r="F88" i="67"/>
  <c r="AA87" i="67"/>
  <c r="Z87" i="67"/>
  <c r="Y87" i="67"/>
  <c r="X87" i="67"/>
  <c r="W87" i="67"/>
  <c r="V87" i="67"/>
  <c r="U87" i="67"/>
  <c r="T87" i="67"/>
  <c r="S87" i="67"/>
  <c r="R87" i="67"/>
  <c r="Q87" i="67"/>
  <c r="P87" i="67"/>
  <c r="O87" i="67"/>
  <c r="N87" i="67"/>
  <c r="M87" i="67"/>
  <c r="F87" i="67"/>
  <c r="AA86" i="67"/>
  <c r="Z86" i="67"/>
  <c r="Y86" i="67"/>
  <c r="X86" i="67"/>
  <c r="W86" i="67"/>
  <c r="V86" i="67"/>
  <c r="U86" i="67"/>
  <c r="T86" i="67"/>
  <c r="S86" i="67"/>
  <c r="R86" i="67"/>
  <c r="Q86" i="67"/>
  <c r="P86" i="67"/>
  <c r="O86" i="67"/>
  <c r="N86" i="67"/>
  <c r="M86" i="67"/>
  <c r="F86" i="67"/>
  <c r="AA85" i="67"/>
  <c r="Z85" i="67"/>
  <c r="Y85" i="67"/>
  <c r="X85" i="67"/>
  <c r="W85" i="67"/>
  <c r="V85" i="67"/>
  <c r="U85" i="67"/>
  <c r="T85" i="67"/>
  <c r="S85" i="67"/>
  <c r="R85" i="67"/>
  <c r="Q85" i="67"/>
  <c r="P85" i="67"/>
  <c r="O85" i="67"/>
  <c r="N85" i="67"/>
  <c r="M85" i="67"/>
  <c r="F85" i="67"/>
  <c r="AA84" i="67"/>
  <c r="Z84" i="67"/>
  <c r="Y84" i="67"/>
  <c r="X84" i="67"/>
  <c r="W84" i="67"/>
  <c r="V84" i="67"/>
  <c r="U84" i="67"/>
  <c r="T84" i="67"/>
  <c r="S84" i="67"/>
  <c r="R84" i="67"/>
  <c r="Q84" i="67"/>
  <c r="P84" i="67"/>
  <c r="O84" i="67"/>
  <c r="N84" i="67"/>
  <c r="M84" i="67"/>
  <c r="F84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F83" i="67"/>
  <c r="AA82" i="67"/>
  <c r="Z82" i="67"/>
  <c r="Y82" i="67"/>
  <c r="X82" i="67"/>
  <c r="W82" i="67"/>
  <c r="V82" i="67"/>
  <c r="U82" i="67"/>
  <c r="T82" i="67"/>
  <c r="S82" i="67"/>
  <c r="R82" i="67"/>
  <c r="Q82" i="67"/>
  <c r="P82" i="67"/>
  <c r="O82" i="67"/>
  <c r="N82" i="67"/>
  <c r="M82" i="67"/>
  <c r="F82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F81" i="67"/>
  <c r="AA80" i="67"/>
  <c r="Z80" i="67"/>
  <c r="Y80" i="67"/>
  <c r="X80" i="67"/>
  <c r="W80" i="67"/>
  <c r="V80" i="67"/>
  <c r="U80" i="67"/>
  <c r="T80" i="67"/>
  <c r="S80" i="67"/>
  <c r="R80" i="67"/>
  <c r="Q80" i="67"/>
  <c r="P80" i="67"/>
  <c r="O80" i="67"/>
  <c r="N80" i="67"/>
  <c r="M80" i="67"/>
  <c r="F80" i="67"/>
  <c r="AA79" i="67"/>
  <c r="Z79" i="67"/>
  <c r="Y79" i="67"/>
  <c r="X79" i="67"/>
  <c r="W79" i="67"/>
  <c r="V79" i="67"/>
  <c r="U79" i="67"/>
  <c r="T79" i="67"/>
  <c r="S79" i="67"/>
  <c r="R79" i="67"/>
  <c r="Q79" i="67"/>
  <c r="P79" i="67"/>
  <c r="O79" i="67"/>
  <c r="N79" i="67"/>
  <c r="M79" i="67"/>
  <c r="F79" i="67"/>
  <c r="AA78" i="67"/>
  <c r="Z78" i="67"/>
  <c r="Y78" i="67"/>
  <c r="X78" i="67"/>
  <c r="W78" i="67"/>
  <c r="V78" i="67"/>
  <c r="U78" i="67"/>
  <c r="T78" i="67"/>
  <c r="S78" i="67"/>
  <c r="R78" i="67"/>
  <c r="Q78" i="67"/>
  <c r="P78" i="67"/>
  <c r="O78" i="67"/>
  <c r="N78" i="67"/>
  <c r="M78" i="67"/>
  <c r="F78" i="67"/>
  <c r="AA77" i="67"/>
  <c r="Z77" i="67"/>
  <c r="Y77" i="67"/>
  <c r="X77" i="67"/>
  <c r="W77" i="67"/>
  <c r="V77" i="67"/>
  <c r="U77" i="67"/>
  <c r="T77" i="67"/>
  <c r="S77" i="67"/>
  <c r="R77" i="67"/>
  <c r="Q77" i="67"/>
  <c r="P77" i="67"/>
  <c r="O77" i="67"/>
  <c r="N77" i="67"/>
  <c r="M77" i="67"/>
  <c r="F77" i="67"/>
  <c r="AA76" i="67"/>
  <c r="Z76" i="67"/>
  <c r="Y76" i="67"/>
  <c r="X76" i="67"/>
  <c r="W76" i="67"/>
  <c r="V76" i="67"/>
  <c r="U76" i="67"/>
  <c r="T76" i="67"/>
  <c r="S76" i="67"/>
  <c r="R76" i="67"/>
  <c r="Q76" i="67"/>
  <c r="P76" i="67"/>
  <c r="O76" i="67"/>
  <c r="N76" i="67"/>
  <c r="M76" i="67"/>
  <c r="F76" i="67"/>
  <c r="AA75" i="67"/>
  <c r="Z75" i="67"/>
  <c r="Y75" i="67"/>
  <c r="X75" i="67"/>
  <c r="W75" i="67"/>
  <c r="V75" i="67"/>
  <c r="U75" i="67"/>
  <c r="T75" i="67"/>
  <c r="S75" i="67"/>
  <c r="R75" i="67"/>
  <c r="Q75" i="67"/>
  <c r="P75" i="67"/>
  <c r="O75" i="67"/>
  <c r="N75" i="67"/>
  <c r="M75" i="67"/>
  <c r="F75" i="67"/>
  <c r="AA74" i="67"/>
  <c r="Z74" i="67"/>
  <c r="Y74" i="67"/>
  <c r="X74" i="67"/>
  <c r="W74" i="67"/>
  <c r="V74" i="67"/>
  <c r="U74" i="67"/>
  <c r="T74" i="67"/>
  <c r="S74" i="67"/>
  <c r="R74" i="67"/>
  <c r="Q74" i="67"/>
  <c r="P74" i="67"/>
  <c r="O74" i="67"/>
  <c r="N74" i="67"/>
  <c r="M74" i="67"/>
  <c r="F74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F73" i="67"/>
  <c r="AA72" i="67"/>
  <c r="Z72" i="67"/>
  <c r="Y72" i="67"/>
  <c r="X72" i="67"/>
  <c r="W72" i="67"/>
  <c r="V72" i="67"/>
  <c r="U72" i="67"/>
  <c r="T72" i="67"/>
  <c r="S72" i="67"/>
  <c r="R72" i="67"/>
  <c r="Q72" i="67"/>
  <c r="P72" i="67"/>
  <c r="O72" i="67"/>
  <c r="N72" i="67"/>
  <c r="M72" i="67"/>
  <c r="F72" i="67"/>
  <c r="AA71" i="67"/>
  <c r="Z71" i="67"/>
  <c r="Y71" i="67"/>
  <c r="X71" i="67"/>
  <c r="W71" i="67"/>
  <c r="V71" i="67"/>
  <c r="U71" i="67"/>
  <c r="T71" i="67"/>
  <c r="S71" i="67"/>
  <c r="R71" i="67"/>
  <c r="Q71" i="67"/>
  <c r="P71" i="67"/>
  <c r="O71" i="67"/>
  <c r="N71" i="67"/>
  <c r="M71" i="67"/>
  <c r="F71" i="67"/>
  <c r="AA70" i="67"/>
  <c r="Z70" i="67"/>
  <c r="Y70" i="67"/>
  <c r="X70" i="67"/>
  <c r="W70" i="67"/>
  <c r="V70" i="67"/>
  <c r="U70" i="67"/>
  <c r="T70" i="67"/>
  <c r="S70" i="67"/>
  <c r="R70" i="67"/>
  <c r="Q70" i="67"/>
  <c r="P70" i="67"/>
  <c r="O70" i="67"/>
  <c r="N70" i="67"/>
  <c r="M70" i="67"/>
  <c r="F70" i="67"/>
  <c r="AA69" i="67"/>
  <c r="Z69" i="67"/>
  <c r="Y69" i="67"/>
  <c r="X69" i="67"/>
  <c r="W69" i="67"/>
  <c r="V69" i="67"/>
  <c r="U69" i="67"/>
  <c r="T69" i="67"/>
  <c r="S69" i="67"/>
  <c r="R69" i="67"/>
  <c r="Q69" i="67"/>
  <c r="P69" i="67"/>
  <c r="O69" i="67"/>
  <c r="N69" i="67"/>
  <c r="M69" i="67"/>
  <c r="F69" i="67"/>
  <c r="AA68" i="67"/>
  <c r="Z68" i="67"/>
  <c r="Y68" i="67"/>
  <c r="X68" i="67"/>
  <c r="W68" i="67"/>
  <c r="V68" i="67"/>
  <c r="U68" i="67"/>
  <c r="T68" i="67"/>
  <c r="S68" i="67"/>
  <c r="R68" i="67"/>
  <c r="Q68" i="67"/>
  <c r="P68" i="67"/>
  <c r="O68" i="67"/>
  <c r="N68" i="67"/>
  <c r="M68" i="67"/>
  <c r="F68" i="67"/>
  <c r="AA67" i="67"/>
  <c r="Z67" i="67"/>
  <c r="Y67" i="67"/>
  <c r="X67" i="67"/>
  <c r="W67" i="67"/>
  <c r="V67" i="67"/>
  <c r="U67" i="67"/>
  <c r="T67" i="67"/>
  <c r="S67" i="67"/>
  <c r="R67" i="67"/>
  <c r="Q67" i="67"/>
  <c r="P67" i="67"/>
  <c r="O67" i="67"/>
  <c r="N67" i="67"/>
  <c r="M67" i="67"/>
  <c r="F67" i="67"/>
  <c r="AA66" i="67"/>
  <c r="Z66" i="67"/>
  <c r="Y66" i="67"/>
  <c r="X66" i="67"/>
  <c r="W66" i="67"/>
  <c r="V66" i="67"/>
  <c r="U66" i="67"/>
  <c r="T66" i="67"/>
  <c r="S66" i="67"/>
  <c r="R66" i="67"/>
  <c r="Q66" i="67"/>
  <c r="P66" i="67"/>
  <c r="O66" i="67"/>
  <c r="N66" i="67"/>
  <c r="M66" i="67"/>
  <c r="F66" i="67"/>
  <c r="AA65" i="67"/>
  <c r="Z65" i="67"/>
  <c r="Y65" i="67"/>
  <c r="X65" i="67"/>
  <c r="W65" i="67"/>
  <c r="V65" i="67"/>
  <c r="U65" i="67"/>
  <c r="T65" i="67"/>
  <c r="S65" i="67"/>
  <c r="R65" i="67"/>
  <c r="Q65" i="67"/>
  <c r="P65" i="67"/>
  <c r="O65" i="67"/>
  <c r="N65" i="67"/>
  <c r="M65" i="67"/>
  <c r="F65" i="67"/>
  <c r="AA64" i="67"/>
  <c r="Z64" i="67"/>
  <c r="Y64" i="67"/>
  <c r="X64" i="67"/>
  <c r="W64" i="67"/>
  <c r="V64" i="67"/>
  <c r="U64" i="67"/>
  <c r="T64" i="67"/>
  <c r="S64" i="67"/>
  <c r="R64" i="67"/>
  <c r="Q64" i="67"/>
  <c r="P64" i="67"/>
  <c r="O64" i="67"/>
  <c r="N64" i="67"/>
  <c r="M64" i="67"/>
  <c r="F64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F63" i="67"/>
  <c r="AA62" i="67"/>
  <c r="Z62" i="67"/>
  <c r="Y62" i="67"/>
  <c r="X62" i="67"/>
  <c r="W62" i="67"/>
  <c r="V62" i="67"/>
  <c r="U62" i="67"/>
  <c r="T62" i="67"/>
  <c r="S62" i="67"/>
  <c r="R62" i="67"/>
  <c r="Q62" i="67"/>
  <c r="P62" i="67"/>
  <c r="O62" i="67"/>
  <c r="N62" i="67"/>
  <c r="M62" i="67"/>
  <c r="F62" i="67"/>
  <c r="AA61" i="67"/>
  <c r="Z61" i="67"/>
  <c r="Y61" i="67"/>
  <c r="X61" i="67"/>
  <c r="W61" i="67"/>
  <c r="V61" i="67"/>
  <c r="U61" i="67"/>
  <c r="T61" i="67"/>
  <c r="S61" i="67"/>
  <c r="R61" i="67"/>
  <c r="Q61" i="67"/>
  <c r="P61" i="67"/>
  <c r="O61" i="67"/>
  <c r="N61" i="67"/>
  <c r="M61" i="67"/>
  <c r="F61" i="67"/>
  <c r="AA60" i="67"/>
  <c r="Z60" i="67"/>
  <c r="Y60" i="67"/>
  <c r="X60" i="67"/>
  <c r="W60" i="67"/>
  <c r="V60" i="67"/>
  <c r="U60" i="67"/>
  <c r="T60" i="67"/>
  <c r="S60" i="67"/>
  <c r="R60" i="67"/>
  <c r="Q60" i="67"/>
  <c r="P60" i="67"/>
  <c r="O60" i="67"/>
  <c r="N60" i="67"/>
  <c r="M60" i="67"/>
  <c r="F60" i="67"/>
  <c r="AA59" i="67"/>
  <c r="Z59" i="67"/>
  <c r="Y59" i="67"/>
  <c r="X59" i="67"/>
  <c r="W59" i="67"/>
  <c r="V59" i="67"/>
  <c r="U59" i="67"/>
  <c r="T59" i="67"/>
  <c r="S59" i="67"/>
  <c r="R59" i="67"/>
  <c r="Q59" i="67"/>
  <c r="P59" i="67"/>
  <c r="O59" i="67"/>
  <c r="N59" i="67"/>
  <c r="M59" i="67"/>
  <c r="F59" i="67"/>
  <c r="AA58" i="67"/>
  <c r="Z58" i="67"/>
  <c r="Y58" i="67"/>
  <c r="X58" i="67"/>
  <c r="W58" i="67"/>
  <c r="V58" i="67"/>
  <c r="U58" i="67"/>
  <c r="T58" i="67"/>
  <c r="S58" i="67"/>
  <c r="R58" i="67"/>
  <c r="Q58" i="67"/>
  <c r="P58" i="67"/>
  <c r="O58" i="67"/>
  <c r="N58" i="67"/>
  <c r="M58" i="67"/>
  <c r="F58" i="67"/>
  <c r="AA57" i="67"/>
  <c r="Z57" i="67"/>
  <c r="Y57" i="67"/>
  <c r="X57" i="67"/>
  <c r="W57" i="67"/>
  <c r="V57" i="67"/>
  <c r="U57" i="67"/>
  <c r="T57" i="67"/>
  <c r="S57" i="67"/>
  <c r="R57" i="67"/>
  <c r="Q57" i="67"/>
  <c r="P57" i="67"/>
  <c r="O57" i="67"/>
  <c r="N57" i="67"/>
  <c r="M57" i="67"/>
  <c r="F57" i="67"/>
  <c r="AA56" i="67"/>
  <c r="Z56" i="67"/>
  <c r="Y56" i="67"/>
  <c r="X56" i="67"/>
  <c r="W56" i="67"/>
  <c r="V56" i="67"/>
  <c r="U56" i="67"/>
  <c r="T56" i="67"/>
  <c r="S56" i="67"/>
  <c r="R56" i="67"/>
  <c r="Q56" i="67"/>
  <c r="P56" i="67"/>
  <c r="O56" i="67"/>
  <c r="N56" i="67"/>
  <c r="M56" i="67"/>
  <c r="F56" i="67"/>
  <c r="AA55" i="67"/>
  <c r="Z55" i="67"/>
  <c r="Y55" i="67"/>
  <c r="X55" i="67"/>
  <c r="W55" i="67"/>
  <c r="V55" i="67"/>
  <c r="U55" i="67"/>
  <c r="T55" i="67"/>
  <c r="S55" i="67"/>
  <c r="R55" i="67"/>
  <c r="Q55" i="67"/>
  <c r="P55" i="67"/>
  <c r="O55" i="67"/>
  <c r="N55" i="67"/>
  <c r="M55" i="67"/>
  <c r="F55" i="67"/>
  <c r="AA54" i="67"/>
  <c r="Z54" i="67"/>
  <c r="Y54" i="67"/>
  <c r="X54" i="67"/>
  <c r="W54" i="67"/>
  <c r="V54" i="67"/>
  <c r="U54" i="67"/>
  <c r="T54" i="67"/>
  <c r="S54" i="67"/>
  <c r="R54" i="67"/>
  <c r="Q54" i="67"/>
  <c r="P54" i="67"/>
  <c r="O54" i="67"/>
  <c r="N54" i="67"/>
  <c r="M54" i="67"/>
  <c r="F54" i="67"/>
  <c r="AA53" i="67"/>
  <c r="Z53" i="67"/>
  <c r="Y53" i="67"/>
  <c r="X53" i="67"/>
  <c r="W53" i="67"/>
  <c r="V53" i="67"/>
  <c r="U53" i="67"/>
  <c r="T53" i="67"/>
  <c r="S53" i="67"/>
  <c r="R53" i="67"/>
  <c r="Q53" i="67"/>
  <c r="P53" i="67"/>
  <c r="O53" i="67"/>
  <c r="N53" i="67"/>
  <c r="M53" i="67"/>
  <c r="F53" i="67"/>
  <c r="AA52" i="67"/>
  <c r="Z52" i="67"/>
  <c r="Y52" i="67"/>
  <c r="X52" i="67"/>
  <c r="W52" i="67"/>
  <c r="V52" i="67"/>
  <c r="U52" i="67"/>
  <c r="T52" i="67"/>
  <c r="S52" i="67"/>
  <c r="R52" i="67"/>
  <c r="Q52" i="67"/>
  <c r="P52" i="67"/>
  <c r="O52" i="67"/>
  <c r="N52" i="67"/>
  <c r="M52" i="67"/>
  <c r="F52" i="67"/>
  <c r="AA51" i="67"/>
  <c r="Z51" i="67"/>
  <c r="Y51" i="67"/>
  <c r="X51" i="67"/>
  <c r="W51" i="67"/>
  <c r="V51" i="67"/>
  <c r="U51" i="67"/>
  <c r="T51" i="67"/>
  <c r="S51" i="67"/>
  <c r="R51" i="67"/>
  <c r="Q51" i="67"/>
  <c r="P51" i="67"/>
  <c r="O51" i="67"/>
  <c r="N51" i="67"/>
  <c r="M51" i="67"/>
  <c r="F51" i="67"/>
  <c r="AA50" i="67"/>
  <c r="Z50" i="67"/>
  <c r="Y50" i="67"/>
  <c r="X50" i="67"/>
  <c r="W50" i="67"/>
  <c r="V50" i="67"/>
  <c r="U50" i="67"/>
  <c r="T50" i="67"/>
  <c r="S50" i="67"/>
  <c r="R50" i="67"/>
  <c r="Q50" i="67"/>
  <c r="P50" i="67"/>
  <c r="O50" i="67"/>
  <c r="N50" i="67"/>
  <c r="M50" i="67"/>
  <c r="F50" i="67"/>
  <c r="AA49" i="67"/>
  <c r="Z49" i="67"/>
  <c r="Y49" i="67"/>
  <c r="X49" i="67"/>
  <c r="W49" i="67"/>
  <c r="V49" i="67"/>
  <c r="U49" i="67"/>
  <c r="T49" i="67"/>
  <c r="S49" i="67"/>
  <c r="R49" i="67"/>
  <c r="Q49" i="67"/>
  <c r="P49" i="67"/>
  <c r="O49" i="67"/>
  <c r="N49" i="67"/>
  <c r="M49" i="67"/>
  <c r="F49" i="67"/>
  <c r="AA48" i="67"/>
  <c r="Z48" i="67"/>
  <c r="Y48" i="67"/>
  <c r="X48" i="67"/>
  <c r="W48" i="67"/>
  <c r="V48" i="67"/>
  <c r="U48" i="67"/>
  <c r="T48" i="67"/>
  <c r="S48" i="67"/>
  <c r="R48" i="67"/>
  <c r="Q48" i="67"/>
  <c r="P48" i="67"/>
  <c r="O48" i="67"/>
  <c r="N48" i="67"/>
  <c r="M48" i="67"/>
  <c r="F48" i="67"/>
  <c r="AA47" i="67"/>
  <c r="Z47" i="67"/>
  <c r="Y47" i="67"/>
  <c r="X47" i="67"/>
  <c r="W47" i="67"/>
  <c r="V47" i="67"/>
  <c r="U47" i="67"/>
  <c r="T47" i="67"/>
  <c r="S47" i="67"/>
  <c r="R47" i="67"/>
  <c r="Q47" i="67"/>
  <c r="P47" i="67"/>
  <c r="O47" i="67"/>
  <c r="N47" i="67"/>
  <c r="M47" i="67"/>
  <c r="F47" i="67"/>
  <c r="AA46" i="67"/>
  <c r="Z46" i="67"/>
  <c r="Y46" i="67"/>
  <c r="X46" i="67"/>
  <c r="W46" i="67"/>
  <c r="V46" i="67"/>
  <c r="U46" i="67"/>
  <c r="T46" i="67"/>
  <c r="S46" i="67"/>
  <c r="R46" i="67"/>
  <c r="Q46" i="67"/>
  <c r="P46" i="67"/>
  <c r="O46" i="67"/>
  <c r="N46" i="67"/>
  <c r="M46" i="67"/>
  <c r="F46" i="67"/>
  <c r="AA45" i="67"/>
  <c r="Z45" i="67"/>
  <c r="Y45" i="67"/>
  <c r="X45" i="67"/>
  <c r="W45" i="67"/>
  <c r="V45" i="67"/>
  <c r="U45" i="67"/>
  <c r="T45" i="67"/>
  <c r="S45" i="67"/>
  <c r="R45" i="67"/>
  <c r="Q45" i="67"/>
  <c r="P45" i="67"/>
  <c r="O45" i="67"/>
  <c r="N45" i="67"/>
  <c r="M45" i="67"/>
  <c r="F45" i="67"/>
  <c r="AA44" i="67"/>
  <c r="Z44" i="67"/>
  <c r="Y44" i="67"/>
  <c r="X44" i="67"/>
  <c r="W44" i="67"/>
  <c r="V44" i="67"/>
  <c r="U44" i="67"/>
  <c r="T44" i="67"/>
  <c r="S44" i="67"/>
  <c r="R44" i="67"/>
  <c r="Q44" i="67"/>
  <c r="P44" i="67"/>
  <c r="O44" i="67"/>
  <c r="N44" i="67"/>
  <c r="M44" i="67"/>
  <c r="F44" i="67"/>
  <c r="AA43" i="67"/>
  <c r="Z43" i="67"/>
  <c r="Y43" i="67"/>
  <c r="X43" i="67"/>
  <c r="W43" i="67"/>
  <c r="V43" i="67"/>
  <c r="U43" i="67"/>
  <c r="T43" i="67"/>
  <c r="S43" i="67"/>
  <c r="R43" i="67"/>
  <c r="Q43" i="67"/>
  <c r="P43" i="67"/>
  <c r="O43" i="67"/>
  <c r="N43" i="67"/>
  <c r="M43" i="67"/>
  <c r="F43" i="67"/>
  <c r="AA42" i="67"/>
  <c r="Z42" i="67"/>
  <c r="Y42" i="67"/>
  <c r="X42" i="67"/>
  <c r="W42" i="67"/>
  <c r="V42" i="67"/>
  <c r="U42" i="67"/>
  <c r="T42" i="67"/>
  <c r="S42" i="67"/>
  <c r="R42" i="67"/>
  <c r="Q42" i="67"/>
  <c r="P42" i="67"/>
  <c r="O42" i="67"/>
  <c r="N42" i="67"/>
  <c r="M42" i="67"/>
  <c r="F42" i="67"/>
  <c r="AA41" i="67"/>
  <c r="Z41" i="67"/>
  <c r="Y41" i="67"/>
  <c r="X41" i="67"/>
  <c r="W41" i="67"/>
  <c r="V41" i="67"/>
  <c r="U41" i="67"/>
  <c r="T41" i="67"/>
  <c r="S41" i="67"/>
  <c r="R41" i="67"/>
  <c r="Q41" i="67"/>
  <c r="P41" i="67"/>
  <c r="O41" i="67"/>
  <c r="N41" i="67"/>
  <c r="M41" i="67"/>
  <c r="F41" i="67"/>
  <c r="AA40" i="67"/>
  <c r="Z40" i="67"/>
  <c r="Y40" i="67"/>
  <c r="X40" i="67"/>
  <c r="W40" i="67"/>
  <c r="V40" i="67"/>
  <c r="U40" i="67"/>
  <c r="T40" i="67"/>
  <c r="S40" i="67"/>
  <c r="R40" i="67"/>
  <c r="Q40" i="67"/>
  <c r="P40" i="67"/>
  <c r="O40" i="67"/>
  <c r="N40" i="67"/>
  <c r="M40" i="67"/>
  <c r="F40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F39" i="67"/>
  <c r="AA38" i="67"/>
  <c r="Z38" i="67"/>
  <c r="Y38" i="67"/>
  <c r="X38" i="67"/>
  <c r="W38" i="67"/>
  <c r="V38" i="67"/>
  <c r="U38" i="67"/>
  <c r="T38" i="67"/>
  <c r="S38" i="67"/>
  <c r="R38" i="67"/>
  <c r="Q38" i="67"/>
  <c r="P38" i="67"/>
  <c r="O38" i="67"/>
  <c r="N38" i="67"/>
  <c r="M38" i="67"/>
  <c r="F38" i="67"/>
  <c r="AA37" i="67"/>
  <c r="Z37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F37" i="67"/>
  <c r="AA36" i="67"/>
  <c r="Z36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F36" i="67"/>
  <c r="AA35" i="67"/>
  <c r="Z35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F35" i="67"/>
  <c r="AA34" i="67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F34" i="67"/>
  <c r="AA33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F33" i="67"/>
  <c r="AA32" i="67"/>
  <c r="Z32" i="67"/>
  <c r="Y32" i="67"/>
  <c r="X32" i="67"/>
  <c r="W32" i="67"/>
  <c r="V32" i="67"/>
  <c r="U32" i="67"/>
  <c r="T32" i="67"/>
  <c r="S32" i="67"/>
  <c r="R32" i="67"/>
  <c r="Q32" i="67"/>
  <c r="P32" i="67"/>
  <c r="O32" i="67"/>
  <c r="N32" i="67"/>
  <c r="M32" i="67"/>
  <c r="F32" i="67"/>
  <c r="AA31" i="67"/>
  <c r="Z31" i="67"/>
  <c r="Y31" i="67"/>
  <c r="X31" i="67"/>
  <c r="W31" i="67"/>
  <c r="V31" i="67"/>
  <c r="U31" i="67"/>
  <c r="T31" i="67"/>
  <c r="S31" i="67"/>
  <c r="R31" i="67"/>
  <c r="Q31" i="67"/>
  <c r="P31" i="67"/>
  <c r="O31" i="67"/>
  <c r="N31" i="67"/>
  <c r="M31" i="67"/>
  <c r="F31" i="67"/>
  <c r="AA30" i="67"/>
  <c r="Z30" i="67"/>
  <c r="Y30" i="67"/>
  <c r="X30" i="67"/>
  <c r="W30" i="67"/>
  <c r="V30" i="67"/>
  <c r="U30" i="67"/>
  <c r="T30" i="67"/>
  <c r="S30" i="67"/>
  <c r="R30" i="67"/>
  <c r="Q30" i="67"/>
  <c r="P30" i="67"/>
  <c r="O30" i="67"/>
  <c r="N30" i="67"/>
  <c r="M30" i="67"/>
  <c r="F30" i="67"/>
  <c r="AA29" i="67"/>
  <c r="Z29" i="67"/>
  <c r="Y29" i="67"/>
  <c r="X29" i="67"/>
  <c r="W29" i="67"/>
  <c r="V29" i="67"/>
  <c r="U29" i="67"/>
  <c r="T29" i="67"/>
  <c r="S29" i="67"/>
  <c r="R29" i="67"/>
  <c r="Q29" i="67"/>
  <c r="P29" i="67"/>
  <c r="O29" i="67"/>
  <c r="N29" i="67"/>
  <c r="M29" i="67"/>
  <c r="F29" i="67"/>
  <c r="AA28" i="67"/>
  <c r="Z28" i="67"/>
  <c r="Y28" i="67"/>
  <c r="X28" i="67"/>
  <c r="W28" i="67"/>
  <c r="V28" i="67"/>
  <c r="U28" i="67"/>
  <c r="T28" i="67"/>
  <c r="S28" i="67"/>
  <c r="R28" i="67"/>
  <c r="Q28" i="67"/>
  <c r="P28" i="67"/>
  <c r="O28" i="67"/>
  <c r="N28" i="67"/>
  <c r="M28" i="67"/>
  <c r="F28" i="67"/>
  <c r="AA27" i="67"/>
  <c r="Z27" i="67"/>
  <c r="Y27" i="67"/>
  <c r="X27" i="67"/>
  <c r="W27" i="67"/>
  <c r="V27" i="67"/>
  <c r="U27" i="67"/>
  <c r="T27" i="67"/>
  <c r="S27" i="67"/>
  <c r="R27" i="67"/>
  <c r="Q27" i="67"/>
  <c r="P27" i="67"/>
  <c r="O27" i="67"/>
  <c r="N27" i="67"/>
  <c r="M27" i="67"/>
  <c r="F27" i="67"/>
  <c r="AA26" i="67"/>
  <c r="Z26" i="67"/>
  <c r="Y26" i="67"/>
  <c r="X26" i="67"/>
  <c r="W26" i="67"/>
  <c r="V26" i="67"/>
  <c r="U26" i="67"/>
  <c r="T26" i="67"/>
  <c r="S26" i="67"/>
  <c r="R26" i="67"/>
  <c r="Q26" i="67"/>
  <c r="P26" i="67"/>
  <c r="O26" i="67"/>
  <c r="N26" i="67"/>
  <c r="M26" i="67"/>
  <c r="F26" i="67"/>
  <c r="AA25" i="67"/>
  <c r="Z25" i="67"/>
  <c r="Y25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F25" i="67"/>
  <c r="AA24" i="67"/>
  <c r="Z24" i="67"/>
  <c r="Y24" i="67"/>
  <c r="X24" i="67"/>
  <c r="W24" i="67"/>
  <c r="V24" i="67"/>
  <c r="U24" i="67"/>
  <c r="T24" i="67"/>
  <c r="S24" i="67"/>
  <c r="R24" i="67"/>
  <c r="Q24" i="67"/>
  <c r="P24" i="67"/>
  <c r="O24" i="67"/>
  <c r="N24" i="67"/>
  <c r="M24" i="67"/>
  <c r="F24" i="67"/>
  <c r="AA23" i="67"/>
  <c r="Z23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F23" i="67"/>
  <c r="AA22" i="67"/>
  <c r="Z22" i="67"/>
  <c r="Y22" i="67"/>
  <c r="X22" i="67"/>
  <c r="W22" i="67"/>
  <c r="V22" i="67"/>
  <c r="U22" i="67"/>
  <c r="T22" i="67"/>
  <c r="S22" i="67"/>
  <c r="R22" i="67"/>
  <c r="Q22" i="67"/>
  <c r="P22" i="67"/>
  <c r="O22" i="67"/>
  <c r="N22" i="67"/>
  <c r="M22" i="67"/>
  <c r="F22" i="67"/>
  <c r="AA21" i="67"/>
  <c r="Z21" i="67"/>
  <c r="Y21" i="67"/>
  <c r="X21" i="67"/>
  <c r="W21" i="67"/>
  <c r="V21" i="67"/>
  <c r="U21" i="67"/>
  <c r="T21" i="67"/>
  <c r="S21" i="67"/>
  <c r="R21" i="67"/>
  <c r="Q21" i="67"/>
  <c r="P21" i="67"/>
  <c r="O21" i="67"/>
  <c r="N21" i="67"/>
  <c r="M21" i="67"/>
  <c r="F21" i="67"/>
  <c r="AA20" i="67"/>
  <c r="Z20" i="67"/>
  <c r="Y20" i="67"/>
  <c r="X20" i="67"/>
  <c r="W20" i="67"/>
  <c r="V20" i="67"/>
  <c r="U20" i="67"/>
  <c r="T20" i="67"/>
  <c r="S20" i="67"/>
  <c r="R20" i="67"/>
  <c r="Q20" i="67"/>
  <c r="P20" i="67"/>
  <c r="O20" i="67"/>
  <c r="N20" i="67"/>
  <c r="M20" i="67"/>
  <c r="F20" i="67"/>
  <c r="AA19" i="67"/>
  <c r="Z19" i="67"/>
  <c r="Y19" i="67"/>
  <c r="X19" i="67"/>
  <c r="W19" i="67"/>
  <c r="V19" i="67"/>
  <c r="U19" i="67"/>
  <c r="T19" i="67"/>
  <c r="S19" i="67"/>
  <c r="R19" i="67"/>
  <c r="Q19" i="67"/>
  <c r="P19" i="67"/>
  <c r="O19" i="67"/>
  <c r="N19" i="67"/>
  <c r="M19" i="67"/>
  <c r="F19" i="67"/>
  <c r="AA18" i="67"/>
  <c r="Z18" i="67"/>
  <c r="Y18" i="67"/>
  <c r="X18" i="67"/>
  <c r="W18" i="67"/>
  <c r="V18" i="67"/>
  <c r="U18" i="67"/>
  <c r="T18" i="67"/>
  <c r="S18" i="67"/>
  <c r="R18" i="67"/>
  <c r="Q18" i="67"/>
  <c r="P18" i="67"/>
  <c r="O18" i="67"/>
  <c r="N18" i="67"/>
  <c r="M18" i="67"/>
  <c r="F18" i="67"/>
  <c r="AA17" i="67"/>
  <c r="Z17" i="67"/>
  <c r="Y17" i="67"/>
  <c r="X17" i="67"/>
  <c r="W17" i="67"/>
  <c r="V17" i="67"/>
  <c r="U17" i="67"/>
  <c r="T17" i="67"/>
  <c r="S17" i="67"/>
  <c r="R17" i="67"/>
  <c r="Q17" i="67"/>
  <c r="P17" i="67"/>
  <c r="O17" i="67"/>
  <c r="N17" i="67"/>
  <c r="M17" i="67"/>
  <c r="F17" i="67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F16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F15" i="67"/>
  <c r="AA14" i="67"/>
  <c r="Z14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F14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F13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F12" i="67"/>
  <c r="AA11" i="67"/>
  <c r="Z11" i="67"/>
  <c r="Y11" i="67"/>
  <c r="X11" i="67"/>
  <c r="W11" i="67"/>
  <c r="V11" i="67"/>
  <c r="U11" i="67"/>
  <c r="T11" i="67"/>
  <c r="S11" i="67"/>
  <c r="R11" i="67"/>
  <c r="Q11" i="67"/>
  <c r="P11" i="67"/>
  <c r="O11" i="67"/>
  <c r="N11" i="67"/>
  <c r="M11" i="67"/>
  <c r="F11" i="67"/>
  <c r="AA10" i="67"/>
  <c r="Z10" i="67"/>
  <c r="Y10" i="67"/>
  <c r="X10" i="67"/>
  <c r="W10" i="67"/>
  <c r="V10" i="67"/>
  <c r="U10" i="67"/>
  <c r="T10" i="67"/>
  <c r="S10" i="67"/>
  <c r="R10" i="67"/>
  <c r="Q10" i="67"/>
  <c r="P10" i="67"/>
  <c r="O10" i="67"/>
  <c r="N10" i="67"/>
  <c r="M10" i="67"/>
  <c r="F10" i="67"/>
  <c r="AA9" i="67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F9" i="67"/>
  <c r="AA8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F8" i="67"/>
  <c r="AA7" i="67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F7" i="67"/>
  <c r="AA6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F6" i="67"/>
  <c r="AA5" i="67"/>
  <c r="Z5" i="67"/>
  <c r="Y5" i="67"/>
  <c r="X5" i="67"/>
  <c r="W5" i="67"/>
  <c r="V5" i="67"/>
  <c r="U5" i="67"/>
  <c r="T5" i="67"/>
  <c r="S5" i="67"/>
  <c r="R5" i="67"/>
  <c r="Q5" i="67"/>
  <c r="P5" i="67"/>
  <c r="O5" i="67"/>
  <c r="N5" i="67"/>
  <c r="M5" i="67"/>
  <c r="F5" i="67"/>
  <c r="AA4" i="67"/>
  <c r="Z4" i="67"/>
  <c r="Y4" i="67"/>
  <c r="X4" i="67"/>
  <c r="W4" i="67"/>
  <c r="V4" i="67"/>
  <c r="U4" i="67"/>
  <c r="T4" i="67"/>
  <c r="S4" i="67"/>
  <c r="R4" i="67"/>
  <c r="Q4" i="67"/>
  <c r="P4" i="67"/>
  <c r="O4" i="67"/>
  <c r="N4" i="67"/>
  <c r="M4" i="67"/>
  <c r="M1" i="67" s="1"/>
  <c r="F4" i="67"/>
  <c r="AA3" i="67"/>
  <c r="Z3" i="67"/>
  <c r="Y3" i="67"/>
  <c r="X3" i="67"/>
  <c r="W3" i="67"/>
  <c r="W1" i="67" s="1"/>
  <c r="V3" i="67"/>
  <c r="U3" i="67"/>
  <c r="T3" i="67"/>
  <c r="S3" i="67"/>
  <c r="R3" i="67"/>
  <c r="Q3" i="67"/>
  <c r="P3" i="67"/>
  <c r="O3" i="67"/>
  <c r="N3" i="67"/>
  <c r="M3" i="67"/>
  <c r="F3" i="67"/>
  <c r="AA1" i="67"/>
  <c r="AA102" i="66"/>
  <c r="Z102" i="66"/>
  <c r="Y102" i="66"/>
  <c r="X102" i="66"/>
  <c r="W102" i="66"/>
  <c r="V102" i="66"/>
  <c r="U102" i="66"/>
  <c r="T102" i="66"/>
  <c r="S102" i="66"/>
  <c r="R102" i="66"/>
  <c r="Q102" i="66"/>
  <c r="P102" i="66"/>
  <c r="O102" i="66"/>
  <c r="N102" i="66"/>
  <c r="M102" i="66"/>
  <c r="F102" i="66"/>
  <c r="AA101" i="66"/>
  <c r="Z101" i="66"/>
  <c r="Y101" i="66"/>
  <c r="X101" i="66"/>
  <c r="W101" i="66"/>
  <c r="V101" i="66"/>
  <c r="U101" i="66"/>
  <c r="T101" i="66"/>
  <c r="S101" i="66"/>
  <c r="R101" i="66"/>
  <c r="Q101" i="66"/>
  <c r="P101" i="66"/>
  <c r="O101" i="66"/>
  <c r="N101" i="66"/>
  <c r="M101" i="66"/>
  <c r="F101" i="66"/>
  <c r="AA100" i="66"/>
  <c r="Z100" i="66"/>
  <c r="Y100" i="66"/>
  <c r="X100" i="66"/>
  <c r="W100" i="66"/>
  <c r="V100" i="66"/>
  <c r="U100" i="66"/>
  <c r="T100" i="66"/>
  <c r="S100" i="66"/>
  <c r="R100" i="66"/>
  <c r="Q100" i="66"/>
  <c r="P100" i="66"/>
  <c r="O100" i="66"/>
  <c r="N100" i="66"/>
  <c r="M100" i="66"/>
  <c r="F100" i="66"/>
  <c r="AA99" i="66"/>
  <c r="Z99" i="66"/>
  <c r="Y99" i="66"/>
  <c r="X99" i="66"/>
  <c r="W99" i="66"/>
  <c r="V99" i="66"/>
  <c r="U99" i="66"/>
  <c r="T99" i="66"/>
  <c r="S99" i="66"/>
  <c r="R99" i="66"/>
  <c r="Q99" i="66"/>
  <c r="P99" i="66"/>
  <c r="O99" i="66"/>
  <c r="N99" i="66"/>
  <c r="M99" i="66"/>
  <c r="F99" i="66"/>
  <c r="AA98" i="66"/>
  <c r="Z98" i="66"/>
  <c r="Y98" i="66"/>
  <c r="X98" i="66"/>
  <c r="W98" i="66"/>
  <c r="V98" i="66"/>
  <c r="U98" i="66"/>
  <c r="T98" i="66"/>
  <c r="S98" i="66"/>
  <c r="R98" i="66"/>
  <c r="Q98" i="66"/>
  <c r="P98" i="66"/>
  <c r="O98" i="66"/>
  <c r="N98" i="66"/>
  <c r="M98" i="66"/>
  <c r="F98" i="66"/>
  <c r="AA97" i="66"/>
  <c r="Z97" i="66"/>
  <c r="Y97" i="66"/>
  <c r="X97" i="66"/>
  <c r="W97" i="66"/>
  <c r="V97" i="66"/>
  <c r="U97" i="66"/>
  <c r="T97" i="66"/>
  <c r="S97" i="66"/>
  <c r="R97" i="66"/>
  <c r="Q97" i="66"/>
  <c r="P97" i="66"/>
  <c r="O97" i="66"/>
  <c r="N97" i="66"/>
  <c r="M97" i="66"/>
  <c r="F97" i="66"/>
  <c r="AA96" i="66"/>
  <c r="Z96" i="66"/>
  <c r="Y96" i="66"/>
  <c r="X96" i="66"/>
  <c r="W96" i="66"/>
  <c r="V96" i="66"/>
  <c r="U96" i="66"/>
  <c r="T96" i="66"/>
  <c r="S96" i="66"/>
  <c r="R96" i="66"/>
  <c r="Q96" i="66"/>
  <c r="P96" i="66"/>
  <c r="O96" i="66"/>
  <c r="N96" i="66"/>
  <c r="M96" i="66"/>
  <c r="F96" i="66"/>
  <c r="AA95" i="66"/>
  <c r="Z95" i="66"/>
  <c r="Y95" i="66"/>
  <c r="X95" i="66"/>
  <c r="W95" i="66"/>
  <c r="V95" i="66"/>
  <c r="U95" i="66"/>
  <c r="T95" i="66"/>
  <c r="S95" i="66"/>
  <c r="R95" i="66"/>
  <c r="Q95" i="66"/>
  <c r="P95" i="66"/>
  <c r="O95" i="66"/>
  <c r="N95" i="66"/>
  <c r="M95" i="66"/>
  <c r="F95" i="66"/>
  <c r="AA94" i="66"/>
  <c r="Z94" i="66"/>
  <c r="Y94" i="66"/>
  <c r="X94" i="66"/>
  <c r="W94" i="66"/>
  <c r="V94" i="66"/>
  <c r="U94" i="66"/>
  <c r="T94" i="66"/>
  <c r="S94" i="66"/>
  <c r="R94" i="66"/>
  <c r="Q94" i="66"/>
  <c r="P94" i="66"/>
  <c r="O94" i="66"/>
  <c r="N94" i="66"/>
  <c r="M94" i="66"/>
  <c r="F94" i="66"/>
  <c r="AA93" i="66"/>
  <c r="Z93" i="66"/>
  <c r="Y93" i="66"/>
  <c r="X93" i="66"/>
  <c r="W93" i="66"/>
  <c r="V93" i="66"/>
  <c r="U93" i="66"/>
  <c r="T93" i="66"/>
  <c r="S93" i="66"/>
  <c r="R93" i="66"/>
  <c r="Q93" i="66"/>
  <c r="P93" i="66"/>
  <c r="O93" i="66"/>
  <c r="N93" i="66"/>
  <c r="M93" i="66"/>
  <c r="F93" i="66"/>
  <c r="AA92" i="66"/>
  <c r="Z92" i="66"/>
  <c r="Y92" i="66"/>
  <c r="X92" i="66"/>
  <c r="W92" i="66"/>
  <c r="V92" i="66"/>
  <c r="U92" i="66"/>
  <c r="T92" i="66"/>
  <c r="S92" i="66"/>
  <c r="R92" i="66"/>
  <c r="Q92" i="66"/>
  <c r="P92" i="66"/>
  <c r="O92" i="66"/>
  <c r="N92" i="66"/>
  <c r="M92" i="66"/>
  <c r="F92" i="66"/>
  <c r="AA91" i="66"/>
  <c r="Z91" i="66"/>
  <c r="Y91" i="66"/>
  <c r="X91" i="66"/>
  <c r="W91" i="66"/>
  <c r="V91" i="66"/>
  <c r="U91" i="66"/>
  <c r="T91" i="66"/>
  <c r="S91" i="66"/>
  <c r="R91" i="66"/>
  <c r="Q91" i="66"/>
  <c r="P91" i="66"/>
  <c r="O91" i="66"/>
  <c r="N91" i="66"/>
  <c r="M91" i="66"/>
  <c r="F91" i="66"/>
  <c r="AA90" i="66"/>
  <c r="Z90" i="66"/>
  <c r="Y90" i="66"/>
  <c r="X90" i="66"/>
  <c r="W90" i="66"/>
  <c r="V90" i="66"/>
  <c r="U90" i="66"/>
  <c r="T90" i="66"/>
  <c r="S90" i="66"/>
  <c r="R90" i="66"/>
  <c r="Q90" i="66"/>
  <c r="P90" i="66"/>
  <c r="O90" i="66"/>
  <c r="N90" i="66"/>
  <c r="M90" i="66"/>
  <c r="F90" i="66"/>
  <c r="AA89" i="66"/>
  <c r="Z89" i="66"/>
  <c r="Y89" i="66"/>
  <c r="X89" i="66"/>
  <c r="W89" i="66"/>
  <c r="V89" i="66"/>
  <c r="U89" i="66"/>
  <c r="T89" i="66"/>
  <c r="S89" i="66"/>
  <c r="R89" i="66"/>
  <c r="Q89" i="66"/>
  <c r="P89" i="66"/>
  <c r="O89" i="66"/>
  <c r="N89" i="66"/>
  <c r="M89" i="66"/>
  <c r="F89" i="66"/>
  <c r="AA88" i="66"/>
  <c r="Z88" i="66"/>
  <c r="Y88" i="66"/>
  <c r="X88" i="66"/>
  <c r="W88" i="66"/>
  <c r="V88" i="66"/>
  <c r="U88" i="66"/>
  <c r="T88" i="66"/>
  <c r="S88" i="66"/>
  <c r="R88" i="66"/>
  <c r="Q88" i="66"/>
  <c r="P88" i="66"/>
  <c r="O88" i="66"/>
  <c r="N88" i="66"/>
  <c r="M88" i="66"/>
  <c r="F88" i="66"/>
  <c r="AA87" i="66"/>
  <c r="Z87" i="66"/>
  <c r="Y87" i="66"/>
  <c r="X87" i="66"/>
  <c r="W87" i="66"/>
  <c r="V87" i="66"/>
  <c r="U87" i="66"/>
  <c r="T87" i="66"/>
  <c r="S87" i="66"/>
  <c r="R87" i="66"/>
  <c r="Q87" i="66"/>
  <c r="P87" i="66"/>
  <c r="O87" i="66"/>
  <c r="N87" i="66"/>
  <c r="M87" i="66"/>
  <c r="F87" i="66"/>
  <c r="AA86" i="66"/>
  <c r="Z86" i="66"/>
  <c r="Y86" i="66"/>
  <c r="X86" i="66"/>
  <c r="W86" i="66"/>
  <c r="V86" i="66"/>
  <c r="U86" i="66"/>
  <c r="T86" i="66"/>
  <c r="S86" i="66"/>
  <c r="R86" i="66"/>
  <c r="Q86" i="66"/>
  <c r="P86" i="66"/>
  <c r="O86" i="66"/>
  <c r="N86" i="66"/>
  <c r="M86" i="66"/>
  <c r="F86" i="66"/>
  <c r="AA85" i="66"/>
  <c r="Z85" i="66"/>
  <c r="Y85" i="66"/>
  <c r="X85" i="66"/>
  <c r="W85" i="66"/>
  <c r="V85" i="66"/>
  <c r="U85" i="66"/>
  <c r="T85" i="66"/>
  <c r="S85" i="66"/>
  <c r="R85" i="66"/>
  <c r="Q85" i="66"/>
  <c r="P85" i="66"/>
  <c r="O85" i="66"/>
  <c r="N85" i="66"/>
  <c r="M85" i="66"/>
  <c r="F85" i="66"/>
  <c r="AA84" i="66"/>
  <c r="Z84" i="66"/>
  <c r="Y84" i="66"/>
  <c r="X84" i="66"/>
  <c r="W84" i="66"/>
  <c r="V84" i="66"/>
  <c r="U84" i="66"/>
  <c r="T84" i="66"/>
  <c r="S84" i="66"/>
  <c r="R84" i="66"/>
  <c r="Q84" i="66"/>
  <c r="P84" i="66"/>
  <c r="O84" i="66"/>
  <c r="N84" i="66"/>
  <c r="M84" i="66"/>
  <c r="F84" i="66"/>
  <c r="AA83" i="66"/>
  <c r="Z83" i="66"/>
  <c r="Y83" i="66"/>
  <c r="X83" i="66"/>
  <c r="W83" i="66"/>
  <c r="V83" i="66"/>
  <c r="U83" i="66"/>
  <c r="T83" i="66"/>
  <c r="S83" i="66"/>
  <c r="R83" i="66"/>
  <c r="Q83" i="66"/>
  <c r="P83" i="66"/>
  <c r="O83" i="66"/>
  <c r="N83" i="66"/>
  <c r="M83" i="66"/>
  <c r="F83" i="66"/>
  <c r="AA82" i="66"/>
  <c r="Z82" i="66"/>
  <c r="Y82" i="66"/>
  <c r="X82" i="66"/>
  <c r="W82" i="66"/>
  <c r="V82" i="66"/>
  <c r="U82" i="66"/>
  <c r="T82" i="66"/>
  <c r="S82" i="66"/>
  <c r="R82" i="66"/>
  <c r="Q82" i="66"/>
  <c r="P82" i="66"/>
  <c r="O82" i="66"/>
  <c r="N82" i="66"/>
  <c r="M82" i="66"/>
  <c r="F82" i="66"/>
  <c r="AA81" i="66"/>
  <c r="Z81" i="66"/>
  <c r="Y81" i="66"/>
  <c r="X81" i="66"/>
  <c r="W81" i="66"/>
  <c r="V81" i="66"/>
  <c r="U81" i="66"/>
  <c r="T81" i="66"/>
  <c r="S81" i="66"/>
  <c r="R81" i="66"/>
  <c r="Q81" i="66"/>
  <c r="P81" i="66"/>
  <c r="O81" i="66"/>
  <c r="N81" i="66"/>
  <c r="M81" i="66"/>
  <c r="F81" i="66"/>
  <c r="AA80" i="66"/>
  <c r="Z80" i="66"/>
  <c r="Y80" i="66"/>
  <c r="X80" i="66"/>
  <c r="W80" i="66"/>
  <c r="V80" i="66"/>
  <c r="U80" i="66"/>
  <c r="T80" i="66"/>
  <c r="S80" i="66"/>
  <c r="R80" i="66"/>
  <c r="Q80" i="66"/>
  <c r="P80" i="66"/>
  <c r="O80" i="66"/>
  <c r="N80" i="66"/>
  <c r="M80" i="66"/>
  <c r="F80" i="66"/>
  <c r="AA79" i="66"/>
  <c r="Z79" i="66"/>
  <c r="Y79" i="66"/>
  <c r="X79" i="66"/>
  <c r="W79" i="66"/>
  <c r="V79" i="66"/>
  <c r="U79" i="66"/>
  <c r="T79" i="66"/>
  <c r="S79" i="66"/>
  <c r="R79" i="66"/>
  <c r="Q79" i="66"/>
  <c r="P79" i="66"/>
  <c r="O79" i="66"/>
  <c r="N79" i="66"/>
  <c r="M79" i="66"/>
  <c r="F79" i="66"/>
  <c r="AA78" i="66"/>
  <c r="Z78" i="66"/>
  <c r="Y78" i="66"/>
  <c r="X78" i="66"/>
  <c r="W78" i="66"/>
  <c r="V78" i="66"/>
  <c r="U78" i="66"/>
  <c r="T78" i="66"/>
  <c r="S78" i="66"/>
  <c r="R78" i="66"/>
  <c r="Q78" i="66"/>
  <c r="P78" i="66"/>
  <c r="O78" i="66"/>
  <c r="N78" i="66"/>
  <c r="M78" i="66"/>
  <c r="F78" i="66"/>
  <c r="AA77" i="66"/>
  <c r="Z77" i="66"/>
  <c r="Y77" i="66"/>
  <c r="X77" i="66"/>
  <c r="W77" i="66"/>
  <c r="V77" i="66"/>
  <c r="U77" i="66"/>
  <c r="T77" i="66"/>
  <c r="S77" i="66"/>
  <c r="R77" i="66"/>
  <c r="Q77" i="66"/>
  <c r="P77" i="66"/>
  <c r="O77" i="66"/>
  <c r="N77" i="66"/>
  <c r="M77" i="66"/>
  <c r="F77" i="66"/>
  <c r="AA76" i="66"/>
  <c r="Z76" i="66"/>
  <c r="Y76" i="66"/>
  <c r="X76" i="66"/>
  <c r="W76" i="66"/>
  <c r="V76" i="66"/>
  <c r="U76" i="66"/>
  <c r="T76" i="66"/>
  <c r="S76" i="66"/>
  <c r="R76" i="66"/>
  <c r="Q76" i="66"/>
  <c r="P76" i="66"/>
  <c r="O76" i="66"/>
  <c r="N76" i="66"/>
  <c r="M76" i="66"/>
  <c r="F76" i="66"/>
  <c r="AA75" i="66"/>
  <c r="Z75" i="66"/>
  <c r="Y75" i="66"/>
  <c r="X75" i="66"/>
  <c r="W75" i="66"/>
  <c r="V75" i="66"/>
  <c r="U75" i="66"/>
  <c r="T75" i="66"/>
  <c r="S75" i="66"/>
  <c r="R75" i="66"/>
  <c r="Q75" i="66"/>
  <c r="P75" i="66"/>
  <c r="O75" i="66"/>
  <c r="N75" i="66"/>
  <c r="M75" i="66"/>
  <c r="F75" i="66"/>
  <c r="AA74" i="66"/>
  <c r="Z74" i="66"/>
  <c r="Y74" i="66"/>
  <c r="X74" i="66"/>
  <c r="W74" i="66"/>
  <c r="V74" i="66"/>
  <c r="U74" i="66"/>
  <c r="T74" i="66"/>
  <c r="S74" i="66"/>
  <c r="R74" i="66"/>
  <c r="Q74" i="66"/>
  <c r="P74" i="66"/>
  <c r="O74" i="66"/>
  <c r="N74" i="66"/>
  <c r="M74" i="66"/>
  <c r="F74" i="66"/>
  <c r="AA73" i="66"/>
  <c r="Z73" i="66"/>
  <c r="Y73" i="66"/>
  <c r="X73" i="66"/>
  <c r="W73" i="66"/>
  <c r="V73" i="66"/>
  <c r="U73" i="66"/>
  <c r="T73" i="66"/>
  <c r="S73" i="66"/>
  <c r="R73" i="66"/>
  <c r="Q73" i="66"/>
  <c r="P73" i="66"/>
  <c r="O73" i="66"/>
  <c r="N73" i="66"/>
  <c r="M73" i="66"/>
  <c r="F73" i="66"/>
  <c r="AA72" i="66"/>
  <c r="Z72" i="66"/>
  <c r="Y72" i="66"/>
  <c r="X72" i="66"/>
  <c r="W72" i="66"/>
  <c r="V72" i="66"/>
  <c r="U72" i="66"/>
  <c r="T72" i="66"/>
  <c r="S72" i="66"/>
  <c r="R72" i="66"/>
  <c r="Q72" i="66"/>
  <c r="P72" i="66"/>
  <c r="O72" i="66"/>
  <c r="N72" i="66"/>
  <c r="M72" i="66"/>
  <c r="F72" i="66"/>
  <c r="AA71" i="66"/>
  <c r="Z71" i="66"/>
  <c r="Y71" i="66"/>
  <c r="X71" i="66"/>
  <c r="W71" i="66"/>
  <c r="V71" i="66"/>
  <c r="U71" i="66"/>
  <c r="T71" i="66"/>
  <c r="S71" i="66"/>
  <c r="R71" i="66"/>
  <c r="Q71" i="66"/>
  <c r="P71" i="66"/>
  <c r="O71" i="66"/>
  <c r="N71" i="66"/>
  <c r="M71" i="66"/>
  <c r="F71" i="66"/>
  <c r="AA70" i="66"/>
  <c r="Z70" i="66"/>
  <c r="Y70" i="66"/>
  <c r="X70" i="66"/>
  <c r="W70" i="66"/>
  <c r="V70" i="66"/>
  <c r="U70" i="66"/>
  <c r="T70" i="66"/>
  <c r="S70" i="66"/>
  <c r="R70" i="66"/>
  <c r="Q70" i="66"/>
  <c r="P70" i="66"/>
  <c r="O70" i="66"/>
  <c r="N70" i="66"/>
  <c r="M70" i="66"/>
  <c r="F70" i="66"/>
  <c r="AA69" i="66"/>
  <c r="Z69" i="66"/>
  <c r="Y69" i="66"/>
  <c r="X69" i="66"/>
  <c r="W69" i="66"/>
  <c r="V69" i="66"/>
  <c r="U69" i="66"/>
  <c r="T69" i="66"/>
  <c r="S69" i="66"/>
  <c r="R69" i="66"/>
  <c r="Q69" i="66"/>
  <c r="P69" i="66"/>
  <c r="O69" i="66"/>
  <c r="N69" i="66"/>
  <c r="M69" i="66"/>
  <c r="F69" i="66"/>
  <c r="AA68" i="66"/>
  <c r="Z68" i="66"/>
  <c r="Y68" i="66"/>
  <c r="X68" i="66"/>
  <c r="W68" i="66"/>
  <c r="V68" i="66"/>
  <c r="U68" i="66"/>
  <c r="T68" i="66"/>
  <c r="S68" i="66"/>
  <c r="R68" i="66"/>
  <c r="Q68" i="66"/>
  <c r="P68" i="66"/>
  <c r="O68" i="66"/>
  <c r="N68" i="66"/>
  <c r="M68" i="66"/>
  <c r="F68" i="66"/>
  <c r="AA67" i="66"/>
  <c r="Z67" i="66"/>
  <c r="Y67" i="66"/>
  <c r="X67" i="66"/>
  <c r="W67" i="66"/>
  <c r="V67" i="66"/>
  <c r="U67" i="66"/>
  <c r="T67" i="66"/>
  <c r="S67" i="66"/>
  <c r="R67" i="66"/>
  <c r="Q67" i="66"/>
  <c r="P67" i="66"/>
  <c r="O67" i="66"/>
  <c r="N67" i="66"/>
  <c r="M67" i="66"/>
  <c r="F67" i="66"/>
  <c r="AA66" i="66"/>
  <c r="Z66" i="66"/>
  <c r="Y66" i="66"/>
  <c r="X66" i="66"/>
  <c r="W66" i="66"/>
  <c r="V66" i="66"/>
  <c r="U66" i="66"/>
  <c r="T66" i="66"/>
  <c r="S66" i="66"/>
  <c r="R66" i="66"/>
  <c r="Q66" i="66"/>
  <c r="P66" i="66"/>
  <c r="O66" i="66"/>
  <c r="N66" i="66"/>
  <c r="M66" i="66"/>
  <c r="F66" i="66"/>
  <c r="AA65" i="66"/>
  <c r="Z65" i="66"/>
  <c r="Y65" i="66"/>
  <c r="X65" i="66"/>
  <c r="W65" i="66"/>
  <c r="V65" i="66"/>
  <c r="U65" i="66"/>
  <c r="T65" i="66"/>
  <c r="S65" i="66"/>
  <c r="R65" i="66"/>
  <c r="Q65" i="66"/>
  <c r="P65" i="66"/>
  <c r="O65" i="66"/>
  <c r="N65" i="66"/>
  <c r="M65" i="66"/>
  <c r="F65" i="66"/>
  <c r="AA64" i="66"/>
  <c r="Z64" i="66"/>
  <c r="Y64" i="66"/>
  <c r="X64" i="66"/>
  <c r="W64" i="66"/>
  <c r="V64" i="66"/>
  <c r="U64" i="66"/>
  <c r="T64" i="66"/>
  <c r="S64" i="66"/>
  <c r="R64" i="66"/>
  <c r="Q64" i="66"/>
  <c r="P64" i="66"/>
  <c r="O64" i="66"/>
  <c r="N64" i="66"/>
  <c r="M64" i="66"/>
  <c r="F64" i="66"/>
  <c r="AA63" i="66"/>
  <c r="Z63" i="66"/>
  <c r="Y63" i="66"/>
  <c r="X63" i="66"/>
  <c r="W63" i="66"/>
  <c r="V63" i="66"/>
  <c r="U63" i="66"/>
  <c r="T63" i="66"/>
  <c r="S63" i="66"/>
  <c r="R63" i="66"/>
  <c r="Q63" i="66"/>
  <c r="P63" i="66"/>
  <c r="O63" i="66"/>
  <c r="N63" i="66"/>
  <c r="M63" i="66"/>
  <c r="F63" i="66"/>
  <c r="AA62" i="66"/>
  <c r="Z62" i="66"/>
  <c r="Y62" i="66"/>
  <c r="X62" i="66"/>
  <c r="W62" i="66"/>
  <c r="V62" i="66"/>
  <c r="U62" i="66"/>
  <c r="T62" i="66"/>
  <c r="S62" i="66"/>
  <c r="R62" i="66"/>
  <c r="Q62" i="66"/>
  <c r="P62" i="66"/>
  <c r="O62" i="66"/>
  <c r="N62" i="66"/>
  <c r="M62" i="66"/>
  <c r="F62" i="66"/>
  <c r="AA61" i="66"/>
  <c r="Z61" i="66"/>
  <c r="Y61" i="66"/>
  <c r="X61" i="66"/>
  <c r="W61" i="66"/>
  <c r="V61" i="66"/>
  <c r="U61" i="66"/>
  <c r="T61" i="66"/>
  <c r="S61" i="66"/>
  <c r="R61" i="66"/>
  <c r="Q61" i="66"/>
  <c r="P61" i="66"/>
  <c r="O61" i="66"/>
  <c r="N61" i="66"/>
  <c r="M61" i="66"/>
  <c r="F61" i="66"/>
  <c r="AA60" i="66"/>
  <c r="Z60" i="66"/>
  <c r="Y60" i="66"/>
  <c r="X60" i="66"/>
  <c r="W60" i="66"/>
  <c r="V60" i="66"/>
  <c r="U60" i="66"/>
  <c r="T60" i="66"/>
  <c r="S60" i="66"/>
  <c r="R60" i="66"/>
  <c r="Q60" i="66"/>
  <c r="P60" i="66"/>
  <c r="O60" i="66"/>
  <c r="N60" i="66"/>
  <c r="M60" i="66"/>
  <c r="F60" i="66"/>
  <c r="AA59" i="66"/>
  <c r="Z59" i="66"/>
  <c r="Y59" i="66"/>
  <c r="X59" i="66"/>
  <c r="W59" i="66"/>
  <c r="V59" i="66"/>
  <c r="U59" i="66"/>
  <c r="T59" i="66"/>
  <c r="S59" i="66"/>
  <c r="R59" i="66"/>
  <c r="Q59" i="66"/>
  <c r="P59" i="66"/>
  <c r="O59" i="66"/>
  <c r="N59" i="66"/>
  <c r="M59" i="66"/>
  <c r="F59" i="66"/>
  <c r="AA58" i="66"/>
  <c r="Z58" i="66"/>
  <c r="Y58" i="66"/>
  <c r="X58" i="66"/>
  <c r="W58" i="66"/>
  <c r="V58" i="66"/>
  <c r="U58" i="66"/>
  <c r="T58" i="66"/>
  <c r="S58" i="66"/>
  <c r="R58" i="66"/>
  <c r="Q58" i="66"/>
  <c r="P58" i="66"/>
  <c r="O58" i="66"/>
  <c r="N58" i="66"/>
  <c r="M58" i="66"/>
  <c r="F58" i="66"/>
  <c r="AA57" i="66"/>
  <c r="Z57" i="66"/>
  <c r="Y57" i="66"/>
  <c r="X57" i="66"/>
  <c r="W57" i="66"/>
  <c r="V57" i="66"/>
  <c r="U57" i="66"/>
  <c r="T57" i="66"/>
  <c r="S57" i="66"/>
  <c r="R57" i="66"/>
  <c r="Q57" i="66"/>
  <c r="P57" i="66"/>
  <c r="O57" i="66"/>
  <c r="N57" i="66"/>
  <c r="M57" i="66"/>
  <c r="F57" i="66"/>
  <c r="AA56" i="66"/>
  <c r="Z56" i="66"/>
  <c r="Y56" i="66"/>
  <c r="X56" i="66"/>
  <c r="W56" i="66"/>
  <c r="V56" i="66"/>
  <c r="U56" i="66"/>
  <c r="T56" i="66"/>
  <c r="S56" i="66"/>
  <c r="R56" i="66"/>
  <c r="Q56" i="66"/>
  <c r="P56" i="66"/>
  <c r="O56" i="66"/>
  <c r="N56" i="66"/>
  <c r="M56" i="66"/>
  <c r="F56" i="66"/>
  <c r="AA55" i="66"/>
  <c r="Z55" i="66"/>
  <c r="Y55" i="66"/>
  <c r="X55" i="66"/>
  <c r="W55" i="66"/>
  <c r="V55" i="66"/>
  <c r="U55" i="66"/>
  <c r="T55" i="66"/>
  <c r="S55" i="66"/>
  <c r="R55" i="66"/>
  <c r="Q55" i="66"/>
  <c r="P55" i="66"/>
  <c r="O55" i="66"/>
  <c r="N55" i="66"/>
  <c r="M55" i="66"/>
  <c r="F55" i="66"/>
  <c r="AA54" i="66"/>
  <c r="Z54" i="66"/>
  <c r="Y54" i="66"/>
  <c r="X54" i="66"/>
  <c r="W54" i="66"/>
  <c r="V54" i="66"/>
  <c r="U54" i="66"/>
  <c r="T54" i="66"/>
  <c r="S54" i="66"/>
  <c r="R54" i="66"/>
  <c r="Q54" i="66"/>
  <c r="P54" i="66"/>
  <c r="O54" i="66"/>
  <c r="N54" i="66"/>
  <c r="M54" i="66"/>
  <c r="F54" i="66"/>
  <c r="AA53" i="66"/>
  <c r="Z53" i="66"/>
  <c r="Y53" i="66"/>
  <c r="X53" i="66"/>
  <c r="W53" i="66"/>
  <c r="V53" i="66"/>
  <c r="U53" i="66"/>
  <c r="T53" i="66"/>
  <c r="S53" i="66"/>
  <c r="R53" i="66"/>
  <c r="Q53" i="66"/>
  <c r="P53" i="66"/>
  <c r="O53" i="66"/>
  <c r="N53" i="66"/>
  <c r="M53" i="66"/>
  <c r="F53" i="66"/>
  <c r="AA52" i="66"/>
  <c r="Z52" i="66"/>
  <c r="Y52" i="66"/>
  <c r="X52" i="66"/>
  <c r="W52" i="66"/>
  <c r="V52" i="66"/>
  <c r="U52" i="66"/>
  <c r="T52" i="66"/>
  <c r="S52" i="66"/>
  <c r="R52" i="66"/>
  <c r="Q52" i="66"/>
  <c r="P52" i="66"/>
  <c r="O52" i="66"/>
  <c r="N52" i="66"/>
  <c r="M52" i="66"/>
  <c r="F52" i="66"/>
  <c r="AA51" i="66"/>
  <c r="Z51" i="66"/>
  <c r="Y51" i="66"/>
  <c r="X51" i="66"/>
  <c r="W51" i="66"/>
  <c r="V51" i="66"/>
  <c r="U51" i="66"/>
  <c r="T51" i="66"/>
  <c r="S51" i="66"/>
  <c r="R51" i="66"/>
  <c r="Q51" i="66"/>
  <c r="P51" i="66"/>
  <c r="O51" i="66"/>
  <c r="N51" i="66"/>
  <c r="M51" i="66"/>
  <c r="F51" i="66"/>
  <c r="AA50" i="66"/>
  <c r="Z50" i="66"/>
  <c r="Y50" i="66"/>
  <c r="X50" i="66"/>
  <c r="W50" i="66"/>
  <c r="V50" i="66"/>
  <c r="U50" i="66"/>
  <c r="T50" i="66"/>
  <c r="S50" i="66"/>
  <c r="R50" i="66"/>
  <c r="Q50" i="66"/>
  <c r="P50" i="66"/>
  <c r="O50" i="66"/>
  <c r="N50" i="66"/>
  <c r="M50" i="66"/>
  <c r="F50" i="66"/>
  <c r="AA49" i="66"/>
  <c r="Z49" i="66"/>
  <c r="Y49" i="66"/>
  <c r="X49" i="66"/>
  <c r="W49" i="66"/>
  <c r="V49" i="66"/>
  <c r="U49" i="66"/>
  <c r="T49" i="66"/>
  <c r="S49" i="66"/>
  <c r="R49" i="66"/>
  <c r="Q49" i="66"/>
  <c r="P49" i="66"/>
  <c r="O49" i="66"/>
  <c r="N49" i="66"/>
  <c r="M49" i="66"/>
  <c r="F49" i="66"/>
  <c r="AA48" i="66"/>
  <c r="Z48" i="66"/>
  <c r="Y48" i="66"/>
  <c r="X48" i="66"/>
  <c r="W48" i="66"/>
  <c r="V48" i="66"/>
  <c r="U48" i="66"/>
  <c r="T48" i="66"/>
  <c r="S48" i="66"/>
  <c r="R48" i="66"/>
  <c r="Q48" i="66"/>
  <c r="P48" i="66"/>
  <c r="O48" i="66"/>
  <c r="N48" i="66"/>
  <c r="M48" i="66"/>
  <c r="F48" i="66"/>
  <c r="AA47" i="66"/>
  <c r="Z47" i="66"/>
  <c r="Y47" i="66"/>
  <c r="X47" i="66"/>
  <c r="W47" i="66"/>
  <c r="V47" i="66"/>
  <c r="U47" i="66"/>
  <c r="T47" i="66"/>
  <c r="S47" i="66"/>
  <c r="R47" i="66"/>
  <c r="Q47" i="66"/>
  <c r="P47" i="66"/>
  <c r="O47" i="66"/>
  <c r="N47" i="66"/>
  <c r="M47" i="66"/>
  <c r="F47" i="66"/>
  <c r="AA46" i="66"/>
  <c r="Z46" i="66"/>
  <c r="Y46" i="66"/>
  <c r="X46" i="66"/>
  <c r="W46" i="66"/>
  <c r="V46" i="66"/>
  <c r="U46" i="66"/>
  <c r="T46" i="66"/>
  <c r="S46" i="66"/>
  <c r="R46" i="66"/>
  <c r="Q46" i="66"/>
  <c r="P46" i="66"/>
  <c r="O46" i="66"/>
  <c r="N46" i="66"/>
  <c r="M46" i="66"/>
  <c r="F46" i="66"/>
  <c r="AA45" i="66"/>
  <c r="Z45" i="66"/>
  <c r="Y45" i="66"/>
  <c r="X45" i="66"/>
  <c r="W45" i="66"/>
  <c r="V45" i="66"/>
  <c r="U45" i="66"/>
  <c r="T45" i="66"/>
  <c r="S45" i="66"/>
  <c r="R45" i="66"/>
  <c r="Q45" i="66"/>
  <c r="P45" i="66"/>
  <c r="O45" i="66"/>
  <c r="N45" i="66"/>
  <c r="M45" i="66"/>
  <c r="F45" i="66"/>
  <c r="AA44" i="66"/>
  <c r="Z44" i="66"/>
  <c r="Y44" i="66"/>
  <c r="X44" i="66"/>
  <c r="W44" i="66"/>
  <c r="V44" i="66"/>
  <c r="U44" i="66"/>
  <c r="T44" i="66"/>
  <c r="S44" i="66"/>
  <c r="R44" i="66"/>
  <c r="Q44" i="66"/>
  <c r="P44" i="66"/>
  <c r="O44" i="66"/>
  <c r="N44" i="66"/>
  <c r="M44" i="66"/>
  <c r="F44" i="66"/>
  <c r="AA43" i="66"/>
  <c r="Z43" i="66"/>
  <c r="Y43" i="66"/>
  <c r="X43" i="66"/>
  <c r="W43" i="66"/>
  <c r="V43" i="66"/>
  <c r="U43" i="66"/>
  <c r="T43" i="66"/>
  <c r="S43" i="66"/>
  <c r="R43" i="66"/>
  <c r="Q43" i="66"/>
  <c r="P43" i="66"/>
  <c r="O43" i="66"/>
  <c r="N43" i="66"/>
  <c r="M43" i="66"/>
  <c r="F43" i="66"/>
  <c r="AA42" i="66"/>
  <c r="Z42" i="66"/>
  <c r="Y42" i="66"/>
  <c r="X42" i="66"/>
  <c r="W42" i="66"/>
  <c r="V42" i="66"/>
  <c r="U42" i="66"/>
  <c r="T42" i="66"/>
  <c r="S42" i="66"/>
  <c r="R42" i="66"/>
  <c r="Q42" i="66"/>
  <c r="P42" i="66"/>
  <c r="O42" i="66"/>
  <c r="N42" i="66"/>
  <c r="M42" i="66"/>
  <c r="F42" i="66"/>
  <c r="AA41" i="66"/>
  <c r="Z41" i="66"/>
  <c r="Y41" i="66"/>
  <c r="X41" i="66"/>
  <c r="W41" i="66"/>
  <c r="V41" i="66"/>
  <c r="U41" i="66"/>
  <c r="T41" i="66"/>
  <c r="S41" i="66"/>
  <c r="R41" i="66"/>
  <c r="Q41" i="66"/>
  <c r="P41" i="66"/>
  <c r="O41" i="66"/>
  <c r="N41" i="66"/>
  <c r="M41" i="66"/>
  <c r="F41" i="66"/>
  <c r="AA40" i="66"/>
  <c r="Z40" i="66"/>
  <c r="Y40" i="66"/>
  <c r="X40" i="66"/>
  <c r="W40" i="66"/>
  <c r="V40" i="66"/>
  <c r="U40" i="66"/>
  <c r="T40" i="66"/>
  <c r="S40" i="66"/>
  <c r="R40" i="66"/>
  <c r="Q40" i="66"/>
  <c r="P40" i="66"/>
  <c r="O40" i="66"/>
  <c r="N40" i="66"/>
  <c r="M40" i="66"/>
  <c r="F40" i="66"/>
  <c r="AA39" i="66"/>
  <c r="Z39" i="66"/>
  <c r="Y39" i="66"/>
  <c r="X39" i="66"/>
  <c r="W39" i="66"/>
  <c r="V39" i="66"/>
  <c r="U39" i="66"/>
  <c r="T39" i="66"/>
  <c r="S39" i="66"/>
  <c r="R39" i="66"/>
  <c r="Q39" i="66"/>
  <c r="P39" i="66"/>
  <c r="O39" i="66"/>
  <c r="N39" i="66"/>
  <c r="M39" i="66"/>
  <c r="F39" i="66"/>
  <c r="AA38" i="66"/>
  <c r="Z38" i="66"/>
  <c r="Y38" i="66"/>
  <c r="X38" i="66"/>
  <c r="W38" i="66"/>
  <c r="V38" i="66"/>
  <c r="U38" i="66"/>
  <c r="T38" i="66"/>
  <c r="S38" i="66"/>
  <c r="R38" i="66"/>
  <c r="Q38" i="66"/>
  <c r="P38" i="66"/>
  <c r="O38" i="66"/>
  <c r="N38" i="66"/>
  <c r="M38" i="66"/>
  <c r="F38" i="66"/>
  <c r="AA37" i="66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F37" i="66"/>
  <c r="AA36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F36" i="66"/>
  <c r="AA35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F35" i="66"/>
  <c r="AA34" i="66"/>
  <c r="Z34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F34" i="66"/>
  <c r="AA33" i="66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F33" i="66"/>
  <c r="AA32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F32" i="66"/>
  <c r="AA31" i="66"/>
  <c r="Z31" i="66"/>
  <c r="Y31" i="66"/>
  <c r="X31" i="66"/>
  <c r="W31" i="66"/>
  <c r="V31" i="66"/>
  <c r="U31" i="66"/>
  <c r="T31" i="66"/>
  <c r="S31" i="66"/>
  <c r="R31" i="66"/>
  <c r="Q31" i="66"/>
  <c r="P31" i="66"/>
  <c r="O31" i="66"/>
  <c r="N31" i="66"/>
  <c r="M31" i="66"/>
  <c r="F31" i="66"/>
  <c r="AA30" i="66"/>
  <c r="Z30" i="66"/>
  <c r="Y30" i="66"/>
  <c r="X30" i="66"/>
  <c r="W30" i="66"/>
  <c r="V30" i="66"/>
  <c r="U30" i="66"/>
  <c r="T30" i="66"/>
  <c r="S30" i="66"/>
  <c r="R30" i="66"/>
  <c r="Q30" i="66"/>
  <c r="P30" i="66"/>
  <c r="O30" i="66"/>
  <c r="N30" i="66"/>
  <c r="M30" i="66"/>
  <c r="F30" i="66"/>
  <c r="AA29" i="66"/>
  <c r="Z29" i="66"/>
  <c r="Y29" i="66"/>
  <c r="X29" i="66"/>
  <c r="W29" i="66"/>
  <c r="V29" i="66"/>
  <c r="U29" i="66"/>
  <c r="T29" i="66"/>
  <c r="S29" i="66"/>
  <c r="R29" i="66"/>
  <c r="Q29" i="66"/>
  <c r="P29" i="66"/>
  <c r="O29" i="66"/>
  <c r="N29" i="66"/>
  <c r="M29" i="66"/>
  <c r="F29" i="66"/>
  <c r="AA28" i="66"/>
  <c r="Z28" i="66"/>
  <c r="Y28" i="66"/>
  <c r="X28" i="66"/>
  <c r="W28" i="66"/>
  <c r="V28" i="66"/>
  <c r="U28" i="66"/>
  <c r="T28" i="66"/>
  <c r="S28" i="66"/>
  <c r="R28" i="66"/>
  <c r="Q28" i="66"/>
  <c r="P28" i="66"/>
  <c r="O28" i="66"/>
  <c r="N28" i="66"/>
  <c r="M28" i="66"/>
  <c r="F28" i="66"/>
  <c r="AA27" i="66"/>
  <c r="Z27" i="66"/>
  <c r="Y27" i="66"/>
  <c r="X27" i="66"/>
  <c r="W27" i="66"/>
  <c r="V27" i="66"/>
  <c r="U27" i="66"/>
  <c r="T27" i="66"/>
  <c r="S27" i="66"/>
  <c r="R27" i="66"/>
  <c r="Q27" i="66"/>
  <c r="P27" i="66"/>
  <c r="O27" i="66"/>
  <c r="N27" i="66"/>
  <c r="M27" i="66"/>
  <c r="F27" i="66"/>
  <c r="AA26" i="66"/>
  <c r="Z26" i="66"/>
  <c r="Y26" i="66"/>
  <c r="X26" i="66"/>
  <c r="W26" i="66"/>
  <c r="V26" i="66"/>
  <c r="U26" i="66"/>
  <c r="T26" i="66"/>
  <c r="S26" i="66"/>
  <c r="R26" i="66"/>
  <c r="Q26" i="66"/>
  <c r="P26" i="66"/>
  <c r="O26" i="66"/>
  <c r="N26" i="66"/>
  <c r="M26" i="66"/>
  <c r="F26" i="66"/>
  <c r="AA25" i="66"/>
  <c r="Z25" i="66"/>
  <c r="Y25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F25" i="66"/>
  <c r="AA24" i="66"/>
  <c r="Z24" i="66"/>
  <c r="Y24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F24" i="66"/>
  <c r="AA23" i="66"/>
  <c r="Z23" i="66"/>
  <c r="Y23" i="66"/>
  <c r="X23" i="66"/>
  <c r="W23" i="66"/>
  <c r="V23" i="66"/>
  <c r="U23" i="66"/>
  <c r="T23" i="66"/>
  <c r="S23" i="66"/>
  <c r="R23" i="66"/>
  <c r="Q23" i="66"/>
  <c r="P23" i="66"/>
  <c r="O23" i="66"/>
  <c r="N23" i="66"/>
  <c r="M23" i="66"/>
  <c r="F23" i="66"/>
  <c r="AA22" i="66"/>
  <c r="Z22" i="66"/>
  <c r="Y22" i="66"/>
  <c r="X22" i="66"/>
  <c r="W22" i="66"/>
  <c r="V22" i="66"/>
  <c r="U22" i="66"/>
  <c r="T22" i="66"/>
  <c r="S22" i="66"/>
  <c r="R22" i="66"/>
  <c r="Q22" i="66"/>
  <c r="P22" i="66"/>
  <c r="O22" i="66"/>
  <c r="N22" i="66"/>
  <c r="M22" i="66"/>
  <c r="F22" i="66"/>
  <c r="AA21" i="66"/>
  <c r="Z21" i="66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F21" i="66"/>
  <c r="AA20" i="66"/>
  <c r="Z20" i="66"/>
  <c r="Y20" i="66"/>
  <c r="X20" i="66"/>
  <c r="W20" i="66"/>
  <c r="V20" i="66"/>
  <c r="U20" i="66"/>
  <c r="T20" i="66"/>
  <c r="S20" i="66"/>
  <c r="R20" i="66"/>
  <c r="Q20" i="66"/>
  <c r="P20" i="66"/>
  <c r="O20" i="66"/>
  <c r="N20" i="66"/>
  <c r="M20" i="66"/>
  <c r="F20" i="66"/>
  <c r="AA19" i="66"/>
  <c r="Z19" i="66"/>
  <c r="Y19" i="66"/>
  <c r="X19" i="66"/>
  <c r="W19" i="66"/>
  <c r="V19" i="66"/>
  <c r="U19" i="66"/>
  <c r="T19" i="66"/>
  <c r="S19" i="66"/>
  <c r="R19" i="66"/>
  <c r="Q19" i="66"/>
  <c r="P19" i="66"/>
  <c r="O19" i="66"/>
  <c r="N19" i="66"/>
  <c r="M19" i="66"/>
  <c r="F19" i="66"/>
  <c r="AA18" i="66"/>
  <c r="Z18" i="66"/>
  <c r="Y18" i="66"/>
  <c r="X18" i="66"/>
  <c r="W18" i="66"/>
  <c r="V18" i="66"/>
  <c r="U18" i="66"/>
  <c r="T18" i="66"/>
  <c r="S18" i="66"/>
  <c r="R18" i="66"/>
  <c r="Q18" i="66"/>
  <c r="P18" i="66"/>
  <c r="O18" i="66"/>
  <c r="N18" i="66"/>
  <c r="M18" i="66"/>
  <c r="F18" i="66"/>
  <c r="AA17" i="66"/>
  <c r="Z17" i="66"/>
  <c r="Y17" i="66"/>
  <c r="X17" i="66"/>
  <c r="W17" i="66"/>
  <c r="V17" i="66"/>
  <c r="U17" i="66"/>
  <c r="T17" i="66"/>
  <c r="S17" i="66"/>
  <c r="R17" i="66"/>
  <c r="Q17" i="66"/>
  <c r="P17" i="66"/>
  <c r="O17" i="66"/>
  <c r="N17" i="66"/>
  <c r="M17" i="66"/>
  <c r="F17" i="66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F16" i="66"/>
  <c r="AA15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F15" i="66"/>
  <c r="AA14" i="66"/>
  <c r="Z14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F14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F13" i="66"/>
  <c r="AA12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F12" i="66"/>
  <c r="AA11" i="66"/>
  <c r="Z11" i="66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F11" i="66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M10" i="66"/>
  <c r="F10" i="66"/>
  <c r="AA9" i="66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F9" i="66"/>
  <c r="AA8" i="66"/>
  <c r="Z8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F8" i="66"/>
  <c r="AA7" i="66"/>
  <c r="Z7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F7" i="66"/>
  <c r="AA6" i="66"/>
  <c r="Z6" i="66"/>
  <c r="Y6" i="66"/>
  <c r="X6" i="66"/>
  <c r="W6" i="66"/>
  <c r="V6" i="66"/>
  <c r="U6" i="66"/>
  <c r="T6" i="66"/>
  <c r="S6" i="66"/>
  <c r="R6" i="66"/>
  <c r="Q6" i="66"/>
  <c r="P6" i="66"/>
  <c r="O6" i="66"/>
  <c r="N6" i="66"/>
  <c r="M6" i="66"/>
  <c r="F6" i="66"/>
  <c r="AA5" i="66"/>
  <c r="Z5" i="66"/>
  <c r="Y5" i="66"/>
  <c r="X5" i="66"/>
  <c r="W5" i="66"/>
  <c r="V5" i="66"/>
  <c r="U5" i="66"/>
  <c r="T5" i="66"/>
  <c r="S5" i="66"/>
  <c r="R5" i="66"/>
  <c r="Q5" i="66"/>
  <c r="P5" i="66"/>
  <c r="O5" i="66"/>
  <c r="N5" i="66"/>
  <c r="M5" i="66"/>
  <c r="F5" i="66"/>
  <c r="AA4" i="66"/>
  <c r="Z4" i="66"/>
  <c r="Y4" i="66"/>
  <c r="X4" i="66"/>
  <c r="W4" i="66"/>
  <c r="V4" i="66"/>
  <c r="U4" i="66"/>
  <c r="T4" i="66"/>
  <c r="S4" i="66"/>
  <c r="R4" i="66"/>
  <c r="Q4" i="66"/>
  <c r="P4" i="66"/>
  <c r="O4" i="66"/>
  <c r="N4" i="66"/>
  <c r="M4" i="66"/>
  <c r="F4" i="66"/>
  <c r="AA3" i="66"/>
  <c r="Z3" i="66"/>
  <c r="Y3" i="66"/>
  <c r="X3" i="66"/>
  <c r="W3" i="66"/>
  <c r="V3" i="66"/>
  <c r="U3" i="66"/>
  <c r="T3" i="66"/>
  <c r="S3" i="66"/>
  <c r="R3" i="66"/>
  <c r="Q3" i="66"/>
  <c r="P3" i="66"/>
  <c r="O3" i="66"/>
  <c r="N3" i="66"/>
  <c r="M3" i="66"/>
  <c r="M1" i="66" s="1"/>
  <c r="F3" i="66"/>
  <c r="AA1" i="66"/>
  <c r="AA102" i="65"/>
  <c r="Z102" i="65"/>
  <c r="Y102" i="65"/>
  <c r="X102" i="65"/>
  <c r="W102" i="65"/>
  <c r="V102" i="65"/>
  <c r="U102" i="65"/>
  <c r="T102" i="65"/>
  <c r="S102" i="65"/>
  <c r="R102" i="65"/>
  <c r="Q102" i="65"/>
  <c r="P102" i="65"/>
  <c r="O102" i="65"/>
  <c r="N102" i="65"/>
  <c r="M102" i="65"/>
  <c r="F102" i="65"/>
  <c r="AA101" i="65"/>
  <c r="Z101" i="65"/>
  <c r="Y101" i="65"/>
  <c r="X101" i="65"/>
  <c r="W101" i="65"/>
  <c r="V101" i="65"/>
  <c r="U101" i="65"/>
  <c r="T101" i="65"/>
  <c r="S101" i="65"/>
  <c r="R101" i="65"/>
  <c r="Q101" i="65"/>
  <c r="P101" i="65"/>
  <c r="O101" i="65"/>
  <c r="N101" i="65"/>
  <c r="M101" i="65"/>
  <c r="F101" i="65"/>
  <c r="AA100" i="65"/>
  <c r="Z100" i="65"/>
  <c r="Y100" i="65"/>
  <c r="X100" i="65"/>
  <c r="W100" i="65"/>
  <c r="V100" i="65"/>
  <c r="U100" i="65"/>
  <c r="T100" i="65"/>
  <c r="S100" i="65"/>
  <c r="R100" i="65"/>
  <c r="Q100" i="65"/>
  <c r="P100" i="65"/>
  <c r="O100" i="65"/>
  <c r="N100" i="65"/>
  <c r="M100" i="65"/>
  <c r="F100" i="65"/>
  <c r="AA99" i="65"/>
  <c r="Z99" i="65"/>
  <c r="Y99" i="65"/>
  <c r="X99" i="65"/>
  <c r="W99" i="65"/>
  <c r="V99" i="65"/>
  <c r="U99" i="65"/>
  <c r="T99" i="65"/>
  <c r="S99" i="65"/>
  <c r="R99" i="65"/>
  <c r="Q99" i="65"/>
  <c r="P99" i="65"/>
  <c r="O99" i="65"/>
  <c r="N99" i="65"/>
  <c r="M99" i="65"/>
  <c r="F99" i="65"/>
  <c r="AA98" i="65"/>
  <c r="Z98" i="65"/>
  <c r="Y98" i="65"/>
  <c r="X98" i="65"/>
  <c r="W98" i="65"/>
  <c r="V98" i="65"/>
  <c r="U98" i="65"/>
  <c r="T98" i="65"/>
  <c r="S98" i="65"/>
  <c r="R98" i="65"/>
  <c r="Q98" i="65"/>
  <c r="P98" i="65"/>
  <c r="O98" i="65"/>
  <c r="N98" i="65"/>
  <c r="M98" i="65"/>
  <c r="F98" i="65"/>
  <c r="AA97" i="65"/>
  <c r="Z97" i="65"/>
  <c r="Y97" i="65"/>
  <c r="X97" i="65"/>
  <c r="W97" i="65"/>
  <c r="V97" i="65"/>
  <c r="U97" i="65"/>
  <c r="T97" i="65"/>
  <c r="S97" i="65"/>
  <c r="R97" i="65"/>
  <c r="Q97" i="65"/>
  <c r="P97" i="65"/>
  <c r="O97" i="65"/>
  <c r="N97" i="65"/>
  <c r="M97" i="65"/>
  <c r="F97" i="65"/>
  <c r="AA96" i="65"/>
  <c r="Z96" i="65"/>
  <c r="Y96" i="65"/>
  <c r="X96" i="65"/>
  <c r="W96" i="65"/>
  <c r="V96" i="65"/>
  <c r="U96" i="65"/>
  <c r="T96" i="65"/>
  <c r="S96" i="65"/>
  <c r="R96" i="65"/>
  <c r="Q96" i="65"/>
  <c r="P96" i="65"/>
  <c r="O96" i="65"/>
  <c r="N96" i="65"/>
  <c r="M96" i="65"/>
  <c r="F96" i="65"/>
  <c r="AA95" i="65"/>
  <c r="Z95" i="65"/>
  <c r="Y95" i="65"/>
  <c r="X95" i="65"/>
  <c r="W95" i="65"/>
  <c r="V95" i="65"/>
  <c r="U95" i="65"/>
  <c r="T95" i="65"/>
  <c r="S95" i="65"/>
  <c r="R95" i="65"/>
  <c r="Q95" i="65"/>
  <c r="P95" i="65"/>
  <c r="O95" i="65"/>
  <c r="N95" i="65"/>
  <c r="M95" i="65"/>
  <c r="F95" i="65"/>
  <c r="AA94" i="65"/>
  <c r="Z94" i="65"/>
  <c r="Y94" i="65"/>
  <c r="X94" i="65"/>
  <c r="W94" i="65"/>
  <c r="V94" i="65"/>
  <c r="U94" i="65"/>
  <c r="T94" i="65"/>
  <c r="S94" i="65"/>
  <c r="R94" i="65"/>
  <c r="Q94" i="65"/>
  <c r="P94" i="65"/>
  <c r="O94" i="65"/>
  <c r="N94" i="65"/>
  <c r="M94" i="65"/>
  <c r="F94" i="65"/>
  <c r="AA93" i="65"/>
  <c r="Z93" i="65"/>
  <c r="Y93" i="65"/>
  <c r="X93" i="65"/>
  <c r="W93" i="65"/>
  <c r="V93" i="65"/>
  <c r="U93" i="65"/>
  <c r="T93" i="65"/>
  <c r="S93" i="65"/>
  <c r="R93" i="65"/>
  <c r="Q93" i="65"/>
  <c r="P93" i="65"/>
  <c r="O93" i="65"/>
  <c r="N93" i="65"/>
  <c r="M93" i="65"/>
  <c r="F93" i="65"/>
  <c r="AA92" i="65"/>
  <c r="Z92" i="65"/>
  <c r="Y92" i="65"/>
  <c r="X92" i="65"/>
  <c r="W92" i="65"/>
  <c r="V92" i="65"/>
  <c r="U92" i="65"/>
  <c r="T92" i="65"/>
  <c r="S92" i="65"/>
  <c r="R92" i="65"/>
  <c r="Q92" i="65"/>
  <c r="P92" i="65"/>
  <c r="O92" i="65"/>
  <c r="N92" i="65"/>
  <c r="M92" i="65"/>
  <c r="F92" i="65"/>
  <c r="AA91" i="65"/>
  <c r="Z91" i="65"/>
  <c r="Y91" i="65"/>
  <c r="X91" i="65"/>
  <c r="W91" i="65"/>
  <c r="V91" i="65"/>
  <c r="U91" i="65"/>
  <c r="T91" i="65"/>
  <c r="S91" i="65"/>
  <c r="R91" i="65"/>
  <c r="Q91" i="65"/>
  <c r="P91" i="65"/>
  <c r="O91" i="65"/>
  <c r="N91" i="65"/>
  <c r="M91" i="65"/>
  <c r="F91" i="65"/>
  <c r="AA90" i="65"/>
  <c r="Z90" i="65"/>
  <c r="Y90" i="65"/>
  <c r="X90" i="65"/>
  <c r="W90" i="65"/>
  <c r="V90" i="65"/>
  <c r="U90" i="65"/>
  <c r="T90" i="65"/>
  <c r="S90" i="65"/>
  <c r="R90" i="65"/>
  <c r="Q90" i="65"/>
  <c r="P90" i="65"/>
  <c r="O90" i="65"/>
  <c r="N90" i="65"/>
  <c r="M90" i="65"/>
  <c r="F90" i="65"/>
  <c r="AA89" i="65"/>
  <c r="Z89" i="65"/>
  <c r="Y89" i="65"/>
  <c r="X89" i="65"/>
  <c r="W89" i="65"/>
  <c r="V89" i="65"/>
  <c r="U89" i="65"/>
  <c r="T89" i="65"/>
  <c r="S89" i="65"/>
  <c r="R89" i="65"/>
  <c r="Q89" i="65"/>
  <c r="P89" i="65"/>
  <c r="O89" i="65"/>
  <c r="N89" i="65"/>
  <c r="M89" i="65"/>
  <c r="F89" i="65"/>
  <c r="AA88" i="65"/>
  <c r="Z88" i="65"/>
  <c r="Y88" i="65"/>
  <c r="X88" i="65"/>
  <c r="W88" i="65"/>
  <c r="V88" i="65"/>
  <c r="U88" i="65"/>
  <c r="T88" i="65"/>
  <c r="S88" i="65"/>
  <c r="R88" i="65"/>
  <c r="Q88" i="65"/>
  <c r="P88" i="65"/>
  <c r="O88" i="65"/>
  <c r="N88" i="65"/>
  <c r="M88" i="65"/>
  <c r="F88" i="65"/>
  <c r="AA87" i="65"/>
  <c r="Z87" i="65"/>
  <c r="Y87" i="65"/>
  <c r="X87" i="65"/>
  <c r="W87" i="65"/>
  <c r="V87" i="65"/>
  <c r="U87" i="65"/>
  <c r="T87" i="65"/>
  <c r="S87" i="65"/>
  <c r="R87" i="65"/>
  <c r="Q87" i="65"/>
  <c r="P87" i="65"/>
  <c r="O87" i="65"/>
  <c r="N87" i="65"/>
  <c r="M87" i="65"/>
  <c r="F87" i="65"/>
  <c r="AA86" i="65"/>
  <c r="Z86" i="65"/>
  <c r="Y86" i="65"/>
  <c r="X86" i="65"/>
  <c r="W86" i="65"/>
  <c r="V86" i="65"/>
  <c r="U86" i="65"/>
  <c r="T86" i="65"/>
  <c r="S86" i="65"/>
  <c r="R86" i="65"/>
  <c r="Q86" i="65"/>
  <c r="P86" i="65"/>
  <c r="O86" i="65"/>
  <c r="N86" i="65"/>
  <c r="M86" i="65"/>
  <c r="F86" i="65"/>
  <c r="AA85" i="65"/>
  <c r="Z85" i="65"/>
  <c r="Y85" i="65"/>
  <c r="X85" i="65"/>
  <c r="W85" i="65"/>
  <c r="V85" i="65"/>
  <c r="U85" i="65"/>
  <c r="T85" i="65"/>
  <c r="S85" i="65"/>
  <c r="R85" i="65"/>
  <c r="Q85" i="65"/>
  <c r="P85" i="65"/>
  <c r="O85" i="65"/>
  <c r="N85" i="65"/>
  <c r="M85" i="65"/>
  <c r="F85" i="65"/>
  <c r="AA84" i="65"/>
  <c r="Z84" i="65"/>
  <c r="Y84" i="65"/>
  <c r="X84" i="65"/>
  <c r="W84" i="65"/>
  <c r="V84" i="65"/>
  <c r="U84" i="65"/>
  <c r="T84" i="65"/>
  <c r="S84" i="65"/>
  <c r="R84" i="65"/>
  <c r="Q84" i="65"/>
  <c r="P84" i="65"/>
  <c r="O84" i="65"/>
  <c r="N84" i="65"/>
  <c r="M84" i="65"/>
  <c r="F84" i="65"/>
  <c r="AA83" i="65"/>
  <c r="Z83" i="65"/>
  <c r="Y83" i="65"/>
  <c r="X83" i="65"/>
  <c r="W83" i="65"/>
  <c r="V83" i="65"/>
  <c r="U83" i="65"/>
  <c r="T83" i="65"/>
  <c r="S83" i="65"/>
  <c r="R83" i="65"/>
  <c r="Q83" i="65"/>
  <c r="P83" i="65"/>
  <c r="O83" i="65"/>
  <c r="N83" i="65"/>
  <c r="M83" i="65"/>
  <c r="F83" i="65"/>
  <c r="AA82" i="65"/>
  <c r="Z82" i="65"/>
  <c r="Y82" i="65"/>
  <c r="X82" i="65"/>
  <c r="W82" i="65"/>
  <c r="V82" i="65"/>
  <c r="U82" i="65"/>
  <c r="T82" i="65"/>
  <c r="S82" i="65"/>
  <c r="R82" i="65"/>
  <c r="Q82" i="65"/>
  <c r="P82" i="65"/>
  <c r="O82" i="65"/>
  <c r="N82" i="65"/>
  <c r="M82" i="65"/>
  <c r="F82" i="65"/>
  <c r="AA81" i="65"/>
  <c r="Z81" i="65"/>
  <c r="Y81" i="65"/>
  <c r="X81" i="65"/>
  <c r="W81" i="65"/>
  <c r="V81" i="65"/>
  <c r="U81" i="65"/>
  <c r="T81" i="65"/>
  <c r="S81" i="65"/>
  <c r="R81" i="65"/>
  <c r="Q81" i="65"/>
  <c r="P81" i="65"/>
  <c r="O81" i="65"/>
  <c r="N81" i="65"/>
  <c r="M81" i="65"/>
  <c r="F81" i="65"/>
  <c r="AA80" i="65"/>
  <c r="Z80" i="65"/>
  <c r="Y80" i="65"/>
  <c r="X80" i="65"/>
  <c r="W80" i="65"/>
  <c r="V80" i="65"/>
  <c r="U80" i="65"/>
  <c r="T80" i="65"/>
  <c r="S80" i="65"/>
  <c r="R80" i="65"/>
  <c r="Q80" i="65"/>
  <c r="P80" i="65"/>
  <c r="O80" i="65"/>
  <c r="N80" i="65"/>
  <c r="M80" i="65"/>
  <c r="F80" i="65"/>
  <c r="AA79" i="65"/>
  <c r="Z79" i="65"/>
  <c r="Y79" i="65"/>
  <c r="X79" i="65"/>
  <c r="W79" i="65"/>
  <c r="V79" i="65"/>
  <c r="U79" i="65"/>
  <c r="T79" i="65"/>
  <c r="S79" i="65"/>
  <c r="R79" i="65"/>
  <c r="Q79" i="65"/>
  <c r="P79" i="65"/>
  <c r="O79" i="65"/>
  <c r="N79" i="65"/>
  <c r="M79" i="65"/>
  <c r="F79" i="65"/>
  <c r="AA78" i="65"/>
  <c r="Z78" i="65"/>
  <c r="Y78" i="65"/>
  <c r="X78" i="65"/>
  <c r="W78" i="65"/>
  <c r="V78" i="65"/>
  <c r="U78" i="65"/>
  <c r="T78" i="65"/>
  <c r="S78" i="65"/>
  <c r="R78" i="65"/>
  <c r="Q78" i="65"/>
  <c r="P78" i="65"/>
  <c r="O78" i="65"/>
  <c r="N78" i="65"/>
  <c r="M78" i="65"/>
  <c r="F78" i="65"/>
  <c r="AA77" i="65"/>
  <c r="Z77" i="65"/>
  <c r="Y77" i="65"/>
  <c r="X77" i="65"/>
  <c r="W77" i="65"/>
  <c r="V77" i="65"/>
  <c r="U77" i="65"/>
  <c r="T77" i="65"/>
  <c r="S77" i="65"/>
  <c r="R77" i="65"/>
  <c r="Q77" i="65"/>
  <c r="P77" i="65"/>
  <c r="O77" i="65"/>
  <c r="N77" i="65"/>
  <c r="M77" i="65"/>
  <c r="F77" i="65"/>
  <c r="AA76" i="65"/>
  <c r="Z76" i="65"/>
  <c r="Y76" i="65"/>
  <c r="X76" i="65"/>
  <c r="W76" i="65"/>
  <c r="V76" i="65"/>
  <c r="U76" i="65"/>
  <c r="T76" i="65"/>
  <c r="S76" i="65"/>
  <c r="R76" i="65"/>
  <c r="Q76" i="65"/>
  <c r="P76" i="65"/>
  <c r="O76" i="65"/>
  <c r="N76" i="65"/>
  <c r="M76" i="65"/>
  <c r="F76" i="65"/>
  <c r="AA75" i="65"/>
  <c r="Z75" i="65"/>
  <c r="Y75" i="65"/>
  <c r="X75" i="65"/>
  <c r="W75" i="65"/>
  <c r="V75" i="65"/>
  <c r="U75" i="65"/>
  <c r="T75" i="65"/>
  <c r="S75" i="65"/>
  <c r="R75" i="65"/>
  <c r="Q75" i="65"/>
  <c r="P75" i="65"/>
  <c r="O75" i="65"/>
  <c r="N75" i="65"/>
  <c r="M75" i="65"/>
  <c r="F75" i="65"/>
  <c r="AA74" i="65"/>
  <c r="Z74" i="65"/>
  <c r="Y74" i="65"/>
  <c r="X74" i="65"/>
  <c r="W74" i="65"/>
  <c r="V74" i="65"/>
  <c r="U74" i="65"/>
  <c r="T74" i="65"/>
  <c r="S74" i="65"/>
  <c r="R74" i="65"/>
  <c r="Q74" i="65"/>
  <c r="P74" i="65"/>
  <c r="O74" i="65"/>
  <c r="N74" i="65"/>
  <c r="M74" i="65"/>
  <c r="F74" i="65"/>
  <c r="AA73" i="65"/>
  <c r="Z73" i="65"/>
  <c r="Y73" i="65"/>
  <c r="X73" i="65"/>
  <c r="W73" i="65"/>
  <c r="V73" i="65"/>
  <c r="U73" i="65"/>
  <c r="T73" i="65"/>
  <c r="S73" i="65"/>
  <c r="R73" i="65"/>
  <c r="Q73" i="65"/>
  <c r="P73" i="65"/>
  <c r="O73" i="65"/>
  <c r="N73" i="65"/>
  <c r="M73" i="65"/>
  <c r="F73" i="65"/>
  <c r="AA72" i="65"/>
  <c r="Z72" i="65"/>
  <c r="Y72" i="65"/>
  <c r="X72" i="65"/>
  <c r="W72" i="65"/>
  <c r="V72" i="65"/>
  <c r="U72" i="65"/>
  <c r="T72" i="65"/>
  <c r="S72" i="65"/>
  <c r="R72" i="65"/>
  <c r="Q72" i="65"/>
  <c r="P72" i="65"/>
  <c r="O72" i="65"/>
  <c r="N72" i="65"/>
  <c r="M72" i="65"/>
  <c r="F72" i="65"/>
  <c r="AA71" i="65"/>
  <c r="Z71" i="65"/>
  <c r="Y71" i="65"/>
  <c r="X71" i="65"/>
  <c r="W71" i="65"/>
  <c r="V71" i="65"/>
  <c r="U71" i="65"/>
  <c r="T71" i="65"/>
  <c r="S71" i="65"/>
  <c r="R71" i="65"/>
  <c r="Q71" i="65"/>
  <c r="P71" i="65"/>
  <c r="O71" i="65"/>
  <c r="N71" i="65"/>
  <c r="M71" i="65"/>
  <c r="F71" i="65"/>
  <c r="AA70" i="65"/>
  <c r="Z70" i="65"/>
  <c r="Y70" i="65"/>
  <c r="X70" i="65"/>
  <c r="W70" i="65"/>
  <c r="V70" i="65"/>
  <c r="U70" i="65"/>
  <c r="T70" i="65"/>
  <c r="S70" i="65"/>
  <c r="R70" i="65"/>
  <c r="Q70" i="65"/>
  <c r="P70" i="65"/>
  <c r="O70" i="65"/>
  <c r="N70" i="65"/>
  <c r="M70" i="65"/>
  <c r="F70" i="65"/>
  <c r="AA69" i="65"/>
  <c r="Z69" i="65"/>
  <c r="Y69" i="65"/>
  <c r="X69" i="65"/>
  <c r="W69" i="65"/>
  <c r="V69" i="65"/>
  <c r="U69" i="65"/>
  <c r="T69" i="65"/>
  <c r="S69" i="65"/>
  <c r="R69" i="65"/>
  <c r="Q69" i="65"/>
  <c r="P69" i="65"/>
  <c r="O69" i="65"/>
  <c r="N69" i="65"/>
  <c r="M69" i="65"/>
  <c r="F69" i="65"/>
  <c r="AA68" i="65"/>
  <c r="Z68" i="65"/>
  <c r="Y68" i="65"/>
  <c r="X68" i="65"/>
  <c r="W68" i="65"/>
  <c r="V68" i="65"/>
  <c r="U68" i="65"/>
  <c r="T68" i="65"/>
  <c r="S68" i="65"/>
  <c r="R68" i="65"/>
  <c r="Q68" i="65"/>
  <c r="P68" i="65"/>
  <c r="O68" i="65"/>
  <c r="N68" i="65"/>
  <c r="M68" i="65"/>
  <c r="F68" i="65"/>
  <c r="AA67" i="65"/>
  <c r="Z67" i="65"/>
  <c r="Y67" i="65"/>
  <c r="X67" i="65"/>
  <c r="W67" i="65"/>
  <c r="V67" i="65"/>
  <c r="U67" i="65"/>
  <c r="T67" i="65"/>
  <c r="S67" i="65"/>
  <c r="R67" i="65"/>
  <c r="Q67" i="65"/>
  <c r="P67" i="65"/>
  <c r="O67" i="65"/>
  <c r="N67" i="65"/>
  <c r="M67" i="65"/>
  <c r="F67" i="65"/>
  <c r="AA66" i="65"/>
  <c r="Z66" i="65"/>
  <c r="Y66" i="65"/>
  <c r="X66" i="65"/>
  <c r="W66" i="65"/>
  <c r="V66" i="65"/>
  <c r="U66" i="65"/>
  <c r="T66" i="65"/>
  <c r="S66" i="65"/>
  <c r="R66" i="65"/>
  <c r="Q66" i="65"/>
  <c r="P66" i="65"/>
  <c r="O66" i="65"/>
  <c r="N66" i="65"/>
  <c r="M66" i="65"/>
  <c r="F66" i="65"/>
  <c r="AA65" i="65"/>
  <c r="Z65" i="65"/>
  <c r="Y65" i="65"/>
  <c r="X65" i="65"/>
  <c r="W65" i="65"/>
  <c r="V65" i="65"/>
  <c r="U65" i="65"/>
  <c r="T65" i="65"/>
  <c r="S65" i="65"/>
  <c r="R65" i="65"/>
  <c r="Q65" i="65"/>
  <c r="P65" i="65"/>
  <c r="O65" i="65"/>
  <c r="N65" i="65"/>
  <c r="M65" i="65"/>
  <c r="F65" i="65"/>
  <c r="AA64" i="65"/>
  <c r="Z64" i="65"/>
  <c r="Y64" i="65"/>
  <c r="X64" i="65"/>
  <c r="W64" i="65"/>
  <c r="V64" i="65"/>
  <c r="U64" i="65"/>
  <c r="T64" i="65"/>
  <c r="S64" i="65"/>
  <c r="R64" i="65"/>
  <c r="Q64" i="65"/>
  <c r="P64" i="65"/>
  <c r="O64" i="65"/>
  <c r="N64" i="65"/>
  <c r="M64" i="65"/>
  <c r="F64" i="65"/>
  <c r="AA63" i="65"/>
  <c r="Z63" i="65"/>
  <c r="Y63" i="65"/>
  <c r="X63" i="65"/>
  <c r="W63" i="65"/>
  <c r="V63" i="65"/>
  <c r="U63" i="65"/>
  <c r="T63" i="65"/>
  <c r="S63" i="65"/>
  <c r="R63" i="65"/>
  <c r="Q63" i="65"/>
  <c r="P63" i="65"/>
  <c r="O63" i="65"/>
  <c r="N63" i="65"/>
  <c r="M63" i="65"/>
  <c r="F63" i="65"/>
  <c r="AA62" i="65"/>
  <c r="Z62" i="65"/>
  <c r="Y62" i="65"/>
  <c r="X62" i="65"/>
  <c r="W62" i="65"/>
  <c r="V62" i="65"/>
  <c r="U62" i="65"/>
  <c r="T62" i="65"/>
  <c r="S62" i="65"/>
  <c r="R62" i="65"/>
  <c r="Q62" i="65"/>
  <c r="P62" i="65"/>
  <c r="O62" i="65"/>
  <c r="N62" i="65"/>
  <c r="M62" i="65"/>
  <c r="F62" i="65"/>
  <c r="AA61" i="65"/>
  <c r="Z61" i="65"/>
  <c r="Y61" i="65"/>
  <c r="X61" i="65"/>
  <c r="W61" i="65"/>
  <c r="V61" i="65"/>
  <c r="U61" i="65"/>
  <c r="T61" i="65"/>
  <c r="S61" i="65"/>
  <c r="R61" i="65"/>
  <c r="Q61" i="65"/>
  <c r="P61" i="65"/>
  <c r="O61" i="65"/>
  <c r="N61" i="65"/>
  <c r="M61" i="65"/>
  <c r="F61" i="65"/>
  <c r="AA60" i="65"/>
  <c r="Z60" i="65"/>
  <c r="Y60" i="65"/>
  <c r="X60" i="65"/>
  <c r="W60" i="65"/>
  <c r="V60" i="65"/>
  <c r="U60" i="65"/>
  <c r="T60" i="65"/>
  <c r="S60" i="65"/>
  <c r="R60" i="65"/>
  <c r="Q60" i="65"/>
  <c r="P60" i="65"/>
  <c r="O60" i="65"/>
  <c r="N60" i="65"/>
  <c r="M60" i="65"/>
  <c r="F60" i="65"/>
  <c r="AA59" i="65"/>
  <c r="Z59" i="65"/>
  <c r="Y59" i="65"/>
  <c r="X59" i="65"/>
  <c r="W59" i="65"/>
  <c r="V59" i="65"/>
  <c r="U59" i="65"/>
  <c r="T59" i="65"/>
  <c r="S59" i="65"/>
  <c r="R59" i="65"/>
  <c r="Q59" i="65"/>
  <c r="P59" i="65"/>
  <c r="O59" i="65"/>
  <c r="N59" i="65"/>
  <c r="M59" i="65"/>
  <c r="F59" i="65"/>
  <c r="AA58" i="65"/>
  <c r="Z58" i="65"/>
  <c r="Y58" i="65"/>
  <c r="X58" i="65"/>
  <c r="W58" i="65"/>
  <c r="V58" i="65"/>
  <c r="U58" i="65"/>
  <c r="T58" i="65"/>
  <c r="S58" i="65"/>
  <c r="R58" i="65"/>
  <c r="Q58" i="65"/>
  <c r="P58" i="65"/>
  <c r="O58" i="65"/>
  <c r="N58" i="65"/>
  <c r="M58" i="65"/>
  <c r="F58" i="65"/>
  <c r="AA57" i="65"/>
  <c r="Z57" i="65"/>
  <c r="Y57" i="65"/>
  <c r="X57" i="65"/>
  <c r="W57" i="65"/>
  <c r="V57" i="65"/>
  <c r="U57" i="65"/>
  <c r="T57" i="65"/>
  <c r="S57" i="65"/>
  <c r="R57" i="65"/>
  <c r="Q57" i="65"/>
  <c r="P57" i="65"/>
  <c r="O57" i="65"/>
  <c r="N57" i="65"/>
  <c r="M57" i="65"/>
  <c r="F57" i="65"/>
  <c r="AA56" i="65"/>
  <c r="Z56" i="65"/>
  <c r="Y56" i="65"/>
  <c r="X56" i="65"/>
  <c r="W56" i="65"/>
  <c r="V56" i="65"/>
  <c r="U56" i="65"/>
  <c r="T56" i="65"/>
  <c r="S56" i="65"/>
  <c r="R56" i="65"/>
  <c r="Q56" i="65"/>
  <c r="P56" i="65"/>
  <c r="O56" i="65"/>
  <c r="N56" i="65"/>
  <c r="M56" i="65"/>
  <c r="F56" i="65"/>
  <c r="AA55" i="65"/>
  <c r="Z55" i="65"/>
  <c r="Y55" i="65"/>
  <c r="X55" i="65"/>
  <c r="W55" i="65"/>
  <c r="V55" i="65"/>
  <c r="U55" i="65"/>
  <c r="T55" i="65"/>
  <c r="S55" i="65"/>
  <c r="R55" i="65"/>
  <c r="Q55" i="65"/>
  <c r="P55" i="65"/>
  <c r="O55" i="65"/>
  <c r="N55" i="65"/>
  <c r="M55" i="65"/>
  <c r="F55" i="65"/>
  <c r="AA54" i="65"/>
  <c r="Z54" i="65"/>
  <c r="Y54" i="65"/>
  <c r="X54" i="65"/>
  <c r="W54" i="65"/>
  <c r="V54" i="65"/>
  <c r="U54" i="65"/>
  <c r="T54" i="65"/>
  <c r="S54" i="65"/>
  <c r="R54" i="65"/>
  <c r="Q54" i="65"/>
  <c r="P54" i="65"/>
  <c r="O54" i="65"/>
  <c r="N54" i="65"/>
  <c r="M54" i="65"/>
  <c r="F54" i="65"/>
  <c r="AA53" i="65"/>
  <c r="Z53" i="65"/>
  <c r="Y53" i="65"/>
  <c r="X53" i="65"/>
  <c r="W53" i="65"/>
  <c r="V53" i="65"/>
  <c r="U53" i="65"/>
  <c r="T53" i="65"/>
  <c r="S53" i="65"/>
  <c r="R53" i="65"/>
  <c r="Q53" i="65"/>
  <c r="P53" i="65"/>
  <c r="O53" i="65"/>
  <c r="N53" i="65"/>
  <c r="M53" i="65"/>
  <c r="F53" i="65"/>
  <c r="AA52" i="65"/>
  <c r="Z52" i="65"/>
  <c r="Y52" i="65"/>
  <c r="X52" i="65"/>
  <c r="W52" i="65"/>
  <c r="V52" i="65"/>
  <c r="U52" i="65"/>
  <c r="T52" i="65"/>
  <c r="S52" i="65"/>
  <c r="R52" i="65"/>
  <c r="Q52" i="65"/>
  <c r="P52" i="65"/>
  <c r="O52" i="65"/>
  <c r="N52" i="65"/>
  <c r="M52" i="65"/>
  <c r="F52" i="65"/>
  <c r="AA51" i="65"/>
  <c r="Z51" i="65"/>
  <c r="Y51" i="65"/>
  <c r="X51" i="65"/>
  <c r="W51" i="65"/>
  <c r="V51" i="65"/>
  <c r="U51" i="65"/>
  <c r="T51" i="65"/>
  <c r="S51" i="65"/>
  <c r="R51" i="65"/>
  <c r="Q51" i="65"/>
  <c r="P51" i="65"/>
  <c r="O51" i="65"/>
  <c r="N51" i="65"/>
  <c r="M51" i="65"/>
  <c r="F51" i="65"/>
  <c r="AA50" i="65"/>
  <c r="Z50" i="65"/>
  <c r="Y50" i="65"/>
  <c r="X50" i="65"/>
  <c r="W50" i="65"/>
  <c r="V50" i="65"/>
  <c r="U50" i="65"/>
  <c r="T50" i="65"/>
  <c r="S50" i="65"/>
  <c r="R50" i="65"/>
  <c r="Q50" i="65"/>
  <c r="P50" i="65"/>
  <c r="O50" i="65"/>
  <c r="N50" i="65"/>
  <c r="M50" i="65"/>
  <c r="F50" i="65"/>
  <c r="AA49" i="65"/>
  <c r="Z49" i="65"/>
  <c r="Y49" i="65"/>
  <c r="X49" i="65"/>
  <c r="W49" i="65"/>
  <c r="V49" i="65"/>
  <c r="U49" i="65"/>
  <c r="T49" i="65"/>
  <c r="S49" i="65"/>
  <c r="R49" i="65"/>
  <c r="Q49" i="65"/>
  <c r="P49" i="65"/>
  <c r="O49" i="65"/>
  <c r="N49" i="65"/>
  <c r="M49" i="65"/>
  <c r="F49" i="65"/>
  <c r="AA48" i="65"/>
  <c r="Z48" i="65"/>
  <c r="Y48" i="65"/>
  <c r="X48" i="65"/>
  <c r="W48" i="65"/>
  <c r="V48" i="65"/>
  <c r="U48" i="65"/>
  <c r="T48" i="65"/>
  <c r="S48" i="65"/>
  <c r="R48" i="65"/>
  <c r="Q48" i="65"/>
  <c r="P48" i="65"/>
  <c r="O48" i="65"/>
  <c r="N48" i="65"/>
  <c r="M48" i="65"/>
  <c r="F48" i="65"/>
  <c r="AA47" i="65"/>
  <c r="Z47" i="65"/>
  <c r="Y47" i="65"/>
  <c r="X47" i="65"/>
  <c r="W47" i="65"/>
  <c r="V47" i="65"/>
  <c r="U47" i="65"/>
  <c r="T47" i="65"/>
  <c r="S47" i="65"/>
  <c r="R47" i="65"/>
  <c r="Q47" i="65"/>
  <c r="P47" i="65"/>
  <c r="O47" i="65"/>
  <c r="N47" i="65"/>
  <c r="M47" i="65"/>
  <c r="F47" i="65"/>
  <c r="AA46" i="65"/>
  <c r="Z46" i="65"/>
  <c r="Y46" i="65"/>
  <c r="X46" i="65"/>
  <c r="W46" i="65"/>
  <c r="V46" i="65"/>
  <c r="U46" i="65"/>
  <c r="T46" i="65"/>
  <c r="S46" i="65"/>
  <c r="R46" i="65"/>
  <c r="Q46" i="65"/>
  <c r="P46" i="65"/>
  <c r="O46" i="65"/>
  <c r="N46" i="65"/>
  <c r="M46" i="65"/>
  <c r="F46" i="65"/>
  <c r="AA45" i="65"/>
  <c r="Z45" i="65"/>
  <c r="Y45" i="65"/>
  <c r="X45" i="65"/>
  <c r="W45" i="65"/>
  <c r="V45" i="65"/>
  <c r="U45" i="65"/>
  <c r="T45" i="65"/>
  <c r="S45" i="65"/>
  <c r="R45" i="65"/>
  <c r="Q45" i="65"/>
  <c r="P45" i="65"/>
  <c r="O45" i="65"/>
  <c r="N45" i="65"/>
  <c r="M45" i="65"/>
  <c r="F45" i="65"/>
  <c r="AA44" i="65"/>
  <c r="Z44" i="65"/>
  <c r="Y44" i="65"/>
  <c r="X44" i="65"/>
  <c r="W44" i="65"/>
  <c r="V44" i="65"/>
  <c r="U44" i="65"/>
  <c r="T44" i="65"/>
  <c r="S44" i="65"/>
  <c r="R44" i="65"/>
  <c r="Q44" i="65"/>
  <c r="P44" i="65"/>
  <c r="O44" i="65"/>
  <c r="N44" i="65"/>
  <c r="M44" i="65"/>
  <c r="F44" i="65"/>
  <c r="AA43" i="65"/>
  <c r="Z43" i="65"/>
  <c r="Y43" i="65"/>
  <c r="X43" i="65"/>
  <c r="W43" i="65"/>
  <c r="V43" i="65"/>
  <c r="U43" i="65"/>
  <c r="T43" i="65"/>
  <c r="S43" i="65"/>
  <c r="R43" i="65"/>
  <c r="Q43" i="65"/>
  <c r="P43" i="65"/>
  <c r="O43" i="65"/>
  <c r="N43" i="65"/>
  <c r="M43" i="65"/>
  <c r="F43" i="65"/>
  <c r="AA42" i="65"/>
  <c r="Z42" i="65"/>
  <c r="Y42" i="65"/>
  <c r="X42" i="65"/>
  <c r="W42" i="65"/>
  <c r="V42" i="65"/>
  <c r="U42" i="65"/>
  <c r="T42" i="65"/>
  <c r="S42" i="65"/>
  <c r="R42" i="65"/>
  <c r="Q42" i="65"/>
  <c r="P42" i="65"/>
  <c r="O42" i="65"/>
  <c r="N42" i="65"/>
  <c r="M42" i="65"/>
  <c r="F42" i="65"/>
  <c r="AA41" i="65"/>
  <c r="Z41" i="65"/>
  <c r="Y41" i="65"/>
  <c r="X41" i="65"/>
  <c r="W41" i="65"/>
  <c r="V41" i="65"/>
  <c r="U41" i="65"/>
  <c r="T41" i="65"/>
  <c r="S41" i="65"/>
  <c r="R41" i="65"/>
  <c r="Q41" i="65"/>
  <c r="P41" i="65"/>
  <c r="O41" i="65"/>
  <c r="N41" i="65"/>
  <c r="M41" i="65"/>
  <c r="F41" i="65"/>
  <c r="AA40" i="65"/>
  <c r="Z40" i="65"/>
  <c r="Y40" i="65"/>
  <c r="X40" i="65"/>
  <c r="W40" i="65"/>
  <c r="V40" i="65"/>
  <c r="U40" i="65"/>
  <c r="T40" i="65"/>
  <c r="S40" i="65"/>
  <c r="R40" i="65"/>
  <c r="Q40" i="65"/>
  <c r="P40" i="65"/>
  <c r="O40" i="65"/>
  <c r="N40" i="65"/>
  <c r="M40" i="65"/>
  <c r="F40" i="65"/>
  <c r="AA39" i="65"/>
  <c r="Z39" i="65"/>
  <c r="Y39" i="65"/>
  <c r="X39" i="65"/>
  <c r="W39" i="65"/>
  <c r="V39" i="65"/>
  <c r="U39" i="65"/>
  <c r="T39" i="65"/>
  <c r="S39" i="65"/>
  <c r="R39" i="65"/>
  <c r="Q39" i="65"/>
  <c r="P39" i="65"/>
  <c r="O39" i="65"/>
  <c r="N39" i="65"/>
  <c r="M39" i="65"/>
  <c r="F39" i="65"/>
  <c r="AA38" i="65"/>
  <c r="Z38" i="65"/>
  <c r="Y38" i="65"/>
  <c r="X38" i="65"/>
  <c r="W38" i="65"/>
  <c r="V38" i="65"/>
  <c r="U38" i="65"/>
  <c r="T38" i="65"/>
  <c r="S38" i="65"/>
  <c r="R38" i="65"/>
  <c r="Q38" i="65"/>
  <c r="P38" i="65"/>
  <c r="O38" i="65"/>
  <c r="N38" i="65"/>
  <c r="M38" i="65"/>
  <c r="F38" i="65"/>
  <c r="AA37" i="65"/>
  <c r="Z37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F37" i="65"/>
  <c r="AA36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F36" i="65"/>
  <c r="AA35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F35" i="65"/>
  <c r="AA34" i="65"/>
  <c r="Z34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F34" i="65"/>
  <c r="AA33" i="65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F33" i="65"/>
  <c r="AA32" i="65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F32" i="65"/>
  <c r="AA31" i="65"/>
  <c r="Z31" i="65"/>
  <c r="Y31" i="65"/>
  <c r="X31" i="65"/>
  <c r="W31" i="65"/>
  <c r="V31" i="65"/>
  <c r="U31" i="65"/>
  <c r="T31" i="65"/>
  <c r="S31" i="65"/>
  <c r="R31" i="65"/>
  <c r="Q31" i="65"/>
  <c r="P31" i="65"/>
  <c r="O31" i="65"/>
  <c r="N31" i="65"/>
  <c r="M31" i="65"/>
  <c r="F31" i="65"/>
  <c r="AA30" i="65"/>
  <c r="Z30" i="65"/>
  <c r="Y30" i="65"/>
  <c r="X30" i="65"/>
  <c r="W30" i="65"/>
  <c r="V30" i="65"/>
  <c r="U30" i="65"/>
  <c r="T30" i="65"/>
  <c r="S30" i="65"/>
  <c r="R30" i="65"/>
  <c r="Q30" i="65"/>
  <c r="P30" i="65"/>
  <c r="O30" i="65"/>
  <c r="N30" i="65"/>
  <c r="M30" i="65"/>
  <c r="F30" i="65"/>
  <c r="AA29" i="65"/>
  <c r="Z29" i="65"/>
  <c r="Y29" i="65"/>
  <c r="X29" i="65"/>
  <c r="W29" i="65"/>
  <c r="V29" i="65"/>
  <c r="U29" i="65"/>
  <c r="T29" i="65"/>
  <c r="S29" i="65"/>
  <c r="R29" i="65"/>
  <c r="Q29" i="65"/>
  <c r="P29" i="65"/>
  <c r="O29" i="65"/>
  <c r="N29" i="65"/>
  <c r="M29" i="65"/>
  <c r="F29" i="65"/>
  <c r="AA28" i="65"/>
  <c r="Z28" i="65"/>
  <c r="Y28" i="65"/>
  <c r="X28" i="65"/>
  <c r="W28" i="65"/>
  <c r="V28" i="65"/>
  <c r="U28" i="65"/>
  <c r="T28" i="65"/>
  <c r="S28" i="65"/>
  <c r="R28" i="65"/>
  <c r="Q28" i="65"/>
  <c r="P28" i="65"/>
  <c r="O28" i="65"/>
  <c r="N28" i="65"/>
  <c r="M28" i="65"/>
  <c r="F28" i="65"/>
  <c r="AA27" i="65"/>
  <c r="Z27" i="65"/>
  <c r="Y27" i="65"/>
  <c r="X27" i="65"/>
  <c r="W27" i="65"/>
  <c r="V27" i="65"/>
  <c r="U27" i="65"/>
  <c r="T27" i="65"/>
  <c r="S27" i="65"/>
  <c r="R27" i="65"/>
  <c r="Q27" i="65"/>
  <c r="P27" i="65"/>
  <c r="O27" i="65"/>
  <c r="N27" i="65"/>
  <c r="M27" i="65"/>
  <c r="F27" i="65"/>
  <c r="AA26" i="65"/>
  <c r="Z26" i="65"/>
  <c r="Y26" i="65"/>
  <c r="X26" i="65"/>
  <c r="W26" i="65"/>
  <c r="V26" i="65"/>
  <c r="U26" i="65"/>
  <c r="T26" i="65"/>
  <c r="S26" i="65"/>
  <c r="R26" i="65"/>
  <c r="Q26" i="65"/>
  <c r="P26" i="65"/>
  <c r="O26" i="65"/>
  <c r="N26" i="65"/>
  <c r="M26" i="65"/>
  <c r="F26" i="65"/>
  <c r="AA25" i="65"/>
  <c r="Z25" i="65"/>
  <c r="Y25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F25" i="65"/>
  <c r="AA24" i="65"/>
  <c r="Z24" i="65"/>
  <c r="Y24" i="65"/>
  <c r="X24" i="65"/>
  <c r="W24" i="65"/>
  <c r="V24" i="65"/>
  <c r="U24" i="65"/>
  <c r="T24" i="65"/>
  <c r="S24" i="65"/>
  <c r="R24" i="65"/>
  <c r="Q24" i="65"/>
  <c r="P24" i="65"/>
  <c r="O24" i="65"/>
  <c r="N24" i="65"/>
  <c r="M24" i="65"/>
  <c r="F24" i="65"/>
  <c r="AA23" i="65"/>
  <c r="Z23" i="65"/>
  <c r="Y23" i="65"/>
  <c r="X23" i="65"/>
  <c r="W23" i="65"/>
  <c r="V23" i="65"/>
  <c r="U23" i="65"/>
  <c r="T23" i="65"/>
  <c r="S23" i="65"/>
  <c r="R23" i="65"/>
  <c r="Q23" i="65"/>
  <c r="P23" i="65"/>
  <c r="O23" i="65"/>
  <c r="N23" i="65"/>
  <c r="M23" i="65"/>
  <c r="F23" i="65"/>
  <c r="AA22" i="65"/>
  <c r="Z22" i="65"/>
  <c r="Y22" i="65"/>
  <c r="X22" i="65"/>
  <c r="W22" i="65"/>
  <c r="V22" i="65"/>
  <c r="U22" i="65"/>
  <c r="T22" i="65"/>
  <c r="S22" i="65"/>
  <c r="R22" i="65"/>
  <c r="Q22" i="65"/>
  <c r="P22" i="65"/>
  <c r="O22" i="65"/>
  <c r="N22" i="65"/>
  <c r="M22" i="65"/>
  <c r="F22" i="65"/>
  <c r="AA21" i="65"/>
  <c r="Z21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F21" i="65"/>
  <c r="AA20" i="65"/>
  <c r="Z20" i="65"/>
  <c r="Y20" i="65"/>
  <c r="X20" i="65"/>
  <c r="W20" i="65"/>
  <c r="V20" i="65"/>
  <c r="U20" i="65"/>
  <c r="T20" i="65"/>
  <c r="S20" i="65"/>
  <c r="R20" i="65"/>
  <c r="Q20" i="65"/>
  <c r="P20" i="65"/>
  <c r="O20" i="65"/>
  <c r="N20" i="65"/>
  <c r="M20" i="65"/>
  <c r="F20" i="65"/>
  <c r="AA19" i="65"/>
  <c r="Z19" i="65"/>
  <c r="Y19" i="65"/>
  <c r="X19" i="65"/>
  <c r="W19" i="65"/>
  <c r="V19" i="65"/>
  <c r="U19" i="65"/>
  <c r="T19" i="65"/>
  <c r="S19" i="65"/>
  <c r="R19" i="65"/>
  <c r="Q19" i="65"/>
  <c r="P19" i="65"/>
  <c r="O19" i="65"/>
  <c r="N19" i="65"/>
  <c r="M19" i="65"/>
  <c r="F19" i="65"/>
  <c r="AA18" i="65"/>
  <c r="Z18" i="65"/>
  <c r="Y18" i="65"/>
  <c r="X18" i="65"/>
  <c r="W18" i="65"/>
  <c r="V18" i="65"/>
  <c r="U18" i="65"/>
  <c r="T18" i="65"/>
  <c r="S18" i="65"/>
  <c r="R18" i="65"/>
  <c r="Q18" i="65"/>
  <c r="P18" i="65"/>
  <c r="O18" i="65"/>
  <c r="N18" i="65"/>
  <c r="M18" i="65"/>
  <c r="F18" i="65"/>
  <c r="AA17" i="65"/>
  <c r="Z17" i="65"/>
  <c r="Y17" i="65"/>
  <c r="X17" i="65"/>
  <c r="W17" i="65"/>
  <c r="V17" i="65"/>
  <c r="U17" i="65"/>
  <c r="T17" i="65"/>
  <c r="S17" i="65"/>
  <c r="R17" i="65"/>
  <c r="Q17" i="65"/>
  <c r="P17" i="65"/>
  <c r="O17" i="65"/>
  <c r="N17" i="65"/>
  <c r="M17" i="65"/>
  <c r="F17" i="65"/>
  <c r="AA16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F16" i="65"/>
  <c r="AA15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F15" i="65"/>
  <c r="AA14" i="65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F14" i="65"/>
  <c r="AA13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F13" i="65"/>
  <c r="AA12" i="65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F12" i="65"/>
  <c r="AA11" i="65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F11" i="65"/>
  <c r="AA10" i="65"/>
  <c r="Z10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M10" i="65"/>
  <c r="F10" i="65"/>
  <c r="AA9" i="65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F9" i="65"/>
  <c r="AA8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F8" i="65"/>
  <c r="AA7" i="65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F7" i="65"/>
  <c r="AA6" i="65"/>
  <c r="Z6" i="65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F6" i="65"/>
  <c r="AA5" i="65"/>
  <c r="Z5" i="65"/>
  <c r="Y5" i="65"/>
  <c r="X5" i="65"/>
  <c r="W5" i="65"/>
  <c r="V5" i="65"/>
  <c r="U5" i="65"/>
  <c r="T5" i="65"/>
  <c r="S5" i="65"/>
  <c r="R5" i="65"/>
  <c r="Q5" i="65"/>
  <c r="P5" i="65"/>
  <c r="O5" i="65"/>
  <c r="N5" i="65"/>
  <c r="M5" i="65"/>
  <c r="F5" i="65"/>
  <c r="AA4" i="65"/>
  <c r="Z4" i="65"/>
  <c r="Y4" i="65"/>
  <c r="X4" i="65"/>
  <c r="W4" i="65"/>
  <c r="V4" i="65"/>
  <c r="U4" i="65"/>
  <c r="T4" i="65"/>
  <c r="S4" i="65"/>
  <c r="R4" i="65"/>
  <c r="Q4" i="65"/>
  <c r="P4" i="65"/>
  <c r="O4" i="65"/>
  <c r="N4" i="65"/>
  <c r="M4" i="65"/>
  <c r="F4" i="65"/>
  <c r="AA3" i="65"/>
  <c r="Z3" i="65"/>
  <c r="Y3" i="65"/>
  <c r="X3" i="65"/>
  <c r="W3" i="65"/>
  <c r="V3" i="65"/>
  <c r="U3" i="65"/>
  <c r="T3" i="65"/>
  <c r="S3" i="65"/>
  <c r="R3" i="65"/>
  <c r="Q3" i="65"/>
  <c r="P3" i="65"/>
  <c r="O3" i="65"/>
  <c r="N3" i="65"/>
  <c r="M3" i="65"/>
  <c r="F3" i="65"/>
  <c r="AA1" i="65"/>
  <c r="AA102" i="64"/>
  <c r="Z102" i="64"/>
  <c r="Y102" i="64"/>
  <c r="X102" i="64"/>
  <c r="W102" i="64"/>
  <c r="V102" i="64"/>
  <c r="U102" i="64"/>
  <c r="T102" i="64"/>
  <c r="S102" i="64"/>
  <c r="R102" i="64"/>
  <c r="Q102" i="64"/>
  <c r="P102" i="64"/>
  <c r="O102" i="64"/>
  <c r="N102" i="64"/>
  <c r="M102" i="64"/>
  <c r="F102" i="64"/>
  <c r="AA101" i="64"/>
  <c r="Z101" i="64"/>
  <c r="Y101" i="64"/>
  <c r="X101" i="64"/>
  <c r="W101" i="64"/>
  <c r="V101" i="64"/>
  <c r="U101" i="64"/>
  <c r="T101" i="64"/>
  <c r="S101" i="64"/>
  <c r="R101" i="64"/>
  <c r="Q101" i="64"/>
  <c r="P101" i="64"/>
  <c r="O101" i="64"/>
  <c r="N101" i="64"/>
  <c r="M101" i="64"/>
  <c r="F101" i="64"/>
  <c r="AA100" i="64"/>
  <c r="Z100" i="64"/>
  <c r="Y100" i="64"/>
  <c r="X100" i="64"/>
  <c r="W100" i="64"/>
  <c r="V100" i="64"/>
  <c r="U100" i="64"/>
  <c r="T100" i="64"/>
  <c r="S100" i="64"/>
  <c r="R100" i="64"/>
  <c r="Q100" i="64"/>
  <c r="P100" i="64"/>
  <c r="O100" i="64"/>
  <c r="N100" i="64"/>
  <c r="M100" i="64"/>
  <c r="F100" i="64"/>
  <c r="AA99" i="64"/>
  <c r="Z99" i="64"/>
  <c r="Y99" i="64"/>
  <c r="X99" i="64"/>
  <c r="W99" i="64"/>
  <c r="V99" i="64"/>
  <c r="U99" i="64"/>
  <c r="T99" i="64"/>
  <c r="S99" i="64"/>
  <c r="R99" i="64"/>
  <c r="Q99" i="64"/>
  <c r="P99" i="64"/>
  <c r="O99" i="64"/>
  <c r="N99" i="64"/>
  <c r="M99" i="64"/>
  <c r="F99" i="64"/>
  <c r="AA98" i="64"/>
  <c r="Z98" i="64"/>
  <c r="Y98" i="64"/>
  <c r="X98" i="64"/>
  <c r="W98" i="64"/>
  <c r="V98" i="64"/>
  <c r="U98" i="64"/>
  <c r="T98" i="64"/>
  <c r="S98" i="64"/>
  <c r="R98" i="64"/>
  <c r="Q98" i="64"/>
  <c r="P98" i="64"/>
  <c r="O98" i="64"/>
  <c r="N98" i="64"/>
  <c r="M98" i="64"/>
  <c r="F98" i="64"/>
  <c r="AA97" i="64"/>
  <c r="Z97" i="64"/>
  <c r="Y97" i="64"/>
  <c r="X97" i="64"/>
  <c r="W97" i="64"/>
  <c r="V97" i="64"/>
  <c r="U97" i="64"/>
  <c r="T97" i="64"/>
  <c r="S97" i="64"/>
  <c r="R97" i="64"/>
  <c r="Q97" i="64"/>
  <c r="P97" i="64"/>
  <c r="O97" i="64"/>
  <c r="N97" i="64"/>
  <c r="M97" i="64"/>
  <c r="F97" i="64"/>
  <c r="AA96" i="64"/>
  <c r="Z96" i="64"/>
  <c r="Y96" i="64"/>
  <c r="X96" i="64"/>
  <c r="W96" i="64"/>
  <c r="V96" i="64"/>
  <c r="U96" i="64"/>
  <c r="T96" i="64"/>
  <c r="S96" i="64"/>
  <c r="R96" i="64"/>
  <c r="Q96" i="64"/>
  <c r="P96" i="64"/>
  <c r="O96" i="64"/>
  <c r="N96" i="64"/>
  <c r="M96" i="64"/>
  <c r="F96" i="64"/>
  <c r="AA95" i="64"/>
  <c r="Z95" i="64"/>
  <c r="Y95" i="64"/>
  <c r="X95" i="64"/>
  <c r="W95" i="64"/>
  <c r="V95" i="64"/>
  <c r="U95" i="64"/>
  <c r="T95" i="64"/>
  <c r="S95" i="64"/>
  <c r="R95" i="64"/>
  <c r="Q95" i="64"/>
  <c r="P95" i="64"/>
  <c r="O95" i="64"/>
  <c r="N95" i="64"/>
  <c r="M95" i="64"/>
  <c r="F95" i="64"/>
  <c r="AA94" i="64"/>
  <c r="Z94" i="64"/>
  <c r="Y94" i="64"/>
  <c r="X94" i="64"/>
  <c r="W94" i="64"/>
  <c r="V94" i="64"/>
  <c r="U94" i="64"/>
  <c r="T94" i="64"/>
  <c r="S94" i="64"/>
  <c r="R94" i="64"/>
  <c r="Q94" i="64"/>
  <c r="P94" i="64"/>
  <c r="O94" i="64"/>
  <c r="N94" i="64"/>
  <c r="M94" i="64"/>
  <c r="F94" i="64"/>
  <c r="AA93" i="64"/>
  <c r="Z93" i="64"/>
  <c r="Y93" i="64"/>
  <c r="X93" i="64"/>
  <c r="W93" i="64"/>
  <c r="V93" i="64"/>
  <c r="U93" i="64"/>
  <c r="T93" i="64"/>
  <c r="S93" i="64"/>
  <c r="R93" i="64"/>
  <c r="Q93" i="64"/>
  <c r="P93" i="64"/>
  <c r="O93" i="64"/>
  <c r="N93" i="64"/>
  <c r="M93" i="64"/>
  <c r="F93" i="64"/>
  <c r="AA92" i="64"/>
  <c r="Z92" i="64"/>
  <c r="Y92" i="64"/>
  <c r="X92" i="64"/>
  <c r="W92" i="64"/>
  <c r="V92" i="64"/>
  <c r="U92" i="64"/>
  <c r="T92" i="64"/>
  <c r="S92" i="64"/>
  <c r="R92" i="64"/>
  <c r="Q92" i="64"/>
  <c r="P92" i="64"/>
  <c r="O92" i="64"/>
  <c r="N92" i="64"/>
  <c r="M92" i="64"/>
  <c r="F92" i="64"/>
  <c r="AA91" i="64"/>
  <c r="Z91" i="64"/>
  <c r="Y91" i="64"/>
  <c r="X91" i="64"/>
  <c r="W91" i="64"/>
  <c r="V91" i="64"/>
  <c r="U91" i="64"/>
  <c r="T91" i="64"/>
  <c r="S91" i="64"/>
  <c r="R91" i="64"/>
  <c r="Q91" i="64"/>
  <c r="P91" i="64"/>
  <c r="O91" i="64"/>
  <c r="N91" i="64"/>
  <c r="M91" i="64"/>
  <c r="F91" i="64"/>
  <c r="AA90" i="64"/>
  <c r="Z90" i="64"/>
  <c r="Y90" i="64"/>
  <c r="X90" i="64"/>
  <c r="W90" i="64"/>
  <c r="V90" i="64"/>
  <c r="U90" i="64"/>
  <c r="T90" i="64"/>
  <c r="S90" i="64"/>
  <c r="R90" i="64"/>
  <c r="Q90" i="64"/>
  <c r="P90" i="64"/>
  <c r="O90" i="64"/>
  <c r="N90" i="64"/>
  <c r="M90" i="64"/>
  <c r="F90" i="64"/>
  <c r="AA89" i="64"/>
  <c r="Z89" i="64"/>
  <c r="Y89" i="64"/>
  <c r="X89" i="64"/>
  <c r="W89" i="64"/>
  <c r="V89" i="64"/>
  <c r="U89" i="64"/>
  <c r="T89" i="64"/>
  <c r="S89" i="64"/>
  <c r="R89" i="64"/>
  <c r="Q89" i="64"/>
  <c r="P89" i="64"/>
  <c r="O89" i="64"/>
  <c r="N89" i="64"/>
  <c r="M89" i="64"/>
  <c r="F89" i="64"/>
  <c r="AA88" i="64"/>
  <c r="Z88" i="64"/>
  <c r="Y88" i="64"/>
  <c r="X88" i="64"/>
  <c r="W88" i="64"/>
  <c r="V88" i="64"/>
  <c r="U88" i="64"/>
  <c r="T88" i="64"/>
  <c r="S88" i="64"/>
  <c r="R88" i="64"/>
  <c r="Q88" i="64"/>
  <c r="P88" i="64"/>
  <c r="O88" i="64"/>
  <c r="N88" i="64"/>
  <c r="M88" i="64"/>
  <c r="F88" i="64"/>
  <c r="AA87" i="64"/>
  <c r="Z87" i="64"/>
  <c r="Y87" i="64"/>
  <c r="X87" i="64"/>
  <c r="W87" i="64"/>
  <c r="V87" i="64"/>
  <c r="U87" i="64"/>
  <c r="T87" i="64"/>
  <c r="S87" i="64"/>
  <c r="R87" i="64"/>
  <c r="Q87" i="64"/>
  <c r="P87" i="64"/>
  <c r="O87" i="64"/>
  <c r="N87" i="64"/>
  <c r="M87" i="64"/>
  <c r="F87" i="64"/>
  <c r="AA86" i="64"/>
  <c r="Z86" i="64"/>
  <c r="Y86" i="64"/>
  <c r="X86" i="64"/>
  <c r="W86" i="64"/>
  <c r="V86" i="64"/>
  <c r="U86" i="64"/>
  <c r="T86" i="64"/>
  <c r="S86" i="64"/>
  <c r="R86" i="64"/>
  <c r="Q86" i="64"/>
  <c r="P86" i="64"/>
  <c r="O86" i="64"/>
  <c r="N86" i="64"/>
  <c r="M86" i="64"/>
  <c r="F86" i="64"/>
  <c r="AA85" i="64"/>
  <c r="Z85" i="64"/>
  <c r="Y85" i="64"/>
  <c r="X85" i="64"/>
  <c r="W85" i="64"/>
  <c r="V85" i="64"/>
  <c r="U85" i="64"/>
  <c r="T85" i="64"/>
  <c r="S85" i="64"/>
  <c r="R85" i="64"/>
  <c r="Q85" i="64"/>
  <c r="P85" i="64"/>
  <c r="O85" i="64"/>
  <c r="N85" i="64"/>
  <c r="M85" i="64"/>
  <c r="F85" i="64"/>
  <c r="AA84" i="64"/>
  <c r="Z84" i="64"/>
  <c r="Y84" i="64"/>
  <c r="X84" i="64"/>
  <c r="W84" i="64"/>
  <c r="V84" i="64"/>
  <c r="U84" i="64"/>
  <c r="T84" i="64"/>
  <c r="S84" i="64"/>
  <c r="R84" i="64"/>
  <c r="Q84" i="64"/>
  <c r="P84" i="64"/>
  <c r="O84" i="64"/>
  <c r="N84" i="64"/>
  <c r="M84" i="64"/>
  <c r="F84" i="64"/>
  <c r="AA83" i="64"/>
  <c r="Z83" i="64"/>
  <c r="Y83" i="64"/>
  <c r="X83" i="64"/>
  <c r="W83" i="64"/>
  <c r="V83" i="64"/>
  <c r="U83" i="64"/>
  <c r="T83" i="64"/>
  <c r="S83" i="64"/>
  <c r="R83" i="64"/>
  <c r="Q83" i="64"/>
  <c r="P83" i="64"/>
  <c r="O83" i="64"/>
  <c r="N83" i="64"/>
  <c r="M83" i="64"/>
  <c r="F83" i="64"/>
  <c r="AA82" i="64"/>
  <c r="Z82" i="64"/>
  <c r="Y82" i="64"/>
  <c r="X82" i="64"/>
  <c r="W82" i="64"/>
  <c r="V82" i="64"/>
  <c r="U82" i="64"/>
  <c r="T82" i="64"/>
  <c r="S82" i="64"/>
  <c r="R82" i="64"/>
  <c r="Q82" i="64"/>
  <c r="P82" i="64"/>
  <c r="O82" i="64"/>
  <c r="N82" i="64"/>
  <c r="M82" i="64"/>
  <c r="F82" i="64"/>
  <c r="AA81" i="64"/>
  <c r="Z81" i="64"/>
  <c r="Y81" i="64"/>
  <c r="X81" i="64"/>
  <c r="W81" i="64"/>
  <c r="V81" i="64"/>
  <c r="U81" i="64"/>
  <c r="T81" i="64"/>
  <c r="S81" i="64"/>
  <c r="R81" i="64"/>
  <c r="Q81" i="64"/>
  <c r="P81" i="64"/>
  <c r="O81" i="64"/>
  <c r="N81" i="64"/>
  <c r="M81" i="64"/>
  <c r="F81" i="64"/>
  <c r="AA80" i="64"/>
  <c r="Z80" i="64"/>
  <c r="Y80" i="64"/>
  <c r="X80" i="64"/>
  <c r="W80" i="64"/>
  <c r="V80" i="64"/>
  <c r="U80" i="64"/>
  <c r="T80" i="64"/>
  <c r="S80" i="64"/>
  <c r="R80" i="64"/>
  <c r="Q80" i="64"/>
  <c r="P80" i="64"/>
  <c r="O80" i="64"/>
  <c r="N80" i="64"/>
  <c r="M80" i="64"/>
  <c r="F80" i="64"/>
  <c r="AA79" i="64"/>
  <c r="Z79" i="64"/>
  <c r="Y79" i="64"/>
  <c r="X79" i="64"/>
  <c r="W79" i="64"/>
  <c r="V79" i="64"/>
  <c r="U79" i="64"/>
  <c r="T79" i="64"/>
  <c r="S79" i="64"/>
  <c r="R79" i="64"/>
  <c r="Q79" i="64"/>
  <c r="P79" i="64"/>
  <c r="O79" i="64"/>
  <c r="N79" i="64"/>
  <c r="M79" i="64"/>
  <c r="F79" i="64"/>
  <c r="AA78" i="64"/>
  <c r="Z78" i="64"/>
  <c r="Y78" i="64"/>
  <c r="X78" i="64"/>
  <c r="W78" i="64"/>
  <c r="V78" i="64"/>
  <c r="U78" i="64"/>
  <c r="T78" i="64"/>
  <c r="S78" i="64"/>
  <c r="R78" i="64"/>
  <c r="Q78" i="64"/>
  <c r="P78" i="64"/>
  <c r="O78" i="64"/>
  <c r="N78" i="64"/>
  <c r="M78" i="64"/>
  <c r="F78" i="64"/>
  <c r="AA77" i="64"/>
  <c r="Z77" i="64"/>
  <c r="Y77" i="64"/>
  <c r="X77" i="64"/>
  <c r="W77" i="64"/>
  <c r="V77" i="64"/>
  <c r="U77" i="64"/>
  <c r="T77" i="64"/>
  <c r="S77" i="64"/>
  <c r="R77" i="64"/>
  <c r="Q77" i="64"/>
  <c r="P77" i="64"/>
  <c r="O77" i="64"/>
  <c r="N77" i="64"/>
  <c r="M77" i="64"/>
  <c r="F77" i="64"/>
  <c r="AA76" i="64"/>
  <c r="Z76" i="64"/>
  <c r="Y76" i="64"/>
  <c r="X76" i="64"/>
  <c r="W76" i="64"/>
  <c r="V76" i="64"/>
  <c r="U76" i="64"/>
  <c r="T76" i="64"/>
  <c r="S76" i="64"/>
  <c r="R76" i="64"/>
  <c r="Q76" i="64"/>
  <c r="P76" i="64"/>
  <c r="O76" i="64"/>
  <c r="N76" i="64"/>
  <c r="M76" i="64"/>
  <c r="F76" i="64"/>
  <c r="AA75" i="64"/>
  <c r="Z75" i="64"/>
  <c r="Y75" i="64"/>
  <c r="X75" i="64"/>
  <c r="W75" i="64"/>
  <c r="V75" i="64"/>
  <c r="U75" i="64"/>
  <c r="T75" i="64"/>
  <c r="S75" i="64"/>
  <c r="R75" i="64"/>
  <c r="Q75" i="64"/>
  <c r="P75" i="64"/>
  <c r="O75" i="64"/>
  <c r="N75" i="64"/>
  <c r="M75" i="64"/>
  <c r="F75" i="64"/>
  <c r="AA74" i="64"/>
  <c r="Z74" i="64"/>
  <c r="Y74" i="64"/>
  <c r="X74" i="64"/>
  <c r="W74" i="64"/>
  <c r="V74" i="64"/>
  <c r="U74" i="64"/>
  <c r="T74" i="64"/>
  <c r="S74" i="64"/>
  <c r="R74" i="64"/>
  <c r="Q74" i="64"/>
  <c r="P74" i="64"/>
  <c r="O74" i="64"/>
  <c r="N74" i="64"/>
  <c r="M74" i="64"/>
  <c r="F74" i="64"/>
  <c r="AA73" i="64"/>
  <c r="Z73" i="64"/>
  <c r="Y73" i="64"/>
  <c r="X73" i="64"/>
  <c r="W73" i="64"/>
  <c r="V73" i="64"/>
  <c r="U73" i="64"/>
  <c r="T73" i="64"/>
  <c r="S73" i="64"/>
  <c r="R73" i="64"/>
  <c r="Q73" i="64"/>
  <c r="P73" i="64"/>
  <c r="O73" i="64"/>
  <c r="N73" i="64"/>
  <c r="M73" i="64"/>
  <c r="F73" i="64"/>
  <c r="AA72" i="64"/>
  <c r="Z72" i="64"/>
  <c r="Y72" i="64"/>
  <c r="X72" i="64"/>
  <c r="W72" i="64"/>
  <c r="V72" i="64"/>
  <c r="U72" i="64"/>
  <c r="T72" i="64"/>
  <c r="S72" i="64"/>
  <c r="R72" i="64"/>
  <c r="Q72" i="64"/>
  <c r="P72" i="64"/>
  <c r="O72" i="64"/>
  <c r="N72" i="64"/>
  <c r="M72" i="64"/>
  <c r="F72" i="64"/>
  <c r="AA71" i="64"/>
  <c r="Z71" i="64"/>
  <c r="Y71" i="64"/>
  <c r="X71" i="64"/>
  <c r="W71" i="64"/>
  <c r="V71" i="64"/>
  <c r="U71" i="64"/>
  <c r="T71" i="64"/>
  <c r="S71" i="64"/>
  <c r="R71" i="64"/>
  <c r="Q71" i="64"/>
  <c r="P71" i="64"/>
  <c r="O71" i="64"/>
  <c r="N71" i="64"/>
  <c r="M71" i="64"/>
  <c r="F71" i="64"/>
  <c r="AA70" i="64"/>
  <c r="Z70" i="64"/>
  <c r="Y70" i="64"/>
  <c r="X70" i="64"/>
  <c r="W70" i="64"/>
  <c r="V70" i="64"/>
  <c r="U70" i="64"/>
  <c r="T70" i="64"/>
  <c r="S70" i="64"/>
  <c r="R70" i="64"/>
  <c r="Q70" i="64"/>
  <c r="P70" i="64"/>
  <c r="O70" i="64"/>
  <c r="N70" i="64"/>
  <c r="M70" i="64"/>
  <c r="F70" i="64"/>
  <c r="AA69" i="64"/>
  <c r="Z69" i="64"/>
  <c r="Y69" i="64"/>
  <c r="X69" i="64"/>
  <c r="W69" i="64"/>
  <c r="V69" i="64"/>
  <c r="U69" i="64"/>
  <c r="T69" i="64"/>
  <c r="S69" i="64"/>
  <c r="R69" i="64"/>
  <c r="Q69" i="64"/>
  <c r="P69" i="64"/>
  <c r="O69" i="64"/>
  <c r="N69" i="64"/>
  <c r="M69" i="64"/>
  <c r="F69" i="64"/>
  <c r="AA68" i="64"/>
  <c r="Z68" i="64"/>
  <c r="Y68" i="64"/>
  <c r="X68" i="64"/>
  <c r="W68" i="64"/>
  <c r="V68" i="64"/>
  <c r="U68" i="64"/>
  <c r="T68" i="64"/>
  <c r="S68" i="64"/>
  <c r="R68" i="64"/>
  <c r="Q68" i="64"/>
  <c r="P68" i="64"/>
  <c r="O68" i="64"/>
  <c r="N68" i="64"/>
  <c r="M68" i="64"/>
  <c r="F68" i="64"/>
  <c r="AA67" i="64"/>
  <c r="Z67" i="64"/>
  <c r="Y67" i="64"/>
  <c r="X67" i="64"/>
  <c r="W67" i="64"/>
  <c r="V67" i="64"/>
  <c r="U67" i="64"/>
  <c r="T67" i="64"/>
  <c r="S67" i="64"/>
  <c r="R67" i="64"/>
  <c r="Q67" i="64"/>
  <c r="P67" i="64"/>
  <c r="O67" i="64"/>
  <c r="N67" i="64"/>
  <c r="M67" i="64"/>
  <c r="F67" i="64"/>
  <c r="AA66" i="64"/>
  <c r="Z66" i="64"/>
  <c r="Y66" i="64"/>
  <c r="X66" i="64"/>
  <c r="W66" i="64"/>
  <c r="V66" i="64"/>
  <c r="U66" i="64"/>
  <c r="T66" i="64"/>
  <c r="S66" i="64"/>
  <c r="R66" i="64"/>
  <c r="Q66" i="64"/>
  <c r="P66" i="64"/>
  <c r="O66" i="64"/>
  <c r="N66" i="64"/>
  <c r="M66" i="64"/>
  <c r="F66" i="64"/>
  <c r="AA65" i="64"/>
  <c r="Z65" i="64"/>
  <c r="Y65" i="64"/>
  <c r="X65" i="64"/>
  <c r="W65" i="64"/>
  <c r="V65" i="64"/>
  <c r="U65" i="64"/>
  <c r="T65" i="64"/>
  <c r="S65" i="64"/>
  <c r="R65" i="64"/>
  <c r="Q65" i="64"/>
  <c r="P65" i="64"/>
  <c r="O65" i="64"/>
  <c r="N65" i="64"/>
  <c r="M65" i="64"/>
  <c r="F65" i="64"/>
  <c r="AA64" i="64"/>
  <c r="Z64" i="64"/>
  <c r="Y64" i="64"/>
  <c r="X64" i="64"/>
  <c r="W64" i="64"/>
  <c r="V64" i="64"/>
  <c r="U64" i="64"/>
  <c r="T64" i="64"/>
  <c r="S64" i="64"/>
  <c r="R64" i="64"/>
  <c r="Q64" i="64"/>
  <c r="P64" i="64"/>
  <c r="O64" i="64"/>
  <c r="N64" i="64"/>
  <c r="M64" i="64"/>
  <c r="F64" i="64"/>
  <c r="AA63" i="64"/>
  <c r="Z63" i="64"/>
  <c r="Y63" i="64"/>
  <c r="X63" i="64"/>
  <c r="W63" i="64"/>
  <c r="V63" i="64"/>
  <c r="U63" i="64"/>
  <c r="T63" i="64"/>
  <c r="S63" i="64"/>
  <c r="R63" i="64"/>
  <c r="Q63" i="64"/>
  <c r="P63" i="64"/>
  <c r="O63" i="64"/>
  <c r="N63" i="64"/>
  <c r="M63" i="64"/>
  <c r="F63" i="64"/>
  <c r="AA62" i="64"/>
  <c r="Z62" i="64"/>
  <c r="Y62" i="64"/>
  <c r="X62" i="64"/>
  <c r="W62" i="64"/>
  <c r="V62" i="64"/>
  <c r="U62" i="64"/>
  <c r="T62" i="64"/>
  <c r="S62" i="64"/>
  <c r="R62" i="64"/>
  <c r="Q62" i="64"/>
  <c r="P62" i="64"/>
  <c r="O62" i="64"/>
  <c r="N62" i="64"/>
  <c r="M62" i="64"/>
  <c r="F62" i="64"/>
  <c r="AA61" i="64"/>
  <c r="Z61" i="64"/>
  <c r="Y61" i="64"/>
  <c r="X61" i="64"/>
  <c r="W61" i="64"/>
  <c r="V61" i="64"/>
  <c r="U61" i="64"/>
  <c r="T61" i="64"/>
  <c r="S61" i="64"/>
  <c r="R61" i="64"/>
  <c r="Q61" i="64"/>
  <c r="P61" i="64"/>
  <c r="O61" i="64"/>
  <c r="N61" i="64"/>
  <c r="M61" i="64"/>
  <c r="F61" i="64"/>
  <c r="AA60" i="64"/>
  <c r="Z60" i="64"/>
  <c r="Y60" i="64"/>
  <c r="X60" i="64"/>
  <c r="W60" i="64"/>
  <c r="V60" i="64"/>
  <c r="U60" i="64"/>
  <c r="T60" i="64"/>
  <c r="S60" i="64"/>
  <c r="R60" i="64"/>
  <c r="Q60" i="64"/>
  <c r="P60" i="64"/>
  <c r="O60" i="64"/>
  <c r="N60" i="64"/>
  <c r="M60" i="64"/>
  <c r="F60" i="64"/>
  <c r="AA59" i="64"/>
  <c r="Z59" i="64"/>
  <c r="Y59" i="64"/>
  <c r="X59" i="64"/>
  <c r="W59" i="64"/>
  <c r="V59" i="64"/>
  <c r="U59" i="64"/>
  <c r="T59" i="64"/>
  <c r="S59" i="64"/>
  <c r="R59" i="64"/>
  <c r="Q59" i="64"/>
  <c r="P59" i="64"/>
  <c r="O59" i="64"/>
  <c r="N59" i="64"/>
  <c r="M59" i="64"/>
  <c r="F59" i="64"/>
  <c r="AA58" i="64"/>
  <c r="Z58" i="64"/>
  <c r="Y58" i="64"/>
  <c r="X58" i="64"/>
  <c r="W58" i="64"/>
  <c r="V58" i="64"/>
  <c r="U58" i="64"/>
  <c r="T58" i="64"/>
  <c r="S58" i="64"/>
  <c r="R58" i="64"/>
  <c r="Q58" i="64"/>
  <c r="P58" i="64"/>
  <c r="O58" i="64"/>
  <c r="N58" i="64"/>
  <c r="M58" i="64"/>
  <c r="F58" i="64"/>
  <c r="AA57" i="64"/>
  <c r="Z57" i="64"/>
  <c r="Y57" i="64"/>
  <c r="X57" i="64"/>
  <c r="W57" i="64"/>
  <c r="V57" i="64"/>
  <c r="U57" i="64"/>
  <c r="T57" i="64"/>
  <c r="S57" i="64"/>
  <c r="R57" i="64"/>
  <c r="Q57" i="64"/>
  <c r="P57" i="64"/>
  <c r="O57" i="64"/>
  <c r="N57" i="64"/>
  <c r="M57" i="64"/>
  <c r="F57" i="64"/>
  <c r="AA56" i="64"/>
  <c r="Z56" i="64"/>
  <c r="Y56" i="64"/>
  <c r="X56" i="64"/>
  <c r="W56" i="64"/>
  <c r="V56" i="64"/>
  <c r="U56" i="64"/>
  <c r="T56" i="64"/>
  <c r="S56" i="64"/>
  <c r="R56" i="64"/>
  <c r="Q56" i="64"/>
  <c r="P56" i="64"/>
  <c r="O56" i="64"/>
  <c r="N56" i="64"/>
  <c r="M56" i="64"/>
  <c r="F56" i="64"/>
  <c r="AA55" i="64"/>
  <c r="Z55" i="64"/>
  <c r="Y55" i="64"/>
  <c r="X55" i="64"/>
  <c r="W55" i="64"/>
  <c r="V55" i="64"/>
  <c r="U55" i="64"/>
  <c r="T55" i="64"/>
  <c r="S55" i="64"/>
  <c r="R55" i="64"/>
  <c r="Q55" i="64"/>
  <c r="P55" i="64"/>
  <c r="O55" i="64"/>
  <c r="N55" i="64"/>
  <c r="M55" i="64"/>
  <c r="F55" i="64"/>
  <c r="AA54" i="64"/>
  <c r="Z54" i="64"/>
  <c r="Y54" i="64"/>
  <c r="X54" i="64"/>
  <c r="W54" i="64"/>
  <c r="V54" i="64"/>
  <c r="U54" i="64"/>
  <c r="T54" i="64"/>
  <c r="S54" i="64"/>
  <c r="R54" i="64"/>
  <c r="Q54" i="64"/>
  <c r="P54" i="64"/>
  <c r="O54" i="64"/>
  <c r="N54" i="64"/>
  <c r="M54" i="64"/>
  <c r="F54" i="64"/>
  <c r="AA53" i="64"/>
  <c r="Z53" i="64"/>
  <c r="Y53" i="64"/>
  <c r="X53" i="64"/>
  <c r="W53" i="64"/>
  <c r="V53" i="64"/>
  <c r="U53" i="64"/>
  <c r="T53" i="64"/>
  <c r="S53" i="64"/>
  <c r="R53" i="64"/>
  <c r="Q53" i="64"/>
  <c r="P53" i="64"/>
  <c r="O53" i="64"/>
  <c r="N53" i="64"/>
  <c r="M53" i="64"/>
  <c r="F53" i="64"/>
  <c r="AA52" i="64"/>
  <c r="Z52" i="64"/>
  <c r="Y52" i="64"/>
  <c r="X52" i="64"/>
  <c r="W52" i="64"/>
  <c r="V52" i="64"/>
  <c r="U52" i="64"/>
  <c r="T52" i="64"/>
  <c r="S52" i="64"/>
  <c r="R52" i="64"/>
  <c r="Q52" i="64"/>
  <c r="P52" i="64"/>
  <c r="O52" i="64"/>
  <c r="N52" i="64"/>
  <c r="M52" i="64"/>
  <c r="F52" i="64"/>
  <c r="AA51" i="64"/>
  <c r="Z51" i="64"/>
  <c r="Y51" i="64"/>
  <c r="X51" i="64"/>
  <c r="W51" i="64"/>
  <c r="V51" i="64"/>
  <c r="U51" i="64"/>
  <c r="T51" i="64"/>
  <c r="S51" i="64"/>
  <c r="R51" i="64"/>
  <c r="Q51" i="64"/>
  <c r="P51" i="64"/>
  <c r="O51" i="64"/>
  <c r="N51" i="64"/>
  <c r="M51" i="64"/>
  <c r="F51" i="64"/>
  <c r="AA50" i="64"/>
  <c r="Z50" i="64"/>
  <c r="Y50" i="64"/>
  <c r="X50" i="64"/>
  <c r="W50" i="64"/>
  <c r="V50" i="64"/>
  <c r="U50" i="64"/>
  <c r="T50" i="64"/>
  <c r="S50" i="64"/>
  <c r="R50" i="64"/>
  <c r="Q50" i="64"/>
  <c r="P50" i="64"/>
  <c r="O50" i="64"/>
  <c r="N50" i="64"/>
  <c r="M50" i="64"/>
  <c r="F50" i="64"/>
  <c r="AA49" i="64"/>
  <c r="Z49" i="64"/>
  <c r="Y49" i="64"/>
  <c r="X49" i="64"/>
  <c r="W49" i="64"/>
  <c r="V49" i="64"/>
  <c r="U49" i="64"/>
  <c r="T49" i="64"/>
  <c r="S49" i="64"/>
  <c r="R49" i="64"/>
  <c r="Q49" i="64"/>
  <c r="P49" i="64"/>
  <c r="O49" i="64"/>
  <c r="N49" i="64"/>
  <c r="M49" i="64"/>
  <c r="F49" i="64"/>
  <c r="AA48" i="64"/>
  <c r="Z48" i="64"/>
  <c r="Y48" i="64"/>
  <c r="X48" i="64"/>
  <c r="W48" i="64"/>
  <c r="V48" i="64"/>
  <c r="U48" i="64"/>
  <c r="T48" i="64"/>
  <c r="S48" i="64"/>
  <c r="R48" i="64"/>
  <c r="Q48" i="64"/>
  <c r="P48" i="64"/>
  <c r="O48" i="64"/>
  <c r="N48" i="64"/>
  <c r="M48" i="64"/>
  <c r="F48" i="64"/>
  <c r="AA47" i="64"/>
  <c r="Z47" i="64"/>
  <c r="Y47" i="64"/>
  <c r="X47" i="64"/>
  <c r="W47" i="64"/>
  <c r="V47" i="64"/>
  <c r="U47" i="64"/>
  <c r="T47" i="64"/>
  <c r="S47" i="64"/>
  <c r="R47" i="64"/>
  <c r="Q47" i="64"/>
  <c r="P47" i="64"/>
  <c r="O47" i="64"/>
  <c r="N47" i="64"/>
  <c r="M47" i="64"/>
  <c r="F47" i="64"/>
  <c r="AA46" i="64"/>
  <c r="Z46" i="64"/>
  <c r="Y46" i="64"/>
  <c r="X46" i="64"/>
  <c r="W46" i="64"/>
  <c r="V46" i="64"/>
  <c r="U46" i="64"/>
  <c r="T46" i="64"/>
  <c r="S46" i="64"/>
  <c r="R46" i="64"/>
  <c r="Q46" i="64"/>
  <c r="P46" i="64"/>
  <c r="O46" i="64"/>
  <c r="N46" i="64"/>
  <c r="M46" i="64"/>
  <c r="F46" i="64"/>
  <c r="AA45" i="64"/>
  <c r="Z45" i="64"/>
  <c r="Y45" i="64"/>
  <c r="X45" i="64"/>
  <c r="W45" i="64"/>
  <c r="V45" i="64"/>
  <c r="U45" i="64"/>
  <c r="T45" i="64"/>
  <c r="S45" i="64"/>
  <c r="R45" i="64"/>
  <c r="Q45" i="64"/>
  <c r="P45" i="64"/>
  <c r="O45" i="64"/>
  <c r="N45" i="64"/>
  <c r="M45" i="64"/>
  <c r="F45" i="64"/>
  <c r="AA44" i="64"/>
  <c r="Z44" i="64"/>
  <c r="Y44" i="64"/>
  <c r="X44" i="64"/>
  <c r="W44" i="64"/>
  <c r="V44" i="64"/>
  <c r="U44" i="64"/>
  <c r="T44" i="64"/>
  <c r="S44" i="64"/>
  <c r="R44" i="64"/>
  <c r="Q44" i="64"/>
  <c r="P44" i="64"/>
  <c r="O44" i="64"/>
  <c r="N44" i="64"/>
  <c r="M44" i="64"/>
  <c r="F44" i="64"/>
  <c r="AA43" i="64"/>
  <c r="Z43" i="64"/>
  <c r="Y43" i="64"/>
  <c r="X43" i="64"/>
  <c r="W43" i="64"/>
  <c r="V43" i="64"/>
  <c r="U43" i="64"/>
  <c r="T43" i="64"/>
  <c r="S43" i="64"/>
  <c r="R43" i="64"/>
  <c r="Q43" i="64"/>
  <c r="P43" i="64"/>
  <c r="O43" i="64"/>
  <c r="N43" i="64"/>
  <c r="M43" i="64"/>
  <c r="F43" i="64"/>
  <c r="AA42" i="64"/>
  <c r="Z42" i="64"/>
  <c r="Y42" i="64"/>
  <c r="X42" i="64"/>
  <c r="W42" i="64"/>
  <c r="V42" i="64"/>
  <c r="U42" i="64"/>
  <c r="T42" i="64"/>
  <c r="S42" i="64"/>
  <c r="R42" i="64"/>
  <c r="Q42" i="64"/>
  <c r="P42" i="64"/>
  <c r="O42" i="64"/>
  <c r="N42" i="64"/>
  <c r="M42" i="64"/>
  <c r="F42" i="64"/>
  <c r="AA41" i="64"/>
  <c r="Z41" i="64"/>
  <c r="Y41" i="64"/>
  <c r="X41" i="64"/>
  <c r="W41" i="64"/>
  <c r="V41" i="64"/>
  <c r="U41" i="64"/>
  <c r="T41" i="64"/>
  <c r="S41" i="64"/>
  <c r="R41" i="64"/>
  <c r="Q41" i="64"/>
  <c r="P41" i="64"/>
  <c r="O41" i="64"/>
  <c r="N41" i="64"/>
  <c r="M41" i="64"/>
  <c r="F41" i="64"/>
  <c r="AA40" i="64"/>
  <c r="Z40" i="64"/>
  <c r="Y40" i="64"/>
  <c r="X40" i="64"/>
  <c r="W40" i="64"/>
  <c r="V40" i="64"/>
  <c r="U40" i="64"/>
  <c r="T40" i="64"/>
  <c r="S40" i="64"/>
  <c r="R40" i="64"/>
  <c r="Q40" i="64"/>
  <c r="P40" i="64"/>
  <c r="O40" i="64"/>
  <c r="N40" i="64"/>
  <c r="M40" i="64"/>
  <c r="F40" i="64"/>
  <c r="AA39" i="64"/>
  <c r="Z39" i="64"/>
  <c r="Y39" i="64"/>
  <c r="X39" i="64"/>
  <c r="W39" i="64"/>
  <c r="V39" i="64"/>
  <c r="U39" i="64"/>
  <c r="T39" i="64"/>
  <c r="S39" i="64"/>
  <c r="R39" i="64"/>
  <c r="Q39" i="64"/>
  <c r="P39" i="64"/>
  <c r="O39" i="64"/>
  <c r="N39" i="64"/>
  <c r="M39" i="64"/>
  <c r="F39" i="64"/>
  <c r="AA38" i="64"/>
  <c r="Z38" i="64"/>
  <c r="Y38" i="64"/>
  <c r="X38" i="64"/>
  <c r="W38" i="64"/>
  <c r="V38" i="64"/>
  <c r="U38" i="64"/>
  <c r="T38" i="64"/>
  <c r="S38" i="64"/>
  <c r="R38" i="64"/>
  <c r="Q38" i="64"/>
  <c r="P38" i="64"/>
  <c r="O38" i="64"/>
  <c r="N38" i="64"/>
  <c r="M38" i="64"/>
  <c r="F38" i="64"/>
  <c r="AA37" i="64"/>
  <c r="Z37" i="64"/>
  <c r="Y37" i="64"/>
  <c r="X37" i="64"/>
  <c r="W37" i="64"/>
  <c r="V37" i="64"/>
  <c r="U37" i="64"/>
  <c r="T37" i="64"/>
  <c r="S37" i="64"/>
  <c r="R37" i="64"/>
  <c r="Q37" i="64"/>
  <c r="P37" i="64"/>
  <c r="O37" i="64"/>
  <c r="N37" i="64"/>
  <c r="M37" i="64"/>
  <c r="F37" i="64"/>
  <c r="AA36" i="64"/>
  <c r="Z36" i="64"/>
  <c r="Y36" i="64"/>
  <c r="X36" i="64"/>
  <c r="W36" i="64"/>
  <c r="V36" i="64"/>
  <c r="U36" i="64"/>
  <c r="T36" i="64"/>
  <c r="S36" i="64"/>
  <c r="R36" i="64"/>
  <c r="Q36" i="64"/>
  <c r="P36" i="64"/>
  <c r="O36" i="64"/>
  <c r="N36" i="64"/>
  <c r="M36" i="64"/>
  <c r="F36" i="64"/>
  <c r="AA35" i="64"/>
  <c r="Z35" i="64"/>
  <c r="Y35" i="64"/>
  <c r="X35" i="64"/>
  <c r="W35" i="64"/>
  <c r="V35" i="64"/>
  <c r="U35" i="64"/>
  <c r="T35" i="64"/>
  <c r="S35" i="64"/>
  <c r="R35" i="64"/>
  <c r="Q35" i="64"/>
  <c r="P35" i="64"/>
  <c r="O35" i="64"/>
  <c r="N35" i="64"/>
  <c r="M35" i="64"/>
  <c r="F35" i="64"/>
  <c r="AA34" i="64"/>
  <c r="Z34" i="64"/>
  <c r="Y34" i="64"/>
  <c r="X34" i="64"/>
  <c r="W34" i="64"/>
  <c r="V34" i="64"/>
  <c r="U34" i="64"/>
  <c r="T34" i="64"/>
  <c r="S34" i="64"/>
  <c r="R34" i="64"/>
  <c r="Q34" i="64"/>
  <c r="P34" i="64"/>
  <c r="O34" i="64"/>
  <c r="N34" i="64"/>
  <c r="M34" i="64"/>
  <c r="F34" i="64"/>
  <c r="AA33" i="64"/>
  <c r="Z33" i="64"/>
  <c r="Y33" i="64"/>
  <c r="X33" i="64"/>
  <c r="W33" i="64"/>
  <c r="V33" i="64"/>
  <c r="U33" i="64"/>
  <c r="T33" i="64"/>
  <c r="S33" i="64"/>
  <c r="R33" i="64"/>
  <c r="Q33" i="64"/>
  <c r="P33" i="64"/>
  <c r="O33" i="64"/>
  <c r="N33" i="64"/>
  <c r="M33" i="64"/>
  <c r="F33" i="64"/>
  <c r="AA32" i="64"/>
  <c r="Z32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F32" i="64"/>
  <c r="AA31" i="64"/>
  <c r="Z31" i="64"/>
  <c r="Y31" i="64"/>
  <c r="X31" i="64"/>
  <c r="W31" i="64"/>
  <c r="V31" i="64"/>
  <c r="U31" i="64"/>
  <c r="T31" i="64"/>
  <c r="S31" i="64"/>
  <c r="R31" i="64"/>
  <c r="Q31" i="64"/>
  <c r="P31" i="64"/>
  <c r="O31" i="64"/>
  <c r="N31" i="64"/>
  <c r="M31" i="64"/>
  <c r="F31" i="64"/>
  <c r="AA30" i="64"/>
  <c r="Z30" i="64"/>
  <c r="Y30" i="64"/>
  <c r="X30" i="64"/>
  <c r="W30" i="64"/>
  <c r="V30" i="64"/>
  <c r="U30" i="64"/>
  <c r="T30" i="64"/>
  <c r="S30" i="64"/>
  <c r="R30" i="64"/>
  <c r="Q30" i="64"/>
  <c r="P30" i="64"/>
  <c r="O30" i="64"/>
  <c r="N30" i="64"/>
  <c r="M30" i="64"/>
  <c r="F30" i="64"/>
  <c r="AA29" i="64"/>
  <c r="Z29" i="64"/>
  <c r="Y29" i="64"/>
  <c r="X29" i="64"/>
  <c r="W29" i="64"/>
  <c r="V29" i="64"/>
  <c r="U29" i="64"/>
  <c r="T29" i="64"/>
  <c r="S29" i="64"/>
  <c r="R29" i="64"/>
  <c r="Q29" i="64"/>
  <c r="P29" i="64"/>
  <c r="O29" i="64"/>
  <c r="N29" i="64"/>
  <c r="M29" i="64"/>
  <c r="F29" i="64"/>
  <c r="AA28" i="64"/>
  <c r="Z28" i="64"/>
  <c r="Y28" i="64"/>
  <c r="X28" i="64"/>
  <c r="W28" i="64"/>
  <c r="V28" i="64"/>
  <c r="U28" i="64"/>
  <c r="T28" i="64"/>
  <c r="S28" i="64"/>
  <c r="R28" i="64"/>
  <c r="Q28" i="64"/>
  <c r="P28" i="64"/>
  <c r="O28" i="64"/>
  <c r="N28" i="64"/>
  <c r="M28" i="64"/>
  <c r="F28" i="64"/>
  <c r="AA27" i="64"/>
  <c r="Z27" i="64"/>
  <c r="Y27" i="64"/>
  <c r="X27" i="64"/>
  <c r="W27" i="64"/>
  <c r="V27" i="64"/>
  <c r="U27" i="64"/>
  <c r="T27" i="64"/>
  <c r="S27" i="64"/>
  <c r="R27" i="64"/>
  <c r="Q27" i="64"/>
  <c r="P27" i="64"/>
  <c r="O27" i="64"/>
  <c r="N27" i="64"/>
  <c r="M27" i="64"/>
  <c r="F27" i="64"/>
  <c r="AA26" i="64"/>
  <c r="Z26" i="64"/>
  <c r="Y26" i="64"/>
  <c r="X26" i="64"/>
  <c r="W26" i="64"/>
  <c r="V26" i="64"/>
  <c r="U26" i="64"/>
  <c r="T26" i="64"/>
  <c r="S26" i="64"/>
  <c r="R26" i="64"/>
  <c r="Q26" i="64"/>
  <c r="P26" i="64"/>
  <c r="O26" i="64"/>
  <c r="N26" i="64"/>
  <c r="M26" i="64"/>
  <c r="F26" i="64"/>
  <c r="AA25" i="64"/>
  <c r="Z25" i="64"/>
  <c r="Y25" i="64"/>
  <c r="X25" i="64"/>
  <c r="W25" i="64"/>
  <c r="V25" i="64"/>
  <c r="U25" i="64"/>
  <c r="T25" i="64"/>
  <c r="S25" i="64"/>
  <c r="R25" i="64"/>
  <c r="Q25" i="64"/>
  <c r="P25" i="64"/>
  <c r="O25" i="64"/>
  <c r="N25" i="64"/>
  <c r="M25" i="64"/>
  <c r="F25" i="64"/>
  <c r="AA24" i="64"/>
  <c r="Z24" i="64"/>
  <c r="Y24" i="64"/>
  <c r="X24" i="64"/>
  <c r="W24" i="64"/>
  <c r="V24" i="64"/>
  <c r="U24" i="64"/>
  <c r="T24" i="64"/>
  <c r="S24" i="64"/>
  <c r="R24" i="64"/>
  <c r="Q24" i="64"/>
  <c r="P24" i="64"/>
  <c r="O24" i="64"/>
  <c r="N24" i="64"/>
  <c r="M24" i="64"/>
  <c r="F24" i="64"/>
  <c r="AA23" i="64"/>
  <c r="Z23" i="64"/>
  <c r="Y23" i="64"/>
  <c r="X23" i="64"/>
  <c r="W23" i="64"/>
  <c r="V23" i="64"/>
  <c r="U23" i="64"/>
  <c r="T23" i="64"/>
  <c r="S23" i="64"/>
  <c r="R23" i="64"/>
  <c r="Q23" i="64"/>
  <c r="P23" i="64"/>
  <c r="O23" i="64"/>
  <c r="N23" i="64"/>
  <c r="M23" i="64"/>
  <c r="F23" i="64"/>
  <c r="AA22" i="64"/>
  <c r="Z22" i="64"/>
  <c r="Y22" i="64"/>
  <c r="X22" i="64"/>
  <c r="W22" i="64"/>
  <c r="V22" i="64"/>
  <c r="U22" i="64"/>
  <c r="T22" i="64"/>
  <c r="S22" i="64"/>
  <c r="R22" i="64"/>
  <c r="Q22" i="64"/>
  <c r="P22" i="64"/>
  <c r="O22" i="64"/>
  <c r="N22" i="64"/>
  <c r="M22" i="64"/>
  <c r="F22" i="64"/>
  <c r="AA21" i="64"/>
  <c r="Z21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F21" i="64"/>
  <c r="AA20" i="64"/>
  <c r="Z20" i="64"/>
  <c r="Y20" i="64"/>
  <c r="X20" i="64"/>
  <c r="W20" i="64"/>
  <c r="V20" i="64"/>
  <c r="U20" i="64"/>
  <c r="T20" i="64"/>
  <c r="S20" i="64"/>
  <c r="R20" i="64"/>
  <c r="Q20" i="64"/>
  <c r="P20" i="64"/>
  <c r="O20" i="64"/>
  <c r="N20" i="64"/>
  <c r="M20" i="64"/>
  <c r="F20" i="64"/>
  <c r="AA19" i="64"/>
  <c r="Z19" i="64"/>
  <c r="Y19" i="64"/>
  <c r="X19" i="64"/>
  <c r="W19" i="64"/>
  <c r="V19" i="64"/>
  <c r="U19" i="64"/>
  <c r="T19" i="64"/>
  <c r="S19" i="64"/>
  <c r="R19" i="64"/>
  <c r="Q19" i="64"/>
  <c r="P19" i="64"/>
  <c r="O19" i="64"/>
  <c r="N19" i="64"/>
  <c r="M19" i="64"/>
  <c r="F19" i="64"/>
  <c r="AA18" i="64"/>
  <c r="Z18" i="64"/>
  <c r="Y18" i="64"/>
  <c r="X18" i="64"/>
  <c r="W18" i="64"/>
  <c r="V18" i="64"/>
  <c r="U18" i="64"/>
  <c r="T18" i="64"/>
  <c r="S18" i="64"/>
  <c r="R18" i="64"/>
  <c r="Q18" i="64"/>
  <c r="P18" i="64"/>
  <c r="O18" i="64"/>
  <c r="N18" i="64"/>
  <c r="M18" i="64"/>
  <c r="F18" i="64"/>
  <c r="AA17" i="64"/>
  <c r="Z17" i="64"/>
  <c r="Y17" i="64"/>
  <c r="X17" i="64"/>
  <c r="W17" i="64"/>
  <c r="V17" i="64"/>
  <c r="U17" i="64"/>
  <c r="T17" i="64"/>
  <c r="S17" i="64"/>
  <c r="R17" i="64"/>
  <c r="Q17" i="64"/>
  <c r="P17" i="64"/>
  <c r="O17" i="64"/>
  <c r="N17" i="64"/>
  <c r="M17" i="64"/>
  <c r="F17" i="64"/>
  <c r="AA16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F16" i="64"/>
  <c r="AA15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F15" i="64"/>
  <c r="AA14" i="64"/>
  <c r="Z14" i="64"/>
  <c r="Y14" i="64"/>
  <c r="X14" i="64"/>
  <c r="W14" i="64"/>
  <c r="V14" i="64"/>
  <c r="U14" i="64"/>
  <c r="T14" i="64"/>
  <c r="S14" i="64"/>
  <c r="R14" i="64"/>
  <c r="Q14" i="64"/>
  <c r="P14" i="64"/>
  <c r="O14" i="64"/>
  <c r="N14" i="64"/>
  <c r="M14" i="64"/>
  <c r="F14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F13" i="64"/>
  <c r="AA12" i="64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F12" i="64"/>
  <c r="AA11" i="64"/>
  <c r="Z11" i="64"/>
  <c r="Y11" i="64"/>
  <c r="X11" i="64"/>
  <c r="W11" i="64"/>
  <c r="V11" i="64"/>
  <c r="U11" i="64"/>
  <c r="T11" i="64"/>
  <c r="S11" i="64"/>
  <c r="R11" i="64"/>
  <c r="Q11" i="64"/>
  <c r="P11" i="64"/>
  <c r="O11" i="64"/>
  <c r="N11" i="64"/>
  <c r="M11" i="64"/>
  <c r="F11" i="64"/>
  <c r="AA10" i="64"/>
  <c r="Z10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F10" i="64"/>
  <c r="AA9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F9" i="64"/>
  <c r="AA8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F8" i="64"/>
  <c r="AA7" i="64"/>
  <c r="Z7" i="64"/>
  <c r="Y7" i="64"/>
  <c r="X7" i="64"/>
  <c r="W7" i="64"/>
  <c r="V7" i="64"/>
  <c r="U7" i="64"/>
  <c r="T7" i="64"/>
  <c r="S7" i="64"/>
  <c r="R7" i="64"/>
  <c r="Q7" i="64"/>
  <c r="P7" i="64"/>
  <c r="O7" i="64"/>
  <c r="N7" i="64"/>
  <c r="M7" i="64"/>
  <c r="F7" i="64"/>
  <c r="AA6" i="64"/>
  <c r="Z6" i="64"/>
  <c r="Y6" i="64"/>
  <c r="X6" i="64"/>
  <c r="W6" i="64"/>
  <c r="V6" i="64"/>
  <c r="U6" i="64"/>
  <c r="T6" i="64"/>
  <c r="S6" i="64"/>
  <c r="R6" i="64"/>
  <c r="Q6" i="64"/>
  <c r="P6" i="64"/>
  <c r="O6" i="64"/>
  <c r="N6" i="64"/>
  <c r="M6" i="64"/>
  <c r="F6" i="64"/>
  <c r="AA5" i="64"/>
  <c r="Z5" i="64"/>
  <c r="Y5" i="64"/>
  <c r="X5" i="64"/>
  <c r="W5" i="64"/>
  <c r="V5" i="64"/>
  <c r="U5" i="64"/>
  <c r="T5" i="64"/>
  <c r="S5" i="64"/>
  <c r="R5" i="64"/>
  <c r="Q5" i="64"/>
  <c r="P5" i="64"/>
  <c r="O5" i="64"/>
  <c r="N5" i="64"/>
  <c r="M5" i="64"/>
  <c r="F5" i="64"/>
  <c r="AA4" i="64"/>
  <c r="Z4" i="64"/>
  <c r="Y4" i="64"/>
  <c r="X4" i="64"/>
  <c r="W4" i="64"/>
  <c r="V4" i="64"/>
  <c r="U4" i="64"/>
  <c r="T4" i="64"/>
  <c r="S4" i="64"/>
  <c r="R4" i="64"/>
  <c r="Q4" i="64"/>
  <c r="P4" i="64"/>
  <c r="O4" i="64"/>
  <c r="N4" i="64"/>
  <c r="M4" i="64"/>
  <c r="F4" i="64"/>
  <c r="AA3" i="64"/>
  <c r="Z3" i="64"/>
  <c r="Y3" i="64"/>
  <c r="X3" i="64"/>
  <c r="W3" i="64"/>
  <c r="V3" i="64"/>
  <c r="U3" i="64"/>
  <c r="T3" i="64"/>
  <c r="S3" i="64"/>
  <c r="R3" i="64"/>
  <c r="Q3" i="64"/>
  <c r="P3" i="64"/>
  <c r="O3" i="64"/>
  <c r="N3" i="64"/>
  <c r="M3" i="64"/>
  <c r="F3" i="64"/>
  <c r="AA1" i="64"/>
  <c r="AA102" i="63"/>
  <c r="Z102" i="63"/>
  <c r="Y102" i="63"/>
  <c r="X102" i="63"/>
  <c r="W102" i="63"/>
  <c r="V102" i="63"/>
  <c r="U102" i="63"/>
  <c r="T102" i="63"/>
  <c r="S102" i="63"/>
  <c r="R102" i="63"/>
  <c r="Q102" i="63"/>
  <c r="P102" i="63"/>
  <c r="O102" i="63"/>
  <c r="N102" i="63"/>
  <c r="M102" i="63"/>
  <c r="F102" i="63"/>
  <c r="AA101" i="63"/>
  <c r="Z101" i="63"/>
  <c r="Y101" i="63"/>
  <c r="X101" i="63"/>
  <c r="W101" i="63"/>
  <c r="V101" i="63"/>
  <c r="U101" i="63"/>
  <c r="T101" i="63"/>
  <c r="S101" i="63"/>
  <c r="R101" i="63"/>
  <c r="Q101" i="63"/>
  <c r="P101" i="63"/>
  <c r="O101" i="63"/>
  <c r="N101" i="63"/>
  <c r="M101" i="63"/>
  <c r="F101" i="63"/>
  <c r="AA100" i="63"/>
  <c r="Z100" i="63"/>
  <c r="Y100" i="63"/>
  <c r="X100" i="63"/>
  <c r="W100" i="63"/>
  <c r="V100" i="63"/>
  <c r="U100" i="63"/>
  <c r="T100" i="63"/>
  <c r="S100" i="63"/>
  <c r="R100" i="63"/>
  <c r="Q100" i="63"/>
  <c r="P100" i="63"/>
  <c r="O100" i="63"/>
  <c r="N100" i="63"/>
  <c r="M100" i="63"/>
  <c r="F100" i="63"/>
  <c r="AA99" i="63"/>
  <c r="Z99" i="63"/>
  <c r="Y99" i="63"/>
  <c r="X99" i="63"/>
  <c r="W99" i="63"/>
  <c r="V99" i="63"/>
  <c r="U99" i="63"/>
  <c r="T99" i="63"/>
  <c r="S99" i="63"/>
  <c r="R99" i="63"/>
  <c r="Q99" i="63"/>
  <c r="P99" i="63"/>
  <c r="O99" i="63"/>
  <c r="N99" i="63"/>
  <c r="M99" i="63"/>
  <c r="F99" i="63"/>
  <c r="AA98" i="63"/>
  <c r="Z98" i="63"/>
  <c r="Y98" i="63"/>
  <c r="X98" i="63"/>
  <c r="W98" i="63"/>
  <c r="V98" i="63"/>
  <c r="U98" i="63"/>
  <c r="T98" i="63"/>
  <c r="S98" i="63"/>
  <c r="R98" i="63"/>
  <c r="Q98" i="63"/>
  <c r="P98" i="63"/>
  <c r="O98" i="63"/>
  <c r="N98" i="63"/>
  <c r="M98" i="63"/>
  <c r="F98" i="63"/>
  <c r="AA97" i="63"/>
  <c r="Z97" i="63"/>
  <c r="Y97" i="63"/>
  <c r="X97" i="63"/>
  <c r="W97" i="63"/>
  <c r="V97" i="63"/>
  <c r="U97" i="63"/>
  <c r="T97" i="63"/>
  <c r="S97" i="63"/>
  <c r="R97" i="63"/>
  <c r="Q97" i="63"/>
  <c r="P97" i="63"/>
  <c r="O97" i="63"/>
  <c r="N97" i="63"/>
  <c r="M97" i="63"/>
  <c r="F97" i="63"/>
  <c r="AA96" i="63"/>
  <c r="Z96" i="63"/>
  <c r="Y96" i="63"/>
  <c r="X96" i="63"/>
  <c r="W96" i="63"/>
  <c r="V96" i="63"/>
  <c r="U96" i="63"/>
  <c r="T96" i="63"/>
  <c r="S96" i="63"/>
  <c r="R96" i="63"/>
  <c r="Q96" i="63"/>
  <c r="P96" i="63"/>
  <c r="O96" i="63"/>
  <c r="N96" i="63"/>
  <c r="M96" i="63"/>
  <c r="F96" i="63"/>
  <c r="AA95" i="63"/>
  <c r="Z95" i="63"/>
  <c r="Y95" i="63"/>
  <c r="X95" i="63"/>
  <c r="W95" i="63"/>
  <c r="V95" i="63"/>
  <c r="U95" i="63"/>
  <c r="T95" i="63"/>
  <c r="S95" i="63"/>
  <c r="R95" i="63"/>
  <c r="Q95" i="63"/>
  <c r="P95" i="63"/>
  <c r="O95" i="63"/>
  <c r="N95" i="63"/>
  <c r="M95" i="63"/>
  <c r="F95" i="63"/>
  <c r="AA94" i="63"/>
  <c r="Z94" i="63"/>
  <c r="Y94" i="63"/>
  <c r="X94" i="63"/>
  <c r="W94" i="63"/>
  <c r="V94" i="63"/>
  <c r="U94" i="63"/>
  <c r="T94" i="63"/>
  <c r="S94" i="63"/>
  <c r="R94" i="63"/>
  <c r="Q94" i="63"/>
  <c r="P94" i="63"/>
  <c r="O94" i="63"/>
  <c r="N94" i="63"/>
  <c r="M94" i="63"/>
  <c r="F94" i="63"/>
  <c r="AA93" i="63"/>
  <c r="Z93" i="63"/>
  <c r="Y93" i="63"/>
  <c r="X93" i="63"/>
  <c r="W93" i="63"/>
  <c r="V93" i="63"/>
  <c r="U93" i="63"/>
  <c r="T93" i="63"/>
  <c r="S93" i="63"/>
  <c r="R93" i="63"/>
  <c r="Q93" i="63"/>
  <c r="P93" i="63"/>
  <c r="O93" i="63"/>
  <c r="N93" i="63"/>
  <c r="M93" i="63"/>
  <c r="F93" i="63"/>
  <c r="AA92" i="63"/>
  <c r="Z92" i="63"/>
  <c r="Y92" i="63"/>
  <c r="X92" i="63"/>
  <c r="W92" i="63"/>
  <c r="V92" i="63"/>
  <c r="U92" i="63"/>
  <c r="T92" i="63"/>
  <c r="S92" i="63"/>
  <c r="R92" i="63"/>
  <c r="Q92" i="63"/>
  <c r="P92" i="63"/>
  <c r="O92" i="63"/>
  <c r="N92" i="63"/>
  <c r="M92" i="63"/>
  <c r="F92" i="63"/>
  <c r="AA91" i="63"/>
  <c r="Z91" i="63"/>
  <c r="Y91" i="63"/>
  <c r="X91" i="63"/>
  <c r="W91" i="63"/>
  <c r="V91" i="63"/>
  <c r="U91" i="63"/>
  <c r="T91" i="63"/>
  <c r="S91" i="63"/>
  <c r="R91" i="63"/>
  <c r="Q91" i="63"/>
  <c r="P91" i="63"/>
  <c r="O91" i="63"/>
  <c r="N91" i="63"/>
  <c r="M91" i="63"/>
  <c r="F91" i="63"/>
  <c r="AA90" i="63"/>
  <c r="Z90" i="63"/>
  <c r="Y90" i="63"/>
  <c r="X90" i="63"/>
  <c r="W90" i="63"/>
  <c r="V90" i="63"/>
  <c r="U90" i="63"/>
  <c r="T90" i="63"/>
  <c r="S90" i="63"/>
  <c r="R90" i="63"/>
  <c r="Q90" i="63"/>
  <c r="P90" i="63"/>
  <c r="O90" i="63"/>
  <c r="N90" i="63"/>
  <c r="M90" i="63"/>
  <c r="F90" i="63"/>
  <c r="AA89" i="63"/>
  <c r="Z89" i="63"/>
  <c r="Y89" i="63"/>
  <c r="X89" i="63"/>
  <c r="W89" i="63"/>
  <c r="V89" i="63"/>
  <c r="U89" i="63"/>
  <c r="T89" i="63"/>
  <c r="S89" i="63"/>
  <c r="R89" i="63"/>
  <c r="Q89" i="63"/>
  <c r="P89" i="63"/>
  <c r="O89" i="63"/>
  <c r="N89" i="63"/>
  <c r="M89" i="63"/>
  <c r="F89" i="63"/>
  <c r="AA88" i="63"/>
  <c r="Z88" i="63"/>
  <c r="Y88" i="63"/>
  <c r="X88" i="63"/>
  <c r="W88" i="63"/>
  <c r="V88" i="63"/>
  <c r="U88" i="63"/>
  <c r="T88" i="63"/>
  <c r="S88" i="63"/>
  <c r="R88" i="63"/>
  <c r="Q88" i="63"/>
  <c r="P88" i="63"/>
  <c r="O88" i="63"/>
  <c r="N88" i="63"/>
  <c r="M88" i="63"/>
  <c r="F88" i="63"/>
  <c r="AA87" i="63"/>
  <c r="Z87" i="63"/>
  <c r="Y87" i="63"/>
  <c r="X87" i="63"/>
  <c r="W87" i="63"/>
  <c r="V87" i="63"/>
  <c r="U87" i="63"/>
  <c r="T87" i="63"/>
  <c r="S87" i="63"/>
  <c r="R87" i="63"/>
  <c r="Q87" i="63"/>
  <c r="P87" i="63"/>
  <c r="O87" i="63"/>
  <c r="N87" i="63"/>
  <c r="M87" i="63"/>
  <c r="F87" i="63"/>
  <c r="AA86" i="63"/>
  <c r="Z86" i="63"/>
  <c r="Y86" i="63"/>
  <c r="X86" i="63"/>
  <c r="W86" i="63"/>
  <c r="V86" i="63"/>
  <c r="U86" i="63"/>
  <c r="T86" i="63"/>
  <c r="S86" i="63"/>
  <c r="R86" i="63"/>
  <c r="Q86" i="63"/>
  <c r="P86" i="63"/>
  <c r="O86" i="63"/>
  <c r="N86" i="63"/>
  <c r="M86" i="63"/>
  <c r="F86" i="63"/>
  <c r="AA85" i="63"/>
  <c r="Z85" i="63"/>
  <c r="Y85" i="63"/>
  <c r="X85" i="63"/>
  <c r="W85" i="63"/>
  <c r="V85" i="63"/>
  <c r="U85" i="63"/>
  <c r="T85" i="63"/>
  <c r="S85" i="63"/>
  <c r="R85" i="63"/>
  <c r="Q85" i="63"/>
  <c r="P85" i="63"/>
  <c r="O85" i="63"/>
  <c r="N85" i="63"/>
  <c r="M85" i="63"/>
  <c r="F85" i="63"/>
  <c r="AA84" i="63"/>
  <c r="Z84" i="63"/>
  <c r="Y84" i="63"/>
  <c r="X84" i="63"/>
  <c r="W84" i="63"/>
  <c r="V84" i="63"/>
  <c r="U84" i="63"/>
  <c r="T84" i="63"/>
  <c r="S84" i="63"/>
  <c r="R84" i="63"/>
  <c r="Q84" i="63"/>
  <c r="P84" i="63"/>
  <c r="O84" i="63"/>
  <c r="N84" i="63"/>
  <c r="M84" i="63"/>
  <c r="F84" i="63"/>
  <c r="AA83" i="63"/>
  <c r="Z83" i="63"/>
  <c r="Y83" i="63"/>
  <c r="X83" i="63"/>
  <c r="W83" i="63"/>
  <c r="V83" i="63"/>
  <c r="U83" i="63"/>
  <c r="T83" i="63"/>
  <c r="S83" i="63"/>
  <c r="R83" i="63"/>
  <c r="Q83" i="63"/>
  <c r="P83" i="63"/>
  <c r="O83" i="63"/>
  <c r="N83" i="63"/>
  <c r="M83" i="63"/>
  <c r="F83" i="63"/>
  <c r="AA82" i="63"/>
  <c r="Z82" i="63"/>
  <c r="Y82" i="63"/>
  <c r="X82" i="63"/>
  <c r="W82" i="63"/>
  <c r="V82" i="63"/>
  <c r="U82" i="63"/>
  <c r="T82" i="63"/>
  <c r="S82" i="63"/>
  <c r="R82" i="63"/>
  <c r="Q82" i="63"/>
  <c r="P82" i="63"/>
  <c r="O82" i="63"/>
  <c r="N82" i="63"/>
  <c r="M82" i="63"/>
  <c r="F82" i="63"/>
  <c r="AA81" i="63"/>
  <c r="Z81" i="63"/>
  <c r="Y81" i="63"/>
  <c r="X81" i="63"/>
  <c r="W81" i="63"/>
  <c r="V81" i="63"/>
  <c r="U81" i="63"/>
  <c r="T81" i="63"/>
  <c r="S81" i="63"/>
  <c r="R81" i="63"/>
  <c r="Q81" i="63"/>
  <c r="P81" i="63"/>
  <c r="O81" i="63"/>
  <c r="N81" i="63"/>
  <c r="M81" i="63"/>
  <c r="F81" i="63"/>
  <c r="AA80" i="63"/>
  <c r="Z80" i="63"/>
  <c r="Y80" i="63"/>
  <c r="X80" i="63"/>
  <c r="W80" i="63"/>
  <c r="V80" i="63"/>
  <c r="U80" i="63"/>
  <c r="T80" i="63"/>
  <c r="S80" i="63"/>
  <c r="R80" i="63"/>
  <c r="Q80" i="63"/>
  <c r="P80" i="63"/>
  <c r="O80" i="63"/>
  <c r="N80" i="63"/>
  <c r="M80" i="63"/>
  <c r="F80" i="63"/>
  <c r="AA79" i="63"/>
  <c r="Z79" i="63"/>
  <c r="Y79" i="63"/>
  <c r="X79" i="63"/>
  <c r="W79" i="63"/>
  <c r="V79" i="63"/>
  <c r="U79" i="63"/>
  <c r="T79" i="63"/>
  <c r="S79" i="63"/>
  <c r="R79" i="63"/>
  <c r="Q79" i="63"/>
  <c r="P79" i="63"/>
  <c r="O79" i="63"/>
  <c r="N79" i="63"/>
  <c r="M79" i="63"/>
  <c r="F79" i="63"/>
  <c r="AA78" i="63"/>
  <c r="Z78" i="63"/>
  <c r="Y78" i="63"/>
  <c r="X78" i="63"/>
  <c r="W78" i="63"/>
  <c r="V78" i="63"/>
  <c r="U78" i="63"/>
  <c r="T78" i="63"/>
  <c r="S78" i="63"/>
  <c r="R78" i="63"/>
  <c r="Q78" i="63"/>
  <c r="P78" i="63"/>
  <c r="O78" i="63"/>
  <c r="N78" i="63"/>
  <c r="M78" i="63"/>
  <c r="F78" i="63"/>
  <c r="AA77" i="63"/>
  <c r="Z77" i="63"/>
  <c r="Y77" i="63"/>
  <c r="X77" i="63"/>
  <c r="W77" i="63"/>
  <c r="V77" i="63"/>
  <c r="U77" i="63"/>
  <c r="T77" i="63"/>
  <c r="S77" i="63"/>
  <c r="R77" i="63"/>
  <c r="Q77" i="63"/>
  <c r="P77" i="63"/>
  <c r="O77" i="63"/>
  <c r="N77" i="63"/>
  <c r="M77" i="63"/>
  <c r="F77" i="63"/>
  <c r="AA76" i="63"/>
  <c r="Z76" i="63"/>
  <c r="Y76" i="63"/>
  <c r="X76" i="63"/>
  <c r="W76" i="63"/>
  <c r="V76" i="63"/>
  <c r="U76" i="63"/>
  <c r="T76" i="63"/>
  <c r="S76" i="63"/>
  <c r="R76" i="63"/>
  <c r="Q76" i="63"/>
  <c r="P76" i="63"/>
  <c r="O76" i="63"/>
  <c r="N76" i="63"/>
  <c r="M76" i="63"/>
  <c r="F76" i="63"/>
  <c r="AA75" i="63"/>
  <c r="Z75" i="63"/>
  <c r="Y75" i="63"/>
  <c r="X75" i="63"/>
  <c r="W75" i="63"/>
  <c r="V75" i="63"/>
  <c r="U75" i="63"/>
  <c r="T75" i="63"/>
  <c r="S75" i="63"/>
  <c r="R75" i="63"/>
  <c r="Q75" i="63"/>
  <c r="P75" i="63"/>
  <c r="O75" i="63"/>
  <c r="N75" i="63"/>
  <c r="M75" i="63"/>
  <c r="F75" i="63"/>
  <c r="AA74" i="63"/>
  <c r="Z74" i="63"/>
  <c r="Y74" i="63"/>
  <c r="X74" i="63"/>
  <c r="W74" i="63"/>
  <c r="V74" i="63"/>
  <c r="U74" i="63"/>
  <c r="T74" i="63"/>
  <c r="S74" i="63"/>
  <c r="R74" i="63"/>
  <c r="Q74" i="63"/>
  <c r="P74" i="63"/>
  <c r="O74" i="63"/>
  <c r="N74" i="63"/>
  <c r="M74" i="63"/>
  <c r="F74" i="63"/>
  <c r="AA73" i="63"/>
  <c r="Z73" i="63"/>
  <c r="Y73" i="63"/>
  <c r="X73" i="63"/>
  <c r="W73" i="63"/>
  <c r="V73" i="63"/>
  <c r="U73" i="63"/>
  <c r="T73" i="63"/>
  <c r="S73" i="63"/>
  <c r="R73" i="63"/>
  <c r="Q73" i="63"/>
  <c r="P73" i="63"/>
  <c r="O73" i="63"/>
  <c r="N73" i="63"/>
  <c r="M73" i="63"/>
  <c r="F73" i="63"/>
  <c r="AA72" i="63"/>
  <c r="Z72" i="63"/>
  <c r="Y72" i="63"/>
  <c r="X72" i="63"/>
  <c r="W72" i="63"/>
  <c r="V72" i="63"/>
  <c r="U72" i="63"/>
  <c r="T72" i="63"/>
  <c r="S72" i="63"/>
  <c r="R72" i="63"/>
  <c r="Q72" i="63"/>
  <c r="P72" i="63"/>
  <c r="O72" i="63"/>
  <c r="N72" i="63"/>
  <c r="M72" i="63"/>
  <c r="F72" i="63"/>
  <c r="AA71" i="63"/>
  <c r="Z71" i="63"/>
  <c r="Y71" i="63"/>
  <c r="X71" i="63"/>
  <c r="W71" i="63"/>
  <c r="V71" i="63"/>
  <c r="U71" i="63"/>
  <c r="T71" i="63"/>
  <c r="S71" i="63"/>
  <c r="R71" i="63"/>
  <c r="Q71" i="63"/>
  <c r="P71" i="63"/>
  <c r="O71" i="63"/>
  <c r="N71" i="63"/>
  <c r="M71" i="63"/>
  <c r="F71" i="63"/>
  <c r="AA70" i="63"/>
  <c r="Z70" i="63"/>
  <c r="Y70" i="63"/>
  <c r="X70" i="63"/>
  <c r="W70" i="63"/>
  <c r="V70" i="63"/>
  <c r="U70" i="63"/>
  <c r="T70" i="63"/>
  <c r="S70" i="63"/>
  <c r="R70" i="63"/>
  <c r="Q70" i="63"/>
  <c r="P70" i="63"/>
  <c r="O70" i="63"/>
  <c r="N70" i="63"/>
  <c r="M70" i="63"/>
  <c r="F70" i="63"/>
  <c r="AA69" i="63"/>
  <c r="Z69" i="63"/>
  <c r="Y69" i="63"/>
  <c r="X69" i="63"/>
  <c r="W69" i="63"/>
  <c r="V69" i="63"/>
  <c r="U69" i="63"/>
  <c r="T69" i="63"/>
  <c r="S69" i="63"/>
  <c r="R69" i="63"/>
  <c r="Q69" i="63"/>
  <c r="P69" i="63"/>
  <c r="O69" i="63"/>
  <c r="N69" i="63"/>
  <c r="M69" i="63"/>
  <c r="F69" i="63"/>
  <c r="AA68" i="63"/>
  <c r="Z68" i="63"/>
  <c r="Y68" i="63"/>
  <c r="X68" i="63"/>
  <c r="W68" i="63"/>
  <c r="V68" i="63"/>
  <c r="U68" i="63"/>
  <c r="T68" i="63"/>
  <c r="S68" i="63"/>
  <c r="R68" i="63"/>
  <c r="Q68" i="63"/>
  <c r="P68" i="63"/>
  <c r="O68" i="63"/>
  <c r="N68" i="63"/>
  <c r="M68" i="63"/>
  <c r="F68" i="63"/>
  <c r="AA67" i="63"/>
  <c r="Z67" i="63"/>
  <c r="Y67" i="63"/>
  <c r="X67" i="63"/>
  <c r="W67" i="63"/>
  <c r="V67" i="63"/>
  <c r="U67" i="63"/>
  <c r="T67" i="63"/>
  <c r="S67" i="63"/>
  <c r="R67" i="63"/>
  <c r="Q67" i="63"/>
  <c r="P67" i="63"/>
  <c r="O67" i="63"/>
  <c r="N67" i="63"/>
  <c r="M67" i="63"/>
  <c r="F67" i="63"/>
  <c r="AA66" i="63"/>
  <c r="Z66" i="63"/>
  <c r="Y66" i="63"/>
  <c r="X66" i="63"/>
  <c r="W66" i="63"/>
  <c r="V66" i="63"/>
  <c r="U66" i="63"/>
  <c r="T66" i="63"/>
  <c r="S66" i="63"/>
  <c r="R66" i="63"/>
  <c r="Q66" i="63"/>
  <c r="P66" i="63"/>
  <c r="O66" i="63"/>
  <c r="N66" i="63"/>
  <c r="M66" i="63"/>
  <c r="F66" i="63"/>
  <c r="AA65" i="63"/>
  <c r="Z65" i="63"/>
  <c r="Y65" i="63"/>
  <c r="X65" i="63"/>
  <c r="W65" i="63"/>
  <c r="V65" i="63"/>
  <c r="U65" i="63"/>
  <c r="T65" i="63"/>
  <c r="S65" i="63"/>
  <c r="R65" i="63"/>
  <c r="Q65" i="63"/>
  <c r="P65" i="63"/>
  <c r="O65" i="63"/>
  <c r="N65" i="63"/>
  <c r="M65" i="63"/>
  <c r="F65" i="63"/>
  <c r="AA64" i="63"/>
  <c r="Z64" i="63"/>
  <c r="Y64" i="63"/>
  <c r="X64" i="63"/>
  <c r="W64" i="63"/>
  <c r="V64" i="63"/>
  <c r="U64" i="63"/>
  <c r="T64" i="63"/>
  <c r="S64" i="63"/>
  <c r="R64" i="63"/>
  <c r="Q64" i="63"/>
  <c r="P64" i="63"/>
  <c r="O64" i="63"/>
  <c r="N64" i="63"/>
  <c r="M64" i="63"/>
  <c r="F64" i="63"/>
  <c r="AA63" i="63"/>
  <c r="Z63" i="63"/>
  <c r="Y63" i="63"/>
  <c r="X63" i="63"/>
  <c r="W63" i="63"/>
  <c r="V63" i="63"/>
  <c r="U63" i="63"/>
  <c r="T63" i="63"/>
  <c r="S63" i="63"/>
  <c r="R63" i="63"/>
  <c r="Q63" i="63"/>
  <c r="P63" i="63"/>
  <c r="O63" i="63"/>
  <c r="N63" i="63"/>
  <c r="M63" i="63"/>
  <c r="F63" i="63"/>
  <c r="AA62" i="63"/>
  <c r="Z62" i="63"/>
  <c r="Y62" i="63"/>
  <c r="X62" i="63"/>
  <c r="W62" i="63"/>
  <c r="V62" i="63"/>
  <c r="U62" i="63"/>
  <c r="T62" i="63"/>
  <c r="S62" i="63"/>
  <c r="R62" i="63"/>
  <c r="Q62" i="63"/>
  <c r="P62" i="63"/>
  <c r="O62" i="63"/>
  <c r="N62" i="63"/>
  <c r="M62" i="63"/>
  <c r="F62" i="63"/>
  <c r="AA61" i="63"/>
  <c r="Z61" i="63"/>
  <c r="Y61" i="63"/>
  <c r="X61" i="63"/>
  <c r="W61" i="63"/>
  <c r="V61" i="63"/>
  <c r="U61" i="63"/>
  <c r="T61" i="63"/>
  <c r="S61" i="63"/>
  <c r="R61" i="63"/>
  <c r="Q61" i="63"/>
  <c r="P61" i="63"/>
  <c r="O61" i="63"/>
  <c r="N61" i="63"/>
  <c r="M61" i="63"/>
  <c r="F61" i="63"/>
  <c r="AA60" i="63"/>
  <c r="Z60" i="63"/>
  <c r="Y60" i="63"/>
  <c r="X60" i="63"/>
  <c r="W60" i="63"/>
  <c r="V60" i="63"/>
  <c r="U60" i="63"/>
  <c r="T60" i="63"/>
  <c r="S60" i="63"/>
  <c r="R60" i="63"/>
  <c r="Q60" i="63"/>
  <c r="P60" i="63"/>
  <c r="O60" i="63"/>
  <c r="N60" i="63"/>
  <c r="M60" i="63"/>
  <c r="F60" i="63"/>
  <c r="AA59" i="63"/>
  <c r="Z59" i="63"/>
  <c r="Y59" i="63"/>
  <c r="X59" i="63"/>
  <c r="W59" i="63"/>
  <c r="V59" i="63"/>
  <c r="U59" i="63"/>
  <c r="T59" i="63"/>
  <c r="S59" i="63"/>
  <c r="R59" i="63"/>
  <c r="Q59" i="63"/>
  <c r="P59" i="63"/>
  <c r="O59" i="63"/>
  <c r="N59" i="63"/>
  <c r="M59" i="63"/>
  <c r="F59" i="63"/>
  <c r="AA58" i="63"/>
  <c r="Z58" i="63"/>
  <c r="Y58" i="63"/>
  <c r="X58" i="63"/>
  <c r="W58" i="63"/>
  <c r="V58" i="63"/>
  <c r="U58" i="63"/>
  <c r="T58" i="63"/>
  <c r="S58" i="63"/>
  <c r="R58" i="63"/>
  <c r="Q58" i="63"/>
  <c r="P58" i="63"/>
  <c r="O58" i="63"/>
  <c r="N58" i="63"/>
  <c r="M58" i="63"/>
  <c r="F58" i="63"/>
  <c r="AA57" i="63"/>
  <c r="Z57" i="63"/>
  <c r="Y57" i="63"/>
  <c r="X57" i="63"/>
  <c r="W57" i="63"/>
  <c r="V57" i="63"/>
  <c r="U57" i="63"/>
  <c r="T57" i="63"/>
  <c r="S57" i="63"/>
  <c r="R57" i="63"/>
  <c r="Q57" i="63"/>
  <c r="P57" i="63"/>
  <c r="O57" i="63"/>
  <c r="N57" i="63"/>
  <c r="M57" i="63"/>
  <c r="F57" i="63"/>
  <c r="AA56" i="63"/>
  <c r="Z56" i="63"/>
  <c r="Y56" i="63"/>
  <c r="X56" i="63"/>
  <c r="W56" i="63"/>
  <c r="V56" i="63"/>
  <c r="U56" i="63"/>
  <c r="T56" i="63"/>
  <c r="S56" i="63"/>
  <c r="R56" i="63"/>
  <c r="Q56" i="63"/>
  <c r="P56" i="63"/>
  <c r="O56" i="63"/>
  <c r="N56" i="63"/>
  <c r="M56" i="63"/>
  <c r="F56" i="63"/>
  <c r="AA55" i="63"/>
  <c r="Z55" i="63"/>
  <c r="Y55" i="63"/>
  <c r="X55" i="63"/>
  <c r="W55" i="63"/>
  <c r="V55" i="63"/>
  <c r="U55" i="63"/>
  <c r="T55" i="63"/>
  <c r="S55" i="63"/>
  <c r="R55" i="63"/>
  <c r="Q55" i="63"/>
  <c r="P55" i="63"/>
  <c r="O55" i="63"/>
  <c r="N55" i="63"/>
  <c r="M55" i="63"/>
  <c r="F55" i="63"/>
  <c r="AA54" i="63"/>
  <c r="Z54" i="63"/>
  <c r="Y54" i="63"/>
  <c r="X54" i="63"/>
  <c r="W54" i="63"/>
  <c r="V54" i="63"/>
  <c r="U54" i="63"/>
  <c r="T54" i="63"/>
  <c r="S54" i="63"/>
  <c r="R54" i="63"/>
  <c r="Q54" i="63"/>
  <c r="P54" i="63"/>
  <c r="O54" i="63"/>
  <c r="N54" i="63"/>
  <c r="M54" i="63"/>
  <c r="F54" i="63"/>
  <c r="AA53" i="63"/>
  <c r="Z53" i="63"/>
  <c r="Y53" i="63"/>
  <c r="X53" i="63"/>
  <c r="W53" i="63"/>
  <c r="V53" i="63"/>
  <c r="U53" i="63"/>
  <c r="T53" i="63"/>
  <c r="S53" i="63"/>
  <c r="R53" i="63"/>
  <c r="Q53" i="63"/>
  <c r="P53" i="63"/>
  <c r="O53" i="63"/>
  <c r="N53" i="63"/>
  <c r="M53" i="63"/>
  <c r="F53" i="63"/>
  <c r="AA52" i="63"/>
  <c r="Z52" i="63"/>
  <c r="Y52" i="63"/>
  <c r="X52" i="63"/>
  <c r="W52" i="63"/>
  <c r="V52" i="63"/>
  <c r="U52" i="63"/>
  <c r="T52" i="63"/>
  <c r="S52" i="63"/>
  <c r="R52" i="63"/>
  <c r="Q52" i="63"/>
  <c r="P52" i="63"/>
  <c r="O52" i="63"/>
  <c r="N52" i="63"/>
  <c r="M52" i="63"/>
  <c r="F52" i="63"/>
  <c r="AA51" i="63"/>
  <c r="Z51" i="63"/>
  <c r="Y51" i="63"/>
  <c r="X51" i="63"/>
  <c r="W51" i="63"/>
  <c r="V51" i="63"/>
  <c r="U51" i="63"/>
  <c r="T51" i="63"/>
  <c r="S51" i="63"/>
  <c r="R51" i="63"/>
  <c r="Q51" i="63"/>
  <c r="P51" i="63"/>
  <c r="O51" i="63"/>
  <c r="N51" i="63"/>
  <c r="M51" i="63"/>
  <c r="F51" i="63"/>
  <c r="AA50" i="63"/>
  <c r="Z50" i="63"/>
  <c r="Y50" i="63"/>
  <c r="X50" i="63"/>
  <c r="W50" i="63"/>
  <c r="V50" i="63"/>
  <c r="U50" i="63"/>
  <c r="T50" i="63"/>
  <c r="S50" i="63"/>
  <c r="R50" i="63"/>
  <c r="Q50" i="63"/>
  <c r="P50" i="63"/>
  <c r="O50" i="63"/>
  <c r="N50" i="63"/>
  <c r="M50" i="63"/>
  <c r="F50" i="63"/>
  <c r="AA49" i="63"/>
  <c r="Z49" i="63"/>
  <c r="Y49" i="63"/>
  <c r="X49" i="63"/>
  <c r="W49" i="63"/>
  <c r="V49" i="63"/>
  <c r="U49" i="63"/>
  <c r="T49" i="63"/>
  <c r="S49" i="63"/>
  <c r="R49" i="63"/>
  <c r="Q49" i="63"/>
  <c r="P49" i="63"/>
  <c r="O49" i="63"/>
  <c r="N49" i="63"/>
  <c r="M49" i="63"/>
  <c r="F49" i="63"/>
  <c r="AA48" i="63"/>
  <c r="Z48" i="63"/>
  <c r="Y48" i="63"/>
  <c r="X48" i="63"/>
  <c r="W48" i="63"/>
  <c r="V48" i="63"/>
  <c r="U48" i="63"/>
  <c r="T48" i="63"/>
  <c r="S48" i="63"/>
  <c r="R48" i="63"/>
  <c r="Q48" i="63"/>
  <c r="P48" i="63"/>
  <c r="O48" i="63"/>
  <c r="N48" i="63"/>
  <c r="M48" i="63"/>
  <c r="F48" i="63"/>
  <c r="AA47" i="63"/>
  <c r="Z47" i="63"/>
  <c r="Y47" i="63"/>
  <c r="X47" i="63"/>
  <c r="W47" i="63"/>
  <c r="V47" i="63"/>
  <c r="U47" i="63"/>
  <c r="T47" i="63"/>
  <c r="S47" i="63"/>
  <c r="R47" i="63"/>
  <c r="Q47" i="63"/>
  <c r="P47" i="63"/>
  <c r="O47" i="63"/>
  <c r="N47" i="63"/>
  <c r="M47" i="63"/>
  <c r="F47" i="63"/>
  <c r="AA46" i="63"/>
  <c r="Z46" i="63"/>
  <c r="Y46" i="63"/>
  <c r="X46" i="63"/>
  <c r="W46" i="63"/>
  <c r="V46" i="63"/>
  <c r="U46" i="63"/>
  <c r="T46" i="63"/>
  <c r="S46" i="63"/>
  <c r="R46" i="63"/>
  <c r="Q46" i="63"/>
  <c r="P46" i="63"/>
  <c r="O46" i="63"/>
  <c r="N46" i="63"/>
  <c r="M46" i="63"/>
  <c r="F46" i="63"/>
  <c r="AA45" i="63"/>
  <c r="Z45" i="63"/>
  <c r="Y45" i="63"/>
  <c r="X45" i="63"/>
  <c r="W45" i="63"/>
  <c r="V45" i="63"/>
  <c r="U45" i="63"/>
  <c r="T45" i="63"/>
  <c r="S45" i="63"/>
  <c r="R45" i="63"/>
  <c r="Q45" i="63"/>
  <c r="P45" i="63"/>
  <c r="O45" i="63"/>
  <c r="N45" i="63"/>
  <c r="M45" i="63"/>
  <c r="F45" i="63"/>
  <c r="AA44" i="63"/>
  <c r="Z44" i="63"/>
  <c r="Y44" i="63"/>
  <c r="X44" i="63"/>
  <c r="W44" i="63"/>
  <c r="V44" i="63"/>
  <c r="U44" i="63"/>
  <c r="T44" i="63"/>
  <c r="S44" i="63"/>
  <c r="R44" i="63"/>
  <c r="Q44" i="63"/>
  <c r="P44" i="63"/>
  <c r="O44" i="63"/>
  <c r="N44" i="63"/>
  <c r="M44" i="63"/>
  <c r="F44" i="63"/>
  <c r="AA43" i="63"/>
  <c r="Z43" i="63"/>
  <c r="Y43" i="63"/>
  <c r="X43" i="63"/>
  <c r="W43" i="63"/>
  <c r="V43" i="63"/>
  <c r="U43" i="63"/>
  <c r="T43" i="63"/>
  <c r="S43" i="63"/>
  <c r="R43" i="63"/>
  <c r="Q43" i="63"/>
  <c r="P43" i="63"/>
  <c r="O43" i="63"/>
  <c r="N43" i="63"/>
  <c r="M43" i="63"/>
  <c r="F43" i="63"/>
  <c r="AA42" i="63"/>
  <c r="Z42" i="63"/>
  <c r="Y42" i="63"/>
  <c r="X42" i="63"/>
  <c r="W42" i="63"/>
  <c r="V42" i="63"/>
  <c r="U42" i="63"/>
  <c r="T42" i="63"/>
  <c r="S42" i="63"/>
  <c r="R42" i="63"/>
  <c r="Q42" i="63"/>
  <c r="P42" i="63"/>
  <c r="O42" i="63"/>
  <c r="N42" i="63"/>
  <c r="M42" i="63"/>
  <c r="F42" i="63"/>
  <c r="AA41" i="63"/>
  <c r="Z41" i="63"/>
  <c r="Y41" i="63"/>
  <c r="X41" i="63"/>
  <c r="W41" i="63"/>
  <c r="V41" i="63"/>
  <c r="U41" i="63"/>
  <c r="T41" i="63"/>
  <c r="S41" i="63"/>
  <c r="R41" i="63"/>
  <c r="Q41" i="63"/>
  <c r="P41" i="63"/>
  <c r="O41" i="63"/>
  <c r="N41" i="63"/>
  <c r="M41" i="63"/>
  <c r="F41" i="63"/>
  <c r="AA40" i="63"/>
  <c r="Z40" i="63"/>
  <c r="Y40" i="63"/>
  <c r="X40" i="63"/>
  <c r="W40" i="63"/>
  <c r="V40" i="63"/>
  <c r="U40" i="63"/>
  <c r="T40" i="63"/>
  <c r="S40" i="63"/>
  <c r="R40" i="63"/>
  <c r="Q40" i="63"/>
  <c r="P40" i="63"/>
  <c r="O40" i="63"/>
  <c r="N40" i="63"/>
  <c r="M40" i="63"/>
  <c r="F40" i="63"/>
  <c r="AA39" i="63"/>
  <c r="Z39" i="63"/>
  <c r="Y39" i="63"/>
  <c r="X39" i="63"/>
  <c r="W39" i="63"/>
  <c r="V39" i="63"/>
  <c r="U39" i="63"/>
  <c r="T39" i="63"/>
  <c r="S39" i="63"/>
  <c r="R39" i="63"/>
  <c r="Q39" i="63"/>
  <c r="P39" i="63"/>
  <c r="O39" i="63"/>
  <c r="N39" i="63"/>
  <c r="M39" i="63"/>
  <c r="F39" i="63"/>
  <c r="AA38" i="63"/>
  <c r="Z38" i="63"/>
  <c r="Y38" i="63"/>
  <c r="X38" i="63"/>
  <c r="W38" i="63"/>
  <c r="V38" i="63"/>
  <c r="U38" i="63"/>
  <c r="T38" i="63"/>
  <c r="S38" i="63"/>
  <c r="R38" i="63"/>
  <c r="Q38" i="63"/>
  <c r="P38" i="63"/>
  <c r="O38" i="63"/>
  <c r="N38" i="63"/>
  <c r="M38" i="63"/>
  <c r="F38" i="63"/>
  <c r="AA37" i="63"/>
  <c r="Z37" i="63"/>
  <c r="Y37" i="63"/>
  <c r="X37" i="63"/>
  <c r="W37" i="63"/>
  <c r="V37" i="63"/>
  <c r="U37" i="63"/>
  <c r="T37" i="63"/>
  <c r="S37" i="63"/>
  <c r="R37" i="63"/>
  <c r="Q37" i="63"/>
  <c r="P37" i="63"/>
  <c r="O37" i="63"/>
  <c r="N37" i="63"/>
  <c r="M37" i="63"/>
  <c r="F37" i="63"/>
  <c r="AA36" i="63"/>
  <c r="Z36" i="63"/>
  <c r="Y36" i="63"/>
  <c r="X36" i="63"/>
  <c r="W36" i="63"/>
  <c r="V36" i="63"/>
  <c r="U36" i="63"/>
  <c r="T36" i="63"/>
  <c r="S36" i="63"/>
  <c r="R36" i="63"/>
  <c r="Q36" i="63"/>
  <c r="P36" i="63"/>
  <c r="O36" i="63"/>
  <c r="N36" i="63"/>
  <c r="M36" i="63"/>
  <c r="F36" i="63"/>
  <c r="AA35" i="63"/>
  <c r="Z35" i="63"/>
  <c r="Y35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F35" i="63"/>
  <c r="AA34" i="63"/>
  <c r="Z34" i="63"/>
  <c r="Y34" i="63"/>
  <c r="X34" i="63"/>
  <c r="W34" i="63"/>
  <c r="V34" i="63"/>
  <c r="U34" i="63"/>
  <c r="T34" i="63"/>
  <c r="S34" i="63"/>
  <c r="R34" i="63"/>
  <c r="Q34" i="63"/>
  <c r="P34" i="63"/>
  <c r="O34" i="63"/>
  <c r="N34" i="63"/>
  <c r="M34" i="63"/>
  <c r="F34" i="63"/>
  <c r="AA33" i="63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F33" i="63"/>
  <c r="AA32" i="63"/>
  <c r="Z32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F32" i="63"/>
  <c r="AA31" i="63"/>
  <c r="Z31" i="63"/>
  <c r="Y31" i="63"/>
  <c r="X31" i="63"/>
  <c r="W31" i="63"/>
  <c r="V31" i="63"/>
  <c r="U31" i="63"/>
  <c r="T31" i="63"/>
  <c r="S31" i="63"/>
  <c r="R31" i="63"/>
  <c r="Q31" i="63"/>
  <c r="P31" i="63"/>
  <c r="O31" i="63"/>
  <c r="N31" i="63"/>
  <c r="M31" i="63"/>
  <c r="F31" i="63"/>
  <c r="AA30" i="63"/>
  <c r="Z30" i="63"/>
  <c r="Y30" i="63"/>
  <c r="X30" i="63"/>
  <c r="W30" i="63"/>
  <c r="V30" i="63"/>
  <c r="U30" i="63"/>
  <c r="T30" i="63"/>
  <c r="S30" i="63"/>
  <c r="R30" i="63"/>
  <c r="Q30" i="63"/>
  <c r="P30" i="63"/>
  <c r="O30" i="63"/>
  <c r="N30" i="63"/>
  <c r="M30" i="63"/>
  <c r="F30" i="63"/>
  <c r="AA29" i="63"/>
  <c r="Z29" i="63"/>
  <c r="Y29" i="63"/>
  <c r="X29" i="63"/>
  <c r="W29" i="63"/>
  <c r="V29" i="63"/>
  <c r="U29" i="63"/>
  <c r="T29" i="63"/>
  <c r="S29" i="63"/>
  <c r="R29" i="63"/>
  <c r="Q29" i="63"/>
  <c r="P29" i="63"/>
  <c r="O29" i="63"/>
  <c r="N29" i="63"/>
  <c r="M29" i="63"/>
  <c r="F29" i="63"/>
  <c r="AA28" i="63"/>
  <c r="Z28" i="63"/>
  <c r="Y28" i="63"/>
  <c r="X28" i="63"/>
  <c r="W28" i="63"/>
  <c r="V28" i="63"/>
  <c r="U28" i="63"/>
  <c r="T28" i="63"/>
  <c r="S28" i="63"/>
  <c r="R28" i="63"/>
  <c r="Q28" i="63"/>
  <c r="P28" i="63"/>
  <c r="O28" i="63"/>
  <c r="N28" i="63"/>
  <c r="M28" i="63"/>
  <c r="F28" i="63"/>
  <c r="AA27" i="63"/>
  <c r="Z27" i="63"/>
  <c r="Y27" i="63"/>
  <c r="X27" i="63"/>
  <c r="W27" i="63"/>
  <c r="V27" i="63"/>
  <c r="U27" i="63"/>
  <c r="T27" i="63"/>
  <c r="S27" i="63"/>
  <c r="R27" i="63"/>
  <c r="Q27" i="63"/>
  <c r="P27" i="63"/>
  <c r="O27" i="63"/>
  <c r="N27" i="63"/>
  <c r="M27" i="63"/>
  <c r="F27" i="63"/>
  <c r="AA26" i="63"/>
  <c r="Z26" i="63"/>
  <c r="Y26" i="63"/>
  <c r="X26" i="63"/>
  <c r="W26" i="63"/>
  <c r="V26" i="63"/>
  <c r="U26" i="63"/>
  <c r="T26" i="63"/>
  <c r="S26" i="63"/>
  <c r="R26" i="63"/>
  <c r="Q26" i="63"/>
  <c r="P26" i="63"/>
  <c r="O26" i="63"/>
  <c r="N26" i="63"/>
  <c r="M26" i="63"/>
  <c r="F26" i="63"/>
  <c r="AA25" i="63"/>
  <c r="Z25" i="63"/>
  <c r="Y25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F25" i="63"/>
  <c r="AA24" i="63"/>
  <c r="Z24" i="63"/>
  <c r="Y24" i="63"/>
  <c r="X24" i="63"/>
  <c r="W24" i="63"/>
  <c r="V24" i="63"/>
  <c r="U24" i="63"/>
  <c r="T24" i="63"/>
  <c r="S24" i="63"/>
  <c r="R24" i="63"/>
  <c r="Q24" i="63"/>
  <c r="P24" i="63"/>
  <c r="O24" i="63"/>
  <c r="N24" i="63"/>
  <c r="M24" i="63"/>
  <c r="F24" i="63"/>
  <c r="AA23" i="63"/>
  <c r="Z23" i="63"/>
  <c r="Y23" i="63"/>
  <c r="X23" i="63"/>
  <c r="W23" i="63"/>
  <c r="V23" i="63"/>
  <c r="U23" i="63"/>
  <c r="T23" i="63"/>
  <c r="S23" i="63"/>
  <c r="R23" i="63"/>
  <c r="Q23" i="63"/>
  <c r="P23" i="63"/>
  <c r="O23" i="63"/>
  <c r="N23" i="63"/>
  <c r="M23" i="63"/>
  <c r="F23" i="63"/>
  <c r="AA22" i="63"/>
  <c r="Z22" i="63"/>
  <c r="Y22" i="63"/>
  <c r="X22" i="63"/>
  <c r="W22" i="63"/>
  <c r="V22" i="63"/>
  <c r="U22" i="63"/>
  <c r="T22" i="63"/>
  <c r="S22" i="63"/>
  <c r="R22" i="63"/>
  <c r="Q22" i="63"/>
  <c r="P22" i="63"/>
  <c r="O22" i="63"/>
  <c r="N22" i="63"/>
  <c r="M22" i="63"/>
  <c r="F22" i="63"/>
  <c r="AA21" i="63"/>
  <c r="Z21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F21" i="63"/>
  <c r="AA20" i="63"/>
  <c r="Z20" i="63"/>
  <c r="Y20" i="63"/>
  <c r="X20" i="63"/>
  <c r="W20" i="63"/>
  <c r="V20" i="63"/>
  <c r="U20" i="63"/>
  <c r="T20" i="63"/>
  <c r="S20" i="63"/>
  <c r="R20" i="63"/>
  <c r="Q20" i="63"/>
  <c r="P20" i="63"/>
  <c r="O20" i="63"/>
  <c r="N20" i="63"/>
  <c r="M20" i="63"/>
  <c r="F20" i="63"/>
  <c r="AA19" i="63"/>
  <c r="Z19" i="63"/>
  <c r="Y19" i="63"/>
  <c r="X19" i="63"/>
  <c r="W19" i="63"/>
  <c r="V19" i="63"/>
  <c r="U19" i="63"/>
  <c r="T19" i="63"/>
  <c r="S19" i="63"/>
  <c r="R19" i="63"/>
  <c r="Q19" i="63"/>
  <c r="P19" i="63"/>
  <c r="O19" i="63"/>
  <c r="N19" i="63"/>
  <c r="M19" i="63"/>
  <c r="F19" i="63"/>
  <c r="AA18" i="63"/>
  <c r="Z18" i="63"/>
  <c r="Y18" i="63"/>
  <c r="X18" i="63"/>
  <c r="W18" i="63"/>
  <c r="V18" i="63"/>
  <c r="U18" i="63"/>
  <c r="T18" i="63"/>
  <c r="S18" i="63"/>
  <c r="R18" i="63"/>
  <c r="Q18" i="63"/>
  <c r="P18" i="63"/>
  <c r="O18" i="63"/>
  <c r="N18" i="63"/>
  <c r="M18" i="63"/>
  <c r="F18" i="63"/>
  <c r="AA17" i="63"/>
  <c r="Z17" i="63"/>
  <c r="Y17" i="63"/>
  <c r="X17" i="63"/>
  <c r="W17" i="63"/>
  <c r="V17" i="63"/>
  <c r="U17" i="63"/>
  <c r="T17" i="63"/>
  <c r="S17" i="63"/>
  <c r="R17" i="63"/>
  <c r="Q17" i="63"/>
  <c r="P17" i="63"/>
  <c r="O17" i="63"/>
  <c r="N17" i="63"/>
  <c r="M17" i="63"/>
  <c r="F17" i="63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F16" i="63"/>
  <c r="AA15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F15" i="63"/>
  <c r="AA14" i="63"/>
  <c r="Z14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F14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F13" i="63"/>
  <c r="AA12" i="63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F12" i="63"/>
  <c r="AA11" i="63"/>
  <c r="Z11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F11" i="63"/>
  <c r="AA10" i="63"/>
  <c r="Z10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F10" i="63"/>
  <c r="AA9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F9" i="63"/>
  <c r="AA8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F8" i="63"/>
  <c r="AA7" i="63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F7" i="63"/>
  <c r="AA6" i="63"/>
  <c r="Z6" i="63"/>
  <c r="Y6" i="63"/>
  <c r="X6" i="63"/>
  <c r="W6" i="63"/>
  <c r="V6" i="63"/>
  <c r="U6" i="63"/>
  <c r="T6" i="63"/>
  <c r="S6" i="63"/>
  <c r="R6" i="63"/>
  <c r="Q6" i="63"/>
  <c r="P6" i="63"/>
  <c r="O6" i="63"/>
  <c r="N6" i="63"/>
  <c r="M6" i="63"/>
  <c r="F6" i="63"/>
  <c r="AA5" i="63"/>
  <c r="Z5" i="63"/>
  <c r="Y5" i="63"/>
  <c r="X5" i="63"/>
  <c r="W5" i="63"/>
  <c r="V5" i="63"/>
  <c r="U5" i="63"/>
  <c r="T5" i="63"/>
  <c r="S5" i="63"/>
  <c r="R5" i="63"/>
  <c r="Q5" i="63"/>
  <c r="P5" i="63"/>
  <c r="O5" i="63"/>
  <c r="N5" i="63"/>
  <c r="M5" i="63"/>
  <c r="F5" i="63"/>
  <c r="AA4" i="63"/>
  <c r="Z4" i="63"/>
  <c r="Y4" i="63"/>
  <c r="X4" i="63"/>
  <c r="W4" i="63"/>
  <c r="V4" i="63"/>
  <c r="U4" i="63"/>
  <c r="T4" i="63"/>
  <c r="S4" i="63"/>
  <c r="R4" i="63"/>
  <c r="Q4" i="63"/>
  <c r="P4" i="63"/>
  <c r="O4" i="63"/>
  <c r="N4" i="63"/>
  <c r="M4" i="63"/>
  <c r="F4" i="63"/>
  <c r="AA3" i="63"/>
  <c r="Z3" i="63"/>
  <c r="Y3" i="63"/>
  <c r="X3" i="63"/>
  <c r="W3" i="63"/>
  <c r="V3" i="63"/>
  <c r="U3" i="63"/>
  <c r="T3" i="63"/>
  <c r="S3" i="63"/>
  <c r="R3" i="63"/>
  <c r="Q3" i="63"/>
  <c r="P3" i="63"/>
  <c r="O3" i="63"/>
  <c r="N3" i="63"/>
  <c r="M3" i="63"/>
  <c r="F3" i="63"/>
  <c r="AA1" i="63"/>
  <c r="F5" i="62"/>
  <c r="G7" i="62"/>
  <c r="G8" i="62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38" i="62"/>
  <c r="G39" i="62"/>
  <c r="G40" i="62"/>
  <c r="G41" i="62"/>
  <c r="G42" i="62"/>
  <c r="G43" i="62"/>
  <c r="G44" i="62"/>
  <c r="G45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58" i="62"/>
  <c r="G59" i="62"/>
  <c r="G60" i="62"/>
  <c r="G61" i="62"/>
  <c r="G62" i="62"/>
  <c r="G63" i="62"/>
  <c r="G64" i="62"/>
  <c r="G65" i="62"/>
  <c r="G66" i="62"/>
  <c r="G67" i="62"/>
  <c r="G68" i="62"/>
  <c r="G69" i="62"/>
  <c r="G70" i="62"/>
  <c r="G71" i="62"/>
  <c r="G72" i="62"/>
  <c r="G73" i="62"/>
  <c r="G74" i="62"/>
  <c r="G75" i="62"/>
  <c r="G76" i="62"/>
  <c r="G77" i="62"/>
  <c r="G78" i="62"/>
  <c r="G79" i="62"/>
  <c r="G80" i="62"/>
  <c r="G81" i="62"/>
  <c r="G82" i="62"/>
  <c r="G83" i="62"/>
  <c r="G84" i="62"/>
  <c r="G85" i="62"/>
  <c r="G86" i="62"/>
  <c r="G87" i="62"/>
  <c r="G88" i="62"/>
  <c r="G89" i="62"/>
  <c r="G90" i="62"/>
  <c r="G91" i="62"/>
  <c r="G92" i="62"/>
  <c r="G93" i="62"/>
  <c r="G94" i="62"/>
  <c r="G95" i="62"/>
  <c r="G96" i="62"/>
  <c r="G97" i="62"/>
  <c r="G98" i="62"/>
  <c r="G99" i="62"/>
  <c r="G100" i="62"/>
  <c r="G101" i="62"/>
  <c r="G102" i="62"/>
  <c r="G103" i="62"/>
  <c r="G104" i="62"/>
  <c r="G105" i="62"/>
  <c r="G106" i="62"/>
  <c r="G107" i="62"/>
  <c r="G108" i="62"/>
  <c r="G109" i="62"/>
  <c r="G110" i="62"/>
  <c r="G111" i="62"/>
  <c r="G112" i="62"/>
  <c r="G113" i="62"/>
  <c r="G114" i="62"/>
  <c r="G115" i="62"/>
  <c r="G116" i="62"/>
  <c r="G117" i="62"/>
  <c r="G118" i="62"/>
  <c r="G119" i="62"/>
  <c r="G120" i="62"/>
  <c r="G121" i="62"/>
  <c r="G122" i="62"/>
  <c r="G123" i="62"/>
  <c r="G124" i="62"/>
  <c r="G125" i="62"/>
  <c r="G126" i="62"/>
  <c r="G127" i="62"/>
  <c r="G128" i="62"/>
  <c r="G129" i="62"/>
  <c r="G130" i="62"/>
  <c r="G131" i="62"/>
  <c r="G132" i="62"/>
  <c r="G133" i="62"/>
  <c r="G134" i="62"/>
  <c r="G135" i="62"/>
  <c r="G136" i="62"/>
  <c r="G137" i="62"/>
  <c r="G138" i="62"/>
  <c r="G139" i="62"/>
  <c r="G140" i="62"/>
  <c r="G141" i="62"/>
  <c r="G142" i="62"/>
  <c r="G143" i="62"/>
  <c r="G144" i="62"/>
  <c r="G145" i="62"/>
  <c r="G146" i="62"/>
  <c r="G147" i="62"/>
  <c r="G148" i="62"/>
  <c r="G149" i="62"/>
  <c r="G150" i="62"/>
  <c r="G151" i="62"/>
  <c r="G152" i="62"/>
  <c r="G153" i="62"/>
  <c r="G154" i="62"/>
  <c r="G155" i="62"/>
  <c r="G156" i="62"/>
  <c r="G157" i="62"/>
  <c r="G158" i="62"/>
  <c r="G159" i="62"/>
  <c r="G160" i="62"/>
  <c r="G161" i="62"/>
  <c r="G162" i="62"/>
  <c r="G163" i="62"/>
  <c r="G164" i="62"/>
  <c r="G165" i="62"/>
  <c r="G166" i="62"/>
  <c r="G167" i="62"/>
  <c r="G168" i="62"/>
  <c r="G169" i="62"/>
  <c r="G170" i="62"/>
  <c r="G171" i="62"/>
  <c r="G172" i="62"/>
  <c r="G173" i="62"/>
  <c r="G174" i="62"/>
  <c r="G175" i="62"/>
  <c r="G176" i="62"/>
  <c r="G177" i="62"/>
  <c r="G178" i="62"/>
  <c r="G179" i="62"/>
  <c r="G180" i="62"/>
  <c r="G181" i="62"/>
  <c r="G182" i="62"/>
  <c r="G183" i="62"/>
  <c r="G184" i="62"/>
  <c r="G185" i="62"/>
  <c r="G186" i="62"/>
  <c r="G187" i="62"/>
  <c r="G188" i="62"/>
  <c r="G189" i="62"/>
  <c r="G190" i="62"/>
  <c r="G191" i="62"/>
  <c r="G192" i="62"/>
  <c r="G193" i="62"/>
  <c r="G194" i="62"/>
  <c r="G195" i="62"/>
  <c r="G196" i="62"/>
  <c r="G197" i="62"/>
  <c r="G198" i="62"/>
  <c r="G199" i="62"/>
  <c r="G200" i="62"/>
  <c r="F6" i="62"/>
  <c r="G6" i="62" s="1"/>
  <c r="F4" i="62"/>
  <c r="G4" i="62" s="1"/>
  <c r="G5" i="62"/>
  <c r="F3" i="62"/>
  <c r="G3" i="62" s="1"/>
  <c r="F2" i="62"/>
  <c r="G2" i="62" s="1"/>
  <c r="G1" i="35"/>
  <c r="B5" i="49"/>
  <c r="F3" i="55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AA102" i="61"/>
  <c r="Z102" i="61"/>
  <c r="Y102" i="61"/>
  <c r="X102" i="61"/>
  <c r="W102" i="61"/>
  <c r="V102" i="61"/>
  <c r="U102" i="61"/>
  <c r="T102" i="61"/>
  <c r="S102" i="61"/>
  <c r="R102" i="61"/>
  <c r="Q102" i="61"/>
  <c r="P102" i="61"/>
  <c r="O102" i="61"/>
  <c r="N102" i="61"/>
  <c r="M102" i="61"/>
  <c r="F102" i="61"/>
  <c r="AA101" i="61"/>
  <c r="Z101" i="61"/>
  <c r="Y101" i="61"/>
  <c r="X101" i="61"/>
  <c r="W101" i="61"/>
  <c r="V101" i="61"/>
  <c r="U101" i="61"/>
  <c r="T101" i="61"/>
  <c r="S101" i="61"/>
  <c r="R101" i="61"/>
  <c r="Q101" i="61"/>
  <c r="P101" i="61"/>
  <c r="O101" i="61"/>
  <c r="N101" i="61"/>
  <c r="M101" i="61"/>
  <c r="F101" i="61"/>
  <c r="AA100" i="61"/>
  <c r="Z100" i="61"/>
  <c r="Y100" i="61"/>
  <c r="X100" i="61"/>
  <c r="W100" i="61"/>
  <c r="V100" i="61"/>
  <c r="U100" i="61"/>
  <c r="T100" i="61"/>
  <c r="S100" i="61"/>
  <c r="R100" i="61"/>
  <c r="Q100" i="61"/>
  <c r="P100" i="61"/>
  <c r="O100" i="61"/>
  <c r="N100" i="61"/>
  <c r="M100" i="61"/>
  <c r="F100" i="61"/>
  <c r="AA99" i="61"/>
  <c r="Z99" i="61"/>
  <c r="Y99" i="61"/>
  <c r="X99" i="61"/>
  <c r="W99" i="61"/>
  <c r="V99" i="61"/>
  <c r="U99" i="61"/>
  <c r="T99" i="61"/>
  <c r="S99" i="61"/>
  <c r="R99" i="61"/>
  <c r="Q99" i="61"/>
  <c r="P99" i="61"/>
  <c r="O99" i="61"/>
  <c r="N99" i="61"/>
  <c r="M99" i="61"/>
  <c r="F99" i="61"/>
  <c r="AA98" i="61"/>
  <c r="Z98" i="61"/>
  <c r="Y98" i="61"/>
  <c r="X98" i="61"/>
  <c r="W98" i="61"/>
  <c r="V98" i="61"/>
  <c r="U98" i="61"/>
  <c r="T98" i="61"/>
  <c r="S98" i="61"/>
  <c r="R98" i="61"/>
  <c r="Q98" i="61"/>
  <c r="P98" i="61"/>
  <c r="O98" i="61"/>
  <c r="N98" i="61"/>
  <c r="M98" i="61"/>
  <c r="F98" i="61"/>
  <c r="AA97" i="61"/>
  <c r="Z97" i="61"/>
  <c r="Y97" i="61"/>
  <c r="X97" i="61"/>
  <c r="W97" i="61"/>
  <c r="V97" i="61"/>
  <c r="U97" i="61"/>
  <c r="T97" i="61"/>
  <c r="S97" i="61"/>
  <c r="R97" i="61"/>
  <c r="Q97" i="61"/>
  <c r="P97" i="61"/>
  <c r="O97" i="61"/>
  <c r="N97" i="61"/>
  <c r="M97" i="61"/>
  <c r="F97" i="61"/>
  <c r="AA96" i="61"/>
  <c r="Z96" i="61"/>
  <c r="Y96" i="61"/>
  <c r="X96" i="61"/>
  <c r="W96" i="61"/>
  <c r="V96" i="61"/>
  <c r="U96" i="61"/>
  <c r="T96" i="61"/>
  <c r="S96" i="61"/>
  <c r="R96" i="61"/>
  <c r="Q96" i="61"/>
  <c r="P96" i="61"/>
  <c r="O96" i="61"/>
  <c r="N96" i="61"/>
  <c r="M96" i="61"/>
  <c r="F96" i="61"/>
  <c r="AA95" i="61"/>
  <c r="Z95" i="61"/>
  <c r="Y95" i="61"/>
  <c r="X95" i="61"/>
  <c r="W95" i="61"/>
  <c r="V95" i="61"/>
  <c r="U95" i="61"/>
  <c r="T95" i="61"/>
  <c r="S95" i="61"/>
  <c r="R95" i="61"/>
  <c r="Q95" i="61"/>
  <c r="P95" i="61"/>
  <c r="O95" i="61"/>
  <c r="N95" i="61"/>
  <c r="M95" i="61"/>
  <c r="F95" i="61"/>
  <c r="AA94" i="61"/>
  <c r="Z94" i="61"/>
  <c r="Y94" i="61"/>
  <c r="X94" i="61"/>
  <c r="W94" i="61"/>
  <c r="V94" i="61"/>
  <c r="U94" i="61"/>
  <c r="T94" i="61"/>
  <c r="S94" i="61"/>
  <c r="R94" i="61"/>
  <c r="Q94" i="61"/>
  <c r="P94" i="61"/>
  <c r="O94" i="61"/>
  <c r="N94" i="61"/>
  <c r="M94" i="61"/>
  <c r="F94" i="61"/>
  <c r="AA93" i="61"/>
  <c r="Z93" i="61"/>
  <c r="Y93" i="61"/>
  <c r="X93" i="61"/>
  <c r="W93" i="61"/>
  <c r="V93" i="61"/>
  <c r="U93" i="61"/>
  <c r="T93" i="61"/>
  <c r="S93" i="61"/>
  <c r="R93" i="61"/>
  <c r="Q93" i="61"/>
  <c r="P93" i="61"/>
  <c r="O93" i="61"/>
  <c r="N93" i="61"/>
  <c r="M93" i="61"/>
  <c r="F93" i="61"/>
  <c r="AA92" i="61"/>
  <c r="Z92" i="61"/>
  <c r="Y92" i="61"/>
  <c r="X92" i="61"/>
  <c r="W92" i="61"/>
  <c r="V92" i="61"/>
  <c r="U92" i="61"/>
  <c r="T92" i="61"/>
  <c r="S92" i="61"/>
  <c r="R92" i="61"/>
  <c r="Q92" i="61"/>
  <c r="P92" i="61"/>
  <c r="O92" i="61"/>
  <c r="N92" i="61"/>
  <c r="M92" i="61"/>
  <c r="F92" i="61"/>
  <c r="AA91" i="61"/>
  <c r="Z91" i="61"/>
  <c r="Y91" i="61"/>
  <c r="X91" i="61"/>
  <c r="W91" i="61"/>
  <c r="V91" i="61"/>
  <c r="U91" i="61"/>
  <c r="T91" i="61"/>
  <c r="S91" i="61"/>
  <c r="R91" i="61"/>
  <c r="Q91" i="61"/>
  <c r="P91" i="61"/>
  <c r="O91" i="61"/>
  <c r="N91" i="61"/>
  <c r="M91" i="61"/>
  <c r="F91" i="61"/>
  <c r="AA90" i="61"/>
  <c r="Z90" i="61"/>
  <c r="Y90" i="61"/>
  <c r="X90" i="61"/>
  <c r="W90" i="61"/>
  <c r="V90" i="61"/>
  <c r="U90" i="61"/>
  <c r="T90" i="61"/>
  <c r="S90" i="61"/>
  <c r="R90" i="61"/>
  <c r="Q90" i="61"/>
  <c r="P90" i="61"/>
  <c r="O90" i="61"/>
  <c r="N90" i="61"/>
  <c r="M90" i="61"/>
  <c r="F90" i="61"/>
  <c r="AA89" i="61"/>
  <c r="Z89" i="61"/>
  <c r="Y89" i="61"/>
  <c r="X89" i="61"/>
  <c r="W89" i="61"/>
  <c r="V89" i="61"/>
  <c r="U89" i="61"/>
  <c r="T89" i="61"/>
  <c r="S89" i="61"/>
  <c r="R89" i="61"/>
  <c r="Q89" i="61"/>
  <c r="P89" i="61"/>
  <c r="O89" i="61"/>
  <c r="N89" i="61"/>
  <c r="M89" i="61"/>
  <c r="F89" i="61"/>
  <c r="AA88" i="61"/>
  <c r="Z88" i="61"/>
  <c r="Y88" i="61"/>
  <c r="X88" i="61"/>
  <c r="W88" i="61"/>
  <c r="V88" i="61"/>
  <c r="U88" i="61"/>
  <c r="T88" i="61"/>
  <c r="S88" i="61"/>
  <c r="R88" i="61"/>
  <c r="Q88" i="61"/>
  <c r="P88" i="61"/>
  <c r="O88" i="61"/>
  <c r="N88" i="61"/>
  <c r="M88" i="61"/>
  <c r="F88" i="61"/>
  <c r="AA87" i="61"/>
  <c r="Z87" i="61"/>
  <c r="Y87" i="61"/>
  <c r="X87" i="61"/>
  <c r="W87" i="61"/>
  <c r="V87" i="61"/>
  <c r="U87" i="61"/>
  <c r="T87" i="61"/>
  <c r="S87" i="61"/>
  <c r="R87" i="61"/>
  <c r="Q87" i="61"/>
  <c r="P87" i="61"/>
  <c r="O87" i="61"/>
  <c r="N87" i="61"/>
  <c r="M87" i="61"/>
  <c r="F87" i="61"/>
  <c r="AA86" i="61"/>
  <c r="Z86" i="61"/>
  <c r="Y86" i="61"/>
  <c r="X86" i="61"/>
  <c r="W86" i="61"/>
  <c r="V86" i="61"/>
  <c r="U86" i="61"/>
  <c r="T86" i="61"/>
  <c r="S86" i="61"/>
  <c r="R86" i="61"/>
  <c r="Q86" i="61"/>
  <c r="P86" i="61"/>
  <c r="O86" i="61"/>
  <c r="N86" i="61"/>
  <c r="M86" i="61"/>
  <c r="F86" i="61"/>
  <c r="AA85" i="61"/>
  <c r="Z85" i="61"/>
  <c r="Y85" i="61"/>
  <c r="X85" i="61"/>
  <c r="W85" i="61"/>
  <c r="V85" i="61"/>
  <c r="U85" i="61"/>
  <c r="T85" i="61"/>
  <c r="S85" i="61"/>
  <c r="R85" i="61"/>
  <c r="Q85" i="61"/>
  <c r="P85" i="61"/>
  <c r="O85" i="61"/>
  <c r="N85" i="61"/>
  <c r="M85" i="61"/>
  <c r="F85" i="61"/>
  <c r="AA84" i="61"/>
  <c r="Z84" i="61"/>
  <c r="Y84" i="61"/>
  <c r="X84" i="61"/>
  <c r="W84" i="61"/>
  <c r="V84" i="61"/>
  <c r="U84" i="61"/>
  <c r="T84" i="61"/>
  <c r="S84" i="61"/>
  <c r="R84" i="61"/>
  <c r="Q84" i="61"/>
  <c r="P84" i="61"/>
  <c r="O84" i="61"/>
  <c r="N84" i="61"/>
  <c r="M84" i="61"/>
  <c r="F84" i="61"/>
  <c r="AA83" i="61"/>
  <c r="Z83" i="61"/>
  <c r="Y83" i="61"/>
  <c r="X83" i="61"/>
  <c r="W83" i="61"/>
  <c r="V83" i="61"/>
  <c r="U83" i="61"/>
  <c r="T83" i="61"/>
  <c r="S83" i="61"/>
  <c r="R83" i="61"/>
  <c r="Q83" i="61"/>
  <c r="P83" i="61"/>
  <c r="O83" i="61"/>
  <c r="N83" i="61"/>
  <c r="M83" i="61"/>
  <c r="F83" i="61"/>
  <c r="AA82" i="61"/>
  <c r="Z82" i="61"/>
  <c r="Y82" i="61"/>
  <c r="X82" i="61"/>
  <c r="W82" i="61"/>
  <c r="V82" i="61"/>
  <c r="U82" i="61"/>
  <c r="T82" i="61"/>
  <c r="S82" i="61"/>
  <c r="R82" i="61"/>
  <c r="Q82" i="61"/>
  <c r="P82" i="61"/>
  <c r="O82" i="61"/>
  <c r="N82" i="61"/>
  <c r="M82" i="61"/>
  <c r="F82" i="61"/>
  <c r="AA81" i="61"/>
  <c r="Z81" i="61"/>
  <c r="Y81" i="61"/>
  <c r="X81" i="61"/>
  <c r="W81" i="61"/>
  <c r="V81" i="61"/>
  <c r="U81" i="61"/>
  <c r="T81" i="61"/>
  <c r="S81" i="61"/>
  <c r="R81" i="61"/>
  <c r="Q81" i="61"/>
  <c r="P81" i="61"/>
  <c r="O81" i="61"/>
  <c r="N81" i="61"/>
  <c r="M81" i="61"/>
  <c r="F81" i="61"/>
  <c r="AA80" i="61"/>
  <c r="Z80" i="61"/>
  <c r="Y80" i="61"/>
  <c r="X80" i="61"/>
  <c r="W80" i="61"/>
  <c r="V80" i="61"/>
  <c r="U80" i="61"/>
  <c r="T80" i="61"/>
  <c r="S80" i="61"/>
  <c r="R80" i="61"/>
  <c r="Q80" i="61"/>
  <c r="P80" i="61"/>
  <c r="O80" i="61"/>
  <c r="N80" i="61"/>
  <c r="M80" i="61"/>
  <c r="F80" i="61"/>
  <c r="AA79" i="61"/>
  <c r="Z79" i="61"/>
  <c r="Y79" i="61"/>
  <c r="X79" i="61"/>
  <c r="W79" i="61"/>
  <c r="V79" i="61"/>
  <c r="U79" i="61"/>
  <c r="T79" i="61"/>
  <c r="S79" i="61"/>
  <c r="R79" i="61"/>
  <c r="Q79" i="61"/>
  <c r="P79" i="61"/>
  <c r="O79" i="61"/>
  <c r="N79" i="61"/>
  <c r="M79" i="61"/>
  <c r="F79" i="61"/>
  <c r="AA78" i="61"/>
  <c r="Z78" i="61"/>
  <c r="Y78" i="61"/>
  <c r="X78" i="61"/>
  <c r="W78" i="61"/>
  <c r="V78" i="61"/>
  <c r="U78" i="61"/>
  <c r="T78" i="61"/>
  <c r="S78" i="61"/>
  <c r="R78" i="61"/>
  <c r="Q78" i="61"/>
  <c r="P78" i="61"/>
  <c r="O78" i="61"/>
  <c r="N78" i="61"/>
  <c r="M78" i="61"/>
  <c r="F78" i="61"/>
  <c r="AA77" i="61"/>
  <c r="Z77" i="61"/>
  <c r="Y77" i="61"/>
  <c r="X77" i="61"/>
  <c r="W77" i="61"/>
  <c r="V77" i="61"/>
  <c r="U77" i="61"/>
  <c r="T77" i="61"/>
  <c r="S77" i="61"/>
  <c r="R77" i="61"/>
  <c r="Q77" i="61"/>
  <c r="P77" i="61"/>
  <c r="O77" i="61"/>
  <c r="N77" i="61"/>
  <c r="M77" i="61"/>
  <c r="F77" i="61"/>
  <c r="AA76" i="61"/>
  <c r="Z76" i="61"/>
  <c r="Y76" i="61"/>
  <c r="X76" i="61"/>
  <c r="W76" i="61"/>
  <c r="V76" i="61"/>
  <c r="U76" i="61"/>
  <c r="T76" i="61"/>
  <c r="S76" i="61"/>
  <c r="R76" i="61"/>
  <c r="Q76" i="61"/>
  <c r="P76" i="61"/>
  <c r="O76" i="61"/>
  <c r="N76" i="61"/>
  <c r="M76" i="61"/>
  <c r="F76" i="61"/>
  <c r="AA75" i="61"/>
  <c r="Z75" i="61"/>
  <c r="Y75" i="61"/>
  <c r="X75" i="61"/>
  <c r="W75" i="61"/>
  <c r="V75" i="61"/>
  <c r="U75" i="61"/>
  <c r="T75" i="61"/>
  <c r="S75" i="61"/>
  <c r="R75" i="61"/>
  <c r="Q75" i="61"/>
  <c r="P75" i="61"/>
  <c r="O75" i="61"/>
  <c r="N75" i="61"/>
  <c r="M75" i="61"/>
  <c r="F75" i="61"/>
  <c r="AA74" i="61"/>
  <c r="Z74" i="61"/>
  <c r="Y74" i="61"/>
  <c r="X74" i="61"/>
  <c r="W74" i="61"/>
  <c r="V74" i="61"/>
  <c r="U74" i="61"/>
  <c r="T74" i="61"/>
  <c r="S74" i="61"/>
  <c r="R74" i="61"/>
  <c r="Q74" i="61"/>
  <c r="P74" i="61"/>
  <c r="O74" i="61"/>
  <c r="N74" i="61"/>
  <c r="M74" i="61"/>
  <c r="F74" i="61"/>
  <c r="AA73" i="61"/>
  <c r="Z73" i="61"/>
  <c r="Y73" i="61"/>
  <c r="X73" i="61"/>
  <c r="W73" i="61"/>
  <c r="V73" i="61"/>
  <c r="U73" i="61"/>
  <c r="T73" i="61"/>
  <c r="S73" i="61"/>
  <c r="R73" i="61"/>
  <c r="Q73" i="61"/>
  <c r="P73" i="61"/>
  <c r="O73" i="61"/>
  <c r="N73" i="61"/>
  <c r="M73" i="61"/>
  <c r="F73" i="61"/>
  <c r="AA72" i="61"/>
  <c r="Z72" i="61"/>
  <c r="Y72" i="61"/>
  <c r="X72" i="61"/>
  <c r="W72" i="61"/>
  <c r="V72" i="61"/>
  <c r="U72" i="61"/>
  <c r="T72" i="61"/>
  <c r="S72" i="61"/>
  <c r="R72" i="61"/>
  <c r="Q72" i="61"/>
  <c r="P72" i="61"/>
  <c r="O72" i="61"/>
  <c r="N72" i="61"/>
  <c r="M72" i="61"/>
  <c r="F72" i="61"/>
  <c r="AA71" i="61"/>
  <c r="Z71" i="61"/>
  <c r="Y71" i="61"/>
  <c r="X71" i="61"/>
  <c r="W71" i="61"/>
  <c r="V71" i="61"/>
  <c r="U71" i="61"/>
  <c r="T71" i="61"/>
  <c r="S71" i="61"/>
  <c r="R71" i="61"/>
  <c r="Q71" i="61"/>
  <c r="P71" i="61"/>
  <c r="O71" i="61"/>
  <c r="N71" i="61"/>
  <c r="M71" i="61"/>
  <c r="F71" i="61"/>
  <c r="AA70" i="61"/>
  <c r="Z70" i="61"/>
  <c r="Y70" i="61"/>
  <c r="X70" i="61"/>
  <c r="W70" i="61"/>
  <c r="V70" i="61"/>
  <c r="U70" i="61"/>
  <c r="T70" i="61"/>
  <c r="S70" i="61"/>
  <c r="R70" i="61"/>
  <c r="Q70" i="61"/>
  <c r="P70" i="61"/>
  <c r="O70" i="61"/>
  <c r="N70" i="61"/>
  <c r="M70" i="61"/>
  <c r="F70" i="61"/>
  <c r="AA69" i="61"/>
  <c r="Z69" i="61"/>
  <c r="Y69" i="61"/>
  <c r="X69" i="61"/>
  <c r="W69" i="61"/>
  <c r="V69" i="61"/>
  <c r="U69" i="61"/>
  <c r="T69" i="61"/>
  <c r="S69" i="61"/>
  <c r="R69" i="61"/>
  <c r="Q69" i="61"/>
  <c r="P69" i="61"/>
  <c r="O69" i="61"/>
  <c r="N69" i="61"/>
  <c r="M69" i="61"/>
  <c r="F69" i="61"/>
  <c r="AA68" i="61"/>
  <c r="Z68" i="61"/>
  <c r="Y68" i="61"/>
  <c r="X68" i="61"/>
  <c r="W68" i="61"/>
  <c r="V68" i="61"/>
  <c r="U68" i="61"/>
  <c r="T68" i="61"/>
  <c r="S68" i="61"/>
  <c r="R68" i="61"/>
  <c r="Q68" i="61"/>
  <c r="P68" i="61"/>
  <c r="O68" i="61"/>
  <c r="N68" i="61"/>
  <c r="M68" i="61"/>
  <c r="F68" i="61"/>
  <c r="AA67" i="61"/>
  <c r="Z67" i="61"/>
  <c r="Y67" i="61"/>
  <c r="X67" i="61"/>
  <c r="W67" i="61"/>
  <c r="V67" i="61"/>
  <c r="U67" i="61"/>
  <c r="T67" i="61"/>
  <c r="S67" i="61"/>
  <c r="R67" i="61"/>
  <c r="Q67" i="61"/>
  <c r="P67" i="61"/>
  <c r="O67" i="61"/>
  <c r="N67" i="61"/>
  <c r="M67" i="61"/>
  <c r="F67" i="61"/>
  <c r="AA66" i="61"/>
  <c r="Z66" i="61"/>
  <c r="Y66" i="61"/>
  <c r="X66" i="61"/>
  <c r="W66" i="61"/>
  <c r="V66" i="61"/>
  <c r="U66" i="61"/>
  <c r="T66" i="61"/>
  <c r="S66" i="61"/>
  <c r="R66" i="61"/>
  <c r="Q66" i="61"/>
  <c r="P66" i="61"/>
  <c r="O66" i="61"/>
  <c r="N66" i="61"/>
  <c r="M66" i="61"/>
  <c r="F66" i="61"/>
  <c r="AA65" i="61"/>
  <c r="Z65" i="61"/>
  <c r="Y65" i="61"/>
  <c r="X65" i="61"/>
  <c r="W65" i="61"/>
  <c r="V65" i="61"/>
  <c r="U65" i="61"/>
  <c r="T65" i="61"/>
  <c r="S65" i="61"/>
  <c r="R65" i="61"/>
  <c r="Q65" i="61"/>
  <c r="P65" i="61"/>
  <c r="O65" i="61"/>
  <c r="N65" i="61"/>
  <c r="M65" i="61"/>
  <c r="F65" i="61"/>
  <c r="AA64" i="61"/>
  <c r="Z64" i="61"/>
  <c r="Y64" i="61"/>
  <c r="X64" i="61"/>
  <c r="W64" i="61"/>
  <c r="V64" i="61"/>
  <c r="U64" i="61"/>
  <c r="T64" i="61"/>
  <c r="S64" i="61"/>
  <c r="R64" i="61"/>
  <c r="Q64" i="61"/>
  <c r="P64" i="61"/>
  <c r="O64" i="61"/>
  <c r="N64" i="61"/>
  <c r="M64" i="61"/>
  <c r="F64" i="61"/>
  <c r="AA63" i="61"/>
  <c r="Z63" i="61"/>
  <c r="Y63" i="61"/>
  <c r="X63" i="61"/>
  <c r="W63" i="61"/>
  <c r="V63" i="61"/>
  <c r="U63" i="61"/>
  <c r="T63" i="61"/>
  <c r="S63" i="61"/>
  <c r="R63" i="61"/>
  <c r="Q63" i="61"/>
  <c r="P63" i="61"/>
  <c r="O63" i="61"/>
  <c r="N63" i="61"/>
  <c r="M63" i="61"/>
  <c r="F63" i="61"/>
  <c r="AA62" i="61"/>
  <c r="Z62" i="61"/>
  <c r="Y62" i="61"/>
  <c r="X62" i="61"/>
  <c r="W62" i="61"/>
  <c r="V62" i="61"/>
  <c r="U62" i="61"/>
  <c r="T62" i="61"/>
  <c r="S62" i="61"/>
  <c r="R62" i="61"/>
  <c r="Q62" i="61"/>
  <c r="P62" i="61"/>
  <c r="O62" i="61"/>
  <c r="N62" i="61"/>
  <c r="M62" i="61"/>
  <c r="F62" i="61"/>
  <c r="AA61" i="61"/>
  <c r="Z61" i="61"/>
  <c r="Y61" i="61"/>
  <c r="X61" i="61"/>
  <c r="W61" i="61"/>
  <c r="V61" i="61"/>
  <c r="U61" i="61"/>
  <c r="T61" i="61"/>
  <c r="S61" i="61"/>
  <c r="R61" i="61"/>
  <c r="Q61" i="61"/>
  <c r="P61" i="61"/>
  <c r="O61" i="61"/>
  <c r="N61" i="61"/>
  <c r="M61" i="61"/>
  <c r="F61" i="61"/>
  <c r="AA60" i="61"/>
  <c r="Z60" i="61"/>
  <c r="Y60" i="61"/>
  <c r="X60" i="61"/>
  <c r="W60" i="61"/>
  <c r="V60" i="61"/>
  <c r="U60" i="61"/>
  <c r="T60" i="61"/>
  <c r="S60" i="61"/>
  <c r="R60" i="61"/>
  <c r="Q60" i="61"/>
  <c r="P60" i="61"/>
  <c r="O60" i="61"/>
  <c r="N60" i="61"/>
  <c r="M60" i="61"/>
  <c r="F60" i="61"/>
  <c r="AA59" i="61"/>
  <c r="Z59" i="61"/>
  <c r="Y59" i="61"/>
  <c r="X59" i="61"/>
  <c r="W59" i="61"/>
  <c r="V59" i="61"/>
  <c r="U59" i="61"/>
  <c r="T59" i="61"/>
  <c r="S59" i="61"/>
  <c r="R59" i="61"/>
  <c r="Q59" i="61"/>
  <c r="P59" i="61"/>
  <c r="O59" i="61"/>
  <c r="N59" i="61"/>
  <c r="M59" i="61"/>
  <c r="F59" i="61"/>
  <c r="AA58" i="61"/>
  <c r="Z58" i="61"/>
  <c r="Y58" i="61"/>
  <c r="X58" i="61"/>
  <c r="W58" i="61"/>
  <c r="V58" i="61"/>
  <c r="U58" i="61"/>
  <c r="T58" i="61"/>
  <c r="S58" i="61"/>
  <c r="R58" i="61"/>
  <c r="Q58" i="61"/>
  <c r="P58" i="61"/>
  <c r="O58" i="61"/>
  <c r="N58" i="61"/>
  <c r="M58" i="61"/>
  <c r="F58" i="61"/>
  <c r="AA57" i="61"/>
  <c r="Z57" i="61"/>
  <c r="Y57" i="61"/>
  <c r="X57" i="61"/>
  <c r="W57" i="61"/>
  <c r="V57" i="61"/>
  <c r="U57" i="61"/>
  <c r="T57" i="61"/>
  <c r="S57" i="61"/>
  <c r="R57" i="61"/>
  <c r="Q57" i="61"/>
  <c r="P57" i="61"/>
  <c r="O57" i="61"/>
  <c r="N57" i="61"/>
  <c r="M57" i="61"/>
  <c r="F57" i="61"/>
  <c r="AA56" i="61"/>
  <c r="Z56" i="61"/>
  <c r="Y56" i="61"/>
  <c r="X56" i="61"/>
  <c r="W56" i="61"/>
  <c r="V56" i="61"/>
  <c r="U56" i="61"/>
  <c r="T56" i="61"/>
  <c r="S56" i="61"/>
  <c r="R56" i="61"/>
  <c r="Q56" i="61"/>
  <c r="P56" i="61"/>
  <c r="O56" i="61"/>
  <c r="N56" i="61"/>
  <c r="M56" i="61"/>
  <c r="F56" i="61"/>
  <c r="AA55" i="61"/>
  <c r="Z55" i="61"/>
  <c r="Y55" i="61"/>
  <c r="X55" i="61"/>
  <c r="W55" i="61"/>
  <c r="V55" i="61"/>
  <c r="U55" i="61"/>
  <c r="T55" i="61"/>
  <c r="S55" i="61"/>
  <c r="R55" i="61"/>
  <c r="Q55" i="61"/>
  <c r="P55" i="61"/>
  <c r="O55" i="61"/>
  <c r="N55" i="61"/>
  <c r="M55" i="61"/>
  <c r="F55" i="61"/>
  <c r="AA54" i="61"/>
  <c r="Z54" i="61"/>
  <c r="Y54" i="61"/>
  <c r="X54" i="61"/>
  <c r="W54" i="61"/>
  <c r="V54" i="61"/>
  <c r="U54" i="61"/>
  <c r="T54" i="61"/>
  <c r="S54" i="61"/>
  <c r="R54" i="61"/>
  <c r="Q54" i="61"/>
  <c r="P54" i="61"/>
  <c r="O54" i="61"/>
  <c r="N54" i="61"/>
  <c r="M54" i="61"/>
  <c r="F54" i="61"/>
  <c r="AA53" i="61"/>
  <c r="Z53" i="61"/>
  <c r="Y53" i="61"/>
  <c r="X53" i="61"/>
  <c r="W53" i="61"/>
  <c r="V53" i="61"/>
  <c r="U53" i="61"/>
  <c r="T53" i="61"/>
  <c r="S53" i="61"/>
  <c r="R53" i="61"/>
  <c r="Q53" i="61"/>
  <c r="P53" i="61"/>
  <c r="O53" i="61"/>
  <c r="N53" i="61"/>
  <c r="M53" i="61"/>
  <c r="F53" i="61"/>
  <c r="AA52" i="61"/>
  <c r="Z52" i="61"/>
  <c r="Y52" i="61"/>
  <c r="X52" i="61"/>
  <c r="W52" i="61"/>
  <c r="V52" i="61"/>
  <c r="U52" i="61"/>
  <c r="T52" i="61"/>
  <c r="S52" i="61"/>
  <c r="R52" i="61"/>
  <c r="Q52" i="61"/>
  <c r="P52" i="61"/>
  <c r="O52" i="61"/>
  <c r="N52" i="61"/>
  <c r="M52" i="61"/>
  <c r="F52" i="61"/>
  <c r="AA51" i="61"/>
  <c r="Z51" i="61"/>
  <c r="Y51" i="61"/>
  <c r="X51" i="61"/>
  <c r="W51" i="61"/>
  <c r="V51" i="61"/>
  <c r="U51" i="61"/>
  <c r="T51" i="61"/>
  <c r="S51" i="61"/>
  <c r="R51" i="61"/>
  <c r="Q51" i="61"/>
  <c r="P51" i="61"/>
  <c r="O51" i="61"/>
  <c r="N51" i="61"/>
  <c r="M51" i="61"/>
  <c r="F51" i="61"/>
  <c r="AA50" i="61"/>
  <c r="Z50" i="61"/>
  <c r="Y50" i="61"/>
  <c r="X50" i="61"/>
  <c r="W50" i="61"/>
  <c r="V50" i="61"/>
  <c r="U50" i="61"/>
  <c r="T50" i="61"/>
  <c r="S50" i="61"/>
  <c r="R50" i="61"/>
  <c r="Q50" i="61"/>
  <c r="P50" i="61"/>
  <c r="O50" i="61"/>
  <c r="N50" i="61"/>
  <c r="M50" i="61"/>
  <c r="F50" i="61"/>
  <c r="AA49" i="61"/>
  <c r="Z49" i="61"/>
  <c r="Y49" i="61"/>
  <c r="X49" i="61"/>
  <c r="W49" i="61"/>
  <c r="V49" i="61"/>
  <c r="U49" i="61"/>
  <c r="T49" i="61"/>
  <c r="S49" i="61"/>
  <c r="R49" i="61"/>
  <c r="Q49" i="61"/>
  <c r="P49" i="61"/>
  <c r="O49" i="61"/>
  <c r="N49" i="61"/>
  <c r="M49" i="61"/>
  <c r="F49" i="61"/>
  <c r="AA48" i="61"/>
  <c r="Z48" i="61"/>
  <c r="Y48" i="61"/>
  <c r="X48" i="61"/>
  <c r="W48" i="61"/>
  <c r="V48" i="61"/>
  <c r="U48" i="61"/>
  <c r="T48" i="61"/>
  <c r="S48" i="61"/>
  <c r="R48" i="61"/>
  <c r="Q48" i="61"/>
  <c r="P48" i="61"/>
  <c r="O48" i="61"/>
  <c r="N48" i="61"/>
  <c r="M48" i="61"/>
  <c r="F48" i="61"/>
  <c r="AA47" i="61"/>
  <c r="Z47" i="61"/>
  <c r="Y47" i="61"/>
  <c r="X47" i="61"/>
  <c r="W47" i="61"/>
  <c r="V47" i="61"/>
  <c r="U47" i="61"/>
  <c r="T47" i="61"/>
  <c r="S47" i="61"/>
  <c r="R47" i="61"/>
  <c r="Q47" i="61"/>
  <c r="P47" i="61"/>
  <c r="O47" i="61"/>
  <c r="N47" i="61"/>
  <c r="M47" i="61"/>
  <c r="F47" i="61"/>
  <c r="AA46" i="61"/>
  <c r="Z46" i="61"/>
  <c r="Y46" i="61"/>
  <c r="X46" i="61"/>
  <c r="W46" i="61"/>
  <c r="V46" i="61"/>
  <c r="U46" i="61"/>
  <c r="T46" i="61"/>
  <c r="S46" i="61"/>
  <c r="R46" i="61"/>
  <c r="Q46" i="61"/>
  <c r="P46" i="61"/>
  <c r="O46" i="61"/>
  <c r="N46" i="61"/>
  <c r="M46" i="61"/>
  <c r="F46" i="61"/>
  <c r="AA45" i="61"/>
  <c r="Z45" i="61"/>
  <c r="Y45" i="61"/>
  <c r="X45" i="61"/>
  <c r="W45" i="61"/>
  <c r="V45" i="61"/>
  <c r="U45" i="61"/>
  <c r="T45" i="61"/>
  <c r="S45" i="61"/>
  <c r="R45" i="61"/>
  <c r="Q45" i="61"/>
  <c r="P45" i="61"/>
  <c r="O45" i="61"/>
  <c r="N45" i="61"/>
  <c r="M45" i="61"/>
  <c r="F45" i="61"/>
  <c r="AA44" i="61"/>
  <c r="Z44" i="61"/>
  <c r="Y44" i="61"/>
  <c r="X44" i="61"/>
  <c r="W44" i="61"/>
  <c r="V44" i="61"/>
  <c r="U44" i="61"/>
  <c r="T44" i="61"/>
  <c r="S44" i="61"/>
  <c r="R44" i="61"/>
  <c r="Q44" i="61"/>
  <c r="P44" i="61"/>
  <c r="O44" i="61"/>
  <c r="N44" i="61"/>
  <c r="M44" i="61"/>
  <c r="F44" i="61"/>
  <c r="AA43" i="61"/>
  <c r="Z43" i="61"/>
  <c r="Y43" i="61"/>
  <c r="X43" i="61"/>
  <c r="W43" i="61"/>
  <c r="V43" i="61"/>
  <c r="U43" i="61"/>
  <c r="T43" i="61"/>
  <c r="S43" i="61"/>
  <c r="R43" i="61"/>
  <c r="Q43" i="61"/>
  <c r="P43" i="61"/>
  <c r="O43" i="61"/>
  <c r="N43" i="61"/>
  <c r="M43" i="61"/>
  <c r="F43" i="61"/>
  <c r="AA42" i="61"/>
  <c r="Z42" i="61"/>
  <c r="Y42" i="61"/>
  <c r="X42" i="61"/>
  <c r="W42" i="61"/>
  <c r="V42" i="61"/>
  <c r="U42" i="61"/>
  <c r="T42" i="61"/>
  <c r="S42" i="61"/>
  <c r="R42" i="61"/>
  <c r="Q42" i="61"/>
  <c r="P42" i="61"/>
  <c r="O42" i="61"/>
  <c r="N42" i="61"/>
  <c r="M42" i="61"/>
  <c r="F42" i="61"/>
  <c r="AA41" i="61"/>
  <c r="Z41" i="61"/>
  <c r="Y41" i="61"/>
  <c r="X41" i="61"/>
  <c r="W41" i="61"/>
  <c r="V41" i="61"/>
  <c r="U41" i="61"/>
  <c r="T41" i="61"/>
  <c r="S41" i="61"/>
  <c r="R41" i="61"/>
  <c r="Q41" i="61"/>
  <c r="P41" i="61"/>
  <c r="O41" i="61"/>
  <c r="N41" i="61"/>
  <c r="M41" i="61"/>
  <c r="F41" i="61"/>
  <c r="AA40" i="61"/>
  <c r="Z40" i="61"/>
  <c r="Y40" i="61"/>
  <c r="X40" i="61"/>
  <c r="W40" i="61"/>
  <c r="V40" i="61"/>
  <c r="U40" i="61"/>
  <c r="T40" i="61"/>
  <c r="S40" i="61"/>
  <c r="R40" i="61"/>
  <c r="Q40" i="61"/>
  <c r="P40" i="61"/>
  <c r="O40" i="61"/>
  <c r="N40" i="61"/>
  <c r="M40" i="61"/>
  <c r="F40" i="61"/>
  <c r="AA39" i="61"/>
  <c r="Z39" i="61"/>
  <c r="Y39" i="61"/>
  <c r="X39" i="61"/>
  <c r="W39" i="61"/>
  <c r="V39" i="61"/>
  <c r="U39" i="61"/>
  <c r="T39" i="61"/>
  <c r="S39" i="61"/>
  <c r="R39" i="61"/>
  <c r="Q39" i="61"/>
  <c r="P39" i="61"/>
  <c r="O39" i="61"/>
  <c r="N39" i="61"/>
  <c r="M39" i="61"/>
  <c r="F39" i="61"/>
  <c r="AA38" i="61"/>
  <c r="Z38" i="61"/>
  <c r="Y38" i="61"/>
  <c r="X38" i="61"/>
  <c r="W38" i="61"/>
  <c r="V38" i="61"/>
  <c r="U38" i="61"/>
  <c r="T38" i="61"/>
  <c r="S38" i="61"/>
  <c r="R38" i="61"/>
  <c r="Q38" i="61"/>
  <c r="P38" i="61"/>
  <c r="O38" i="61"/>
  <c r="N38" i="61"/>
  <c r="M38" i="61"/>
  <c r="F38" i="61"/>
  <c r="AA37" i="61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F37" i="61"/>
  <c r="AA36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F36" i="61"/>
  <c r="AA35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F35" i="61"/>
  <c r="AA34" i="6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F34" i="61"/>
  <c r="AA33" i="6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F33" i="61"/>
  <c r="AA32" i="6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F32" i="61"/>
  <c r="AA31" i="61"/>
  <c r="Z31" i="61"/>
  <c r="Y31" i="61"/>
  <c r="X31" i="61"/>
  <c r="W31" i="61"/>
  <c r="V31" i="61"/>
  <c r="U31" i="61"/>
  <c r="T31" i="61"/>
  <c r="S31" i="61"/>
  <c r="R31" i="61"/>
  <c r="Q31" i="61"/>
  <c r="P31" i="61"/>
  <c r="O31" i="61"/>
  <c r="N31" i="61"/>
  <c r="M31" i="61"/>
  <c r="F31" i="61"/>
  <c r="AA30" i="61"/>
  <c r="Z30" i="61"/>
  <c r="Y30" i="61"/>
  <c r="X30" i="61"/>
  <c r="W30" i="61"/>
  <c r="V30" i="61"/>
  <c r="U30" i="61"/>
  <c r="T30" i="61"/>
  <c r="S30" i="61"/>
  <c r="R30" i="61"/>
  <c r="Q30" i="61"/>
  <c r="P30" i="61"/>
  <c r="O30" i="61"/>
  <c r="N30" i="61"/>
  <c r="M30" i="61"/>
  <c r="F30" i="61"/>
  <c r="AA29" i="61"/>
  <c r="Z29" i="61"/>
  <c r="Y29" i="61"/>
  <c r="X29" i="61"/>
  <c r="W29" i="61"/>
  <c r="V29" i="61"/>
  <c r="U29" i="61"/>
  <c r="T29" i="61"/>
  <c r="S29" i="61"/>
  <c r="R29" i="61"/>
  <c r="Q29" i="61"/>
  <c r="P29" i="61"/>
  <c r="O29" i="61"/>
  <c r="N29" i="61"/>
  <c r="M29" i="61"/>
  <c r="F29" i="61"/>
  <c r="AA28" i="61"/>
  <c r="Z28" i="61"/>
  <c r="Y28" i="61"/>
  <c r="X28" i="61"/>
  <c r="W28" i="61"/>
  <c r="V28" i="61"/>
  <c r="U28" i="61"/>
  <c r="T28" i="61"/>
  <c r="S28" i="61"/>
  <c r="R28" i="61"/>
  <c r="Q28" i="61"/>
  <c r="P28" i="61"/>
  <c r="O28" i="61"/>
  <c r="N28" i="61"/>
  <c r="M28" i="61"/>
  <c r="F28" i="61"/>
  <c r="AA27" i="61"/>
  <c r="Z27" i="61"/>
  <c r="Y27" i="61"/>
  <c r="X27" i="61"/>
  <c r="W27" i="61"/>
  <c r="V27" i="61"/>
  <c r="U27" i="61"/>
  <c r="T27" i="61"/>
  <c r="S27" i="61"/>
  <c r="R27" i="61"/>
  <c r="Q27" i="61"/>
  <c r="P27" i="61"/>
  <c r="O27" i="61"/>
  <c r="N27" i="61"/>
  <c r="M27" i="61"/>
  <c r="F27" i="61"/>
  <c r="AA26" i="61"/>
  <c r="Z26" i="61"/>
  <c r="Y26" i="61"/>
  <c r="X26" i="61"/>
  <c r="W26" i="61"/>
  <c r="V26" i="61"/>
  <c r="U26" i="61"/>
  <c r="T26" i="61"/>
  <c r="S26" i="61"/>
  <c r="R26" i="61"/>
  <c r="Q26" i="61"/>
  <c r="P26" i="61"/>
  <c r="O26" i="61"/>
  <c r="N26" i="61"/>
  <c r="M26" i="61"/>
  <c r="F26" i="61"/>
  <c r="AA25" i="6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F25" i="61"/>
  <c r="AA24" i="61"/>
  <c r="Z24" i="61"/>
  <c r="Y24" i="61"/>
  <c r="X24" i="61"/>
  <c r="W24" i="61"/>
  <c r="V24" i="61"/>
  <c r="U24" i="61"/>
  <c r="T24" i="61"/>
  <c r="S24" i="61"/>
  <c r="R24" i="61"/>
  <c r="Q24" i="61"/>
  <c r="P24" i="61"/>
  <c r="O24" i="61"/>
  <c r="N24" i="61"/>
  <c r="M24" i="61"/>
  <c r="F24" i="61"/>
  <c r="AA23" i="61"/>
  <c r="Z23" i="61"/>
  <c r="Y23" i="61"/>
  <c r="X23" i="61"/>
  <c r="W23" i="61"/>
  <c r="V23" i="61"/>
  <c r="U23" i="61"/>
  <c r="T23" i="61"/>
  <c r="S23" i="61"/>
  <c r="R23" i="61"/>
  <c r="Q23" i="61"/>
  <c r="P23" i="61"/>
  <c r="O23" i="61"/>
  <c r="N23" i="61"/>
  <c r="M23" i="61"/>
  <c r="F23" i="61"/>
  <c r="AA22" i="61"/>
  <c r="Z22" i="61"/>
  <c r="Y22" i="61"/>
  <c r="X22" i="61"/>
  <c r="W22" i="61"/>
  <c r="V22" i="61"/>
  <c r="U22" i="61"/>
  <c r="T22" i="61"/>
  <c r="S22" i="61"/>
  <c r="R22" i="61"/>
  <c r="Q22" i="61"/>
  <c r="P22" i="61"/>
  <c r="O22" i="61"/>
  <c r="N22" i="61"/>
  <c r="M22" i="61"/>
  <c r="F22" i="61"/>
  <c r="AA21" i="6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F21" i="61"/>
  <c r="AA20" i="61"/>
  <c r="Z20" i="61"/>
  <c r="Y20" i="61"/>
  <c r="X20" i="61"/>
  <c r="W20" i="61"/>
  <c r="V20" i="61"/>
  <c r="U20" i="61"/>
  <c r="T20" i="61"/>
  <c r="S20" i="61"/>
  <c r="R20" i="61"/>
  <c r="Q20" i="61"/>
  <c r="P20" i="61"/>
  <c r="O20" i="61"/>
  <c r="N20" i="61"/>
  <c r="M20" i="61"/>
  <c r="F20" i="61"/>
  <c r="AA19" i="61"/>
  <c r="Z19" i="61"/>
  <c r="Y19" i="61"/>
  <c r="X19" i="61"/>
  <c r="W19" i="61"/>
  <c r="V19" i="61"/>
  <c r="U19" i="61"/>
  <c r="T19" i="61"/>
  <c r="S19" i="61"/>
  <c r="R19" i="61"/>
  <c r="Q19" i="61"/>
  <c r="P19" i="61"/>
  <c r="O19" i="61"/>
  <c r="N19" i="61"/>
  <c r="M19" i="61"/>
  <c r="F19" i="61"/>
  <c r="AA18" i="61"/>
  <c r="Z18" i="61"/>
  <c r="Y18" i="61"/>
  <c r="X18" i="61"/>
  <c r="W18" i="61"/>
  <c r="V18" i="61"/>
  <c r="U18" i="61"/>
  <c r="T18" i="61"/>
  <c r="S18" i="61"/>
  <c r="R18" i="61"/>
  <c r="Q18" i="61"/>
  <c r="P18" i="61"/>
  <c r="O18" i="61"/>
  <c r="N18" i="61"/>
  <c r="M18" i="61"/>
  <c r="F18" i="61"/>
  <c r="AA17" i="61"/>
  <c r="Z17" i="61"/>
  <c r="Y17" i="61"/>
  <c r="X17" i="61"/>
  <c r="W17" i="61"/>
  <c r="V17" i="61"/>
  <c r="U17" i="61"/>
  <c r="T17" i="61"/>
  <c r="S17" i="61"/>
  <c r="R17" i="61"/>
  <c r="Q17" i="61"/>
  <c r="P17" i="61"/>
  <c r="O17" i="61"/>
  <c r="N17" i="61"/>
  <c r="M17" i="61"/>
  <c r="F17" i="61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F16" i="61"/>
  <c r="AA15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F15" i="61"/>
  <c r="AA14" i="6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F14" i="61"/>
  <c r="AA13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F13" i="61"/>
  <c r="AA12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F12" i="61"/>
  <c r="AA11" i="6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F11" i="61"/>
  <c r="AA10" i="61"/>
  <c r="Z10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F10" i="61"/>
  <c r="AA9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F9" i="61"/>
  <c r="AA8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F8" i="61"/>
  <c r="AA7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F7" i="61"/>
  <c r="AA6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F6" i="61"/>
  <c r="AA5" i="61"/>
  <c r="Z5" i="61"/>
  <c r="Y5" i="61"/>
  <c r="X5" i="61"/>
  <c r="W5" i="61"/>
  <c r="V5" i="61"/>
  <c r="U5" i="61"/>
  <c r="T5" i="61"/>
  <c r="S5" i="61"/>
  <c r="R5" i="61"/>
  <c r="Q5" i="61"/>
  <c r="P5" i="61"/>
  <c r="O5" i="61"/>
  <c r="N5" i="61"/>
  <c r="M5" i="61"/>
  <c r="F5" i="61"/>
  <c r="AA4" i="61"/>
  <c r="Z4" i="61"/>
  <c r="Y4" i="61"/>
  <c r="X4" i="61"/>
  <c r="W4" i="61"/>
  <c r="V4" i="61"/>
  <c r="U4" i="61"/>
  <c r="T4" i="61"/>
  <c r="S4" i="61"/>
  <c r="R4" i="61"/>
  <c r="Q4" i="61"/>
  <c r="P4" i="61"/>
  <c r="O4" i="61"/>
  <c r="N4" i="61"/>
  <c r="M4" i="61"/>
  <c r="F4" i="61"/>
  <c r="AA3" i="61"/>
  <c r="Z3" i="61"/>
  <c r="Y3" i="61"/>
  <c r="X3" i="61"/>
  <c r="W3" i="61"/>
  <c r="W1" i="61" s="1"/>
  <c r="V3" i="61"/>
  <c r="U3" i="61"/>
  <c r="T3" i="61"/>
  <c r="S3" i="61"/>
  <c r="R3" i="61"/>
  <c r="Q3" i="61"/>
  <c r="P3" i="61"/>
  <c r="O3" i="61"/>
  <c r="N3" i="61"/>
  <c r="M3" i="61"/>
  <c r="F3" i="61"/>
  <c r="AA1" i="61"/>
  <c r="AA102" i="60"/>
  <c r="Z102" i="60"/>
  <c r="Y102" i="60"/>
  <c r="X102" i="60"/>
  <c r="W102" i="60"/>
  <c r="V102" i="60"/>
  <c r="U102" i="60"/>
  <c r="T102" i="60"/>
  <c r="S102" i="60"/>
  <c r="R102" i="60"/>
  <c r="Q102" i="60"/>
  <c r="P102" i="60"/>
  <c r="O102" i="60"/>
  <c r="N102" i="60"/>
  <c r="M102" i="60"/>
  <c r="AA101" i="60"/>
  <c r="Z101" i="60"/>
  <c r="Y101" i="60"/>
  <c r="X101" i="60"/>
  <c r="W101" i="60"/>
  <c r="V101" i="60"/>
  <c r="U101" i="60"/>
  <c r="T101" i="60"/>
  <c r="S101" i="60"/>
  <c r="R101" i="60"/>
  <c r="Q101" i="60"/>
  <c r="P101" i="60"/>
  <c r="O101" i="60"/>
  <c r="N101" i="60"/>
  <c r="M101" i="60"/>
  <c r="AA100" i="60"/>
  <c r="Z100" i="60"/>
  <c r="Y100" i="60"/>
  <c r="X100" i="60"/>
  <c r="W100" i="60"/>
  <c r="V100" i="60"/>
  <c r="U100" i="60"/>
  <c r="T100" i="60"/>
  <c r="S100" i="60"/>
  <c r="R100" i="60"/>
  <c r="Q100" i="60"/>
  <c r="P100" i="60"/>
  <c r="O100" i="60"/>
  <c r="N100" i="60"/>
  <c r="M100" i="60"/>
  <c r="AA99" i="60"/>
  <c r="Z99" i="60"/>
  <c r="Y99" i="60"/>
  <c r="X99" i="60"/>
  <c r="W99" i="60"/>
  <c r="V99" i="60"/>
  <c r="U99" i="60"/>
  <c r="T99" i="60"/>
  <c r="S99" i="60"/>
  <c r="R99" i="60"/>
  <c r="Q99" i="60"/>
  <c r="P99" i="60"/>
  <c r="O99" i="60"/>
  <c r="N99" i="60"/>
  <c r="M99" i="60"/>
  <c r="AA98" i="60"/>
  <c r="Z98" i="60"/>
  <c r="Y98" i="60"/>
  <c r="X98" i="60"/>
  <c r="W98" i="60"/>
  <c r="V98" i="60"/>
  <c r="U98" i="60"/>
  <c r="T98" i="60"/>
  <c r="S98" i="60"/>
  <c r="R98" i="60"/>
  <c r="Q98" i="60"/>
  <c r="P98" i="60"/>
  <c r="O98" i="60"/>
  <c r="N98" i="60"/>
  <c r="M98" i="60"/>
  <c r="AA97" i="60"/>
  <c r="Z97" i="60"/>
  <c r="Y97" i="60"/>
  <c r="X97" i="60"/>
  <c r="W97" i="60"/>
  <c r="V97" i="60"/>
  <c r="U97" i="60"/>
  <c r="T97" i="60"/>
  <c r="S97" i="60"/>
  <c r="R97" i="60"/>
  <c r="Q97" i="60"/>
  <c r="P97" i="60"/>
  <c r="O97" i="60"/>
  <c r="N97" i="60"/>
  <c r="M97" i="60"/>
  <c r="AA96" i="60"/>
  <c r="Z96" i="60"/>
  <c r="Y96" i="60"/>
  <c r="X96" i="60"/>
  <c r="W96" i="60"/>
  <c r="V96" i="60"/>
  <c r="U96" i="60"/>
  <c r="T96" i="60"/>
  <c r="S96" i="60"/>
  <c r="R96" i="60"/>
  <c r="Q96" i="60"/>
  <c r="P96" i="60"/>
  <c r="O96" i="60"/>
  <c r="N96" i="60"/>
  <c r="M96" i="60"/>
  <c r="AA95" i="60"/>
  <c r="Z95" i="60"/>
  <c r="Y95" i="60"/>
  <c r="X95" i="60"/>
  <c r="W95" i="60"/>
  <c r="V95" i="60"/>
  <c r="U95" i="60"/>
  <c r="T95" i="60"/>
  <c r="S95" i="60"/>
  <c r="R95" i="60"/>
  <c r="Q95" i="60"/>
  <c r="P95" i="60"/>
  <c r="O95" i="60"/>
  <c r="N95" i="60"/>
  <c r="M95" i="60"/>
  <c r="AA94" i="60"/>
  <c r="Z94" i="60"/>
  <c r="Y94" i="60"/>
  <c r="X94" i="60"/>
  <c r="W94" i="60"/>
  <c r="V94" i="60"/>
  <c r="U94" i="60"/>
  <c r="T94" i="60"/>
  <c r="S94" i="60"/>
  <c r="R94" i="60"/>
  <c r="Q94" i="60"/>
  <c r="P94" i="60"/>
  <c r="O94" i="60"/>
  <c r="N94" i="60"/>
  <c r="M94" i="60"/>
  <c r="AA93" i="60"/>
  <c r="Z93" i="60"/>
  <c r="Y93" i="60"/>
  <c r="X93" i="60"/>
  <c r="W93" i="60"/>
  <c r="V93" i="60"/>
  <c r="U93" i="60"/>
  <c r="T93" i="60"/>
  <c r="S93" i="60"/>
  <c r="R93" i="60"/>
  <c r="Q93" i="60"/>
  <c r="P93" i="60"/>
  <c r="O93" i="60"/>
  <c r="N93" i="60"/>
  <c r="M93" i="60"/>
  <c r="AA92" i="60"/>
  <c r="Z92" i="60"/>
  <c r="Y92" i="60"/>
  <c r="X92" i="60"/>
  <c r="W92" i="60"/>
  <c r="V92" i="60"/>
  <c r="U92" i="60"/>
  <c r="T92" i="60"/>
  <c r="S92" i="60"/>
  <c r="R92" i="60"/>
  <c r="Q92" i="60"/>
  <c r="P92" i="60"/>
  <c r="O92" i="60"/>
  <c r="N92" i="60"/>
  <c r="M92" i="60"/>
  <c r="AA91" i="60"/>
  <c r="Z91" i="60"/>
  <c r="Y91" i="60"/>
  <c r="X91" i="60"/>
  <c r="W91" i="60"/>
  <c r="V91" i="60"/>
  <c r="U91" i="60"/>
  <c r="T91" i="60"/>
  <c r="S91" i="60"/>
  <c r="R91" i="60"/>
  <c r="Q91" i="60"/>
  <c r="P91" i="60"/>
  <c r="O91" i="60"/>
  <c r="N91" i="60"/>
  <c r="M91" i="60"/>
  <c r="AA90" i="60"/>
  <c r="Z90" i="60"/>
  <c r="Y90" i="60"/>
  <c r="X90" i="60"/>
  <c r="W90" i="60"/>
  <c r="V90" i="60"/>
  <c r="U90" i="60"/>
  <c r="T90" i="60"/>
  <c r="S90" i="60"/>
  <c r="R90" i="60"/>
  <c r="Q90" i="60"/>
  <c r="P90" i="60"/>
  <c r="O90" i="60"/>
  <c r="N90" i="60"/>
  <c r="M90" i="60"/>
  <c r="AA89" i="60"/>
  <c r="Z89" i="60"/>
  <c r="Y89" i="60"/>
  <c r="X89" i="60"/>
  <c r="W89" i="60"/>
  <c r="V89" i="60"/>
  <c r="U89" i="60"/>
  <c r="T89" i="60"/>
  <c r="S89" i="60"/>
  <c r="R89" i="60"/>
  <c r="Q89" i="60"/>
  <c r="P89" i="60"/>
  <c r="O89" i="60"/>
  <c r="N89" i="60"/>
  <c r="M89" i="60"/>
  <c r="AA88" i="60"/>
  <c r="Z88" i="60"/>
  <c r="Y88" i="60"/>
  <c r="X88" i="60"/>
  <c r="W88" i="60"/>
  <c r="V88" i="60"/>
  <c r="U88" i="60"/>
  <c r="T88" i="60"/>
  <c r="S88" i="60"/>
  <c r="R88" i="60"/>
  <c r="Q88" i="60"/>
  <c r="P88" i="60"/>
  <c r="O88" i="60"/>
  <c r="N88" i="60"/>
  <c r="M88" i="60"/>
  <c r="AA87" i="60"/>
  <c r="Z87" i="60"/>
  <c r="Y87" i="60"/>
  <c r="X87" i="60"/>
  <c r="W87" i="60"/>
  <c r="V87" i="60"/>
  <c r="U87" i="60"/>
  <c r="T87" i="60"/>
  <c r="S87" i="60"/>
  <c r="R87" i="60"/>
  <c r="Q87" i="60"/>
  <c r="P87" i="60"/>
  <c r="O87" i="60"/>
  <c r="N87" i="60"/>
  <c r="M87" i="60"/>
  <c r="AA86" i="60"/>
  <c r="Z86" i="60"/>
  <c r="Y86" i="60"/>
  <c r="X86" i="60"/>
  <c r="W86" i="60"/>
  <c r="V86" i="60"/>
  <c r="U86" i="60"/>
  <c r="T86" i="60"/>
  <c r="S86" i="60"/>
  <c r="R86" i="60"/>
  <c r="Q86" i="60"/>
  <c r="P86" i="60"/>
  <c r="O86" i="60"/>
  <c r="N86" i="60"/>
  <c r="M86" i="60"/>
  <c r="AA85" i="60"/>
  <c r="Z85" i="60"/>
  <c r="Y85" i="60"/>
  <c r="X85" i="60"/>
  <c r="W85" i="60"/>
  <c r="V85" i="60"/>
  <c r="U85" i="60"/>
  <c r="T85" i="60"/>
  <c r="S85" i="60"/>
  <c r="R85" i="60"/>
  <c r="Q85" i="60"/>
  <c r="P85" i="60"/>
  <c r="O85" i="60"/>
  <c r="N85" i="60"/>
  <c r="M85" i="60"/>
  <c r="AA84" i="60"/>
  <c r="Z84" i="60"/>
  <c r="Y84" i="60"/>
  <c r="X84" i="60"/>
  <c r="W84" i="60"/>
  <c r="V84" i="60"/>
  <c r="U84" i="60"/>
  <c r="T84" i="60"/>
  <c r="S84" i="60"/>
  <c r="R84" i="60"/>
  <c r="Q84" i="60"/>
  <c r="P84" i="60"/>
  <c r="O84" i="60"/>
  <c r="N84" i="60"/>
  <c r="M84" i="60"/>
  <c r="AA83" i="60"/>
  <c r="Z83" i="60"/>
  <c r="Y83" i="60"/>
  <c r="X83" i="60"/>
  <c r="W83" i="60"/>
  <c r="V83" i="60"/>
  <c r="U83" i="60"/>
  <c r="T83" i="60"/>
  <c r="S83" i="60"/>
  <c r="R83" i="60"/>
  <c r="Q83" i="60"/>
  <c r="P83" i="60"/>
  <c r="O83" i="60"/>
  <c r="N83" i="60"/>
  <c r="M83" i="60"/>
  <c r="AA82" i="60"/>
  <c r="Z82" i="60"/>
  <c r="Y82" i="60"/>
  <c r="X82" i="60"/>
  <c r="W82" i="60"/>
  <c r="V82" i="60"/>
  <c r="U82" i="60"/>
  <c r="T82" i="60"/>
  <c r="S82" i="60"/>
  <c r="R82" i="60"/>
  <c r="Q82" i="60"/>
  <c r="P82" i="60"/>
  <c r="O82" i="60"/>
  <c r="N82" i="60"/>
  <c r="M82" i="60"/>
  <c r="AA81" i="60"/>
  <c r="Z81" i="60"/>
  <c r="Y81" i="60"/>
  <c r="X81" i="60"/>
  <c r="W81" i="60"/>
  <c r="V81" i="60"/>
  <c r="U81" i="60"/>
  <c r="T81" i="60"/>
  <c r="S81" i="60"/>
  <c r="R81" i="60"/>
  <c r="Q81" i="60"/>
  <c r="P81" i="60"/>
  <c r="O81" i="60"/>
  <c r="N81" i="60"/>
  <c r="M81" i="60"/>
  <c r="AA80" i="60"/>
  <c r="Z80" i="60"/>
  <c r="Y80" i="60"/>
  <c r="X80" i="60"/>
  <c r="W80" i="60"/>
  <c r="V80" i="60"/>
  <c r="U80" i="60"/>
  <c r="T80" i="60"/>
  <c r="S80" i="60"/>
  <c r="R80" i="60"/>
  <c r="Q80" i="60"/>
  <c r="P80" i="60"/>
  <c r="O80" i="60"/>
  <c r="N80" i="60"/>
  <c r="M80" i="60"/>
  <c r="AA79" i="60"/>
  <c r="Z79" i="60"/>
  <c r="Y79" i="60"/>
  <c r="X79" i="60"/>
  <c r="W79" i="60"/>
  <c r="V79" i="60"/>
  <c r="U79" i="60"/>
  <c r="T79" i="60"/>
  <c r="S79" i="60"/>
  <c r="R79" i="60"/>
  <c r="Q79" i="60"/>
  <c r="P79" i="60"/>
  <c r="O79" i="60"/>
  <c r="N79" i="60"/>
  <c r="M79" i="60"/>
  <c r="AA78" i="60"/>
  <c r="Z78" i="60"/>
  <c r="Y78" i="60"/>
  <c r="X78" i="60"/>
  <c r="W78" i="60"/>
  <c r="V78" i="60"/>
  <c r="U78" i="60"/>
  <c r="T78" i="60"/>
  <c r="S78" i="60"/>
  <c r="R78" i="60"/>
  <c r="Q78" i="60"/>
  <c r="P78" i="60"/>
  <c r="O78" i="60"/>
  <c r="N78" i="60"/>
  <c r="M78" i="60"/>
  <c r="AA77" i="60"/>
  <c r="Z77" i="60"/>
  <c r="Y77" i="60"/>
  <c r="X77" i="60"/>
  <c r="W77" i="60"/>
  <c r="V77" i="60"/>
  <c r="U77" i="60"/>
  <c r="T77" i="60"/>
  <c r="S77" i="60"/>
  <c r="R77" i="60"/>
  <c r="Q77" i="60"/>
  <c r="P77" i="60"/>
  <c r="O77" i="60"/>
  <c r="N77" i="60"/>
  <c r="M77" i="60"/>
  <c r="AA76" i="60"/>
  <c r="Z76" i="60"/>
  <c r="Y76" i="60"/>
  <c r="X76" i="60"/>
  <c r="W76" i="60"/>
  <c r="V76" i="60"/>
  <c r="U76" i="60"/>
  <c r="T76" i="60"/>
  <c r="S76" i="60"/>
  <c r="R76" i="60"/>
  <c r="Q76" i="60"/>
  <c r="P76" i="60"/>
  <c r="O76" i="60"/>
  <c r="N76" i="60"/>
  <c r="M76" i="60"/>
  <c r="AA75" i="60"/>
  <c r="Z75" i="60"/>
  <c r="Y75" i="60"/>
  <c r="X75" i="60"/>
  <c r="W75" i="60"/>
  <c r="V75" i="60"/>
  <c r="U75" i="60"/>
  <c r="T75" i="60"/>
  <c r="S75" i="60"/>
  <c r="R75" i="60"/>
  <c r="Q75" i="60"/>
  <c r="P75" i="60"/>
  <c r="O75" i="60"/>
  <c r="N75" i="60"/>
  <c r="M75" i="60"/>
  <c r="AA74" i="60"/>
  <c r="Z74" i="60"/>
  <c r="Y74" i="60"/>
  <c r="X74" i="60"/>
  <c r="W74" i="60"/>
  <c r="V74" i="60"/>
  <c r="U74" i="60"/>
  <c r="T74" i="60"/>
  <c r="S74" i="60"/>
  <c r="R74" i="60"/>
  <c r="Q74" i="60"/>
  <c r="P74" i="60"/>
  <c r="O74" i="60"/>
  <c r="N74" i="60"/>
  <c r="M74" i="60"/>
  <c r="AA73" i="60"/>
  <c r="Z73" i="60"/>
  <c r="Y73" i="60"/>
  <c r="X73" i="60"/>
  <c r="W73" i="60"/>
  <c r="V73" i="60"/>
  <c r="U73" i="60"/>
  <c r="T73" i="60"/>
  <c r="S73" i="60"/>
  <c r="R73" i="60"/>
  <c r="Q73" i="60"/>
  <c r="P73" i="60"/>
  <c r="O73" i="60"/>
  <c r="N73" i="60"/>
  <c r="M73" i="60"/>
  <c r="AA72" i="60"/>
  <c r="Z72" i="60"/>
  <c r="Y72" i="60"/>
  <c r="X72" i="60"/>
  <c r="W72" i="60"/>
  <c r="V72" i="60"/>
  <c r="U72" i="60"/>
  <c r="T72" i="60"/>
  <c r="S72" i="60"/>
  <c r="R72" i="60"/>
  <c r="Q72" i="60"/>
  <c r="P72" i="60"/>
  <c r="O72" i="60"/>
  <c r="N72" i="60"/>
  <c r="M72" i="60"/>
  <c r="AA71" i="60"/>
  <c r="Z71" i="60"/>
  <c r="Y71" i="60"/>
  <c r="X71" i="60"/>
  <c r="W71" i="60"/>
  <c r="V71" i="60"/>
  <c r="U71" i="60"/>
  <c r="T71" i="60"/>
  <c r="S71" i="60"/>
  <c r="R71" i="60"/>
  <c r="Q71" i="60"/>
  <c r="P71" i="60"/>
  <c r="O71" i="60"/>
  <c r="N71" i="60"/>
  <c r="M71" i="60"/>
  <c r="AA70" i="60"/>
  <c r="Z70" i="60"/>
  <c r="Y70" i="60"/>
  <c r="X70" i="60"/>
  <c r="W70" i="60"/>
  <c r="V70" i="60"/>
  <c r="U70" i="60"/>
  <c r="T70" i="60"/>
  <c r="S70" i="60"/>
  <c r="R70" i="60"/>
  <c r="Q70" i="60"/>
  <c r="P70" i="60"/>
  <c r="O70" i="60"/>
  <c r="N70" i="60"/>
  <c r="M70" i="60"/>
  <c r="AA69" i="60"/>
  <c r="Z69" i="60"/>
  <c r="Y69" i="60"/>
  <c r="X69" i="60"/>
  <c r="W69" i="60"/>
  <c r="V69" i="60"/>
  <c r="U69" i="60"/>
  <c r="T69" i="60"/>
  <c r="S69" i="60"/>
  <c r="R69" i="60"/>
  <c r="Q69" i="60"/>
  <c r="P69" i="60"/>
  <c r="O69" i="60"/>
  <c r="N69" i="60"/>
  <c r="M69" i="60"/>
  <c r="AA68" i="60"/>
  <c r="Z68" i="60"/>
  <c r="Y68" i="60"/>
  <c r="X68" i="60"/>
  <c r="W68" i="60"/>
  <c r="V68" i="60"/>
  <c r="U68" i="60"/>
  <c r="T68" i="60"/>
  <c r="S68" i="60"/>
  <c r="R68" i="60"/>
  <c r="Q68" i="60"/>
  <c r="P68" i="60"/>
  <c r="O68" i="60"/>
  <c r="N68" i="60"/>
  <c r="M68" i="60"/>
  <c r="AA67" i="60"/>
  <c r="Z67" i="60"/>
  <c r="Y67" i="60"/>
  <c r="X67" i="60"/>
  <c r="W67" i="60"/>
  <c r="V67" i="60"/>
  <c r="U67" i="60"/>
  <c r="T67" i="60"/>
  <c r="S67" i="60"/>
  <c r="R67" i="60"/>
  <c r="Q67" i="60"/>
  <c r="P67" i="60"/>
  <c r="O67" i="60"/>
  <c r="N67" i="60"/>
  <c r="M67" i="60"/>
  <c r="AA66" i="60"/>
  <c r="Z66" i="60"/>
  <c r="Y66" i="60"/>
  <c r="X66" i="60"/>
  <c r="W66" i="60"/>
  <c r="V66" i="60"/>
  <c r="U66" i="60"/>
  <c r="T66" i="60"/>
  <c r="S66" i="60"/>
  <c r="R66" i="60"/>
  <c r="Q66" i="60"/>
  <c r="P66" i="60"/>
  <c r="O66" i="60"/>
  <c r="N66" i="60"/>
  <c r="M66" i="60"/>
  <c r="AA65" i="60"/>
  <c r="Z65" i="60"/>
  <c r="Y65" i="60"/>
  <c r="X65" i="60"/>
  <c r="W65" i="60"/>
  <c r="V65" i="60"/>
  <c r="U65" i="60"/>
  <c r="T65" i="60"/>
  <c r="S65" i="60"/>
  <c r="R65" i="60"/>
  <c r="Q65" i="60"/>
  <c r="P65" i="60"/>
  <c r="O65" i="60"/>
  <c r="N65" i="60"/>
  <c r="M65" i="60"/>
  <c r="AA64" i="60"/>
  <c r="Z64" i="60"/>
  <c r="Y64" i="60"/>
  <c r="X64" i="60"/>
  <c r="W64" i="60"/>
  <c r="V64" i="60"/>
  <c r="U64" i="60"/>
  <c r="T64" i="60"/>
  <c r="S64" i="60"/>
  <c r="R64" i="60"/>
  <c r="Q64" i="60"/>
  <c r="P64" i="60"/>
  <c r="O64" i="60"/>
  <c r="N64" i="60"/>
  <c r="M64" i="60"/>
  <c r="AA63" i="60"/>
  <c r="Z63" i="60"/>
  <c r="Y63" i="60"/>
  <c r="X63" i="60"/>
  <c r="W63" i="60"/>
  <c r="V63" i="60"/>
  <c r="U63" i="60"/>
  <c r="T63" i="60"/>
  <c r="S63" i="60"/>
  <c r="R63" i="60"/>
  <c r="Q63" i="60"/>
  <c r="P63" i="60"/>
  <c r="O63" i="60"/>
  <c r="N63" i="60"/>
  <c r="M63" i="60"/>
  <c r="AA62" i="60"/>
  <c r="Z62" i="60"/>
  <c r="Y62" i="60"/>
  <c r="X62" i="60"/>
  <c r="W62" i="60"/>
  <c r="V62" i="60"/>
  <c r="U62" i="60"/>
  <c r="T62" i="60"/>
  <c r="S62" i="60"/>
  <c r="R62" i="60"/>
  <c r="Q62" i="60"/>
  <c r="P62" i="60"/>
  <c r="O62" i="60"/>
  <c r="N62" i="60"/>
  <c r="M62" i="60"/>
  <c r="AA61" i="60"/>
  <c r="Z61" i="60"/>
  <c r="Y61" i="60"/>
  <c r="X61" i="60"/>
  <c r="W61" i="60"/>
  <c r="V61" i="60"/>
  <c r="U61" i="60"/>
  <c r="T61" i="60"/>
  <c r="S61" i="60"/>
  <c r="R61" i="60"/>
  <c r="Q61" i="60"/>
  <c r="P61" i="60"/>
  <c r="O61" i="60"/>
  <c r="N61" i="60"/>
  <c r="M61" i="60"/>
  <c r="AA60" i="60"/>
  <c r="Z60" i="60"/>
  <c r="Y60" i="60"/>
  <c r="X60" i="60"/>
  <c r="W60" i="60"/>
  <c r="V60" i="60"/>
  <c r="U60" i="60"/>
  <c r="T60" i="60"/>
  <c r="S60" i="60"/>
  <c r="R60" i="60"/>
  <c r="Q60" i="60"/>
  <c r="P60" i="60"/>
  <c r="O60" i="60"/>
  <c r="N60" i="60"/>
  <c r="M60" i="60"/>
  <c r="AA59" i="60"/>
  <c r="Z59" i="60"/>
  <c r="Y59" i="60"/>
  <c r="X59" i="60"/>
  <c r="W59" i="60"/>
  <c r="V59" i="60"/>
  <c r="U59" i="60"/>
  <c r="T59" i="60"/>
  <c r="S59" i="60"/>
  <c r="R59" i="60"/>
  <c r="Q59" i="60"/>
  <c r="P59" i="60"/>
  <c r="O59" i="60"/>
  <c r="N59" i="60"/>
  <c r="M59" i="60"/>
  <c r="AA58" i="60"/>
  <c r="Z58" i="60"/>
  <c r="Y58" i="60"/>
  <c r="X58" i="60"/>
  <c r="W58" i="60"/>
  <c r="V58" i="60"/>
  <c r="U58" i="60"/>
  <c r="T58" i="60"/>
  <c r="S58" i="60"/>
  <c r="R58" i="60"/>
  <c r="Q58" i="60"/>
  <c r="P58" i="60"/>
  <c r="O58" i="60"/>
  <c r="N58" i="60"/>
  <c r="M58" i="60"/>
  <c r="AA57" i="60"/>
  <c r="Z57" i="60"/>
  <c r="Y57" i="60"/>
  <c r="X57" i="60"/>
  <c r="W57" i="60"/>
  <c r="V57" i="60"/>
  <c r="U57" i="60"/>
  <c r="T57" i="60"/>
  <c r="S57" i="60"/>
  <c r="R57" i="60"/>
  <c r="Q57" i="60"/>
  <c r="P57" i="60"/>
  <c r="O57" i="60"/>
  <c r="N57" i="60"/>
  <c r="M57" i="60"/>
  <c r="AA56" i="60"/>
  <c r="Z56" i="60"/>
  <c r="Y56" i="60"/>
  <c r="X56" i="60"/>
  <c r="W56" i="60"/>
  <c r="V56" i="60"/>
  <c r="U56" i="60"/>
  <c r="T56" i="60"/>
  <c r="S56" i="60"/>
  <c r="R56" i="60"/>
  <c r="Q56" i="60"/>
  <c r="P56" i="60"/>
  <c r="O56" i="60"/>
  <c r="N56" i="60"/>
  <c r="M56" i="60"/>
  <c r="AA55" i="60"/>
  <c r="Z55" i="60"/>
  <c r="Y55" i="60"/>
  <c r="X55" i="60"/>
  <c r="W55" i="60"/>
  <c r="V55" i="60"/>
  <c r="U55" i="60"/>
  <c r="T55" i="60"/>
  <c r="S55" i="60"/>
  <c r="R55" i="60"/>
  <c r="Q55" i="60"/>
  <c r="P55" i="60"/>
  <c r="O55" i="60"/>
  <c r="N55" i="60"/>
  <c r="M55" i="60"/>
  <c r="AA54" i="60"/>
  <c r="Z54" i="60"/>
  <c r="Y54" i="60"/>
  <c r="X54" i="60"/>
  <c r="W54" i="60"/>
  <c r="V54" i="60"/>
  <c r="U54" i="60"/>
  <c r="T54" i="60"/>
  <c r="S54" i="60"/>
  <c r="R54" i="60"/>
  <c r="Q54" i="60"/>
  <c r="P54" i="60"/>
  <c r="O54" i="60"/>
  <c r="N54" i="60"/>
  <c r="M54" i="60"/>
  <c r="AA53" i="60"/>
  <c r="Z53" i="60"/>
  <c r="Y53" i="60"/>
  <c r="X53" i="60"/>
  <c r="W53" i="60"/>
  <c r="V53" i="60"/>
  <c r="U53" i="60"/>
  <c r="T53" i="60"/>
  <c r="S53" i="60"/>
  <c r="R53" i="60"/>
  <c r="Q53" i="60"/>
  <c r="P53" i="60"/>
  <c r="O53" i="60"/>
  <c r="N53" i="60"/>
  <c r="M53" i="60"/>
  <c r="AA52" i="60"/>
  <c r="Z52" i="60"/>
  <c r="Y52" i="60"/>
  <c r="X52" i="60"/>
  <c r="W52" i="60"/>
  <c r="V52" i="60"/>
  <c r="U52" i="60"/>
  <c r="T52" i="60"/>
  <c r="S52" i="60"/>
  <c r="R52" i="60"/>
  <c r="Q52" i="60"/>
  <c r="P52" i="60"/>
  <c r="O52" i="60"/>
  <c r="N52" i="60"/>
  <c r="M52" i="60"/>
  <c r="AA51" i="60"/>
  <c r="Z51" i="60"/>
  <c r="Y51" i="60"/>
  <c r="X51" i="60"/>
  <c r="W51" i="60"/>
  <c r="V51" i="60"/>
  <c r="U51" i="60"/>
  <c r="T51" i="60"/>
  <c r="S51" i="60"/>
  <c r="R51" i="60"/>
  <c r="Q51" i="60"/>
  <c r="P51" i="60"/>
  <c r="O51" i="60"/>
  <c r="N51" i="60"/>
  <c r="M51" i="60"/>
  <c r="AA50" i="60"/>
  <c r="Z50" i="60"/>
  <c r="Y50" i="60"/>
  <c r="X50" i="60"/>
  <c r="W50" i="60"/>
  <c r="V50" i="60"/>
  <c r="U50" i="60"/>
  <c r="T50" i="60"/>
  <c r="S50" i="60"/>
  <c r="R50" i="60"/>
  <c r="Q50" i="60"/>
  <c r="P50" i="60"/>
  <c r="O50" i="60"/>
  <c r="N50" i="60"/>
  <c r="M50" i="60"/>
  <c r="AA49" i="60"/>
  <c r="Z49" i="60"/>
  <c r="Y49" i="60"/>
  <c r="X49" i="60"/>
  <c r="W49" i="60"/>
  <c r="V49" i="60"/>
  <c r="U49" i="60"/>
  <c r="T49" i="60"/>
  <c r="S49" i="60"/>
  <c r="R49" i="60"/>
  <c r="Q49" i="60"/>
  <c r="P49" i="60"/>
  <c r="O49" i="60"/>
  <c r="N49" i="60"/>
  <c r="M49" i="60"/>
  <c r="AA48" i="60"/>
  <c r="Z48" i="60"/>
  <c r="Y48" i="60"/>
  <c r="X48" i="60"/>
  <c r="W48" i="60"/>
  <c r="V48" i="60"/>
  <c r="U48" i="60"/>
  <c r="T48" i="60"/>
  <c r="S48" i="60"/>
  <c r="R48" i="60"/>
  <c r="Q48" i="60"/>
  <c r="P48" i="60"/>
  <c r="O48" i="60"/>
  <c r="N48" i="60"/>
  <c r="M48" i="60"/>
  <c r="AA47" i="60"/>
  <c r="Z47" i="60"/>
  <c r="Y47" i="60"/>
  <c r="X47" i="60"/>
  <c r="W47" i="60"/>
  <c r="V47" i="60"/>
  <c r="U47" i="60"/>
  <c r="T47" i="60"/>
  <c r="S47" i="60"/>
  <c r="R47" i="60"/>
  <c r="Q47" i="60"/>
  <c r="P47" i="60"/>
  <c r="O47" i="60"/>
  <c r="N47" i="60"/>
  <c r="M47" i="60"/>
  <c r="AA46" i="60"/>
  <c r="Z46" i="60"/>
  <c r="Y46" i="60"/>
  <c r="X46" i="60"/>
  <c r="W46" i="60"/>
  <c r="V46" i="60"/>
  <c r="U46" i="60"/>
  <c r="T46" i="60"/>
  <c r="S46" i="60"/>
  <c r="R46" i="60"/>
  <c r="Q46" i="60"/>
  <c r="P46" i="60"/>
  <c r="O46" i="60"/>
  <c r="N46" i="60"/>
  <c r="M46" i="60"/>
  <c r="AA45" i="60"/>
  <c r="Z45" i="60"/>
  <c r="Y45" i="60"/>
  <c r="X45" i="60"/>
  <c r="W45" i="60"/>
  <c r="V45" i="60"/>
  <c r="U45" i="60"/>
  <c r="T45" i="60"/>
  <c r="S45" i="60"/>
  <c r="R45" i="60"/>
  <c r="Q45" i="60"/>
  <c r="P45" i="60"/>
  <c r="O45" i="60"/>
  <c r="N45" i="60"/>
  <c r="M45" i="60"/>
  <c r="AA44" i="60"/>
  <c r="Z44" i="60"/>
  <c r="Y44" i="60"/>
  <c r="X44" i="60"/>
  <c r="W44" i="60"/>
  <c r="V44" i="60"/>
  <c r="U44" i="60"/>
  <c r="T44" i="60"/>
  <c r="S44" i="60"/>
  <c r="R44" i="60"/>
  <c r="Q44" i="60"/>
  <c r="P44" i="60"/>
  <c r="O44" i="60"/>
  <c r="N44" i="60"/>
  <c r="M44" i="60"/>
  <c r="AA43" i="60"/>
  <c r="Z43" i="60"/>
  <c r="Y43" i="60"/>
  <c r="X43" i="60"/>
  <c r="W43" i="60"/>
  <c r="V43" i="60"/>
  <c r="U43" i="60"/>
  <c r="T43" i="60"/>
  <c r="S43" i="60"/>
  <c r="R43" i="60"/>
  <c r="Q43" i="60"/>
  <c r="P43" i="60"/>
  <c r="O43" i="60"/>
  <c r="N43" i="60"/>
  <c r="M43" i="60"/>
  <c r="AA42" i="60"/>
  <c r="Z42" i="60"/>
  <c r="Y42" i="60"/>
  <c r="X42" i="60"/>
  <c r="W42" i="60"/>
  <c r="V42" i="60"/>
  <c r="U42" i="60"/>
  <c r="T42" i="60"/>
  <c r="S42" i="60"/>
  <c r="R42" i="60"/>
  <c r="Q42" i="60"/>
  <c r="P42" i="60"/>
  <c r="O42" i="60"/>
  <c r="N42" i="60"/>
  <c r="M42" i="60"/>
  <c r="AA41" i="60"/>
  <c r="Z41" i="60"/>
  <c r="Y41" i="60"/>
  <c r="X41" i="60"/>
  <c r="W41" i="60"/>
  <c r="V41" i="60"/>
  <c r="U41" i="60"/>
  <c r="T41" i="60"/>
  <c r="S41" i="60"/>
  <c r="R41" i="60"/>
  <c r="Q41" i="60"/>
  <c r="P41" i="60"/>
  <c r="O41" i="60"/>
  <c r="N41" i="60"/>
  <c r="M41" i="60"/>
  <c r="AA40" i="60"/>
  <c r="Z40" i="60"/>
  <c r="Y40" i="60"/>
  <c r="X40" i="60"/>
  <c r="W40" i="60"/>
  <c r="V40" i="60"/>
  <c r="U40" i="60"/>
  <c r="T40" i="60"/>
  <c r="S40" i="60"/>
  <c r="R40" i="60"/>
  <c r="Q40" i="60"/>
  <c r="P40" i="60"/>
  <c r="O40" i="60"/>
  <c r="N40" i="60"/>
  <c r="M40" i="60"/>
  <c r="AA39" i="60"/>
  <c r="Z39" i="60"/>
  <c r="Y39" i="60"/>
  <c r="X39" i="60"/>
  <c r="W39" i="60"/>
  <c r="V39" i="60"/>
  <c r="U39" i="60"/>
  <c r="T39" i="60"/>
  <c r="S39" i="60"/>
  <c r="R39" i="60"/>
  <c r="Q39" i="60"/>
  <c r="P39" i="60"/>
  <c r="O39" i="60"/>
  <c r="N39" i="60"/>
  <c r="M39" i="60"/>
  <c r="AA38" i="60"/>
  <c r="Z38" i="60"/>
  <c r="Y38" i="60"/>
  <c r="X38" i="60"/>
  <c r="W38" i="60"/>
  <c r="V38" i="60"/>
  <c r="U38" i="60"/>
  <c r="T38" i="60"/>
  <c r="S38" i="60"/>
  <c r="R38" i="60"/>
  <c r="Q38" i="60"/>
  <c r="P38" i="60"/>
  <c r="O38" i="60"/>
  <c r="N38" i="60"/>
  <c r="M38" i="60"/>
  <c r="AA37" i="60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AA36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AA35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AA34" i="60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AA32" i="60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AA31" i="60"/>
  <c r="Z31" i="60"/>
  <c r="Y31" i="60"/>
  <c r="X31" i="60"/>
  <c r="W31" i="60"/>
  <c r="V31" i="60"/>
  <c r="U31" i="60"/>
  <c r="T31" i="60"/>
  <c r="S31" i="60"/>
  <c r="R31" i="60"/>
  <c r="Q31" i="60"/>
  <c r="P31" i="60"/>
  <c r="O31" i="60"/>
  <c r="N31" i="60"/>
  <c r="M31" i="60"/>
  <c r="AA30" i="60"/>
  <c r="Z30" i="60"/>
  <c r="Y30" i="60"/>
  <c r="X30" i="60"/>
  <c r="W30" i="60"/>
  <c r="V30" i="60"/>
  <c r="U30" i="60"/>
  <c r="T30" i="60"/>
  <c r="S30" i="60"/>
  <c r="R30" i="60"/>
  <c r="Q30" i="60"/>
  <c r="P30" i="60"/>
  <c r="O30" i="60"/>
  <c r="N30" i="60"/>
  <c r="M30" i="60"/>
  <c r="AA29" i="60"/>
  <c r="Z29" i="60"/>
  <c r="Y29" i="60"/>
  <c r="X29" i="60"/>
  <c r="W29" i="60"/>
  <c r="V29" i="60"/>
  <c r="U29" i="60"/>
  <c r="T29" i="60"/>
  <c r="S29" i="60"/>
  <c r="R29" i="60"/>
  <c r="Q29" i="60"/>
  <c r="P29" i="60"/>
  <c r="O29" i="60"/>
  <c r="N29" i="60"/>
  <c r="M29" i="60"/>
  <c r="AA28" i="60"/>
  <c r="Z28" i="60"/>
  <c r="Y28" i="60"/>
  <c r="X28" i="60"/>
  <c r="W28" i="60"/>
  <c r="V28" i="60"/>
  <c r="U28" i="60"/>
  <c r="T28" i="60"/>
  <c r="S28" i="60"/>
  <c r="R28" i="60"/>
  <c r="Q28" i="60"/>
  <c r="P28" i="60"/>
  <c r="O28" i="60"/>
  <c r="N28" i="60"/>
  <c r="M28" i="60"/>
  <c r="AA27" i="60"/>
  <c r="Z27" i="60"/>
  <c r="Y27" i="60"/>
  <c r="X27" i="60"/>
  <c r="W27" i="60"/>
  <c r="V27" i="60"/>
  <c r="U27" i="60"/>
  <c r="T27" i="60"/>
  <c r="S27" i="60"/>
  <c r="R27" i="60"/>
  <c r="Q27" i="60"/>
  <c r="P27" i="60"/>
  <c r="O27" i="60"/>
  <c r="N27" i="60"/>
  <c r="M27" i="60"/>
  <c r="AA26" i="60"/>
  <c r="Z26" i="60"/>
  <c r="Y26" i="60"/>
  <c r="X26" i="60"/>
  <c r="W26" i="60"/>
  <c r="V26" i="60"/>
  <c r="U26" i="60"/>
  <c r="T26" i="60"/>
  <c r="S26" i="60"/>
  <c r="R26" i="60"/>
  <c r="Q26" i="60"/>
  <c r="P26" i="60"/>
  <c r="O26" i="60"/>
  <c r="N26" i="60"/>
  <c r="M26" i="60"/>
  <c r="AA25" i="60"/>
  <c r="Z25" i="60"/>
  <c r="Y25" i="60"/>
  <c r="X25" i="60"/>
  <c r="W25" i="60"/>
  <c r="V25" i="60"/>
  <c r="U25" i="60"/>
  <c r="T25" i="60"/>
  <c r="S25" i="60"/>
  <c r="R25" i="60"/>
  <c r="Q25" i="60"/>
  <c r="P25" i="60"/>
  <c r="O25" i="60"/>
  <c r="N25" i="60"/>
  <c r="M25" i="60"/>
  <c r="AA24" i="60"/>
  <c r="Z24" i="60"/>
  <c r="Y24" i="60"/>
  <c r="X24" i="60"/>
  <c r="W24" i="60"/>
  <c r="V24" i="60"/>
  <c r="U24" i="60"/>
  <c r="T24" i="60"/>
  <c r="S24" i="60"/>
  <c r="R24" i="60"/>
  <c r="Q24" i="60"/>
  <c r="P24" i="60"/>
  <c r="O24" i="60"/>
  <c r="N24" i="60"/>
  <c r="M24" i="60"/>
  <c r="AA23" i="60"/>
  <c r="Z23" i="60"/>
  <c r="Y23" i="60"/>
  <c r="X23" i="60"/>
  <c r="W23" i="60"/>
  <c r="V23" i="60"/>
  <c r="U23" i="60"/>
  <c r="T23" i="60"/>
  <c r="S23" i="60"/>
  <c r="R23" i="60"/>
  <c r="Q23" i="60"/>
  <c r="P23" i="60"/>
  <c r="O23" i="60"/>
  <c r="N23" i="60"/>
  <c r="M23" i="60"/>
  <c r="AA22" i="60"/>
  <c r="Z22" i="60"/>
  <c r="Y22" i="60"/>
  <c r="X22" i="60"/>
  <c r="W22" i="60"/>
  <c r="V22" i="60"/>
  <c r="U22" i="60"/>
  <c r="T22" i="60"/>
  <c r="S22" i="60"/>
  <c r="R22" i="60"/>
  <c r="Q22" i="60"/>
  <c r="P22" i="60"/>
  <c r="O22" i="60"/>
  <c r="N22" i="60"/>
  <c r="M22" i="60"/>
  <c r="AA21" i="60"/>
  <c r="Z21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AA20" i="60"/>
  <c r="Z20" i="60"/>
  <c r="Y20" i="60"/>
  <c r="X20" i="60"/>
  <c r="W20" i="60"/>
  <c r="V20" i="60"/>
  <c r="U20" i="60"/>
  <c r="T20" i="60"/>
  <c r="S20" i="60"/>
  <c r="R20" i="60"/>
  <c r="Q20" i="60"/>
  <c r="P20" i="60"/>
  <c r="O20" i="60"/>
  <c r="N20" i="60"/>
  <c r="M20" i="60"/>
  <c r="AA19" i="60"/>
  <c r="Z19" i="60"/>
  <c r="Y19" i="60"/>
  <c r="X19" i="60"/>
  <c r="W19" i="60"/>
  <c r="V19" i="60"/>
  <c r="U19" i="60"/>
  <c r="T19" i="60"/>
  <c r="S19" i="60"/>
  <c r="R19" i="60"/>
  <c r="Q19" i="60"/>
  <c r="P19" i="60"/>
  <c r="O19" i="60"/>
  <c r="N19" i="60"/>
  <c r="M19" i="60"/>
  <c r="AA18" i="60"/>
  <c r="Z18" i="60"/>
  <c r="Y18" i="60"/>
  <c r="X18" i="60"/>
  <c r="W18" i="60"/>
  <c r="V18" i="60"/>
  <c r="U18" i="60"/>
  <c r="T18" i="60"/>
  <c r="S18" i="60"/>
  <c r="R18" i="60"/>
  <c r="Q18" i="60"/>
  <c r="P18" i="60"/>
  <c r="O18" i="60"/>
  <c r="N18" i="60"/>
  <c r="M18" i="60"/>
  <c r="AA17" i="60"/>
  <c r="Z17" i="60"/>
  <c r="Y17" i="60"/>
  <c r="X17" i="60"/>
  <c r="W17" i="60"/>
  <c r="V17" i="60"/>
  <c r="U17" i="60"/>
  <c r="T17" i="60"/>
  <c r="S17" i="60"/>
  <c r="R17" i="60"/>
  <c r="Q17" i="60"/>
  <c r="P17" i="60"/>
  <c r="O17" i="60"/>
  <c r="N17" i="60"/>
  <c r="M17" i="60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AA14" i="60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AA11" i="60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AA8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AA7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AA6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AA5" i="60"/>
  <c r="Z5" i="60"/>
  <c r="Y5" i="60"/>
  <c r="X5" i="60"/>
  <c r="W5" i="60"/>
  <c r="V5" i="60"/>
  <c r="U5" i="60"/>
  <c r="T5" i="60"/>
  <c r="S5" i="60"/>
  <c r="R5" i="60"/>
  <c r="Q5" i="60"/>
  <c r="P5" i="60"/>
  <c r="O5" i="60"/>
  <c r="N5" i="60"/>
  <c r="M5" i="60"/>
  <c r="AA4" i="60"/>
  <c r="Z4" i="60"/>
  <c r="Y4" i="60"/>
  <c r="X4" i="60"/>
  <c r="W4" i="60"/>
  <c r="V4" i="60"/>
  <c r="U4" i="60"/>
  <c r="T4" i="60"/>
  <c r="S4" i="60"/>
  <c r="R4" i="60"/>
  <c r="Q4" i="60"/>
  <c r="P4" i="60"/>
  <c r="O4" i="60"/>
  <c r="N4" i="60"/>
  <c r="M4" i="60"/>
  <c r="AA3" i="60"/>
  <c r="Z3" i="60"/>
  <c r="Y3" i="60"/>
  <c r="X3" i="60"/>
  <c r="W3" i="60"/>
  <c r="V3" i="60"/>
  <c r="U3" i="60"/>
  <c r="T3" i="60"/>
  <c r="S3" i="60"/>
  <c r="R3" i="60"/>
  <c r="Q3" i="60"/>
  <c r="P3" i="60"/>
  <c r="O3" i="60"/>
  <c r="N3" i="60"/>
  <c r="M3" i="60"/>
  <c r="AA1" i="60"/>
  <c r="AA102" i="59"/>
  <c r="Z102" i="59"/>
  <c r="Y102" i="59"/>
  <c r="X102" i="59"/>
  <c r="W102" i="59"/>
  <c r="V102" i="59"/>
  <c r="U102" i="59"/>
  <c r="T102" i="59"/>
  <c r="S102" i="59"/>
  <c r="R102" i="59"/>
  <c r="Q102" i="59"/>
  <c r="P102" i="59"/>
  <c r="O102" i="59"/>
  <c r="N102" i="59"/>
  <c r="M102" i="59"/>
  <c r="AA101" i="59"/>
  <c r="Z101" i="59"/>
  <c r="Y101" i="59"/>
  <c r="X101" i="59"/>
  <c r="W101" i="59"/>
  <c r="V101" i="59"/>
  <c r="U101" i="59"/>
  <c r="T101" i="59"/>
  <c r="S101" i="59"/>
  <c r="R101" i="59"/>
  <c r="Q101" i="59"/>
  <c r="P101" i="59"/>
  <c r="O101" i="59"/>
  <c r="N101" i="59"/>
  <c r="M101" i="59"/>
  <c r="AA100" i="59"/>
  <c r="Z100" i="59"/>
  <c r="Y100" i="59"/>
  <c r="X100" i="59"/>
  <c r="W100" i="59"/>
  <c r="V100" i="59"/>
  <c r="U100" i="59"/>
  <c r="T100" i="59"/>
  <c r="S100" i="59"/>
  <c r="R100" i="59"/>
  <c r="Q100" i="59"/>
  <c r="P100" i="59"/>
  <c r="O100" i="59"/>
  <c r="N100" i="59"/>
  <c r="M100" i="59"/>
  <c r="AA99" i="59"/>
  <c r="Z99" i="59"/>
  <c r="Y99" i="59"/>
  <c r="X99" i="59"/>
  <c r="W99" i="59"/>
  <c r="V99" i="59"/>
  <c r="U99" i="59"/>
  <c r="T99" i="59"/>
  <c r="S99" i="59"/>
  <c r="R99" i="59"/>
  <c r="Q99" i="59"/>
  <c r="P99" i="59"/>
  <c r="O99" i="59"/>
  <c r="N99" i="59"/>
  <c r="M99" i="59"/>
  <c r="AA98" i="59"/>
  <c r="Z98" i="59"/>
  <c r="Y98" i="59"/>
  <c r="X98" i="59"/>
  <c r="W98" i="59"/>
  <c r="V98" i="59"/>
  <c r="U98" i="59"/>
  <c r="T98" i="59"/>
  <c r="S98" i="59"/>
  <c r="R98" i="59"/>
  <c r="Q98" i="59"/>
  <c r="P98" i="59"/>
  <c r="O98" i="59"/>
  <c r="N98" i="59"/>
  <c r="M98" i="59"/>
  <c r="AA97" i="59"/>
  <c r="Z97" i="59"/>
  <c r="Y97" i="59"/>
  <c r="X97" i="59"/>
  <c r="W97" i="59"/>
  <c r="V97" i="59"/>
  <c r="U97" i="59"/>
  <c r="T97" i="59"/>
  <c r="S97" i="59"/>
  <c r="R97" i="59"/>
  <c r="Q97" i="59"/>
  <c r="P97" i="59"/>
  <c r="O97" i="59"/>
  <c r="N97" i="59"/>
  <c r="M97" i="59"/>
  <c r="AA96" i="59"/>
  <c r="Z96" i="59"/>
  <c r="Y96" i="59"/>
  <c r="X96" i="59"/>
  <c r="W96" i="59"/>
  <c r="V96" i="59"/>
  <c r="U96" i="59"/>
  <c r="T96" i="59"/>
  <c r="S96" i="59"/>
  <c r="R96" i="59"/>
  <c r="Q96" i="59"/>
  <c r="P96" i="59"/>
  <c r="O96" i="59"/>
  <c r="N96" i="59"/>
  <c r="M96" i="59"/>
  <c r="AA95" i="59"/>
  <c r="Z95" i="59"/>
  <c r="Y95" i="59"/>
  <c r="X95" i="59"/>
  <c r="W95" i="59"/>
  <c r="V95" i="59"/>
  <c r="U95" i="59"/>
  <c r="T95" i="59"/>
  <c r="S95" i="59"/>
  <c r="R95" i="59"/>
  <c r="Q95" i="59"/>
  <c r="P95" i="59"/>
  <c r="O95" i="59"/>
  <c r="N95" i="59"/>
  <c r="M95" i="59"/>
  <c r="AA94" i="59"/>
  <c r="Z94" i="59"/>
  <c r="Y94" i="59"/>
  <c r="X94" i="59"/>
  <c r="W94" i="59"/>
  <c r="V94" i="59"/>
  <c r="U94" i="59"/>
  <c r="T94" i="59"/>
  <c r="S94" i="59"/>
  <c r="R94" i="59"/>
  <c r="Q94" i="59"/>
  <c r="P94" i="59"/>
  <c r="O94" i="59"/>
  <c r="N94" i="59"/>
  <c r="M94" i="59"/>
  <c r="AA93" i="59"/>
  <c r="Z93" i="59"/>
  <c r="Y93" i="59"/>
  <c r="X93" i="59"/>
  <c r="W93" i="59"/>
  <c r="V93" i="59"/>
  <c r="U93" i="59"/>
  <c r="T93" i="59"/>
  <c r="S93" i="59"/>
  <c r="R93" i="59"/>
  <c r="Q93" i="59"/>
  <c r="P93" i="59"/>
  <c r="O93" i="59"/>
  <c r="N93" i="59"/>
  <c r="M93" i="59"/>
  <c r="AA92" i="59"/>
  <c r="Z92" i="59"/>
  <c r="Y92" i="59"/>
  <c r="X92" i="59"/>
  <c r="W92" i="59"/>
  <c r="V92" i="59"/>
  <c r="U92" i="59"/>
  <c r="T92" i="59"/>
  <c r="S92" i="59"/>
  <c r="R92" i="59"/>
  <c r="Q92" i="59"/>
  <c r="P92" i="59"/>
  <c r="O92" i="59"/>
  <c r="N92" i="59"/>
  <c r="M92" i="59"/>
  <c r="AA91" i="59"/>
  <c r="Z91" i="59"/>
  <c r="Y91" i="59"/>
  <c r="X91" i="59"/>
  <c r="W91" i="59"/>
  <c r="V91" i="59"/>
  <c r="U91" i="59"/>
  <c r="T91" i="59"/>
  <c r="S91" i="59"/>
  <c r="R91" i="59"/>
  <c r="Q91" i="59"/>
  <c r="P91" i="59"/>
  <c r="O91" i="59"/>
  <c r="N91" i="59"/>
  <c r="M91" i="59"/>
  <c r="AA90" i="59"/>
  <c r="Z90" i="59"/>
  <c r="Y90" i="59"/>
  <c r="X90" i="59"/>
  <c r="W90" i="59"/>
  <c r="V90" i="59"/>
  <c r="U90" i="59"/>
  <c r="T90" i="59"/>
  <c r="S90" i="59"/>
  <c r="R90" i="59"/>
  <c r="Q90" i="59"/>
  <c r="P90" i="59"/>
  <c r="O90" i="59"/>
  <c r="N90" i="59"/>
  <c r="M90" i="59"/>
  <c r="AA89" i="59"/>
  <c r="Z89" i="59"/>
  <c r="Y89" i="59"/>
  <c r="X89" i="59"/>
  <c r="W89" i="59"/>
  <c r="V89" i="59"/>
  <c r="U89" i="59"/>
  <c r="T89" i="59"/>
  <c r="S89" i="59"/>
  <c r="R89" i="59"/>
  <c r="Q89" i="59"/>
  <c r="P89" i="59"/>
  <c r="O89" i="59"/>
  <c r="N89" i="59"/>
  <c r="M89" i="59"/>
  <c r="AA88" i="59"/>
  <c r="Z88" i="59"/>
  <c r="Y88" i="59"/>
  <c r="X88" i="59"/>
  <c r="W88" i="59"/>
  <c r="V88" i="59"/>
  <c r="U88" i="59"/>
  <c r="T88" i="59"/>
  <c r="S88" i="59"/>
  <c r="R88" i="59"/>
  <c r="Q88" i="59"/>
  <c r="P88" i="59"/>
  <c r="O88" i="59"/>
  <c r="N88" i="59"/>
  <c r="M88" i="59"/>
  <c r="AA87" i="59"/>
  <c r="Z87" i="59"/>
  <c r="Y87" i="59"/>
  <c r="X87" i="59"/>
  <c r="W87" i="59"/>
  <c r="V87" i="59"/>
  <c r="U87" i="59"/>
  <c r="T87" i="59"/>
  <c r="S87" i="59"/>
  <c r="R87" i="59"/>
  <c r="Q87" i="59"/>
  <c r="P87" i="59"/>
  <c r="O87" i="59"/>
  <c r="N87" i="59"/>
  <c r="M87" i="59"/>
  <c r="AA86" i="59"/>
  <c r="Z86" i="59"/>
  <c r="Y86" i="59"/>
  <c r="X86" i="59"/>
  <c r="W86" i="59"/>
  <c r="V86" i="59"/>
  <c r="U86" i="59"/>
  <c r="T86" i="59"/>
  <c r="S86" i="59"/>
  <c r="R86" i="59"/>
  <c r="Q86" i="59"/>
  <c r="P86" i="59"/>
  <c r="O86" i="59"/>
  <c r="N86" i="59"/>
  <c r="M86" i="59"/>
  <c r="AA85" i="59"/>
  <c r="Z85" i="59"/>
  <c r="Y85" i="59"/>
  <c r="X85" i="59"/>
  <c r="W85" i="59"/>
  <c r="V85" i="59"/>
  <c r="U85" i="59"/>
  <c r="T85" i="59"/>
  <c r="S85" i="59"/>
  <c r="R85" i="59"/>
  <c r="Q85" i="59"/>
  <c r="P85" i="59"/>
  <c r="O85" i="59"/>
  <c r="N85" i="59"/>
  <c r="M85" i="59"/>
  <c r="AA84" i="59"/>
  <c r="Z84" i="59"/>
  <c r="Y84" i="59"/>
  <c r="X84" i="59"/>
  <c r="W84" i="59"/>
  <c r="V84" i="59"/>
  <c r="U84" i="59"/>
  <c r="T84" i="59"/>
  <c r="S84" i="59"/>
  <c r="R84" i="59"/>
  <c r="Q84" i="59"/>
  <c r="P84" i="59"/>
  <c r="O84" i="59"/>
  <c r="N84" i="59"/>
  <c r="M84" i="59"/>
  <c r="AA83" i="59"/>
  <c r="Z83" i="59"/>
  <c r="Y83" i="59"/>
  <c r="X83" i="59"/>
  <c r="W83" i="59"/>
  <c r="V83" i="59"/>
  <c r="U83" i="59"/>
  <c r="T83" i="59"/>
  <c r="S83" i="59"/>
  <c r="R83" i="59"/>
  <c r="Q83" i="59"/>
  <c r="P83" i="59"/>
  <c r="O83" i="59"/>
  <c r="N83" i="59"/>
  <c r="M83" i="59"/>
  <c r="AA82" i="59"/>
  <c r="Z82" i="59"/>
  <c r="Y82" i="59"/>
  <c r="X82" i="59"/>
  <c r="W82" i="59"/>
  <c r="V82" i="59"/>
  <c r="U82" i="59"/>
  <c r="T82" i="59"/>
  <c r="S82" i="59"/>
  <c r="R82" i="59"/>
  <c r="Q82" i="59"/>
  <c r="P82" i="59"/>
  <c r="O82" i="59"/>
  <c r="N82" i="59"/>
  <c r="M82" i="59"/>
  <c r="AA81" i="59"/>
  <c r="Z81" i="59"/>
  <c r="Y81" i="59"/>
  <c r="X81" i="59"/>
  <c r="W81" i="59"/>
  <c r="V81" i="59"/>
  <c r="U81" i="59"/>
  <c r="T81" i="59"/>
  <c r="S81" i="59"/>
  <c r="R81" i="59"/>
  <c r="Q81" i="59"/>
  <c r="P81" i="59"/>
  <c r="O81" i="59"/>
  <c r="N81" i="59"/>
  <c r="M81" i="59"/>
  <c r="AA80" i="59"/>
  <c r="Z80" i="59"/>
  <c r="Y80" i="59"/>
  <c r="X80" i="59"/>
  <c r="W80" i="59"/>
  <c r="V80" i="59"/>
  <c r="U80" i="59"/>
  <c r="T80" i="59"/>
  <c r="S80" i="59"/>
  <c r="R80" i="59"/>
  <c r="Q80" i="59"/>
  <c r="P80" i="59"/>
  <c r="O80" i="59"/>
  <c r="N80" i="59"/>
  <c r="M80" i="59"/>
  <c r="AA79" i="59"/>
  <c r="Z79" i="59"/>
  <c r="Y79" i="59"/>
  <c r="X79" i="59"/>
  <c r="W79" i="59"/>
  <c r="V79" i="59"/>
  <c r="U79" i="59"/>
  <c r="T79" i="59"/>
  <c r="S79" i="59"/>
  <c r="R79" i="59"/>
  <c r="Q79" i="59"/>
  <c r="P79" i="59"/>
  <c r="O79" i="59"/>
  <c r="N79" i="59"/>
  <c r="M79" i="59"/>
  <c r="AA78" i="59"/>
  <c r="Z78" i="59"/>
  <c r="Y78" i="59"/>
  <c r="X78" i="59"/>
  <c r="W78" i="59"/>
  <c r="V78" i="59"/>
  <c r="U78" i="59"/>
  <c r="T78" i="59"/>
  <c r="S78" i="59"/>
  <c r="R78" i="59"/>
  <c r="Q78" i="59"/>
  <c r="P78" i="59"/>
  <c r="O78" i="59"/>
  <c r="N78" i="59"/>
  <c r="M78" i="59"/>
  <c r="AA77" i="59"/>
  <c r="Z77" i="59"/>
  <c r="Y77" i="59"/>
  <c r="X77" i="59"/>
  <c r="W77" i="59"/>
  <c r="V77" i="59"/>
  <c r="U77" i="59"/>
  <c r="T77" i="59"/>
  <c r="S77" i="59"/>
  <c r="R77" i="59"/>
  <c r="Q77" i="59"/>
  <c r="P77" i="59"/>
  <c r="O77" i="59"/>
  <c r="N77" i="59"/>
  <c r="M77" i="59"/>
  <c r="AA76" i="59"/>
  <c r="Z76" i="59"/>
  <c r="Y76" i="59"/>
  <c r="X76" i="59"/>
  <c r="W76" i="59"/>
  <c r="V76" i="59"/>
  <c r="U76" i="59"/>
  <c r="T76" i="59"/>
  <c r="S76" i="59"/>
  <c r="R76" i="59"/>
  <c r="Q76" i="59"/>
  <c r="P76" i="59"/>
  <c r="O76" i="59"/>
  <c r="N76" i="59"/>
  <c r="M76" i="59"/>
  <c r="AA75" i="59"/>
  <c r="Z75" i="59"/>
  <c r="Y75" i="59"/>
  <c r="X75" i="59"/>
  <c r="W75" i="59"/>
  <c r="V75" i="59"/>
  <c r="U75" i="59"/>
  <c r="T75" i="59"/>
  <c r="S75" i="59"/>
  <c r="R75" i="59"/>
  <c r="Q75" i="59"/>
  <c r="P75" i="59"/>
  <c r="O75" i="59"/>
  <c r="N75" i="59"/>
  <c r="M75" i="59"/>
  <c r="AA74" i="59"/>
  <c r="Z74" i="59"/>
  <c r="Y74" i="59"/>
  <c r="X74" i="59"/>
  <c r="W74" i="59"/>
  <c r="V74" i="59"/>
  <c r="U74" i="59"/>
  <c r="T74" i="59"/>
  <c r="S74" i="59"/>
  <c r="R74" i="59"/>
  <c r="Q74" i="59"/>
  <c r="P74" i="59"/>
  <c r="O74" i="59"/>
  <c r="N74" i="59"/>
  <c r="M74" i="59"/>
  <c r="AA73" i="59"/>
  <c r="Z73" i="59"/>
  <c r="Y73" i="59"/>
  <c r="X73" i="59"/>
  <c r="W73" i="59"/>
  <c r="V73" i="59"/>
  <c r="U73" i="59"/>
  <c r="T73" i="59"/>
  <c r="S73" i="59"/>
  <c r="R73" i="59"/>
  <c r="Q73" i="59"/>
  <c r="P73" i="59"/>
  <c r="O73" i="59"/>
  <c r="N73" i="59"/>
  <c r="M73" i="59"/>
  <c r="AA72" i="59"/>
  <c r="Z72" i="59"/>
  <c r="Y72" i="59"/>
  <c r="X72" i="59"/>
  <c r="W72" i="59"/>
  <c r="V72" i="59"/>
  <c r="U72" i="59"/>
  <c r="T72" i="59"/>
  <c r="S72" i="59"/>
  <c r="R72" i="59"/>
  <c r="Q72" i="59"/>
  <c r="P72" i="59"/>
  <c r="O72" i="59"/>
  <c r="N72" i="59"/>
  <c r="M72" i="59"/>
  <c r="AA71" i="59"/>
  <c r="Z71" i="59"/>
  <c r="Y71" i="59"/>
  <c r="X71" i="59"/>
  <c r="W71" i="59"/>
  <c r="V71" i="59"/>
  <c r="U71" i="59"/>
  <c r="T71" i="59"/>
  <c r="S71" i="59"/>
  <c r="R71" i="59"/>
  <c r="Q71" i="59"/>
  <c r="P71" i="59"/>
  <c r="O71" i="59"/>
  <c r="N71" i="59"/>
  <c r="M71" i="59"/>
  <c r="AA70" i="59"/>
  <c r="Z70" i="59"/>
  <c r="Y70" i="59"/>
  <c r="X70" i="59"/>
  <c r="W70" i="59"/>
  <c r="V70" i="59"/>
  <c r="U70" i="59"/>
  <c r="T70" i="59"/>
  <c r="S70" i="59"/>
  <c r="R70" i="59"/>
  <c r="Q70" i="59"/>
  <c r="P70" i="59"/>
  <c r="O70" i="59"/>
  <c r="N70" i="59"/>
  <c r="M70" i="59"/>
  <c r="AA69" i="59"/>
  <c r="Z69" i="59"/>
  <c r="Y69" i="59"/>
  <c r="X69" i="59"/>
  <c r="W69" i="59"/>
  <c r="V69" i="59"/>
  <c r="U69" i="59"/>
  <c r="T69" i="59"/>
  <c r="S69" i="59"/>
  <c r="R69" i="59"/>
  <c r="Q69" i="59"/>
  <c r="P69" i="59"/>
  <c r="O69" i="59"/>
  <c r="N69" i="59"/>
  <c r="M69" i="59"/>
  <c r="AA68" i="59"/>
  <c r="Z68" i="59"/>
  <c r="Y68" i="59"/>
  <c r="X68" i="59"/>
  <c r="W68" i="59"/>
  <c r="V68" i="59"/>
  <c r="U68" i="59"/>
  <c r="T68" i="59"/>
  <c r="S68" i="59"/>
  <c r="R68" i="59"/>
  <c r="Q68" i="59"/>
  <c r="P68" i="59"/>
  <c r="O68" i="59"/>
  <c r="N68" i="59"/>
  <c r="M68" i="59"/>
  <c r="AA67" i="59"/>
  <c r="Z67" i="59"/>
  <c r="Y67" i="59"/>
  <c r="X67" i="59"/>
  <c r="W67" i="59"/>
  <c r="V67" i="59"/>
  <c r="U67" i="59"/>
  <c r="T67" i="59"/>
  <c r="S67" i="59"/>
  <c r="R67" i="59"/>
  <c r="Q67" i="59"/>
  <c r="P67" i="59"/>
  <c r="O67" i="59"/>
  <c r="N67" i="59"/>
  <c r="M67" i="59"/>
  <c r="AA66" i="59"/>
  <c r="Z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AA65" i="59"/>
  <c r="Z65" i="59"/>
  <c r="Y65" i="59"/>
  <c r="X65" i="59"/>
  <c r="W65" i="59"/>
  <c r="V65" i="59"/>
  <c r="U65" i="59"/>
  <c r="T65" i="59"/>
  <c r="S65" i="59"/>
  <c r="R65" i="59"/>
  <c r="Q65" i="59"/>
  <c r="P65" i="59"/>
  <c r="O65" i="59"/>
  <c r="N65" i="59"/>
  <c r="M65" i="59"/>
  <c r="AA64" i="59"/>
  <c r="Z64" i="59"/>
  <c r="Y64" i="59"/>
  <c r="X64" i="59"/>
  <c r="W64" i="59"/>
  <c r="V64" i="59"/>
  <c r="U64" i="59"/>
  <c r="T64" i="59"/>
  <c r="S64" i="59"/>
  <c r="R64" i="59"/>
  <c r="Q64" i="59"/>
  <c r="P64" i="59"/>
  <c r="O64" i="59"/>
  <c r="N64" i="59"/>
  <c r="M64" i="59"/>
  <c r="AA63" i="59"/>
  <c r="Z63" i="59"/>
  <c r="Y63" i="59"/>
  <c r="X63" i="59"/>
  <c r="W63" i="59"/>
  <c r="V63" i="59"/>
  <c r="U63" i="59"/>
  <c r="T63" i="59"/>
  <c r="S63" i="59"/>
  <c r="R63" i="59"/>
  <c r="Q63" i="59"/>
  <c r="P63" i="59"/>
  <c r="O63" i="59"/>
  <c r="N63" i="59"/>
  <c r="M63" i="59"/>
  <c r="AA62" i="59"/>
  <c r="Z62" i="59"/>
  <c r="Y62" i="59"/>
  <c r="X62" i="59"/>
  <c r="W62" i="59"/>
  <c r="V62" i="59"/>
  <c r="U62" i="59"/>
  <c r="T62" i="59"/>
  <c r="S62" i="59"/>
  <c r="R62" i="59"/>
  <c r="Q62" i="59"/>
  <c r="P62" i="59"/>
  <c r="O62" i="59"/>
  <c r="N62" i="59"/>
  <c r="M62" i="59"/>
  <c r="AA61" i="59"/>
  <c r="Z61" i="59"/>
  <c r="Y61" i="59"/>
  <c r="X61" i="59"/>
  <c r="W61" i="59"/>
  <c r="V61" i="59"/>
  <c r="U61" i="59"/>
  <c r="T61" i="59"/>
  <c r="S61" i="59"/>
  <c r="R61" i="59"/>
  <c r="Q61" i="59"/>
  <c r="P61" i="59"/>
  <c r="O61" i="59"/>
  <c r="N61" i="59"/>
  <c r="M61" i="59"/>
  <c r="AA60" i="59"/>
  <c r="Z60" i="59"/>
  <c r="Y60" i="59"/>
  <c r="X60" i="59"/>
  <c r="W60" i="59"/>
  <c r="V60" i="59"/>
  <c r="U60" i="59"/>
  <c r="T60" i="59"/>
  <c r="S60" i="59"/>
  <c r="R60" i="59"/>
  <c r="Q60" i="59"/>
  <c r="P60" i="59"/>
  <c r="O60" i="59"/>
  <c r="N60" i="59"/>
  <c r="M60" i="59"/>
  <c r="AA59" i="59"/>
  <c r="Z59" i="59"/>
  <c r="Y59" i="59"/>
  <c r="X59" i="59"/>
  <c r="W59" i="59"/>
  <c r="V59" i="59"/>
  <c r="U59" i="59"/>
  <c r="T59" i="59"/>
  <c r="S59" i="59"/>
  <c r="R59" i="59"/>
  <c r="Q59" i="59"/>
  <c r="P59" i="59"/>
  <c r="O59" i="59"/>
  <c r="N59" i="59"/>
  <c r="M59" i="59"/>
  <c r="AA58" i="59"/>
  <c r="Z58" i="59"/>
  <c r="Y58" i="59"/>
  <c r="X58" i="59"/>
  <c r="W58" i="59"/>
  <c r="V58" i="59"/>
  <c r="U58" i="59"/>
  <c r="T58" i="59"/>
  <c r="S58" i="59"/>
  <c r="R58" i="59"/>
  <c r="Q58" i="59"/>
  <c r="P58" i="59"/>
  <c r="O58" i="59"/>
  <c r="N58" i="59"/>
  <c r="M58" i="59"/>
  <c r="AA57" i="59"/>
  <c r="Z57" i="59"/>
  <c r="Y57" i="59"/>
  <c r="X57" i="59"/>
  <c r="W57" i="59"/>
  <c r="V57" i="59"/>
  <c r="U57" i="59"/>
  <c r="T57" i="59"/>
  <c r="S57" i="59"/>
  <c r="R57" i="59"/>
  <c r="Q57" i="59"/>
  <c r="P57" i="59"/>
  <c r="O57" i="59"/>
  <c r="N57" i="59"/>
  <c r="M57" i="59"/>
  <c r="AA56" i="59"/>
  <c r="Z56" i="59"/>
  <c r="Y56" i="59"/>
  <c r="X56" i="59"/>
  <c r="W56" i="59"/>
  <c r="V56" i="59"/>
  <c r="U56" i="59"/>
  <c r="T56" i="59"/>
  <c r="S56" i="59"/>
  <c r="R56" i="59"/>
  <c r="Q56" i="59"/>
  <c r="P56" i="59"/>
  <c r="O56" i="59"/>
  <c r="N56" i="59"/>
  <c r="M56" i="59"/>
  <c r="AA55" i="59"/>
  <c r="Z55" i="59"/>
  <c r="Y55" i="59"/>
  <c r="X55" i="59"/>
  <c r="W55" i="59"/>
  <c r="V55" i="59"/>
  <c r="U55" i="59"/>
  <c r="T55" i="59"/>
  <c r="S55" i="59"/>
  <c r="R55" i="59"/>
  <c r="Q55" i="59"/>
  <c r="P55" i="59"/>
  <c r="O55" i="59"/>
  <c r="N55" i="59"/>
  <c r="M55" i="59"/>
  <c r="AA54" i="59"/>
  <c r="Z54" i="59"/>
  <c r="Y54" i="59"/>
  <c r="X54" i="59"/>
  <c r="W54" i="59"/>
  <c r="V54" i="59"/>
  <c r="U54" i="59"/>
  <c r="T54" i="59"/>
  <c r="S54" i="59"/>
  <c r="R54" i="59"/>
  <c r="Q54" i="59"/>
  <c r="P54" i="59"/>
  <c r="O54" i="59"/>
  <c r="N54" i="59"/>
  <c r="M54" i="59"/>
  <c r="AA53" i="59"/>
  <c r="Z53" i="59"/>
  <c r="Y53" i="59"/>
  <c r="X53" i="59"/>
  <c r="W53" i="59"/>
  <c r="V53" i="59"/>
  <c r="U53" i="59"/>
  <c r="T53" i="59"/>
  <c r="S53" i="59"/>
  <c r="R53" i="59"/>
  <c r="Q53" i="59"/>
  <c r="P53" i="59"/>
  <c r="O53" i="59"/>
  <c r="N53" i="59"/>
  <c r="M53" i="59"/>
  <c r="AA52" i="59"/>
  <c r="Z52" i="59"/>
  <c r="Y52" i="59"/>
  <c r="X52" i="59"/>
  <c r="W52" i="59"/>
  <c r="V52" i="59"/>
  <c r="U52" i="59"/>
  <c r="T52" i="59"/>
  <c r="S52" i="59"/>
  <c r="R52" i="59"/>
  <c r="Q52" i="59"/>
  <c r="P52" i="59"/>
  <c r="O52" i="59"/>
  <c r="N52" i="59"/>
  <c r="M52" i="59"/>
  <c r="AA51" i="59"/>
  <c r="Z51" i="59"/>
  <c r="Y51" i="59"/>
  <c r="X51" i="59"/>
  <c r="W51" i="59"/>
  <c r="V51" i="59"/>
  <c r="U51" i="59"/>
  <c r="T51" i="59"/>
  <c r="S51" i="59"/>
  <c r="R51" i="59"/>
  <c r="Q51" i="59"/>
  <c r="P51" i="59"/>
  <c r="O51" i="59"/>
  <c r="N51" i="59"/>
  <c r="M51" i="59"/>
  <c r="AA50" i="59"/>
  <c r="Z50" i="59"/>
  <c r="Y50" i="59"/>
  <c r="X50" i="59"/>
  <c r="W50" i="59"/>
  <c r="V50" i="59"/>
  <c r="U50" i="59"/>
  <c r="T50" i="59"/>
  <c r="S50" i="59"/>
  <c r="R50" i="59"/>
  <c r="Q50" i="59"/>
  <c r="P50" i="59"/>
  <c r="O50" i="59"/>
  <c r="N50" i="59"/>
  <c r="M50" i="59"/>
  <c r="AA49" i="59"/>
  <c r="Z49" i="59"/>
  <c r="Y49" i="59"/>
  <c r="X49" i="59"/>
  <c r="W49" i="59"/>
  <c r="V49" i="59"/>
  <c r="U49" i="59"/>
  <c r="T49" i="59"/>
  <c r="S49" i="59"/>
  <c r="R49" i="59"/>
  <c r="Q49" i="59"/>
  <c r="P49" i="59"/>
  <c r="O49" i="59"/>
  <c r="N49" i="59"/>
  <c r="M49" i="59"/>
  <c r="AA48" i="59"/>
  <c r="Z48" i="59"/>
  <c r="Y48" i="59"/>
  <c r="X48" i="59"/>
  <c r="W48" i="59"/>
  <c r="V48" i="59"/>
  <c r="U48" i="59"/>
  <c r="T48" i="59"/>
  <c r="S48" i="59"/>
  <c r="R48" i="59"/>
  <c r="Q48" i="59"/>
  <c r="P48" i="59"/>
  <c r="O48" i="59"/>
  <c r="N48" i="59"/>
  <c r="M48" i="59"/>
  <c r="AA47" i="59"/>
  <c r="Z47" i="59"/>
  <c r="Y47" i="59"/>
  <c r="X47" i="59"/>
  <c r="W47" i="59"/>
  <c r="V47" i="59"/>
  <c r="U47" i="59"/>
  <c r="T47" i="59"/>
  <c r="S47" i="59"/>
  <c r="R47" i="59"/>
  <c r="Q47" i="59"/>
  <c r="P47" i="59"/>
  <c r="O47" i="59"/>
  <c r="N47" i="59"/>
  <c r="M47" i="59"/>
  <c r="AA46" i="59"/>
  <c r="Z46" i="59"/>
  <c r="Y46" i="59"/>
  <c r="X46" i="59"/>
  <c r="W46" i="59"/>
  <c r="V46" i="59"/>
  <c r="U46" i="59"/>
  <c r="T46" i="59"/>
  <c r="S46" i="59"/>
  <c r="R46" i="59"/>
  <c r="Q46" i="59"/>
  <c r="P46" i="59"/>
  <c r="O46" i="59"/>
  <c r="N46" i="59"/>
  <c r="M46" i="59"/>
  <c r="AA45" i="59"/>
  <c r="Z45" i="59"/>
  <c r="Y45" i="59"/>
  <c r="X45" i="59"/>
  <c r="W45" i="59"/>
  <c r="V45" i="59"/>
  <c r="U45" i="59"/>
  <c r="T45" i="59"/>
  <c r="S45" i="59"/>
  <c r="R45" i="59"/>
  <c r="Q45" i="59"/>
  <c r="P45" i="59"/>
  <c r="O45" i="59"/>
  <c r="N45" i="59"/>
  <c r="M45" i="59"/>
  <c r="AA44" i="59"/>
  <c r="Z44" i="59"/>
  <c r="Y44" i="59"/>
  <c r="X44" i="59"/>
  <c r="W44" i="59"/>
  <c r="V44" i="59"/>
  <c r="U44" i="59"/>
  <c r="T44" i="59"/>
  <c r="S44" i="59"/>
  <c r="R44" i="59"/>
  <c r="Q44" i="59"/>
  <c r="P44" i="59"/>
  <c r="O44" i="59"/>
  <c r="N44" i="59"/>
  <c r="M44" i="59"/>
  <c r="AA43" i="59"/>
  <c r="Z43" i="59"/>
  <c r="Y43" i="59"/>
  <c r="X43" i="59"/>
  <c r="W43" i="59"/>
  <c r="V43" i="59"/>
  <c r="U43" i="59"/>
  <c r="T43" i="59"/>
  <c r="S43" i="59"/>
  <c r="R43" i="59"/>
  <c r="Q43" i="59"/>
  <c r="P43" i="59"/>
  <c r="O43" i="59"/>
  <c r="N43" i="59"/>
  <c r="M43" i="59"/>
  <c r="AA42" i="59"/>
  <c r="Z42" i="59"/>
  <c r="Y42" i="59"/>
  <c r="X42" i="59"/>
  <c r="W42" i="59"/>
  <c r="V42" i="59"/>
  <c r="U42" i="59"/>
  <c r="T42" i="59"/>
  <c r="S42" i="59"/>
  <c r="R42" i="59"/>
  <c r="Q42" i="59"/>
  <c r="P42" i="59"/>
  <c r="O42" i="59"/>
  <c r="N42" i="59"/>
  <c r="M42" i="59"/>
  <c r="AA41" i="59"/>
  <c r="Z41" i="59"/>
  <c r="Y41" i="59"/>
  <c r="X41" i="59"/>
  <c r="W41" i="59"/>
  <c r="V41" i="59"/>
  <c r="U41" i="59"/>
  <c r="T41" i="59"/>
  <c r="S41" i="59"/>
  <c r="R41" i="59"/>
  <c r="Q41" i="59"/>
  <c r="P41" i="59"/>
  <c r="O41" i="59"/>
  <c r="N41" i="59"/>
  <c r="M41" i="59"/>
  <c r="AA40" i="59"/>
  <c r="Z40" i="59"/>
  <c r="Y40" i="59"/>
  <c r="X40" i="59"/>
  <c r="W40" i="59"/>
  <c r="V40" i="59"/>
  <c r="U40" i="59"/>
  <c r="T40" i="59"/>
  <c r="S40" i="59"/>
  <c r="R40" i="59"/>
  <c r="Q40" i="59"/>
  <c r="P40" i="59"/>
  <c r="O40" i="59"/>
  <c r="N40" i="59"/>
  <c r="M40" i="59"/>
  <c r="AA39" i="59"/>
  <c r="Z39" i="59"/>
  <c r="Y39" i="59"/>
  <c r="X39" i="59"/>
  <c r="W39" i="59"/>
  <c r="V39" i="59"/>
  <c r="U39" i="59"/>
  <c r="T39" i="59"/>
  <c r="S39" i="59"/>
  <c r="R39" i="59"/>
  <c r="Q39" i="59"/>
  <c r="P39" i="59"/>
  <c r="O39" i="59"/>
  <c r="N39" i="59"/>
  <c r="M39" i="59"/>
  <c r="AA38" i="59"/>
  <c r="Z38" i="59"/>
  <c r="Y38" i="59"/>
  <c r="X38" i="59"/>
  <c r="W38" i="59"/>
  <c r="V38" i="59"/>
  <c r="U38" i="59"/>
  <c r="T38" i="59"/>
  <c r="S38" i="59"/>
  <c r="R38" i="59"/>
  <c r="Q38" i="59"/>
  <c r="P38" i="59"/>
  <c r="O38" i="59"/>
  <c r="N38" i="59"/>
  <c r="M38" i="59"/>
  <c r="AA37" i="59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AA36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AA35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AA34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AA33" i="59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AA32" i="59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AA31" i="59"/>
  <c r="Z31" i="59"/>
  <c r="Y31" i="59"/>
  <c r="X31" i="59"/>
  <c r="W31" i="59"/>
  <c r="V31" i="59"/>
  <c r="U31" i="59"/>
  <c r="T31" i="59"/>
  <c r="S31" i="59"/>
  <c r="R31" i="59"/>
  <c r="Q31" i="59"/>
  <c r="P31" i="59"/>
  <c r="O31" i="59"/>
  <c r="N31" i="59"/>
  <c r="M31" i="59"/>
  <c r="AA30" i="59"/>
  <c r="Z30" i="59"/>
  <c r="Y30" i="59"/>
  <c r="X30" i="59"/>
  <c r="W30" i="59"/>
  <c r="V30" i="59"/>
  <c r="U30" i="59"/>
  <c r="T30" i="59"/>
  <c r="S30" i="59"/>
  <c r="R30" i="59"/>
  <c r="Q30" i="59"/>
  <c r="P30" i="59"/>
  <c r="O30" i="59"/>
  <c r="N30" i="59"/>
  <c r="M30" i="59"/>
  <c r="AA29" i="59"/>
  <c r="Z29" i="59"/>
  <c r="Y29" i="59"/>
  <c r="X29" i="59"/>
  <c r="W29" i="59"/>
  <c r="V29" i="59"/>
  <c r="U29" i="59"/>
  <c r="T29" i="59"/>
  <c r="S29" i="59"/>
  <c r="R29" i="59"/>
  <c r="Q29" i="59"/>
  <c r="P29" i="59"/>
  <c r="O29" i="59"/>
  <c r="N29" i="59"/>
  <c r="M29" i="59"/>
  <c r="AA28" i="59"/>
  <c r="Z28" i="59"/>
  <c r="Y28" i="59"/>
  <c r="X28" i="59"/>
  <c r="W28" i="59"/>
  <c r="V28" i="59"/>
  <c r="U28" i="59"/>
  <c r="T28" i="59"/>
  <c r="S28" i="59"/>
  <c r="R28" i="59"/>
  <c r="Q28" i="59"/>
  <c r="P28" i="59"/>
  <c r="O28" i="59"/>
  <c r="N28" i="59"/>
  <c r="M28" i="59"/>
  <c r="AA27" i="59"/>
  <c r="Z27" i="59"/>
  <c r="Y27" i="59"/>
  <c r="X27" i="59"/>
  <c r="W27" i="59"/>
  <c r="V27" i="59"/>
  <c r="U27" i="59"/>
  <c r="T27" i="59"/>
  <c r="S27" i="59"/>
  <c r="R27" i="59"/>
  <c r="Q27" i="59"/>
  <c r="P27" i="59"/>
  <c r="O27" i="59"/>
  <c r="N27" i="59"/>
  <c r="M27" i="59"/>
  <c r="AA26" i="59"/>
  <c r="Z26" i="59"/>
  <c r="Y26" i="59"/>
  <c r="X26" i="59"/>
  <c r="W26" i="59"/>
  <c r="V26" i="59"/>
  <c r="U26" i="59"/>
  <c r="T26" i="59"/>
  <c r="S26" i="59"/>
  <c r="R26" i="59"/>
  <c r="Q26" i="59"/>
  <c r="P26" i="59"/>
  <c r="O26" i="59"/>
  <c r="N26" i="59"/>
  <c r="M26" i="59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AA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AA23" i="59"/>
  <c r="Z23" i="59"/>
  <c r="Y23" i="59"/>
  <c r="X23" i="59"/>
  <c r="W23" i="59"/>
  <c r="V23" i="59"/>
  <c r="U23" i="59"/>
  <c r="T23" i="59"/>
  <c r="S23" i="59"/>
  <c r="R23" i="59"/>
  <c r="Q23" i="59"/>
  <c r="P23" i="59"/>
  <c r="O23" i="59"/>
  <c r="N23" i="59"/>
  <c r="M23" i="59"/>
  <c r="AA22" i="59"/>
  <c r="Z22" i="59"/>
  <c r="Y22" i="59"/>
  <c r="X22" i="59"/>
  <c r="W22" i="59"/>
  <c r="V22" i="59"/>
  <c r="U22" i="59"/>
  <c r="T22" i="59"/>
  <c r="S22" i="59"/>
  <c r="R22" i="59"/>
  <c r="Q22" i="59"/>
  <c r="P22" i="59"/>
  <c r="O22" i="59"/>
  <c r="N22" i="59"/>
  <c r="M22" i="59"/>
  <c r="AA21" i="59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AA20" i="59"/>
  <c r="Z20" i="59"/>
  <c r="Y20" i="59"/>
  <c r="X20" i="59"/>
  <c r="W20" i="59"/>
  <c r="V20" i="59"/>
  <c r="U20" i="59"/>
  <c r="T20" i="59"/>
  <c r="S20" i="59"/>
  <c r="R20" i="59"/>
  <c r="Q20" i="59"/>
  <c r="P20" i="59"/>
  <c r="O20" i="59"/>
  <c r="N20" i="59"/>
  <c r="M20" i="59"/>
  <c r="AA19" i="59"/>
  <c r="Z19" i="59"/>
  <c r="Y19" i="59"/>
  <c r="X19" i="59"/>
  <c r="W19" i="59"/>
  <c r="V19" i="59"/>
  <c r="U19" i="59"/>
  <c r="T19" i="59"/>
  <c r="S19" i="59"/>
  <c r="R19" i="59"/>
  <c r="Q19" i="59"/>
  <c r="P19" i="59"/>
  <c r="O19" i="59"/>
  <c r="N19" i="59"/>
  <c r="M19" i="59"/>
  <c r="AA18" i="59"/>
  <c r="Z18" i="59"/>
  <c r="Y18" i="59"/>
  <c r="X18" i="59"/>
  <c r="W18" i="59"/>
  <c r="V18" i="59"/>
  <c r="U18" i="59"/>
  <c r="T18" i="59"/>
  <c r="S18" i="59"/>
  <c r="R18" i="59"/>
  <c r="Q18" i="59"/>
  <c r="P18" i="59"/>
  <c r="O18" i="59"/>
  <c r="N18" i="59"/>
  <c r="M18" i="59"/>
  <c r="AA17" i="59"/>
  <c r="Z17" i="59"/>
  <c r="Y17" i="59"/>
  <c r="X17" i="59"/>
  <c r="W17" i="59"/>
  <c r="V17" i="59"/>
  <c r="U17" i="59"/>
  <c r="T17" i="59"/>
  <c r="S17" i="59"/>
  <c r="R17" i="59"/>
  <c r="Q17" i="59"/>
  <c r="P17" i="59"/>
  <c r="O17" i="59"/>
  <c r="N17" i="59"/>
  <c r="M17" i="59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AA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AA14" i="59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AA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AA11" i="59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AA10" i="59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AA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AA8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AA7" i="59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AA6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AA5" i="59"/>
  <c r="Z5" i="59"/>
  <c r="Y5" i="59"/>
  <c r="X5" i="59"/>
  <c r="W5" i="59"/>
  <c r="V5" i="59"/>
  <c r="U5" i="59"/>
  <c r="T5" i="59"/>
  <c r="S5" i="59"/>
  <c r="R5" i="59"/>
  <c r="Q5" i="59"/>
  <c r="P5" i="59"/>
  <c r="O5" i="59"/>
  <c r="N5" i="59"/>
  <c r="M5" i="59"/>
  <c r="AA4" i="59"/>
  <c r="Z4" i="59"/>
  <c r="Y4" i="59"/>
  <c r="X4" i="59"/>
  <c r="W4" i="59"/>
  <c r="V4" i="59"/>
  <c r="U4" i="59"/>
  <c r="T4" i="59"/>
  <c r="S4" i="59"/>
  <c r="R4" i="59"/>
  <c r="Q4" i="59"/>
  <c r="P4" i="59"/>
  <c r="O4" i="59"/>
  <c r="N4" i="59"/>
  <c r="M4" i="59"/>
  <c r="AA3" i="59"/>
  <c r="Z3" i="59"/>
  <c r="Y3" i="59"/>
  <c r="X3" i="59"/>
  <c r="W3" i="59"/>
  <c r="V3" i="59"/>
  <c r="U3" i="59"/>
  <c r="T3" i="59"/>
  <c r="S3" i="59"/>
  <c r="R3" i="59"/>
  <c r="Q3" i="59"/>
  <c r="P3" i="59"/>
  <c r="O3" i="59"/>
  <c r="N3" i="59"/>
  <c r="M3" i="59"/>
  <c r="M1" i="59" s="1"/>
  <c r="B8" i="49" s="1"/>
  <c r="AA1" i="59"/>
  <c r="AA102" i="58"/>
  <c r="Z102" i="58"/>
  <c r="Y102" i="58"/>
  <c r="X102" i="58"/>
  <c r="W102" i="58"/>
  <c r="V102" i="58"/>
  <c r="U102" i="58"/>
  <c r="T102" i="58"/>
  <c r="S102" i="58"/>
  <c r="R102" i="58"/>
  <c r="Q102" i="58"/>
  <c r="P102" i="58"/>
  <c r="O102" i="58"/>
  <c r="N102" i="58"/>
  <c r="M102" i="58"/>
  <c r="AA101" i="58"/>
  <c r="Z101" i="58"/>
  <c r="Y101" i="58"/>
  <c r="X101" i="58"/>
  <c r="W101" i="58"/>
  <c r="V101" i="58"/>
  <c r="U101" i="58"/>
  <c r="T101" i="58"/>
  <c r="S101" i="58"/>
  <c r="R101" i="58"/>
  <c r="Q101" i="58"/>
  <c r="P101" i="58"/>
  <c r="O101" i="58"/>
  <c r="N101" i="58"/>
  <c r="M101" i="58"/>
  <c r="AA100" i="58"/>
  <c r="Z100" i="58"/>
  <c r="Y100" i="58"/>
  <c r="X100" i="58"/>
  <c r="W100" i="58"/>
  <c r="V100" i="58"/>
  <c r="U100" i="58"/>
  <c r="T100" i="58"/>
  <c r="S100" i="58"/>
  <c r="R100" i="58"/>
  <c r="Q100" i="58"/>
  <c r="P100" i="58"/>
  <c r="O100" i="58"/>
  <c r="N100" i="58"/>
  <c r="M100" i="58"/>
  <c r="AA99" i="58"/>
  <c r="Z99" i="58"/>
  <c r="Y99" i="58"/>
  <c r="X99" i="58"/>
  <c r="W99" i="58"/>
  <c r="V99" i="58"/>
  <c r="U99" i="58"/>
  <c r="T99" i="58"/>
  <c r="S99" i="58"/>
  <c r="R99" i="58"/>
  <c r="Q99" i="58"/>
  <c r="P99" i="58"/>
  <c r="O99" i="58"/>
  <c r="N99" i="58"/>
  <c r="M99" i="58"/>
  <c r="AA98" i="58"/>
  <c r="Z98" i="58"/>
  <c r="Y98" i="58"/>
  <c r="X98" i="58"/>
  <c r="W98" i="58"/>
  <c r="V98" i="58"/>
  <c r="U98" i="58"/>
  <c r="T98" i="58"/>
  <c r="S98" i="58"/>
  <c r="R98" i="58"/>
  <c r="Q98" i="58"/>
  <c r="P98" i="58"/>
  <c r="O98" i="58"/>
  <c r="N98" i="58"/>
  <c r="M98" i="58"/>
  <c r="AA97" i="58"/>
  <c r="Z97" i="58"/>
  <c r="Y97" i="58"/>
  <c r="X97" i="58"/>
  <c r="W97" i="58"/>
  <c r="V97" i="58"/>
  <c r="U97" i="58"/>
  <c r="T97" i="58"/>
  <c r="S97" i="58"/>
  <c r="R97" i="58"/>
  <c r="Q97" i="58"/>
  <c r="P97" i="58"/>
  <c r="O97" i="58"/>
  <c r="N97" i="58"/>
  <c r="M97" i="58"/>
  <c r="AA96" i="58"/>
  <c r="Z96" i="58"/>
  <c r="Y96" i="58"/>
  <c r="X96" i="58"/>
  <c r="W96" i="58"/>
  <c r="V96" i="58"/>
  <c r="U96" i="58"/>
  <c r="T96" i="58"/>
  <c r="S96" i="58"/>
  <c r="R96" i="58"/>
  <c r="Q96" i="58"/>
  <c r="P96" i="58"/>
  <c r="O96" i="58"/>
  <c r="N96" i="58"/>
  <c r="M96" i="58"/>
  <c r="AA95" i="58"/>
  <c r="Z95" i="58"/>
  <c r="Y95" i="58"/>
  <c r="X95" i="58"/>
  <c r="W95" i="58"/>
  <c r="V95" i="58"/>
  <c r="U95" i="58"/>
  <c r="T95" i="58"/>
  <c r="S95" i="58"/>
  <c r="R95" i="58"/>
  <c r="Q95" i="58"/>
  <c r="P95" i="58"/>
  <c r="O95" i="58"/>
  <c r="N95" i="58"/>
  <c r="M95" i="58"/>
  <c r="AA94" i="58"/>
  <c r="Z94" i="58"/>
  <c r="Y94" i="58"/>
  <c r="X94" i="58"/>
  <c r="W94" i="58"/>
  <c r="V94" i="58"/>
  <c r="U94" i="58"/>
  <c r="T94" i="58"/>
  <c r="S94" i="58"/>
  <c r="R94" i="58"/>
  <c r="Q94" i="58"/>
  <c r="P94" i="58"/>
  <c r="O94" i="58"/>
  <c r="N94" i="58"/>
  <c r="M94" i="58"/>
  <c r="AA93" i="58"/>
  <c r="Z93" i="58"/>
  <c r="Y93" i="58"/>
  <c r="X93" i="58"/>
  <c r="W93" i="58"/>
  <c r="V93" i="58"/>
  <c r="U93" i="58"/>
  <c r="T93" i="58"/>
  <c r="S93" i="58"/>
  <c r="R93" i="58"/>
  <c r="Q93" i="58"/>
  <c r="P93" i="58"/>
  <c r="O93" i="58"/>
  <c r="N93" i="58"/>
  <c r="M93" i="58"/>
  <c r="AA92" i="58"/>
  <c r="Z92" i="58"/>
  <c r="Y92" i="58"/>
  <c r="X92" i="58"/>
  <c r="W92" i="58"/>
  <c r="V92" i="58"/>
  <c r="U92" i="58"/>
  <c r="T92" i="58"/>
  <c r="S92" i="58"/>
  <c r="R92" i="58"/>
  <c r="Q92" i="58"/>
  <c r="P92" i="58"/>
  <c r="O92" i="58"/>
  <c r="N92" i="58"/>
  <c r="M92" i="58"/>
  <c r="AA91" i="58"/>
  <c r="Z91" i="58"/>
  <c r="Y91" i="58"/>
  <c r="X91" i="58"/>
  <c r="W91" i="58"/>
  <c r="V91" i="58"/>
  <c r="U91" i="58"/>
  <c r="T91" i="58"/>
  <c r="S91" i="58"/>
  <c r="R91" i="58"/>
  <c r="Q91" i="58"/>
  <c r="P91" i="58"/>
  <c r="O91" i="58"/>
  <c r="N91" i="58"/>
  <c r="M91" i="58"/>
  <c r="AA90" i="58"/>
  <c r="Z90" i="58"/>
  <c r="Y90" i="58"/>
  <c r="X90" i="58"/>
  <c r="W90" i="58"/>
  <c r="V90" i="58"/>
  <c r="U90" i="58"/>
  <c r="T90" i="58"/>
  <c r="S90" i="58"/>
  <c r="R90" i="58"/>
  <c r="Q90" i="58"/>
  <c r="P90" i="58"/>
  <c r="O90" i="58"/>
  <c r="N90" i="58"/>
  <c r="M90" i="58"/>
  <c r="AA89" i="58"/>
  <c r="Z89" i="58"/>
  <c r="Y89" i="58"/>
  <c r="X89" i="58"/>
  <c r="W89" i="58"/>
  <c r="V89" i="58"/>
  <c r="U89" i="58"/>
  <c r="T89" i="58"/>
  <c r="S89" i="58"/>
  <c r="R89" i="58"/>
  <c r="Q89" i="58"/>
  <c r="P89" i="58"/>
  <c r="O89" i="58"/>
  <c r="N89" i="58"/>
  <c r="M89" i="58"/>
  <c r="AA88" i="58"/>
  <c r="Z88" i="58"/>
  <c r="Y88" i="58"/>
  <c r="X88" i="58"/>
  <c r="W88" i="58"/>
  <c r="V88" i="58"/>
  <c r="U88" i="58"/>
  <c r="T88" i="58"/>
  <c r="S88" i="58"/>
  <c r="R88" i="58"/>
  <c r="Q88" i="58"/>
  <c r="P88" i="58"/>
  <c r="O88" i="58"/>
  <c r="N88" i="58"/>
  <c r="M88" i="58"/>
  <c r="AA87" i="58"/>
  <c r="Z87" i="58"/>
  <c r="Y87" i="58"/>
  <c r="X87" i="58"/>
  <c r="W87" i="58"/>
  <c r="V87" i="58"/>
  <c r="U87" i="58"/>
  <c r="T87" i="58"/>
  <c r="S87" i="58"/>
  <c r="R87" i="58"/>
  <c r="Q87" i="58"/>
  <c r="P87" i="58"/>
  <c r="O87" i="58"/>
  <c r="N87" i="58"/>
  <c r="M87" i="58"/>
  <c r="AA86" i="58"/>
  <c r="Z86" i="58"/>
  <c r="Y86" i="58"/>
  <c r="X86" i="58"/>
  <c r="W86" i="58"/>
  <c r="V86" i="58"/>
  <c r="U86" i="58"/>
  <c r="T86" i="58"/>
  <c r="S86" i="58"/>
  <c r="R86" i="58"/>
  <c r="Q86" i="58"/>
  <c r="P86" i="58"/>
  <c r="O86" i="58"/>
  <c r="N86" i="58"/>
  <c r="M86" i="58"/>
  <c r="AA85" i="58"/>
  <c r="Z85" i="58"/>
  <c r="Y85" i="58"/>
  <c r="X85" i="58"/>
  <c r="W85" i="58"/>
  <c r="V85" i="58"/>
  <c r="U85" i="58"/>
  <c r="T85" i="58"/>
  <c r="S85" i="58"/>
  <c r="R85" i="58"/>
  <c r="Q85" i="58"/>
  <c r="P85" i="58"/>
  <c r="O85" i="58"/>
  <c r="N85" i="58"/>
  <c r="M85" i="58"/>
  <c r="AA84" i="58"/>
  <c r="Z84" i="58"/>
  <c r="Y84" i="58"/>
  <c r="X84" i="58"/>
  <c r="W84" i="58"/>
  <c r="V84" i="58"/>
  <c r="U84" i="58"/>
  <c r="T84" i="58"/>
  <c r="S84" i="58"/>
  <c r="R84" i="58"/>
  <c r="Q84" i="58"/>
  <c r="P84" i="58"/>
  <c r="O84" i="58"/>
  <c r="N84" i="58"/>
  <c r="M84" i="58"/>
  <c r="AA83" i="58"/>
  <c r="Z83" i="58"/>
  <c r="Y83" i="58"/>
  <c r="X83" i="58"/>
  <c r="W83" i="58"/>
  <c r="V83" i="58"/>
  <c r="U83" i="58"/>
  <c r="T83" i="58"/>
  <c r="S83" i="58"/>
  <c r="R83" i="58"/>
  <c r="Q83" i="58"/>
  <c r="P83" i="58"/>
  <c r="O83" i="58"/>
  <c r="N83" i="58"/>
  <c r="M83" i="58"/>
  <c r="AA82" i="58"/>
  <c r="Z82" i="58"/>
  <c r="Y82" i="58"/>
  <c r="X82" i="58"/>
  <c r="W82" i="58"/>
  <c r="V82" i="58"/>
  <c r="U82" i="58"/>
  <c r="T82" i="58"/>
  <c r="S82" i="58"/>
  <c r="R82" i="58"/>
  <c r="Q82" i="58"/>
  <c r="P82" i="58"/>
  <c r="O82" i="58"/>
  <c r="N82" i="58"/>
  <c r="M82" i="58"/>
  <c r="AA81" i="58"/>
  <c r="Z81" i="58"/>
  <c r="Y81" i="58"/>
  <c r="X81" i="58"/>
  <c r="W81" i="58"/>
  <c r="V81" i="58"/>
  <c r="U81" i="58"/>
  <c r="T81" i="58"/>
  <c r="S81" i="58"/>
  <c r="R81" i="58"/>
  <c r="Q81" i="58"/>
  <c r="P81" i="58"/>
  <c r="O81" i="58"/>
  <c r="N81" i="58"/>
  <c r="M81" i="58"/>
  <c r="AA80" i="58"/>
  <c r="Z80" i="58"/>
  <c r="Y80" i="58"/>
  <c r="X80" i="58"/>
  <c r="W80" i="58"/>
  <c r="V80" i="58"/>
  <c r="U80" i="58"/>
  <c r="T80" i="58"/>
  <c r="S80" i="58"/>
  <c r="R80" i="58"/>
  <c r="Q80" i="58"/>
  <c r="P80" i="58"/>
  <c r="O80" i="58"/>
  <c r="N80" i="58"/>
  <c r="M80" i="58"/>
  <c r="AA79" i="58"/>
  <c r="Z79" i="58"/>
  <c r="Y79" i="58"/>
  <c r="X79" i="58"/>
  <c r="W79" i="58"/>
  <c r="V79" i="58"/>
  <c r="U79" i="58"/>
  <c r="T79" i="58"/>
  <c r="S79" i="58"/>
  <c r="R79" i="58"/>
  <c r="Q79" i="58"/>
  <c r="P79" i="58"/>
  <c r="O79" i="58"/>
  <c r="N79" i="58"/>
  <c r="M79" i="58"/>
  <c r="AA78" i="58"/>
  <c r="Z78" i="58"/>
  <c r="Y78" i="58"/>
  <c r="X78" i="58"/>
  <c r="W78" i="58"/>
  <c r="V78" i="58"/>
  <c r="U78" i="58"/>
  <c r="T78" i="58"/>
  <c r="S78" i="58"/>
  <c r="R78" i="58"/>
  <c r="Q78" i="58"/>
  <c r="P78" i="58"/>
  <c r="O78" i="58"/>
  <c r="N78" i="58"/>
  <c r="M78" i="58"/>
  <c r="AA77" i="58"/>
  <c r="Z77" i="58"/>
  <c r="Y77" i="58"/>
  <c r="X77" i="58"/>
  <c r="W77" i="58"/>
  <c r="V77" i="58"/>
  <c r="U77" i="58"/>
  <c r="T77" i="58"/>
  <c r="S77" i="58"/>
  <c r="R77" i="58"/>
  <c r="Q77" i="58"/>
  <c r="P77" i="58"/>
  <c r="O77" i="58"/>
  <c r="N77" i="58"/>
  <c r="M77" i="58"/>
  <c r="AA76" i="58"/>
  <c r="Z76" i="58"/>
  <c r="Y76" i="58"/>
  <c r="X76" i="58"/>
  <c r="W76" i="58"/>
  <c r="V76" i="58"/>
  <c r="U76" i="58"/>
  <c r="T76" i="58"/>
  <c r="S76" i="58"/>
  <c r="R76" i="58"/>
  <c r="Q76" i="58"/>
  <c r="P76" i="58"/>
  <c r="O76" i="58"/>
  <c r="N76" i="58"/>
  <c r="M76" i="58"/>
  <c r="AA75" i="58"/>
  <c r="Z75" i="58"/>
  <c r="Y75" i="58"/>
  <c r="X75" i="58"/>
  <c r="W75" i="58"/>
  <c r="V75" i="58"/>
  <c r="U75" i="58"/>
  <c r="T75" i="58"/>
  <c r="S75" i="58"/>
  <c r="R75" i="58"/>
  <c r="Q75" i="58"/>
  <c r="P75" i="58"/>
  <c r="O75" i="58"/>
  <c r="N75" i="58"/>
  <c r="M75" i="58"/>
  <c r="AA74" i="58"/>
  <c r="Z74" i="58"/>
  <c r="Y74" i="58"/>
  <c r="X74" i="58"/>
  <c r="W74" i="58"/>
  <c r="V74" i="58"/>
  <c r="U74" i="58"/>
  <c r="T74" i="58"/>
  <c r="S74" i="58"/>
  <c r="R74" i="58"/>
  <c r="Q74" i="58"/>
  <c r="P74" i="58"/>
  <c r="O74" i="58"/>
  <c r="N74" i="58"/>
  <c r="M74" i="58"/>
  <c r="AA73" i="58"/>
  <c r="Z73" i="58"/>
  <c r="Y73" i="58"/>
  <c r="X73" i="58"/>
  <c r="W73" i="58"/>
  <c r="V73" i="58"/>
  <c r="U73" i="58"/>
  <c r="T73" i="58"/>
  <c r="S73" i="58"/>
  <c r="R73" i="58"/>
  <c r="Q73" i="58"/>
  <c r="P73" i="58"/>
  <c r="O73" i="58"/>
  <c r="N73" i="58"/>
  <c r="M73" i="58"/>
  <c r="AA72" i="58"/>
  <c r="Z72" i="58"/>
  <c r="Y72" i="58"/>
  <c r="X72" i="58"/>
  <c r="W72" i="58"/>
  <c r="V72" i="58"/>
  <c r="U72" i="58"/>
  <c r="T72" i="58"/>
  <c r="S72" i="58"/>
  <c r="R72" i="58"/>
  <c r="Q72" i="58"/>
  <c r="P72" i="58"/>
  <c r="O72" i="58"/>
  <c r="N72" i="58"/>
  <c r="M72" i="58"/>
  <c r="AA71" i="58"/>
  <c r="Z71" i="58"/>
  <c r="Y71" i="58"/>
  <c r="X71" i="58"/>
  <c r="W71" i="58"/>
  <c r="V71" i="58"/>
  <c r="U71" i="58"/>
  <c r="T71" i="58"/>
  <c r="S71" i="58"/>
  <c r="R71" i="58"/>
  <c r="Q71" i="58"/>
  <c r="P71" i="58"/>
  <c r="O71" i="58"/>
  <c r="N71" i="58"/>
  <c r="M71" i="58"/>
  <c r="AA70" i="58"/>
  <c r="Z70" i="58"/>
  <c r="Y70" i="58"/>
  <c r="X70" i="58"/>
  <c r="W70" i="58"/>
  <c r="V70" i="58"/>
  <c r="U70" i="58"/>
  <c r="T70" i="58"/>
  <c r="S70" i="58"/>
  <c r="R70" i="58"/>
  <c r="Q70" i="58"/>
  <c r="P70" i="58"/>
  <c r="O70" i="58"/>
  <c r="N70" i="58"/>
  <c r="M70" i="58"/>
  <c r="AA69" i="58"/>
  <c r="Z69" i="58"/>
  <c r="Y69" i="58"/>
  <c r="X69" i="58"/>
  <c r="W69" i="58"/>
  <c r="V69" i="58"/>
  <c r="U69" i="58"/>
  <c r="T69" i="58"/>
  <c r="S69" i="58"/>
  <c r="R69" i="58"/>
  <c r="Q69" i="58"/>
  <c r="P69" i="58"/>
  <c r="O69" i="58"/>
  <c r="N69" i="58"/>
  <c r="M69" i="58"/>
  <c r="AA68" i="58"/>
  <c r="Z68" i="58"/>
  <c r="Y68" i="58"/>
  <c r="X68" i="58"/>
  <c r="W68" i="58"/>
  <c r="V68" i="58"/>
  <c r="U68" i="58"/>
  <c r="T68" i="58"/>
  <c r="S68" i="58"/>
  <c r="R68" i="58"/>
  <c r="Q68" i="58"/>
  <c r="P68" i="58"/>
  <c r="O68" i="58"/>
  <c r="N68" i="58"/>
  <c r="M68" i="58"/>
  <c r="AA67" i="58"/>
  <c r="Z67" i="58"/>
  <c r="Y67" i="58"/>
  <c r="X67" i="58"/>
  <c r="W67" i="58"/>
  <c r="V67" i="58"/>
  <c r="U67" i="58"/>
  <c r="T67" i="58"/>
  <c r="S67" i="58"/>
  <c r="R67" i="58"/>
  <c r="Q67" i="58"/>
  <c r="P67" i="58"/>
  <c r="O67" i="58"/>
  <c r="N67" i="58"/>
  <c r="M67" i="58"/>
  <c r="AA66" i="58"/>
  <c r="Z66" i="58"/>
  <c r="Y66" i="58"/>
  <c r="X66" i="58"/>
  <c r="W66" i="58"/>
  <c r="V66" i="58"/>
  <c r="U66" i="58"/>
  <c r="T66" i="58"/>
  <c r="S66" i="58"/>
  <c r="R66" i="58"/>
  <c r="Q66" i="58"/>
  <c r="P66" i="58"/>
  <c r="O66" i="58"/>
  <c r="N66" i="58"/>
  <c r="M66" i="58"/>
  <c r="AA65" i="58"/>
  <c r="Z65" i="58"/>
  <c r="Y65" i="58"/>
  <c r="X65" i="58"/>
  <c r="W65" i="58"/>
  <c r="V65" i="58"/>
  <c r="U65" i="58"/>
  <c r="T65" i="58"/>
  <c r="S65" i="58"/>
  <c r="R65" i="58"/>
  <c r="Q65" i="58"/>
  <c r="P65" i="58"/>
  <c r="O65" i="58"/>
  <c r="N65" i="58"/>
  <c r="M65" i="58"/>
  <c r="AA64" i="58"/>
  <c r="Z64" i="58"/>
  <c r="Y64" i="58"/>
  <c r="X64" i="58"/>
  <c r="W64" i="58"/>
  <c r="V64" i="58"/>
  <c r="U64" i="58"/>
  <c r="T64" i="58"/>
  <c r="S64" i="58"/>
  <c r="R64" i="58"/>
  <c r="Q64" i="58"/>
  <c r="P64" i="58"/>
  <c r="O64" i="58"/>
  <c r="N64" i="58"/>
  <c r="M64" i="58"/>
  <c r="AA63" i="58"/>
  <c r="Z63" i="58"/>
  <c r="Y63" i="58"/>
  <c r="X63" i="58"/>
  <c r="W63" i="58"/>
  <c r="V63" i="58"/>
  <c r="U63" i="58"/>
  <c r="T63" i="58"/>
  <c r="S63" i="58"/>
  <c r="R63" i="58"/>
  <c r="Q63" i="58"/>
  <c r="P63" i="58"/>
  <c r="O63" i="58"/>
  <c r="N63" i="58"/>
  <c r="M63" i="58"/>
  <c r="AA62" i="58"/>
  <c r="Z62" i="58"/>
  <c r="Y62" i="58"/>
  <c r="X62" i="58"/>
  <c r="W62" i="58"/>
  <c r="V62" i="58"/>
  <c r="U62" i="58"/>
  <c r="T62" i="58"/>
  <c r="S62" i="58"/>
  <c r="R62" i="58"/>
  <c r="Q62" i="58"/>
  <c r="P62" i="58"/>
  <c r="O62" i="58"/>
  <c r="N62" i="58"/>
  <c r="M62" i="58"/>
  <c r="AA61" i="58"/>
  <c r="Z61" i="58"/>
  <c r="Y61" i="58"/>
  <c r="X61" i="58"/>
  <c r="W61" i="58"/>
  <c r="V61" i="58"/>
  <c r="U61" i="58"/>
  <c r="T61" i="58"/>
  <c r="S61" i="58"/>
  <c r="R61" i="58"/>
  <c r="Q61" i="58"/>
  <c r="P61" i="58"/>
  <c r="O61" i="58"/>
  <c r="N61" i="58"/>
  <c r="M61" i="58"/>
  <c r="AA60" i="58"/>
  <c r="Z60" i="58"/>
  <c r="Y60" i="58"/>
  <c r="X60" i="58"/>
  <c r="W60" i="58"/>
  <c r="V60" i="58"/>
  <c r="U60" i="58"/>
  <c r="T60" i="58"/>
  <c r="S60" i="58"/>
  <c r="R60" i="58"/>
  <c r="Q60" i="58"/>
  <c r="P60" i="58"/>
  <c r="O60" i="58"/>
  <c r="N60" i="58"/>
  <c r="M60" i="58"/>
  <c r="AA59" i="58"/>
  <c r="Z59" i="58"/>
  <c r="Y59" i="58"/>
  <c r="X59" i="58"/>
  <c r="W59" i="58"/>
  <c r="V59" i="58"/>
  <c r="U59" i="58"/>
  <c r="T59" i="58"/>
  <c r="S59" i="58"/>
  <c r="R59" i="58"/>
  <c r="Q59" i="58"/>
  <c r="P59" i="58"/>
  <c r="O59" i="58"/>
  <c r="N59" i="58"/>
  <c r="M59" i="58"/>
  <c r="AA58" i="58"/>
  <c r="Z58" i="58"/>
  <c r="Y58" i="58"/>
  <c r="X58" i="58"/>
  <c r="W58" i="58"/>
  <c r="V58" i="58"/>
  <c r="U58" i="58"/>
  <c r="T58" i="58"/>
  <c r="S58" i="58"/>
  <c r="R58" i="58"/>
  <c r="Q58" i="58"/>
  <c r="P58" i="58"/>
  <c r="O58" i="58"/>
  <c r="N58" i="58"/>
  <c r="M58" i="58"/>
  <c r="AA57" i="58"/>
  <c r="Z57" i="58"/>
  <c r="Y57" i="58"/>
  <c r="X57" i="58"/>
  <c r="W57" i="58"/>
  <c r="V57" i="58"/>
  <c r="U57" i="58"/>
  <c r="T57" i="58"/>
  <c r="S57" i="58"/>
  <c r="R57" i="58"/>
  <c r="Q57" i="58"/>
  <c r="P57" i="58"/>
  <c r="O57" i="58"/>
  <c r="N57" i="58"/>
  <c r="M57" i="58"/>
  <c r="AA56" i="58"/>
  <c r="Z56" i="58"/>
  <c r="Y56" i="58"/>
  <c r="X56" i="58"/>
  <c r="W56" i="58"/>
  <c r="V56" i="58"/>
  <c r="U56" i="58"/>
  <c r="T56" i="58"/>
  <c r="S56" i="58"/>
  <c r="R56" i="58"/>
  <c r="Q56" i="58"/>
  <c r="P56" i="58"/>
  <c r="O56" i="58"/>
  <c r="N56" i="58"/>
  <c r="M56" i="58"/>
  <c r="AA55" i="58"/>
  <c r="Z55" i="58"/>
  <c r="Y55" i="58"/>
  <c r="X55" i="58"/>
  <c r="W55" i="58"/>
  <c r="V55" i="58"/>
  <c r="U55" i="58"/>
  <c r="T55" i="58"/>
  <c r="S55" i="58"/>
  <c r="R55" i="58"/>
  <c r="Q55" i="58"/>
  <c r="P55" i="58"/>
  <c r="O55" i="58"/>
  <c r="N55" i="58"/>
  <c r="M55" i="58"/>
  <c r="AA54" i="58"/>
  <c r="Z54" i="58"/>
  <c r="Y54" i="58"/>
  <c r="X54" i="58"/>
  <c r="W54" i="58"/>
  <c r="V54" i="58"/>
  <c r="U54" i="58"/>
  <c r="T54" i="58"/>
  <c r="S54" i="58"/>
  <c r="R54" i="58"/>
  <c r="Q54" i="58"/>
  <c r="P54" i="58"/>
  <c r="O54" i="58"/>
  <c r="N54" i="58"/>
  <c r="M54" i="58"/>
  <c r="AA53" i="58"/>
  <c r="Z53" i="58"/>
  <c r="Y53" i="58"/>
  <c r="X53" i="58"/>
  <c r="W53" i="58"/>
  <c r="V53" i="58"/>
  <c r="U53" i="58"/>
  <c r="T53" i="58"/>
  <c r="S53" i="58"/>
  <c r="R53" i="58"/>
  <c r="Q53" i="58"/>
  <c r="P53" i="58"/>
  <c r="O53" i="58"/>
  <c r="N53" i="58"/>
  <c r="M53" i="58"/>
  <c r="AA52" i="58"/>
  <c r="Z52" i="58"/>
  <c r="Y52" i="58"/>
  <c r="X52" i="58"/>
  <c r="W52" i="58"/>
  <c r="V52" i="58"/>
  <c r="U52" i="58"/>
  <c r="T52" i="58"/>
  <c r="S52" i="58"/>
  <c r="R52" i="58"/>
  <c r="Q52" i="58"/>
  <c r="P52" i="58"/>
  <c r="O52" i="58"/>
  <c r="N52" i="58"/>
  <c r="M52" i="58"/>
  <c r="AA51" i="58"/>
  <c r="Z51" i="58"/>
  <c r="Y51" i="58"/>
  <c r="X51" i="58"/>
  <c r="W51" i="58"/>
  <c r="V51" i="58"/>
  <c r="U51" i="58"/>
  <c r="T51" i="58"/>
  <c r="S51" i="58"/>
  <c r="R51" i="58"/>
  <c r="Q51" i="58"/>
  <c r="P51" i="58"/>
  <c r="O51" i="58"/>
  <c r="N51" i="58"/>
  <c r="M51" i="58"/>
  <c r="AA50" i="58"/>
  <c r="Z50" i="58"/>
  <c r="Y50" i="58"/>
  <c r="X50" i="58"/>
  <c r="W50" i="58"/>
  <c r="V50" i="58"/>
  <c r="U50" i="58"/>
  <c r="T50" i="58"/>
  <c r="S50" i="58"/>
  <c r="R50" i="58"/>
  <c r="Q50" i="58"/>
  <c r="P50" i="58"/>
  <c r="O50" i="58"/>
  <c r="N50" i="58"/>
  <c r="M50" i="58"/>
  <c r="AA49" i="58"/>
  <c r="Z49" i="58"/>
  <c r="Y49" i="58"/>
  <c r="X49" i="58"/>
  <c r="W49" i="58"/>
  <c r="V49" i="58"/>
  <c r="U49" i="58"/>
  <c r="T49" i="58"/>
  <c r="S49" i="58"/>
  <c r="R49" i="58"/>
  <c r="Q49" i="58"/>
  <c r="P49" i="58"/>
  <c r="O49" i="58"/>
  <c r="N49" i="58"/>
  <c r="M49" i="58"/>
  <c r="AA48" i="58"/>
  <c r="Z48" i="58"/>
  <c r="Y48" i="58"/>
  <c r="X48" i="58"/>
  <c r="W48" i="58"/>
  <c r="V48" i="58"/>
  <c r="U48" i="58"/>
  <c r="T48" i="58"/>
  <c r="S48" i="58"/>
  <c r="R48" i="58"/>
  <c r="Q48" i="58"/>
  <c r="P48" i="58"/>
  <c r="O48" i="58"/>
  <c r="N48" i="58"/>
  <c r="M48" i="58"/>
  <c r="AA47" i="58"/>
  <c r="Z47" i="58"/>
  <c r="Y47" i="58"/>
  <c r="X47" i="58"/>
  <c r="W47" i="58"/>
  <c r="V47" i="58"/>
  <c r="U47" i="58"/>
  <c r="T47" i="58"/>
  <c r="S47" i="58"/>
  <c r="R47" i="58"/>
  <c r="Q47" i="58"/>
  <c r="P47" i="58"/>
  <c r="O47" i="58"/>
  <c r="N47" i="58"/>
  <c r="M47" i="58"/>
  <c r="AA46" i="58"/>
  <c r="Z46" i="58"/>
  <c r="Y46" i="58"/>
  <c r="X46" i="58"/>
  <c r="W46" i="58"/>
  <c r="V46" i="58"/>
  <c r="U46" i="58"/>
  <c r="T46" i="58"/>
  <c r="S46" i="58"/>
  <c r="R46" i="58"/>
  <c r="Q46" i="58"/>
  <c r="P46" i="58"/>
  <c r="O46" i="58"/>
  <c r="N46" i="58"/>
  <c r="M46" i="58"/>
  <c r="AA45" i="58"/>
  <c r="Z45" i="58"/>
  <c r="Y45" i="58"/>
  <c r="X45" i="58"/>
  <c r="W45" i="58"/>
  <c r="V45" i="58"/>
  <c r="U45" i="58"/>
  <c r="T45" i="58"/>
  <c r="S45" i="58"/>
  <c r="R45" i="58"/>
  <c r="Q45" i="58"/>
  <c r="P45" i="58"/>
  <c r="O45" i="58"/>
  <c r="N45" i="58"/>
  <c r="M45" i="58"/>
  <c r="AA44" i="58"/>
  <c r="Z44" i="58"/>
  <c r="Y44" i="58"/>
  <c r="X44" i="58"/>
  <c r="W44" i="58"/>
  <c r="V44" i="58"/>
  <c r="U44" i="58"/>
  <c r="T44" i="58"/>
  <c r="S44" i="58"/>
  <c r="R44" i="58"/>
  <c r="Q44" i="58"/>
  <c r="P44" i="58"/>
  <c r="O44" i="58"/>
  <c r="N44" i="58"/>
  <c r="M44" i="58"/>
  <c r="AA43" i="58"/>
  <c r="Z43" i="58"/>
  <c r="Y43" i="58"/>
  <c r="X43" i="58"/>
  <c r="W43" i="58"/>
  <c r="V43" i="58"/>
  <c r="U43" i="58"/>
  <c r="T43" i="58"/>
  <c r="S43" i="58"/>
  <c r="R43" i="58"/>
  <c r="Q43" i="58"/>
  <c r="P43" i="58"/>
  <c r="O43" i="58"/>
  <c r="N43" i="58"/>
  <c r="M43" i="58"/>
  <c r="AA42" i="58"/>
  <c r="Z42" i="58"/>
  <c r="Y42" i="58"/>
  <c r="X42" i="58"/>
  <c r="W42" i="58"/>
  <c r="V42" i="58"/>
  <c r="U42" i="58"/>
  <c r="T42" i="58"/>
  <c r="S42" i="58"/>
  <c r="R42" i="58"/>
  <c r="Q42" i="58"/>
  <c r="P42" i="58"/>
  <c r="O42" i="58"/>
  <c r="N42" i="58"/>
  <c r="M42" i="58"/>
  <c r="AA41" i="58"/>
  <c r="Z41" i="58"/>
  <c r="Y41" i="58"/>
  <c r="X41" i="58"/>
  <c r="W41" i="58"/>
  <c r="V41" i="58"/>
  <c r="U41" i="58"/>
  <c r="T41" i="58"/>
  <c r="S41" i="58"/>
  <c r="R41" i="58"/>
  <c r="Q41" i="58"/>
  <c r="P41" i="58"/>
  <c r="O41" i="58"/>
  <c r="N41" i="58"/>
  <c r="M41" i="58"/>
  <c r="AA40" i="58"/>
  <c r="Z40" i="58"/>
  <c r="Y40" i="58"/>
  <c r="X40" i="58"/>
  <c r="W40" i="58"/>
  <c r="V40" i="58"/>
  <c r="U40" i="58"/>
  <c r="T40" i="58"/>
  <c r="S40" i="58"/>
  <c r="R40" i="58"/>
  <c r="Q40" i="58"/>
  <c r="P40" i="58"/>
  <c r="O40" i="58"/>
  <c r="N40" i="58"/>
  <c r="M40" i="58"/>
  <c r="AA39" i="58"/>
  <c r="Z39" i="58"/>
  <c r="Y39" i="58"/>
  <c r="X39" i="58"/>
  <c r="W39" i="58"/>
  <c r="V39" i="58"/>
  <c r="U39" i="58"/>
  <c r="T39" i="58"/>
  <c r="S39" i="58"/>
  <c r="R39" i="58"/>
  <c r="Q39" i="58"/>
  <c r="P39" i="58"/>
  <c r="O39" i="58"/>
  <c r="N39" i="58"/>
  <c r="M39" i="58"/>
  <c r="AA38" i="58"/>
  <c r="Z38" i="58"/>
  <c r="Y38" i="58"/>
  <c r="X38" i="58"/>
  <c r="W38" i="58"/>
  <c r="V38" i="58"/>
  <c r="U38" i="58"/>
  <c r="T38" i="58"/>
  <c r="S38" i="58"/>
  <c r="R38" i="58"/>
  <c r="Q38" i="58"/>
  <c r="P38" i="58"/>
  <c r="O38" i="58"/>
  <c r="N38" i="58"/>
  <c r="M38" i="58"/>
  <c r="AA37" i="58"/>
  <c r="Z37" i="58"/>
  <c r="Y37" i="58"/>
  <c r="X37" i="58"/>
  <c r="W37" i="58"/>
  <c r="V37" i="58"/>
  <c r="U37" i="58"/>
  <c r="T37" i="58"/>
  <c r="S37" i="58"/>
  <c r="R37" i="58"/>
  <c r="Q37" i="58"/>
  <c r="P37" i="58"/>
  <c r="O37" i="58"/>
  <c r="N37" i="58"/>
  <c r="M37" i="58"/>
  <c r="AA36" i="58"/>
  <c r="Z36" i="58"/>
  <c r="Y36" i="58"/>
  <c r="X36" i="58"/>
  <c r="W36" i="58"/>
  <c r="V36" i="58"/>
  <c r="U36" i="58"/>
  <c r="T36" i="58"/>
  <c r="S36" i="58"/>
  <c r="R36" i="58"/>
  <c r="Q36" i="58"/>
  <c r="P36" i="58"/>
  <c r="O36" i="58"/>
  <c r="N36" i="58"/>
  <c r="M36" i="58"/>
  <c r="AA35" i="58"/>
  <c r="Z35" i="58"/>
  <c r="Y35" i="58"/>
  <c r="X35" i="58"/>
  <c r="W35" i="58"/>
  <c r="V35" i="58"/>
  <c r="U35" i="58"/>
  <c r="T35" i="58"/>
  <c r="S35" i="58"/>
  <c r="R35" i="58"/>
  <c r="Q35" i="58"/>
  <c r="P35" i="58"/>
  <c r="O35" i="58"/>
  <c r="N35" i="58"/>
  <c r="M35" i="58"/>
  <c r="AA34" i="58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AA33" i="58"/>
  <c r="Z33" i="58"/>
  <c r="Y33" i="58"/>
  <c r="X33" i="58"/>
  <c r="W33" i="58"/>
  <c r="V33" i="58"/>
  <c r="U33" i="58"/>
  <c r="T33" i="58"/>
  <c r="S33" i="58"/>
  <c r="R33" i="58"/>
  <c r="Q33" i="58"/>
  <c r="P33" i="58"/>
  <c r="O33" i="58"/>
  <c r="N33" i="58"/>
  <c r="M33" i="58"/>
  <c r="AA32" i="58"/>
  <c r="Z32" i="58"/>
  <c r="Y32" i="58"/>
  <c r="X32" i="58"/>
  <c r="W32" i="58"/>
  <c r="V32" i="58"/>
  <c r="U32" i="58"/>
  <c r="T32" i="58"/>
  <c r="S32" i="58"/>
  <c r="R32" i="58"/>
  <c r="Q32" i="58"/>
  <c r="P32" i="58"/>
  <c r="O32" i="58"/>
  <c r="N32" i="58"/>
  <c r="M32" i="58"/>
  <c r="AA31" i="58"/>
  <c r="Z31" i="58"/>
  <c r="Y31" i="58"/>
  <c r="X31" i="58"/>
  <c r="W31" i="58"/>
  <c r="V31" i="58"/>
  <c r="U31" i="58"/>
  <c r="T31" i="58"/>
  <c r="S31" i="58"/>
  <c r="R31" i="58"/>
  <c r="Q31" i="58"/>
  <c r="P31" i="58"/>
  <c r="O31" i="58"/>
  <c r="N31" i="58"/>
  <c r="M31" i="58"/>
  <c r="AA30" i="58"/>
  <c r="Z30" i="58"/>
  <c r="Y30" i="58"/>
  <c r="X30" i="58"/>
  <c r="W30" i="58"/>
  <c r="V30" i="58"/>
  <c r="U30" i="58"/>
  <c r="T30" i="58"/>
  <c r="S30" i="58"/>
  <c r="R30" i="58"/>
  <c r="Q30" i="58"/>
  <c r="P30" i="58"/>
  <c r="O30" i="58"/>
  <c r="N30" i="58"/>
  <c r="M30" i="58"/>
  <c r="AA29" i="58"/>
  <c r="Z29" i="58"/>
  <c r="Y29" i="58"/>
  <c r="X29" i="58"/>
  <c r="W29" i="58"/>
  <c r="V29" i="58"/>
  <c r="U29" i="58"/>
  <c r="T29" i="58"/>
  <c r="S29" i="58"/>
  <c r="R29" i="58"/>
  <c r="Q29" i="58"/>
  <c r="P29" i="58"/>
  <c r="O29" i="58"/>
  <c r="N29" i="58"/>
  <c r="M29" i="58"/>
  <c r="AA28" i="58"/>
  <c r="Z28" i="58"/>
  <c r="Y28" i="58"/>
  <c r="X28" i="58"/>
  <c r="W28" i="58"/>
  <c r="V28" i="58"/>
  <c r="U28" i="58"/>
  <c r="T28" i="58"/>
  <c r="S28" i="58"/>
  <c r="R28" i="58"/>
  <c r="Q28" i="58"/>
  <c r="P28" i="58"/>
  <c r="O28" i="58"/>
  <c r="N28" i="58"/>
  <c r="M28" i="58"/>
  <c r="AA27" i="58"/>
  <c r="Z27" i="58"/>
  <c r="Y27" i="58"/>
  <c r="X27" i="58"/>
  <c r="W27" i="58"/>
  <c r="V27" i="58"/>
  <c r="U27" i="58"/>
  <c r="T27" i="58"/>
  <c r="S27" i="58"/>
  <c r="R27" i="58"/>
  <c r="Q27" i="58"/>
  <c r="P27" i="58"/>
  <c r="O27" i="58"/>
  <c r="N27" i="58"/>
  <c r="M27" i="58"/>
  <c r="AA26" i="58"/>
  <c r="Z26" i="58"/>
  <c r="Y26" i="58"/>
  <c r="X26" i="58"/>
  <c r="W26" i="58"/>
  <c r="V26" i="58"/>
  <c r="U26" i="58"/>
  <c r="T26" i="58"/>
  <c r="S26" i="58"/>
  <c r="R26" i="58"/>
  <c r="Q26" i="58"/>
  <c r="P26" i="58"/>
  <c r="O26" i="58"/>
  <c r="N26" i="58"/>
  <c r="M26" i="58"/>
  <c r="AA25" i="58"/>
  <c r="Z25" i="58"/>
  <c r="Y25" i="58"/>
  <c r="X25" i="58"/>
  <c r="W25" i="58"/>
  <c r="V25" i="58"/>
  <c r="U25" i="58"/>
  <c r="T25" i="58"/>
  <c r="S25" i="58"/>
  <c r="R25" i="58"/>
  <c r="Q25" i="58"/>
  <c r="P25" i="58"/>
  <c r="O25" i="58"/>
  <c r="N25" i="58"/>
  <c r="M25" i="58"/>
  <c r="AA24" i="58"/>
  <c r="Z24" i="58"/>
  <c r="Y24" i="58"/>
  <c r="X24" i="58"/>
  <c r="W24" i="58"/>
  <c r="V24" i="58"/>
  <c r="U24" i="58"/>
  <c r="T24" i="58"/>
  <c r="S24" i="58"/>
  <c r="R24" i="58"/>
  <c r="Q24" i="58"/>
  <c r="P24" i="58"/>
  <c r="O24" i="58"/>
  <c r="N24" i="58"/>
  <c r="M24" i="58"/>
  <c r="AA23" i="58"/>
  <c r="Z23" i="58"/>
  <c r="Y23" i="58"/>
  <c r="X23" i="58"/>
  <c r="W23" i="58"/>
  <c r="V23" i="58"/>
  <c r="U23" i="58"/>
  <c r="T23" i="58"/>
  <c r="S23" i="58"/>
  <c r="R23" i="58"/>
  <c r="Q23" i="58"/>
  <c r="P23" i="58"/>
  <c r="O23" i="58"/>
  <c r="N23" i="58"/>
  <c r="M23" i="58"/>
  <c r="AA22" i="58"/>
  <c r="Z22" i="58"/>
  <c r="Y22" i="58"/>
  <c r="X22" i="58"/>
  <c r="W22" i="58"/>
  <c r="V22" i="58"/>
  <c r="U22" i="58"/>
  <c r="T22" i="58"/>
  <c r="S22" i="58"/>
  <c r="R22" i="58"/>
  <c r="Q22" i="58"/>
  <c r="P22" i="58"/>
  <c r="O22" i="58"/>
  <c r="N22" i="58"/>
  <c r="M22" i="58"/>
  <c r="AA21" i="58"/>
  <c r="Z21" i="58"/>
  <c r="Y21" i="58"/>
  <c r="X21" i="58"/>
  <c r="W21" i="58"/>
  <c r="V21" i="58"/>
  <c r="U21" i="58"/>
  <c r="T21" i="58"/>
  <c r="S21" i="58"/>
  <c r="R21" i="58"/>
  <c r="Q21" i="58"/>
  <c r="P21" i="58"/>
  <c r="O21" i="58"/>
  <c r="N21" i="58"/>
  <c r="M21" i="58"/>
  <c r="AA20" i="58"/>
  <c r="Z20" i="58"/>
  <c r="Y20" i="58"/>
  <c r="X20" i="58"/>
  <c r="W20" i="58"/>
  <c r="V20" i="58"/>
  <c r="U20" i="58"/>
  <c r="T20" i="58"/>
  <c r="S20" i="58"/>
  <c r="R20" i="58"/>
  <c r="Q20" i="58"/>
  <c r="P20" i="58"/>
  <c r="O20" i="58"/>
  <c r="N20" i="58"/>
  <c r="M20" i="58"/>
  <c r="AA19" i="58"/>
  <c r="Z19" i="58"/>
  <c r="Y19" i="58"/>
  <c r="X19" i="58"/>
  <c r="W19" i="58"/>
  <c r="V19" i="58"/>
  <c r="U19" i="58"/>
  <c r="T19" i="58"/>
  <c r="S19" i="58"/>
  <c r="R19" i="58"/>
  <c r="Q19" i="58"/>
  <c r="P19" i="58"/>
  <c r="O19" i="58"/>
  <c r="N19" i="58"/>
  <c r="M19" i="58"/>
  <c r="AA18" i="58"/>
  <c r="Z18" i="58"/>
  <c r="Y18" i="58"/>
  <c r="X18" i="58"/>
  <c r="W18" i="58"/>
  <c r="V18" i="58"/>
  <c r="U18" i="58"/>
  <c r="T18" i="58"/>
  <c r="S18" i="58"/>
  <c r="R18" i="58"/>
  <c r="Q18" i="58"/>
  <c r="P18" i="58"/>
  <c r="O18" i="58"/>
  <c r="N18" i="58"/>
  <c r="M18" i="58"/>
  <c r="AA17" i="58"/>
  <c r="Z17" i="58"/>
  <c r="Y17" i="58"/>
  <c r="X17" i="58"/>
  <c r="W17" i="58"/>
  <c r="V17" i="58"/>
  <c r="U17" i="58"/>
  <c r="T17" i="58"/>
  <c r="S17" i="58"/>
  <c r="R17" i="58"/>
  <c r="Q17" i="58"/>
  <c r="P17" i="58"/>
  <c r="O17" i="58"/>
  <c r="N17" i="58"/>
  <c r="M17" i="58"/>
  <c r="AA16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AA15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AA14" i="58"/>
  <c r="Z14" i="58"/>
  <c r="Y14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AA13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AA12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AA11" i="58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AA10" i="58"/>
  <c r="Z10" i="58"/>
  <c r="Y10" i="58"/>
  <c r="X10" i="58"/>
  <c r="W10" i="58"/>
  <c r="V10" i="58"/>
  <c r="U10" i="58"/>
  <c r="T10" i="58"/>
  <c r="S10" i="58"/>
  <c r="R10" i="58"/>
  <c r="Q10" i="58"/>
  <c r="P10" i="58"/>
  <c r="O10" i="58"/>
  <c r="N10" i="58"/>
  <c r="M10" i="58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AA8" i="58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AA7" i="58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AA6" i="58"/>
  <c r="Z6" i="58"/>
  <c r="Y6" i="58"/>
  <c r="X6" i="58"/>
  <c r="W6" i="58"/>
  <c r="V6" i="58"/>
  <c r="U6" i="58"/>
  <c r="T6" i="58"/>
  <c r="S6" i="58"/>
  <c r="R6" i="58"/>
  <c r="Q6" i="58"/>
  <c r="P6" i="58"/>
  <c r="O6" i="58"/>
  <c r="N6" i="58"/>
  <c r="M6" i="58"/>
  <c r="AA5" i="58"/>
  <c r="Z5" i="58"/>
  <c r="Y5" i="58"/>
  <c r="X5" i="58"/>
  <c r="W5" i="58"/>
  <c r="V5" i="58"/>
  <c r="U5" i="58"/>
  <c r="T5" i="58"/>
  <c r="S5" i="58"/>
  <c r="R5" i="58"/>
  <c r="Q5" i="58"/>
  <c r="P5" i="58"/>
  <c r="O5" i="58"/>
  <c r="N5" i="58"/>
  <c r="M5" i="58"/>
  <c r="AA4" i="58"/>
  <c r="Z4" i="58"/>
  <c r="Y4" i="58"/>
  <c r="X4" i="58"/>
  <c r="W4" i="58"/>
  <c r="V4" i="58"/>
  <c r="U4" i="58"/>
  <c r="T4" i="58"/>
  <c r="S4" i="58"/>
  <c r="R4" i="58"/>
  <c r="Q4" i="58"/>
  <c r="P4" i="58"/>
  <c r="O4" i="58"/>
  <c r="N4" i="58"/>
  <c r="M4" i="58"/>
  <c r="AA3" i="58"/>
  <c r="Z3" i="58"/>
  <c r="W3" i="58"/>
  <c r="R3" i="58"/>
  <c r="S3" i="58" s="1"/>
  <c r="Q3" i="58"/>
  <c r="P3" i="58"/>
  <c r="O3" i="58"/>
  <c r="N3" i="58"/>
  <c r="M3" i="58"/>
  <c r="AA1" i="58"/>
  <c r="AA102" i="57"/>
  <c r="Z102" i="57"/>
  <c r="Y102" i="57"/>
  <c r="X102" i="57"/>
  <c r="W102" i="57"/>
  <c r="V102" i="57"/>
  <c r="U102" i="57"/>
  <c r="T102" i="57"/>
  <c r="S102" i="57"/>
  <c r="R102" i="57"/>
  <c r="Q102" i="57"/>
  <c r="P102" i="57"/>
  <c r="O102" i="57"/>
  <c r="N102" i="57"/>
  <c r="M102" i="57"/>
  <c r="AA101" i="57"/>
  <c r="Z101" i="57"/>
  <c r="Y101" i="57"/>
  <c r="X101" i="57"/>
  <c r="W101" i="57"/>
  <c r="V101" i="57"/>
  <c r="U101" i="57"/>
  <c r="T101" i="57"/>
  <c r="S101" i="57"/>
  <c r="R101" i="57"/>
  <c r="Q101" i="57"/>
  <c r="P101" i="57"/>
  <c r="O101" i="57"/>
  <c r="N101" i="57"/>
  <c r="M101" i="57"/>
  <c r="AA100" i="57"/>
  <c r="Z100" i="57"/>
  <c r="Y100" i="57"/>
  <c r="X100" i="57"/>
  <c r="W100" i="57"/>
  <c r="V100" i="57"/>
  <c r="U100" i="57"/>
  <c r="T100" i="57"/>
  <c r="S100" i="57"/>
  <c r="R100" i="57"/>
  <c r="Q100" i="57"/>
  <c r="P100" i="57"/>
  <c r="O100" i="57"/>
  <c r="N100" i="57"/>
  <c r="M100" i="57"/>
  <c r="AA99" i="57"/>
  <c r="Z99" i="57"/>
  <c r="Y99" i="57"/>
  <c r="X99" i="57"/>
  <c r="W99" i="57"/>
  <c r="V99" i="57"/>
  <c r="U99" i="57"/>
  <c r="T99" i="57"/>
  <c r="S99" i="57"/>
  <c r="R99" i="57"/>
  <c r="Q99" i="57"/>
  <c r="P99" i="57"/>
  <c r="O99" i="57"/>
  <c r="N99" i="57"/>
  <c r="M99" i="57"/>
  <c r="AA98" i="57"/>
  <c r="Z98" i="57"/>
  <c r="Y98" i="57"/>
  <c r="X98" i="57"/>
  <c r="W98" i="57"/>
  <c r="V98" i="57"/>
  <c r="U98" i="57"/>
  <c r="T98" i="57"/>
  <c r="S98" i="57"/>
  <c r="R98" i="57"/>
  <c r="Q98" i="57"/>
  <c r="P98" i="57"/>
  <c r="O98" i="57"/>
  <c r="N98" i="57"/>
  <c r="M98" i="57"/>
  <c r="AA97" i="57"/>
  <c r="Z97" i="57"/>
  <c r="Y97" i="57"/>
  <c r="X97" i="57"/>
  <c r="W97" i="57"/>
  <c r="V97" i="57"/>
  <c r="U97" i="57"/>
  <c r="T97" i="57"/>
  <c r="S97" i="57"/>
  <c r="R97" i="57"/>
  <c r="Q97" i="57"/>
  <c r="P97" i="57"/>
  <c r="O97" i="57"/>
  <c r="N97" i="57"/>
  <c r="M97" i="57"/>
  <c r="AA96" i="57"/>
  <c r="Z96" i="57"/>
  <c r="Y96" i="57"/>
  <c r="X96" i="57"/>
  <c r="W96" i="57"/>
  <c r="V96" i="57"/>
  <c r="U96" i="57"/>
  <c r="T96" i="57"/>
  <c r="S96" i="57"/>
  <c r="R96" i="57"/>
  <c r="Q96" i="57"/>
  <c r="P96" i="57"/>
  <c r="O96" i="57"/>
  <c r="N96" i="57"/>
  <c r="M96" i="57"/>
  <c r="AA95" i="57"/>
  <c r="Z95" i="57"/>
  <c r="Y95" i="57"/>
  <c r="X95" i="57"/>
  <c r="W95" i="57"/>
  <c r="V95" i="57"/>
  <c r="U95" i="57"/>
  <c r="T95" i="57"/>
  <c r="S95" i="57"/>
  <c r="R95" i="57"/>
  <c r="Q95" i="57"/>
  <c r="P95" i="57"/>
  <c r="O95" i="57"/>
  <c r="N95" i="57"/>
  <c r="M95" i="57"/>
  <c r="AA94" i="57"/>
  <c r="Z94" i="57"/>
  <c r="Y94" i="57"/>
  <c r="X94" i="57"/>
  <c r="W94" i="57"/>
  <c r="V94" i="57"/>
  <c r="U94" i="57"/>
  <c r="T94" i="57"/>
  <c r="S94" i="57"/>
  <c r="R94" i="57"/>
  <c r="Q94" i="57"/>
  <c r="P94" i="57"/>
  <c r="O94" i="57"/>
  <c r="N94" i="57"/>
  <c r="M94" i="57"/>
  <c r="AA93" i="57"/>
  <c r="Z93" i="57"/>
  <c r="Y93" i="57"/>
  <c r="X93" i="57"/>
  <c r="W93" i="57"/>
  <c r="V93" i="57"/>
  <c r="U93" i="57"/>
  <c r="T93" i="57"/>
  <c r="S93" i="57"/>
  <c r="R93" i="57"/>
  <c r="Q93" i="57"/>
  <c r="P93" i="57"/>
  <c r="O93" i="57"/>
  <c r="N93" i="57"/>
  <c r="M93" i="57"/>
  <c r="AA92" i="57"/>
  <c r="Z92" i="57"/>
  <c r="Y92" i="57"/>
  <c r="X92" i="57"/>
  <c r="W92" i="57"/>
  <c r="V92" i="57"/>
  <c r="U92" i="57"/>
  <c r="T92" i="57"/>
  <c r="S92" i="57"/>
  <c r="R92" i="57"/>
  <c r="Q92" i="57"/>
  <c r="P92" i="57"/>
  <c r="O92" i="57"/>
  <c r="N92" i="57"/>
  <c r="M92" i="57"/>
  <c r="AA91" i="57"/>
  <c r="Z91" i="57"/>
  <c r="Y91" i="57"/>
  <c r="X91" i="57"/>
  <c r="W91" i="57"/>
  <c r="V91" i="57"/>
  <c r="U91" i="57"/>
  <c r="T91" i="57"/>
  <c r="S91" i="57"/>
  <c r="R91" i="57"/>
  <c r="Q91" i="57"/>
  <c r="P91" i="57"/>
  <c r="O91" i="57"/>
  <c r="N91" i="57"/>
  <c r="M91" i="57"/>
  <c r="AA90" i="57"/>
  <c r="Z90" i="57"/>
  <c r="Y90" i="57"/>
  <c r="X90" i="57"/>
  <c r="W90" i="57"/>
  <c r="V90" i="57"/>
  <c r="U90" i="57"/>
  <c r="T90" i="57"/>
  <c r="S90" i="57"/>
  <c r="R90" i="57"/>
  <c r="Q90" i="57"/>
  <c r="P90" i="57"/>
  <c r="O90" i="57"/>
  <c r="N90" i="57"/>
  <c r="M90" i="57"/>
  <c r="AA89" i="57"/>
  <c r="Z89" i="57"/>
  <c r="Y89" i="57"/>
  <c r="X89" i="57"/>
  <c r="W89" i="57"/>
  <c r="V89" i="57"/>
  <c r="U89" i="57"/>
  <c r="T89" i="57"/>
  <c r="S89" i="57"/>
  <c r="R89" i="57"/>
  <c r="Q89" i="57"/>
  <c r="P89" i="57"/>
  <c r="O89" i="57"/>
  <c r="N89" i="57"/>
  <c r="M89" i="57"/>
  <c r="AA88" i="57"/>
  <c r="Z88" i="57"/>
  <c r="Y88" i="57"/>
  <c r="X88" i="57"/>
  <c r="W88" i="57"/>
  <c r="V88" i="57"/>
  <c r="U88" i="57"/>
  <c r="T88" i="57"/>
  <c r="S88" i="57"/>
  <c r="R88" i="57"/>
  <c r="Q88" i="57"/>
  <c r="P88" i="57"/>
  <c r="O88" i="57"/>
  <c r="N88" i="57"/>
  <c r="M88" i="57"/>
  <c r="AA87" i="57"/>
  <c r="Z87" i="57"/>
  <c r="Y87" i="57"/>
  <c r="X87" i="57"/>
  <c r="W87" i="57"/>
  <c r="V87" i="57"/>
  <c r="U87" i="57"/>
  <c r="T87" i="57"/>
  <c r="S87" i="57"/>
  <c r="R87" i="57"/>
  <c r="Q87" i="57"/>
  <c r="P87" i="57"/>
  <c r="O87" i="57"/>
  <c r="N87" i="57"/>
  <c r="M87" i="57"/>
  <c r="AA86" i="57"/>
  <c r="Z86" i="57"/>
  <c r="Y86" i="57"/>
  <c r="X86" i="57"/>
  <c r="W86" i="57"/>
  <c r="V86" i="57"/>
  <c r="U86" i="57"/>
  <c r="T86" i="57"/>
  <c r="S86" i="57"/>
  <c r="R86" i="57"/>
  <c r="Q86" i="57"/>
  <c r="P86" i="57"/>
  <c r="O86" i="57"/>
  <c r="N86" i="57"/>
  <c r="M86" i="57"/>
  <c r="AA85" i="57"/>
  <c r="Z85" i="57"/>
  <c r="Y85" i="57"/>
  <c r="X85" i="57"/>
  <c r="W85" i="57"/>
  <c r="V85" i="57"/>
  <c r="U85" i="57"/>
  <c r="T85" i="57"/>
  <c r="S85" i="57"/>
  <c r="R85" i="57"/>
  <c r="Q85" i="57"/>
  <c r="P85" i="57"/>
  <c r="O85" i="57"/>
  <c r="N85" i="57"/>
  <c r="M85" i="57"/>
  <c r="AA84" i="57"/>
  <c r="Z84" i="57"/>
  <c r="Y84" i="57"/>
  <c r="X84" i="57"/>
  <c r="W84" i="57"/>
  <c r="V84" i="57"/>
  <c r="U84" i="57"/>
  <c r="T84" i="57"/>
  <c r="S84" i="57"/>
  <c r="R84" i="57"/>
  <c r="Q84" i="57"/>
  <c r="P84" i="57"/>
  <c r="O84" i="57"/>
  <c r="N84" i="57"/>
  <c r="M84" i="57"/>
  <c r="AA83" i="57"/>
  <c r="Z83" i="57"/>
  <c r="Y83" i="57"/>
  <c r="X83" i="57"/>
  <c r="W83" i="57"/>
  <c r="V83" i="57"/>
  <c r="U83" i="57"/>
  <c r="T83" i="57"/>
  <c r="S83" i="57"/>
  <c r="R83" i="57"/>
  <c r="Q83" i="57"/>
  <c r="P83" i="57"/>
  <c r="O83" i="57"/>
  <c r="N83" i="57"/>
  <c r="M83" i="57"/>
  <c r="AA82" i="57"/>
  <c r="Z82" i="57"/>
  <c r="Y82" i="57"/>
  <c r="X82" i="57"/>
  <c r="W82" i="57"/>
  <c r="V82" i="57"/>
  <c r="U82" i="57"/>
  <c r="T82" i="57"/>
  <c r="S82" i="57"/>
  <c r="R82" i="57"/>
  <c r="Q82" i="57"/>
  <c r="P82" i="57"/>
  <c r="O82" i="57"/>
  <c r="N82" i="57"/>
  <c r="M82" i="57"/>
  <c r="AA81" i="57"/>
  <c r="Z81" i="57"/>
  <c r="Y81" i="57"/>
  <c r="X81" i="57"/>
  <c r="W81" i="57"/>
  <c r="V81" i="57"/>
  <c r="U81" i="57"/>
  <c r="T81" i="57"/>
  <c r="S81" i="57"/>
  <c r="R81" i="57"/>
  <c r="Q81" i="57"/>
  <c r="P81" i="57"/>
  <c r="O81" i="57"/>
  <c r="N81" i="57"/>
  <c r="M81" i="57"/>
  <c r="AA80" i="57"/>
  <c r="Z80" i="57"/>
  <c r="Y80" i="57"/>
  <c r="X80" i="57"/>
  <c r="W80" i="57"/>
  <c r="V80" i="57"/>
  <c r="U80" i="57"/>
  <c r="T80" i="57"/>
  <c r="S80" i="57"/>
  <c r="R80" i="57"/>
  <c r="Q80" i="57"/>
  <c r="P80" i="57"/>
  <c r="O80" i="57"/>
  <c r="N80" i="57"/>
  <c r="M80" i="57"/>
  <c r="AA79" i="57"/>
  <c r="Z79" i="57"/>
  <c r="Y79" i="57"/>
  <c r="X79" i="57"/>
  <c r="W79" i="57"/>
  <c r="V79" i="57"/>
  <c r="U79" i="57"/>
  <c r="T79" i="57"/>
  <c r="S79" i="57"/>
  <c r="R79" i="57"/>
  <c r="Q79" i="57"/>
  <c r="P79" i="57"/>
  <c r="O79" i="57"/>
  <c r="N79" i="57"/>
  <c r="M79" i="57"/>
  <c r="AA78" i="57"/>
  <c r="Z78" i="57"/>
  <c r="Y78" i="57"/>
  <c r="X78" i="57"/>
  <c r="W78" i="57"/>
  <c r="V78" i="57"/>
  <c r="U78" i="57"/>
  <c r="T78" i="57"/>
  <c r="S78" i="57"/>
  <c r="R78" i="57"/>
  <c r="Q78" i="57"/>
  <c r="P78" i="57"/>
  <c r="O78" i="57"/>
  <c r="N78" i="57"/>
  <c r="M78" i="57"/>
  <c r="AA77" i="57"/>
  <c r="Z77" i="57"/>
  <c r="Y77" i="57"/>
  <c r="X77" i="57"/>
  <c r="W77" i="57"/>
  <c r="V77" i="57"/>
  <c r="U77" i="57"/>
  <c r="T77" i="57"/>
  <c r="S77" i="57"/>
  <c r="R77" i="57"/>
  <c r="Q77" i="57"/>
  <c r="P77" i="57"/>
  <c r="O77" i="57"/>
  <c r="N77" i="57"/>
  <c r="M77" i="57"/>
  <c r="AA76" i="57"/>
  <c r="Z76" i="57"/>
  <c r="Y76" i="57"/>
  <c r="X76" i="57"/>
  <c r="W76" i="57"/>
  <c r="V76" i="57"/>
  <c r="U76" i="57"/>
  <c r="T76" i="57"/>
  <c r="S76" i="57"/>
  <c r="R76" i="57"/>
  <c r="Q76" i="57"/>
  <c r="P76" i="57"/>
  <c r="O76" i="57"/>
  <c r="N76" i="57"/>
  <c r="M76" i="57"/>
  <c r="AA75" i="57"/>
  <c r="Z75" i="57"/>
  <c r="Y75" i="57"/>
  <c r="X75" i="57"/>
  <c r="W75" i="57"/>
  <c r="V75" i="57"/>
  <c r="U75" i="57"/>
  <c r="T75" i="57"/>
  <c r="S75" i="57"/>
  <c r="R75" i="57"/>
  <c r="Q75" i="57"/>
  <c r="P75" i="57"/>
  <c r="O75" i="57"/>
  <c r="N75" i="57"/>
  <c r="M75" i="57"/>
  <c r="AA74" i="57"/>
  <c r="Z74" i="57"/>
  <c r="Y74" i="57"/>
  <c r="X74" i="57"/>
  <c r="W74" i="57"/>
  <c r="V74" i="57"/>
  <c r="U74" i="57"/>
  <c r="T74" i="57"/>
  <c r="S74" i="57"/>
  <c r="R74" i="57"/>
  <c r="Q74" i="57"/>
  <c r="P74" i="57"/>
  <c r="O74" i="57"/>
  <c r="N74" i="57"/>
  <c r="M74" i="57"/>
  <c r="AA73" i="57"/>
  <c r="Z73" i="57"/>
  <c r="Y73" i="57"/>
  <c r="X73" i="57"/>
  <c r="W73" i="57"/>
  <c r="V73" i="57"/>
  <c r="U73" i="57"/>
  <c r="T73" i="57"/>
  <c r="S73" i="57"/>
  <c r="R73" i="57"/>
  <c r="Q73" i="57"/>
  <c r="P73" i="57"/>
  <c r="O73" i="57"/>
  <c r="N73" i="57"/>
  <c r="M73" i="57"/>
  <c r="AA72" i="57"/>
  <c r="Z72" i="57"/>
  <c r="Y72" i="57"/>
  <c r="X72" i="57"/>
  <c r="W72" i="57"/>
  <c r="V72" i="57"/>
  <c r="U72" i="57"/>
  <c r="T72" i="57"/>
  <c r="S72" i="57"/>
  <c r="R72" i="57"/>
  <c r="Q72" i="57"/>
  <c r="P72" i="57"/>
  <c r="O72" i="57"/>
  <c r="N72" i="57"/>
  <c r="M72" i="57"/>
  <c r="AA71" i="57"/>
  <c r="Z71" i="57"/>
  <c r="Y71" i="57"/>
  <c r="X71" i="57"/>
  <c r="W71" i="57"/>
  <c r="V71" i="57"/>
  <c r="U71" i="57"/>
  <c r="T71" i="57"/>
  <c r="S71" i="57"/>
  <c r="R71" i="57"/>
  <c r="Q71" i="57"/>
  <c r="P71" i="57"/>
  <c r="O71" i="57"/>
  <c r="N71" i="57"/>
  <c r="M71" i="57"/>
  <c r="AA70" i="57"/>
  <c r="Z70" i="57"/>
  <c r="Y70" i="57"/>
  <c r="X70" i="57"/>
  <c r="W70" i="57"/>
  <c r="V70" i="57"/>
  <c r="U70" i="57"/>
  <c r="T70" i="57"/>
  <c r="S70" i="57"/>
  <c r="R70" i="57"/>
  <c r="Q70" i="57"/>
  <c r="P70" i="57"/>
  <c r="O70" i="57"/>
  <c r="N70" i="57"/>
  <c r="M70" i="57"/>
  <c r="AA69" i="57"/>
  <c r="Z69" i="57"/>
  <c r="Y69" i="57"/>
  <c r="X69" i="57"/>
  <c r="W69" i="57"/>
  <c r="V69" i="57"/>
  <c r="U69" i="57"/>
  <c r="T69" i="57"/>
  <c r="S69" i="57"/>
  <c r="R69" i="57"/>
  <c r="Q69" i="57"/>
  <c r="P69" i="57"/>
  <c r="O69" i="57"/>
  <c r="N69" i="57"/>
  <c r="M69" i="57"/>
  <c r="AA68" i="57"/>
  <c r="Z68" i="57"/>
  <c r="Y68" i="57"/>
  <c r="X68" i="57"/>
  <c r="W68" i="57"/>
  <c r="V68" i="57"/>
  <c r="U68" i="57"/>
  <c r="T68" i="57"/>
  <c r="S68" i="57"/>
  <c r="R68" i="57"/>
  <c r="Q68" i="57"/>
  <c r="P68" i="57"/>
  <c r="O68" i="57"/>
  <c r="N68" i="57"/>
  <c r="M68" i="57"/>
  <c r="AA67" i="57"/>
  <c r="Z67" i="57"/>
  <c r="Y67" i="57"/>
  <c r="X67" i="57"/>
  <c r="W67" i="57"/>
  <c r="V67" i="57"/>
  <c r="U67" i="57"/>
  <c r="T67" i="57"/>
  <c r="S67" i="57"/>
  <c r="R67" i="57"/>
  <c r="Q67" i="57"/>
  <c r="P67" i="57"/>
  <c r="O67" i="57"/>
  <c r="N67" i="57"/>
  <c r="M67" i="57"/>
  <c r="AA66" i="57"/>
  <c r="Z66" i="57"/>
  <c r="Y66" i="57"/>
  <c r="X66" i="57"/>
  <c r="W66" i="57"/>
  <c r="V66" i="57"/>
  <c r="U66" i="57"/>
  <c r="T66" i="57"/>
  <c r="S66" i="57"/>
  <c r="R66" i="57"/>
  <c r="Q66" i="57"/>
  <c r="P66" i="57"/>
  <c r="O66" i="57"/>
  <c r="N66" i="57"/>
  <c r="M66" i="57"/>
  <c r="AA65" i="57"/>
  <c r="Z65" i="57"/>
  <c r="Y65" i="57"/>
  <c r="X65" i="57"/>
  <c r="W65" i="57"/>
  <c r="V65" i="57"/>
  <c r="U65" i="57"/>
  <c r="T65" i="57"/>
  <c r="S65" i="57"/>
  <c r="R65" i="57"/>
  <c r="Q65" i="57"/>
  <c r="P65" i="57"/>
  <c r="O65" i="57"/>
  <c r="N65" i="57"/>
  <c r="M65" i="57"/>
  <c r="AA64" i="57"/>
  <c r="Z64" i="57"/>
  <c r="Y64" i="57"/>
  <c r="X64" i="57"/>
  <c r="W64" i="57"/>
  <c r="V64" i="57"/>
  <c r="U64" i="57"/>
  <c r="T64" i="57"/>
  <c r="S64" i="57"/>
  <c r="R64" i="57"/>
  <c r="Q64" i="57"/>
  <c r="P64" i="57"/>
  <c r="O64" i="57"/>
  <c r="N64" i="57"/>
  <c r="M64" i="57"/>
  <c r="AA63" i="57"/>
  <c r="Z63" i="57"/>
  <c r="Y63" i="57"/>
  <c r="X63" i="57"/>
  <c r="W63" i="57"/>
  <c r="V63" i="57"/>
  <c r="U63" i="57"/>
  <c r="T63" i="57"/>
  <c r="S63" i="57"/>
  <c r="R63" i="57"/>
  <c r="Q63" i="57"/>
  <c r="P63" i="57"/>
  <c r="O63" i="57"/>
  <c r="N63" i="57"/>
  <c r="M63" i="57"/>
  <c r="AA62" i="57"/>
  <c r="Z62" i="57"/>
  <c r="Y62" i="57"/>
  <c r="X62" i="57"/>
  <c r="W62" i="57"/>
  <c r="V62" i="57"/>
  <c r="U62" i="57"/>
  <c r="T62" i="57"/>
  <c r="S62" i="57"/>
  <c r="R62" i="57"/>
  <c r="Q62" i="57"/>
  <c r="P62" i="57"/>
  <c r="O62" i="57"/>
  <c r="N62" i="57"/>
  <c r="M62" i="57"/>
  <c r="AA61" i="57"/>
  <c r="Z61" i="57"/>
  <c r="Y61" i="57"/>
  <c r="X61" i="57"/>
  <c r="W61" i="57"/>
  <c r="V61" i="57"/>
  <c r="U61" i="57"/>
  <c r="T61" i="57"/>
  <c r="S61" i="57"/>
  <c r="R61" i="57"/>
  <c r="Q61" i="57"/>
  <c r="P61" i="57"/>
  <c r="O61" i="57"/>
  <c r="N61" i="57"/>
  <c r="M61" i="57"/>
  <c r="AA60" i="57"/>
  <c r="Z60" i="57"/>
  <c r="Y60" i="57"/>
  <c r="X60" i="57"/>
  <c r="W60" i="57"/>
  <c r="V60" i="57"/>
  <c r="U60" i="57"/>
  <c r="T60" i="57"/>
  <c r="S60" i="57"/>
  <c r="R60" i="57"/>
  <c r="Q60" i="57"/>
  <c r="P60" i="57"/>
  <c r="O60" i="57"/>
  <c r="N60" i="57"/>
  <c r="M60" i="57"/>
  <c r="AA59" i="57"/>
  <c r="Z59" i="57"/>
  <c r="Y59" i="57"/>
  <c r="X59" i="57"/>
  <c r="W59" i="57"/>
  <c r="V59" i="57"/>
  <c r="U59" i="57"/>
  <c r="T59" i="57"/>
  <c r="S59" i="57"/>
  <c r="R59" i="57"/>
  <c r="Q59" i="57"/>
  <c r="P59" i="57"/>
  <c r="O59" i="57"/>
  <c r="N59" i="57"/>
  <c r="M59" i="57"/>
  <c r="AA58" i="57"/>
  <c r="Z58" i="57"/>
  <c r="Y58" i="57"/>
  <c r="X58" i="57"/>
  <c r="W58" i="57"/>
  <c r="V58" i="57"/>
  <c r="U58" i="57"/>
  <c r="T58" i="57"/>
  <c r="S58" i="57"/>
  <c r="R58" i="57"/>
  <c r="Q58" i="57"/>
  <c r="P58" i="57"/>
  <c r="O58" i="57"/>
  <c r="N58" i="57"/>
  <c r="M58" i="57"/>
  <c r="AA57" i="57"/>
  <c r="Z57" i="57"/>
  <c r="Y57" i="57"/>
  <c r="X57" i="57"/>
  <c r="W57" i="57"/>
  <c r="V57" i="57"/>
  <c r="U57" i="57"/>
  <c r="T57" i="57"/>
  <c r="S57" i="57"/>
  <c r="R57" i="57"/>
  <c r="Q57" i="57"/>
  <c r="P57" i="57"/>
  <c r="O57" i="57"/>
  <c r="N57" i="57"/>
  <c r="M57" i="57"/>
  <c r="AA56" i="57"/>
  <c r="Z56" i="57"/>
  <c r="Y56" i="57"/>
  <c r="X56" i="57"/>
  <c r="W56" i="57"/>
  <c r="V56" i="57"/>
  <c r="U56" i="57"/>
  <c r="T56" i="57"/>
  <c r="S56" i="57"/>
  <c r="R56" i="57"/>
  <c r="Q56" i="57"/>
  <c r="P56" i="57"/>
  <c r="O56" i="57"/>
  <c r="N56" i="57"/>
  <c r="M56" i="57"/>
  <c r="AA55" i="57"/>
  <c r="Z55" i="57"/>
  <c r="Y55" i="57"/>
  <c r="X55" i="57"/>
  <c r="W55" i="57"/>
  <c r="V55" i="57"/>
  <c r="U55" i="57"/>
  <c r="T55" i="57"/>
  <c r="S55" i="57"/>
  <c r="R55" i="57"/>
  <c r="Q55" i="57"/>
  <c r="P55" i="57"/>
  <c r="O55" i="57"/>
  <c r="N55" i="57"/>
  <c r="M55" i="57"/>
  <c r="AA54" i="57"/>
  <c r="Z54" i="57"/>
  <c r="Y54" i="57"/>
  <c r="X54" i="57"/>
  <c r="W54" i="57"/>
  <c r="V54" i="57"/>
  <c r="U54" i="57"/>
  <c r="T54" i="57"/>
  <c r="S54" i="57"/>
  <c r="R54" i="57"/>
  <c r="Q54" i="57"/>
  <c r="P54" i="57"/>
  <c r="O54" i="57"/>
  <c r="N54" i="57"/>
  <c r="M54" i="57"/>
  <c r="AA53" i="57"/>
  <c r="Z53" i="57"/>
  <c r="Y53" i="57"/>
  <c r="X53" i="57"/>
  <c r="W53" i="57"/>
  <c r="V53" i="57"/>
  <c r="U53" i="57"/>
  <c r="T53" i="57"/>
  <c r="S53" i="57"/>
  <c r="R53" i="57"/>
  <c r="Q53" i="57"/>
  <c r="P53" i="57"/>
  <c r="O53" i="57"/>
  <c r="N53" i="57"/>
  <c r="M53" i="57"/>
  <c r="AA52" i="57"/>
  <c r="Z52" i="57"/>
  <c r="Y52" i="57"/>
  <c r="X52" i="57"/>
  <c r="W52" i="57"/>
  <c r="V52" i="57"/>
  <c r="U52" i="57"/>
  <c r="T52" i="57"/>
  <c r="S52" i="57"/>
  <c r="R52" i="57"/>
  <c r="Q52" i="57"/>
  <c r="P52" i="57"/>
  <c r="O52" i="57"/>
  <c r="N52" i="57"/>
  <c r="M52" i="57"/>
  <c r="AA51" i="57"/>
  <c r="Z51" i="57"/>
  <c r="Y51" i="57"/>
  <c r="X51" i="57"/>
  <c r="W51" i="57"/>
  <c r="V51" i="57"/>
  <c r="U51" i="57"/>
  <c r="T51" i="57"/>
  <c r="S51" i="57"/>
  <c r="R51" i="57"/>
  <c r="Q51" i="57"/>
  <c r="P51" i="57"/>
  <c r="O51" i="57"/>
  <c r="N51" i="57"/>
  <c r="M51" i="57"/>
  <c r="AA50" i="57"/>
  <c r="Z50" i="57"/>
  <c r="Y50" i="57"/>
  <c r="X50" i="57"/>
  <c r="W50" i="57"/>
  <c r="V50" i="57"/>
  <c r="U50" i="57"/>
  <c r="T50" i="57"/>
  <c r="S50" i="57"/>
  <c r="R50" i="57"/>
  <c r="Q50" i="57"/>
  <c r="P50" i="57"/>
  <c r="O50" i="57"/>
  <c r="N50" i="57"/>
  <c r="M50" i="57"/>
  <c r="AA49" i="57"/>
  <c r="Z49" i="57"/>
  <c r="Y49" i="57"/>
  <c r="X49" i="57"/>
  <c r="W49" i="57"/>
  <c r="V49" i="57"/>
  <c r="U49" i="57"/>
  <c r="T49" i="57"/>
  <c r="S49" i="57"/>
  <c r="R49" i="57"/>
  <c r="Q49" i="57"/>
  <c r="P49" i="57"/>
  <c r="O49" i="57"/>
  <c r="N49" i="57"/>
  <c r="M49" i="57"/>
  <c r="AA48" i="57"/>
  <c r="Z48" i="57"/>
  <c r="Y48" i="57"/>
  <c r="X48" i="57"/>
  <c r="W48" i="57"/>
  <c r="V48" i="57"/>
  <c r="U48" i="57"/>
  <c r="T48" i="57"/>
  <c r="S48" i="57"/>
  <c r="R48" i="57"/>
  <c r="Q48" i="57"/>
  <c r="P48" i="57"/>
  <c r="O48" i="57"/>
  <c r="N48" i="57"/>
  <c r="M48" i="57"/>
  <c r="AA47" i="57"/>
  <c r="Z47" i="57"/>
  <c r="Y47" i="57"/>
  <c r="X47" i="57"/>
  <c r="W47" i="57"/>
  <c r="V47" i="57"/>
  <c r="U47" i="57"/>
  <c r="T47" i="57"/>
  <c r="S47" i="57"/>
  <c r="R47" i="57"/>
  <c r="Q47" i="57"/>
  <c r="P47" i="57"/>
  <c r="O47" i="57"/>
  <c r="N47" i="57"/>
  <c r="M47" i="57"/>
  <c r="AA46" i="57"/>
  <c r="Z46" i="57"/>
  <c r="Y46" i="57"/>
  <c r="X46" i="57"/>
  <c r="W46" i="57"/>
  <c r="V46" i="57"/>
  <c r="U46" i="57"/>
  <c r="T46" i="57"/>
  <c r="S46" i="57"/>
  <c r="R46" i="57"/>
  <c r="Q46" i="57"/>
  <c r="P46" i="57"/>
  <c r="O46" i="57"/>
  <c r="N46" i="57"/>
  <c r="M46" i="57"/>
  <c r="AA45" i="57"/>
  <c r="Z45" i="57"/>
  <c r="Y45" i="57"/>
  <c r="X45" i="57"/>
  <c r="W45" i="57"/>
  <c r="V45" i="57"/>
  <c r="U45" i="57"/>
  <c r="T45" i="57"/>
  <c r="S45" i="57"/>
  <c r="R45" i="57"/>
  <c r="Q45" i="57"/>
  <c r="P45" i="57"/>
  <c r="O45" i="57"/>
  <c r="N45" i="57"/>
  <c r="M45" i="57"/>
  <c r="AA44" i="57"/>
  <c r="Z44" i="57"/>
  <c r="Y44" i="57"/>
  <c r="X44" i="57"/>
  <c r="W44" i="57"/>
  <c r="V44" i="57"/>
  <c r="U44" i="57"/>
  <c r="T44" i="57"/>
  <c r="S44" i="57"/>
  <c r="R44" i="57"/>
  <c r="Q44" i="57"/>
  <c r="P44" i="57"/>
  <c r="O44" i="57"/>
  <c r="N44" i="57"/>
  <c r="M44" i="57"/>
  <c r="AA43" i="57"/>
  <c r="Z43" i="57"/>
  <c r="Y43" i="57"/>
  <c r="X43" i="57"/>
  <c r="W43" i="57"/>
  <c r="V43" i="57"/>
  <c r="U43" i="57"/>
  <c r="T43" i="57"/>
  <c r="S43" i="57"/>
  <c r="R43" i="57"/>
  <c r="Q43" i="57"/>
  <c r="P43" i="57"/>
  <c r="O43" i="57"/>
  <c r="N43" i="57"/>
  <c r="M43" i="57"/>
  <c r="AA42" i="57"/>
  <c r="Z42" i="57"/>
  <c r="Y42" i="57"/>
  <c r="X42" i="57"/>
  <c r="W42" i="57"/>
  <c r="V42" i="57"/>
  <c r="U42" i="57"/>
  <c r="T42" i="57"/>
  <c r="S42" i="57"/>
  <c r="R42" i="57"/>
  <c r="Q42" i="57"/>
  <c r="P42" i="57"/>
  <c r="O42" i="57"/>
  <c r="N42" i="57"/>
  <c r="M42" i="57"/>
  <c r="AA41" i="57"/>
  <c r="Z41" i="57"/>
  <c r="Y41" i="57"/>
  <c r="X41" i="57"/>
  <c r="W41" i="57"/>
  <c r="V41" i="57"/>
  <c r="U41" i="57"/>
  <c r="T41" i="57"/>
  <c r="S41" i="57"/>
  <c r="R41" i="57"/>
  <c r="Q41" i="57"/>
  <c r="P41" i="57"/>
  <c r="O41" i="57"/>
  <c r="N41" i="57"/>
  <c r="M41" i="57"/>
  <c r="AA40" i="57"/>
  <c r="Z40" i="57"/>
  <c r="Y40" i="57"/>
  <c r="X40" i="57"/>
  <c r="W40" i="57"/>
  <c r="V40" i="57"/>
  <c r="U40" i="57"/>
  <c r="T40" i="57"/>
  <c r="S40" i="57"/>
  <c r="R40" i="57"/>
  <c r="Q40" i="57"/>
  <c r="P40" i="57"/>
  <c r="O40" i="57"/>
  <c r="N40" i="57"/>
  <c r="M40" i="57"/>
  <c r="AA39" i="57"/>
  <c r="Z39" i="57"/>
  <c r="Y39" i="57"/>
  <c r="X39" i="57"/>
  <c r="W39" i="57"/>
  <c r="V39" i="57"/>
  <c r="U39" i="57"/>
  <c r="T39" i="57"/>
  <c r="S39" i="57"/>
  <c r="R39" i="57"/>
  <c r="Q39" i="57"/>
  <c r="P39" i="57"/>
  <c r="O39" i="57"/>
  <c r="N39" i="57"/>
  <c r="M39" i="57"/>
  <c r="AA38" i="57"/>
  <c r="Z38" i="57"/>
  <c r="Y38" i="57"/>
  <c r="X38" i="57"/>
  <c r="W38" i="57"/>
  <c r="V38" i="57"/>
  <c r="U38" i="57"/>
  <c r="T38" i="57"/>
  <c r="S38" i="57"/>
  <c r="R38" i="57"/>
  <c r="Q38" i="57"/>
  <c r="P38" i="57"/>
  <c r="O38" i="57"/>
  <c r="N38" i="57"/>
  <c r="M38" i="57"/>
  <c r="AA37" i="57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AA36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AA35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AA34" i="57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AA33" i="57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AA32" i="57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AA31" i="57"/>
  <c r="Z31" i="57"/>
  <c r="Y31" i="57"/>
  <c r="X31" i="57"/>
  <c r="W31" i="57"/>
  <c r="V31" i="57"/>
  <c r="U31" i="57"/>
  <c r="T31" i="57"/>
  <c r="S31" i="57"/>
  <c r="R31" i="57"/>
  <c r="Q31" i="57"/>
  <c r="P31" i="57"/>
  <c r="O31" i="57"/>
  <c r="N31" i="57"/>
  <c r="M31" i="57"/>
  <c r="AA30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AA29" i="57"/>
  <c r="Z29" i="57"/>
  <c r="Y29" i="57"/>
  <c r="X29" i="57"/>
  <c r="W29" i="57"/>
  <c r="V29" i="57"/>
  <c r="U29" i="57"/>
  <c r="T29" i="57"/>
  <c r="S29" i="57"/>
  <c r="R29" i="57"/>
  <c r="Q29" i="57"/>
  <c r="P29" i="57"/>
  <c r="O29" i="57"/>
  <c r="N29" i="57"/>
  <c r="M29" i="57"/>
  <c r="AA28" i="57"/>
  <c r="Z28" i="57"/>
  <c r="Y28" i="57"/>
  <c r="X28" i="57"/>
  <c r="W28" i="57"/>
  <c r="V28" i="57"/>
  <c r="U28" i="57"/>
  <c r="T28" i="57"/>
  <c r="S28" i="57"/>
  <c r="R28" i="57"/>
  <c r="Q28" i="57"/>
  <c r="P28" i="57"/>
  <c r="O28" i="57"/>
  <c r="N28" i="57"/>
  <c r="M28" i="57"/>
  <c r="AA27" i="57"/>
  <c r="Z27" i="57"/>
  <c r="Y27" i="57"/>
  <c r="X27" i="57"/>
  <c r="W27" i="57"/>
  <c r="V27" i="57"/>
  <c r="U27" i="57"/>
  <c r="T27" i="57"/>
  <c r="S27" i="57"/>
  <c r="R27" i="57"/>
  <c r="Q27" i="57"/>
  <c r="P27" i="57"/>
  <c r="O27" i="57"/>
  <c r="N27" i="57"/>
  <c r="M27" i="57"/>
  <c r="AA26" i="57"/>
  <c r="Z26" i="57"/>
  <c r="Y26" i="57"/>
  <c r="X26" i="57"/>
  <c r="W26" i="57"/>
  <c r="V26" i="57"/>
  <c r="U26" i="57"/>
  <c r="T26" i="57"/>
  <c r="S26" i="57"/>
  <c r="R26" i="57"/>
  <c r="Q26" i="57"/>
  <c r="P26" i="57"/>
  <c r="O26" i="57"/>
  <c r="N26" i="57"/>
  <c r="M26" i="57"/>
  <c r="AA25" i="57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AA24" i="57"/>
  <c r="Z24" i="57"/>
  <c r="Y24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AA23" i="57"/>
  <c r="Z23" i="57"/>
  <c r="Y23" i="57"/>
  <c r="X23" i="57"/>
  <c r="W23" i="57"/>
  <c r="V23" i="57"/>
  <c r="U23" i="57"/>
  <c r="T23" i="57"/>
  <c r="S23" i="57"/>
  <c r="R23" i="57"/>
  <c r="Q23" i="57"/>
  <c r="P23" i="57"/>
  <c r="O23" i="57"/>
  <c r="N23" i="57"/>
  <c r="M23" i="57"/>
  <c r="AA22" i="57"/>
  <c r="Z22" i="57"/>
  <c r="Y22" i="57"/>
  <c r="X22" i="57"/>
  <c r="W22" i="57"/>
  <c r="V22" i="57"/>
  <c r="U22" i="57"/>
  <c r="T22" i="57"/>
  <c r="S22" i="57"/>
  <c r="R22" i="57"/>
  <c r="Q22" i="57"/>
  <c r="P22" i="57"/>
  <c r="O22" i="57"/>
  <c r="N22" i="57"/>
  <c r="M22" i="57"/>
  <c r="AA21" i="57"/>
  <c r="Z21" i="57"/>
  <c r="Y21" i="57"/>
  <c r="X21" i="57"/>
  <c r="W21" i="57"/>
  <c r="V21" i="57"/>
  <c r="U21" i="57"/>
  <c r="T21" i="57"/>
  <c r="S21" i="57"/>
  <c r="R21" i="57"/>
  <c r="Q21" i="57"/>
  <c r="P21" i="57"/>
  <c r="O21" i="57"/>
  <c r="N21" i="57"/>
  <c r="M21" i="57"/>
  <c r="AA20" i="57"/>
  <c r="Z20" i="57"/>
  <c r="Y20" i="57"/>
  <c r="X20" i="57"/>
  <c r="W20" i="57"/>
  <c r="V20" i="57"/>
  <c r="U20" i="57"/>
  <c r="T20" i="57"/>
  <c r="S20" i="57"/>
  <c r="R20" i="57"/>
  <c r="Q20" i="57"/>
  <c r="P20" i="57"/>
  <c r="O20" i="57"/>
  <c r="N20" i="57"/>
  <c r="M20" i="57"/>
  <c r="AA19" i="57"/>
  <c r="Z19" i="57"/>
  <c r="Y19" i="57"/>
  <c r="X19" i="57"/>
  <c r="W19" i="57"/>
  <c r="V19" i="57"/>
  <c r="U19" i="57"/>
  <c r="T19" i="57"/>
  <c r="S19" i="57"/>
  <c r="R19" i="57"/>
  <c r="Q19" i="57"/>
  <c r="P19" i="57"/>
  <c r="O19" i="57"/>
  <c r="N19" i="57"/>
  <c r="M19" i="57"/>
  <c r="AA18" i="57"/>
  <c r="Z18" i="57"/>
  <c r="Y18" i="57"/>
  <c r="X18" i="57"/>
  <c r="W18" i="57"/>
  <c r="V18" i="57"/>
  <c r="U18" i="57"/>
  <c r="T18" i="57"/>
  <c r="S18" i="57"/>
  <c r="R18" i="57"/>
  <c r="Q18" i="57"/>
  <c r="P18" i="57"/>
  <c r="O18" i="57"/>
  <c r="N18" i="57"/>
  <c r="M18" i="57"/>
  <c r="AA17" i="57"/>
  <c r="Z17" i="57"/>
  <c r="Y17" i="57"/>
  <c r="X17" i="57"/>
  <c r="W17" i="57"/>
  <c r="V17" i="57"/>
  <c r="U17" i="57"/>
  <c r="T17" i="57"/>
  <c r="S17" i="57"/>
  <c r="R17" i="57"/>
  <c r="Q17" i="57"/>
  <c r="P17" i="57"/>
  <c r="O17" i="57"/>
  <c r="N17" i="57"/>
  <c r="M17" i="57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AA14" i="57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AA11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AA6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AA5" i="57"/>
  <c r="Z5" i="57"/>
  <c r="Y5" i="57"/>
  <c r="X5" i="57"/>
  <c r="W5" i="57"/>
  <c r="V5" i="57"/>
  <c r="U5" i="57"/>
  <c r="T5" i="57"/>
  <c r="S5" i="57"/>
  <c r="R5" i="57"/>
  <c r="Q5" i="57"/>
  <c r="P5" i="57"/>
  <c r="O5" i="57"/>
  <c r="N5" i="57"/>
  <c r="M5" i="57"/>
  <c r="AA4" i="57"/>
  <c r="Z4" i="57"/>
  <c r="R4" i="57"/>
  <c r="W4" i="57" s="1"/>
  <c r="Q4" i="57"/>
  <c r="P4" i="57"/>
  <c r="O4" i="57"/>
  <c r="N4" i="57"/>
  <c r="M4" i="57"/>
  <c r="Z3" i="57"/>
  <c r="AA3" i="57" s="1"/>
  <c r="W3" i="57"/>
  <c r="R3" i="57"/>
  <c r="S3" i="57" s="1"/>
  <c r="Q3" i="57"/>
  <c r="P3" i="57"/>
  <c r="O3" i="57"/>
  <c r="N3" i="57"/>
  <c r="M3" i="57"/>
  <c r="AA1" i="57"/>
  <c r="AA102" i="56"/>
  <c r="Z102" i="56"/>
  <c r="Y102" i="56"/>
  <c r="X102" i="56"/>
  <c r="W102" i="56"/>
  <c r="V102" i="56"/>
  <c r="U102" i="56"/>
  <c r="T102" i="56"/>
  <c r="S102" i="56"/>
  <c r="R102" i="56"/>
  <c r="Q102" i="56"/>
  <c r="P102" i="56"/>
  <c r="O102" i="56"/>
  <c r="N102" i="56"/>
  <c r="M102" i="56"/>
  <c r="AA101" i="56"/>
  <c r="Z101" i="56"/>
  <c r="Y101" i="56"/>
  <c r="X101" i="56"/>
  <c r="W101" i="56"/>
  <c r="V101" i="56"/>
  <c r="U101" i="56"/>
  <c r="T101" i="56"/>
  <c r="S101" i="56"/>
  <c r="R101" i="56"/>
  <c r="Q101" i="56"/>
  <c r="P101" i="56"/>
  <c r="O101" i="56"/>
  <c r="N101" i="56"/>
  <c r="M101" i="56"/>
  <c r="AA100" i="56"/>
  <c r="Z100" i="56"/>
  <c r="Y100" i="56"/>
  <c r="X100" i="56"/>
  <c r="W100" i="56"/>
  <c r="V100" i="56"/>
  <c r="U100" i="56"/>
  <c r="T100" i="56"/>
  <c r="S100" i="56"/>
  <c r="R100" i="56"/>
  <c r="Q100" i="56"/>
  <c r="P100" i="56"/>
  <c r="O100" i="56"/>
  <c r="N100" i="56"/>
  <c r="M100" i="56"/>
  <c r="AA99" i="56"/>
  <c r="Z99" i="56"/>
  <c r="Y99" i="56"/>
  <c r="X99" i="56"/>
  <c r="W99" i="56"/>
  <c r="V99" i="56"/>
  <c r="U99" i="56"/>
  <c r="T99" i="56"/>
  <c r="S99" i="56"/>
  <c r="R99" i="56"/>
  <c r="Q99" i="56"/>
  <c r="P99" i="56"/>
  <c r="O99" i="56"/>
  <c r="N99" i="56"/>
  <c r="M99" i="56"/>
  <c r="AA98" i="56"/>
  <c r="Z98" i="56"/>
  <c r="Y98" i="56"/>
  <c r="X98" i="56"/>
  <c r="W98" i="56"/>
  <c r="V98" i="56"/>
  <c r="U98" i="56"/>
  <c r="T98" i="56"/>
  <c r="S98" i="56"/>
  <c r="R98" i="56"/>
  <c r="Q98" i="56"/>
  <c r="P98" i="56"/>
  <c r="O98" i="56"/>
  <c r="N98" i="56"/>
  <c r="M98" i="56"/>
  <c r="AA97" i="56"/>
  <c r="Z97" i="56"/>
  <c r="Y97" i="56"/>
  <c r="X97" i="56"/>
  <c r="W97" i="56"/>
  <c r="V97" i="56"/>
  <c r="U97" i="56"/>
  <c r="T97" i="56"/>
  <c r="S97" i="56"/>
  <c r="R97" i="56"/>
  <c r="Q97" i="56"/>
  <c r="P97" i="56"/>
  <c r="O97" i="56"/>
  <c r="N97" i="56"/>
  <c r="M97" i="56"/>
  <c r="AA96" i="56"/>
  <c r="Z96" i="56"/>
  <c r="Y96" i="56"/>
  <c r="X96" i="56"/>
  <c r="W96" i="56"/>
  <c r="V96" i="56"/>
  <c r="U96" i="56"/>
  <c r="T96" i="56"/>
  <c r="S96" i="56"/>
  <c r="R96" i="56"/>
  <c r="Q96" i="56"/>
  <c r="P96" i="56"/>
  <c r="O96" i="56"/>
  <c r="N96" i="56"/>
  <c r="M96" i="56"/>
  <c r="AA95" i="56"/>
  <c r="Z95" i="56"/>
  <c r="Y95" i="56"/>
  <c r="X95" i="56"/>
  <c r="W95" i="56"/>
  <c r="V95" i="56"/>
  <c r="U95" i="56"/>
  <c r="T95" i="56"/>
  <c r="S95" i="56"/>
  <c r="R95" i="56"/>
  <c r="Q95" i="56"/>
  <c r="P95" i="56"/>
  <c r="O95" i="56"/>
  <c r="N95" i="56"/>
  <c r="M95" i="56"/>
  <c r="AA94" i="56"/>
  <c r="Z94" i="56"/>
  <c r="Y94" i="56"/>
  <c r="X94" i="56"/>
  <c r="W94" i="56"/>
  <c r="V94" i="56"/>
  <c r="U94" i="56"/>
  <c r="T94" i="56"/>
  <c r="S94" i="56"/>
  <c r="R94" i="56"/>
  <c r="Q94" i="56"/>
  <c r="P94" i="56"/>
  <c r="O94" i="56"/>
  <c r="N94" i="56"/>
  <c r="M94" i="56"/>
  <c r="AA93" i="56"/>
  <c r="Z93" i="56"/>
  <c r="Y93" i="56"/>
  <c r="X93" i="56"/>
  <c r="W93" i="56"/>
  <c r="V93" i="56"/>
  <c r="U93" i="56"/>
  <c r="T93" i="56"/>
  <c r="S93" i="56"/>
  <c r="R93" i="56"/>
  <c r="Q93" i="56"/>
  <c r="P93" i="56"/>
  <c r="O93" i="56"/>
  <c r="N93" i="56"/>
  <c r="M93" i="56"/>
  <c r="AA92" i="56"/>
  <c r="Z92" i="56"/>
  <c r="Y92" i="56"/>
  <c r="X92" i="56"/>
  <c r="W92" i="56"/>
  <c r="V92" i="56"/>
  <c r="U92" i="56"/>
  <c r="T92" i="56"/>
  <c r="S92" i="56"/>
  <c r="R92" i="56"/>
  <c r="Q92" i="56"/>
  <c r="P92" i="56"/>
  <c r="O92" i="56"/>
  <c r="N92" i="56"/>
  <c r="M92" i="56"/>
  <c r="AA91" i="56"/>
  <c r="Z91" i="56"/>
  <c r="Y91" i="56"/>
  <c r="X91" i="56"/>
  <c r="W91" i="56"/>
  <c r="V91" i="56"/>
  <c r="U91" i="56"/>
  <c r="T91" i="56"/>
  <c r="S91" i="56"/>
  <c r="R91" i="56"/>
  <c r="Q91" i="56"/>
  <c r="P91" i="56"/>
  <c r="O91" i="56"/>
  <c r="N91" i="56"/>
  <c r="M91" i="56"/>
  <c r="AA90" i="56"/>
  <c r="Z90" i="56"/>
  <c r="Y90" i="56"/>
  <c r="X90" i="56"/>
  <c r="W90" i="56"/>
  <c r="V90" i="56"/>
  <c r="U90" i="56"/>
  <c r="T90" i="56"/>
  <c r="S90" i="56"/>
  <c r="R90" i="56"/>
  <c r="Q90" i="56"/>
  <c r="P90" i="56"/>
  <c r="O90" i="56"/>
  <c r="N90" i="56"/>
  <c r="M90" i="56"/>
  <c r="AA89" i="56"/>
  <c r="Z89" i="56"/>
  <c r="Y89" i="56"/>
  <c r="X89" i="56"/>
  <c r="W89" i="56"/>
  <c r="V89" i="56"/>
  <c r="U89" i="56"/>
  <c r="T89" i="56"/>
  <c r="S89" i="56"/>
  <c r="R89" i="56"/>
  <c r="Q89" i="56"/>
  <c r="P89" i="56"/>
  <c r="O89" i="56"/>
  <c r="N89" i="56"/>
  <c r="M89" i="56"/>
  <c r="AA88" i="56"/>
  <c r="Z88" i="56"/>
  <c r="Y88" i="56"/>
  <c r="X88" i="56"/>
  <c r="W88" i="56"/>
  <c r="V88" i="56"/>
  <c r="U88" i="56"/>
  <c r="T88" i="56"/>
  <c r="S88" i="56"/>
  <c r="R88" i="56"/>
  <c r="Q88" i="56"/>
  <c r="P88" i="56"/>
  <c r="O88" i="56"/>
  <c r="N88" i="56"/>
  <c r="M88" i="56"/>
  <c r="AA87" i="56"/>
  <c r="Z87" i="56"/>
  <c r="Y87" i="56"/>
  <c r="X87" i="56"/>
  <c r="W87" i="56"/>
  <c r="V87" i="56"/>
  <c r="U87" i="56"/>
  <c r="T87" i="56"/>
  <c r="S87" i="56"/>
  <c r="R87" i="56"/>
  <c r="Q87" i="56"/>
  <c r="P87" i="56"/>
  <c r="O87" i="56"/>
  <c r="N87" i="56"/>
  <c r="M87" i="56"/>
  <c r="AA86" i="56"/>
  <c r="Z86" i="56"/>
  <c r="Y86" i="56"/>
  <c r="X86" i="56"/>
  <c r="W86" i="56"/>
  <c r="V86" i="56"/>
  <c r="U86" i="56"/>
  <c r="T86" i="56"/>
  <c r="S86" i="56"/>
  <c r="R86" i="56"/>
  <c r="Q86" i="56"/>
  <c r="P86" i="56"/>
  <c r="O86" i="56"/>
  <c r="N86" i="56"/>
  <c r="M86" i="56"/>
  <c r="AA85" i="56"/>
  <c r="Z85" i="56"/>
  <c r="Y85" i="56"/>
  <c r="X85" i="56"/>
  <c r="W85" i="56"/>
  <c r="V85" i="56"/>
  <c r="U85" i="56"/>
  <c r="T85" i="56"/>
  <c r="S85" i="56"/>
  <c r="R85" i="56"/>
  <c r="Q85" i="56"/>
  <c r="P85" i="56"/>
  <c r="O85" i="56"/>
  <c r="N85" i="56"/>
  <c r="M85" i="56"/>
  <c r="AA84" i="56"/>
  <c r="Z84" i="56"/>
  <c r="Y84" i="56"/>
  <c r="X84" i="56"/>
  <c r="W84" i="56"/>
  <c r="V84" i="56"/>
  <c r="U84" i="56"/>
  <c r="T84" i="56"/>
  <c r="S84" i="56"/>
  <c r="R84" i="56"/>
  <c r="Q84" i="56"/>
  <c r="P84" i="56"/>
  <c r="O84" i="56"/>
  <c r="N84" i="56"/>
  <c r="M84" i="56"/>
  <c r="AA83" i="56"/>
  <c r="Z83" i="56"/>
  <c r="Y83" i="56"/>
  <c r="X83" i="56"/>
  <c r="W83" i="56"/>
  <c r="V83" i="56"/>
  <c r="U83" i="56"/>
  <c r="T83" i="56"/>
  <c r="S83" i="56"/>
  <c r="R83" i="56"/>
  <c r="Q83" i="56"/>
  <c r="P83" i="56"/>
  <c r="O83" i="56"/>
  <c r="N83" i="56"/>
  <c r="M83" i="56"/>
  <c r="AA82" i="56"/>
  <c r="Z82" i="56"/>
  <c r="Y82" i="56"/>
  <c r="X82" i="56"/>
  <c r="W82" i="56"/>
  <c r="V82" i="56"/>
  <c r="U82" i="56"/>
  <c r="T82" i="56"/>
  <c r="S82" i="56"/>
  <c r="R82" i="56"/>
  <c r="Q82" i="56"/>
  <c r="P82" i="56"/>
  <c r="O82" i="56"/>
  <c r="N82" i="56"/>
  <c r="M82" i="56"/>
  <c r="AA81" i="56"/>
  <c r="Z81" i="56"/>
  <c r="Y81" i="56"/>
  <c r="X81" i="56"/>
  <c r="W81" i="56"/>
  <c r="V81" i="56"/>
  <c r="U81" i="56"/>
  <c r="T81" i="56"/>
  <c r="S81" i="56"/>
  <c r="R81" i="56"/>
  <c r="Q81" i="56"/>
  <c r="P81" i="56"/>
  <c r="O81" i="56"/>
  <c r="N81" i="56"/>
  <c r="M81" i="56"/>
  <c r="AA80" i="56"/>
  <c r="Z80" i="56"/>
  <c r="Y80" i="56"/>
  <c r="X80" i="56"/>
  <c r="W80" i="56"/>
  <c r="V80" i="56"/>
  <c r="U80" i="56"/>
  <c r="T80" i="56"/>
  <c r="S80" i="56"/>
  <c r="R80" i="56"/>
  <c r="Q80" i="56"/>
  <c r="P80" i="56"/>
  <c r="O80" i="56"/>
  <c r="N80" i="56"/>
  <c r="M80" i="56"/>
  <c r="AA79" i="56"/>
  <c r="Z79" i="56"/>
  <c r="Y79" i="56"/>
  <c r="X79" i="56"/>
  <c r="W79" i="56"/>
  <c r="V79" i="56"/>
  <c r="U79" i="56"/>
  <c r="T79" i="56"/>
  <c r="S79" i="56"/>
  <c r="R79" i="56"/>
  <c r="Q79" i="56"/>
  <c r="P79" i="56"/>
  <c r="O79" i="56"/>
  <c r="N79" i="56"/>
  <c r="M79" i="56"/>
  <c r="AA78" i="56"/>
  <c r="Z78" i="56"/>
  <c r="Y78" i="56"/>
  <c r="X78" i="56"/>
  <c r="W78" i="56"/>
  <c r="V78" i="56"/>
  <c r="U78" i="56"/>
  <c r="T78" i="56"/>
  <c r="S78" i="56"/>
  <c r="R78" i="56"/>
  <c r="Q78" i="56"/>
  <c r="P78" i="56"/>
  <c r="O78" i="56"/>
  <c r="N78" i="56"/>
  <c r="M78" i="56"/>
  <c r="AA77" i="56"/>
  <c r="Z77" i="56"/>
  <c r="Y77" i="56"/>
  <c r="X77" i="56"/>
  <c r="W77" i="56"/>
  <c r="V77" i="56"/>
  <c r="U77" i="56"/>
  <c r="T77" i="56"/>
  <c r="S77" i="56"/>
  <c r="R77" i="56"/>
  <c r="Q77" i="56"/>
  <c r="P77" i="56"/>
  <c r="O77" i="56"/>
  <c r="N77" i="56"/>
  <c r="M77" i="56"/>
  <c r="AA76" i="56"/>
  <c r="Z76" i="56"/>
  <c r="Y76" i="56"/>
  <c r="X76" i="56"/>
  <c r="W76" i="56"/>
  <c r="V76" i="56"/>
  <c r="U76" i="56"/>
  <c r="T76" i="56"/>
  <c r="S76" i="56"/>
  <c r="R76" i="56"/>
  <c r="Q76" i="56"/>
  <c r="P76" i="56"/>
  <c r="O76" i="56"/>
  <c r="N76" i="56"/>
  <c r="M76" i="56"/>
  <c r="AA75" i="56"/>
  <c r="Z75" i="56"/>
  <c r="Y75" i="56"/>
  <c r="X75" i="56"/>
  <c r="W75" i="56"/>
  <c r="V75" i="56"/>
  <c r="U75" i="56"/>
  <c r="T75" i="56"/>
  <c r="S75" i="56"/>
  <c r="R75" i="56"/>
  <c r="Q75" i="56"/>
  <c r="P75" i="56"/>
  <c r="O75" i="56"/>
  <c r="N75" i="56"/>
  <c r="M75" i="56"/>
  <c r="AA74" i="56"/>
  <c r="Z74" i="56"/>
  <c r="Y74" i="56"/>
  <c r="X74" i="56"/>
  <c r="W74" i="56"/>
  <c r="V74" i="56"/>
  <c r="U74" i="56"/>
  <c r="T74" i="56"/>
  <c r="S74" i="56"/>
  <c r="R74" i="56"/>
  <c r="Q74" i="56"/>
  <c r="P74" i="56"/>
  <c r="O74" i="56"/>
  <c r="N74" i="56"/>
  <c r="M74" i="56"/>
  <c r="AA73" i="56"/>
  <c r="Z73" i="56"/>
  <c r="Y73" i="56"/>
  <c r="X73" i="56"/>
  <c r="W73" i="56"/>
  <c r="V73" i="56"/>
  <c r="U73" i="56"/>
  <c r="T73" i="56"/>
  <c r="S73" i="56"/>
  <c r="R73" i="56"/>
  <c r="Q73" i="56"/>
  <c r="P73" i="56"/>
  <c r="O73" i="56"/>
  <c r="N73" i="56"/>
  <c r="M73" i="56"/>
  <c r="AA72" i="56"/>
  <c r="Z72" i="56"/>
  <c r="Y72" i="56"/>
  <c r="X72" i="56"/>
  <c r="W72" i="56"/>
  <c r="V72" i="56"/>
  <c r="U72" i="56"/>
  <c r="T72" i="56"/>
  <c r="S72" i="56"/>
  <c r="R72" i="56"/>
  <c r="Q72" i="56"/>
  <c r="P72" i="56"/>
  <c r="O72" i="56"/>
  <c r="N72" i="56"/>
  <c r="M72" i="56"/>
  <c r="AA71" i="56"/>
  <c r="Z71" i="56"/>
  <c r="Y71" i="56"/>
  <c r="X71" i="56"/>
  <c r="W71" i="56"/>
  <c r="V71" i="56"/>
  <c r="U71" i="56"/>
  <c r="T71" i="56"/>
  <c r="S71" i="56"/>
  <c r="R71" i="56"/>
  <c r="Q71" i="56"/>
  <c r="P71" i="56"/>
  <c r="O71" i="56"/>
  <c r="N71" i="56"/>
  <c r="M71" i="56"/>
  <c r="AA70" i="56"/>
  <c r="Z70" i="56"/>
  <c r="Y70" i="56"/>
  <c r="X70" i="56"/>
  <c r="W70" i="56"/>
  <c r="V70" i="56"/>
  <c r="U70" i="56"/>
  <c r="T70" i="56"/>
  <c r="S70" i="56"/>
  <c r="R70" i="56"/>
  <c r="Q70" i="56"/>
  <c r="P70" i="56"/>
  <c r="O70" i="56"/>
  <c r="N70" i="56"/>
  <c r="M70" i="56"/>
  <c r="AA69" i="56"/>
  <c r="Z69" i="56"/>
  <c r="Y69" i="56"/>
  <c r="X69" i="56"/>
  <c r="W69" i="56"/>
  <c r="V69" i="56"/>
  <c r="U69" i="56"/>
  <c r="T69" i="56"/>
  <c r="S69" i="56"/>
  <c r="R69" i="56"/>
  <c r="Q69" i="56"/>
  <c r="P69" i="56"/>
  <c r="O69" i="56"/>
  <c r="N69" i="56"/>
  <c r="M69" i="56"/>
  <c r="AA68" i="56"/>
  <c r="Z68" i="56"/>
  <c r="Y68" i="56"/>
  <c r="X68" i="56"/>
  <c r="W68" i="56"/>
  <c r="V68" i="56"/>
  <c r="U68" i="56"/>
  <c r="T68" i="56"/>
  <c r="S68" i="56"/>
  <c r="R68" i="56"/>
  <c r="Q68" i="56"/>
  <c r="P68" i="56"/>
  <c r="O68" i="56"/>
  <c r="N68" i="56"/>
  <c r="M68" i="56"/>
  <c r="AA67" i="56"/>
  <c r="Z67" i="56"/>
  <c r="Y67" i="56"/>
  <c r="X67" i="56"/>
  <c r="W67" i="56"/>
  <c r="V67" i="56"/>
  <c r="U67" i="56"/>
  <c r="T67" i="56"/>
  <c r="S67" i="56"/>
  <c r="R67" i="56"/>
  <c r="Q67" i="56"/>
  <c r="P67" i="56"/>
  <c r="O67" i="56"/>
  <c r="N67" i="56"/>
  <c r="M67" i="56"/>
  <c r="AA66" i="56"/>
  <c r="Z66" i="56"/>
  <c r="Y66" i="56"/>
  <c r="X66" i="56"/>
  <c r="W66" i="56"/>
  <c r="V66" i="56"/>
  <c r="U66" i="56"/>
  <c r="T66" i="56"/>
  <c r="S66" i="56"/>
  <c r="R66" i="56"/>
  <c r="Q66" i="56"/>
  <c r="P66" i="56"/>
  <c r="O66" i="56"/>
  <c r="N66" i="56"/>
  <c r="M66" i="56"/>
  <c r="AA65" i="56"/>
  <c r="Z65" i="56"/>
  <c r="Y65" i="56"/>
  <c r="X65" i="56"/>
  <c r="W65" i="56"/>
  <c r="V65" i="56"/>
  <c r="U65" i="56"/>
  <c r="T65" i="56"/>
  <c r="S65" i="56"/>
  <c r="R65" i="56"/>
  <c r="Q65" i="56"/>
  <c r="P65" i="56"/>
  <c r="O65" i="56"/>
  <c r="N65" i="56"/>
  <c r="M65" i="56"/>
  <c r="AA64" i="56"/>
  <c r="Z64" i="56"/>
  <c r="Y64" i="56"/>
  <c r="X64" i="56"/>
  <c r="W64" i="56"/>
  <c r="V64" i="56"/>
  <c r="U64" i="56"/>
  <c r="T64" i="56"/>
  <c r="S64" i="56"/>
  <c r="R64" i="56"/>
  <c r="Q64" i="56"/>
  <c r="P64" i="56"/>
  <c r="O64" i="56"/>
  <c r="N64" i="56"/>
  <c r="M64" i="56"/>
  <c r="AA63" i="56"/>
  <c r="Z63" i="56"/>
  <c r="Y63" i="56"/>
  <c r="X63" i="56"/>
  <c r="W63" i="56"/>
  <c r="V63" i="56"/>
  <c r="U63" i="56"/>
  <c r="T63" i="56"/>
  <c r="S63" i="56"/>
  <c r="R63" i="56"/>
  <c r="Q63" i="56"/>
  <c r="P63" i="56"/>
  <c r="O63" i="56"/>
  <c r="N63" i="56"/>
  <c r="M63" i="56"/>
  <c r="AA62" i="56"/>
  <c r="Z62" i="56"/>
  <c r="Y62" i="56"/>
  <c r="X62" i="56"/>
  <c r="W62" i="56"/>
  <c r="V62" i="56"/>
  <c r="U62" i="56"/>
  <c r="T62" i="56"/>
  <c r="S62" i="56"/>
  <c r="R62" i="56"/>
  <c r="Q62" i="56"/>
  <c r="P62" i="56"/>
  <c r="O62" i="56"/>
  <c r="N62" i="56"/>
  <c r="M62" i="56"/>
  <c r="AA61" i="56"/>
  <c r="Z61" i="56"/>
  <c r="Y61" i="56"/>
  <c r="X61" i="56"/>
  <c r="W61" i="56"/>
  <c r="V61" i="56"/>
  <c r="U61" i="56"/>
  <c r="T61" i="56"/>
  <c r="S61" i="56"/>
  <c r="R61" i="56"/>
  <c r="Q61" i="56"/>
  <c r="P61" i="56"/>
  <c r="O61" i="56"/>
  <c r="N61" i="56"/>
  <c r="M61" i="56"/>
  <c r="AA60" i="56"/>
  <c r="Z60" i="56"/>
  <c r="Y60" i="56"/>
  <c r="X60" i="56"/>
  <c r="W60" i="56"/>
  <c r="V60" i="56"/>
  <c r="U60" i="56"/>
  <c r="T60" i="56"/>
  <c r="S60" i="56"/>
  <c r="R60" i="56"/>
  <c r="Q60" i="56"/>
  <c r="P60" i="56"/>
  <c r="O60" i="56"/>
  <c r="N60" i="56"/>
  <c r="M60" i="56"/>
  <c r="AA59" i="56"/>
  <c r="Z59" i="56"/>
  <c r="Y59" i="56"/>
  <c r="X59" i="56"/>
  <c r="W59" i="56"/>
  <c r="V59" i="56"/>
  <c r="U59" i="56"/>
  <c r="T59" i="56"/>
  <c r="S59" i="56"/>
  <c r="R59" i="56"/>
  <c r="Q59" i="56"/>
  <c r="P59" i="56"/>
  <c r="O59" i="56"/>
  <c r="N59" i="56"/>
  <c r="M59" i="56"/>
  <c r="AA58" i="56"/>
  <c r="Z58" i="56"/>
  <c r="Y58" i="56"/>
  <c r="X58" i="56"/>
  <c r="W58" i="56"/>
  <c r="V58" i="56"/>
  <c r="U58" i="56"/>
  <c r="T58" i="56"/>
  <c r="S58" i="56"/>
  <c r="R58" i="56"/>
  <c r="Q58" i="56"/>
  <c r="P58" i="56"/>
  <c r="O58" i="56"/>
  <c r="N58" i="56"/>
  <c r="M58" i="56"/>
  <c r="AA57" i="56"/>
  <c r="Z57" i="56"/>
  <c r="Y57" i="56"/>
  <c r="X57" i="56"/>
  <c r="W57" i="56"/>
  <c r="V57" i="56"/>
  <c r="U57" i="56"/>
  <c r="T57" i="56"/>
  <c r="S57" i="56"/>
  <c r="R57" i="56"/>
  <c r="Q57" i="56"/>
  <c r="P57" i="56"/>
  <c r="O57" i="56"/>
  <c r="N57" i="56"/>
  <c r="M57" i="56"/>
  <c r="AA56" i="56"/>
  <c r="Z56" i="56"/>
  <c r="Y56" i="56"/>
  <c r="X56" i="56"/>
  <c r="W56" i="56"/>
  <c r="V56" i="56"/>
  <c r="U56" i="56"/>
  <c r="T56" i="56"/>
  <c r="S56" i="56"/>
  <c r="R56" i="56"/>
  <c r="Q56" i="56"/>
  <c r="P56" i="56"/>
  <c r="O56" i="56"/>
  <c r="N56" i="56"/>
  <c r="M56" i="56"/>
  <c r="AA55" i="56"/>
  <c r="Z55" i="56"/>
  <c r="Y55" i="56"/>
  <c r="X55" i="56"/>
  <c r="W55" i="56"/>
  <c r="V55" i="56"/>
  <c r="U55" i="56"/>
  <c r="T55" i="56"/>
  <c r="S55" i="56"/>
  <c r="R55" i="56"/>
  <c r="Q55" i="56"/>
  <c r="P55" i="56"/>
  <c r="O55" i="56"/>
  <c r="N55" i="56"/>
  <c r="M55" i="56"/>
  <c r="AA54" i="56"/>
  <c r="Z54" i="56"/>
  <c r="Y54" i="56"/>
  <c r="X54" i="56"/>
  <c r="W54" i="56"/>
  <c r="V54" i="56"/>
  <c r="U54" i="56"/>
  <c r="T54" i="56"/>
  <c r="S54" i="56"/>
  <c r="R54" i="56"/>
  <c r="Q54" i="56"/>
  <c r="P54" i="56"/>
  <c r="O54" i="56"/>
  <c r="N54" i="56"/>
  <c r="M54" i="56"/>
  <c r="AA53" i="56"/>
  <c r="Z53" i="56"/>
  <c r="Y53" i="56"/>
  <c r="X53" i="56"/>
  <c r="W53" i="56"/>
  <c r="V53" i="56"/>
  <c r="U53" i="56"/>
  <c r="T53" i="56"/>
  <c r="S53" i="56"/>
  <c r="R53" i="56"/>
  <c r="Q53" i="56"/>
  <c r="P53" i="56"/>
  <c r="O53" i="56"/>
  <c r="N53" i="56"/>
  <c r="M53" i="56"/>
  <c r="AA52" i="56"/>
  <c r="Z52" i="56"/>
  <c r="Y52" i="56"/>
  <c r="X52" i="56"/>
  <c r="W52" i="56"/>
  <c r="V52" i="56"/>
  <c r="U52" i="56"/>
  <c r="T52" i="56"/>
  <c r="S52" i="56"/>
  <c r="R52" i="56"/>
  <c r="Q52" i="56"/>
  <c r="P52" i="56"/>
  <c r="O52" i="56"/>
  <c r="N52" i="56"/>
  <c r="M52" i="56"/>
  <c r="AA51" i="56"/>
  <c r="Z51" i="56"/>
  <c r="Y51" i="56"/>
  <c r="X51" i="56"/>
  <c r="W51" i="56"/>
  <c r="V51" i="56"/>
  <c r="U51" i="56"/>
  <c r="T51" i="56"/>
  <c r="S51" i="56"/>
  <c r="R51" i="56"/>
  <c r="Q51" i="56"/>
  <c r="P51" i="56"/>
  <c r="O51" i="56"/>
  <c r="N51" i="56"/>
  <c r="M51" i="56"/>
  <c r="AA50" i="56"/>
  <c r="Z50" i="56"/>
  <c r="Y50" i="56"/>
  <c r="X50" i="56"/>
  <c r="W50" i="56"/>
  <c r="V50" i="56"/>
  <c r="U50" i="56"/>
  <c r="T50" i="56"/>
  <c r="S50" i="56"/>
  <c r="R50" i="56"/>
  <c r="Q50" i="56"/>
  <c r="P50" i="56"/>
  <c r="O50" i="56"/>
  <c r="N50" i="56"/>
  <c r="M50" i="56"/>
  <c r="AA49" i="56"/>
  <c r="Z49" i="56"/>
  <c r="Y49" i="56"/>
  <c r="X49" i="56"/>
  <c r="W49" i="56"/>
  <c r="V49" i="56"/>
  <c r="U49" i="56"/>
  <c r="T49" i="56"/>
  <c r="S49" i="56"/>
  <c r="R49" i="56"/>
  <c r="Q49" i="56"/>
  <c r="P49" i="56"/>
  <c r="O49" i="56"/>
  <c r="N49" i="56"/>
  <c r="M49" i="56"/>
  <c r="AA48" i="56"/>
  <c r="Z48" i="56"/>
  <c r="Y48" i="56"/>
  <c r="X48" i="56"/>
  <c r="W48" i="56"/>
  <c r="V48" i="56"/>
  <c r="U48" i="56"/>
  <c r="T48" i="56"/>
  <c r="S48" i="56"/>
  <c r="R48" i="56"/>
  <c r="Q48" i="56"/>
  <c r="P48" i="56"/>
  <c r="O48" i="56"/>
  <c r="N48" i="56"/>
  <c r="M48" i="56"/>
  <c r="AA47" i="56"/>
  <c r="Z47" i="56"/>
  <c r="Y47" i="56"/>
  <c r="X47" i="56"/>
  <c r="W47" i="56"/>
  <c r="V47" i="56"/>
  <c r="U47" i="56"/>
  <c r="T47" i="56"/>
  <c r="S47" i="56"/>
  <c r="R47" i="56"/>
  <c r="Q47" i="56"/>
  <c r="P47" i="56"/>
  <c r="O47" i="56"/>
  <c r="N47" i="56"/>
  <c r="M47" i="56"/>
  <c r="AA46" i="56"/>
  <c r="Z46" i="56"/>
  <c r="Y46" i="56"/>
  <c r="X46" i="56"/>
  <c r="W46" i="56"/>
  <c r="V46" i="56"/>
  <c r="U46" i="56"/>
  <c r="T46" i="56"/>
  <c r="S46" i="56"/>
  <c r="R46" i="56"/>
  <c r="Q46" i="56"/>
  <c r="P46" i="56"/>
  <c r="O46" i="56"/>
  <c r="N46" i="56"/>
  <c r="M46" i="56"/>
  <c r="AA45" i="56"/>
  <c r="Z45" i="56"/>
  <c r="Y45" i="56"/>
  <c r="X45" i="56"/>
  <c r="W45" i="56"/>
  <c r="V45" i="56"/>
  <c r="U45" i="56"/>
  <c r="T45" i="56"/>
  <c r="S45" i="56"/>
  <c r="R45" i="56"/>
  <c r="Q45" i="56"/>
  <c r="P45" i="56"/>
  <c r="O45" i="56"/>
  <c r="N45" i="56"/>
  <c r="M45" i="56"/>
  <c r="AA44" i="56"/>
  <c r="Z44" i="56"/>
  <c r="Y44" i="56"/>
  <c r="X44" i="56"/>
  <c r="W44" i="56"/>
  <c r="V44" i="56"/>
  <c r="U44" i="56"/>
  <c r="T44" i="56"/>
  <c r="S44" i="56"/>
  <c r="R44" i="56"/>
  <c r="Q44" i="56"/>
  <c r="P44" i="56"/>
  <c r="O44" i="56"/>
  <c r="N44" i="56"/>
  <c r="M44" i="56"/>
  <c r="AA43" i="56"/>
  <c r="Z43" i="56"/>
  <c r="Y43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AA42" i="56"/>
  <c r="Z42" i="56"/>
  <c r="Y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AA41" i="56"/>
  <c r="Z41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AA40" i="56"/>
  <c r="Z40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AA39" i="56"/>
  <c r="Z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AA38" i="56"/>
  <c r="Z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AA37" i="56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AA36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AA35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AA34" i="56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AA33" i="56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AA32" i="56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AA31" i="56"/>
  <c r="Z31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AA30" i="56"/>
  <c r="Z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AA29" i="56"/>
  <c r="Z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AA28" i="56"/>
  <c r="Z28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AA27" i="56"/>
  <c r="Z27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AA26" i="56"/>
  <c r="Z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AA25" i="56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AA24" i="56"/>
  <c r="Z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AA23" i="56"/>
  <c r="Z23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AA22" i="56"/>
  <c r="Z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AA21" i="56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AA20" i="56"/>
  <c r="Z20" i="56"/>
  <c r="Y20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AA19" i="56"/>
  <c r="Z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AA18" i="56"/>
  <c r="Z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AA17" i="56"/>
  <c r="Z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AA16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AA15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AA14" i="56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AA12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AA11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AA10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AA8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AA7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AA6" i="56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AA5" i="56"/>
  <c r="Z5" i="56"/>
  <c r="Y5" i="56"/>
  <c r="X5" i="56"/>
  <c r="W5" i="56"/>
  <c r="V5" i="56"/>
  <c r="U5" i="56"/>
  <c r="T5" i="56"/>
  <c r="S5" i="56"/>
  <c r="R5" i="56"/>
  <c r="Q5" i="56"/>
  <c r="P5" i="56"/>
  <c r="O5" i="56"/>
  <c r="N5" i="56"/>
  <c r="M5" i="56"/>
  <c r="AA4" i="56"/>
  <c r="Z4" i="56"/>
  <c r="Y4" i="56"/>
  <c r="X4" i="56"/>
  <c r="W4" i="56"/>
  <c r="V4" i="56"/>
  <c r="U4" i="56"/>
  <c r="T4" i="56"/>
  <c r="S4" i="56"/>
  <c r="R4" i="56"/>
  <c r="Q4" i="56"/>
  <c r="P4" i="56"/>
  <c r="O4" i="56"/>
  <c r="N4" i="56"/>
  <c r="M4" i="56"/>
  <c r="AA3" i="56"/>
  <c r="Z3" i="56"/>
  <c r="Y3" i="56"/>
  <c r="X3" i="56"/>
  <c r="W3" i="56"/>
  <c r="V3" i="56"/>
  <c r="U3" i="56"/>
  <c r="T3" i="56"/>
  <c r="S3" i="56"/>
  <c r="R3" i="56"/>
  <c r="Q3" i="56"/>
  <c r="P3" i="56"/>
  <c r="O3" i="56"/>
  <c r="N3" i="56"/>
  <c r="M3" i="56"/>
  <c r="AA1" i="56"/>
  <c r="W1" i="56"/>
  <c r="M1" i="56"/>
  <c r="AA102" i="35"/>
  <c r="Z102" i="35"/>
  <c r="Y102" i="35"/>
  <c r="X102" i="35"/>
  <c r="W102" i="35"/>
  <c r="V102" i="35"/>
  <c r="U102" i="35"/>
  <c r="T102" i="35"/>
  <c r="S102" i="35"/>
  <c r="R102" i="35"/>
  <c r="Q102" i="35"/>
  <c r="P102" i="35"/>
  <c r="O102" i="35"/>
  <c r="N102" i="35"/>
  <c r="M102" i="35"/>
  <c r="AA101" i="35"/>
  <c r="Z101" i="35"/>
  <c r="Y101" i="35"/>
  <c r="X101" i="35"/>
  <c r="W101" i="35"/>
  <c r="V101" i="35"/>
  <c r="U101" i="35"/>
  <c r="T101" i="35"/>
  <c r="S101" i="35"/>
  <c r="R101" i="35"/>
  <c r="Q101" i="35"/>
  <c r="P101" i="35"/>
  <c r="O101" i="35"/>
  <c r="N101" i="35"/>
  <c r="M101" i="35"/>
  <c r="AA100" i="35"/>
  <c r="Z100" i="35"/>
  <c r="Y100" i="35"/>
  <c r="X100" i="35"/>
  <c r="W100" i="35"/>
  <c r="V100" i="35"/>
  <c r="U100" i="35"/>
  <c r="T100" i="35"/>
  <c r="S100" i="35"/>
  <c r="R100" i="35"/>
  <c r="Q100" i="35"/>
  <c r="P100" i="35"/>
  <c r="O100" i="35"/>
  <c r="N100" i="35"/>
  <c r="M100" i="35"/>
  <c r="AA99" i="35"/>
  <c r="Z99" i="35"/>
  <c r="Y99" i="35"/>
  <c r="X99" i="35"/>
  <c r="W99" i="35"/>
  <c r="V99" i="35"/>
  <c r="U99" i="35"/>
  <c r="T99" i="35"/>
  <c r="S99" i="35"/>
  <c r="R99" i="35"/>
  <c r="Q99" i="35"/>
  <c r="P99" i="35"/>
  <c r="O99" i="35"/>
  <c r="N99" i="35"/>
  <c r="M99" i="35"/>
  <c r="AA98" i="35"/>
  <c r="Z98" i="35"/>
  <c r="Y98" i="35"/>
  <c r="X98" i="35"/>
  <c r="W98" i="35"/>
  <c r="V98" i="35"/>
  <c r="U98" i="35"/>
  <c r="T98" i="35"/>
  <c r="S98" i="35"/>
  <c r="R98" i="35"/>
  <c r="Q98" i="35"/>
  <c r="P98" i="35"/>
  <c r="O98" i="35"/>
  <c r="N98" i="35"/>
  <c r="M98" i="35"/>
  <c r="AA97" i="35"/>
  <c r="Z97" i="35"/>
  <c r="Y97" i="35"/>
  <c r="X97" i="35"/>
  <c r="W97" i="35"/>
  <c r="V97" i="35"/>
  <c r="U97" i="35"/>
  <c r="T97" i="35"/>
  <c r="S97" i="35"/>
  <c r="R97" i="35"/>
  <c r="Q97" i="35"/>
  <c r="P97" i="35"/>
  <c r="O97" i="35"/>
  <c r="N97" i="35"/>
  <c r="M97" i="35"/>
  <c r="AA96" i="35"/>
  <c r="Z96" i="35"/>
  <c r="Y96" i="35"/>
  <c r="X96" i="35"/>
  <c r="W96" i="35"/>
  <c r="V96" i="35"/>
  <c r="U96" i="35"/>
  <c r="T96" i="35"/>
  <c r="S96" i="35"/>
  <c r="R96" i="35"/>
  <c r="Q96" i="35"/>
  <c r="P96" i="35"/>
  <c r="O96" i="35"/>
  <c r="N96" i="35"/>
  <c r="M96" i="35"/>
  <c r="AA95" i="35"/>
  <c r="Z95" i="35"/>
  <c r="Y95" i="35"/>
  <c r="X95" i="35"/>
  <c r="W95" i="35"/>
  <c r="V95" i="35"/>
  <c r="U95" i="35"/>
  <c r="T95" i="35"/>
  <c r="S95" i="35"/>
  <c r="R95" i="35"/>
  <c r="Q95" i="35"/>
  <c r="P95" i="35"/>
  <c r="O95" i="35"/>
  <c r="N95" i="35"/>
  <c r="M95" i="35"/>
  <c r="AA94" i="35"/>
  <c r="Z94" i="35"/>
  <c r="Y94" i="35"/>
  <c r="X94" i="35"/>
  <c r="W94" i="35"/>
  <c r="V94" i="35"/>
  <c r="U94" i="35"/>
  <c r="T94" i="35"/>
  <c r="S94" i="35"/>
  <c r="R94" i="35"/>
  <c r="Q94" i="35"/>
  <c r="P94" i="35"/>
  <c r="O94" i="35"/>
  <c r="N94" i="35"/>
  <c r="M94" i="35"/>
  <c r="AA93" i="35"/>
  <c r="Z93" i="35"/>
  <c r="Y93" i="35"/>
  <c r="X93" i="35"/>
  <c r="W93" i="35"/>
  <c r="V93" i="35"/>
  <c r="U93" i="35"/>
  <c r="T93" i="35"/>
  <c r="S93" i="35"/>
  <c r="R93" i="35"/>
  <c r="Q93" i="35"/>
  <c r="P93" i="35"/>
  <c r="O93" i="35"/>
  <c r="N93" i="35"/>
  <c r="M93" i="35"/>
  <c r="AA92" i="35"/>
  <c r="Z92" i="35"/>
  <c r="Y92" i="35"/>
  <c r="X92" i="35"/>
  <c r="W92" i="35"/>
  <c r="V92" i="35"/>
  <c r="U92" i="35"/>
  <c r="T92" i="35"/>
  <c r="S92" i="35"/>
  <c r="R92" i="35"/>
  <c r="Q92" i="35"/>
  <c r="P92" i="35"/>
  <c r="O92" i="35"/>
  <c r="N92" i="35"/>
  <c r="M92" i="35"/>
  <c r="AA91" i="35"/>
  <c r="Z91" i="35"/>
  <c r="Y91" i="35"/>
  <c r="X91" i="35"/>
  <c r="W91" i="35"/>
  <c r="V91" i="35"/>
  <c r="U91" i="35"/>
  <c r="T91" i="35"/>
  <c r="S91" i="35"/>
  <c r="R91" i="35"/>
  <c r="Q91" i="35"/>
  <c r="P91" i="35"/>
  <c r="O91" i="35"/>
  <c r="N91" i="35"/>
  <c r="M91" i="35"/>
  <c r="AA90" i="35"/>
  <c r="Z90" i="35"/>
  <c r="Y90" i="35"/>
  <c r="X90" i="35"/>
  <c r="W90" i="35"/>
  <c r="V90" i="35"/>
  <c r="U90" i="35"/>
  <c r="T90" i="35"/>
  <c r="S90" i="35"/>
  <c r="R90" i="35"/>
  <c r="Q90" i="35"/>
  <c r="P90" i="35"/>
  <c r="O90" i="35"/>
  <c r="N90" i="35"/>
  <c r="M90" i="35"/>
  <c r="AA89" i="35"/>
  <c r="Z89" i="35"/>
  <c r="Y89" i="35"/>
  <c r="X89" i="35"/>
  <c r="W89" i="35"/>
  <c r="V89" i="35"/>
  <c r="U89" i="35"/>
  <c r="T89" i="35"/>
  <c r="S89" i="35"/>
  <c r="R89" i="35"/>
  <c r="Q89" i="35"/>
  <c r="P89" i="35"/>
  <c r="O89" i="35"/>
  <c r="N89" i="35"/>
  <c r="M89" i="35"/>
  <c r="AA88" i="35"/>
  <c r="Z88" i="35"/>
  <c r="Y88" i="35"/>
  <c r="X88" i="35"/>
  <c r="W88" i="35"/>
  <c r="V88" i="35"/>
  <c r="U88" i="35"/>
  <c r="T88" i="35"/>
  <c r="S88" i="35"/>
  <c r="R88" i="35"/>
  <c r="Q88" i="35"/>
  <c r="P88" i="35"/>
  <c r="O88" i="35"/>
  <c r="N88" i="35"/>
  <c r="M88" i="35"/>
  <c r="AA87" i="35"/>
  <c r="Z87" i="35"/>
  <c r="Y87" i="35"/>
  <c r="X87" i="35"/>
  <c r="W87" i="35"/>
  <c r="V87" i="35"/>
  <c r="U87" i="35"/>
  <c r="T87" i="35"/>
  <c r="S87" i="35"/>
  <c r="R87" i="35"/>
  <c r="Q87" i="35"/>
  <c r="P87" i="35"/>
  <c r="O87" i="35"/>
  <c r="N87" i="35"/>
  <c r="M87" i="35"/>
  <c r="AA86" i="35"/>
  <c r="Z86" i="35"/>
  <c r="Y86" i="35"/>
  <c r="X86" i="35"/>
  <c r="W86" i="35"/>
  <c r="V86" i="35"/>
  <c r="U86" i="35"/>
  <c r="T86" i="35"/>
  <c r="S86" i="35"/>
  <c r="R86" i="35"/>
  <c r="Q86" i="35"/>
  <c r="P86" i="35"/>
  <c r="O86" i="35"/>
  <c r="N86" i="35"/>
  <c r="M86" i="35"/>
  <c r="AA85" i="35"/>
  <c r="Z85" i="35"/>
  <c r="Y85" i="35"/>
  <c r="X85" i="35"/>
  <c r="W85" i="35"/>
  <c r="V85" i="35"/>
  <c r="U85" i="35"/>
  <c r="T85" i="35"/>
  <c r="S85" i="35"/>
  <c r="R85" i="35"/>
  <c r="Q85" i="35"/>
  <c r="P85" i="35"/>
  <c r="O85" i="35"/>
  <c r="N85" i="35"/>
  <c r="M85" i="35"/>
  <c r="AA84" i="35"/>
  <c r="Z84" i="35"/>
  <c r="Y84" i="35"/>
  <c r="X84" i="35"/>
  <c r="W84" i="35"/>
  <c r="V84" i="35"/>
  <c r="U84" i="35"/>
  <c r="T84" i="35"/>
  <c r="S84" i="35"/>
  <c r="R84" i="35"/>
  <c r="Q84" i="35"/>
  <c r="P84" i="35"/>
  <c r="O84" i="35"/>
  <c r="N84" i="35"/>
  <c r="M84" i="35"/>
  <c r="AA83" i="35"/>
  <c r="Z83" i="35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AA82" i="35"/>
  <c r="Z82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AA81" i="35"/>
  <c r="Z81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AA80" i="35"/>
  <c r="Z80" i="35"/>
  <c r="Y80" i="35"/>
  <c r="X80" i="35"/>
  <c r="W80" i="35"/>
  <c r="V80" i="35"/>
  <c r="U80" i="35"/>
  <c r="T80" i="35"/>
  <c r="S80" i="35"/>
  <c r="R80" i="35"/>
  <c r="Q80" i="35"/>
  <c r="P80" i="35"/>
  <c r="O80" i="35"/>
  <c r="N80" i="35"/>
  <c r="M80" i="35"/>
  <c r="AA79" i="35"/>
  <c r="Z79" i="35"/>
  <c r="Y79" i="35"/>
  <c r="X79" i="35"/>
  <c r="W79" i="35"/>
  <c r="V79" i="35"/>
  <c r="U79" i="35"/>
  <c r="T79" i="35"/>
  <c r="S79" i="35"/>
  <c r="R79" i="35"/>
  <c r="Q79" i="35"/>
  <c r="P79" i="35"/>
  <c r="O79" i="35"/>
  <c r="N79" i="35"/>
  <c r="M79" i="35"/>
  <c r="AA78" i="35"/>
  <c r="Z78" i="35"/>
  <c r="Y78" i="35"/>
  <c r="X78" i="35"/>
  <c r="W78" i="35"/>
  <c r="V78" i="35"/>
  <c r="U78" i="35"/>
  <c r="T78" i="35"/>
  <c r="S78" i="35"/>
  <c r="R78" i="35"/>
  <c r="Q78" i="35"/>
  <c r="P78" i="35"/>
  <c r="O78" i="35"/>
  <c r="N78" i="35"/>
  <c r="M78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AA76" i="35"/>
  <c r="Z76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AA75" i="35"/>
  <c r="Z75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AA74" i="35"/>
  <c r="Z74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AA73" i="35"/>
  <c r="Z73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AA72" i="35"/>
  <c r="Z72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AA71" i="35"/>
  <c r="Z71" i="35"/>
  <c r="Y71" i="35"/>
  <c r="X71" i="35"/>
  <c r="W71" i="35"/>
  <c r="V71" i="35"/>
  <c r="U71" i="35"/>
  <c r="T71" i="35"/>
  <c r="S71" i="35"/>
  <c r="R71" i="35"/>
  <c r="Q71" i="35"/>
  <c r="P71" i="35"/>
  <c r="O71" i="35"/>
  <c r="N71" i="35"/>
  <c r="M71" i="35"/>
  <c r="AA70" i="35"/>
  <c r="Z70" i="35"/>
  <c r="Y70" i="35"/>
  <c r="X70" i="35"/>
  <c r="W70" i="35"/>
  <c r="V70" i="35"/>
  <c r="U70" i="35"/>
  <c r="T70" i="35"/>
  <c r="S70" i="35"/>
  <c r="R70" i="35"/>
  <c r="Q70" i="35"/>
  <c r="P70" i="35"/>
  <c r="O70" i="35"/>
  <c r="N70" i="35"/>
  <c r="M70" i="35"/>
  <c r="AA69" i="35"/>
  <c r="Z69" i="35"/>
  <c r="Y69" i="35"/>
  <c r="X69" i="35"/>
  <c r="W69" i="35"/>
  <c r="V69" i="35"/>
  <c r="U69" i="35"/>
  <c r="T69" i="35"/>
  <c r="S69" i="35"/>
  <c r="R69" i="35"/>
  <c r="Q69" i="35"/>
  <c r="P69" i="35"/>
  <c r="O69" i="35"/>
  <c r="N69" i="35"/>
  <c r="M69" i="35"/>
  <c r="AA68" i="35"/>
  <c r="Z68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AA67" i="35"/>
  <c r="Z67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AA66" i="35"/>
  <c r="Z66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AA65" i="35"/>
  <c r="Z65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AA64" i="35"/>
  <c r="Z64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AA63" i="35"/>
  <c r="Z63" i="35"/>
  <c r="Y63" i="35"/>
  <c r="X63" i="35"/>
  <c r="W63" i="35"/>
  <c r="V63" i="35"/>
  <c r="U63" i="35"/>
  <c r="T63" i="35"/>
  <c r="S63" i="35"/>
  <c r="R63" i="35"/>
  <c r="Q63" i="35"/>
  <c r="P63" i="35"/>
  <c r="O63" i="35"/>
  <c r="N63" i="35"/>
  <c r="M63" i="35"/>
  <c r="AA62" i="35"/>
  <c r="Z62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AA61" i="35"/>
  <c r="Z61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AA60" i="35"/>
  <c r="Z60" i="35"/>
  <c r="Y60" i="35"/>
  <c r="X60" i="35"/>
  <c r="W60" i="35"/>
  <c r="V60" i="35"/>
  <c r="U60" i="35"/>
  <c r="T60" i="35"/>
  <c r="S60" i="35"/>
  <c r="R60" i="35"/>
  <c r="Q60" i="35"/>
  <c r="P60" i="35"/>
  <c r="O60" i="35"/>
  <c r="N60" i="35"/>
  <c r="M60" i="35"/>
  <c r="AA59" i="35"/>
  <c r="Z59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AA58" i="35"/>
  <c r="Z58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AA57" i="35"/>
  <c r="Z57" i="35"/>
  <c r="Y57" i="35"/>
  <c r="X57" i="35"/>
  <c r="W57" i="35"/>
  <c r="V57" i="35"/>
  <c r="U57" i="35"/>
  <c r="T57" i="35"/>
  <c r="S57" i="35"/>
  <c r="R57" i="35"/>
  <c r="Q57" i="35"/>
  <c r="P57" i="35"/>
  <c r="O57" i="35"/>
  <c r="N57" i="35"/>
  <c r="M57" i="35"/>
  <c r="AA56" i="35"/>
  <c r="Z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AA55" i="35"/>
  <c r="Z55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AA54" i="35"/>
  <c r="Z54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AA53" i="35"/>
  <c r="Z53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AA52" i="35"/>
  <c r="Z52" i="35"/>
  <c r="Y52" i="35"/>
  <c r="X52" i="35"/>
  <c r="W52" i="35"/>
  <c r="V52" i="35"/>
  <c r="U52" i="35"/>
  <c r="T52" i="35"/>
  <c r="S52" i="35"/>
  <c r="R52" i="35"/>
  <c r="Q52" i="35"/>
  <c r="P52" i="35"/>
  <c r="O52" i="35"/>
  <c r="N52" i="35"/>
  <c r="M52" i="35"/>
  <c r="AA51" i="35"/>
  <c r="Z51" i="35"/>
  <c r="Y51" i="35"/>
  <c r="X51" i="35"/>
  <c r="W51" i="35"/>
  <c r="V51" i="35"/>
  <c r="U51" i="35"/>
  <c r="T51" i="35"/>
  <c r="S51" i="35"/>
  <c r="R51" i="35"/>
  <c r="Q51" i="35"/>
  <c r="P51" i="35"/>
  <c r="O51" i="35"/>
  <c r="N51" i="35"/>
  <c r="M51" i="35"/>
  <c r="AA50" i="35"/>
  <c r="Z50" i="35"/>
  <c r="Y50" i="35"/>
  <c r="X50" i="35"/>
  <c r="W50" i="35"/>
  <c r="V50" i="35"/>
  <c r="U50" i="35"/>
  <c r="T50" i="35"/>
  <c r="S50" i="35"/>
  <c r="R50" i="35"/>
  <c r="Q50" i="35"/>
  <c r="P50" i="35"/>
  <c r="O50" i="35"/>
  <c r="N50" i="35"/>
  <c r="M50" i="35"/>
  <c r="AA49" i="35"/>
  <c r="Z49" i="35"/>
  <c r="Y49" i="35"/>
  <c r="X49" i="35"/>
  <c r="W49" i="35"/>
  <c r="V49" i="35"/>
  <c r="U49" i="35"/>
  <c r="T49" i="35"/>
  <c r="S49" i="35"/>
  <c r="R49" i="35"/>
  <c r="Q49" i="35"/>
  <c r="P49" i="35"/>
  <c r="O49" i="35"/>
  <c r="N49" i="35"/>
  <c r="M49" i="35"/>
  <c r="AA48" i="35"/>
  <c r="Z48" i="35"/>
  <c r="Y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AA47" i="35"/>
  <c r="Z47" i="35"/>
  <c r="Y47" i="35"/>
  <c r="X47" i="35"/>
  <c r="W47" i="35"/>
  <c r="V47" i="35"/>
  <c r="U47" i="35"/>
  <c r="T47" i="35"/>
  <c r="S47" i="35"/>
  <c r="R47" i="35"/>
  <c r="Q47" i="35"/>
  <c r="P47" i="35"/>
  <c r="O47" i="35"/>
  <c r="N47" i="35"/>
  <c r="M47" i="35"/>
  <c r="AA46" i="35"/>
  <c r="Z46" i="35"/>
  <c r="Y46" i="35"/>
  <c r="X46" i="35"/>
  <c r="W46" i="35"/>
  <c r="V46" i="35"/>
  <c r="U46" i="35"/>
  <c r="T46" i="35"/>
  <c r="S46" i="35"/>
  <c r="R46" i="35"/>
  <c r="Q46" i="35"/>
  <c r="P46" i="35"/>
  <c r="O46" i="35"/>
  <c r="N46" i="35"/>
  <c r="M46" i="35"/>
  <c r="AA45" i="35"/>
  <c r="Z45" i="35"/>
  <c r="Y45" i="35"/>
  <c r="X45" i="35"/>
  <c r="W45" i="35"/>
  <c r="V45" i="35"/>
  <c r="U45" i="35"/>
  <c r="T45" i="35"/>
  <c r="S45" i="35"/>
  <c r="R45" i="35"/>
  <c r="Q45" i="35"/>
  <c r="P45" i="35"/>
  <c r="O45" i="35"/>
  <c r="N45" i="35"/>
  <c r="M45" i="35"/>
  <c r="AA44" i="35"/>
  <c r="Z44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AA43" i="35"/>
  <c r="Z43" i="35"/>
  <c r="Y43" i="35"/>
  <c r="X43" i="35"/>
  <c r="W43" i="35"/>
  <c r="V43" i="35"/>
  <c r="U43" i="35"/>
  <c r="T43" i="35"/>
  <c r="S43" i="35"/>
  <c r="R43" i="35"/>
  <c r="Q43" i="35"/>
  <c r="P43" i="35"/>
  <c r="O43" i="35"/>
  <c r="N43" i="35"/>
  <c r="M43" i="35"/>
  <c r="AA42" i="35"/>
  <c r="Z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AA41" i="35"/>
  <c r="Z41" i="35"/>
  <c r="Y41" i="35"/>
  <c r="X41" i="35"/>
  <c r="W41" i="35"/>
  <c r="V41" i="35"/>
  <c r="U41" i="35"/>
  <c r="T41" i="35"/>
  <c r="S41" i="35"/>
  <c r="R41" i="35"/>
  <c r="Q41" i="35"/>
  <c r="P41" i="35"/>
  <c r="O41" i="35"/>
  <c r="N41" i="35"/>
  <c r="M41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AA37" i="35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AA36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AA33" i="35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AA32" i="35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Z3" i="35"/>
  <c r="AA3" i="35" s="1"/>
  <c r="W3" i="35"/>
  <c r="R3" i="35"/>
  <c r="S3" i="35" s="1"/>
  <c r="Q3" i="35"/>
  <c r="P3" i="35"/>
  <c r="O3" i="35"/>
  <c r="N3" i="35"/>
  <c r="M3" i="35"/>
  <c r="M1" i="35" s="1"/>
  <c r="B4" i="49" s="1"/>
  <c r="P14" i="45"/>
  <c r="O14" i="45"/>
  <c r="N14" i="45"/>
  <c r="M14" i="45"/>
  <c r="L14" i="45"/>
  <c r="P13" i="45"/>
  <c r="O13" i="45"/>
  <c r="N13" i="45"/>
  <c r="M13" i="45"/>
  <c r="L13" i="45"/>
  <c r="P12" i="45"/>
  <c r="O12" i="45"/>
  <c r="N12" i="45"/>
  <c r="M12" i="45"/>
  <c r="L12" i="45"/>
  <c r="P11" i="45"/>
  <c r="O11" i="45"/>
  <c r="N11" i="45"/>
  <c r="M11" i="45"/>
  <c r="L11" i="45"/>
  <c r="P10" i="45"/>
  <c r="O10" i="45"/>
  <c r="N10" i="45"/>
  <c r="M10" i="45"/>
  <c r="L10" i="45"/>
  <c r="P9" i="45"/>
  <c r="O9" i="45"/>
  <c r="N9" i="45"/>
  <c r="M9" i="45"/>
  <c r="L9" i="45"/>
  <c r="P8" i="45"/>
  <c r="O8" i="45"/>
  <c r="N8" i="45"/>
  <c r="M8" i="45"/>
  <c r="L8" i="45"/>
  <c r="P7" i="45"/>
  <c r="O7" i="45"/>
  <c r="N7" i="45"/>
  <c r="M7" i="45"/>
  <c r="L7" i="45"/>
  <c r="P6" i="45"/>
  <c r="O6" i="45"/>
  <c r="N6" i="45"/>
  <c r="M6" i="45"/>
  <c r="L6" i="45"/>
  <c r="P5" i="45"/>
  <c r="O5" i="45"/>
  <c r="N5" i="45"/>
  <c r="M5" i="45"/>
  <c r="L5" i="45"/>
  <c r="R4" i="45"/>
  <c r="Q4" i="45"/>
  <c r="P4" i="45"/>
  <c r="O4" i="45"/>
  <c r="N4" i="45"/>
  <c r="M4" i="45"/>
  <c r="L4" i="45"/>
  <c r="R2" i="45"/>
  <c r="I20" i="46"/>
  <c r="H20" i="46"/>
  <c r="G20" i="46"/>
  <c r="I19" i="46"/>
  <c r="H19" i="46"/>
  <c r="G19" i="46"/>
  <c r="I18" i="46"/>
  <c r="H18" i="46"/>
  <c r="G18" i="46"/>
  <c r="I17" i="46"/>
  <c r="H17" i="46"/>
  <c r="G17" i="46"/>
  <c r="I16" i="46"/>
  <c r="H16" i="46"/>
  <c r="G16" i="46"/>
  <c r="I15" i="46"/>
  <c r="H15" i="46"/>
  <c r="G15" i="46"/>
  <c r="I14" i="46"/>
  <c r="H14" i="46"/>
  <c r="G14" i="46"/>
  <c r="I13" i="46"/>
  <c r="H13" i="46"/>
  <c r="G13" i="46"/>
  <c r="I12" i="46"/>
  <c r="H12" i="46"/>
  <c r="G12" i="46"/>
  <c r="I11" i="46"/>
  <c r="H11" i="46"/>
  <c r="G11" i="46"/>
  <c r="I10" i="46"/>
  <c r="H10" i="46"/>
  <c r="G10" i="46"/>
  <c r="I9" i="46"/>
  <c r="H9" i="46"/>
  <c r="G9" i="46"/>
  <c r="I8" i="46"/>
  <c r="H8" i="46"/>
  <c r="G8" i="46"/>
  <c r="I7" i="46"/>
  <c r="H7" i="46"/>
  <c r="G7" i="46"/>
  <c r="I6" i="46"/>
  <c r="H6" i="46"/>
  <c r="G6" i="46"/>
  <c r="I5" i="46"/>
  <c r="H5" i="46"/>
  <c r="G5" i="46"/>
  <c r="I4" i="46"/>
  <c r="H4" i="46"/>
  <c r="G4" i="46"/>
  <c r="I2" i="46"/>
  <c r="S4" i="57" l="1"/>
  <c r="W1" i="57"/>
  <c r="T3" i="58"/>
  <c r="U3" i="58" s="1"/>
  <c r="X3" i="58"/>
  <c r="W1" i="58"/>
  <c r="X3" i="57"/>
  <c r="T3" i="57"/>
  <c r="U3" i="57" s="1"/>
  <c r="W1" i="70"/>
  <c r="M1" i="70"/>
  <c r="W1" i="68"/>
  <c r="M1" i="68"/>
  <c r="W1" i="66"/>
  <c r="W1" i="65"/>
  <c r="M1" i="65"/>
  <c r="M1" i="64"/>
  <c r="W1" i="64"/>
  <c r="W1" i="63"/>
  <c r="M1" i="63"/>
  <c r="M1" i="61"/>
  <c r="B10" i="49" s="1"/>
  <c r="W1" i="60"/>
  <c r="M1" i="60"/>
  <c r="B9" i="49" s="1"/>
  <c r="W1" i="59"/>
  <c r="M1" i="58"/>
  <c r="B7" i="49" s="1"/>
  <c r="M1" i="57"/>
  <c r="B6" i="49" s="1"/>
  <c r="X3" i="35"/>
  <c r="T3" i="35"/>
  <c r="U3" i="35" s="1"/>
  <c r="G2" i="46"/>
  <c r="I1" i="46" s="1"/>
  <c r="W1" i="35"/>
  <c r="P2" i="45"/>
  <c r="R1" i="45" s="1"/>
  <c r="T4" i="57" l="1"/>
  <c r="U4" i="57" s="1"/>
  <c r="X4" i="57"/>
  <c r="Y3" i="58"/>
  <c r="V3" i="58"/>
  <c r="Y3" i="57"/>
  <c r="V3" i="57"/>
  <c r="Y3" i="35"/>
  <c r="V3" i="35"/>
  <c r="Y4" i="57" l="1"/>
  <c r="V4" i="5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fe04366c-e7bb-4cac-9672-0b7472df1c11"/>
      </ext>
    </extLst>
  </connection>
  <connection id="2" xr16:uid="{00000000-0015-0000-FFFF-FFFF01000000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124feea7-8aa0-43c7-8f6d-db8f69e56e22"/>
      </ext>
    </extLst>
  </connection>
  <connection id="3" xr16:uid="{00000000-0015-0000-FFFF-FFFF02000000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9b475f85-4dc2-4fe8-834e-4a75dba88afd"/>
      </ext>
    </extLst>
  </connection>
  <connection id="4" xr16:uid="{00000000-0015-0000-FFFF-FFFF03000000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e964e576-5e34-475c-89d8-1104b8fe94e7"/>
      </ext>
    </extLst>
  </connection>
  <connection id="5" xr16:uid="{00000000-0015-0000-FFFF-FFFF04000000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aaf1d27b-3560-4781-9e43-e8f35df2c73f"/>
      </ext>
    </extLst>
  </connection>
  <connection id="6" xr16:uid="{00000000-0015-0000-FFFF-FFFF05000000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218afbf8-b6ac-4e13-831d-2fb8f964041b"/>
      </ext>
    </extLst>
  </connection>
  <connection id="7" xr16:uid="{00000000-0015-0000-FFFF-FFFF06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<sst xmlns="http://schemas.openxmlformats.org/spreadsheetml/2006/main" count="614" uniqueCount="156">
  <si>
    <t>TOTAL</t>
  </si>
  <si>
    <t>LC</t>
  </si>
  <si>
    <t>EM</t>
  </si>
  <si>
    <t>TE</t>
  </si>
  <si>
    <t>DH</t>
  </si>
  <si>
    <t>DELFINO HERNANDEZ</t>
  </si>
  <si>
    <t>JM</t>
  </si>
  <si>
    <t>JOSE MEZA</t>
  </si>
  <si>
    <t>Date</t>
  </si>
  <si>
    <t>Q</t>
  </si>
  <si>
    <t>KG</t>
  </si>
  <si>
    <t>W CM</t>
  </si>
  <si>
    <t xml:space="preserve">D CM </t>
  </si>
  <si>
    <t>POUNDS</t>
  </si>
  <si>
    <t>TOTAL USD</t>
  </si>
  <si>
    <t>H CM</t>
  </si>
  <si>
    <t>AQC</t>
  </si>
  <si>
    <t>Book #</t>
  </si>
  <si>
    <t>Rate</t>
  </si>
  <si>
    <t>#</t>
  </si>
  <si>
    <t>TAG-ID</t>
  </si>
  <si>
    <t>TOTAL PESOS</t>
  </si>
  <si>
    <t>H Inches</t>
  </si>
  <si>
    <t>W Inches</t>
  </si>
  <si>
    <t>D Incbes</t>
  </si>
  <si>
    <t>PRICE</t>
  </si>
  <si>
    <t>AN</t>
  </si>
  <si>
    <t>ANGEL CABRERA</t>
  </si>
  <si>
    <t>OWED TO SIMONA</t>
  </si>
  <si>
    <t>SIMONA</t>
  </si>
  <si>
    <t>PAID</t>
  </si>
  <si>
    <t>TBP</t>
  </si>
  <si>
    <t>VENDOR</t>
  </si>
  <si>
    <t>ITEM</t>
  </si>
  <si>
    <t>DESCTIPTION</t>
  </si>
  <si>
    <t>L CM</t>
  </si>
  <si>
    <t>$MSN IN</t>
  </si>
  <si>
    <t>$MXN OUT</t>
  </si>
  <si>
    <t>TOTAL $</t>
  </si>
  <si>
    <t>H "</t>
  </si>
  <si>
    <t>W"</t>
  </si>
  <si>
    <t>D"</t>
  </si>
  <si>
    <t>$USD</t>
  </si>
  <si>
    <t>REMAINING BALANCE</t>
  </si>
  <si>
    <t>SUPPLIES</t>
  </si>
  <si>
    <t>TOTAL IN</t>
  </si>
  <si>
    <t>TOTAL OUT</t>
  </si>
  <si>
    <t>Description</t>
  </si>
  <si>
    <t>MXN</t>
  </si>
  <si>
    <t>Vendor</t>
  </si>
  <si>
    <t>QTY</t>
  </si>
  <si>
    <t>ORDERS</t>
  </si>
  <si>
    <t>Ready Date</t>
  </si>
  <si>
    <t>TAGID</t>
  </si>
  <si>
    <t>7" S FOUNTAIN</t>
  </si>
  <si>
    <t>TYPE</t>
  </si>
  <si>
    <t>DATE</t>
  </si>
  <si>
    <t>AQ USD</t>
  </si>
  <si>
    <t>AQ RND USD</t>
  </si>
  <si>
    <t>LND USD</t>
  </si>
  <si>
    <t>LND RND USD</t>
  </si>
  <si>
    <t>RETAIL USD</t>
  </si>
  <si>
    <t>SQCM MXN</t>
  </si>
  <si>
    <t>SQM MXN</t>
  </si>
  <si>
    <t>NOTES</t>
  </si>
  <si>
    <t>TOTAL MXN</t>
  </si>
  <si>
    <t>ADVANCE MXN</t>
  </si>
  <si>
    <t>BARREL CACTUS 3 PCS SET</t>
  </si>
  <si>
    <t>CA</t>
  </si>
  <si>
    <t>MONTLY EXPENSES</t>
  </si>
  <si>
    <t>DESCRIPTION</t>
  </si>
  <si>
    <t>RENT</t>
  </si>
  <si>
    <t>INTERNET</t>
  </si>
  <si>
    <t>ACCOUNTANT FEE</t>
  </si>
  <si>
    <t>BANK FEES</t>
  </si>
  <si>
    <t>TRK#</t>
  </si>
  <si>
    <t>CARLOS ARENAS</t>
  </si>
  <si>
    <t>SU</t>
  </si>
  <si>
    <t>SUSANA</t>
  </si>
  <si>
    <t>TELLEZ TALLER</t>
  </si>
  <si>
    <t>CA (Carlos Arenas)</t>
  </si>
  <si>
    <t>AN (Angel Cabrera)</t>
  </si>
  <si>
    <t>JM (Jose Meza)</t>
  </si>
  <si>
    <t>SU (Susana)</t>
  </si>
  <si>
    <t>TE (Tellez Taller)</t>
  </si>
  <si>
    <t>ML (Maria Luisa)</t>
  </si>
  <si>
    <t>GE (Gerardo De Gante)</t>
  </si>
  <si>
    <t>FR (Fountain Rock)</t>
  </si>
  <si>
    <t>ET (Eduardo Tellez)</t>
  </si>
  <si>
    <t>AM (Alejandro Meza)</t>
  </si>
  <si>
    <t>BT (Bernardo)</t>
  </si>
  <si>
    <t>RF (Roberto Florita)</t>
  </si>
  <si>
    <t>GS (Gift Store)</t>
  </si>
  <si>
    <t>CP (Cantera Puebla)</t>
  </si>
  <si>
    <t>EM (Emmanuel)</t>
  </si>
  <si>
    <t>DH (Delfino Hernandez)</t>
  </si>
  <si>
    <t>AMOUNT MXN</t>
  </si>
  <si>
    <t>EMMANUEL</t>
  </si>
  <si>
    <t>ACQ</t>
  </si>
  <si>
    <t>SUPPLIES &amp; LABOR</t>
  </si>
  <si>
    <t>PALLETS &amp; CRATES</t>
  </si>
  <si>
    <t>HOUSE RENT</t>
  </si>
  <si>
    <t>ELECTRIC BILL AVG</t>
  </si>
  <si>
    <t xml:space="preserve"> RENT TAXES</t>
  </si>
  <si>
    <t>BOA EMPLOYEE</t>
  </si>
  <si>
    <t>BBVA RAMSES</t>
  </si>
  <si>
    <t>BBVA MARTHA</t>
  </si>
  <si>
    <t>TRK1</t>
  </si>
  <si>
    <t>TRK2</t>
  </si>
  <si>
    <t>TRK3</t>
  </si>
  <si>
    <t>TRK</t>
  </si>
  <si>
    <t>TRK4</t>
  </si>
  <si>
    <t>ACCOUNT</t>
  </si>
  <si>
    <t>REQ DATE</t>
  </si>
  <si>
    <t>PAY DATE</t>
  </si>
  <si>
    <t xml:space="preserve">ISR TAX AVG </t>
  </si>
  <si>
    <t>TAX / COM</t>
  </si>
  <si>
    <t>PAYLOG</t>
  </si>
  <si>
    <t>ACQUISITION</t>
  </si>
  <si>
    <t>CRATES</t>
  </si>
  <si>
    <t>EXPENSE</t>
  </si>
  <si>
    <t>RENTS</t>
  </si>
  <si>
    <t>BANK FEE</t>
  </si>
  <si>
    <t>ADVANCE S FOUNTAIN</t>
  </si>
  <si>
    <t>ADVANCE CACTUS</t>
  </si>
  <si>
    <t>PRODUCTION</t>
  </si>
  <si>
    <t>MARIA LUISA / JAIR</t>
  </si>
  <si>
    <t>ML</t>
  </si>
  <si>
    <t>GE</t>
  </si>
  <si>
    <t>GERARDO DE GANTE</t>
  </si>
  <si>
    <t>FR</t>
  </si>
  <si>
    <t>FOUNTAIN ROCK</t>
  </si>
  <si>
    <t>ET</t>
  </si>
  <si>
    <t>EDUARDO TELLEZ</t>
  </si>
  <si>
    <t xml:space="preserve">AM </t>
  </si>
  <si>
    <t>ALEJANDRO MEZA</t>
  </si>
  <si>
    <t xml:space="preserve">RF </t>
  </si>
  <si>
    <t>ROBERTO FLUORITE</t>
  </si>
  <si>
    <t xml:space="preserve">GS  </t>
  </si>
  <si>
    <t>GIFT STORE / SMALL ITEMS</t>
  </si>
  <si>
    <t>CP</t>
  </si>
  <si>
    <t>CANTERA PUEBLA</t>
  </si>
  <si>
    <t>1 USD = 18 MXN</t>
  </si>
  <si>
    <t>v022226</t>
  </si>
  <si>
    <t>GREEN TALAN</t>
  </si>
  <si>
    <t>OBJECT/ SHAPE</t>
  </si>
  <si>
    <t>COLOR / MATERIAL</t>
  </si>
  <si>
    <t>YELLOW TRAVERTINE</t>
  </si>
  <si>
    <t>S</t>
  </si>
  <si>
    <t>FOUNTAIN</t>
  </si>
  <si>
    <t xml:space="preserve">CACTUS </t>
  </si>
  <si>
    <t>SCULPTURE 3 PCS SET</t>
  </si>
  <si>
    <t>FOUNTAIN 3 PCS SET</t>
  </si>
  <si>
    <t>BOA MONTLY TOTAL</t>
  </si>
  <si>
    <t>BBVA MONTLY RAMSES</t>
  </si>
  <si>
    <t>BBVA MONTLY MARTHA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</si>
</sst>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;@"/>
  </numFmts>
  <fonts count="67" x14ac:knownFonts="1">
    <font>
      <sz val="11"/>
      <color theme="1"/>
      <name val="Univers"/>
      <family val="2"/>
      <scheme val="minor"/>
    </font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6"/>
      <color theme="1"/>
      <name val="Univers"/>
      <family val="2"/>
      <scheme val="minor"/>
    </font>
    <font>
      <sz val="12"/>
      <color theme="1"/>
      <name val="Atkinson Hyperlegible"/>
    </font>
    <font>
      <sz val="11"/>
      <color theme="1"/>
      <name val="Atkinson Hyperlegible"/>
    </font>
    <font>
      <sz val="14"/>
      <color theme="2" tint="-0.89999084444715716"/>
      <name val="Atkinson Hyperlegible"/>
    </font>
    <font>
      <b/>
      <sz val="28"/>
      <color theme="2" tint="-0.89999084444715716"/>
      <name val="Atkinson Hyperlegible"/>
    </font>
    <font>
      <sz val="20"/>
      <color theme="2" tint="-0.89999084444715716"/>
      <name val="Atkinson Hyperlegible"/>
    </font>
    <font>
      <b/>
      <sz val="10"/>
      <color theme="1"/>
      <name val="Atkinson Hyperlegible"/>
    </font>
    <font>
      <b/>
      <sz val="20"/>
      <color theme="2" tint="-0.89999084444715716"/>
      <name val="Atkinson Hyperlegible"/>
    </font>
    <font>
      <b/>
      <sz val="11"/>
      <color theme="1"/>
      <name val="Univers"/>
      <family val="2"/>
      <scheme val="minor"/>
    </font>
    <font>
      <b/>
      <sz val="9"/>
      <color theme="1"/>
      <name val="Atkinson Hyperlegible"/>
    </font>
    <font>
      <sz val="9"/>
      <color theme="1"/>
      <name val="Atkinson Hyperlegible"/>
    </font>
    <font>
      <sz val="10"/>
      <name val="Atkinson Hyperlegible"/>
    </font>
    <font>
      <sz val="9"/>
      <name val="Atkinson Hyperlegible"/>
    </font>
    <font>
      <b/>
      <sz val="18"/>
      <color theme="1"/>
      <name val="Univers"/>
      <family val="2"/>
      <scheme val="minor"/>
    </font>
    <font>
      <b/>
      <sz val="22"/>
      <color theme="0"/>
      <name val="Atkinson Hyperlegible"/>
    </font>
    <font>
      <b/>
      <sz val="16"/>
      <color theme="0"/>
      <name val="Atkinson Hyperlegible"/>
    </font>
    <font>
      <b/>
      <sz val="12"/>
      <color theme="0" tint="-4.9989318521683403E-2"/>
      <name val="Atkinson Hyperlegible"/>
    </font>
    <font>
      <b/>
      <sz val="9"/>
      <color theme="0" tint="-4.9989318521683403E-2"/>
      <name val="Atkinson Hyperlegible"/>
    </font>
    <font>
      <sz val="10"/>
      <color theme="0" tint="-4.9989318521683403E-2"/>
      <name val="Atkinson Hyperlegible"/>
    </font>
    <font>
      <b/>
      <sz val="11"/>
      <color theme="0" tint="-4.9989318521683403E-2"/>
      <name val="Atkinson Hyperlegible"/>
    </font>
    <font>
      <sz val="9"/>
      <color theme="0" tint="-4.9989318521683403E-2"/>
      <name val="Atkinson Hyperlegible"/>
    </font>
    <font>
      <b/>
      <sz val="14"/>
      <color theme="0" tint="-4.9989318521683403E-2"/>
      <name val="Atkinson Hyperlegible"/>
    </font>
    <font>
      <b/>
      <sz val="14"/>
      <color theme="0"/>
      <name val="Univers"/>
      <family val="2"/>
      <scheme val="minor"/>
    </font>
    <font>
      <b/>
      <sz val="12"/>
      <color theme="0"/>
      <name val="Univers"/>
      <family val="2"/>
      <scheme val="minor"/>
    </font>
    <font>
      <sz val="16"/>
      <color theme="2" tint="-0.89999084444715716"/>
      <name val="Atkinson Hyperlegible"/>
    </font>
    <font>
      <b/>
      <sz val="26"/>
      <color theme="2" tint="-0.89999084444715716"/>
      <name val="Atkinson Hyperlegible"/>
    </font>
    <font>
      <b/>
      <sz val="9"/>
      <color theme="0"/>
      <name val="Atkinson Hyperlegible"/>
    </font>
    <font>
      <sz val="9"/>
      <color theme="0"/>
      <name val="Atkinson Hyperlegible"/>
    </font>
    <font>
      <sz val="22"/>
      <color theme="1"/>
      <name val="Atkinson Hyperlegible"/>
    </font>
    <font>
      <sz val="20"/>
      <color theme="1"/>
      <name val="Atkinson Hyperlegible"/>
    </font>
    <font>
      <sz val="16"/>
      <color theme="1"/>
      <name val="Atkinson Hyperlegible"/>
    </font>
    <font>
      <b/>
      <sz val="18"/>
      <color theme="0"/>
      <name val="Atkinson Hyperlegible"/>
    </font>
    <font>
      <b/>
      <sz val="36"/>
      <color theme="4" tint="-0.499984740745262"/>
      <name val="Atkinson Hyperlegible"/>
    </font>
    <font>
      <b/>
      <sz val="18"/>
      <color rgb="FF333333"/>
      <name val="Atkinson Hyperlegible"/>
    </font>
    <font>
      <b/>
      <sz val="22"/>
      <color theme="4" tint="-0.499984740745262"/>
      <name val="Atkinson Hyperlegible"/>
    </font>
    <font>
      <b/>
      <sz val="16"/>
      <name val="Atkinson Hyperlegible"/>
    </font>
    <font>
      <b/>
      <sz val="24"/>
      <color theme="4" tint="-0.499984740745262"/>
      <name val="Atkinson Hyperlegible"/>
    </font>
    <font>
      <sz val="18"/>
      <name val="Atkinson Hyperlegible"/>
    </font>
    <font>
      <sz val="11"/>
      <color theme="0"/>
      <name val="Univers"/>
      <family val="2"/>
      <scheme val="minor"/>
    </font>
    <font>
      <b/>
      <sz val="16"/>
      <color theme="0" tint="-4.9989318521683403E-2"/>
      <name val="Atkinson Hyperlegible"/>
    </font>
    <font>
      <b/>
      <sz val="18"/>
      <color theme="0"/>
      <name val="Univers"/>
      <family val="2"/>
      <scheme val="minor"/>
    </font>
    <font>
      <sz val="14"/>
      <color theme="1"/>
      <name val="Univers"/>
      <family val="2"/>
      <scheme val="minor"/>
    </font>
    <font>
      <b/>
      <sz val="24"/>
      <color theme="0"/>
      <name val="Univers"/>
      <family val="2"/>
      <scheme val="minor"/>
    </font>
    <font>
      <b/>
      <sz val="24"/>
      <color theme="0"/>
      <name val="Atkinson Hyperlegible"/>
    </font>
    <font>
      <b/>
      <sz val="24"/>
      <name val="Univers"/>
      <family val="2"/>
      <scheme val="minor"/>
    </font>
    <font>
      <b/>
      <sz val="20"/>
      <color theme="0"/>
      <name val="Atkinson Hyperlegible"/>
    </font>
    <font>
      <sz val="20"/>
      <name val="Atkinson Hyperlegible"/>
    </font>
    <font>
      <sz val="22"/>
      <color theme="0"/>
      <name val="Atkinson Hyperlegible"/>
    </font>
    <font>
      <sz val="16"/>
      <color theme="0"/>
      <name val="Atkinson Hyperlegible"/>
    </font>
    <font>
      <b/>
      <sz val="18"/>
      <name val="Atkinson Hyperlegible"/>
    </font>
    <font>
      <b/>
      <sz val="24"/>
      <color rgb="FF333333"/>
      <name val="Atkinson Hyperlegible"/>
    </font>
    <font>
      <b/>
      <sz val="26"/>
      <color rgb="FF333333"/>
      <name val="Atkinson Hyperlegible"/>
    </font>
    <font>
      <b/>
      <sz val="26"/>
      <color theme="0"/>
      <name val="Atkinson Hyperlegible"/>
    </font>
    <font>
      <sz val="14"/>
      <color theme="0"/>
      <name val="Atkinson Hyperlegible"/>
    </font>
    <font>
      <sz val="20"/>
      <color theme="0"/>
      <name val="Atkinson Hyperlegible"/>
    </font>
    <font>
      <sz val="16"/>
      <color theme="0"/>
      <name val="Univers"/>
      <family val="2"/>
      <scheme val="minor"/>
    </font>
    <font>
      <b/>
      <sz val="28"/>
      <color theme="0"/>
      <name val="Atkinson Hyperlegible"/>
    </font>
    <font>
      <b/>
      <sz val="28"/>
      <name val="Atkinson Hyperlegible"/>
    </font>
    <font>
      <sz val="14"/>
      <name val="Atkinson Hyperlegible"/>
    </font>
    <font>
      <sz val="16"/>
      <name val="Univers"/>
      <family val="2"/>
      <scheme val="minor"/>
    </font>
    <font>
      <sz val="16"/>
      <name val="Atkinson Hyperlegible"/>
    </font>
    <font>
      <b/>
      <sz val="20"/>
      <name val="Atkinson Hyperlegible"/>
    </font>
    <font>
      <b/>
      <sz val="24"/>
      <color theme="2" tint="-0.89999084444715716"/>
      <name val="Atkinson Hyperlegible"/>
    </font>
    <font>
      <sz val="18"/>
      <color theme="0"/>
      <name val="Atkinson Hyperlegible"/>
    </font>
  </fonts>
  <fills count="34">
    <fill>
      <patternFill patternType="none"/>
    </fill>
    <fill>
      <patternFill patternType="gray125"/>
    </fill>
    <fill>
      <patternFill patternType="solid">
        <fgColor rgb="FFCEEAB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6BCEBB"/>
        <bgColor indexed="64"/>
      </patternFill>
    </fill>
    <fill>
      <patternFill patternType="solid">
        <fgColor rgb="FF00AEEF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FFED00"/>
        <bgColor indexed="64"/>
      </patternFill>
    </fill>
    <fill>
      <patternFill patternType="solid">
        <fgColor rgb="FFB19CD9"/>
        <bgColor indexed="64"/>
      </patternFill>
    </fill>
    <fill>
      <patternFill patternType="solid">
        <fgColor rgb="FFFFCB05"/>
        <bgColor indexed="64"/>
      </patternFill>
    </fill>
    <fill>
      <patternFill patternType="solid">
        <fgColor rgb="FF8DC63F"/>
        <bgColor indexed="64"/>
      </patternFill>
    </fill>
    <fill>
      <patternFill patternType="solid">
        <fgColor rgb="FFF9A17A"/>
        <bgColor indexed="64"/>
      </patternFill>
    </fill>
    <fill>
      <patternFill patternType="solid">
        <fgColor rgb="FFF7941D"/>
        <bgColor indexed="64"/>
      </patternFill>
    </fill>
    <fill>
      <patternFill patternType="solid">
        <fgColor rgb="FFF36F21"/>
        <bgColor indexed="64"/>
      </patternFill>
    </fill>
    <fill>
      <patternFill patternType="solid">
        <fgColor rgb="FF636466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603913"/>
        <bgColor indexed="64"/>
      </patternFill>
    </fill>
    <fill>
      <patternFill patternType="solid">
        <fgColor rgb="FF00A591"/>
        <bgColor indexed="64"/>
      </patternFill>
    </fill>
    <fill>
      <patternFill patternType="solid">
        <fgColor rgb="FFD11C7E"/>
        <bgColor indexed="64"/>
      </patternFill>
    </fill>
    <fill>
      <patternFill patternType="solid">
        <fgColor rgb="FFA01E5D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74999237037263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8C4A"/>
        <bgColor indexed="64"/>
      </patternFill>
    </fill>
    <fill>
      <patternFill patternType="solid">
        <fgColor rgb="FF1E519C"/>
        <bgColor indexed="64"/>
      </patternFill>
    </fill>
    <fill>
      <patternFill patternType="solid">
        <fgColor rgb="FFE11F2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5E17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theme="5" tint="-0.249977111117893"/>
      </left>
      <right/>
      <top/>
      <bottom/>
      <diagonal/>
    </border>
    <border>
      <left/>
      <right style="thick">
        <color theme="5" tint="-0.249977111117893"/>
      </right>
      <top/>
      <bottom/>
      <diagonal/>
    </border>
    <border>
      <left style="thick">
        <color rgb="FF33CCFF"/>
      </left>
      <right/>
      <top style="thick">
        <color rgb="FF33CCFF"/>
      </top>
      <bottom style="thick">
        <color rgb="FF33CCFF"/>
      </bottom>
      <diagonal/>
    </border>
    <border>
      <left/>
      <right style="thick">
        <color rgb="FF33CCFF"/>
      </right>
      <top style="thick">
        <color rgb="FF33CCFF"/>
      </top>
      <bottom style="thick">
        <color rgb="FF33CCFF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2">
    <xf numFmtId="0" fontId="0" fillId="0" borderId="0" xfId="0"/>
    <xf numFmtId="0" fontId="3" fillId="0" borderId="0" xfId="0" applyFont="1"/>
    <xf numFmtId="0" fontId="13" fillId="0" borderId="0" xfId="0" applyFont="1" applyProtection="1">
      <protection locked="0"/>
    </xf>
    <xf numFmtId="2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44" fontId="13" fillId="0" borderId="0" xfId="1" applyFont="1" applyProtection="1">
      <protection locked="0"/>
    </xf>
    <xf numFmtId="0" fontId="12" fillId="2" borderId="0" xfId="0" applyFont="1" applyFill="1" applyAlignment="1" applyProtection="1">
      <alignment horizontal="right"/>
      <protection locked="0"/>
    </xf>
    <xf numFmtId="44" fontId="9" fillId="2" borderId="0" xfId="1" applyFont="1" applyFill="1" applyAlignment="1">
      <alignment horizontal="center"/>
    </xf>
    <xf numFmtId="165" fontId="13" fillId="0" borderId="0" xfId="0" applyNumberFormat="1" applyFont="1" applyAlignment="1" applyProtection="1">
      <alignment horizontal="center"/>
      <protection locked="0"/>
    </xf>
    <xf numFmtId="0" fontId="12" fillId="4" borderId="0" xfId="0" applyFont="1" applyFill="1" applyAlignment="1" applyProtection="1">
      <alignment horizontal="right"/>
      <protection locked="0"/>
    </xf>
    <xf numFmtId="164" fontId="9" fillId="4" borderId="0" xfId="1" applyNumberFormat="1" applyFont="1" applyFill="1" applyProtection="1">
      <protection locked="0"/>
    </xf>
    <xf numFmtId="164" fontId="13" fillId="0" borderId="0" xfId="0" applyNumberFormat="1" applyFont="1" applyProtection="1">
      <protection locked="0"/>
    </xf>
    <xf numFmtId="0" fontId="13" fillId="0" borderId="0" xfId="0" applyFont="1" applyAlignment="1" applyProtection="1">
      <alignment vertical="center" wrapText="1"/>
      <protection locked="0"/>
    </xf>
    <xf numFmtId="2" fontId="14" fillId="0" borderId="0" xfId="1" applyNumberFormat="1" applyFont="1" applyFill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43" fontId="13" fillId="0" borderId="0" xfId="2" applyFont="1" applyProtection="1">
      <protection locked="0"/>
    </xf>
    <xf numFmtId="2" fontId="13" fillId="0" borderId="0" xfId="1" applyNumberFormat="1" applyFont="1" applyAlignment="1" applyProtection="1">
      <alignment horizontal="center"/>
      <protection locked="0"/>
    </xf>
    <xf numFmtId="2" fontId="5" fillId="0" borderId="0" xfId="0" applyNumberFormat="1" applyFont="1" applyAlignment="1">
      <alignment horizontal="center"/>
    </xf>
    <xf numFmtId="164" fontId="14" fillId="0" borderId="3" xfId="2" applyNumberFormat="1" applyFont="1" applyFill="1" applyBorder="1" applyProtection="1">
      <protection locked="0"/>
    </xf>
    <xf numFmtId="14" fontId="0" fillId="0" borderId="0" xfId="0" applyNumberFormat="1"/>
    <xf numFmtId="44" fontId="0" fillId="0" borderId="0" xfId="1" applyFont="1"/>
    <xf numFmtId="0" fontId="4" fillId="0" borderId="0" xfId="0" applyFont="1"/>
    <xf numFmtId="4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44" fontId="14" fillId="0" borderId="11" xfId="1" applyFont="1" applyFill="1" applyBorder="1" applyAlignment="1" applyProtection="1">
      <alignment horizontal="left"/>
      <protection locked="0"/>
    </xf>
    <xf numFmtId="44" fontId="13" fillId="0" borderId="0" xfId="0" applyNumberFormat="1" applyFont="1" applyProtection="1">
      <protection locked="0"/>
    </xf>
    <xf numFmtId="0" fontId="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4" fontId="27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44" fontId="3" fillId="0" borderId="0" xfId="1" applyFont="1" applyBorder="1"/>
    <xf numFmtId="2" fontId="27" fillId="0" borderId="0" xfId="0" applyNumberFormat="1" applyFont="1" applyAlignment="1">
      <alignment horizontal="right" vertical="center" indent="1"/>
    </xf>
    <xf numFmtId="2" fontId="27" fillId="0" borderId="0" xfId="0" applyNumberFormat="1" applyFont="1" applyAlignment="1">
      <alignment horizontal="left" vertical="center" indent="1"/>
    </xf>
    <xf numFmtId="2" fontId="27" fillId="0" borderId="0" xfId="0" applyNumberFormat="1" applyFont="1" applyAlignment="1">
      <alignment vertical="center"/>
    </xf>
    <xf numFmtId="44" fontId="27" fillId="0" borderId="0" xfId="1" applyFont="1" applyBorder="1" applyAlignment="1">
      <alignment horizontal="right" vertical="center" indent="1"/>
    </xf>
    <xf numFmtId="2" fontId="3" fillId="0" borderId="0" xfId="0" applyNumberFormat="1" applyFont="1"/>
    <xf numFmtId="44" fontId="27" fillId="0" borderId="0" xfId="1" applyFont="1" applyBorder="1" applyAlignment="1">
      <alignment horizontal="center" vertical="center"/>
    </xf>
    <xf numFmtId="44" fontId="27" fillId="0" borderId="0" xfId="1" applyFont="1" applyBorder="1" applyAlignment="1">
      <alignment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2" fillId="5" borderId="0" xfId="0" applyFont="1" applyFill="1" applyAlignment="1" applyProtection="1">
      <alignment vertical="center"/>
      <protection locked="0"/>
    </xf>
    <xf numFmtId="0" fontId="22" fillId="5" borderId="0" xfId="0" applyFont="1" applyFill="1" applyAlignment="1" applyProtection="1">
      <alignment vertical="center"/>
      <protection locked="0"/>
    </xf>
    <xf numFmtId="44" fontId="22" fillId="5" borderId="0" xfId="1" applyFont="1" applyFill="1" applyAlignment="1">
      <alignment horizontal="right"/>
    </xf>
    <xf numFmtId="165" fontId="20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20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20" fillId="5" borderId="2" xfId="0" applyFont="1" applyFill="1" applyBorder="1" applyAlignment="1" applyProtection="1">
      <alignment vertical="center" wrapText="1"/>
      <protection locked="0"/>
    </xf>
    <xf numFmtId="0" fontId="21" fillId="5" borderId="3" xfId="0" applyFont="1" applyFill="1" applyBorder="1" applyProtection="1">
      <protection locked="0"/>
    </xf>
    <xf numFmtId="0" fontId="20" fillId="5" borderId="4" xfId="0" applyFont="1" applyFill="1" applyBorder="1" applyAlignment="1" applyProtection="1">
      <alignment horizontal="center" vertical="center" wrapText="1"/>
      <protection locked="0"/>
    </xf>
    <xf numFmtId="44" fontId="20" fillId="5" borderId="2" xfId="1" applyFont="1" applyFill="1" applyBorder="1" applyAlignment="1" applyProtection="1">
      <alignment horizontal="center" vertical="center" wrapText="1"/>
      <protection locked="0"/>
    </xf>
    <xf numFmtId="0" fontId="20" fillId="5" borderId="2" xfId="0" applyFont="1" applyFill="1" applyBorder="1" applyAlignment="1" applyProtection="1">
      <alignment horizontal="center" vertical="center" wrapText="1"/>
      <protection locked="0"/>
    </xf>
    <xf numFmtId="43" fontId="20" fillId="5" borderId="2" xfId="2" applyFont="1" applyFill="1" applyBorder="1" applyAlignment="1" applyProtection="1">
      <alignment horizontal="right" vertical="center" wrapText="1"/>
      <protection locked="0"/>
    </xf>
    <xf numFmtId="164" fontId="20" fillId="5" borderId="2" xfId="0" applyNumberFormat="1" applyFont="1" applyFill="1" applyBorder="1" applyAlignment="1" applyProtection="1">
      <alignment horizontal="center" vertical="center" wrapText="1"/>
      <protection locked="0"/>
    </xf>
    <xf numFmtId="164" fontId="20" fillId="5" borderId="2" xfId="1" applyNumberFormat="1" applyFont="1" applyFill="1" applyBorder="1" applyAlignment="1" applyProtection="1">
      <alignment horizontal="right" vertical="center" wrapText="1"/>
      <protection locked="0"/>
    </xf>
    <xf numFmtId="2" fontId="20" fillId="5" borderId="2" xfId="2" applyNumberFormat="1" applyFont="1" applyFill="1" applyBorder="1" applyAlignment="1" applyProtection="1">
      <alignment horizontal="center" vertical="center" wrapText="1"/>
      <protection locked="0"/>
    </xf>
    <xf numFmtId="2" fontId="20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29" fillId="5" borderId="0" xfId="0" applyFont="1" applyFill="1" applyProtection="1">
      <protection locked="0"/>
    </xf>
    <xf numFmtId="0" fontId="30" fillId="5" borderId="0" xfId="0" applyFont="1" applyFill="1" applyProtection="1">
      <protection locked="0"/>
    </xf>
    <xf numFmtId="165" fontId="24" fillId="5" borderId="0" xfId="0" applyNumberFormat="1" applyFont="1" applyFill="1" applyAlignment="1" applyProtection="1">
      <alignment horizontal="left"/>
      <protection locked="0"/>
    </xf>
    <xf numFmtId="0" fontId="23" fillId="5" borderId="0" xfId="0" applyFont="1" applyFill="1" applyProtection="1">
      <protection locked="0"/>
    </xf>
    <xf numFmtId="0" fontId="19" fillId="5" borderId="0" xfId="0" applyFont="1" applyFill="1" applyProtection="1">
      <protection locked="0"/>
    </xf>
    <xf numFmtId="44" fontId="19" fillId="5" borderId="0" xfId="1" applyFont="1" applyFill="1" applyAlignment="1">
      <alignment horizontal="right"/>
    </xf>
    <xf numFmtId="44" fontId="32" fillId="0" borderId="0" xfId="1" applyFont="1" applyBorder="1"/>
    <xf numFmtId="0" fontId="33" fillId="0" borderId="0" xfId="0" applyFont="1"/>
    <xf numFmtId="0" fontId="31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44" fontId="6" fillId="6" borderId="0" xfId="1" applyFont="1" applyFill="1" applyBorder="1" applyAlignment="1">
      <alignment horizontal="center" vertical="center"/>
    </xf>
    <xf numFmtId="44" fontId="28" fillId="6" borderId="0" xfId="1" applyFont="1" applyFill="1" applyBorder="1" applyAlignment="1">
      <alignment horizontal="left" vertical="center" indent="1"/>
    </xf>
    <xf numFmtId="2" fontId="8" fillId="6" borderId="0" xfId="0" applyNumberFormat="1" applyFont="1" applyFill="1" applyAlignment="1">
      <alignment horizontal="left" vertical="center" indent="1"/>
    </xf>
    <xf numFmtId="2" fontId="8" fillId="6" borderId="0" xfId="0" applyNumberFormat="1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distributed"/>
    </xf>
    <xf numFmtId="0" fontId="8" fillId="6" borderId="0" xfId="0" applyFont="1" applyFill="1" applyAlignment="1">
      <alignment horizontal="left" vertical="center"/>
    </xf>
    <xf numFmtId="44" fontId="28" fillId="6" borderId="0" xfId="0" applyNumberFormat="1" applyFont="1" applyFill="1" applyAlignment="1">
      <alignment horizontal="left" vertical="center"/>
    </xf>
    <xf numFmtId="44" fontId="8" fillId="6" borderId="0" xfId="0" applyNumberFormat="1" applyFont="1" applyFill="1" applyAlignment="1">
      <alignment horizontal="left" vertical="center"/>
    </xf>
    <xf numFmtId="44" fontId="10" fillId="6" borderId="0" xfId="1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 indent="1"/>
    </xf>
    <xf numFmtId="44" fontId="6" fillId="6" borderId="0" xfId="1" applyFont="1" applyFill="1" applyBorder="1" applyAlignment="1">
      <alignment horizontal="left" vertical="center" wrapText="1" indent="1"/>
    </xf>
    <xf numFmtId="2" fontId="6" fillId="6" borderId="0" xfId="0" applyNumberFormat="1" applyFont="1" applyFill="1" applyAlignment="1">
      <alignment horizontal="left" vertical="center" wrapText="1" indent="1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left" vertical="center" wrapText="1" indent="1"/>
      <protection locked="0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44" fontId="16" fillId="6" borderId="0" xfId="1" applyFont="1" applyFill="1" applyBorder="1"/>
    <xf numFmtId="44" fontId="3" fillId="6" borderId="0" xfId="1" applyFont="1" applyFill="1" applyBorder="1"/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 indent="1"/>
    </xf>
    <xf numFmtId="2" fontId="6" fillId="7" borderId="0" xfId="0" applyNumberFormat="1" applyFont="1" applyFill="1" applyAlignment="1">
      <alignment horizontal="center" vertical="center"/>
    </xf>
    <xf numFmtId="44" fontId="6" fillId="7" borderId="0" xfId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44" fontId="16" fillId="7" borderId="0" xfId="1" applyFont="1" applyFill="1" applyBorder="1"/>
    <xf numFmtId="44" fontId="3" fillId="7" borderId="0" xfId="1" applyFont="1" applyFill="1" applyBorder="1"/>
    <xf numFmtId="44" fontId="28" fillId="7" borderId="0" xfId="1" applyFont="1" applyFill="1" applyBorder="1" applyAlignment="1">
      <alignment horizontal="left" vertical="center" indent="1"/>
    </xf>
    <xf numFmtId="2" fontId="8" fillId="7" borderId="0" xfId="0" applyNumberFormat="1" applyFont="1" applyFill="1" applyAlignment="1">
      <alignment horizontal="left" vertical="center" indent="1"/>
    </xf>
    <xf numFmtId="2" fontId="8" fillId="7" borderId="0" xfId="0" applyNumberFormat="1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7" borderId="0" xfId="0" applyFont="1" applyFill="1" applyAlignment="1">
      <alignment horizontal="center" vertical="distributed"/>
    </xf>
    <xf numFmtId="0" fontId="8" fillId="7" borderId="0" xfId="0" applyFont="1" applyFill="1" applyAlignment="1">
      <alignment horizontal="left" vertical="center"/>
    </xf>
    <xf numFmtId="44" fontId="28" fillId="7" borderId="0" xfId="0" applyNumberFormat="1" applyFont="1" applyFill="1" applyAlignment="1">
      <alignment horizontal="left" vertical="center"/>
    </xf>
    <xf numFmtId="44" fontId="8" fillId="7" borderId="0" xfId="0" applyNumberFormat="1" applyFont="1" applyFill="1" applyAlignment="1">
      <alignment horizontal="left" vertical="center"/>
    </xf>
    <xf numFmtId="44" fontId="6" fillId="7" borderId="0" xfId="1" applyFont="1" applyFill="1" applyBorder="1" applyAlignment="1">
      <alignment horizontal="left" vertical="center" wrapText="1" indent="1"/>
    </xf>
    <xf numFmtId="2" fontId="6" fillId="7" borderId="0" xfId="0" applyNumberFormat="1" applyFont="1" applyFill="1" applyAlignment="1">
      <alignment horizontal="left" vertical="center" wrapText="1" indent="1"/>
    </xf>
    <xf numFmtId="0" fontId="6" fillId="7" borderId="0" xfId="0" applyFont="1" applyFill="1" applyAlignment="1" applyProtection="1">
      <alignment horizontal="center" vertical="center" wrapText="1"/>
      <protection locked="0"/>
    </xf>
    <xf numFmtId="0" fontId="6" fillId="7" borderId="0" xfId="0" applyFont="1" applyFill="1" applyAlignment="1" applyProtection="1">
      <alignment horizontal="left" vertical="center" wrapText="1" indent="1"/>
      <protection locked="0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 wrapText="1" indent="1"/>
    </xf>
    <xf numFmtId="0" fontId="2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2" fontId="6" fillId="8" borderId="0" xfId="0" applyNumberFormat="1" applyFont="1" applyFill="1" applyAlignment="1">
      <alignment horizontal="center" vertical="center"/>
    </xf>
    <xf numFmtId="44" fontId="6" fillId="8" borderId="0" xfId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/>
    </xf>
    <xf numFmtId="44" fontId="16" fillId="8" borderId="0" xfId="1" applyFont="1" applyFill="1" applyBorder="1"/>
    <xf numFmtId="44" fontId="3" fillId="8" borderId="0" xfId="1" applyFont="1" applyFill="1" applyBorder="1"/>
    <xf numFmtId="0" fontId="8" fillId="8" borderId="0" xfId="0" applyFont="1" applyFill="1" applyAlignment="1">
      <alignment vertical="center"/>
    </xf>
    <xf numFmtId="0" fontId="27" fillId="8" borderId="0" xfId="0" applyFont="1" applyFill="1" applyAlignment="1">
      <alignment vertical="center"/>
    </xf>
    <xf numFmtId="2" fontId="8" fillId="8" borderId="0" xfId="0" applyNumberFormat="1" applyFont="1" applyFill="1" applyAlignment="1">
      <alignment horizontal="left" vertical="center" indent="1"/>
    </xf>
    <xf numFmtId="2" fontId="8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horizontal="center" vertical="distributed"/>
    </xf>
    <xf numFmtId="0" fontId="8" fillId="8" borderId="0" xfId="0" applyFont="1" applyFill="1" applyAlignment="1">
      <alignment horizontal="left" vertical="center"/>
    </xf>
    <xf numFmtId="44" fontId="28" fillId="8" borderId="0" xfId="0" applyNumberFormat="1" applyFont="1" applyFill="1" applyAlignment="1">
      <alignment horizontal="left" vertical="center"/>
    </xf>
    <xf numFmtId="44" fontId="8" fillId="8" borderId="0" xfId="0" applyNumberFormat="1" applyFont="1" applyFill="1" applyAlignment="1">
      <alignment horizontal="left" vertical="center"/>
    </xf>
    <xf numFmtId="44" fontId="10" fillId="8" borderId="0" xfId="1" applyFont="1" applyFill="1" applyBorder="1" applyAlignment="1">
      <alignment horizontal="left" vertical="center"/>
    </xf>
    <xf numFmtId="44" fontId="6" fillId="8" borderId="0" xfId="1" applyFont="1" applyFill="1" applyBorder="1" applyAlignment="1">
      <alignment horizontal="left" vertical="center" wrapText="1" indent="1"/>
    </xf>
    <xf numFmtId="2" fontId="6" fillId="8" borderId="0" xfId="0" applyNumberFormat="1" applyFont="1" applyFill="1" applyAlignment="1">
      <alignment horizontal="left" vertical="center" wrapText="1" indent="1"/>
    </xf>
    <xf numFmtId="0" fontId="6" fillId="8" borderId="0" xfId="0" applyFont="1" applyFill="1" applyAlignment="1" applyProtection="1">
      <alignment horizontal="center" vertical="center" wrapText="1"/>
      <protection locked="0"/>
    </xf>
    <xf numFmtId="0" fontId="6" fillId="8" borderId="0" xfId="0" applyFont="1" applyFill="1" applyAlignment="1" applyProtection="1">
      <alignment horizontal="left" vertical="center" wrapText="1" indent="1"/>
      <protection locked="0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2" fontId="6" fillId="9" borderId="0" xfId="0" applyNumberFormat="1" applyFont="1" applyFill="1" applyAlignment="1">
      <alignment horizontal="center" vertical="center"/>
    </xf>
    <xf numFmtId="44" fontId="6" fillId="9" borderId="0" xfId="1" applyFont="1" applyFill="1" applyBorder="1" applyAlignment="1">
      <alignment horizontal="center" vertical="center"/>
    </xf>
    <xf numFmtId="2" fontId="8" fillId="9" borderId="0" xfId="0" applyNumberFormat="1" applyFont="1" applyFill="1" applyAlignment="1">
      <alignment horizontal="left" vertical="center" indent="1"/>
    </xf>
    <xf numFmtId="2" fontId="8" fillId="9" borderId="0" xfId="0" applyNumberFormat="1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8" fillId="9" borderId="0" xfId="0" applyFont="1" applyFill="1" applyAlignment="1">
      <alignment horizontal="center" vertical="distributed"/>
    </xf>
    <xf numFmtId="0" fontId="8" fillId="9" borderId="0" xfId="0" applyFont="1" applyFill="1" applyAlignment="1">
      <alignment horizontal="left" vertical="center"/>
    </xf>
    <xf numFmtId="44" fontId="8" fillId="9" borderId="0" xfId="0" applyNumberFormat="1" applyFont="1" applyFill="1" applyAlignment="1">
      <alignment horizontal="left" vertical="center"/>
    </xf>
    <xf numFmtId="44" fontId="10" fillId="9" borderId="0" xfId="1" applyFont="1" applyFill="1" applyBorder="1" applyAlignment="1">
      <alignment horizontal="left" vertical="center"/>
    </xf>
    <xf numFmtId="0" fontId="6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 wrapText="1" indent="1"/>
    </xf>
    <xf numFmtId="44" fontId="6" fillId="9" borderId="0" xfId="1" applyFont="1" applyFill="1" applyBorder="1" applyAlignment="1">
      <alignment horizontal="left" vertical="center" wrapText="1" indent="1"/>
    </xf>
    <xf numFmtId="2" fontId="6" fillId="9" borderId="0" xfId="0" applyNumberFormat="1" applyFont="1" applyFill="1" applyAlignment="1">
      <alignment horizontal="left" vertical="center" wrapText="1" indent="1"/>
    </xf>
    <xf numFmtId="0" fontId="6" fillId="9" borderId="0" xfId="0" applyFont="1" applyFill="1" applyAlignment="1" applyProtection="1">
      <alignment horizontal="center" vertical="center" wrapText="1"/>
      <protection locked="0"/>
    </xf>
    <xf numFmtId="0" fontId="6" fillId="9" borderId="0" xfId="0" applyFont="1" applyFill="1" applyAlignment="1" applyProtection="1">
      <alignment horizontal="left" vertical="center" wrapText="1" indent="1"/>
      <protection locked="0"/>
    </xf>
    <xf numFmtId="0" fontId="27" fillId="9" borderId="0" xfId="0" applyFont="1" applyFill="1" applyAlignment="1">
      <alignment horizontal="center" vertical="center"/>
    </xf>
    <xf numFmtId="0" fontId="27" fillId="9" borderId="0" xfId="0" applyFont="1" applyFill="1" applyAlignment="1">
      <alignment vertical="center"/>
    </xf>
    <xf numFmtId="0" fontId="3" fillId="9" borderId="0" xfId="0" applyFont="1" applyFill="1" applyAlignment="1">
      <alignment horizontal="center"/>
    </xf>
    <xf numFmtId="44" fontId="16" fillId="9" borderId="0" xfId="1" applyFont="1" applyFill="1" applyBorder="1"/>
    <xf numFmtId="44" fontId="3" fillId="9" borderId="0" xfId="1" applyFont="1" applyFill="1" applyBorder="1"/>
    <xf numFmtId="0" fontId="3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 wrapText="1" indent="1"/>
    </xf>
    <xf numFmtId="0" fontId="3" fillId="10" borderId="0" xfId="0" applyFont="1" applyFill="1"/>
    <xf numFmtId="0" fontId="27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44" fontId="6" fillId="10" borderId="0" xfId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/>
    </xf>
    <xf numFmtId="44" fontId="16" fillId="10" borderId="0" xfId="1" applyFont="1" applyFill="1" applyBorder="1"/>
    <xf numFmtId="44" fontId="3" fillId="10" borderId="0" xfId="1" applyFont="1" applyFill="1" applyBorder="1"/>
    <xf numFmtId="44" fontId="28" fillId="10" borderId="0" xfId="1" applyFont="1" applyFill="1" applyBorder="1" applyAlignment="1">
      <alignment horizontal="left" vertical="center" indent="1"/>
    </xf>
    <xf numFmtId="2" fontId="8" fillId="10" borderId="0" xfId="0" applyNumberFormat="1" applyFont="1" applyFill="1" applyAlignment="1">
      <alignment horizontal="left" vertical="center" indent="1"/>
    </xf>
    <xf numFmtId="2" fontId="8" fillId="10" borderId="0" xfId="0" applyNumberFormat="1" applyFont="1" applyFill="1" applyAlignment="1">
      <alignment vertical="center"/>
    </xf>
    <xf numFmtId="0" fontId="8" fillId="10" borderId="0" xfId="0" applyFont="1" applyFill="1" applyAlignment="1">
      <alignment vertical="center"/>
    </xf>
    <xf numFmtId="0" fontId="8" fillId="10" borderId="0" xfId="0" applyFont="1" applyFill="1" applyAlignment="1">
      <alignment horizontal="center" vertical="distributed"/>
    </xf>
    <xf numFmtId="0" fontId="8" fillId="10" borderId="0" xfId="0" applyFont="1" applyFill="1" applyAlignment="1">
      <alignment horizontal="left" vertical="center"/>
    </xf>
    <xf numFmtId="44" fontId="28" fillId="10" borderId="0" xfId="0" applyNumberFormat="1" applyFont="1" applyFill="1" applyAlignment="1">
      <alignment horizontal="left" vertical="center"/>
    </xf>
    <xf numFmtId="44" fontId="8" fillId="10" borderId="0" xfId="0" applyNumberFormat="1" applyFont="1" applyFill="1" applyAlignment="1">
      <alignment horizontal="left" vertical="center"/>
    </xf>
    <xf numFmtId="44" fontId="10" fillId="10" borderId="0" xfId="1" applyFont="1" applyFill="1" applyBorder="1" applyAlignment="1">
      <alignment horizontal="left" vertical="center"/>
    </xf>
    <xf numFmtId="44" fontId="6" fillId="10" borderId="0" xfId="1" applyFont="1" applyFill="1" applyBorder="1" applyAlignment="1">
      <alignment horizontal="left" vertical="center" wrapText="1" indent="1"/>
    </xf>
    <xf numFmtId="2" fontId="6" fillId="10" borderId="0" xfId="0" applyNumberFormat="1" applyFont="1" applyFill="1" applyAlignment="1">
      <alignment horizontal="left" vertical="center" wrapText="1" indent="1"/>
    </xf>
    <xf numFmtId="0" fontId="6" fillId="10" borderId="0" xfId="0" applyFont="1" applyFill="1" applyAlignment="1" applyProtection="1">
      <alignment horizontal="center" vertical="center" wrapText="1"/>
      <protection locked="0"/>
    </xf>
    <xf numFmtId="0" fontId="6" fillId="10" borderId="0" xfId="0" applyFont="1" applyFill="1" applyAlignment="1" applyProtection="1">
      <alignment horizontal="left" vertical="center" wrapText="1" indent="1"/>
      <protection locked="0"/>
    </xf>
    <xf numFmtId="0" fontId="27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44" fontId="6" fillId="11" borderId="0" xfId="1" applyFont="1" applyFill="1" applyBorder="1" applyAlignment="1">
      <alignment horizontal="center" vertical="center"/>
    </xf>
    <xf numFmtId="44" fontId="28" fillId="11" borderId="0" xfId="1" applyFont="1" applyFill="1" applyBorder="1" applyAlignment="1">
      <alignment horizontal="left" vertical="center" indent="1"/>
    </xf>
    <xf numFmtId="2" fontId="8" fillId="11" borderId="0" xfId="0" applyNumberFormat="1" applyFont="1" applyFill="1" applyAlignment="1">
      <alignment horizontal="left" vertical="center" indent="1"/>
    </xf>
    <xf numFmtId="2" fontId="8" fillId="11" borderId="0" xfId="0" applyNumberFormat="1" applyFont="1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distributed"/>
    </xf>
    <xf numFmtId="0" fontId="8" fillId="11" borderId="0" xfId="0" applyFont="1" applyFill="1" applyAlignment="1">
      <alignment horizontal="left" vertical="center"/>
    </xf>
    <xf numFmtId="44" fontId="28" fillId="11" borderId="0" xfId="0" applyNumberFormat="1" applyFont="1" applyFill="1" applyAlignment="1">
      <alignment horizontal="left" vertical="center"/>
    </xf>
    <xf numFmtId="44" fontId="8" fillId="11" borderId="0" xfId="0" applyNumberFormat="1" applyFont="1" applyFill="1" applyAlignment="1">
      <alignment horizontal="left" vertical="center"/>
    </xf>
    <xf numFmtId="44" fontId="10" fillId="11" borderId="0" xfId="1" applyFont="1" applyFill="1" applyBorder="1" applyAlignment="1">
      <alignment horizontal="left" vertical="center"/>
    </xf>
    <xf numFmtId="0" fontId="6" fillId="11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left" vertical="center" wrapText="1" indent="1"/>
    </xf>
    <xf numFmtId="44" fontId="6" fillId="11" borderId="0" xfId="1" applyFont="1" applyFill="1" applyBorder="1" applyAlignment="1">
      <alignment horizontal="left" vertical="center" wrapText="1" indent="1"/>
    </xf>
    <xf numFmtId="2" fontId="6" fillId="11" borderId="0" xfId="0" applyNumberFormat="1" applyFont="1" applyFill="1" applyAlignment="1">
      <alignment horizontal="left" vertical="center" wrapText="1" indent="1"/>
    </xf>
    <xf numFmtId="0" fontId="6" fillId="11" borderId="0" xfId="0" applyFont="1" applyFill="1" applyAlignment="1" applyProtection="1">
      <alignment horizontal="center" vertical="center" wrapText="1"/>
      <protection locked="0"/>
    </xf>
    <xf numFmtId="0" fontId="6" fillId="11" borderId="0" xfId="0" applyFont="1" applyFill="1" applyAlignment="1" applyProtection="1">
      <alignment horizontal="left" vertical="center" wrapText="1" indent="1"/>
      <protection locked="0"/>
    </xf>
    <xf numFmtId="0" fontId="27" fillId="11" borderId="0" xfId="0" applyFont="1" applyFill="1" applyAlignment="1">
      <alignment horizontal="center" vertical="center"/>
    </xf>
    <xf numFmtId="0" fontId="27" fillId="11" borderId="0" xfId="0" applyFont="1" applyFill="1" applyAlignment="1">
      <alignment vertical="center"/>
    </xf>
    <xf numFmtId="0" fontId="3" fillId="11" borderId="0" xfId="0" applyFont="1" applyFill="1" applyAlignment="1">
      <alignment horizontal="center"/>
    </xf>
    <xf numFmtId="44" fontId="16" fillId="11" borderId="0" xfId="1" applyFont="1" applyFill="1" applyBorder="1"/>
    <xf numFmtId="44" fontId="3" fillId="11" borderId="0" xfId="1" applyFont="1" applyFill="1" applyBorder="1"/>
    <xf numFmtId="0" fontId="3" fillId="11" borderId="0" xfId="0" applyFont="1" applyFill="1"/>
    <xf numFmtId="0" fontId="3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left" vertical="center" wrapText="1" indent="1"/>
    </xf>
    <xf numFmtId="0" fontId="3" fillId="12" borderId="0" xfId="0" applyFont="1" applyFill="1"/>
    <xf numFmtId="2" fontId="6" fillId="12" borderId="0" xfId="0" applyNumberFormat="1" applyFont="1" applyFill="1" applyAlignment="1">
      <alignment horizontal="center" vertical="center"/>
    </xf>
    <xf numFmtId="44" fontId="6" fillId="12" borderId="0" xfId="1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/>
    </xf>
    <xf numFmtId="44" fontId="16" fillId="12" borderId="0" xfId="1" applyFont="1" applyFill="1" applyBorder="1"/>
    <xf numFmtId="44" fontId="3" fillId="12" borderId="0" xfId="1" applyFont="1" applyFill="1" applyBorder="1"/>
    <xf numFmtId="0" fontId="8" fillId="12" borderId="0" xfId="0" applyFont="1" applyFill="1" applyAlignment="1">
      <alignment vertical="center"/>
    </xf>
    <xf numFmtId="0" fontId="27" fillId="12" borderId="0" xfId="0" applyFont="1" applyFill="1" applyAlignment="1">
      <alignment vertical="center"/>
    </xf>
    <xf numFmtId="44" fontId="28" fillId="12" borderId="0" xfId="1" applyFont="1" applyFill="1" applyBorder="1" applyAlignment="1">
      <alignment horizontal="left" vertical="center" indent="1"/>
    </xf>
    <xf numFmtId="2" fontId="8" fillId="12" borderId="0" xfId="0" applyNumberFormat="1" applyFont="1" applyFill="1" applyAlignment="1">
      <alignment horizontal="left" vertical="center" indent="1"/>
    </xf>
    <xf numFmtId="2" fontId="8" fillId="12" borderId="0" xfId="0" applyNumberFormat="1" applyFont="1" applyFill="1" applyAlignment="1">
      <alignment vertical="center"/>
    </xf>
    <xf numFmtId="0" fontId="8" fillId="12" borderId="0" xfId="0" applyFont="1" applyFill="1" applyAlignment="1">
      <alignment horizontal="center" vertical="distributed"/>
    </xf>
    <xf numFmtId="0" fontId="8" fillId="12" borderId="0" xfId="0" applyFont="1" applyFill="1" applyAlignment="1">
      <alignment horizontal="left" vertical="center"/>
    </xf>
    <xf numFmtId="44" fontId="28" fillId="12" borderId="0" xfId="0" applyNumberFormat="1" applyFont="1" applyFill="1" applyAlignment="1">
      <alignment horizontal="left" vertical="center"/>
    </xf>
    <xf numFmtId="44" fontId="8" fillId="12" borderId="0" xfId="0" applyNumberFormat="1" applyFont="1" applyFill="1" applyAlignment="1">
      <alignment horizontal="left" vertical="center"/>
    </xf>
    <xf numFmtId="44" fontId="10" fillId="12" borderId="0" xfId="1" applyFont="1" applyFill="1" applyBorder="1" applyAlignment="1">
      <alignment horizontal="left" vertical="center"/>
    </xf>
    <xf numFmtId="44" fontId="6" fillId="12" borderId="0" xfId="1" applyFont="1" applyFill="1" applyBorder="1" applyAlignment="1">
      <alignment horizontal="left" vertical="center" wrapText="1" indent="1"/>
    </xf>
    <xf numFmtId="2" fontId="6" fillId="12" borderId="0" xfId="0" applyNumberFormat="1" applyFont="1" applyFill="1" applyAlignment="1">
      <alignment horizontal="left" vertical="center" wrapText="1" indent="1"/>
    </xf>
    <xf numFmtId="0" fontId="6" fillId="12" borderId="0" xfId="0" applyFont="1" applyFill="1" applyAlignment="1" applyProtection="1">
      <alignment horizontal="center" vertical="center" wrapText="1"/>
      <protection locked="0"/>
    </xf>
    <xf numFmtId="0" fontId="6" fillId="12" borderId="0" xfId="0" applyFont="1" applyFill="1" applyAlignment="1" applyProtection="1">
      <alignment horizontal="left" vertical="center" wrapText="1" indent="1"/>
      <protection locked="0"/>
    </xf>
    <xf numFmtId="164" fontId="32" fillId="0" borderId="0" xfId="0" applyNumberFormat="1" applyFont="1"/>
    <xf numFmtId="0" fontId="36" fillId="6" borderId="0" xfId="0" applyFont="1" applyFill="1" applyAlignment="1">
      <alignment horizontal="left" vertical="center"/>
    </xf>
    <xf numFmtId="0" fontId="36" fillId="7" borderId="0" xfId="0" applyFont="1" applyFill="1" applyAlignment="1">
      <alignment horizontal="left" vertical="center"/>
    </xf>
    <xf numFmtId="0" fontId="36" fillId="8" borderId="0" xfId="0" applyFont="1" applyFill="1" applyAlignment="1">
      <alignment horizontal="left" vertical="center"/>
    </xf>
    <xf numFmtId="0" fontId="36" fillId="9" borderId="0" xfId="0" applyFont="1" applyFill="1" applyAlignment="1">
      <alignment horizontal="left" vertical="center"/>
    </xf>
    <xf numFmtId="0" fontId="32" fillId="0" borderId="0" xfId="0" applyFont="1"/>
    <xf numFmtId="0" fontId="36" fillId="10" borderId="0" xfId="0" applyFont="1" applyFill="1" applyAlignment="1">
      <alignment horizontal="left" vertical="center" wrapText="1"/>
    </xf>
    <xf numFmtId="0" fontId="36" fillId="11" borderId="0" xfId="0" applyFont="1" applyFill="1" applyAlignment="1">
      <alignment horizontal="left" vertical="center" wrapText="1"/>
    </xf>
    <xf numFmtId="0" fontId="36" fillId="12" borderId="0" xfId="0" applyFont="1" applyFill="1" applyAlignment="1">
      <alignment horizontal="left" vertical="center" wrapText="1"/>
    </xf>
    <xf numFmtId="0" fontId="36" fillId="13" borderId="0" xfId="0" applyFont="1" applyFill="1" applyAlignment="1">
      <alignment horizontal="left" vertical="center" wrapText="1"/>
    </xf>
    <xf numFmtId="0" fontId="36" fillId="14" borderId="0" xfId="0" applyFont="1" applyFill="1" applyAlignment="1">
      <alignment horizontal="left" vertical="center" wrapText="1"/>
    </xf>
    <xf numFmtId="0" fontId="36" fillId="15" borderId="0" xfId="0" applyFont="1" applyFill="1" applyAlignment="1">
      <alignment horizontal="left" vertical="center" wrapText="1"/>
    </xf>
    <xf numFmtId="0" fontId="34" fillId="16" borderId="0" xfId="0" applyFont="1" applyFill="1" applyAlignment="1">
      <alignment horizontal="left" vertical="center" wrapText="1"/>
    </xf>
    <xf numFmtId="0" fontId="34" fillId="17" borderId="0" xfId="0" applyFont="1" applyFill="1" applyAlignment="1">
      <alignment horizontal="left" vertical="center" wrapText="1"/>
    </xf>
    <xf numFmtId="0" fontId="34" fillId="18" borderId="0" xfId="0" applyFont="1" applyFill="1" applyAlignment="1">
      <alignment horizontal="left" vertical="center" wrapText="1"/>
    </xf>
    <xf numFmtId="0" fontId="34" fillId="19" borderId="0" xfId="0" applyFont="1" applyFill="1" applyAlignment="1">
      <alignment horizontal="left" vertical="center" wrapText="1"/>
    </xf>
    <xf numFmtId="0" fontId="34" fillId="20" borderId="0" xfId="0" applyFont="1" applyFill="1" applyAlignment="1">
      <alignment horizontal="left" vertical="center" wrapText="1"/>
    </xf>
    <xf numFmtId="0" fontId="34" fillId="21" borderId="0" xfId="0" applyFont="1" applyFill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35" fillId="22" borderId="0" xfId="0" applyFont="1" applyFill="1" applyAlignment="1">
      <alignment horizontal="center" vertical="center"/>
    </xf>
    <xf numFmtId="0" fontId="39" fillId="22" borderId="0" xfId="0" applyFont="1" applyFill="1" applyAlignment="1">
      <alignment horizontal="center" vertical="center"/>
    </xf>
    <xf numFmtId="44" fontId="0" fillId="5" borderId="0" xfId="1" applyFont="1" applyFill="1"/>
    <xf numFmtId="44" fontId="0" fillId="5" borderId="0" xfId="1" applyFont="1" applyFill="1" applyAlignment="1">
      <alignment horizontal="center"/>
    </xf>
    <xf numFmtId="14" fontId="0" fillId="5" borderId="0" xfId="0" applyNumberFormat="1" applyFill="1"/>
    <xf numFmtId="0" fontId="0" fillId="5" borderId="0" xfId="0" applyFill="1"/>
    <xf numFmtId="0" fontId="11" fillId="5" borderId="0" xfId="0" applyFont="1" applyFill="1" applyAlignment="1">
      <alignment vertical="center"/>
    </xf>
    <xf numFmtId="44" fontId="13" fillId="5" borderId="0" xfId="1" applyFont="1" applyFill="1" applyProtection="1">
      <protection locked="0"/>
    </xf>
    <xf numFmtId="164" fontId="13" fillId="5" borderId="0" xfId="0" applyNumberFormat="1" applyFont="1" applyFill="1" applyProtection="1">
      <protection locked="0"/>
    </xf>
    <xf numFmtId="0" fontId="13" fillId="5" borderId="0" xfId="0" applyFont="1" applyFill="1" applyProtection="1">
      <protection locked="0"/>
    </xf>
    <xf numFmtId="2" fontId="5" fillId="5" borderId="0" xfId="0" applyNumberFormat="1" applyFont="1" applyFill="1" applyAlignment="1">
      <alignment horizontal="center"/>
    </xf>
    <xf numFmtId="2" fontId="13" fillId="5" borderId="0" xfId="0" applyNumberFormat="1" applyFont="1" applyFill="1" applyAlignment="1" applyProtection="1">
      <alignment horizontal="center"/>
      <protection locked="0"/>
    </xf>
    <xf numFmtId="0" fontId="13" fillId="5" borderId="0" xfId="0" applyFont="1" applyFill="1" applyAlignment="1" applyProtection="1">
      <alignment horizontal="center"/>
      <protection locked="0"/>
    </xf>
    <xf numFmtId="165" fontId="13" fillId="5" borderId="0" xfId="0" applyNumberFormat="1" applyFont="1" applyFill="1" applyAlignment="1" applyProtection="1">
      <alignment horizontal="center"/>
      <protection locked="0"/>
    </xf>
    <xf numFmtId="0" fontId="12" fillId="5" borderId="0" xfId="0" applyFont="1" applyFill="1" applyProtection="1">
      <protection locked="0"/>
    </xf>
    <xf numFmtId="0" fontId="11" fillId="5" borderId="0" xfId="0" applyFont="1" applyFill="1"/>
    <xf numFmtId="0" fontId="15" fillId="0" borderId="7" xfId="0" applyFont="1" applyBorder="1" applyAlignment="1" applyProtection="1">
      <alignment horizontal="center"/>
      <protection locked="0"/>
    </xf>
    <xf numFmtId="16" fontId="15" fillId="0" borderId="7" xfId="0" applyNumberFormat="1" applyFont="1" applyBorder="1" applyAlignment="1" applyProtection="1">
      <alignment horizontal="center"/>
      <protection locked="0"/>
    </xf>
    <xf numFmtId="14" fontId="15" fillId="0" borderId="7" xfId="0" applyNumberFormat="1" applyFont="1" applyBorder="1" applyAlignment="1" applyProtection="1">
      <alignment horizontal="center"/>
      <protection locked="0"/>
    </xf>
    <xf numFmtId="165" fontId="14" fillId="0" borderId="5" xfId="0" applyNumberFormat="1" applyFont="1" applyBorder="1" applyAlignment="1" applyProtection="1">
      <alignment horizontal="center"/>
      <protection locked="0"/>
    </xf>
    <xf numFmtId="165" fontId="14" fillId="0" borderId="6" xfId="0" applyNumberFormat="1" applyFont="1" applyBorder="1" applyAlignment="1" applyProtection="1">
      <alignment horizontal="center"/>
      <protection locked="0"/>
    </xf>
    <xf numFmtId="0" fontId="14" fillId="0" borderId="5" xfId="0" applyFont="1" applyBorder="1" applyProtection="1">
      <protection locked="0"/>
    </xf>
    <xf numFmtId="0" fontId="14" fillId="0" borderId="7" xfId="0" applyFont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horizontal="left"/>
      <protection locked="0"/>
    </xf>
    <xf numFmtId="0" fontId="14" fillId="0" borderId="5" xfId="2" applyNumberFormat="1" applyFont="1" applyFill="1" applyBorder="1" applyAlignment="1" applyProtection="1">
      <alignment horizontal="left"/>
      <protection locked="0"/>
    </xf>
    <xf numFmtId="0" fontId="14" fillId="0" borderId="5" xfId="0" applyFont="1" applyBorder="1" applyAlignment="1" applyProtection="1">
      <alignment horizontal="left"/>
      <protection locked="0"/>
    </xf>
    <xf numFmtId="44" fontId="14" fillId="0" borderId="5" xfId="1" applyFont="1" applyFill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center"/>
      <protection locked="0"/>
    </xf>
    <xf numFmtId="2" fontId="14" fillId="0" borderId="5" xfId="0" applyNumberFormat="1" applyFont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center"/>
      <protection locked="0"/>
    </xf>
    <xf numFmtId="164" fontId="14" fillId="0" borderId="5" xfId="0" applyNumberFormat="1" applyFont="1" applyBorder="1" applyProtection="1">
      <protection locked="0"/>
    </xf>
    <xf numFmtId="164" fontId="14" fillId="0" borderId="6" xfId="0" applyNumberFormat="1" applyFont="1" applyBorder="1" applyProtection="1">
      <protection locked="0"/>
    </xf>
    <xf numFmtId="165" fontId="14" fillId="0" borderId="9" xfId="0" applyNumberFormat="1" applyFont="1" applyBorder="1" applyAlignment="1" applyProtection="1">
      <alignment horizontal="center"/>
      <protection locked="0"/>
    </xf>
    <xf numFmtId="0" fontId="14" fillId="0" borderId="3" xfId="0" applyFont="1" applyBorder="1" applyProtection="1">
      <protection locked="0"/>
    </xf>
    <xf numFmtId="0" fontId="14" fillId="0" borderId="10" xfId="0" applyFont="1" applyBorder="1" applyAlignment="1" applyProtection="1">
      <alignment horizontal="center"/>
      <protection locked="0"/>
    </xf>
    <xf numFmtId="164" fontId="14" fillId="0" borderId="12" xfId="0" applyNumberFormat="1" applyFont="1" applyBorder="1" applyAlignment="1" applyProtection="1">
      <alignment horizontal="center"/>
      <protection locked="0"/>
    </xf>
    <xf numFmtId="164" fontId="14" fillId="0" borderId="3" xfId="0" applyNumberFormat="1" applyFont="1" applyBorder="1" applyProtection="1">
      <protection locked="0"/>
    </xf>
    <xf numFmtId="14" fontId="0" fillId="0" borderId="0" xfId="0" applyNumberForma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44" fontId="0" fillId="0" borderId="0" xfId="1" applyFont="1" applyFill="1" applyAlignment="1">
      <alignment horizontal="center"/>
    </xf>
    <xf numFmtId="44" fontId="0" fillId="0" borderId="0" xfId="1" applyFont="1" applyFill="1"/>
    <xf numFmtId="14" fontId="26" fillId="23" borderId="0" xfId="0" applyNumberFormat="1" applyFont="1" applyFill="1" applyAlignment="1">
      <alignment horizontal="center" vertical="center"/>
    </xf>
    <xf numFmtId="0" fontId="26" fillId="23" borderId="0" xfId="0" applyFont="1" applyFill="1" applyAlignment="1">
      <alignment horizontal="center" vertical="center"/>
    </xf>
    <xf numFmtId="44" fontId="26" fillId="23" borderId="0" xfId="1" applyFont="1" applyFill="1" applyAlignment="1">
      <alignment horizontal="center" vertical="center"/>
    </xf>
    <xf numFmtId="44" fontId="26" fillId="23" borderId="0" xfId="1" applyFont="1" applyFill="1" applyAlignment="1">
      <alignment horizontal="center"/>
    </xf>
    <xf numFmtId="0" fontId="17" fillId="24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18" fillId="5" borderId="0" xfId="0" applyFont="1" applyFill="1" applyProtection="1">
      <protection locked="0"/>
    </xf>
    <xf numFmtId="0" fontId="42" fillId="5" borderId="0" xfId="0" applyFont="1" applyFill="1" applyAlignment="1" applyProtection="1">
      <alignment vertical="center"/>
      <protection locked="0"/>
    </xf>
    <xf numFmtId="14" fontId="43" fillId="5" borderId="0" xfId="0" applyNumberFormat="1" applyFont="1" applyFill="1" applyAlignment="1">
      <alignment vertical="center"/>
    </xf>
    <xf numFmtId="0" fontId="0" fillId="30" borderId="0" xfId="0" applyFill="1"/>
    <xf numFmtId="44" fontId="45" fillId="29" borderId="0" xfId="0" applyNumberFormat="1" applyFont="1" applyFill="1"/>
    <xf numFmtId="44" fontId="46" fillId="24" borderId="0" xfId="1" applyFont="1" applyFill="1" applyBorder="1" applyAlignment="1">
      <alignment horizontal="center" vertical="center"/>
    </xf>
    <xf numFmtId="44" fontId="47" fillId="30" borderId="0" xfId="0" applyNumberFormat="1" applyFont="1" applyFill="1"/>
    <xf numFmtId="0" fontId="48" fillId="25" borderId="0" xfId="0" applyFont="1" applyFill="1" applyAlignment="1">
      <alignment horizontal="center"/>
    </xf>
    <xf numFmtId="0" fontId="48" fillId="27" borderId="0" xfId="0" applyFont="1" applyFill="1" applyAlignment="1">
      <alignment horizontal="center"/>
    </xf>
    <xf numFmtId="0" fontId="48" fillId="26" borderId="0" xfId="0" applyFont="1" applyFill="1" applyAlignment="1">
      <alignment horizontal="center"/>
    </xf>
    <xf numFmtId="0" fontId="48" fillId="28" borderId="0" xfId="0" applyFont="1" applyFill="1" applyAlignment="1">
      <alignment horizontal="center"/>
    </xf>
    <xf numFmtId="0" fontId="34" fillId="29" borderId="0" xfId="0" applyFont="1" applyFill="1" applyAlignment="1">
      <alignment horizontal="right"/>
    </xf>
    <xf numFmtId="0" fontId="37" fillId="22" borderId="0" xfId="0" quotePrefix="1" applyFont="1" applyFill="1" applyAlignment="1">
      <alignment horizontal="center" vertical="center"/>
    </xf>
    <xf numFmtId="44" fontId="40" fillId="0" borderId="0" xfId="0" applyNumberFormat="1" applyFont="1"/>
    <xf numFmtId="44" fontId="40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0" fontId="25" fillId="5" borderId="0" xfId="0" applyFont="1" applyFill="1" applyAlignment="1">
      <alignment horizontal="center" vertical="center"/>
    </xf>
    <xf numFmtId="0" fontId="50" fillId="5" borderId="0" xfId="0" applyFont="1" applyFill="1" applyAlignment="1">
      <alignment horizontal="center" vertical="center"/>
    </xf>
    <xf numFmtId="0" fontId="44" fillId="0" borderId="0" xfId="0" applyFont="1" applyAlignment="1">
      <alignment horizontal="center"/>
    </xf>
    <xf numFmtId="44" fontId="25" fillId="5" borderId="0" xfId="1" applyFont="1" applyFill="1" applyAlignment="1">
      <alignment horizontal="center" vertical="center"/>
    </xf>
    <xf numFmtId="0" fontId="51" fillId="5" borderId="0" xfId="0" applyFont="1" applyFill="1" applyAlignment="1">
      <alignment horizontal="center"/>
    </xf>
    <xf numFmtId="0" fontId="41" fillId="29" borderId="0" xfId="0" applyFont="1" applyFill="1"/>
    <xf numFmtId="44" fontId="0" fillId="30" borderId="0" xfId="1" applyFont="1" applyFill="1"/>
    <xf numFmtId="44" fontId="41" fillId="29" borderId="0" xfId="1" applyFont="1" applyFill="1"/>
    <xf numFmtId="0" fontId="0" fillId="31" borderId="0" xfId="0" applyFill="1"/>
    <xf numFmtId="44" fontId="0" fillId="31" borderId="0" xfId="1" applyFont="1" applyFill="1"/>
    <xf numFmtId="0" fontId="52" fillId="31" borderId="0" xfId="0" applyFont="1" applyFill="1" applyAlignment="1">
      <alignment horizontal="right"/>
    </xf>
    <xf numFmtId="44" fontId="47" fillId="31" borderId="0" xfId="0" applyNumberFormat="1" applyFont="1" applyFill="1"/>
    <xf numFmtId="0" fontId="53" fillId="13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center" vertical="center"/>
    </xf>
    <xf numFmtId="2" fontId="6" fillId="13" borderId="0" xfId="0" applyNumberFormat="1" applyFont="1" applyFill="1" applyAlignment="1">
      <alignment horizontal="center" vertical="center"/>
    </xf>
    <xf numFmtId="44" fontId="6" fillId="13" borderId="0" xfId="1" applyFont="1" applyFill="1" applyBorder="1" applyAlignment="1">
      <alignment horizontal="center" vertical="center"/>
    </xf>
    <xf numFmtId="44" fontId="28" fillId="13" borderId="0" xfId="1" applyFont="1" applyFill="1" applyBorder="1" applyAlignment="1">
      <alignment horizontal="left" vertical="center" indent="1"/>
    </xf>
    <xf numFmtId="2" fontId="8" fillId="13" borderId="0" xfId="0" applyNumberFormat="1" applyFont="1" applyFill="1" applyAlignment="1">
      <alignment horizontal="left" vertical="center" indent="1"/>
    </xf>
    <xf numFmtId="2" fontId="8" fillId="13" borderId="0" xfId="0" applyNumberFormat="1" applyFont="1" applyFill="1" applyAlignment="1">
      <alignment vertical="center"/>
    </xf>
    <xf numFmtId="0" fontId="8" fillId="13" borderId="0" xfId="0" applyFont="1" applyFill="1" applyAlignment="1">
      <alignment vertical="center"/>
    </xf>
    <xf numFmtId="0" fontId="8" fillId="13" borderId="0" xfId="0" applyFont="1" applyFill="1" applyAlignment="1">
      <alignment horizontal="center" vertical="distributed"/>
    </xf>
    <xf numFmtId="0" fontId="8" fillId="13" borderId="0" xfId="0" applyFont="1" applyFill="1" applyAlignment="1">
      <alignment horizontal="left" vertical="center"/>
    </xf>
    <xf numFmtId="44" fontId="28" fillId="13" borderId="0" xfId="0" applyNumberFormat="1" applyFont="1" applyFill="1" applyAlignment="1">
      <alignment horizontal="left" vertical="center"/>
    </xf>
    <xf numFmtId="44" fontId="8" fillId="13" borderId="0" xfId="0" applyNumberFormat="1" applyFont="1" applyFill="1" applyAlignment="1">
      <alignment horizontal="left" vertical="center"/>
    </xf>
    <xf numFmtId="44" fontId="10" fillId="13" borderId="0" xfId="1" applyFont="1" applyFill="1" applyBorder="1" applyAlignment="1">
      <alignment horizontal="left" vertical="center"/>
    </xf>
    <xf numFmtId="0" fontId="6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left" vertical="center" wrapText="1" indent="1"/>
    </xf>
    <xf numFmtId="44" fontId="6" fillId="13" borderId="0" xfId="1" applyFont="1" applyFill="1" applyBorder="1" applyAlignment="1">
      <alignment horizontal="left" vertical="center" wrapText="1" indent="1"/>
    </xf>
    <xf numFmtId="2" fontId="6" fillId="13" borderId="0" xfId="0" applyNumberFormat="1" applyFont="1" applyFill="1" applyAlignment="1">
      <alignment horizontal="left" vertical="center" wrapText="1" indent="1"/>
    </xf>
    <xf numFmtId="0" fontId="6" fillId="13" borderId="0" xfId="0" applyFont="1" applyFill="1" applyAlignment="1" applyProtection="1">
      <alignment horizontal="center" vertical="center" wrapText="1"/>
      <protection locked="0"/>
    </xf>
    <xf numFmtId="0" fontId="6" fillId="13" borderId="0" xfId="0" applyFont="1" applyFill="1" applyAlignment="1" applyProtection="1">
      <alignment horizontal="left" vertical="center" wrapText="1" indent="1"/>
      <protection locked="0"/>
    </xf>
    <xf numFmtId="0" fontId="3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" fillId="13" borderId="0" xfId="0" applyFont="1" applyFill="1"/>
    <xf numFmtId="0" fontId="3" fillId="13" borderId="0" xfId="0" applyFont="1" applyFill="1" applyAlignment="1">
      <alignment horizontal="center"/>
    </xf>
    <xf numFmtId="44" fontId="16" fillId="13" borderId="0" xfId="1" applyFont="1" applyFill="1" applyBorder="1"/>
    <xf numFmtId="44" fontId="3" fillId="13" borderId="0" xfId="1" applyFont="1" applyFill="1" applyBorder="1"/>
    <xf numFmtId="0" fontId="27" fillId="13" borderId="0" xfId="0" applyFont="1" applyFill="1" applyAlignment="1">
      <alignment vertical="center"/>
    </xf>
    <xf numFmtId="0" fontId="54" fillId="14" borderId="0" xfId="0" applyFont="1" applyFill="1" applyAlignment="1">
      <alignment horizontal="left" vertical="center" wrapText="1"/>
    </xf>
    <xf numFmtId="0" fontId="6" fillId="14" borderId="0" xfId="0" applyFont="1" applyFill="1" applyAlignment="1">
      <alignment horizontal="center" vertical="center"/>
    </xf>
    <xf numFmtId="2" fontId="6" fillId="14" borderId="0" xfId="0" applyNumberFormat="1" applyFont="1" applyFill="1" applyAlignment="1">
      <alignment horizontal="center" vertical="center"/>
    </xf>
    <xf numFmtId="44" fontId="6" fillId="14" borderId="0" xfId="1" applyFont="1" applyFill="1" applyBorder="1" applyAlignment="1">
      <alignment horizontal="center" vertical="center"/>
    </xf>
    <xf numFmtId="44" fontId="28" fillId="14" borderId="0" xfId="1" applyFont="1" applyFill="1" applyBorder="1" applyAlignment="1">
      <alignment horizontal="left" vertical="center" indent="1"/>
    </xf>
    <xf numFmtId="2" fontId="8" fillId="14" borderId="0" xfId="0" applyNumberFormat="1" applyFont="1" applyFill="1" applyAlignment="1">
      <alignment horizontal="left" vertical="center" indent="1"/>
    </xf>
    <xf numFmtId="2" fontId="8" fillId="14" borderId="0" xfId="0" applyNumberFormat="1" applyFont="1" applyFill="1" applyAlignment="1">
      <alignment vertical="center"/>
    </xf>
    <xf numFmtId="0" fontId="8" fillId="14" borderId="0" xfId="0" applyFont="1" applyFill="1" applyAlignment="1">
      <alignment vertical="center"/>
    </xf>
    <xf numFmtId="0" fontId="8" fillId="14" borderId="0" xfId="0" applyFont="1" applyFill="1" applyAlignment="1">
      <alignment horizontal="center" vertical="distributed"/>
    </xf>
    <xf numFmtId="0" fontId="8" fillId="14" borderId="0" xfId="0" applyFont="1" applyFill="1" applyAlignment="1">
      <alignment horizontal="left" vertical="center"/>
    </xf>
    <xf numFmtId="44" fontId="28" fillId="14" borderId="0" xfId="0" applyNumberFormat="1" applyFont="1" applyFill="1" applyAlignment="1">
      <alignment horizontal="left" vertical="center"/>
    </xf>
    <xf numFmtId="44" fontId="8" fillId="14" borderId="0" xfId="0" applyNumberFormat="1" applyFont="1" applyFill="1" applyAlignment="1">
      <alignment horizontal="left" vertical="center"/>
    </xf>
    <xf numFmtId="44" fontId="10" fillId="14" borderId="0" xfId="1" applyFont="1" applyFill="1" applyBorder="1" applyAlignment="1">
      <alignment horizontal="left" vertic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left" vertical="center" wrapText="1" indent="1"/>
    </xf>
    <xf numFmtId="44" fontId="6" fillId="14" borderId="0" xfId="1" applyFont="1" applyFill="1" applyBorder="1" applyAlignment="1">
      <alignment horizontal="left" vertical="center" wrapText="1" indent="1"/>
    </xf>
    <xf numFmtId="2" fontId="6" fillId="14" borderId="0" xfId="0" applyNumberFormat="1" applyFont="1" applyFill="1" applyAlignment="1">
      <alignment horizontal="left" vertical="center" wrapText="1" indent="1"/>
    </xf>
    <xf numFmtId="0" fontId="6" fillId="14" borderId="0" xfId="0" applyFont="1" applyFill="1" applyAlignment="1" applyProtection="1">
      <alignment horizontal="center" vertical="center" wrapText="1"/>
      <protection locked="0"/>
    </xf>
    <xf numFmtId="0" fontId="6" fillId="14" borderId="0" xfId="0" applyFont="1" applyFill="1" applyAlignment="1" applyProtection="1">
      <alignment horizontal="left" vertical="center" wrapText="1" indent="1"/>
      <protection locked="0"/>
    </xf>
    <xf numFmtId="0" fontId="3" fillId="14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3" fillId="14" borderId="0" xfId="0" applyFont="1" applyFill="1"/>
    <xf numFmtId="0" fontId="3" fillId="14" borderId="0" xfId="0" applyFont="1" applyFill="1" applyAlignment="1">
      <alignment horizontal="center"/>
    </xf>
    <xf numFmtId="44" fontId="16" fillId="14" borderId="0" xfId="1" applyFont="1" applyFill="1" applyBorder="1"/>
    <xf numFmtId="44" fontId="3" fillId="14" borderId="0" xfId="1" applyFont="1" applyFill="1" applyBorder="1"/>
    <xf numFmtId="0" fontId="27" fillId="14" borderId="0" xfId="0" applyFont="1" applyFill="1" applyAlignment="1">
      <alignment vertical="center"/>
    </xf>
    <xf numFmtId="0" fontId="54" fillId="15" borderId="0" xfId="0" applyFont="1" applyFill="1" applyAlignment="1">
      <alignment horizontal="left" vertical="center" wrapText="1"/>
    </xf>
    <xf numFmtId="0" fontId="6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 wrapText="1" indent="1"/>
    </xf>
    <xf numFmtId="0" fontId="3" fillId="15" borderId="0" xfId="0" applyFont="1" applyFill="1"/>
    <xf numFmtId="2" fontId="6" fillId="15" borderId="0" xfId="0" applyNumberFormat="1" applyFont="1" applyFill="1" applyAlignment="1">
      <alignment horizontal="center" vertical="center"/>
    </xf>
    <xf numFmtId="44" fontId="6" fillId="15" borderId="0" xfId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/>
    </xf>
    <xf numFmtId="44" fontId="16" fillId="15" borderId="0" xfId="1" applyFont="1" applyFill="1" applyBorder="1"/>
    <xf numFmtId="44" fontId="3" fillId="15" borderId="0" xfId="1" applyFont="1" applyFill="1" applyBorder="1"/>
    <xf numFmtId="44" fontId="28" fillId="15" borderId="0" xfId="1" applyFont="1" applyFill="1" applyBorder="1" applyAlignment="1">
      <alignment horizontal="left" vertical="center" indent="1"/>
    </xf>
    <xf numFmtId="2" fontId="8" fillId="15" borderId="0" xfId="0" applyNumberFormat="1" applyFont="1" applyFill="1" applyAlignment="1">
      <alignment horizontal="left" vertical="center" indent="1"/>
    </xf>
    <xf numFmtId="2" fontId="8" fillId="15" borderId="0" xfId="0" applyNumberFormat="1" applyFont="1" applyFill="1" applyAlignment="1">
      <alignment vertical="center"/>
    </xf>
    <xf numFmtId="0" fontId="8" fillId="15" borderId="0" xfId="0" applyFont="1" applyFill="1" applyAlignment="1">
      <alignment vertical="center"/>
    </xf>
    <xf numFmtId="0" fontId="8" fillId="15" borderId="0" xfId="0" applyFont="1" applyFill="1" applyAlignment="1">
      <alignment horizontal="center" vertical="distributed"/>
    </xf>
    <xf numFmtId="0" fontId="8" fillId="15" borderId="0" xfId="0" applyFont="1" applyFill="1" applyAlignment="1">
      <alignment horizontal="left" vertical="center"/>
    </xf>
    <xf numFmtId="44" fontId="28" fillId="15" borderId="0" xfId="0" applyNumberFormat="1" applyFont="1" applyFill="1" applyAlignment="1">
      <alignment horizontal="left" vertical="center"/>
    </xf>
    <xf numFmtId="44" fontId="8" fillId="15" borderId="0" xfId="0" applyNumberFormat="1" applyFont="1" applyFill="1" applyAlignment="1">
      <alignment horizontal="left" vertical="center"/>
    </xf>
    <xf numFmtId="44" fontId="10" fillId="15" borderId="0" xfId="1" applyFont="1" applyFill="1" applyBorder="1" applyAlignment="1">
      <alignment horizontal="left" vertical="center"/>
    </xf>
    <xf numFmtId="44" fontId="6" fillId="15" borderId="0" xfId="1" applyFont="1" applyFill="1" applyBorder="1" applyAlignment="1">
      <alignment horizontal="left" vertical="center" wrapText="1" indent="1"/>
    </xf>
    <xf numFmtId="2" fontId="6" fillId="15" borderId="0" xfId="0" applyNumberFormat="1" applyFont="1" applyFill="1" applyAlignment="1">
      <alignment horizontal="left" vertical="center" wrapText="1" indent="1"/>
    </xf>
    <xf numFmtId="0" fontId="6" fillId="15" borderId="0" xfId="0" applyFont="1" applyFill="1" applyAlignment="1" applyProtection="1">
      <alignment horizontal="center" vertical="center" wrapText="1"/>
      <protection locked="0"/>
    </xf>
    <xf numFmtId="0" fontId="6" fillId="15" borderId="0" xfId="0" applyFont="1" applyFill="1" applyAlignment="1" applyProtection="1">
      <alignment horizontal="left" vertical="center" wrapText="1" indent="1"/>
      <protection locked="0"/>
    </xf>
    <xf numFmtId="0" fontId="27" fillId="15" borderId="0" xfId="0" applyFont="1" applyFill="1" applyAlignment="1">
      <alignment vertical="center"/>
    </xf>
    <xf numFmtId="0" fontId="55" fillId="16" borderId="0" xfId="0" applyFont="1" applyFill="1" applyAlignment="1">
      <alignment horizontal="left" vertical="center" wrapText="1"/>
    </xf>
    <xf numFmtId="0" fontId="56" fillId="16" borderId="0" xfId="0" applyFont="1" applyFill="1" applyAlignment="1">
      <alignment horizontal="center" vertical="center"/>
    </xf>
    <xf numFmtId="2" fontId="56" fillId="16" borderId="0" xfId="0" applyNumberFormat="1" applyFont="1" applyFill="1" applyAlignment="1">
      <alignment horizontal="center" vertical="center"/>
    </xf>
    <xf numFmtId="44" fontId="56" fillId="16" borderId="0" xfId="1" applyFont="1" applyFill="1" applyBorder="1" applyAlignment="1">
      <alignment horizontal="center" vertical="center"/>
    </xf>
    <xf numFmtId="44" fontId="55" fillId="16" borderId="0" xfId="1" applyFont="1" applyFill="1" applyBorder="1" applyAlignment="1">
      <alignment horizontal="left" vertical="center" indent="1"/>
    </xf>
    <xf numFmtId="2" fontId="57" fillId="16" borderId="0" xfId="0" applyNumberFormat="1" applyFont="1" applyFill="1" applyAlignment="1">
      <alignment horizontal="left" vertical="center" indent="1"/>
    </xf>
    <xf numFmtId="2" fontId="57" fillId="16" borderId="0" xfId="0" applyNumberFormat="1" applyFont="1" applyFill="1" applyAlignment="1">
      <alignment vertical="center"/>
    </xf>
    <xf numFmtId="0" fontId="57" fillId="16" borderId="0" xfId="0" applyFont="1" applyFill="1" applyAlignment="1">
      <alignment vertical="center"/>
    </xf>
    <xf numFmtId="0" fontId="57" fillId="16" borderId="0" xfId="0" applyFont="1" applyFill="1" applyAlignment="1">
      <alignment horizontal="center" vertical="distributed"/>
    </xf>
    <xf numFmtId="0" fontId="57" fillId="16" borderId="0" xfId="0" applyFont="1" applyFill="1" applyAlignment="1">
      <alignment horizontal="left" vertical="center"/>
    </xf>
    <xf numFmtId="44" fontId="55" fillId="16" borderId="0" xfId="0" applyNumberFormat="1" applyFont="1" applyFill="1" applyAlignment="1">
      <alignment horizontal="left" vertical="center"/>
    </xf>
    <xf numFmtId="44" fontId="57" fillId="16" borderId="0" xfId="0" applyNumberFormat="1" applyFont="1" applyFill="1" applyAlignment="1">
      <alignment horizontal="left" vertical="center"/>
    </xf>
    <xf numFmtId="44" fontId="48" fillId="16" borderId="0" xfId="1" applyFont="1" applyFill="1" applyBorder="1" applyAlignment="1">
      <alignment horizontal="left" vertical="center"/>
    </xf>
    <xf numFmtId="0" fontId="56" fillId="16" borderId="0" xfId="0" applyFont="1" applyFill="1" applyAlignment="1">
      <alignment horizontal="center" vertical="center" wrapText="1"/>
    </xf>
    <xf numFmtId="0" fontId="56" fillId="16" borderId="0" xfId="0" applyFont="1" applyFill="1" applyAlignment="1">
      <alignment horizontal="left" vertical="center" wrapText="1" indent="1"/>
    </xf>
    <xf numFmtId="44" fontId="56" fillId="16" borderId="0" xfId="1" applyFont="1" applyFill="1" applyBorder="1" applyAlignment="1">
      <alignment horizontal="left" vertical="center" wrapText="1" indent="1"/>
    </xf>
    <xf numFmtId="2" fontId="56" fillId="16" borderId="0" xfId="0" applyNumberFormat="1" applyFont="1" applyFill="1" applyAlignment="1">
      <alignment horizontal="left" vertical="center" wrapText="1" indent="1"/>
    </xf>
    <xf numFmtId="0" fontId="56" fillId="16" borderId="0" xfId="0" applyFont="1" applyFill="1" applyAlignment="1" applyProtection="1">
      <alignment horizontal="center" vertical="center" wrapText="1"/>
      <protection locked="0"/>
    </xf>
    <xf numFmtId="0" fontId="56" fillId="16" borderId="0" xfId="0" applyFont="1" applyFill="1" applyAlignment="1" applyProtection="1">
      <alignment horizontal="left" vertical="center" wrapText="1" indent="1"/>
      <protection locked="0"/>
    </xf>
    <xf numFmtId="0" fontId="3" fillId="16" borderId="0" xfId="0" applyFont="1" applyFill="1"/>
    <xf numFmtId="0" fontId="27" fillId="16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/>
    </xf>
    <xf numFmtId="44" fontId="16" fillId="16" borderId="0" xfId="1" applyFont="1" applyFill="1" applyBorder="1"/>
    <xf numFmtId="44" fontId="3" fillId="16" borderId="0" xfId="1" applyFont="1" applyFill="1" applyBorder="1"/>
    <xf numFmtId="0" fontId="27" fillId="16" borderId="0" xfId="0" applyFont="1" applyFill="1" applyAlignment="1">
      <alignment vertical="center"/>
    </xf>
    <xf numFmtId="0" fontId="58" fillId="16" borderId="0" xfId="0" applyFont="1" applyFill="1" applyAlignment="1">
      <alignment horizontal="center" vertical="center"/>
    </xf>
    <xf numFmtId="0" fontId="55" fillId="17" borderId="0" xfId="0" applyFont="1" applyFill="1" applyAlignment="1">
      <alignment horizontal="left" vertical="center" wrapText="1"/>
    </xf>
    <xf numFmtId="0" fontId="56" fillId="17" borderId="0" xfId="0" applyFont="1" applyFill="1" applyAlignment="1">
      <alignment horizontal="center" vertical="center"/>
    </xf>
    <xf numFmtId="2" fontId="56" fillId="17" borderId="0" xfId="0" applyNumberFormat="1" applyFont="1" applyFill="1" applyAlignment="1">
      <alignment horizontal="center" vertical="center"/>
    </xf>
    <xf numFmtId="44" fontId="56" fillId="17" borderId="0" xfId="1" applyFont="1" applyFill="1" applyBorder="1" applyAlignment="1">
      <alignment horizontal="center" vertical="center"/>
    </xf>
    <xf numFmtId="44" fontId="55" fillId="17" borderId="0" xfId="1" applyFont="1" applyFill="1" applyBorder="1" applyAlignment="1">
      <alignment horizontal="left" vertical="center" indent="1"/>
    </xf>
    <xf numFmtId="2" fontId="57" fillId="17" borderId="0" xfId="0" applyNumberFormat="1" applyFont="1" applyFill="1" applyAlignment="1">
      <alignment horizontal="left" vertical="center" indent="1"/>
    </xf>
    <xf numFmtId="2" fontId="57" fillId="17" borderId="0" xfId="0" applyNumberFormat="1" applyFont="1" applyFill="1" applyAlignment="1">
      <alignment vertical="center"/>
    </xf>
    <xf numFmtId="0" fontId="57" fillId="17" borderId="0" xfId="0" applyFont="1" applyFill="1" applyAlignment="1">
      <alignment vertical="center"/>
    </xf>
    <xf numFmtId="0" fontId="57" fillId="17" borderId="0" xfId="0" applyFont="1" applyFill="1" applyAlignment="1">
      <alignment horizontal="center" vertical="distributed"/>
    </xf>
    <xf numFmtId="0" fontId="57" fillId="17" borderId="0" xfId="0" applyFont="1" applyFill="1" applyAlignment="1">
      <alignment horizontal="left" vertical="center"/>
    </xf>
    <xf numFmtId="44" fontId="55" fillId="17" borderId="0" xfId="0" applyNumberFormat="1" applyFont="1" applyFill="1" applyAlignment="1">
      <alignment horizontal="left" vertical="center"/>
    </xf>
    <xf numFmtId="44" fontId="57" fillId="17" borderId="0" xfId="0" applyNumberFormat="1" applyFont="1" applyFill="1" applyAlignment="1">
      <alignment horizontal="left" vertical="center"/>
    </xf>
    <xf numFmtId="44" fontId="48" fillId="17" borderId="0" xfId="1" applyFont="1" applyFill="1" applyBorder="1" applyAlignment="1">
      <alignment horizontal="left" vertical="center"/>
    </xf>
    <xf numFmtId="0" fontId="56" fillId="17" borderId="0" xfId="0" applyFont="1" applyFill="1" applyAlignment="1">
      <alignment horizontal="center" vertical="center" wrapText="1"/>
    </xf>
    <xf numFmtId="0" fontId="56" fillId="17" borderId="0" xfId="0" applyFont="1" applyFill="1" applyAlignment="1">
      <alignment horizontal="left" vertical="center" wrapText="1" indent="1"/>
    </xf>
    <xf numFmtId="44" fontId="56" fillId="17" borderId="0" xfId="1" applyFont="1" applyFill="1" applyBorder="1" applyAlignment="1">
      <alignment horizontal="left" vertical="center" wrapText="1" indent="1"/>
    </xf>
    <xf numFmtId="2" fontId="56" fillId="17" borderId="0" xfId="0" applyNumberFormat="1" applyFont="1" applyFill="1" applyAlignment="1">
      <alignment horizontal="left" vertical="center" wrapText="1" indent="1"/>
    </xf>
    <xf numFmtId="0" fontId="56" fillId="17" borderId="0" xfId="0" applyFont="1" applyFill="1" applyAlignment="1" applyProtection="1">
      <alignment horizontal="center" vertical="center" wrapText="1"/>
      <protection locked="0"/>
    </xf>
    <xf numFmtId="0" fontId="56" fillId="17" borderId="0" xfId="0" applyFont="1" applyFill="1" applyAlignment="1" applyProtection="1">
      <alignment horizontal="left" vertical="center" wrapText="1" indent="1"/>
      <protection locked="0"/>
    </xf>
    <xf numFmtId="0" fontId="58" fillId="17" borderId="0" xfId="0" applyFont="1" applyFill="1" applyAlignment="1">
      <alignment horizontal="center" vertical="center"/>
    </xf>
    <xf numFmtId="0" fontId="3" fillId="17" borderId="0" xfId="0" applyFont="1" applyFill="1"/>
    <xf numFmtId="0" fontId="27" fillId="17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/>
    </xf>
    <xf numFmtId="44" fontId="16" fillId="17" borderId="0" xfId="1" applyFont="1" applyFill="1" applyBorder="1"/>
    <xf numFmtId="44" fontId="3" fillId="17" borderId="0" xfId="1" applyFont="1" applyFill="1" applyBorder="1"/>
    <xf numFmtId="0" fontId="27" fillId="17" borderId="0" xfId="0" applyFont="1" applyFill="1" applyAlignment="1">
      <alignment vertical="center"/>
    </xf>
    <xf numFmtId="0" fontId="59" fillId="19" borderId="0" xfId="0" applyFont="1" applyFill="1" applyAlignment="1">
      <alignment horizontal="left" vertical="center" wrapText="1"/>
    </xf>
    <xf numFmtId="0" fontId="51" fillId="19" borderId="0" xfId="0" applyFont="1" applyFill="1" applyAlignment="1">
      <alignment horizontal="center" vertical="center"/>
    </xf>
    <xf numFmtId="0" fontId="56" fillId="19" borderId="0" xfId="0" applyFont="1" applyFill="1" applyAlignment="1">
      <alignment horizontal="center" vertical="center"/>
    </xf>
    <xf numFmtId="2" fontId="56" fillId="19" borderId="0" xfId="0" applyNumberFormat="1" applyFont="1" applyFill="1" applyAlignment="1">
      <alignment horizontal="center" vertical="center"/>
    </xf>
    <xf numFmtId="44" fontId="56" fillId="19" borderId="0" xfId="1" applyFont="1" applyFill="1" applyBorder="1" applyAlignment="1">
      <alignment horizontal="center" vertical="center"/>
    </xf>
    <xf numFmtId="44" fontId="55" fillId="19" borderId="0" xfId="1" applyFont="1" applyFill="1" applyBorder="1" applyAlignment="1">
      <alignment horizontal="left" vertical="center" indent="1"/>
    </xf>
    <xf numFmtId="2" fontId="57" fillId="19" borderId="0" xfId="0" applyNumberFormat="1" applyFont="1" applyFill="1" applyAlignment="1">
      <alignment horizontal="left" vertical="center" indent="1"/>
    </xf>
    <xf numFmtId="2" fontId="57" fillId="19" borderId="0" xfId="0" applyNumberFormat="1" applyFont="1" applyFill="1" applyAlignment="1">
      <alignment vertical="center"/>
    </xf>
    <xf numFmtId="0" fontId="57" fillId="19" borderId="0" xfId="0" applyFont="1" applyFill="1" applyAlignment="1">
      <alignment vertical="center"/>
    </xf>
    <xf numFmtId="0" fontId="57" fillId="19" borderId="0" xfId="0" applyFont="1" applyFill="1" applyAlignment="1">
      <alignment horizontal="center" vertical="distributed"/>
    </xf>
    <xf numFmtId="0" fontId="57" fillId="19" borderId="0" xfId="0" applyFont="1" applyFill="1" applyAlignment="1">
      <alignment horizontal="left" vertical="center"/>
    </xf>
    <xf numFmtId="44" fontId="55" fillId="19" borderId="0" xfId="0" applyNumberFormat="1" applyFont="1" applyFill="1" applyAlignment="1">
      <alignment horizontal="left" vertical="center"/>
    </xf>
    <xf numFmtId="44" fontId="57" fillId="19" borderId="0" xfId="0" applyNumberFormat="1" applyFont="1" applyFill="1" applyAlignment="1">
      <alignment horizontal="left" vertical="center"/>
    </xf>
    <xf numFmtId="44" fontId="48" fillId="19" borderId="0" xfId="1" applyFont="1" applyFill="1" applyBorder="1" applyAlignment="1">
      <alignment horizontal="left" vertical="center"/>
    </xf>
    <xf numFmtId="0" fontId="56" fillId="19" borderId="0" xfId="0" applyFont="1" applyFill="1" applyAlignment="1">
      <alignment horizontal="center" vertical="center" wrapText="1"/>
    </xf>
    <xf numFmtId="0" fontId="56" fillId="19" borderId="0" xfId="0" applyFont="1" applyFill="1" applyAlignment="1">
      <alignment horizontal="left" vertical="center" wrapText="1" indent="1"/>
    </xf>
    <xf numFmtId="44" fontId="56" fillId="19" borderId="0" xfId="1" applyFont="1" applyFill="1" applyBorder="1" applyAlignment="1">
      <alignment horizontal="left" vertical="center" wrapText="1" indent="1"/>
    </xf>
    <xf numFmtId="2" fontId="56" fillId="19" borderId="0" xfId="0" applyNumberFormat="1" applyFont="1" applyFill="1" applyAlignment="1">
      <alignment horizontal="left" vertical="center" wrapText="1" indent="1"/>
    </xf>
    <xf numFmtId="0" fontId="56" fillId="19" borderId="0" xfId="0" applyFont="1" applyFill="1" applyAlignment="1" applyProtection="1">
      <alignment horizontal="center" vertical="center" wrapText="1"/>
      <protection locked="0"/>
    </xf>
    <xf numFmtId="0" fontId="56" fillId="19" borderId="0" xfId="0" applyFont="1" applyFill="1" applyAlignment="1" applyProtection="1">
      <alignment horizontal="left" vertical="center" wrapText="1" indent="1"/>
      <protection locked="0"/>
    </xf>
    <xf numFmtId="0" fontId="3" fillId="19" borderId="0" xfId="0" applyFont="1" applyFill="1"/>
    <xf numFmtId="0" fontId="27" fillId="19" borderId="0" xfId="0" applyFont="1" applyFill="1" applyAlignment="1">
      <alignment horizontal="center" vertical="center"/>
    </xf>
    <xf numFmtId="0" fontId="58" fillId="19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/>
    </xf>
    <xf numFmtId="44" fontId="16" fillId="19" borderId="0" xfId="1" applyFont="1" applyFill="1" applyBorder="1"/>
    <xf numFmtId="44" fontId="3" fillId="19" borderId="0" xfId="1" applyFont="1" applyFill="1" applyBorder="1"/>
    <xf numFmtId="0" fontId="27" fillId="19" borderId="0" xfId="0" applyFont="1" applyFill="1" applyAlignment="1">
      <alignment vertical="center"/>
    </xf>
    <xf numFmtId="0" fontId="59" fillId="20" borderId="0" xfId="0" applyFont="1" applyFill="1" applyAlignment="1">
      <alignment horizontal="left" vertical="center" wrapText="1"/>
    </xf>
    <xf numFmtId="0" fontId="56" fillId="20" borderId="0" xfId="0" applyFont="1" applyFill="1" applyAlignment="1">
      <alignment horizontal="center" vertical="center" wrapText="1"/>
    </xf>
    <xf numFmtId="0" fontId="58" fillId="20" borderId="0" xfId="0" applyFont="1" applyFill="1" applyAlignment="1">
      <alignment horizontal="center" vertical="center"/>
    </xf>
    <xf numFmtId="0" fontId="51" fillId="20" borderId="0" xfId="0" applyFont="1" applyFill="1" applyAlignment="1">
      <alignment horizontal="center" vertical="center"/>
    </xf>
    <xf numFmtId="0" fontId="56" fillId="20" borderId="0" xfId="0" applyFont="1" applyFill="1" applyAlignment="1">
      <alignment horizontal="center" vertical="center"/>
    </xf>
    <xf numFmtId="0" fontId="56" fillId="20" borderId="0" xfId="0" applyFont="1" applyFill="1" applyAlignment="1">
      <alignment horizontal="left" vertical="center" wrapText="1" indent="1"/>
    </xf>
    <xf numFmtId="0" fontId="3" fillId="20" borderId="0" xfId="0" applyFont="1" applyFill="1"/>
    <xf numFmtId="0" fontId="27" fillId="20" borderId="0" xfId="0" applyFont="1" applyFill="1" applyAlignment="1">
      <alignment horizontal="center" vertical="center"/>
    </xf>
    <xf numFmtId="2" fontId="56" fillId="20" borderId="0" xfId="0" applyNumberFormat="1" applyFont="1" applyFill="1" applyAlignment="1">
      <alignment horizontal="center" vertical="center"/>
    </xf>
    <xf numFmtId="44" fontId="56" fillId="20" borderId="0" xfId="1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/>
    </xf>
    <xf numFmtId="44" fontId="16" fillId="20" borderId="0" xfId="1" applyFont="1" applyFill="1" applyBorder="1"/>
    <xf numFmtId="44" fontId="3" fillId="20" borderId="0" xfId="1" applyFont="1" applyFill="1" applyBorder="1"/>
    <xf numFmtId="44" fontId="55" fillId="20" borderId="0" xfId="1" applyFont="1" applyFill="1" applyBorder="1" applyAlignment="1">
      <alignment horizontal="left" vertical="center" indent="1"/>
    </xf>
    <xf numFmtId="2" fontId="57" fillId="20" borderId="0" xfId="0" applyNumberFormat="1" applyFont="1" applyFill="1" applyAlignment="1">
      <alignment horizontal="left" vertical="center" indent="1"/>
    </xf>
    <xf numFmtId="2" fontId="57" fillId="20" borderId="0" xfId="0" applyNumberFormat="1" applyFont="1" applyFill="1" applyAlignment="1">
      <alignment vertical="center"/>
    </xf>
    <xf numFmtId="0" fontId="57" fillId="20" borderId="0" xfId="0" applyFont="1" applyFill="1" applyAlignment="1">
      <alignment vertical="center"/>
    </xf>
    <xf numFmtId="0" fontId="57" fillId="20" borderId="0" xfId="0" applyFont="1" applyFill="1" applyAlignment="1">
      <alignment horizontal="center" vertical="distributed"/>
    </xf>
    <xf numFmtId="0" fontId="57" fillId="20" borderId="0" xfId="0" applyFont="1" applyFill="1" applyAlignment="1">
      <alignment horizontal="left" vertical="center"/>
    </xf>
    <xf numFmtId="44" fontId="55" fillId="20" borderId="0" xfId="0" applyNumberFormat="1" applyFont="1" applyFill="1" applyAlignment="1">
      <alignment horizontal="left" vertical="center"/>
    </xf>
    <xf numFmtId="44" fontId="57" fillId="20" borderId="0" xfId="0" applyNumberFormat="1" applyFont="1" applyFill="1" applyAlignment="1">
      <alignment horizontal="left" vertical="center"/>
    </xf>
    <xf numFmtId="44" fontId="48" fillId="20" borderId="0" xfId="1" applyFont="1" applyFill="1" applyBorder="1" applyAlignment="1">
      <alignment horizontal="left" vertical="center"/>
    </xf>
    <xf numFmtId="44" fontId="56" fillId="20" borderId="0" xfId="1" applyFont="1" applyFill="1" applyBorder="1" applyAlignment="1">
      <alignment horizontal="left" vertical="center" wrapText="1" indent="1"/>
    </xf>
    <xf numFmtId="2" fontId="56" fillId="20" borderId="0" xfId="0" applyNumberFormat="1" applyFont="1" applyFill="1" applyAlignment="1">
      <alignment horizontal="left" vertical="center" wrapText="1" indent="1"/>
    </xf>
    <xf numFmtId="0" fontId="56" fillId="20" borderId="0" xfId="0" applyFont="1" applyFill="1" applyAlignment="1" applyProtection="1">
      <alignment horizontal="center" vertical="center" wrapText="1"/>
      <protection locked="0"/>
    </xf>
    <xf numFmtId="0" fontId="56" fillId="20" borderId="0" xfId="0" applyFont="1" applyFill="1" applyAlignment="1" applyProtection="1">
      <alignment horizontal="left" vertical="center" wrapText="1" indent="1"/>
      <protection locked="0"/>
    </xf>
    <xf numFmtId="0" fontId="27" fillId="20" borderId="0" xfId="0" applyFont="1" applyFill="1" applyAlignment="1">
      <alignment vertical="center"/>
    </xf>
    <xf numFmtId="0" fontId="59" fillId="21" borderId="0" xfId="0" applyFont="1" applyFill="1" applyAlignment="1">
      <alignment horizontal="left" vertical="center" wrapText="1"/>
    </xf>
    <xf numFmtId="0" fontId="51" fillId="21" borderId="0" xfId="0" applyFont="1" applyFill="1" applyAlignment="1">
      <alignment horizontal="center" vertical="center"/>
    </xf>
    <xf numFmtId="0" fontId="56" fillId="21" borderId="0" xfId="0" applyFont="1" applyFill="1" applyAlignment="1">
      <alignment horizontal="center" vertical="center"/>
    </xf>
    <xf numFmtId="2" fontId="56" fillId="21" borderId="0" xfId="0" applyNumberFormat="1" applyFont="1" applyFill="1" applyAlignment="1">
      <alignment horizontal="center" vertical="center"/>
    </xf>
    <xf numFmtId="44" fontId="56" fillId="21" borderId="0" xfId="1" applyFont="1" applyFill="1" applyBorder="1" applyAlignment="1">
      <alignment horizontal="center" vertical="center"/>
    </xf>
    <xf numFmtId="44" fontId="55" fillId="21" borderId="0" xfId="1" applyFont="1" applyFill="1" applyBorder="1" applyAlignment="1">
      <alignment horizontal="left" vertical="center" indent="1"/>
    </xf>
    <xf numFmtId="2" fontId="57" fillId="21" borderId="0" xfId="0" applyNumberFormat="1" applyFont="1" applyFill="1" applyAlignment="1">
      <alignment horizontal="left" vertical="center" indent="1"/>
    </xf>
    <xf numFmtId="2" fontId="57" fillId="21" borderId="0" xfId="0" applyNumberFormat="1" applyFont="1" applyFill="1" applyAlignment="1">
      <alignment vertical="center"/>
    </xf>
    <xf numFmtId="0" fontId="57" fillId="21" borderId="0" xfId="0" applyFont="1" applyFill="1" applyAlignment="1">
      <alignment vertical="center"/>
    </xf>
    <xf numFmtId="0" fontId="57" fillId="21" borderId="0" xfId="0" applyFont="1" applyFill="1" applyAlignment="1">
      <alignment horizontal="center" vertical="distributed"/>
    </xf>
    <xf numFmtId="0" fontId="57" fillId="21" borderId="0" xfId="0" applyFont="1" applyFill="1" applyAlignment="1">
      <alignment horizontal="left" vertical="center"/>
    </xf>
    <xf numFmtId="44" fontId="55" fillId="21" borderId="0" xfId="0" applyNumberFormat="1" applyFont="1" applyFill="1" applyAlignment="1">
      <alignment horizontal="left" vertical="center"/>
    </xf>
    <xf numFmtId="44" fontId="57" fillId="21" borderId="0" xfId="0" applyNumberFormat="1" applyFont="1" applyFill="1" applyAlignment="1">
      <alignment horizontal="left" vertical="center"/>
    </xf>
    <xf numFmtId="44" fontId="48" fillId="21" borderId="0" xfId="1" applyFont="1" applyFill="1" applyBorder="1" applyAlignment="1">
      <alignment horizontal="left" vertical="center"/>
    </xf>
    <xf numFmtId="0" fontId="56" fillId="21" borderId="0" xfId="0" applyFont="1" applyFill="1" applyAlignment="1">
      <alignment horizontal="center" vertical="center" wrapText="1"/>
    </xf>
    <xf numFmtId="0" fontId="56" fillId="21" borderId="0" xfId="0" applyFont="1" applyFill="1" applyAlignment="1">
      <alignment horizontal="left" vertical="center" wrapText="1" indent="1"/>
    </xf>
    <xf numFmtId="44" fontId="56" fillId="21" borderId="0" xfId="1" applyFont="1" applyFill="1" applyBorder="1" applyAlignment="1">
      <alignment horizontal="left" vertical="center" wrapText="1" indent="1"/>
    </xf>
    <xf numFmtId="2" fontId="56" fillId="21" borderId="0" xfId="0" applyNumberFormat="1" applyFont="1" applyFill="1" applyAlignment="1">
      <alignment horizontal="left" vertical="center" wrapText="1" indent="1"/>
    </xf>
    <xf numFmtId="0" fontId="56" fillId="21" borderId="0" xfId="0" applyFont="1" applyFill="1" applyAlignment="1" applyProtection="1">
      <alignment horizontal="center" vertical="center" wrapText="1"/>
      <protection locked="0"/>
    </xf>
    <xf numFmtId="0" fontId="56" fillId="21" borderId="0" xfId="0" applyFont="1" applyFill="1" applyAlignment="1" applyProtection="1">
      <alignment horizontal="left" vertical="center" wrapText="1" indent="1"/>
      <protection locked="0"/>
    </xf>
    <xf numFmtId="0" fontId="58" fillId="21" borderId="0" xfId="0" applyFont="1" applyFill="1" applyAlignment="1">
      <alignment horizontal="center" vertical="center"/>
    </xf>
    <xf numFmtId="0" fontId="3" fillId="21" borderId="0" xfId="0" applyFont="1" applyFill="1"/>
    <xf numFmtId="0" fontId="27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/>
    </xf>
    <xf numFmtId="44" fontId="16" fillId="21" borderId="0" xfId="1" applyFont="1" applyFill="1" applyBorder="1"/>
    <xf numFmtId="44" fontId="3" fillId="21" borderId="0" xfId="1" applyFont="1" applyFill="1" applyBorder="1"/>
    <xf numFmtId="0" fontId="27" fillId="21" borderId="0" xfId="0" applyFont="1" applyFill="1" applyAlignment="1">
      <alignment vertical="center"/>
    </xf>
    <xf numFmtId="44" fontId="3" fillId="0" borderId="0" xfId="1" applyFont="1" applyFill="1" applyBorder="1"/>
    <xf numFmtId="44" fontId="27" fillId="0" borderId="0" xfId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indent="1"/>
    </xf>
    <xf numFmtId="0" fontId="27" fillId="0" borderId="0" xfId="0" applyFont="1" applyAlignment="1">
      <alignment horizontal="right" vertical="center" indent="1"/>
    </xf>
    <xf numFmtId="44" fontId="27" fillId="0" borderId="0" xfId="1" applyFont="1" applyFill="1" applyBorder="1" applyAlignment="1">
      <alignment horizontal="right" vertical="center" indent="1"/>
    </xf>
    <xf numFmtId="44" fontId="27" fillId="0" borderId="0" xfId="1" applyFont="1" applyFill="1" applyBorder="1" applyAlignment="1">
      <alignment vertical="center"/>
    </xf>
    <xf numFmtId="0" fontId="60" fillId="7" borderId="0" xfId="0" applyFont="1" applyFill="1" applyAlignment="1">
      <alignment horizontal="center" vertical="center"/>
    </xf>
    <xf numFmtId="0" fontId="61" fillId="7" borderId="0" xfId="0" applyFont="1" applyFill="1" applyAlignment="1">
      <alignment horizontal="center" vertical="center" wrapText="1"/>
    </xf>
    <xf numFmtId="0" fontId="62" fillId="7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44" fontId="64" fillId="7" borderId="0" xfId="1" applyFont="1" applyFill="1" applyBorder="1" applyAlignment="1">
      <alignment horizontal="left" vertical="center"/>
    </xf>
    <xf numFmtId="44" fontId="61" fillId="7" borderId="0" xfId="1" applyFont="1" applyFill="1" applyBorder="1" applyAlignment="1">
      <alignment horizontal="center" vertical="center"/>
    </xf>
    <xf numFmtId="0" fontId="49" fillId="7" borderId="0" xfId="0" applyFont="1" applyFill="1" applyAlignment="1">
      <alignment vertical="center"/>
    </xf>
    <xf numFmtId="0" fontId="61" fillId="7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44" fontId="65" fillId="8" borderId="0" xfId="1" applyFont="1" applyFill="1" applyBorder="1" applyAlignment="1">
      <alignment horizontal="left" vertical="center" indent="1"/>
    </xf>
    <xf numFmtId="44" fontId="65" fillId="9" borderId="0" xfId="1" applyFont="1" applyFill="1" applyBorder="1" applyAlignment="1">
      <alignment horizontal="left" vertical="center" indent="1"/>
    </xf>
    <xf numFmtId="44" fontId="65" fillId="9" borderId="0" xfId="0" applyNumberFormat="1" applyFont="1" applyFill="1" applyAlignment="1">
      <alignment horizontal="left" vertical="center"/>
    </xf>
    <xf numFmtId="0" fontId="3" fillId="6" borderId="0" xfId="0" applyFont="1" applyFill="1"/>
    <xf numFmtId="0" fontId="3" fillId="7" borderId="0" xfId="0" applyFont="1" applyFill="1"/>
    <xf numFmtId="14" fontId="18" fillId="32" borderId="0" xfId="0" applyNumberFormat="1" applyFont="1" applyFill="1" applyAlignment="1">
      <alignment horizontal="center" vertical="center"/>
    </xf>
    <xf numFmtId="2" fontId="17" fillId="32" borderId="0" xfId="0" applyNumberFormat="1" applyFont="1" applyFill="1" applyAlignment="1">
      <alignment horizontal="center" vertical="center"/>
    </xf>
    <xf numFmtId="44" fontId="39" fillId="22" borderId="0" xfId="1" applyFont="1" applyFill="1" applyBorder="1" applyAlignment="1">
      <alignment horizontal="center" vertical="center"/>
    </xf>
    <xf numFmtId="164" fontId="14" fillId="0" borderId="21" xfId="0" applyNumberFormat="1" applyFont="1" applyBorder="1" applyProtection="1">
      <protection locked="0"/>
    </xf>
    <xf numFmtId="0" fontId="66" fillId="29" borderId="17" xfId="0" applyFont="1" applyFill="1" applyBorder="1" applyAlignment="1">
      <alignment horizontal="right"/>
    </xf>
    <xf numFmtId="44" fontId="57" fillId="29" borderId="18" xfId="1" applyFont="1" applyFill="1" applyBorder="1"/>
    <xf numFmtId="0" fontId="66" fillId="29" borderId="19" xfId="0" applyFont="1" applyFill="1" applyBorder="1" applyAlignment="1">
      <alignment horizontal="right"/>
    </xf>
    <xf numFmtId="44" fontId="57" fillId="29" borderId="20" xfId="1" applyFont="1" applyFill="1" applyBorder="1"/>
    <xf numFmtId="0" fontId="52" fillId="33" borderId="0" xfId="0" applyFont="1" applyFill="1" applyAlignment="1">
      <alignment horizontal="right"/>
    </xf>
    <xf numFmtId="0" fontId="40" fillId="33" borderId="13" xfId="0" applyFont="1" applyFill="1" applyBorder="1" applyAlignment="1">
      <alignment horizontal="right"/>
    </xf>
    <xf numFmtId="44" fontId="49" fillId="33" borderId="14" xfId="1" applyFont="1" applyFill="1" applyBorder="1"/>
    <xf numFmtId="0" fontId="40" fillId="31" borderId="15" xfId="0" applyFont="1" applyFill="1" applyBorder="1" applyAlignment="1">
      <alignment horizontal="right"/>
    </xf>
    <xf numFmtId="44" fontId="49" fillId="31" borderId="16" xfId="1" applyFont="1" applyFill="1" applyBorder="1"/>
  </cellXfs>
  <cellStyles count="3">
    <cellStyle name="Comma" xfId="2" builtinId="3"/>
    <cellStyle name="Currency" xfId="1" builtinId="4"/>
    <cellStyle name="Normal" xfId="0" builtinId="0"/>
  </cellStyles>
  <dxfs count="530"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A01E5D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A01E5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0"/>
      </font>
      <fill>
        <patternFill patternType="solid">
          <fgColor indexed="64"/>
          <bgColor rgb="FFA01E5D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tkinson Hyperlegible"/>
        <scheme val="none"/>
      </font>
      <fill>
        <patternFill patternType="solid">
          <fgColor indexed="64"/>
          <bgColor rgb="FFA01E5D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D11C7E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D11C7E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0"/>
      </font>
      <fill>
        <patternFill patternType="solid">
          <fgColor indexed="64"/>
          <bgColor rgb="FFD11C7E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tkinson Hyperlegible"/>
        <scheme val="none"/>
      </font>
      <fill>
        <patternFill patternType="solid">
          <fgColor indexed="64"/>
          <bgColor rgb="FFD11C7E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00A59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59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0"/>
      </font>
      <fill>
        <patternFill patternType="solid">
          <fgColor indexed="64"/>
          <bgColor rgb="FF00A59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tkinson Hyperlegible"/>
        <scheme val="none"/>
      </font>
      <fill>
        <patternFill patternType="solid">
          <fgColor indexed="64"/>
          <bgColor rgb="FF00A59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80002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00020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0"/>
      </font>
      <fill>
        <patternFill patternType="solid">
          <fgColor indexed="64"/>
          <bgColor rgb="FF80002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tkinson Hyperlegible"/>
        <scheme val="none"/>
      </font>
      <fill>
        <patternFill patternType="solid">
          <fgColor indexed="64"/>
          <bgColor rgb="FF800020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636466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36466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0"/>
      </font>
      <fill>
        <patternFill patternType="solid">
          <fgColor indexed="64"/>
          <bgColor rgb="FF636466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tkinson Hyperlegible"/>
        <scheme val="none"/>
      </font>
      <fill>
        <patternFill patternType="solid">
          <fgColor indexed="64"/>
          <bgColor rgb="FF636466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F36F2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36F2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36F2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F7941D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7941D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7941D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F9A17A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9A17A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9A17A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8DC63F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DC63F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8DC63F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FFCB0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CB05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FCB05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B19CD9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B19CD9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08080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FFED0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FFED0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FED00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solid">
          <fgColor indexed="64"/>
          <bgColor rgb="FF85C1E9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85C1E9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85C1E9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</dxf>
    <dxf>
      <font>
        <strike val="0"/>
        <outline val="0"/>
        <shadow val="0"/>
        <u val="none"/>
        <vertAlign val="baseline"/>
        <sz val="16"/>
      </font>
      <numFmt numFmtId="0" formatCode="General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EE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rgb="FF00AEE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rgb="FF00AEE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rgb="FF00AEE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rgb="FF00AEE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EEF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EE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EE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00AEEF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auto="1"/>
      </font>
      <fill>
        <patternFill patternType="none">
          <fgColor indexed="64"/>
          <bgColor rgb="FF00AEEF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00ABD7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6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fill>
        <patternFill patternType="solid">
          <fgColor indexed="64"/>
          <bgColor rgb="FF6BCEBB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rgb="FF6BCEBB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Univers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/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tkinson Hyperlegible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5" formatCode="mm/d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5" formatCode="mm/d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0" tint="-4.9989318521683403E-2"/>
        <name val="Atkinson Hyperlegible"/>
        <scheme val="none"/>
      </font>
      <fill>
        <patternFill patternType="solid"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/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tkinson Hyperlegible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5" formatCode="mm/d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0" tint="-4.9989318521683403E-2"/>
        <name val="Atkinson Hyperlegible"/>
        <scheme val="none"/>
      </font>
      <fill>
        <patternFill patternType="solid">
          <fgColor indexed="64"/>
          <bgColor theme="1" tint="0.1499984740745262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Univers"/>
        <family val="2"/>
        <scheme val="minor"/>
      </font>
      <fill>
        <patternFill patternType="solid">
          <fgColor indexed="64"/>
          <bgColor theme="4" tint="-0.749992370372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Univers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Univers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tkinson Hyperlegible"/>
        <scheme val="none"/>
      </font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tkinson Hyperlegibl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tkinson Hyperlegible"/>
        <scheme val="none"/>
      </font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4" tint="-0.499984740745262"/>
        <name val="Atkinson Hyperlegible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tkinson Hyperlegible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tkinson Hyperlegible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4" tint="-0.499984740745262"/>
        <name val="Atkinson Hyperlegible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3" defaultTableStyle="TableStyleMedium2" defaultPivotStyle="PivotStyleLight16">
    <tableStyle name="Business Table" pivot="0" count="3" xr9:uid="{00000000-0011-0000-FFFF-FFFF00000000}">
      <tableStyleElement type="wholeTable" dxfId="529"/>
      <tableStyleElement type="headerRow" dxfId="528"/>
      <tableStyleElement type="secondRowStripe" dxfId="527"/>
    </tableStyle>
    <tableStyle name="PivotTable Style 1" table="0" count="0" xr9:uid="{827F062D-5781-4167-A023-DF752A1F12FF}"/>
    <tableStyle name="TableStyleDark9 2" pivot="0" count="7" xr9:uid="{DF16DB29-08EA-4889-A384-C667C818FC56}">
      <tableStyleElement type="wholeTable" dxfId="526"/>
      <tableStyleElement type="headerRow" dxfId="525"/>
      <tableStyleElement type="totalRow" dxfId="524"/>
      <tableStyleElement type="firstColumn" dxfId="523"/>
      <tableStyleElement type="lastColumn" dxfId="522"/>
      <tableStyleElement type="firstRowStripe" dxfId="521"/>
      <tableStyleElement type="firstColumnStripe" dxfId="520"/>
    </tableStyle>
  </tableStyles>
  <colors>
    <mruColors>
      <color rgb="FFCCFFFF"/>
      <color rgb="FFF5E170"/>
      <color rgb="FF0070C0"/>
      <color rgb="FF85C1E9"/>
      <color rgb="FF00AEEF"/>
      <color rgb="FF6BCEBB"/>
      <color rgb="FFA01E5D"/>
      <color rgb="FFD11C7E"/>
      <color rgb="FF00A591"/>
      <color rgb="FF800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ne\Dropbox\Marketing\Workbook%20Start%20Page%20Template%20(NO%20FFF).xlsm" TargetMode="External"/><Relationship Id="rId1" Type="http://schemas.openxmlformats.org/officeDocument/2006/relationships/externalLinkPath" Target="https://d.docs.live.net/Users/shane/Dropbox/Marketing/Workbook%20Start%20Page%20Template%20(NO%20FFF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ne\Dropbox\Marketing\Workbook%20Start%20Page%20Template%20(NO%20FFF).xlsm" TargetMode="External"/><Relationship Id="rId1" Type="http://schemas.openxmlformats.org/officeDocument/2006/relationships/externalLinkPath" Target="/Users/shane/Dropbox/Marketing/Workbook%20Start%20Page%20Template%20(NO%20FFF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347281db9cfc48e/Desktop/Linked%20Folder/Money_Tracker.xlsm" TargetMode="External"/><Relationship Id="rId1" Type="http://schemas.openxmlformats.org/officeDocument/2006/relationships/externalLinkPath" Target="https://d.docs.live.net/C347281DB9CFC48E/Desktop/Linked%20Folder/Money_Tracker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c1b522dd5954744/Documents/Book825-Martha.xlsm" TargetMode="External"/><Relationship Id="rId1" Type="http://schemas.openxmlformats.org/officeDocument/2006/relationships/externalLinkPath" Target="https://d.docs.live.net/ec1b522dd5954744/Documents/Book825-Martha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h\OneDrive\Documentos\book825-DEC.xlsm" TargetMode="External"/><Relationship Id="rId1" Type="http://schemas.openxmlformats.org/officeDocument/2006/relationships/externalLinkPath" Target="/Users/Ramses/Downloads/book825-DEC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mses\AppData\Local\Packages\5319275A.WhatsAppDesktop_cv1g1gvanyjgm\LocalState\sessions\8F0C8947C25AAF315C285575FF8119DB9B923712\transfers\2026-05\book825-JAN%20TUCSON%2028-1.xlsx" TargetMode="External"/><Relationship Id="rId1" Type="http://schemas.openxmlformats.org/officeDocument/2006/relationships/externalLinkPath" Target="/Users/Ramses/AppData/Local/Packages/5319275A.WhatsAppDesktop_cv1g1gvanyjgm/LocalState/sessions/8F0C8947C25AAF315C285575FF8119DB9B923712/transfers/2026-05/book825-JAN%20TUCSON%2028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Admin &amp; Settings"/>
      <sheetName val="Video Summarizer"/>
      <sheetName val="Video List"/>
      <sheetName val="Chat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Admin &amp; Settings"/>
      <sheetName val="Video Summarizer"/>
      <sheetName val="Video List"/>
      <sheetName val="Chat History"/>
    </sheetNames>
    <sheetDataSet>
      <sheetData sheetId="0"/>
      <sheetData sheetId="1">
        <row r="10">
          <cell r="C10" t="str">
            <v>Categories</v>
          </cell>
        </row>
        <row r="11">
          <cell r="C11" t="str">
            <v>Excel</v>
          </cell>
        </row>
        <row r="12">
          <cell r="C12" t="str">
            <v>Marketing</v>
          </cell>
        </row>
        <row r="13">
          <cell r="C13" t="str">
            <v>Cooking</v>
          </cell>
        </row>
        <row r="14">
          <cell r="C14" t="str">
            <v>Python Learning</v>
          </cell>
        </row>
        <row r="15">
          <cell r="C15" t="str">
            <v>Investing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nses"/>
    </sheetNames>
    <sheetDataSet>
      <sheetData sheetId="0">
        <row r="2">
          <cell r="K2" t="str">
            <v>C:\Users\marth\OneDrive\Desktop\Linked Folder\IMG\*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K1"/>
      <sheetName val="BALANCE"/>
      <sheetName val="SUPPLIES"/>
      <sheetName val="IDLE VENDORS"/>
      <sheetName val="TRK2"/>
      <sheetName val="TRK3"/>
      <sheetName val="DH"/>
      <sheetName val="EM"/>
      <sheetName val="FR"/>
      <sheetName val="TE"/>
      <sheetName val="GE"/>
      <sheetName val="GS"/>
      <sheetName val="JM"/>
      <sheetName val="BT"/>
      <sheetName val="CTRL"/>
      <sheetName val="--STKR"/>
    </sheetNames>
    <sheetDataSet>
      <sheetData sheetId="0"/>
      <sheetData sheetId="1">
        <row r="1">
          <cell r="A1">
            <v>825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LIES a"/>
      <sheetName val="TRK1"/>
      <sheetName val="CTRL"/>
      <sheetName val="BALANCE"/>
      <sheetName val="OLD.SUPL"/>
      <sheetName val="IDLE VENDORS"/>
      <sheetName val="TRK2"/>
      <sheetName val="TRK3"/>
      <sheetName val="BLNK"/>
      <sheetName val="DH"/>
      <sheetName val="GE"/>
      <sheetName val="GS"/>
      <sheetName val="FR"/>
      <sheetName val="BT"/>
      <sheetName val="EM"/>
      <sheetName val="TE"/>
      <sheetName val="--STK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SIMONA"/>
      <sheetName val="SUPPLIES"/>
      <sheetName val="TRK1"/>
      <sheetName val="PKL1"/>
      <sheetName val="TRK2"/>
      <sheetName val="TRK3"/>
      <sheetName val="TRK4"/>
      <sheetName val="RF"/>
      <sheetName val="AM"/>
      <sheetName val="EM"/>
      <sheetName val="JM"/>
      <sheetName val="AN"/>
      <sheetName val="CP"/>
      <sheetName val="ML"/>
      <sheetName val="DH"/>
      <sheetName val="FR"/>
      <sheetName val="TE"/>
      <sheetName val="GS"/>
      <sheetName val="GE"/>
      <sheetName val="BT"/>
      <sheetName val="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K2">
            <v>135715.5</v>
          </cell>
        </row>
      </sheetData>
      <sheetData sheetId="17">
        <row r="1">
          <cell r="S1">
            <v>452094</v>
          </cell>
        </row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18">
        <row r="2">
          <cell r="S2">
            <v>61290</v>
          </cell>
        </row>
      </sheetData>
      <sheetData sheetId="19">
        <row r="2">
          <cell r="K2">
            <v>150221.5</v>
          </cell>
        </row>
      </sheetData>
      <sheetData sheetId="20">
        <row r="2">
          <cell r="K2">
            <v>104500</v>
          </cell>
        </row>
      </sheetData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72393-48F2-4849-8307-3B0BAAC178A0}" name="Table1" displayName="Table1" ref="D1:E19" totalsRowShown="0" headerRowDxfId="519" tableBorderDxfId="518">
  <autoFilter ref="D1:E19" xr:uid="{53872393-48F2-4849-8307-3B0BAAC178A0}"/>
  <tableColumns count="2">
    <tableColumn id="4" xr3:uid="{7CFE7D77-4BE6-49D4-8641-60B2438D82C6}" name="DESCRIPTION"/>
    <tableColumn id="5" xr3:uid="{1DA75934-1ED5-4CC2-9A59-2435863DFEC9}" name="AMOUNT MX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5F3167-4BAD-4498-B6BD-DEFF79590EE1}" name="Table4" displayName="Table4" ref="A3:B19" totalsRowShown="0" headerRowDxfId="517">
  <autoFilter ref="A3:B19" xr:uid="{A85F3167-4BAD-4498-B6BD-DEFF79590EE1}"/>
  <tableColumns count="2">
    <tableColumn id="1" xr3:uid="{E5B8F541-9C94-4191-9DB8-4C5637F5C8EE}" name="VENDOR"/>
    <tableColumn id="2" xr3:uid="{14B98E11-49D0-4551-A2FE-43C3CEBA6DE8}" name="ACQ" dataDxfId="516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0C0DE4-C319-4C12-8F7A-24BA4CD842AB}" name="Table5" displayName="Table5" ref="F1:H5" totalsRowShown="0" headerRowDxfId="515">
  <autoFilter ref="F1:H5" xr:uid="{5C0C0DE4-C319-4C12-8F7A-24BA4CD842AB}"/>
  <tableColumns count="3">
    <tableColumn id="1" xr3:uid="{36B14C96-2602-4741-A78A-13F1E6AA3720}" name="TRK#"/>
    <tableColumn id="2" xr3:uid="{496DA224-3166-4F6B-8C9A-3064ACAA51F4}" name="DATE" dataDxfId="514"/>
    <tableColumn id="3" xr3:uid="{E1C33DBF-68E0-4980-B1D7-A7A4E7C72E79}" name="MXN" dataDxfId="513" dataCellStyle="Currenc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7AF2896-6E0D-4F4B-8A95-B507FEF03CFF}" name="Table11" displayName="Table11" ref="C2:C7" totalsRowShown="0" headerRowDxfId="512" dataDxfId="511">
  <autoFilter ref="C2:C7" xr:uid="{57AF2896-6E0D-4F4B-8A95-B507FEF03CFF}"/>
  <tableColumns count="1">
    <tableColumn id="1" xr3:uid="{7B0C3A9D-A97A-4321-AAE1-42D205388B46}" name="TYPE" dataDxfId="510"/>
  </tableColumns>
  <tableStyleInfo name="Business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D980D0-6A1E-4CB7-8BFF-B3C31207872C}" name="Table2" displayName="Table2" ref="A2:I31" totalsRowShown="0" headerRowDxfId="509" dataDxfId="508">
  <autoFilter ref="A2:I31" xr:uid="{A5D980D0-6A1E-4CB7-8BFF-B3C31207872C}"/>
  <tableColumns count="9">
    <tableColumn id="1" xr3:uid="{756978F5-7B15-406B-AD47-26F1139392B8}" name="Date" dataDxfId="507"/>
    <tableColumn id="2" xr3:uid="{A417536D-0F67-474D-AE74-EF1D3B685EBC}" name="Vendor" dataDxfId="506"/>
    <tableColumn id="3" xr3:uid="{AB0918A4-7402-49C1-9225-765ED269E434}" name="Description" dataDxfId="505"/>
    <tableColumn id="4" xr3:uid="{4B2F7BD6-08E7-4B58-946F-02A238B7F697}" name="PRICE" dataDxfId="504"/>
    <tableColumn id="5" xr3:uid="{08423261-229F-47D0-B765-426AAF0FFE1E}" name="QTY" dataDxfId="503"/>
    <tableColumn id="6" xr3:uid="{7B5DE811-3F07-4DE5-AF83-F693332AE512}" name="TOTAL MXN" dataDxfId="502" dataCellStyle="Currency">
      <calculatedColumnFormula>IF(Table2[[#This Row],[QTY]]&gt;0.1,D3*E3, " ")</calculatedColumnFormula>
    </tableColumn>
    <tableColumn id="7" xr3:uid="{8C2AB926-8C20-4C2E-BE35-9CC1177F763A}" name="ADVANCE MXN" dataDxfId="501" dataCellStyle="Currency"/>
    <tableColumn id="8" xr3:uid="{543BBFEB-2346-4A7F-B984-1E5CD4CEC704}" name="Ready Date" dataDxfId="500"/>
    <tableColumn id="9" xr3:uid="{7A99F8E0-27D4-4567-95ED-E50046DE4748}" name="TAGID" dataDxfId="499"/>
  </tableColumns>
  <tableStyleInfo name="TableStyleDark9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EF93FA-850F-493E-AB0A-8365C6A65894}" name="Table115" displayName="Table115" ref="A3:I20" totalsRowShown="0" headerRowDxfId="498" dataDxfId="497">
  <autoFilter ref="A3:I20" xr:uid="{15F4A094-206E-4CB2-950A-B00DBF65E0CB}"/>
  <tableColumns count="9">
    <tableColumn id="1" xr3:uid="{48E2745E-4A60-4615-89A6-B72DF7728AA5}" name="Date" dataDxfId="496"/>
    <tableColumn id="2" xr3:uid="{65A16D3C-50B8-4DD8-8015-AB69A87D49C3}" name="ITEM" dataDxfId="495"/>
    <tableColumn id="3" xr3:uid="{C3DD75FF-2AA6-4165-A758-AF8B2BDE801F}" name="DESCTIPTION" dataDxfId="494"/>
    <tableColumn id="4" xr3:uid="{68DCEE70-E9E6-41FD-91BE-6DE20611F1F9}" name="Q" dataDxfId="493"/>
    <tableColumn id="18" xr3:uid="{11AF6A23-93F0-4AED-A57F-DCD1E2A72B3E}" name="$MSN IN" dataDxfId="492"/>
    <tableColumn id="9" xr3:uid="{72D4D2A5-7622-4D5D-8CF5-84623C670C22}" name="$MXN OUT" dataDxfId="491"/>
    <tableColumn id="10" xr3:uid="{2F7AD733-9713-4515-9E7E-A06EFBF77640}" name="TOTAL $" dataDxfId="490">
      <calculatedColumnFormula>IF(Table115[[#This Row],[Q]]&lt;0.1, " ",Table115[[#This Row],[Q]]*Table115[[#This Row],[$MXN OUT]])</calculatedColumnFormula>
    </tableColumn>
    <tableColumn id="15" xr3:uid="{65B8C3A9-4CC2-485F-8ADE-1021BBB5A87D}" name="$USD" dataDxfId="489">
      <calculatedColumnFormula>IF(Table115[[#This Row],[Q]]&gt;0.1, Table115[[#This Row],[$MSN IN]]/18, " ")</calculatedColumnFormula>
    </tableColumn>
    <tableColumn id="16" xr3:uid="{1AF5AB85-3A9D-43B1-8A7B-A641FBCEFB2D}" name="TOTAL USD" dataDxfId="488">
      <calculatedColumnFormula>IF(Table115[[#This Row],[Q]]&gt;0.1, Table115[[#This Row],[$USD]]*Table115[[#This Row],[Q]], " ")</calculatedColumnFormula>
    </tableColumn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B032AC-3618-4174-A125-99C4FB819E41}" name="Table11524" displayName="Table11524" ref="A3:R140" totalsRowShown="0" headerRowDxfId="487" dataDxfId="486">
  <autoFilter ref="A3:R140" xr:uid="{15F4A094-206E-4CB2-950A-B00DBF65E0CB}"/>
  <tableColumns count="18">
    <tableColumn id="1" xr3:uid="{9C89A186-DCDC-4AD6-899F-D71367A8F79A}" name="Date" dataDxfId="485"/>
    <tableColumn id="17" xr3:uid="{CA990634-85F1-46AC-A81C-013DE4AE1A03}" name="VENDOR" dataDxfId="484"/>
    <tableColumn id="2" xr3:uid="{339B4FA7-FA38-4898-924F-CAEB78D96BFE}" name="ITEM" dataDxfId="483"/>
    <tableColumn id="3" xr3:uid="{B8272592-E7C2-4800-A015-9CB76A3A13B6}" name="DESCTIPTION" dataDxfId="482"/>
    <tableColumn id="4" xr3:uid="{EF1F4389-0DF0-4314-A7C4-EF210F6ABE73}" name="Q" dataDxfId="481"/>
    <tableColumn id="5" xr3:uid="{5904AE0B-8EA7-4B6B-B263-D510890FA4FF}" name="KG" dataDxfId="480"/>
    <tableColumn id="6" xr3:uid="{750BBB1B-7D78-4697-8C35-38911405DB40}" name="L CM" dataDxfId="479"/>
    <tableColumn id="7" xr3:uid="{1D7EB298-AC15-43F9-B049-D890AB442F64}" name="W CM" dataDxfId="478"/>
    <tableColumn id="8" xr3:uid="{ADA0E105-A3A0-490E-A3E4-909BDF2ED214}" name="D CM " dataDxfId="477"/>
    <tableColumn id="18" xr3:uid="{54FB6807-6FC9-476E-8A50-AEBE02E53C13}" name="$MSN IN" dataDxfId="476"/>
    <tableColumn id="9" xr3:uid="{53A93D14-8F80-4A82-9CDF-02369A085CDD}" name="$MXN OUT" dataDxfId="475"/>
    <tableColumn id="10" xr3:uid="{33F22A9E-BFCD-4101-9461-1CEDD1AA39E6}" name="TOTAL $" dataDxfId="474">
      <calculatedColumnFormula>IF(Table11524[[#This Row],[Q]]&gt;0.1, Table11524[[#This Row],[Q]]*Table11524[[#This Row],[$MXN OUT]], " ")</calculatedColumnFormula>
    </tableColumn>
    <tableColumn id="11" xr3:uid="{B367AA65-5F1E-469B-8F29-6F8A400E37F9}" name="POUNDS" dataDxfId="473">
      <calculatedColumnFormula>IF(Table11524[[#This Row],[Q]]&gt;0.1,F4*2.20462, " ")</calculatedColumnFormula>
    </tableColumn>
    <tableColumn id="12" xr3:uid="{2E63526F-74D9-4900-81FD-EB72ADBB4879}" name="H &quot;" dataDxfId="472">
      <calculatedColumnFormula>IF(Table11524[[#This Row],[Q]]&gt;0.1,G4/2.54, " ")</calculatedColumnFormula>
    </tableColumn>
    <tableColumn id="13" xr3:uid="{6A50A050-0863-4963-B194-A9BD66177A4A}" name="W&quot;" dataDxfId="471">
      <calculatedColumnFormula>IF(Table11524[[#This Row],[Q]]&gt;0.1, H4/2.54, " ")</calculatedColumnFormula>
    </tableColumn>
    <tableColumn id="14" xr3:uid="{89344DA8-7044-407A-98BC-CB4D013E5ACF}" name="D&quot;" dataDxfId="470">
      <calculatedColumnFormula>IF(Table11524[[#This Row],[Q]]&gt;0.1,I4/2.54, " ")</calculatedColumnFormula>
    </tableColumn>
    <tableColumn id="15" xr3:uid="{DF5C774E-9B94-4B42-ABBA-270D5D6999EF}" name="$USD" dataDxfId="469">
      <calculatedColumnFormula>IF(E4&gt;0.1,K4/18," ")</calculatedColumnFormula>
    </tableColumn>
    <tableColumn id="16" xr3:uid="{0799C993-BE17-4EE8-B5D4-8EA4B573BC14}" name="TOTAL USD" dataDxfId="468">
      <calculatedColumnFormula>IF(E4&gt;0.1,Q4*E4," ")</calculatedColumnFormula>
    </tableColumn>
  </tableColumns>
  <tableStyleInfo name="TableStyleLigh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DB913C-05F1-40FE-9BF9-677B56E028F6}" name="Table3" displayName="Table3" ref="A1:J200" totalsRowShown="0" headerRowDxfId="467">
  <autoFilter ref="A1:J200" xr:uid="{2DDB913C-05F1-40FE-9BF9-677B56E028F6}"/>
  <tableColumns count="10">
    <tableColumn id="1" xr3:uid="{2EFCFE60-BF2C-4512-9CFD-9297A2CC8720}" name="REQ DATE"/>
    <tableColumn id="2" xr3:uid="{B14B1D64-5664-4910-915A-BF3B14DB3B2C}" name="TYPE"/>
    <tableColumn id="3" xr3:uid="{9D485700-16AA-49A8-B0E0-3DB4B6189612}" name="VENDOR"/>
    <tableColumn id="4" xr3:uid="{440631CA-CA51-416D-854F-8105784EEA2D}" name="ACCOUNT"/>
    <tableColumn id="5" xr3:uid="{6DF6ED67-99D5-415C-85A5-A28BF430091C}" name="MXN" dataCellStyle="Currency"/>
    <tableColumn id="6" xr3:uid="{B61A059D-134A-4719-99B1-5F9851869629}" name="TAX / COM" dataDxfId="466" dataCellStyle="Currency"/>
    <tableColumn id="10" xr3:uid="{4715B668-A9CA-423C-A615-12F40D81B567}" name="TOTAL" dataDxfId="465" dataCellStyle="Currency">
      <calculatedColumnFormula>IF(Table3[[#This Row],[MXN]]&gt;0.1, Table3[[#This Row],[MXN]]+Table3[[#This Row],[TAX / COM]], " ")</calculatedColumnFormula>
    </tableColumn>
    <tableColumn id="7" xr3:uid="{E95A4198-2907-4460-B67C-4B66E07BA30F}" name="DESCRIPTION"/>
    <tableColumn id="8" xr3:uid="{36F7EB60-6D8C-422D-8F7D-436EC46A758C}" name="NOTES"/>
    <tableColumn id="9" xr3:uid="{65FCA291-8A89-4F60-B00D-85F235C06492}" name="PAY DATE"/>
  </tableColumns>
  <tableStyleInfo name="TableStyleDark9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82E7793-45E6-4310-82AB-65B3AD4DF50E}" name="Inventory_List_Table341115" displayName="Inventory_List_Table341115" ref="A2:AB102" totalsRowShown="0" headerRowDxfId="464" dataDxfId="462" headerRowBorderDxfId="463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58B4AF99-746D-4254-B4F0-97AE0397E6B7}" name="#" dataDxfId="461">
      <calculatedColumnFormula>IFERROR((Inventory_List_Table341115[[#This Row],[H CM]]&lt;=Inventory_List_Table341115[[#This Row],[D CM ]])*(Inventory_List_Table341115[[#This Row],[W Inches]]="")*valHighlight,0)</calculatedColumnFormula>
    </tableColumn>
    <tableColumn id="25" xr3:uid="{1830326A-C178-4F93-829B-CCC131A96E0F}" name="DATE" dataDxfId="460"/>
    <tableColumn id="24" xr3:uid="{A17D74F1-2123-4DF8-AD0A-AF6BBDC22800}" name="COLOR / MATERIAL" dataDxfId="459"/>
    <tableColumn id="20" xr3:uid="{9DE8A6A2-40D0-4887-9D2F-E5053E860287}" name="OBJECT/ SHAPE" dataDxfId="458"/>
    <tableColumn id="2" xr3:uid="{72C82CA6-0A5A-4CA8-83C9-6760441CBDB2}" name="TYPE" dataDxfId="457"/>
    <tableColumn id="3" xr3:uid="{CBD5BAF9-B24B-44B5-8710-82BCE86CB53A}" name="TAG-ID" dataDxfId="456">
      <calculatedColumnFormula>IF(Inventory_List_Table341115[[#This Row],[Q]]&lt;0.1, " ",$A$1&amp;$D$1&amp;Inventory_List_Table341115[[#This Row],['#]]&amp;Inventory_List_Table341115[[#This Row],[LC]])</calculatedColumnFormula>
    </tableColumn>
    <tableColumn id="4" xr3:uid="{CEB21101-CA36-453C-A0D3-06FEB306E3E6}" name="Q" dataDxfId="455"/>
    <tableColumn id="5" xr3:uid="{31A3CE1A-5C30-4ECC-AB85-9627666C6F9D}" name="KG" dataDxfId="454"/>
    <tableColumn id="6" xr3:uid="{51DBF355-E544-414B-A0E9-3123B9CADD83}" name="H CM" dataDxfId="453"/>
    <tableColumn id="7" xr3:uid="{9D352F8D-818E-4E7D-9484-34160A341709}" name="W CM" dataDxfId="452"/>
    <tableColumn id="8" xr3:uid="{1D864356-B6ED-40D2-A4CF-1A23AABEBA25}" name="D CM " dataDxfId="451"/>
    <tableColumn id="9" xr3:uid="{594860B2-F6AF-44F3-A57F-B85C84277E6B}" name="PRICE" dataDxfId="450" dataCellStyle="Currency"/>
    <tableColumn id="23" xr3:uid="{FD63B275-FBBF-4F68-B4B0-AFC5497CDE5B}" name="TOTAL PESOS" dataDxfId="449" dataCellStyle="Currency">
      <calculatedColumnFormula>IF(Inventory_List_Table341115[[#This Row],[Q]]&lt;0.1, " ", Inventory_List_Table341115[[#This Row],[Q]]*Inventory_List_Table341115[[#This Row],[PRICE]])</calculatedColumnFormula>
    </tableColumn>
    <tableColumn id="13" xr3:uid="{2E2E3186-F414-4FD1-809C-7634A66EB631}" name="POUNDS" dataDxfId="448">
      <calculatedColumnFormula>IF(Inventory_List_Table341115[[#This Row],[Q]]&lt;0.1, " ", Inventory_List_Table341115[[#This Row],[KG]]*2.20462)</calculatedColumnFormula>
    </tableColumn>
    <tableColumn id="10" xr3:uid="{E7048908-1B79-4816-ABDE-1DF5787D8101}" name="H Inches" dataDxfId="447">
      <calculatedColumnFormula>IF(Inventory_List_Table341115[[#This Row],[Q]]&lt;0.1, " ",Inventory_List_Table341115[[#This Row],[H CM]]/2.54)</calculatedColumnFormula>
    </tableColumn>
    <tableColumn id="11" xr3:uid="{C9B2340A-0262-446E-8A05-3617C8E943B3}" name="W Inches" dataDxfId="446">
      <calculatedColumnFormula>IF(Inventory_List_Table341115[[#This Row],[Q]]&lt;0.1, " ",Inventory_List_Table341115[[#This Row],[W CM]]/2.54)</calculatedColumnFormula>
    </tableColumn>
    <tableColumn id="12" xr3:uid="{9536CE11-D587-4CEF-8269-64455F064408}" name="D Incbes" dataDxfId="445">
      <calculatedColumnFormula>IF(Inventory_List_Table341115[[#This Row],[Q]]&lt;0.1, " ",Inventory_List_Table341115[[#This Row],[D CM ]]/2.54)</calculatedColumnFormula>
    </tableColumn>
    <tableColumn id="14" xr3:uid="{C8632730-3314-4A6C-8AB3-574483C53B01}" name="AQ USD" dataDxfId="444" dataCellStyle="Currency">
      <calculatedColumnFormula>IF(Inventory_List_Table341115[[#This Row],[Q]]&lt;0.1, " ",Inventory_List_Table341115[[#This Row],[PRICE]]/$L$1)</calculatedColumnFormula>
    </tableColumn>
    <tableColumn id="16" xr3:uid="{00D9A0F6-95A1-4CF0-9561-087E75A5A0BD}" name="AQ RND USD" dataDxfId="443" dataCellStyle="Currency">
      <calculatedColumnFormula>IF(Inventory_List_Table341115[[#This Row],[Q]]&lt;0.1, " ",IF(MOD(Inventory_List_Table341115[[#This Row],[AQ USD]],1)&gt;0.4,ROUNDUP(Inventory_List_Table341115[[#This Row],[AQ USD]],0),ROUNDDOWN(Inventory_List_Table341115[[#This Row],[AQ USD]],0)))</calculatedColumnFormula>
    </tableColumn>
    <tableColumn id="15" xr3:uid="{ECC82996-FD81-439C-B224-1559622E4194}" name="LND USD" dataDxfId="442" dataCellStyle="Currency">
      <calculatedColumnFormula>IF(Inventory_List_Table341115[[#This Row],[Q]]&lt;0.1, " ",Inventory_List_Table341115[[#This Row],[AQ RND USD]]*1.4)</calculatedColumnFormula>
    </tableColumn>
    <tableColumn id="21" xr3:uid="{11B4F9F2-FC15-4959-A967-719A9271A7C0}" name="LND RND USD" dataDxfId="441" dataCellStyle="Currency">
      <calculatedColumnFormula>IF(Inventory_List_Table341115[[#This Row],[Q]]&lt;0.1, " ",IF(MOD(Inventory_List_Table341115[[#This Row],[LND USD]],1)&gt;0.4,ROUNDUP(Inventory_List_Table341115[[#This Row],[LND USD]],0),ROUNDDOWN(Inventory_List_Table341115[[#This Row],[LND USD]],0)))</calculatedColumnFormula>
    </tableColumn>
    <tableColumn id="17" xr3:uid="{96399609-DFDB-4452-8829-C2B7D2E541F9}" name="RETAIL USD" dataDxfId="440" dataCellStyle="Currency">
      <calculatedColumnFormula>IF(Inventory_List_Table341115[[#This Row],[Q]]&lt;0.1, " ",Inventory_List_Table341115[[#This Row],[LND RND USD]]*12)</calculatedColumnFormula>
    </tableColumn>
    <tableColumn id="22" xr3:uid="{1D8D9906-AEF3-48C7-8F85-3DFE6964EE8C}" name="TOTAL USD" dataDxfId="439" dataCellStyle="Currency">
      <calculatedColumnFormula>IF(Inventory_List_Table341115[[#This Row],[Q]]&lt;0.1, " ",Inventory_List_Table341115[[#This Row],[AQ USD]])</calculatedColumnFormula>
    </tableColumn>
    <tableColumn id="18" xr3:uid="{94A5F5C2-98CF-4870-9150-BF15106CFDE5}" name="AQC" dataDxfId="438">
      <calculatedColumnFormula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calculatedColumnFormula>
    </tableColumn>
    <tableColumn id="27" xr3:uid="{CE44D5F1-C462-435E-BF38-A16E2B08554D}" name="LC" dataDxfId="437">
      <calculatedColumnFormula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calculatedColumnFormula>
    </tableColumn>
    <tableColumn id="28" xr3:uid="{D54743BD-9140-47BC-ACA0-4D15774BAB36}" name="SQCM MXN" dataDxfId="436">
      <calculatedColumnFormula>IF(Inventory_List_Table341115[[#This Row],[Q]]&lt;0.1, " ",Inventory_List_Table341115[[#This Row],[H CM]]*Inventory_List_Table341115[[#This Row],[D CM ]]*4+Inventory_List_Table341115[[#This Row],[W CM]]*Inventory_List_Table341115[[#This Row],[D CM ]]/10000)</calculatedColumnFormula>
    </tableColumn>
    <tableColumn id="26" xr3:uid="{97405D21-9D77-46E9-95CB-D8B578F7D31A}" name="SQM MXN" dataDxfId="435" dataCellStyle="Currency">
      <calculatedColumnFormula>IF(Inventory_List_Table341115[[#This Row],[Q]]&lt;0.1, " ",Inventory_List_Table341115[[#This Row],[PRICE]]/Z3*10000)</calculatedColumnFormula>
    </tableColumn>
    <tableColumn id="19" xr3:uid="{65251BD0-D05F-4A83-AE6A-BC4BBE4FC7C4}" name="TRK" dataDxfId="434" dataCellStyle="Currency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3497D2-3DE7-4307-AB90-DDD00A8DEAF8}" name="Inventory_List_Table34111510" displayName="Inventory_List_Table34111510" ref="A2:AB102" totalsRowShown="0" headerRowDxfId="433" dataDxfId="431" headerRowBorderDxfId="432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AE5ED901-BF4B-43CF-BCA5-AB8C45662880}" name="#" dataDxfId="430">
      <calculatedColumnFormula>IFERROR((Inventory_List_Table34111510[[#This Row],[H CM]]&lt;=Inventory_List_Table34111510[[#This Row],[D CM ]])*(Inventory_List_Table34111510[[#This Row],[W Inches]]="")*valHighlight,0)</calculatedColumnFormula>
    </tableColumn>
    <tableColumn id="25" xr3:uid="{3640F8D6-3AAC-4837-AE94-A286C791D27D}" name="DATE" dataDxfId="429"/>
    <tableColumn id="24" xr3:uid="{E46C9AD3-3020-4753-B85E-61D9E664A701}" name="COLOR / MATERIAL" dataDxfId="428"/>
    <tableColumn id="20" xr3:uid="{CD0B84BA-31EE-4DE4-AA3F-CC8A002A4C95}" name="OBJECT/ SHAPE" dataDxfId="427"/>
    <tableColumn id="2" xr3:uid="{3B40FEF2-4517-42DA-AA01-4F256C6FAD68}" name="TYPE" dataDxfId="426"/>
    <tableColumn id="3" xr3:uid="{23B581E5-8881-47C2-92B5-EDC59D681425}" name="TAG-ID" dataDxfId="425">
      <calculatedColumnFormula>IF(Inventory_List_Table34111510[[#This Row],[Q]]&lt;0.1, " ",$A$1&amp;$D$1&amp;Inventory_List_Table34111510[[#This Row],['#]]&amp;Inventory_List_Table34111510[[#This Row],[LC]])</calculatedColumnFormula>
    </tableColumn>
    <tableColumn id="4" xr3:uid="{791CF0D9-39CB-4F1F-B21A-D45D2A11CE95}" name="Q" dataDxfId="424"/>
    <tableColumn id="5" xr3:uid="{43D0F25F-FCD3-470E-AB6A-14E512B6C7CF}" name="KG" dataDxfId="423"/>
    <tableColumn id="6" xr3:uid="{33C79042-27DD-4157-99D6-090C50EC72C7}" name="H CM" dataDxfId="422"/>
    <tableColumn id="7" xr3:uid="{BB832AA7-77CE-4CAB-82DE-D9FDF70683AE}" name="W CM" dataDxfId="421"/>
    <tableColumn id="8" xr3:uid="{66785D9D-2D41-4FFF-8744-2E7A1108956A}" name="D CM " dataDxfId="420"/>
    <tableColumn id="9" xr3:uid="{34409076-16FB-4F9B-BDC9-64DAF0C6BFFC}" name="PRICE" dataDxfId="419" dataCellStyle="Currency"/>
    <tableColumn id="23" xr3:uid="{FCB1B69E-ECCB-4D1A-AD60-14BE747BB4C2}" name="TOTAL PESOS" dataDxfId="418" dataCellStyle="Currency">
      <calculatedColumnFormula>IF(Inventory_List_Table34111510[[#This Row],[Q]]&lt;0.1, " ", Inventory_List_Table34111510[[#This Row],[Q]]*Inventory_List_Table34111510[[#This Row],[PRICE]])</calculatedColumnFormula>
    </tableColumn>
    <tableColumn id="13" xr3:uid="{8AE3B616-3217-49A1-8B28-EFEBE0E72B0F}" name="POUNDS" dataDxfId="417">
      <calculatedColumnFormula>IF(Inventory_List_Table34111510[[#This Row],[Q]]&lt;0.1, " ", Inventory_List_Table34111510[[#This Row],[KG]]*2.20462)</calculatedColumnFormula>
    </tableColumn>
    <tableColumn id="10" xr3:uid="{1F749C54-0E02-4769-918E-8F9AC36C360D}" name="H Inches" dataDxfId="416">
      <calculatedColumnFormula>IF(Inventory_List_Table34111510[[#This Row],[Q]]&lt;0.1, " ",Inventory_List_Table34111510[[#This Row],[H CM]]/2.54)</calculatedColumnFormula>
    </tableColumn>
    <tableColumn id="11" xr3:uid="{5F1251A1-730A-458A-AC5B-F70F9CDCE019}" name="W Inches" dataDxfId="415">
      <calculatedColumnFormula>IF(Inventory_List_Table34111510[[#This Row],[Q]]&lt;0.1, " ",Inventory_List_Table34111510[[#This Row],[W CM]]/2.54)</calculatedColumnFormula>
    </tableColumn>
    <tableColumn id="12" xr3:uid="{F4ADD732-6B50-4651-890E-D6C2908F297D}" name="D Incbes" dataDxfId="414">
      <calculatedColumnFormula>IF(Inventory_List_Table34111510[[#This Row],[Q]]&lt;0.1, " ",Inventory_List_Table34111510[[#This Row],[D CM ]]/2.54)</calculatedColumnFormula>
    </tableColumn>
    <tableColumn id="14" xr3:uid="{799C8853-B055-43D3-BD83-517CA1711B18}" name="AQ USD" dataDxfId="413" dataCellStyle="Currency">
      <calculatedColumnFormula>IF(Inventory_List_Table34111510[[#This Row],[Q]]&lt;0.1, " ",Inventory_List_Table34111510[[#This Row],[PRICE]]/$L$1)</calculatedColumnFormula>
    </tableColumn>
    <tableColumn id="16" xr3:uid="{BD99C803-8B3F-4C69-BD49-E9638DEE7829}" name="AQ RND USD" dataDxfId="412" dataCellStyle="Currency">
      <calculatedColumnFormula>IF(Inventory_List_Table34111510[[#This Row],[Q]]&lt;0.1, " ",IF(MOD(Inventory_List_Table34111510[[#This Row],[AQ USD]],1)&gt;0.4,ROUNDUP(Inventory_List_Table34111510[[#This Row],[AQ USD]],0),ROUNDDOWN(Inventory_List_Table34111510[[#This Row],[AQ USD]],0)))</calculatedColumnFormula>
    </tableColumn>
    <tableColumn id="15" xr3:uid="{3D1E777B-01DD-47F0-A770-9495EC1C165D}" name="LND USD" dataDxfId="411" dataCellStyle="Currency">
      <calculatedColumnFormula>IF(Inventory_List_Table34111510[[#This Row],[Q]]&lt;0.1, " ",Inventory_List_Table34111510[[#This Row],[AQ RND USD]]*1.4)</calculatedColumnFormula>
    </tableColumn>
    <tableColumn id="21" xr3:uid="{528537BC-67D1-441F-8776-3803723BD31C}" name="LND RND USD" dataDxfId="410" dataCellStyle="Currency">
      <calculatedColumnFormula>IF(Inventory_List_Table34111510[[#This Row],[Q]]&lt;0.1, " ",IF(MOD(Inventory_List_Table34111510[[#This Row],[LND USD]],1)&gt;0.4,ROUNDUP(Inventory_List_Table34111510[[#This Row],[LND USD]],0),ROUNDDOWN(Inventory_List_Table34111510[[#This Row],[LND USD]],0)))</calculatedColumnFormula>
    </tableColumn>
    <tableColumn id="17" xr3:uid="{F431F05B-B0DC-4EA2-B3BF-C4282CE40CCA}" name="RETAIL USD" dataDxfId="409" dataCellStyle="Currency">
      <calculatedColumnFormula>IF(Inventory_List_Table34111510[[#This Row],[Q]]&lt;0.1, " ",Inventory_List_Table34111510[[#This Row],[LND RND USD]]*12)</calculatedColumnFormula>
    </tableColumn>
    <tableColumn id="22" xr3:uid="{808A4964-7905-4178-9E8C-FF9C50BDDD6E}" name="TOTAL USD" dataDxfId="408" dataCellStyle="Currency">
      <calculatedColumnFormula>IF(Inventory_List_Table34111510[[#This Row],[Q]]&lt;0.1, " ",Inventory_List_Table34111510[[#This Row],[AQ USD]])</calculatedColumnFormula>
    </tableColumn>
    <tableColumn id="18" xr3:uid="{96EB8089-82C8-4B64-A767-0A6CC200B6EC}" name="AQC" dataDxfId="407">
      <calculatedColumnFormula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calculatedColumnFormula>
    </tableColumn>
    <tableColumn id="27" xr3:uid="{846275DE-7167-4C90-8053-83577ED1DA2C}" name="LC" dataDxfId="406">
      <calculatedColumnFormula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calculatedColumnFormula>
    </tableColumn>
    <tableColumn id="28" xr3:uid="{41BFE8FB-6DC3-4A2D-B8D0-B94F4D830B25}" name="SQCM MXN" dataDxfId="405">
      <calculatedColumnFormula>IF(Inventory_List_Table34111510[[#This Row],[Q]]&lt;0.1, " ",Inventory_List_Table34111510[[#This Row],[H CM]]*Inventory_List_Table34111510[[#This Row],[D CM ]]*4+Inventory_List_Table34111510[[#This Row],[W CM]]*Inventory_List_Table34111510[[#This Row],[D CM ]]/10000)</calculatedColumnFormula>
    </tableColumn>
    <tableColumn id="26" xr3:uid="{855FB1DB-6FB1-4AF3-BD3B-69BD1F1F7172}" name="SQM MXN" dataDxfId="404" dataCellStyle="Currency">
      <calculatedColumnFormula>IF(Inventory_List_Table34111510[[#This Row],[Q]]&lt;0.1, " ",Inventory_List_Table34111510[[#This Row],[PRICE]]/Z3*10000)</calculatedColumnFormula>
    </tableColumn>
    <tableColumn id="19" xr3:uid="{3C443BF4-C7F1-4E2B-A8C8-3E8B8B63EB2E}" name="NOTES" dataDxfId="403" dataCellStyle="Currency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2D5AF0-3A79-4DAA-B507-AE0308C6B550}" name="Inventory_List_Table341115109" displayName="Inventory_List_Table341115109" ref="A2:AB102" totalsRowShown="0" headerRowDxfId="402" dataDxfId="400" headerRowBorderDxfId="401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02952015-4740-4614-89AC-266DF7C91517}" name="#" dataDxfId="399">
      <calculatedColumnFormula>IFERROR((Inventory_List_Table341115109[[#This Row],[H CM]]&lt;=Inventory_List_Table341115109[[#This Row],[D CM ]])*(Inventory_List_Table341115109[[#This Row],[W Inches]]="")*valHighlight,0)</calculatedColumnFormula>
    </tableColumn>
    <tableColumn id="25" xr3:uid="{642E837C-11DF-46B5-A612-D8F9615F0A68}" name="DATE" dataDxfId="398"/>
    <tableColumn id="24" xr3:uid="{5D3B815B-F448-4BD1-8839-DAD1F7463CFE}" name="COLOR / MATERIAL" dataDxfId="397"/>
    <tableColumn id="20" xr3:uid="{425BA1DF-216B-46FF-9FA1-1909D5A5A3AD}" name="OBJECT/ SHAPE" dataDxfId="396"/>
    <tableColumn id="2" xr3:uid="{597DC943-19B9-41F3-8340-3E17E480422E}" name="TYPE" dataDxfId="395"/>
    <tableColumn id="3" xr3:uid="{6D788A82-A176-4F4F-9F4F-93EA8A24DD61}" name="TAG-ID" dataDxfId="394">
      <calculatedColumnFormula>IF(Inventory_List_Table341115109[[#This Row],[Q]]&lt;0.1, " ",$A$1&amp;$D$1&amp;Inventory_List_Table341115109[[#This Row],['#]]&amp;Inventory_List_Table341115109[[#This Row],[LC]])</calculatedColumnFormula>
    </tableColumn>
    <tableColumn id="4" xr3:uid="{6AA6F0F2-34FF-4A30-B424-C6B180833CC5}" name="Q" dataDxfId="393"/>
    <tableColumn id="5" xr3:uid="{8C8697E0-EDBB-4550-B416-FE4A6572E937}" name="KG" dataDxfId="392"/>
    <tableColumn id="6" xr3:uid="{4D4126CD-CF66-4CB3-B675-94B5583C6A69}" name="H CM" dataDxfId="391"/>
    <tableColumn id="7" xr3:uid="{92FDE2FA-74CF-46BF-B4B2-C6B614C1E758}" name="W CM" dataDxfId="390"/>
    <tableColumn id="8" xr3:uid="{0E7F5CB4-9402-45EB-A8ED-9F1295795358}" name="D CM " dataDxfId="389"/>
    <tableColumn id="9" xr3:uid="{7F96CDC6-35E2-4F13-B3F9-8F9EA69C2205}" name="PRICE" dataDxfId="388" dataCellStyle="Currency"/>
    <tableColumn id="23" xr3:uid="{D84816F5-B509-4FB4-A92C-A6FA9E54057E}" name="TOTAL PESOS" dataDxfId="387" dataCellStyle="Currency">
      <calculatedColumnFormula>IF(Inventory_List_Table341115109[[#This Row],[Q]]&lt;0.1, " ", Inventory_List_Table341115109[[#This Row],[Q]]*Inventory_List_Table341115109[[#This Row],[PRICE]])</calculatedColumnFormula>
    </tableColumn>
    <tableColumn id="13" xr3:uid="{CCD78E6C-7BFD-4F9D-9C5C-DD756B1296DF}" name="POUNDS" dataDxfId="386">
      <calculatedColumnFormula>IF(Inventory_List_Table341115109[[#This Row],[Q]]&lt;0.1, " ", Inventory_List_Table341115109[[#This Row],[KG]]*2.20462)</calculatedColumnFormula>
    </tableColumn>
    <tableColumn id="10" xr3:uid="{5EE026B6-9027-4699-901A-D6FB3D10620A}" name="H Inches" dataDxfId="385">
      <calculatedColumnFormula>IF(Inventory_List_Table341115109[[#This Row],[Q]]&lt;0.1, " ",Inventory_List_Table341115109[[#This Row],[H CM]]/2.54)</calculatedColumnFormula>
    </tableColumn>
    <tableColumn id="11" xr3:uid="{9DA3BA09-9790-4DF2-9774-2423AEF9B216}" name="W Inches" dataDxfId="384">
      <calculatedColumnFormula>IF(Inventory_List_Table341115109[[#This Row],[Q]]&lt;0.1, " ",Inventory_List_Table341115109[[#This Row],[W CM]]/2.54)</calculatedColumnFormula>
    </tableColumn>
    <tableColumn id="12" xr3:uid="{33A7BA3A-548F-4D06-A97C-E46DF59697ED}" name="D Incbes" dataDxfId="383">
      <calculatedColumnFormula>IF(Inventory_List_Table341115109[[#This Row],[Q]]&lt;0.1, " ",Inventory_List_Table341115109[[#This Row],[D CM ]]/2.54)</calculatedColumnFormula>
    </tableColumn>
    <tableColumn id="14" xr3:uid="{EF877197-BD1C-4492-A43F-BFB6915F3C67}" name="AQ USD" dataDxfId="382" dataCellStyle="Currency">
      <calculatedColumnFormula>IF(Inventory_List_Table341115109[[#This Row],[Q]]&lt;0.1, " ",Inventory_List_Table341115109[[#This Row],[PRICE]]/$L$1)</calculatedColumnFormula>
    </tableColumn>
    <tableColumn id="16" xr3:uid="{1D3E39DD-02FE-4512-B5FE-442F2860916B}" name="AQ RND USD" dataDxfId="381" dataCellStyle="Currency">
      <calculatedColumnFormula>IF(Inventory_List_Table341115109[[#This Row],[Q]]&lt;0.1, " ",IF(MOD(Inventory_List_Table341115109[[#This Row],[AQ USD]],1)&gt;0.4,ROUNDUP(Inventory_List_Table341115109[[#This Row],[AQ USD]],0),ROUNDDOWN(Inventory_List_Table341115109[[#This Row],[AQ USD]],0)))</calculatedColumnFormula>
    </tableColumn>
    <tableColumn id="15" xr3:uid="{F80691EF-F9E2-408E-940D-C4E41CB9BA98}" name="LND USD" dataDxfId="380" dataCellStyle="Currency">
      <calculatedColumnFormula>IF(Inventory_List_Table341115109[[#This Row],[Q]]&lt;0.1, " ",Inventory_List_Table341115109[[#This Row],[AQ RND USD]]*1.4)</calculatedColumnFormula>
    </tableColumn>
    <tableColumn id="21" xr3:uid="{038F1932-DFE2-459D-8DE5-0F03F103258D}" name="LND RND USD" dataDxfId="379" dataCellStyle="Currency">
      <calculatedColumnFormula>IF(Inventory_List_Table341115109[[#This Row],[Q]]&lt;0.1, " ",IF(MOD(Inventory_List_Table341115109[[#This Row],[LND USD]],1)&gt;0.4,ROUNDUP(Inventory_List_Table341115109[[#This Row],[LND USD]],0),ROUNDDOWN(Inventory_List_Table341115109[[#This Row],[LND USD]],0)))</calculatedColumnFormula>
    </tableColumn>
    <tableColumn id="17" xr3:uid="{D68DE847-51B3-4898-83F7-F60620BCD703}" name="RETAIL USD" dataDxfId="378" dataCellStyle="Currency">
      <calculatedColumnFormula>IF(Inventory_List_Table341115109[[#This Row],[Q]]&lt;0.1, " ",Inventory_List_Table341115109[[#This Row],[LND RND USD]]*12)</calculatedColumnFormula>
    </tableColumn>
    <tableColumn id="22" xr3:uid="{ECE32FE8-691A-4FDB-8E45-1928E1398A07}" name="TOTAL USD" dataDxfId="377" dataCellStyle="Currency">
      <calculatedColumnFormula>IF(Inventory_List_Table341115109[[#This Row],[Q]]&lt;0.1, " ",Inventory_List_Table341115109[[#This Row],[AQ USD]])</calculatedColumnFormula>
    </tableColumn>
    <tableColumn id="18" xr3:uid="{E389A705-83AE-47CE-9875-99FF4AB564A7}" name="AQC" dataDxfId="376">
      <calculatedColumnFormula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calculatedColumnFormula>
    </tableColumn>
    <tableColumn id="27" xr3:uid="{02958144-D481-4AE9-8C34-18F912819C34}" name="LC" dataDxfId="375">
      <calculatedColumnFormula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calculatedColumnFormula>
    </tableColumn>
    <tableColumn id="28" xr3:uid="{AC665E90-2CA3-419F-8AB9-8C3C2530964A}" name="SQCM MXN" dataDxfId="374">
      <calculatedColumnFormula>IF(Inventory_List_Table341115109[[#This Row],[Q]]&lt;0.1, " ",Inventory_List_Table341115109[[#This Row],[H CM]]*Inventory_List_Table341115109[[#This Row],[D CM ]]*4+Inventory_List_Table341115109[[#This Row],[W CM]]*Inventory_List_Table341115109[[#This Row],[D CM ]]/10000)</calculatedColumnFormula>
    </tableColumn>
    <tableColumn id="26" xr3:uid="{FC6BAEA4-ACFD-44BF-B4AE-0B72212B101C}" name="SQM MXN" dataDxfId="373" dataCellStyle="Currency">
      <calculatedColumnFormula>IF(Inventory_List_Table341115109[[#This Row],[Q]]&lt;0.1, " ",Inventory_List_Table341115109[[#This Row],[PRICE]]/Z3*10000)</calculatedColumnFormula>
    </tableColumn>
    <tableColumn id="19" xr3:uid="{1C173D40-09F3-4084-B722-A102D8A0DA89}" name="NOTES" dataDxfId="372" dataCellStyle="Currency"/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ED9688-6038-4667-9D48-A9986384F8D6}" name="Inventory_List_Table34111510911" displayName="Inventory_List_Table34111510911" ref="A2:AB102" totalsRowShown="0" headerRowDxfId="371" dataDxfId="369" headerRowBorderDxfId="370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9368E35F-B357-4C2E-8AD3-5E6948183B74}" name="#" dataDxfId="368">
      <calculatedColumnFormula>IFERROR((Inventory_List_Table34111510911[[#This Row],[H CM]]&lt;=Inventory_List_Table34111510911[[#This Row],[D CM ]])*(Inventory_List_Table34111510911[[#This Row],[W Inches]]="")*valHighlight,0)</calculatedColumnFormula>
    </tableColumn>
    <tableColumn id="25" xr3:uid="{41CFCEFF-57A3-4568-8C43-B742F0210A34}" name="DATE" dataDxfId="367"/>
    <tableColumn id="24" xr3:uid="{FB67E445-B677-4954-A769-7C2BBEA7E318}" name="COLOR / MATERIAL" dataDxfId="366"/>
    <tableColumn id="20" xr3:uid="{C4D53C4F-FA86-441A-B3BB-C69DA2E39617}" name="OBJECT/ SHAPE" dataDxfId="365"/>
    <tableColumn id="2" xr3:uid="{A7DD5CF6-C380-4DBF-8F5B-9A8AE6BBCB02}" name="TYPE" dataDxfId="364"/>
    <tableColumn id="3" xr3:uid="{ED8C7AC3-CDD8-4AF6-9530-8374B8AB8CD6}" name="TAG-ID" dataDxfId="363">
      <calculatedColumnFormula>IF(Inventory_List_Table34111510911[[#This Row],[Q]]&lt;0.1, " ",$A$1&amp;$D$1&amp;Inventory_List_Table34111510911[[#This Row],['#]]&amp;Inventory_List_Table34111510911[[#This Row],[LC]])</calculatedColumnFormula>
    </tableColumn>
    <tableColumn id="4" xr3:uid="{97085926-5525-4947-802D-3E7F837DCE62}" name="Q" dataDxfId="362"/>
    <tableColumn id="5" xr3:uid="{1213BBB6-43EC-4689-BE1A-4487B6B20388}" name="KG" dataDxfId="361"/>
    <tableColumn id="6" xr3:uid="{7A219F44-43D1-43BF-9544-CF1E452B03F3}" name="H CM" dataDxfId="360"/>
    <tableColumn id="7" xr3:uid="{12A687BB-6F7F-42DF-9C50-C30410105053}" name="W CM" dataDxfId="359"/>
    <tableColumn id="8" xr3:uid="{69CDDB51-C5D7-4D61-9353-B00C33F4E3D2}" name="D CM " dataDxfId="358"/>
    <tableColumn id="9" xr3:uid="{600AFAAB-FE09-4CB8-9047-91DF75C1FC64}" name="PRICE" dataDxfId="357" dataCellStyle="Currency"/>
    <tableColumn id="23" xr3:uid="{A3B50E08-22F5-4E28-AC50-A1E50565CF8E}" name="TOTAL PESOS" dataDxfId="356" dataCellStyle="Currency">
      <calculatedColumnFormula>IF(Inventory_List_Table34111510911[[#This Row],[Q]]&lt;0.1, " ", Inventory_List_Table34111510911[[#This Row],[Q]]*Inventory_List_Table34111510911[[#This Row],[PRICE]])</calculatedColumnFormula>
    </tableColumn>
    <tableColumn id="13" xr3:uid="{3165D39C-522C-4B7D-A41C-48413A220D93}" name="POUNDS" dataDxfId="355">
      <calculatedColumnFormula>IF(Inventory_List_Table34111510911[[#This Row],[Q]]&lt;0.1, " ", Inventory_List_Table34111510911[[#This Row],[KG]]*2.20462)</calculatedColumnFormula>
    </tableColumn>
    <tableColumn id="10" xr3:uid="{B6E8D600-0C73-42DC-A6B6-53E50D8FE2EB}" name="H Inches" dataDxfId="354">
      <calculatedColumnFormula>IF(Inventory_List_Table34111510911[[#This Row],[Q]]&lt;0.1, " ",Inventory_List_Table34111510911[[#This Row],[H CM]]/2.54)</calculatedColumnFormula>
    </tableColumn>
    <tableColumn id="11" xr3:uid="{B1E1CBF5-0912-4E9E-8219-FFCCC9CD2674}" name="W Inches" dataDxfId="353">
      <calculatedColumnFormula>IF(Inventory_List_Table34111510911[[#This Row],[Q]]&lt;0.1, " ",Inventory_List_Table34111510911[[#This Row],[W CM]]/2.54)</calculatedColumnFormula>
    </tableColumn>
    <tableColumn id="12" xr3:uid="{E6341590-051C-479B-B478-03E21D01A6DE}" name="D Incbes" dataDxfId="352">
      <calculatedColumnFormula>IF(Inventory_List_Table34111510911[[#This Row],[Q]]&lt;0.1, " ",Inventory_List_Table34111510911[[#This Row],[D CM ]]/2.54)</calculatedColumnFormula>
    </tableColumn>
    <tableColumn id="14" xr3:uid="{6A020614-AFD2-45A4-95E9-1166D754F986}" name="AQ USD" dataDxfId="351" dataCellStyle="Currency">
      <calculatedColumnFormula>IF(Inventory_List_Table34111510911[[#This Row],[Q]]&lt;0.1, " ",Inventory_List_Table34111510911[[#This Row],[PRICE]]/$L$1)</calculatedColumnFormula>
    </tableColumn>
    <tableColumn id="16" xr3:uid="{B56CA853-9196-44CF-AA3D-5C740D21F9F6}" name="AQ RND USD" dataDxfId="350" dataCellStyle="Currency">
      <calculatedColumnFormula>IF(Inventory_List_Table34111510911[[#This Row],[Q]]&lt;0.1, " ",IF(MOD(Inventory_List_Table34111510911[[#This Row],[AQ USD]],1)&gt;0.4,ROUNDUP(Inventory_List_Table34111510911[[#This Row],[AQ USD]],0),ROUNDDOWN(Inventory_List_Table34111510911[[#This Row],[AQ USD]],0)))</calculatedColumnFormula>
    </tableColumn>
    <tableColumn id="15" xr3:uid="{83FE37B5-95F4-4524-A1ED-BA8FE463F1C5}" name="LND USD" dataDxfId="349" dataCellStyle="Currency">
      <calculatedColumnFormula>IF(Inventory_List_Table34111510911[[#This Row],[Q]]&lt;0.1, " ",Inventory_List_Table34111510911[[#This Row],[AQ RND USD]]*1.4)</calculatedColumnFormula>
    </tableColumn>
    <tableColumn id="21" xr3:uid="{63EF3D8F-4267-41A5-8EE2-FBA00C13F102}" name="LND RND USD" dataDxfId="348" dataCellStyle="Currency">
      <calculatedColumnFormula>IF(Inventory_List_Table34111510911[[#This Row],[Q]]&lt;0.1, " ",IF(MOD(Inventory_List_Table34111510911[[#This Row],[LND USD]],1)&gt;0.4,ROUNDUP(Inventory_List_Table34111510911[[#This Row],[LND USD]],0),ROUNDDOWN(Inventory_List_Table34111510911[[#This Row],[LND USD]],0)))</calculatedColumnFormula>
    </tableColumn>
    <tableColumn id="17" xr3:uid="{A294B547-DB42-479D-873E-E158F31C7639}" name="RETAIL USD" dataDxfId="347" dataCellStyle="Currency">
      <calculatedColumnFormula>IF(Inventory_List_Table34111510911[[#This Row],[Q]]&lt;0.1, " ",Inventory_List_Table34111510911[[#This Row],[LND RND USD]]*12)</calculatedColumnFormula>
    </tableColumn>
    <tableColumn id="22" xr3:uid="{303266D4-D68A-425E-9A8B-F6A3F27E12CE}" name="TOTAL USD" dataDxfId="346" dataCellStyle="Currency">
      <calculatedColumnFormula>IF(Inventory_List_Table34111510911[[#This Row],[Q]]&lt;0.1, " ",Inventory_List_Table34111510911[[#This Row],[AQ USD]])</calculatedColumnFormula>
    </tableColumn>
    <tableColumn id="18" xr3:uid="{1D7C309C-21A4-42F2-BEDE-FCD05AD5C2D6}" name="AQC" dataDxfId="345">
      <calculatedColumnFormula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calculatedColumnFormula>
    </tableColumn>
    <tableColumn id="27" xr3:uid="{6723403F-87B3-416F-A58E-C4A9A4A1142C}" name="LC" dataDxfId="344">
      <calculatedColumnFormula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calculatedColumnFormula>
    </tableColumn>
    <tableColumn id="28" xr3:uid="{DDE422CA-6162-43E1-ADA4-E8CF33E49B57}" name="SQCM MXN" dataDxfId="343">
      <calculatedColumnFormula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calculatedColumnFormula>
    </tableColumn>
    <tableColumn id="26" xr3:uid="{566B6046-FEDB-4DE7-8C96-35ED0F8EC18D}" name="SQM MXN" dataDxfId="342" dataCellStyle="Currency">
      <calculatedColumnFormula>IF(Inventory_List_Table34111510911[[#This Row],[Q]]&lt;0.1, " ",Inventory_List_Table34111510911[[#This Row],[PRICE]]/Z3*10000)</calculatedColumnFormula>
    </tableColumn>
    <tableColumn id="19" xr3:uid="{9A38D0F2-43CC-49F6-ACA0-C47A386DA4A6}" name="NOTES" dataDxfId="341" dataCellStyle="Currency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C728EFE-01B1-4512-96E6-0CECB0D6EEF5}" name="Inventory_List_Table3411151091113" displayName="Inventory_List_Table3411151091113" ref="A2:AB102" totalsRowShown="0" headerRowDxfId="340" dataDxfId="338" headerRowBorderDxfId="339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C2C9F8AD-0557-4735-B138-51E4C7BC48A5}" name="#" dataDxfId="337">
      <calculatedColumnFormula>IFERROR((Inventory_List_Table3411151091113[[#This Row],[H CM]]&lt;=Inventory_List_Table3411151091113[[#This Row],[D CM ]])*(Inventory_List_Table3411151091113[[#This Row],[W Inches]]="")*valHighlight,0)</calculatedColumnFormula>
    </tableColumn>
    <tableColumn id="25" xr3:uid="{0CD641E5-3907-4B24-9A18-BA149E11CA95}" name="DATE" dataDxfId="336"/>
    <tableColumn id="24" xr3:uid="{7BA97D30-8413-415D-A852-768A8AB7ADD8}" name="COLOR / MATERIAL" dataDxfId="335"/>
    <tableColumn id="20" xr3:uid="{91C115FF-C45F-462F-A6E1-456AED58603C}" name="OBJECT/ SHAPE" dataDxfId="334"/>
    <tableColumn id="2" xr3:uid="{262115F0-5004-4FE3-BC64-2E9FDB9B7341}" name="TYPE" dataDxfId="333"/>
    <tableColumn id="3" xr3:uid="{10168945-262C-47CF-BA53-E9EF287E7FEB}" name="TAG-ID" dataDxfId="332">
      <calculatedColumnFormula>IF(Inventory_List_Table3411151091113[[#This Row],[Q]]&lt;0.1, " ",$A$1&amp;$D$1&amp;Inventory_List_Table3411151091113[[#This Row],['#]]&amp;Inventory_List_Table3411151091113[[#This Row],[LC]])</calculatedColumnFormula>
    </tableColumn>
    <tableColumn id="4" xr3:uid="{0677C8AE-00B9-4296-8AFE-716318892F64}" name="Q" dataDxfId="331"/>
    <tableColumn id="5" xr3:uid="{CEDF55B5-E651-49BB-8D73-4D6012F45259}" name="KG" dataDxfId="330"/>
    <tableColumn id="6" xr3:uid="{EC901B4E-F9ED-4822-8882-0864EBA01323}" name="H CM" dataDxfId="329"/>
    <tableColumn id="7" xr3:uid="{B10CD313-8F40-439E-98FE-9E5FAE489259}" name="W CM" dataDxfId="328"/>
    <tableColumn id="8" xr3:uid="{94DA277D-2347-4FFC-B6EA-B522468772E0}" name="D CM " dataDxfId="327"/>
    <tableColumn id="9" xr3:uid="{2529B1F8-7C8C-4EA7-90C9-87A54B59250C}" name="PRICE" dataDxfId="326" dataCellStyle="Currency"/>
    <tableColumn id="23" xr3:uid="{7FDCDB25-E7A5-4778-9969-DEF6FB3448E0}" name="TOTAL PESOS" dataDxfId="325" dataCellStyle="Currency">
      <calculatedColumnFormula>IF(Inventory_List_Table3411151091113[[#This Row],[Q]]&lt;0.1, " ", Inventory_List_Table3411151091113[[#This Row],[Q]]*Inventory_List_Table3411151091113[[#This Row],[PRICE]])</calculatedColumnFormula>
    </tableColumn>
    <tableColumn id="13" xr3:uid="{EF376A67-3CE2-46BC-9390-34A83C9EA3EE}" name="POUNDS" dataDxfId="324">
      <calculatedColumnFormula>IF(Inventory_List_Table3411151091113[[#This Row],[Q]]&lt;0.1, " ", Inventory_List_Table3411151091113[[#This Row],[KG]]*2.20462)</calculatedColumnFormula>
    </tableColumn>
    <tableColumn id="10" xr3:uid="{16FE19BE-B791-495C-A8C7-EE4D295DFCEE}" name="H Inches" dataDxfId="323">
      <calculatedColumnFormula>IF(Inventory_List_Table3411151091113[[#This Row],[Q]]&lt;0.1, " ",Inventory_List_Table3411151091113[[#This Row],[H CM]]/2.54)</calculatedColumnFormula>
    </tableColumn>
    <tableColumn id="11" xr3:uid="{5F552CCC-FACC-4365-A8DF-782F33D73761}" name="W Inches" dataDxfId="322">
      <calculatedColumnFormula>IF(Inventory_List_Table3411151091113[[#This Row],[Q]]&lt;0.1, " ",Inventory_List_Table3411151091113[[#This Row],[W CM]]/2.54)</calculatedColumnFormula>
    </tableColumn>
    <tableColumn id="12" xr3:uid="{0634D277-D942-46C0-AB73-69301F9CEC39}" name="D Incbes" dataDxfId="321">
      <calculatedColumnFormula>IF(Inventory_List_Table3411151091113[[#This Row],[Q]]&lt;0.1, " ",Inventory_List_Table3411151091113[[#This Row],[D CM ]]/2.54)</calculatedColumnFormula>
    </tableColumn>
    <tableColumn id="14" xr3:uid="{6CD4B532-B504-4C2F-B42E-7B4390E034E4}" name="AQ USD" dataDxfId="320" dataCellStyle="Currency">
      <calculatedColumnFormula>IF(Inventory_List_Table3411151091113[[#This Row],[Q]]&lt;0.1, " ",Inventory_List_Table3411151091113[[#This Row],[PRICE]]/$L$1)</calculatedColumnFormula>
    </tableColumn>
    <tableColumn id="16" xr3:uid="{94EE7841-736F-4B4E-97DB-63BFB6152356}" name="AQ RND USD" dataDxfId="319" dataCellStyle="Currency">
      <calculatedColumnFormula>IF(Inventory_List_Table3411151091113[[#This Row],[Q]]&lt;0.1, " ",IF(MOD(Inventory_List_Table3411151091113[[#This Row],[AQ USD]],1)&gt;0.4,ROUNDUP(Inventory_List_Table3411151091113[[#This Row],[AQ USD]],0),ROUNDDOWN(Inventory_List_Table3411151091113[[#This Row],[AQ USD]],0)))</calculatedColumnFormula>
    </tableColumn>
    <tableColumn id="15" xr3:uid="{DC1FC1FA-FE70-40F8-B8D3-0C47012E0586}" name="LND USD" dataDxfId="318" dataCellStyle="Currency">
      <calculatedColumnFormula>IF(Inventory_List_Table3411151091113[[#This Row],[Q]]&lt;0.1, " ",Inventory_List_Table3411151091113[[#This Row],[AQ RND USD]]*1.4)</calculatedColumnFormula>
    </tableColumn>
    <tableColumn id="21" xr3:uid="{D34A921B-38CF-4812-BEFD-E9DD2276BC7B}" name="LND RND USD" dataDxfId="317" dataCellStyle="Currency">
      <calculatedColumnFormula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calculatedColumnFormula>
    </tableColumn>
    <tableColumn id="17" xr3:uid="{95CF9532-228D-4FF0-8DB7-68889E81D573}" name="RETAIL USD" dataDxfId="316" dataCellStyle="Currency">
      <calculatedColumnFormula>IF(Inventory_List_Table3411151091113[[#This Row],[Q]]&lt;0.1, " ",Inventory_List_Table3411151091113[[#This Row],[LND RND USD]]*12)</calculatedColumnFormula>
    </tableColumn>
    <tableColumn id="22" xr3:uid="{30F8FA22-4D30-4206-B68D-C6B0224684EC}" name="TOTAL USD" dataDxfId="315" dataCellStyle="Currency">
      <calculatedColumnFormula>IF(Inventory_List_Table3411151091113[[#This Row],[Q]]&lt;0.1, " ",Inventory_List_Table3411151091113[[#This Row],[AQ USD]])</calculatedColumnFormula>
    </tableColumn>
    <tableColumn id="18" xr3:uid="{DC69F952-7313-4CA9-B82D-412C6CF7A56E}" name="AQC" dataDxfId="314">
      <calculatedColumnFormula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calculatedColumnFormula>
    </tableColumn>
    <tableColumn id="27" xr3:uid="{6F8DEE50-6A0B-4556-A851-75361CFD1BA1}" name="LC" dataDxfId="313">
      <calculatedColumnFormula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calculatedColumnFormula>
    </tableColumn>
    <tableColumn id="28" xr3:uid="{7116D8E6-F566-4ED8-9021-BEAEAA0AAC48}" name="SQCM MXN" dataDxfId="312">
      <calculatedColumnFormula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calculatedColumnFormula>
    </tableColumn>
    <tableColumn id="26" xr3:uid="{2FF969F1-3F56-41CB-9757-5E5D73504FCD}" name="SQM MXN" dataDxfId="311" dataCellStyle="Currency">
      <calculatedColumnFormula>IF(Inventory_List_Table3411151091113[[#This Row],[Q]]&lt;0.1, " ",Inventory_List_Table3411151091113[[#This Row],[PRICE]]/Z3*10000)</calculatedColumnFormula>
    </tableColumn>
    <tableColumn id="19" xr3:uid="{C4B90AED-CE72-4BBB-9635-ED04E320058A}" name="NOTES" dataDxfId="310" dataCellStyle="Currency"/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96959A1-C66D-4373-A862-0B7C5E0996F5}" name="Inventory_List_Table341115109111317" displayName="Inventory_List_Table341115109111317" ref="A2:AB102" totalsRowShown="0" headerRowDxfId="309" dataDxfId="307" headerRowBorderDxfId="308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086529B5-C475-423D-92D4-F845450E4B20}" name="#" dataDxfId="306">
      <calculatedColumnFormula>IFERROR((Inventory_List_Table341115109111317[[#This Row],[H CM]]&lt;=Inventory_List_Table341115109111317[[#This Row],[D CM ]])*(Inventory_List_Table341115109111317[[#This Row],[W Inches]]="")*valHighlight,0)</calculatedColumnFormula>
    </tableColumn>
    <tableColumn id="25" xr3:uid="{E7E3F09F-E5A5-4355-9FF0-D411151C3524}" name="DATE" dataDxfId="305"/>
    <tableColumn id="24" xr3:uid="{C5871334-4EC4-4CDC-ABD0-66AEBA13135E}" name="COLOR / MATERIAL" dataDxfId="304"/>
    <tableColumn id="20" xr3:uid="{E37C4A49-E399-43D0-B7DF-09708FA87D9D}" name="OBJECT/ SHAPE" dataDxfId="303"/>
    <tableColumn id="2" xr3:uid="{3015BF75-593D-4E90-AE60-E6AD7D2D1B68}" name="TYPE" dataDxfId="302"/>
    <tableColumn id="3" xr3:uid="{D3B9D9BC-DCA6-42A5-BA5F-E99F871397CA}" name="TAG-ID" dataDxfId="301">
      <calculatedColumnFormula>IF(Inventory_List_Table341115109111317[[#This Row],[Q]]&lt;0.1, " ",$A$1&amp;$D$1&amp;Inventory_List_Table341115109111317[[#This Row],['#]]&amp;Inventory_List_Table341115109111317[[#This Row],[LC]])</calculatedColumnFormula>
    </tableColumn>
    <tableColumn id="4" xr3:uid="{F589626D-C87A-468B-8581-84F4CBD32A52}" name="Q" dataDxfId="300"/>
    <tableColumn id="5" xr3:uid="{9F629D39-B9B2-4EC9-82F6-BC1DE6E54632}" name="KG" dataDxfId="299"/>
    <tableColumn id="6" xr3:uid="{41763A04-5A29-481B-B742-66D097CD8322}" name="H CM" dataDxfId="298"/>
    <tableColumn id="7" xr3:uid="{B9B1BF82-7949-468D-B44D-D451767CEEF7}" name="W CM" dataDxfId="297"/>
    <tableColumn id="8" xr3:uid="{96C6061B-3688-4CE9-AD40-E45D82887DA1}" name="D CM " dataDxfId="296"/>
    <tableColumn id="9" xr3:uid="{F6EA7497-02F5-40AD-B90C-AA2B78F578D7}" name="PRICE" dataDxfId="295" dataCellStyle="Currency"/>
    <tableColumn id="23" xr3:uid="{4BF72937-F8F7-4F2A-AE1A-798C2FA91801}" name="TOTAL PESOS" dataDxfId="294" dataCellStyle="Currency">
      <calculatedColumnFormula>IF(Inventory_List_Table341115109111317[[#This Row],[Q]]&lt;0.1, " ", Inventory_List_Table341115109111317[[#This Row],[Q]]*Inventory_List_Table341115109111317[[#This Row],[PRICE]])</calculatedColumnFormula>
    </tableColumn>
    <tableColumn id="13" xr3:uid="{90B16E57-04B0-4717-B72B-008BF2514FDB}" name="POUNDS" dataDxfId="293">
      <calculatedColumnFormula>IF(Inventory_List_Table341115109111317[[#This Row],[Q]]&lt;0.1, " ", Inventory_List_Table341115109111317[[#This Row],[KG]]*2.20462)</calculatedColumnFormula>
    </tableColumn>
    <tableColumn id="10" xr3:uid="{E2D566A0-CADB-4A03-A80B-F5DF1B07AB69}" name="H Inches" dataDxfId="292">
      <calculatedColumnFormula>IF(Inventory_List_Table341115109111317[[#This Row],[Q]]&lt;0.1, " ",Inventory_List_Table341115109111317[[#This Row],[H CM]]/2.54)</calculatedColumnFormula>
    </tableColumn>
    <tableColumn id="11" xr3:uid="{3234AC5E-A0D1-4E5C-A7C7-FC7A62793749}" name="W Inches" dataDxfId="291">
      <calculatedColumnFormula>IF(Inventory_List_Table341115109111317[[#This Row],[Q]]&lt;0.1, " ",Inventory_List_Table341115109111317[[#This Row],[W CM]]/2.54)</calculatedColumnFormula>
    </tableColumn>
    <tableColumn id="12" xr3:uid="{6C9F467A-ADDA-4B99-8B69-D5B12A715004}" name="D Incbes" dataDxfId="290">
      <calculatedColumnFormula>IF(Inventory_List_Table341115109111317[[#This Row],[Q]]&lt;0.1, " ",Inventory_List_Table341115109111317[[#This Row],[D CM ]]/2.54)</calculatedColumnFormula>
    </tableColumn>
    <tableColumn id="14" xr3:uid="{8E778E64-D318-4751-A637-B5F512C488DB}" name="AQ USD" dataDxfId="289" dataCellStyle="Currency">
      <calculatedColumnFormula>IF(Inventory_List_Table341115109111317[[#This Row],[Q]]&lt;0.1, " ",Inventory_List_Table341115109111317[[#This Row],[PRICE]]/$L$1)</calculatedColumnFormula>
    </tableColumn>
    <tableColumn id="16" xr3:uid="{77ABE07E-47BA-42F7-8FD0-7BB146109C8F}" name="AQ RND USD" dataDxfId="288" dataCellStyle="Currency">
      <calculatedColumnFormula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calculatedColumnFormula>
    </tableColumn>
    <tableColumn id="15" xr3:uid="{6C8803EE-5489-4969-B6E5-48689C3C677C}" name="LND USD" dataDxfId="287" dataCellStyle="Currency">
      <calculatedColumnFormula>IF(Inventory_List_Table341115109111317[[#This Row],[Q]]&lt;0.1, " ",Inventory_List_Table341115109111317[[#This Row],[AQ RND USD]]*1.4)</calculatedColumnFormula>
    </tableColumn>
    <tableColumn id="21" xr3:uid="{54FDA8F2-B688-40AB-AFAE-E256495BB16E}" name="LND RND USD" dataDxfId="286" dataCellStyle="Currency">
      <calculatedColumnFormula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calculatedColumnFormula>
    </tableColumn>
    <tableColumn id="17" xr3:uid="{AE08DF85-ED5B-4C9E-96D9-7C83180AF1FF}" name="RETAIL USD" dataDxfId="285" dataCellStyle="Currency">
      <calculatedColumnFormula>IF(Inventory_List_Table341115109111317[[#This Row],[Q]]&lt;0.1, " ",Inventory_List_Table341115109111317[[#This Row],[LND RND USD]]*12)</calculatedColumnFormula>
    </tableColumn>
    <tableColumn id="22" xr3:uid="{4674C407-E29E-4EA4-9C30-7EA0F9B9B75D}" name="TOTAL USD" dataDxfId="284" dataCellStyle="Currency">
      <calculatedColumnFormula>IF(Inventory_List_Table341115109111317[[#This Row],[Q]]&lt;0.1, " ",Inventory_List_Table341115109111317[[#This Row],[AQ USD]])</calculatedColumnFormula>
    </tableColumn>
    <tableColumn id="18" xr3:uid="{29C9AE17-2CDB-4C2C-B727-80B9F83A36B4}" name="AQC" dataDxfId="283">
      <calculatedColumnFormula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calculatedColumnFormula>
    </tableColumn>
    <tableColumn id="27" xr3:uid="{1E9741BE-EBED-470E-B4A1-5FDC2B87B5FF}" name="LC" dataDxfId="282">
      <calculatedColumnFormula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calculatedColumnFormula>
    </tableColumn>
    <tableColumn id="28" xr3:uid="{74D21320-DA32-417B-B392-2AA22A66D271}" name="SQCM MXN" dataDxfId="281">
      <calculatedColumnFormula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calculatedColumnFormula>
    </tableColumn>
    <tableColumn id="26" xr3:uid="{A0ECC872-BFE7-4DAC-A218-45AD68C7FE9A}" name="SQM MXN" dataDxfId="280" dataCellStyle="Currency">
      <calculatedColumnFormula>IF(Inventory_List_Table341115109111317[[#This Row],[Q]]&lt;0.1, " ",Inventory_List_Table341115109111317[[#This Row],[PRICE]]/Z3*10000)</calculatedColumnFormula>
    </tableColumn>
    <tableColumn id="19" xr3:uid="{B9E5161C-672E-4B73-9D35-F84024F025D3}" name="NOTES" dataDxfId="279" dataCellStyle="Currency"/>
  </tableColumns>
  <tableStyleInfo name="TableStyleLight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FD7FC9F-CDE5-47A1-B046-0F69042C9460}" name="Inventory_List_Table34111510911131718" displayName="Inventory_List_Table34111510911131718" ref="A2:AB102" totalsRowShown="0" headerRowDxfId="278" dataDxfId="276" headerRowBorderDxfId="277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7CA8B4D0-99B6-4262-B3AD-131DBBEE666F}" name="#" dataDxfId="275">
      <calculatedColumnFormula>IFERROR((Inventory_List_Table34111510911131718[[#This Row],[H CM]]&lt;=Inventory_List_Table34111510911131718[[#This Row],[D CM ]])*(Inventory_List_Table34111510911131718[[#This Row],[W Inches]]="")*valHighlight,0)</calculatedColumnFormula>
    </tableColumn>
    <tableColumn id="25" xr3:uid="{58BF0688-C39B-4EC0-9E39-E9B35A9BC09D}" name="DATE" dataDxfId="274"/>
    <tableColumn id="24" xr3:uid="{2D776235-41AF-409C-A324-1D430C9D1669}" name="COLOR / MATERIAL" dataDxfId="273"/>
    <tableColumn id="20" xr3:uid="{142B2F9F-3EAE-4DFB-ABB3-B81FD32FC3D6}" name="OBJECT/ SHAPE" dataDxfId="272"/>
    <tableColumn id="2" xr3:uid="{B82C4171-64A5-4B31-9043-52D7042AF7BD}" name="TYPE" dataDxfId="271"/>
    <tableColumn id="3" xr3:uid="{654F5D60-9371-4243-83C2-7455447D8339}" name="TAG-ID" dataDxfId="270">
      <calculatedColumnFormula>IF(Inventory_List_Table34111510911131718[[#This Row],[Q]]&lt;0.1, " ",#REF!&amp;$D$1&amp;#REF!&amp;Inventory_List_Table34111510911131718[[#This Row],[NOTES]])</calculatedColumnFormula>
    </tableColumn>
    <tableColumn id="4" xr3:uid="{654FAF5C-35A3-41B4-AC69-C33F2388DF14}" name="Q" dataDxfId="269"/>
    <tableColumn id="5" xr3:uid="{559F152D-2202-4019-983F-1B469C064AD4}" name="KG" dataDxfId="268"/>
    <tableColumn id="6" xr3:uid="{5E87ECA6-F218-47CD-955C-4D4A42309934}" name="H CM" dataDxfId="267"/>
    <tableColumn id="7" xr3:uid="{2B36E13E-8CAB-4BA0-9036-12140317FA2B}" name="W CM" dataDxfId="266"/>
    <tableColumn id="8" xr3:uid="{5C8FAF89-0BAA-43F5-AA6C-31504CDF89C9}" name="D CM " dataDxfId="265"/>
    <tableColumn id="9" xr3:uid="{EE8D1849-7E95-4B68-A9A6-65B0B85DC6C7}" name="PRICE" dataDxfId="264" dataCellStyle="Currency"/>
    <tableColumn id="23" xr3:uid="{62984904-125D-418B-966F-2FD9E65D93FD}" name="TOTAL PESOS" dataDxfId="263" dataCellStyle="Currency">
      <calculatedColumnFormula>IF(Inventory_List_Table34111510911131718[[#This Row],[Q]]&lt;0.1, " ", Inventory_List_Table34111510911131718[[#This Row],[Q]]*Inventory_List_Table34111510911131718[[#This Row],[PRICE]])</calculatedColumnFormula>
    </tableColumn>
    <tableColumn id="13" xr3:uid="{304B40F7-42E7-4382-93D3-065F467031D0}" name="POUNDS" dataDxfId="262">
      <calculatedColumnFormula>IF(Inventory_List_Table34111510911131718[[#This Row],[Q]]&lt;0.1, " ", Inventory_List_Table34111510911131718[[#This Row],[KG]]*2.20462)</calculatedColumnFormula>
    </tableColumn>
    <tableColumn id="10" xr3:uid="{28ED3679-5699-42DD-857B-49EA751E97AD}" name="H Inches" dataDxfId="261">
      <calculatedColumnFormula>IF(Inventory_List_Table34111510911131718[[#This Row],[Q]]&lt;0.1, " ",Inventory_List_Table34111510911131718[[#This Row],[H CM]]/2.54)</calculatedColumnFormula>
    </tableColumn>
    <tableColumn id="11" xr3:uid="{49D331D2-E7EA-4A59-B587-61854349CB11}" name="W Inches" dataDxfId="260">
      <calculatedColumnFormula>IF(Inventory_List_Table34111510911131718[[#This Row],[Q]]&lt;0.1, " ",Inventory_List_Table34111510911131718[[#This Row],[W CM]]/2.54)</calculatedColumnFormula>
    </tableColumn>
    <tableColumn id="12" xr3:uid="{387BB3FB-A99D-4DB4-BE63-C1E0628A0DA3}" name="D Incbes" dataDxfId="259">
      <calculatedColumnFormula>IF(Inventory_List_Table34111510911131718[[#This Row],[Q]]&lt;0.1, " ",Inventory_List_Table34111510911131718[[#This Row],[D CM ]]/2.54)</calculatedColumnFormula>
    </tableColumn>
    <tableColumn id="14" xr3:uid="{734F1296-6005-499A-AEE9-830A38D56B6D}" name="AQ USD" dataDxfId="258" dataCellStyle="Currency">
      <calculatedColumnFormula>IF(Inventory_List_Table34111510911131718[[#This Row],[Q]]&lt;0.1, " ",Inventory_List_Table34111510911131718[[#This Row],[PRICE]]/$L$1)</calculatedColumnFormula>
    </tableColumn>
    <tableColumn id="16" xr3:uid="{4189F630-05D8-4C3D-820C-77977FB1494A}" name="AQ RND USD" dataDxfId="257" dataCellStyle="Currency">
      <calculatedColumnFormula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calculatedColumnFormula>
    </tableColumn>
    <tableColumn id="15" xr3:uid="{847A5B11-D1AD-4DF8-8E6E-78B6AB6A5FC4}" name="LND USD" dataDxfId="256" dataCellStyle="Currency">
      <calculatedColumnFormula>IF(Inventory_List_Table34111510911131718[[#This Row],[Q]]&lt;0.1, " ",Inventory_List_Table34111510911131718[[#This Row],[AQ RND USD]]*1.4)</calculatedColumnFormula>
    </tableColumn>
    <tableColumn id="21" xr3:uid="{0DE7BC4F-A390-4E13-8D85-5061D988C9CD}" name="LND RND USD" dataDxfId="255" dataCellStyle="Currency">
      <calculatedColumnFormula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calculatedColumnFormula>
    </tableColumn>
    <tableColumn id="17" xr3:uid="{81F514B9-124B-457E-866D-FF8C2529C7FA}" name="RETAIL USD" dataDxfId="254" dataCellStyle="Currency">
      <calculatedColumnFormula>IF(Inventory_List_Table34111510911131718[[#This Row],[Q]]&lt;0.1, " ",Inventory_List_Table34111510911131718[[#This Row],[LND RND USD]]*12)</calculatedColumnFormula>
    </tableColumn>
    <tableColumn id="22" xr3:uid="{2C7815FF-8362-4DAA-A53A-966A000B152B}" name="TOTAL USD" dataDxfId="253" dataCellStyle="Currency">
      <calculatedColumnFormula>IF(Inventory_List_Table34111510911131718[[#This Row],[Q]]&lt;0.1, " ",Inventory_List_Table34111510911131718[[#This Row],[AQ USD]])</calculatedColumnFormula>
    </tableColumn>
    <tableColumn id="18" xr3:uid="{EBB28DC1-A06B-4026-8BF2-8805D18D3682}" name="AQC" dataDxfId="252">
      <calculatedColumnFormula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calculatedColumnFormula>
    </tableColumn>
    <tableColumn id="27" xr3:uid="{7A9B39F0-7958-40BD-B7EF-791636E8ADEB}" name="LC" dataDxfId="251">
      <calculatedColumnFormula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calculatedColumnFormula>
    </tableColumn>
    <tableColumn id="28" xr3:uid="{F8EC66E9-607F-40F3-BB97-37FF9D01CE5F}" name="SQCM MXN" dataDxfId="250">
      <calculatedColumnFormula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calculatedColumnFormula>
    </tableColumn>
    <tableColumn id="26" xr3:uid="{0F2A3ABF-F4F6-430C-96B7-2BE15AB58C81}" name="SQM MXN" dataDxfId="249" dataCellStyle="Currency">
      <calculatedColumnFormula>IF(Inventory_List_Table34111510911131718[[#This Row],[Q]]&lt;0.1, " ",Inventory_List_Table34111510911131718[[#This Row],[PRICE]]/Z3*10000)</calculatedColumnFormula>
    </tableColumn>
    <tableColumn id="19" xr3:uid="{9A5C2668-BB74-4542-906C-210F4AC1A2C9}" name="NOTES" dataDxfId="248" dataCellStyle="Currency"/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1BCBC6B-29F2-4B79-A616-3D21DD2FF825}" name="Inventory_List_Table3411151091113171814" displayName="Inventory_List_Table3411151091113171814" ref="A2:AB102" totalsRowShown="0" headerRowDxfId="247" dataDxfId="245" headerRowBorderDxfId="246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0F4C2888-258B-4BAF-904A-B78ED69BE942}" name="#" dataDxfId="244">
      <calculatedColumnFormula>IFERROR((Inventory_List_Table3411151091113171814[[#This Row],[H CM]]&lt;=Inventory_List_Table3411151091113171814[[#This Row],[D CM ]])*(Inventory_List_Table3411151091113171814[[#This Row],[W Inches]]="")*valHighlight,0)</calculatedColumnFormula>
    </tableColumn>
    <tableColumn id="25" xr3:uid="{7C062047-65AB-4E2E-8301-5B71F7B2EA78}" name="DATE" dataDxfId="243"/>
    <tableColumn id="24" xr3:uid="{BE44D980-3345-4D94-A78E-29A8F25F7E78}" name="COLOR / MATERIAL" dataDxfId="242"/>
    <tableColumn id="20" xr3:uid="{4A7FD8A4-B0E7-4BA2-B354-504E0D8E20B1}" name="OBJECT/ SHAPE" dataDxfId="241"/>
    <tableColumn id="2" xr3:uid="{81F6EAF0-D9D7-4D2C-B905-B8BCA982A5BD}" name="TYPE" dataDxfId="240"/>
    <tableColumn id="3" xr3:uid="{0AEA923A-3C74-4950-949A-02218751A080}" name="TAG-ID" dataDxfId="239">
      <calculatedColumnFormula>IF(Inventory_List_Table3411151091113171814[[#This Row],[Q]]&lt;0.1, " ",#REF!&amp;$D$1&amp;#REF!&amp;Inventory_List_Table3411151091113171814[[#This Row],[NOTES]])</calculatedColumnFormula>
    </tableColumn>
    <tableColumn id="4" xr3:uid="{B50C027A-BB9B-49CD-8ABF-F007C37FCB88}" name="Q" dataDxfId="238"/>
    <tableColumn id="5" xr3:uid="{08DCD809-CE7B-46E5-8916-F0D756180174}" name="KG" dataDxfId="237"/>
    <tableColumn id="6" xr3:uid="{F4467AFE-E58F-4590-8CCD-66BE4A9EB4CC}" name="H CM" dataDxfId="236"/>
    <tableColumn id="7" xr3:uid="{982070F4-A463-4251-BD28-2987411349EA}" name="W CM" dataDxfId="235"/>
    <tableColumn id="8" xr3:uid="{501C6181-10A9-404F-8F04-74C9752E8AD2}" name="D CM " dataDxfId="234"/>
    <tableColumn id="9" xr3:uid="{6FC62C6E-5737-49D5-B036-097610DD270E}" name="PRICE" dataDxfId="233" dataCellStyle="Currency"/>
    <tableColumn id="23" xr3:uid="{D954EF22-D3D1-4C17-8D18-1A7410318380}" name="TOTAL PESOS" dataDxfId="232" dataCellStyle="Currency">
      <calculatedColumnFormula>IF(Inventory_List_Table3411151091113171814[[#This Row],[Q]]&lt;0.1, " ", Inventory_List_Table3411151091113171814[[#This Row],[Q]]*Inventory_List_Table3411151091113171814[[#This Row],[PRICE]])</calculatedColumnFormula>
    </tableColumn>
    <tableColumn id="13" xr3:uid="{7A53058B-9324-4E98-B784-534BFC25D11B}" name="POUNDS" dataDxfId="231">
      <calculatedColumnFormula>IF(Inventory_List_Table3411151091113171814[[#This Row],[Q]]&lt;0.1, " ", Inventory_List_Table3411151091113171814[[#This Row],[KG]]*2.20462)</calculatedColumnFormula>
    </tableColumn>
    <tableColumn id="10" xr3:uid="{4FDDC7A4-5F10-4FBE-B641-B68CB0AC1642}" name="H Inches" dataDxfId="230">
      <calculatedColumnFormula>IF(Inventory_List_Table3411151091113171814[[#This Row],[Q]]&lt;0.1, " ",Inventory_List_Table3411151091113171814[[#This Row],[H CM]]/2.54)</calculatedColumnFormula>
    </tableColumn>
    <tableColumn id="11" xr3:uid="{DFD00E16-3703-4825-8211-603F5F0B1BB9}" name="W Inches" dataDxfId="229">
      <calculatedColumnFormula>IF(Inventory_List_Table3411151091113171814[[#This Row],[Q]]&lt;0.1, " ",Inventory_List_Table3411151091113171814[[#This Row],[W CM]]/2.54)</calculatedColumnFormula>
    </tableColumn>
    <tableColumn id="12" xr3:uid="{BEF715BA-5B2A-4A34-A374-E6044A63117B}" name="D Incbes" dataDxfId="228">
      <calculatedColumnFormula>IF(Inventory_List_Table3411151091113171814[[#This Row],[Q]]&lt;0.1, " ",Inventory_List_Table3411151091113171814[[#This Row],[D CM ]]/2.54)</calculatedColumnFormula>
    </tableColumn>
    <tableColumn id="14" xr3:uid="{B14FEF79-99A6-421D-98D0-5A17351D264B}" name="AQ USD" dataDxfId="227" dataCellStyle="Currency">
      <calculatedColumnFormula>IF(Inventory_List_Table3411151091113171814[[#This Row],[Q]]&lt;0.1, " ",Inventory_List_Table3411151091113171814[[#This Row],[PRICE]]/$L$1)</calculatedColumnFormula>
    </tableColumn>
    <tableColumn id="16" xr3:uid="{BB3D5E45-52ED-45B2-B6C6-2C71927F6190}" name="AQ RND USD" dataDxfId="226" dataCellStyle="Currency">
      <calculatedColumnFormula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calculatedColumnFormula>
    </tableColumn>
    <tableColumn id="15" xr3:uid="{9DE94C16-3355-4F2C-BA89-54A6574F5342}" name="LND USD" dataDxfId="225" dataCellStyle="Currency">
      <calculatedColumnFormula>IF(Inventory_List_Table3411151091113171814[[#This Row],[Q]]&lt;0.1, " ",Inventory_List_Table3411151091113171814[[#This Row],[AQ RND USD]]*1.4)</calculatedColumnFormula>
    </tableColumn>
    <tableColumn id="21" xr3:uid="{8077CF38-D3AE-4F5D-AF8C-0613B4E3317E}" name="LND RND USD" dataDxfId="224" dataCellStyle="Currency">
      <calculatedColumnFormula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calculatedColumnFormula>
    </tableColumn>
    <tableColumn id="17" xr3:uid="{3F22CECE-14C1-49F1-8475-18BD41E03E10}" name="RETAIL USD" dataDxfId="223" dataCellStyle="Currency">
      <calculatedColumnFormula>IF(Inventory_List_Table3411151091113171814[[#This Row],[Q]]&lt;0.1, " ",Inventory_List_Table3411151091113171814[[#This Row],[LND RND USD]]*12)</calculatedColumnFormula>
    </tableColumn>
    <tableColumn id="22" xr3:uid="{F35823FD-A5A5-4538-A456-330CD0298C96}" name="TOTAL USD" dataDxfId="222" dataCellStyle="Currency">
      <calculatedColumnFormula>IF(Inventory_List_Table3411151091113171814[[#This Row],[Q]]&lt;0.1, " ",Inventory_List_Table3411151091113171814[[#This Row],[AQ USD]])</calculatedColumnFormula>
    </tableColumn>
    <tableColumn id="18" xr3:uid="{4CDC66FF-B91A-4395-83FD-E9DFCB372D44}" name="AQC" dataDxfId="221">
      <calculatedColumnFormula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calculatedColumnFormula>
    </tableColumn>
    <tableColumn id="27" xr3:uid="{247E84AE-9A0C-4858-9534-CD1CDF15BA9F}" name="LC" dataDxfId="220">
      <calculatedColumnFormula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calculatedColumnFormula>
    </tableColumn>
    <tableColumn id="28" xr3:uid="{660B061E-3F89-4F07-B6B8-DD6E2FE6432B}" name="SQCM MXN" dataDxfId="219">
      <calculatedColumnFormula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calculatedColumnFormula>
    </tableColumn>
    <tableColumn id="26" xr3:uid="{99A670FC-8ED0-4BA7-9D15-9CB78F946CE6}" name="SQM MXN" dataDxfId="218" dataCellStyle="Currency">
      <calculatedColumnFormula>IF(Inventory_List_Table3411151091113171814[[#This Row],[Q]]&lt;0.1, " ",Inventory_List_Table3411151091113171814[[#This Row],[PRICE]]/Z3*10000)</calculatedColumnFormula>
    </tableColumn>
    <tableColumn id="19" xr3:uid="{92636871-1AD8-4811-A0E1-C8C04BD1C072}" name="NOTES" dataDxfId="217" dataCellStyle="Currency"/>
  </tableColumns>
  <tableStyleInfo name="TableStyleLight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67D7FEF-817D-49AD-8DE1-3A96A665FAB6}" name="Inventory_List_Table341115109111317181416" displayName="Inventory_List_Table341115109111317181416" ref="A2:AB102" totalsRowShown="0" headerRowDxfId="216" dataDxfId="214" headerRowBorderDxfId="215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484B9006-EF19-4159-8C98-C609496E6B6E}" name="#" dataDxfId="213">
      <calculatedColumnFormula>IFERROR((Inventory_List_Table341115109111317181416[[#This Row],[H CM]]&lt;=Inventory_List_Table341115109111317181416[[#This Row],[D CM ]])*(Inventory_List_Table341115109111317181416[[#This Row],[W Inches]]="")*valHighlight,0)</calculatedColumnFormula>
    </tableColumn>
    <tableColumn id="25" xr3:uid="{E613A22E-5E31-41C5-B6BF-EA54E0EE363F}" name="DATE" dataDxfId="212"/>
    <tableColumn id="24" xr3:uid="{8C0A69D2-0F46-4244-86B4-3A17916807F3}" name="COLOR / MATERIAL" dataDxfId="211"/>
    <tableColumn id="20" xr3:uid="{F7740D22-C996-49C2-A8E5-2CDB1A4FA9B7}" name="OBJECT/ SHAPE" dataDxfId="210"/>
    <tableColumn id="2" xr3:uid="{D37CE363-A74B-471E-B3FF-2A46E6E41987}" name="TYPE" dataDxfId="209"/>
    <tableColumn id="3" xr3:uid="{13D88AD0-B491-457E-B81E-EA91AAAB759C}" name="TAG-ID" dataDxfId="208">
      <calculatedColumnFormula>IF(Inventory_List_Table341115109111317181416[[#This Row],[Q]]&lt;0.1, " ",#REF!&amp;$D$1&amp;#REF!&amp;Inventory_List_Table341115109111317181416[[#This Row],[NOTES]])</calculatedColumnFormula>
    </tableColumn>
    <tableColumn id="4" xr3:uid="{E30D525B-263B-46B3-96EC-033C70C96E18}" name="Q" dataDxfId="207"/>
    <tableColumn id="5" xr3:uid="{DDAECF0D-C137-499D-A8FA-4887717BD981}" name="KG" dataDxfId="206"/>
    <tableColumn id="6" xr3:uid="{76761860-FBA7-4E4F-B3D5-4F3F0A957638}" name="H CM" dataDxfId="205"/>
    <tableColumn id="7" xr3:uid="{EA851A02-B74A-4D51-BB42-8275C3C14122}" name="W CM" dataDxfId="204"/>
    <tableColumn id="8" xr3:uid="{55698ADF-449C-4E82-A994-524B7BA93455}" name="D CM " dataDxfId="203"/>
    <tableColumn id="9" xr3:uid="{DCAE6CC5-2AA8-45AE-A78A-E7AE65329B99}" name="PRICE" dataDxfId="202" dataCellStyle="Currency"/>
    <tableColumn id="23" xr3:uid="{CF69E256-E7BA-4F15-8DD0-B8254394D9D6}" name="TOTAL PESOS" dataDxfId="201" dataCellStyle="Currency">
      <calculatedColumnFormula>IF(Inventory_List_Table341115109111317181416[[#This Row],[Q]]&lt;0.1, " ", Inventory_List_Table341115109111317181416[[#This Row],[Q]]*Inventory_List_Table341115109111317181416[[#This Row],[PRICE]])</calculatedColumnFormula>
    </tableColumn>
    <tableColumn id="13" xr3:uid="{DE64D524-9078-40BA-A13B-2F48907B729F}" name="POUNDS" dataDxfId="200">
      <calculatedColumnFormula>IF(Inventory_List_Table341115109111317181416[[#This Row],[Q]]&lt;0.1, " ", Inventory_List_Table341115109111317181416[[#This Row],[KG]]*2.20462)</calculatedColumnFormula>
    </tableColumn>
    <tableColumn id="10" xr3:uid="{4CACCF30-E23F-45D9-8C54-9A0D07107050}" name="H Inches" dataDxfId="199">
      <calculatedColumnFormula>IF(Inventory_List_Table341115109111317181416[[#This Row],[Q]]&lt;0.1, " ",Inventory_List_Table341115109111317181416[[#This Row],[H CM]]/2.54)</calculatedColumnFormula>
    </tableColumn>
    <tableColumn id="11" xr3:uid="{9499C97B-3C80-4274-BCC9-A1C14AEE56BF}" name="W Inches" dataDxfId="198">
      <calculatedColumnFormula>IF(Inventory_List_Table341115109111317181416[[#This Row],[Q]]&lt;0.1, " ",Inventory_List_Table341115109111317181416[[#This Row],[W CM]]/2.54)</calculatedColumnFormula>
    </tableColumn>
    <tableColumn id="12" xr3:uid="{D8090955-5C47-49D8-8A8A-B0AC111618CB}" name="D Incbes" dataDxfId="197">
      <calculatedColumnFormula>IF(Inventory_List_Table341115109111317181416[[#This Row],[Q]]&lt;0.1, " ",Inventory_List_Table341115109111317181416[[#This Row],[D CM ]]/2.54)</calculatedColumnFormula>
    </tableColumn>
    <tableColumn id="14" xr3:uid="{974C1185-62E5-4802-98AC-7634B8A28866}" name="AQ USD" dataDxfId="196" dataCellStyle="Currency">
      <calculatedColumnFormula>IF(Inventory_List_Table341115109111317181416[[#This Row],[Q]]&lt;0.1, " ",Inventory_List_Table341115109111317181416[[#This Row],[PRICE]]/$L$1)</calculatedColumnFormula>
    </tableColumn>
    <tableColumn id="16" xr3:uid="{C824DC74-0B95-4DBA-8936-52CA9AD56714}" name="AQ RND USD" dataDxfId="195" dataCellStyle="Currency">
      <calculatedColumnFormula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calculatedColumnFormula>
    </tableColumn>
    <tableColumn id="15" xr3:uid="{DB957262-669C-4E81-BF3B-1A76FE9E297D}" name="LND USD" dataDxfId="194" dataCellStyle="Currency">
      <calculatedColumnFormula>IF(Inventory_List_Table341115109111317181416[[#This Row],[Q]]&lt;0.1, " ",Inventory_List_Table341115109111317181416[[#This Row],[AQ RND USD]]*1.4)</calculatedColumnFormula>
    </tableColumn>
    <tableColumn id="21" xr3:uid="{11E665F4-DB7F-4917-AB83-C588E612EBA5}" name="LND RND USD" dataDxfId="193" dataCellStyle="Currency">
      <calculatedColumnFormula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calculatedColumnFormula>
    </tableColumn>
    <tableColumn id="17" xr3:uid="{0E18FF28-0C1A-4CE4-AF02-E8EB0420977C}" name="RETAIL USD" dataDxfId="192" dataCellStyle="Currency">
      <calculatedColumnFormula>IF(Inventory_List_Table341115109111317181416[[#This Row],[Q]]&lt;0.1, " ",Inventory_List_Table341115109111317181416[[#This Row],[LND RND USD]]*12)</calculatedColumnFormula>
    </tableColumn>
    <tableColumn id="22" xr3:uid="{90A86B09-033C-400B-BB72-4EE0955B1073}" name="TOTAL USD" dataDxfId="191" dataCellStyle="Currency">
      <calculatedColumnFormula>IF(Inventory_List_Table341115109111317181416[[#This Row],[Q]]&lt;0.1, " ",Inventory_List_Table341115109111317181416[[#This Row],[AQ USD]])</calculatedColumnFormula>
    </tableColumn>
    <tableColumn id="18" xr3:uid="{CEF453A7-5DA6-4ADD-A88B-577EEA1636D1}" name="AQC" dataDxfId="190">
      <calculatedColumnFormula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calculatedColumnFormula>
    </tableColumn>
    <tableColumn id="27" xr3:uid="{FE7930B2-9D2B-48B5-93DA-76CA1BF26FAC}" name="LC" dataDxfId="189">
      <calculatedColumnFormula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calculatedColumnFormula>
    </tableColumn>
    <tableColumn id="28" xr3:uid="{EC9BC0DB-DC3F-497B-A3B9-D6F8BA0FFB8F}" name="SQCM MXN" dataDxfId="188">
      <calculatedColumnFormula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calculatedColumnFormula>
    </tableColumn>
    <tableColumn id="26" xr3:uid="{EB7D6695-342F-42A1-BCE5-05076701BF05}" name="SQM MXN" dataDxfId="187" dataCellStyle="Currency">
      <calculatedColumnFormula>IF(Inventory_List_Table341115109111317181416[[#This Row],[Q]]&lt;0.1, " ",Inventory_List_Table341115109111317181416[[#This Row],[PRICE]]/Z3*10000)</calculatedColumnFormula>
    </tableColumn>
    <tableColumn id="19" xr3:uid="{5A5803C6-3684-40A0-9718-83BBE7369577}" name="NOTES" dataDxfId="186" dataCellStyle="Currency"/>
  </tableColumns>
  <tableStyleInfo name="TableStyleLight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A0B21C-F98C-470C-9590-9662B6784284}" name="Inventory_List_Table34111510911131718141619" displayName="Inventory_List_Table34111510911131718141619" ref="A2:AB102" totalsRowShown="0" headerRowDxfId="185" dataDxfId="183" headerRowBorderDxfId="184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57C7D90E-C793-46D8-BFB7-7CF4217887C1}" name="#" dataDxfId="182">
      <calculatedColumnFormula>IFERROR((Inventory_List_Table34111510911131718141619[[#This Row],[H CM]]&lt;=Inventory_List_Table34111510911131718141619[[#This Row],[D CM ]])*(Inventory_List_Table34111510911131718141619[[#This Row],[W Inches]]="")*valHighlight,0)</calculatedColumnFormula>
    </tableColumn>
    <tableColumn id="25" xr3:uid="{6692360B-6EB5-4360-9263-2F9F1DC719DB}" name="DATE" dataDxfId="181"/>
    <tableColumn id="24" xr3:uid="{FC51B927-149D-449E-8BD6-EFCF02F23A8B}" name="COLOR / MATERIAL" dataDxfId="180"/>
    <tableColumn id="20" xr3:uid="{A79CF064-1016-4AF5-9653-2DEFC586802E}" name="OBJECT/ SHAPE" dataDxfId="179"/>
    <tableColumn id="2" xr3:uid="{0907C42E-15B1-4406-BE5E-9EF038ED0EF7}" name="TYPE" dataDxfId="178"/>
    <tableColumn id="3" xr3:uid="{46D85E60-F494-43E6-9546-B119A631E33F}" name="TAG-ID" dataDxfId="177">
      <calculatedColumnFormula>IF(Inventory_List_Table34111510911131718141619[[#This Row],[Q]]&lt;0.1, " ",#REF!&amp;$D$1&amp;#REF!&amp;Inventory_List_Table34111510911131718141619[[#This Row],[NOTES]])</calculatedColumnFormula>
    </tableColumn>
    <tableColumn id="4" xr3:uid="{1F19A09C-8B8C-4A47-AAAA-D2D14494C65A}" name="Q" dataDxfId="176"/>
    <tableColumn id="5" xr3:uid="{F56D4830-A1F5-4A26-A8BA-3424ABB830B4}" name="KG" dataDxfId="175"/>
    <tableColumn id="6" xr3:uid="{63724D6A-2035-4ABC-A0B7-7F3AB25B8134}" name="H CM" dataDxfId="174"/>
    <tableColumn id="7" xr3:uid="{FDC8215D-0FCA-4CCE-B1F9-2FDC67EA50E1}" name="W CM" dataDxfId="173"/>
    <tableColumn id="8" xr3:uid="{508C1553-CDB7-4F9B-8FE3-C78378F6955C}" name="D CM " dataDxfId="172"/>
    <tableColumn id="9" xr3:uid="{DD00BB1B-D2FC-4BED-9312-97E0C1DE3AD2}" name="PRICE" dataDxfId="171" dataCellStyle="Currency"/>
    <tableColumn id="23" xr3:uid="{D2B5C48D-7911-4C21-831D-BE0ED2C3CB0E}" name="TOTAL PESOS" dataDxfId="170" dataCellStyle="Currency">
      <calculatedColumnFormula>IF(Inventory_List_Table34111510911131718141619[[#This Row],[Q]]&lt;0.1, " ", Inventory_List_Table34111510911131718141619[[#This Row],[Q]]*Inventory_List_Table34111510911131718141619[[#This Row],[PRICE]])</calculatedColumnFormula>
    </tableColumn>
    <tableColumn id="13" xr3:uid="{7DFEFF73-720B-42B3-82C9-7FD49DBDC4D7}" name="POUNDS" dataDxfId="169">
      <calculatedColumnFormula>IF(Inventory_List_Table34111510911131718141619[[#This Row],[Q]]&lt;0.1, " ", Inventory_List_Table34111510911131718141619[[#This Row],[KG]]*2.20462)</calculatedColumnFormula>
    </tableColumn>
    <tableColumn id="10" xr3:uid="{E029817B-7B0B-499E-B1BA-703082B73F9D}" name="H Inches" dataDxfId="168">
      <calculatedColumnFormula>IF(Inventory_List_Table34111510911131718141619[[#This Row],[Q]]&lt;0.1, " ",Inventory_List_Table34111510911131718141619[[#This Row],[H CM]]/2.54)</calculatedColumnFormula>
    </tableColumn>
    <tableColumn id="11" xr3:uid="{CE723773-8C95-47FD-A191-5DDE37FC2E04}" name="W Inches" dataDxfId="167">
      <calculatedColumnFormula>IF(Inventory_List_Table34111510911131718141619[[#This Row],[Q]]&lt;0.1, " ",Inventory_List_Table34111510911131718141619[[#This Row],[W CM]]/2.54)</calculatedColumnFormula>
    </tableColumn>
    <tableColumn id="12" xr3:uid="{E4C89221-D3B3-48DC-9245-ACEB85190C6F}" name="D Incbes" dataDxfId="166">
      <calculatedColumnFormula>IF(Inventory_List_Table34111510911131718141619[[#This Row],[Q]]&lt;0.1, " ",Inventory_List_Table34111510911131718141619[[#This Row],[D CM ]]/2.54)</calculatedColumnFormula>
    </tableColumn>
    <tableColumn id="14" xr3:uid="{64539347-BE32-4884-AB4A-F73E54CDD5B0}" name="AQ USD" dataDxfId="165" dataCellStyle="Currency">
      <calculatedColumnFormula>IF(Inventory_List_Table34111510911131718141619[[#This Row],[Q]]&lt;0.1, " ",Inventory_List_Table34111510911131718141619[[#This Row],[PRICE]]/$L$1)</calculatedColumnFormula>
    </tableColumn>
    <tableColumn id="16" xr3:uid="{CB3762B8-F894-482F-8B34-B833DFEB998D}" name="AQ RND USD" dataDxfId="164" dataCellStyle="Currency">
      <calculatedColumnFormula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calculatedColumnFormula>
    </tableColumn>
    <tableColumn id="15" xr3:uid="{AC24293F-145B-4E51-89AC-BA3EE31252BC}" name="LND USD" dataDxfId="163" dataCellStyle="Currency">
      <calculatedColumnFormula>IF(Inventory_List_Table34111510911131718141619[[#This Row],[Q]]&lt;0.1, " ",Inventory_List_Table34111510911131718141619[[#This Row],[AQ RND USD]]*1.4)</calculatedColumnFormula>
    </tableColumn>
    <tableColumn id="21" xr3:uid="{B20E83FC-C119-453F-9583-B440CF77CA73}" name="LND RND USD" dataDxfId="162" dataCellStyle="Currency">
      <calculatedColumnFormula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calculatedColumnFormula>
    </tableColumn>
    <tableColumn id="17" xr3:uid="{F9E30EAB-ADCE-4A49-A581-CE4AF433F88B}" name="RETAIL USD" dataDxfId="161" dataCellStyle="Currency">
      <calculatedColumnFormula>IF(Inventory_List_Table34111510911131718141619[[#This Row],[Q]]&lt;0.1, " ",Inventory_List_Table34111510911131718141619[[#This Row],[LND RND USD]]*12)</calculatedColumnFormula>
    </tableColumn>
    <tableColumn id="22" xr3:uid="{49C5AC97-AF25-428D-AAE5-0B3B164CAD8B}" name="TOTAL USD" dataDxfId="160" dataCellStyle="Currency">
      <calculatedColumnFormula>IF(Inventory_List_Table34111510911131718141619[[#This Row],[Q]]&lt;0.1, " ",Inventory_List_Table34111510911131718141619[[#This Row],[AQ USD]])</calculatedColumnFormula>
    </tableColumn>
    <tableColumn id="18" xr3:uid="{4A6EF9ED-4B89-4380-BB32-6FE57801A7CB}" name="AQC" dataDxfId="159">
      <calculatedColumnFormula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calculatedColumnFormula>
    </tableColumn>
    <tableColumn id="27" xr3:uid="{E0ED8F1A-CF4D-4EEC-B523-E0BF73BCD07D}" name="LC" dataDxfId="158">
      <calculatedColumnFormula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calculatedColumnFormula>
    </tableColumn>
    <tableColumn id="28" xr3:uid="{7CF21B59-E88F-4C6A-A2B7-F639C9F0E280}" name="SQCM MXN" dataDxfId="157">
      <calculatedColumnFormula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calculatedColumnFormula>
    </tableColumn>
    <tableColumn id="26" xr3:uid="{4DBF8098-9AB6-41D0-B404-14DA22D667BC}" name="SQM MXN" dataDxfId="156" dataCellStyle="Currency">
      <calculatedColumnFormula>IF(Inventory_List_Table34111510911131718141619[[#This Row],[Q]]&lt;0.1, " ",Inventory_List_Table34111510911131718141619[[#This Row],[PRICE]]/Z3*10000)</calculatedColumnFormula>
    </tableColumn>
    <tableColumn id="19" xr3:uid="{BE19B664-1C71-492F-9E68-0839EFE33362}" name="NOTES" dataDxfId="155" dataCellStyle="Currency"/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C4ED1E9-D44F-49D8-8F1C-880449E3EEEE}" name="Inventory_List_Table3411151091113171814161920" displayName="Inventory_List_Table3411151091113171814161920" ref="A2:AB102" totalsRowShown="0" headerRowDxfId="154" dataDxfId="152" headerRowBorderDxfId="153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0F41A622-9D68-462E-8353-40D245281922}" name="#" dataDxfId="151">
      <calculatedColumnFormula>IFERROR((Inventory_List_Table3411151091113171814161920[[#This Row],[H CM]]&lt;=Inventory_List_Table3411151091113171814161920[[#This Row],[D CM ]])*(Inventory_List_Table3411151091113171814161920[[#This Row],[W Inches]]="")*valHighlight,0)</calculatedColumnFormula>
    </tableColumn>
    <tableColumn id="25" xr3:uid="{A666E902-93FC-4E51-9F16-E67528EE225D}" name="DATE" dataDxfId="150"/>
    <tableColumn id="24" xr3:uid="{CAD9CA84-1EC7-47AC-8B36-B78A5A62E6A0}" name="COLOR / MATERIAL" dataDxfId="149"/>
    <tableColumn id="20" xr3:uid="{D174341F-BECD-4A7C-BEE0-3BE7ABAC20A6}" name="OBJECT/ SHAPE" dataDxfId="148"/>
    <tableColumn id="2" xr3:uid="{4ED88A63-A8D4-49BD-8BE4-9E8DFB40DEF2}" name="TYPE" dataDxfId="147"/>
    <tableColumn id="3" xr3:uid="{2B1130C6-D643-4CEE-8FAD-1B11E173120D}" name="TAG-ID" dataDxfId="146">
      <calculatedColumnFormula>IF(Inventory_List_Table3411151091113171814161920[[#This Row],[Q]]&lt;0.1, " ",#REF!&amp;$D$1&amp;#REF!&amp;Inventory_List_Table3411151091113171814161920[[#This Row],[NOTES]])</calculatedColumnFormula>
    </tableColumn>
    <tableColumn id="4" xr3:uid="{3C66D681-BB26-4DB9-A62A-15D210F87E77}" name="Q" dataDxfId="145"/>
    <tableColumn id="5" xr3:uid="{2A55F01F-6309-4158-92EA-DFE740C84169}" name="KG" dataDxfId="144"/>
    <tableColumn id="6" xr3:uid="{6545C49F-137F-4B5A-A358-3E458B601E4A}" name="H CM" dataDxfId="143"/>
    <tableColumn id="7" xr3:uid="{B6FC5433-88EB-4379-91A4-D330779DCE5D}" name="W CM" dataDxfId="142"/>
    <tableColumn id="8" xr3:uid="{F2FC6DD4-B14B-4182-BD20-686CEDC24387}" name="D CM " dataDxfId="141"/>
    <tableColumn id="9" xr3:uid="{93F60F18-C2B7-433C-B3B8-E7A5DFEB39BD}" name="PRICE" dataDxfId="140" dataCellStyle="Currency"/>
    <tableColumn id="23" xr3:uid="{50973E35-6B18-44BE-A27C-8A0C907CB8E5}" name="TOTAL PESOS" dataDxfId="139" dataCellStyle="Currency">
      <calculatedColumnFormula>IF(Inventory_List_Table3411151091113171814161920[[#This Row],[Q]]&lt;0.1, " ", Inventory_List_Table3411151091113171814161920[[#This Row],[Q]]*Inventory_List_Table3411151091113171814161920[[#This Row],[PRICE]])</calculatedColumnFormula>
    </tableColumn>
    <tableColumn id="13" xr3:uid="{08F777E7-6FE2-48D1-B140-EAA8E8874AB0}" name="POUNDS" dataDxfId="138">
      <calculatedColumnFormula>IF(Inventory_List_Table3411151091113171814161920[[#This Row],[Q]]&lt;0.1, " ", Inventory_List_Table3411151091113171814161920[[#This Row],[KG]]*2.20462)</calculatedColumnFormula>
    </tableColumn>
    <tableColumn id="10" xr3:uid="{E2EE819E-6974-4693-8CD4-A8D0809662AD}" name="H Inches" dataDxfId="137">
      <calculatedColumnFormula>IF(Inventory_List_Table3411151091113171814161920[[#This Row],[Q]]&lt;0.1, " ",Inventory_List_Table3411151091113171814161920[[#This Row],[H CM]]/2.54)</calculatedColumnFormula>
    </tableColumn>
    <tableColumn id="11" xr3:uid="{47051B7D-DB9C-491A-81AC-A6462D33760A}" name="W Inches" dataDxfId="136">
      <calculatedColumnFormula>IF(Inventory_List_Table3411151091113171814161920[[#This Row],[Q]]&lt;0.1, " ",Inventory_List_Table3411151091113171814161920[[#This Row],[W CM]]/2.54)</calculatedColumnFormula>
    </tableColumn>
    <tableColumn id="12" xr3:uid="{4B0204A8-70D0-4016-B137-AA77B9262BAB}" name="D Incbes" dataDxfId="135">
      <calculatedColumnFormula>IF(Inventory_List_Table3411151091113171814161920[[#This Row],[Q]]&lt;0.1, " ",Inventory_List_Table3411151091113171814161920[[#This Row],[D CM ]]/2.54)</calculatedColumnFormula>
    </tableColumn>
    <tableColumn id="14" xr3:uid="{FEDD306C-95B3-4BAE-80B7-570000CDF06D}" name="AQ USD" dataDxfId="134" dataCellStyle="Currency">
      <calculatedColumnFormula>IF(Inventory_List_Table3411151091113171814161920[[#This Row],[Q]]&lt;0.1, " ",Inventory_List_Table3411151091113171814161920[[#This Row],[PRICE]]/$L$1)</calculatedColumnFormula>
    </tableColumn>
    <tableColumn id="16" xr3:uid="{D37A99DB-6B34-433B-B998-40E10E836DEA}" name="AQ RND USD" dataDxfId="133" dataCellStyle="Currency">
      <calculatedColumnFormula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calculatedColumnFormula>
    </tableColumn>
    <tableColumn id="15" xr3:uid="{E0CC83FF-7456-4771-BFB7-E7955E4FC4E2}" name="LND USD" dataDxfId="132" dataCellStyle="Currency">
      <calculatedColumnFormula>IF(Inventory_List_Table3411151091113171814161920[[#This Row],[Q]]&lt;0.1, " ",Inventory_List_Table3411151091113171814161920[[#This Row],[AQ RND USD]]*1.4)</calculatedColumnFormula>
    </tableColumn>
    <tableColumn id="21" xr3:uid="{325CD2D6-3787-4ADD-A412-3329D85F4220}" name="LND RND USD" dataDxfId="131" dataCellStyle="Currency">
      <calculatedColumnFormula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calculatedColumnFormula>
    </tableColumn>
    <tableColumn id="17" xr3:uid="{41A50BF1-D218-44C5-8F55-5FDC983D6369}" name="RETAIL USD" dataDxfId="130" dataCellStyle="Currency">
      <calculatedColumnFormula>IF(Inventory_List_Table3411151091113171814161920[[#This Row],[Q]]&lt;0.1, " ",Inventory_List_Table3411151091113171814161920[[#This Row],[LND RND USD]]*12)</calculatedColumnFormula>
    </tableColumn>
    <tableColumn id="22" xr3:uid="{B3FA95D5-BA37-4B84-BE10-C9E14CD8DDDD}" name="TOTAL USD" dataDxfId="129" dataCellStyle="Currency">
      <calculatedColumnFormula>IF(Inventory_List_Table3411151091113171814161920[[#This Row],[Q]]&lt;0.1, " ",Inventory_List_Table3411151091113171814161920[[#This Row],[AQ USD]])</calculatedColumnFormula>
    </tableColumn>
    <tableColumn id="18" xr3:uid="{8B49A59F-B84D-482B-801D-8A8D62055AB7}" name="AQC" dataDxfId="128">
      <calculatedColumnFormula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calculatedColumnFormula>
    </tableColumn>
    <tableColumn id="27" xr3:uid="{11A4AB03-4620-498F-B952-64D0F44C1711}" name="LC" dataDxfId="127">
      <calculatedColumnFormula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calculatedColumnFormula>
    </tableColumn>
    <tableColumn id="28" xr3:uid="{9A09917C-256D-4795-B344-91704CFB39A0}" name="SQCM MXN" dataDxfId="126">
      <calculatedColumnFormula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calculatedColumnFormula>
    </tableColumn>
    <tableColumn id="26" xr3:uid="{D1DD536F-70EC-4C69-8CDF-14C197AAB9D4}" name="SQM MXN" dataDxfId="125" dataCellStyle="Currency">
      <calculatedColumnFormula>IF(Inventory_List_Table3411151091113171814161920[[#This Row],[Q]]&lt;0.1, " ",Inventory_List_Table3411151091113171814161920[[#This Row],[PRICE]]/Z3*10000)</calculatedColumnFormula>
    </tableColumn>
    <tableColumn id="19" xr3:uid="{CC4CB640-E084-4631-B2C2-5925D3A1B848}" name="NOTES" dataDxfId="124" dataCellStyle="Currency"/>
  </tableColumns>
  <tableStyleInfo name="TableStyleLight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CF5561E-7AC9-4A06-AAF5-94F4B92C36B1}" name="Inventory_List_Table341115109111317181416192021" displayName="Inventory_List_Table341115109111317181416192021" ref="A2:AB102" totalsRowShown="0" headerRowDxfId="123" dataDxfId="121" headerRowBorderDxfId="122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2E4299EE-E1BF-4CC4-B94D-15E658A94F30}" name="#" dataDxfId="120">
      <calculatedColumnFormula>IFERROR((Inventory_List_Table341115109111317181416192021[[#This Row],[H CM]]&lt;=Inventory_List_Table341115109111317181416192021[[#This Row],[D CM ]])*(Inventory_List_Table341115109111317181416192021[[#This Row],[W Inches]]="")*valHighlight,0)</calculatedColumnFormula>
    </tableColumn>
    <tableColumn id="25" xr3:uid="{709669BC-A6A6-4578-BB03-AAFB46E90086}" name="DATE" dataDxfId="119"/>
    <tableColumn id="24" xr3:uid="{8880188B-405B-4ED3-B5F8-2C1C0A38E2E9}" name="COLOR / MATERIAL" dataDxfId="118"/>
    <tableColumn id="20" xr3:uid="{7494B674-7DC3-4F9E-9365-F4DFC73B48C6}" name="OBJECT/ SHAPE" dataDxfId="117"/>
    <tableColumn id="2" xr3:uid="{9884F6C5-65E6-4A56-B565-32EEE5E25914}" name="TYPE" dataDxfId="116"/>
    <tableColumn id="3" xr3:uid="{8323F026-B7BB-4CD1-B811-54EB4C98EBAD}" name="TAG-ID" dataDxfId="115">
      <calculatedColumnFormula>IF(Inventory_List_Table341115109111317181416192021[[#This Row],[Q]]&lt;0.1, " ",#REF!&amp;$D$1&amp;#REF!&amp;Inventory_List_Table341115109111317181416192021[[#This Row],[NOTES]])</calculatedColumnFormula>
    </tableColumn>
    <tableColumn id="4" xr3:uid="{23E67E9D-2214-4AA9-A5B1-B219D9F3C53C}" name="Q" dataDxfId="114"/>
    <tableColumn id="5" xr3:uid="{36A23B33-86B5-4C8A-8150-F56CBAA2CE1F}" name="KG" dataDxfId="113"/>
    <tableColumn id="6" xr3:uid="{2F99146E-0220-4F2D-B867-2C73587D9299}" name="H CM" dataDxfId="112"/>
    <tableColumn id="7" xr3:uid="{08E8A2D9-64BC-43D3-9939-9FB0AC8BB7A7}" name="W CM" dataDxfId="111"/>
    <tableColumn id="8" xr3:uid="{42702541-240E-4826-BCFD-3DD232572E09}" name="D CM " dataDxfId="110"/>
    <tableColumn id="9" xr3:uid="{1CEA98AE-F3E5-4EAE-A568-3D4A19CB6F13}" name="PRICE" dataDxfId="109" dataCellStyle="Currency"/>
    <tableColumn id="23" xr3:uid="{02680482-5653-44B8-9F02-EE7A3AD6B828}" name="TOTAL PESOS" dataDxfId="108" dataCellStyle="Currency">
      <calculatedColumnFormula>IF(Inventory_List_Table341115109111317181416192021[[#This Row],[Q]]&lt;0.1, " ", Inventory_List_Table341115109111317181416192021[[#This Row],[Q]]*Inventory_List_Table341115109111317181416192021[[#This Row],[PRICE]])</calculatedColumnFormula>
    </tableColumn>
    <tableColumn id="13" xr3:uid="{9615565E-E314-4C39-BF91-BD29DE13A589}" name="POUNDS" dataDxfId="107">
      <calculatedColumnFormula>IF(Inventory_List_Table341115109111317181416192021[[#This Row],[Q]]&lt;0.1, " ", Inventory_List_Table341115109111317181416192021[[#This Row],[KG]]*2.20462)</calculatedColumnFormula>
    </tableColumn>
    <tableColumn id="10" xr3:uid="{12FB558D-F8F6-4394-9939-E2FC0A2B3C44}" name="H Inches" dataDxfId="106">
      <calculatedColumnFormula>IF(Inventory_List_Table341115109111317181416192021[[#This Row],[Q]]&lt;0.1, " ",Inventory_List_Table341115109111317181416192021[[#This Row],[H CM]]/2.54)</calculatedColumnFormula>
    </tableColumn>
    <tableColumn id="11" xr3:uid="{F7ED38A7-BC6A-40E6-8FBB-57E0DA9888C3}" name="W Inches" dataDxfId="105">
      <calculatedColumnFormula>IF(Inventory_List_Table341115109111317181416192021[[#This Row],[Q]]&lt;0.1, " ",Inventory_List_Table341115109111317181416192021[[#This Row],[W CM]]/2.54)</calculatedColumnFormula>
    </tableColumn>
    <tableColumn id="12" xr3:uid="{820B9066-2D8E-431C-9B49-66845068515F}" name="D Incbes" dataDxfId="104">
      <calculatedColumnFormula>IF(Inventory_List_Table341115109111317181416192021[[#This Row],[Q]]&lt;0.1, " ",Inventory_List_Table341115109111317181416192021[[#This Row],[D CM ]]/2.54)</calculatedColumnFormula>
    </tableColumn>
    <tableColumn id="14" xr3:uid="{DB9F765E-ADD4-470F-A118-2234AD6E2B46}" name="AQ USD" dataDxfId="103" dataCellStyle="Currency">
      <calculatedColumnFormula>IF(Inventory_List_Table341115109111317181416192021[[#This Row],[Q]]&lt;0.1, " ",Inventory_List_Table341115109111317181416192021[[#This Row],[PRICE]]/$L$1)</calculatedColumnFormula>
    </tableColumn>
    <tableColumn id="16" xr3:uid="{1C9CC51D-263D-4613-990E-7F5D556BE149}" name="AQ RND USD" dataDxfId="102" dataCellStyle="Currency">
      <calculatedColumnFormula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calculatedColumnFormula>
    </tableColumn>
    <tableColumn id="15" xr3:uid="{FCBE3A7E-DE6E-46ED-87F1-7C803D4F9D64}" name="LND USD" dataDxfId="101" dataCellStyle="Currency">
      <calculatedColumnFormula>IF(Inventory_List_Table341115109111317181416192021[[#This Row],[Q]]&lt;0.1, " ",Inventory_List_Table341115109111317181416192021[[#This Row],[AQ RND USD]]*1.4)</calculatedColumnFormula>
    </tableColumn>
    <tableColumn id="21" xr3:uid="{0277E00A-1F34-4F30-A34B-14C2DF615CEB}" name="LND RND USD" dataDxfId="100" dataCellStyle="Currency">
      <calculatedColumnFormula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calculatedColumnFormula>
    </tableColumn>
    <tableColumn id="17" xr3:uid="{2E0BAAB5-04FC-4DD4-B819-4D690DDACFF9}" name="RETAIL USD" dataDxfId="99" dataCellStyle="Currency">
      <calculatedColumnFormula>IF(Inventory_List_Table341115109111317181416192021[[#This Row],[Q]]&lt;0.1, " ",Inventory_List_Table341115109111317181416192021[[#This Row],[LND RND USD]]*12)</calculatedColumnFormula>
    </tableColumn>
    <tableColumn id="22" xr3:uid="{8E1CFF97-19F3-4069-8981-8D6A1BA947DC}" name="TOTAL USD" dataDxfId="98" dataCellStyle="Currency">
      <calculatedColumnFormula>IF(Inventory_List_Table341115109111317181416192021[[#This Row],[Q]]&lt;0.1, " ",Inventory_List_Table341115109111317181416192021[[#This Row],[AQ USD]])</calculatedColumnFormula>
    </tableColumn>
    <tableColumn id="18" xr3:uid="{14EBCA9A-6D28-48BA-A471-3E9E71FBB2FE}" name="AQC" dataDxfId="97">
      <calculatedColumnFormula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calculatedColumnFormula>
    </tableColumn>
    <tableColumn id="27" xr3:uid="{74B82657-46CB-4DD7-B456-C0B2836DF7A8}" name="LC" dataDxfId="96">
      <calculatedColumnFormula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calculatedColumnFormula>
    </tableColumn>
    <tableColumn id="28" xr3:uid="{1655A6FC-85BD-400A-B7EA-1722F5E21B48}" name="SQCM MXN" dataDxfId="95">
      <calculatedColumnFormula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calculatedColumnFormula>
    </tableColumn>
    <tableColumn id="26" xr3:uid="{8BF8DF95-76AC-408C-B07E-CE1F0ACD5614}" name="SQM MXN" dataDxfId="94" dataCellStyle="Currency">
      <calculatedColumnFormula>IF(Inventory_List_Table341115109111317181416192021[[#This Row],[Q]]&lt;0.1, " ",Inventory_List_Table341115109111317181416192021[[#This Row],[PRICE]]/Z3*10000)</calculatedColumnFormula>
    </tableColumn>
    <tableColumn id="19" xr3:uid="{2CF83261-2F64-47D5-A039-547EC482C3F3}" name="NOTES" dataDxfId="93" dataCellStyle="Currency"/>
  </tableColumns>
  <tableStyleInfo name="TableStyleLight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5E464D1-4D60-4404-A2D1-5AA72DD5B172}" name="Inventory_List_Table34111510911131718141619202122" displayName="Inventory_List_Table34111510911131718141619202122" ref="A2:AB102" totalsRowShown="0" headerRowDxfId="92" dataDxfId="90" headerRowBorderDxfId="91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7810F276-59B8-416F-B9FA-8B6FAF7ADE9C}" name="#" dataDxfId="89">
      <calculatedColumnFormula>IFERROR((Inventory_List_Table34111510911131718141619202122[[#This Row],[H CM]]&lt;=Inventory_List_Table34111510911131718141619202122[[#This Row],[D CM ]])*(Inventory_List_Table34111510911131718141619202122[[#This Row],[W Inches]]="")*valHighlight,0)</calculatedColumnFormula>
    </tableColumn>
    <tableColumn id="25" xr3:uid="{529F5D4D-0508-46E2-8E27-DFBB5F9A883B}" name="DATE" dataDxfId="88"/>
    <tableColumn id="24" xr3:uid="{5969BCFD-8CA4-409E-8B73-8AE2672F58B9}" name="COLOR / MATERIAL" dataDxfId="87"/>
    <tableColumn id="20" xr3:uid="{29B16E1F-7D5E-4A7F-8BDD-5D9BA85ED0FD}" name="OBJECT/ SHAPE" dataDxfId="86"/>
    <tableColumn id="2" xr3:uid="{7992CDF2-5CB5-4938-943A-EB72ACC5BF1B}" name="TYPE" dataDxfId="85"/>
    <tableColumn id="3" xr3:uid="{BF78CDFA-760F-4C1F-A902-DA3AA4A85D68}" name="TAG-ID" dataDxfId="84">
      <calculatedColumnFormula>IF(Inventory_List_Table34111510911131718141619202122[[#This Row],[Q]]&lt;0.1, " ",#REF!&amp;$D$1&amp;#REF!&amp;Inventory_List_Table34111510911131718141619202122[[#This Row],[NOTES]])</calculatedColumnFormula>
    </tableColumn>
    <tableColumn id="4" xr3:uid="{10AE6F7A-21EB-4482-AD53-3C4901BCDE83}" name="Q" dataDxfId="83"/>
    <tableColumn id="5" xr3:uid="{CBE3359E-0607-4295-9ACB-F2EDBEC986D4}" name="KG" dataDxfId="82"/>
    <tableColumn id="6" xr3:uid="{7B0B5B76-D473-4EF5-8351-383FF25742D9}" name="H CM" dataDxfId="81"/>
    <tableColumn id="7" xr3:uid="{D2D98056-A45C-4DE5-8CEE-58E8B4AFCFDA}" name="W CM" dataDxfId="80"/>
    <tableColumn id="8" xr3:uid="{F1D6B515-A99D-4E25-AF60-4AC7C0A6238C}" name="D CM " dataDxfId="79"/>
    <tableColumn id="9" xr3:uid="{0822D1FA-E82D-4A42-A0B8-EF78491905A3}" name="PRICE" dataDxfId="78" dataCellStyle="Currency"/>
    <tableColumn id="23" xr3:uid="{15E9C31B-D643-4ADA-8187-8D76A24D5EB6}" name="TOTAL PESOS" dataDxfId="77" dataCellStyle="Currency">
      <calculatedColumnFormula>IF(Inventory_List_Table34111510911131718141619202122[[#This Row],[Q]]&lt;0.1, " ", Inventory_List_Table34111510911131718141619202122[[#This Row],[Q]]*Inventory_List_Table34111510911131718141619202122[[#This Row],[PRICE]])</calculatedColumnFormula>
    </tableColumn>
    <tableColumn id="13" xr3:uid="{DA2E00BC-4254-4EE7-9F6F-A07EB9776157}" name="POUNDS" dataDxfId="76">
      <calculatedColumnFormula>IF(Inventory_List_Table34111510911131718141619202122[[#This Row],[Q]]&lt;0.1, " ", Inventory_List_Table34111510911131718141619202122[[#This Row],[KG]]*2.20462)</calculatedColumnFormula>
    </tableColumn>
    <tableColumn id="10" xr3:uid="{1F7D956F-7C78-4542-AE4B-CC8F779331BB}" name="H Inches" dataDxfId="75">
      <calculatedColumnFormula>IF(Inventory_List_Table34111510911131718141619202122[[#This Row],[Q]]&lt;0.1, " ",Inventory_List_Table34111510911131718141619202122[[#This Row],[H CM]]/2.54)</calculatedColumnFormula>
    </tableColumn>
    <tableColumn id="11" xr3:uid="{34456123-F411-451D-BD71-DCABB8B9F614}" name="W Inches" dataDxfId="74">
      <calculatedColumnFormula>IF(Inventory_List_Table34111510911131718141619202122[[#This Row],[Q]]&lt;0.1, " ",Inventory_List_Table34111510911131718141619202122[[#This Row],[W CM]]/2.54)</calculatedColumnFormula>
    </tableColumn>
    <tableColumn id="12" xr3:uid="{01D86D69-4B65-4FD3-8C3A-B406889D614E}" name="D Incbes" dataDxfId="73">
      <calculatedColumnFormula>IF(Inventory_List_Table34111510911131718141619202122[[#This Row],[Q]]&lt;0.1, " ",Inventory_List_Table34111510911131718141619202122[[#This Row],[D CM ]]/2.54)</calculatedColumnFormula>
    </tableColumn>
    <tableColumn id="14" xr3:uid="{C62DAADC-87F9-4139-9B6E-8A9E21EC32D5}" name="AQ USD" dataDxfId="72" dataCellStyle="Currency">
      <calculatedColumnFormula>IF(Inventory_List_Table34111510911131718141619202122[[#This Row],[Q]]&lt;0.1, " ",Inventory_List_Table34111510911131718141619202122[[#This Row],[PRICE]]/$L$1)</calculatedColumnFormula>
    </tableColumn>
    <tableColumn id="16" xr3:uid="{D7D04C6C-E7E9-42F4-A6A5-FE4C42BE99D3}" name="AQ RND USD" dataDxfId="71" dataCellStyle="Currency">
      <calculatedColumnFormula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calculatedColumnFormula>
    </tableColumn>
    <tableColumn id="15" xr3:uid="{580FEE8B-8D0D-448F-A57F-F6BCFE41C289}" name="LND USD" dataDxfId="70" dataCellStyle="Currency">
      <calculatedColumnFormula>IF(Inventory_List_Table34111510911131718141619202122[[#This Row],[Q]]&lt;0.1, " ",Inventory_List_Table34111510911131718141619202122[[#This Row],[AQ RND USD]]*1.4)</calculatedColumnFormula>
    </tableColumn>
    <tableColumn id="21" xr3:uid="{6F1D17EC-F9CE-408A-82C8-F824C1015FAC}" name="LND RND USD" dataDxfId="69" dataCellStyle="Currency">
      <calculatedColumnFormula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calculatedColumnFormula>
    </tableColumn>
    <tableColumn id="17" xr3:uid="{AB978B10-178A-4BFA-865F-C481A50B7EC1}" name="RETAIL USD" dataDxfId="68" dataCellStyle="Currency">
      <calculatedColumnFormula>IF(Inventory_List_Table34111510911131718141619202122[[#This Row],[Q]]&lt;0.1, " ",Inventory_List_Table34111510911131718141619202122[[#This Row],[LND RND USD]]*12)</calculatedColumnFormula>
    </tableColumn>
    <tableColumn id="22" xr3:uid="{28C65FCA-5E56-4A32-9F02-9FE2A24D2A0C}" name="TOTAL USD" dataDxfId="67" dataCellStyle="Currency">
      <calculatedColumnFormula>IF(Inventory_List_Table34111510911131718141619202122[[#This Row],[Q]]&lt;0.1, " ",Inventory_List_Table34111510911131718141619202122[[#This Row],[AQ USD]])</calculatedColumnFormula>
    </tableColumn>
    <tableColumn id="18" xr3:uid="{C1FFDEC7-52C2-4FFF-9AEE-6CC9A68A6BC9}" name="AQC" dataDxfId="66">
      <calculatedColumnFormula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calculatedColumnFormula>
    </tableColumn>
    <tableColumn id="27" xr3:uid="{DE83102B-352B-49CD-B36E-9FAF0B56EC93}" name="LC" dataDxfId="65">
      <calculatedColumnFormula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calculatedColumnFormula>
    </tableColumn>
    <tableColumn id="28" xr3:uid="{6641F073-2CB6-4121-B097-94F8BDA2DCFB}" name="SQCM MXN" dataDxfId="64">
      <calculatedColumnFormula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calculatedColumnFormula>
    </tableColumn>
    <tableColumn id="26" xr3:uid="{E1B9A07B-1FA3-44B5-A842-646A8069C38F}" name="SQM MXN" dataDxfId="63" dataCellStyle="Currency">
      <calculatedColumnFormula>IF(Inventory_List_Table34111510911131718141619202122[[#This Row],[Q]]&lt;0.1, " ",Inventory_List_Table34111510911131718141619202122[[#This Row],[PRICE]]/Z3*10000)</calculatedColumnFormula>
    </tableColumn>
    <tableColumn id="19" xr3:uid="{A7BECEB3-F56E-40A9-B23C-390549F924B9}" name="NOTES" dataDxfId="62" dataCellStyle="Currency"/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7DB75A-F47B-4FFA-A723-FF7EAA1993BC}" name="Inventory_List_Table3411151091113171814161920212223" displayName="Inventory_List_Table3411151091113171814161920212223" ref="A2:AB102" totalsRowShown="0" headerRowDxfId="61" dataDxfId="59" headerRowBorderDxfId="60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973B7476-B84D-41A8-9022-B24A81F35283}" name="#" dataDxfId="58">
      <calculatedColumnFormula>IFERROR((Inventory_List_Table3411151091113171814161920212223[[#This Row],[H CM]]&lt;=Inventory_List_Table3411151091113171814161920212223[[#This Row],[D CM ]])*(Inventory_List_Table3411151091113171814161920212223[[#This Row],[W Inches]]="")*valHighlight,0)</calculatedColumnFormula>
    </tableColumn>
    <tableColumn id="25" xr3:uid="{30ACCB3C-0BC6-4BD2-8F3D-E114265D449C}" name="DATE" dataDxfId="57"/>
    <tableColumn id="24" xr3:uid="{D1816EBA-7417-4FFB-A74A-47D93324FBB5}" name="COLOR / MATERIAL" dataDxfId="56"/>
    <tableColumn id="20" xr3:uid="{5A0A49B1-E79F-4BD9-8589-736B64971E51}" name="OBJECT/ SHAPE" dataDxfId="55"/>
    <tableColumn id="2" xr3:uid="{0560475A-F4A1-4F93-A95A-D0C5BDC09348}" name="TYPE" dataDxfId="54"/>
    <tableColumn id="3" xr3:uid="{B85AC10F-5668-4D90-B0D0-A5C7CAA40E84}" name="TAG-ID" dataDxfId="53">
      <calculatedColumnFormula>IF(Inventory_List_Table3411151091113171814161920212223[[#This Row],[Q]]&lt;0.1, " ",#REF!&amp;$D$1&amp;#REF!&amp;Inventory_List_Table3411151091113171814161920212223[[#This Row],[NOTES]])</calculatedColumnFormula>
    </tableColumn>
    <tableColumn id="4" xr3:uid="{07A9376E-4E20-44F9-A60F-8F4A0ACBAAF6}" name="Q" dataDxfId="52"/>
    <tableColumn id="5" xr3:uid="{73C98F7C-4C32-425D-90F4-5E661461F1E2}" name="KG" dataDxfId="51"/>
    <tableColumn id="6" xr3:uid="{3B199463-8DC4-4253-A807-EFA564D6573B}" name="H CM" dataDxfId="50"/>
    <tableColumn id="7" xr3:uid="{970BA610-958F-4833-B7A9-E3B6D680F217}" name="W CM" dataDxfId="49"/>
    <tableColumn id="8" xr3:uid="{A0A8E6AD-5375-4899-9240-A34B7EB16C7F}" name="D CM " dataDxfId="48"/>
    <tableColumn id="9" xr3:uid="{DDA670B0-DB37-4CE9-99A9-3646412C8D9D}" name="PRICE" dataDxfId="47" dataCellStyle="Currency"/>
    <tableColumn id="23" xr3:uid="{43E970C3-502E-4D19-92C6-2F7B637EEDC2}" name="TOTAL PESOS" dataDxfId="46" dataCellStyle="Currency">
      <calculatedColumnFormula>IF(Inventory_List_Table3411151091113171814161920212223[[#This Row],[Q]]&lt;0.1, " ", Inventory_List_Table3411151091113171814161920212223[[#This Row],[Q]]*Inventory_List_Table3411151091113171814161920212223[[#This Row],[PRICE]])</calculatedColumnFormula>
    </tableColumn>
    <tableColumn id="13" xr3:uid="{F7FB5050-53E3-462E-A141-309A32C699E2}" name="POUNDS" dataDxfId="45">
      <calculatedColumnFormula>IF(Inventory_List_Table3411151091113171814161920212223[[#This Row],[Q]]&lt;0.1, " ", Inventory_List_Table3411151091113171814161920212223[[#This Row],[KG]]*2.20462)</calculatedColumnFormula>
    </tableColumn>
    <tableColumn id="10" xr3:uid="{BE1F6315-34C1-420E-AF55-64E1431262E6}" name="H Inches" dataDxfId="44">
      <calculatedColumnFormula>IF(Inventory_List_Table3411151091113171814161920212223[[#This Row],[Q]]&lt;0.1, " ",Inventory_List_Table3411151091113171814161920212223[[#This Row],[H CM]]/2.54)</calculatedColumnFormula>
    </tableColumn>
    <tableColumn id="11" xr3:uid="{53E58067-59E8-464C-ACDE-FFB6C1E1023A}" name="W Inches" dataDxfId="43">
      <calculatedColumnFormula>IF(Inventory_List_Table3411151091113171814161920212223[[#This Row],[Q]]&lt;0.1, " ",Inventory_List_Table3411151091113171814161920212223[[#This Row],[W CM]]/2.54)</calculatedColumnFormula>
    </tableColumn>
    <tableColumn id="12" xr3:uid="{3ED2AFAC-1B4B-4026-A85B-0327B16B8C01}" name="D Incbes" dataDxfId="42">
      <calculatedColumnFormula>IF(Inventory_List_Table3411151091113171814161920212223[[#This Row],[Q]]&lt;0.1, " ",Inventory_List_Table3411151091113171814161920212223[[#This Row],[D CM ]]/2.54)</calculatedColumnFormula>
    </tableColumn>
    <tableColumn id="14" xr3:uid="{023370E3-C0C3-4519-9154-BA455DB9F91D}" name="AQ USD" dataDxfId="41" dataCellStyle="Currency">
      <calculatedColumnFormula>IF(Inventory_List_Table3411151091113171814161920212223[[#This Row],[Q]]&lt;0.1, " ",Inventory_List_Table3411151091113171814161920212223[[#This Row],[PRICE]]/$L$1)</calculatedColumnFormula>
    </tableColumn>
    <tableColumn id="16" xr3:uid="{A3B7EDFB-8C2A-4B57-985A-8D3FF6004D27}" name="AQ RND USD" dataDxfId="40" dataCellStyle="Currency">
      <calculatedColumnFormula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calculatedColumnFormula>
    </tableColumn>
    <tableColumn id="15" xr3:uid="{08BAC8D3-8776-45F6-8951-2ACD461964C1}" name="LND USD" dataDxfId="39" dataCellStyle="Currency">
      <calculatedColumnFormula>IF(Inventory_List_Table3411151091113171814161920212223[[#This Row],[Q]]&lt;0.1, " ",Inventory_List_Table3411151091113171814161920212223[[#This Row],[AQ RND USD]]*1.4)</calculatedColumnFormula>
    </tableColumn>
    <tableColumn id="21" xr3:uid="{B33B6A5D-3C72-4536-97CD-6406C789676F}" name="LND RND USD" dataDxfId="38" dataCellStyle="Currency">
      <calculatedColumnFormula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calculatedColumnFormula>
    </tableColumn>
    <tableColumn id="17" xr3:uid="{5F94DF6A-6906-4A5F-9B1B-FD54ABFFC6AD}" name="RETAIL USD" dataDxfId="37" dataCellStyle="Currency">
      <calculatedColumnFormula>IF(Inventory_List_Table3411151091113171814161920212223[[#This Row],[Q]]&lt;0.1, " ",Inventory_List_Table3411151091113171814161920212223[[#This Row],[LND RND USD]]*12)</calculatedColumnFormula>
    </tableColumn>
    <tableColumn id="22" xr3:uid="{E06EDAE1-A1CF-4807-87EA-6FDDE639354E}" name="TOTAL USD" dataDxfId="36" dataCellStyle="Currency">
      <calculatedColumnFormula>IF(Inventory_List_Table3411151091113171814161920212223[[#This Row],[Q]]&lt;0.1, " ",Inventory_List_Table3411151091113171814161920212223[[#This Row],[AQ USD]])</calculatedColumnFormula>
    </tableColumn>
    <tableColumn id="18" xr3:uid="{E5E40F3C-762E-49E5-A040-2902537FBCC4}" name="AQC" dataDxfId="35">
      <calculatedColumnFormula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calculatedColumnFormula>
    </tableColumn>
    <tableColumn id="27" xr3:uid="{B918E303-C7CF-40CC-A730-1A94E36F43ED}" name="LC" dataDxfId="34">
      <calculatedColumnFormula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calculatedColumnFormula>
    </tableColumn>
    <tableColumn id="28" xr3:uid="{73B5A728-B8F7-4621-9BD3-05D51655F51B}" name="SQCM MXN" dataDxfId="33">
      <calculatedColumnFormula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calculatedColumnFormula>
    </tableColumn>
    <tableColumn id="26" xr3:uid="{29EB27E2-FA93-4575-9E4B-79990ECB6304}" name="SQM MXN" dataDxfId="32" dataCellStyle="Currency">
      <calculatedColumnFormula>IF(Inventory_List_Table3411151091113171814161920212223[[#This Row],[Q]]&lt;0.1, " ",Inventory_List_Table3411151091113171814161920212223[[#This Row],[PRICE]]/Z3*10000)</calculatedColumnFormula>
    </tableColumn>
    <tableColumn id="19" xr3:uid="{6D6952BD-627C-4DBF-9D0E-9715F39403F2}" name="NOTES" dataDxfId="31" dataCellStyle="Currency"/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D364892-F0B3-47A0-A249-97DC5B8C81A3}" name="Inventory_List_Table341115109111317181416192021222324" displayName="Inventory_List_Table341115109111317181416192021222324" ref="A2:AB102" totalsRowShown="0" headerRowDxfId="30" dataDxfId="28" headerRowBorderDxfId="29">
  <autoFilter ref="A2:AB10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2FF33830-3795-4963-BC85-5324FA75A7FA}" name="#" dataDxfId="27">
      <calculatedColumnFormula>IFERROR((Inventory_List_Table341115109111317181416192021222324[[#This Row],[H CM]]&lt;=Inventory_List_Table341115109111317181416192021222324[[#This Row],[D CM ]])*(Inventory_List_Table341115109111317181416192021222324[[#This Row],[W Inches]]="")*valHighlight,0)</calculatedColumnFormula>
    </tableColumn>
    <tableColumn id="25" xr3:uid="{5F04AABB-4E32-44BA-9DCB-3E91F3528702}" name="DATE" dataDxfId="26"/>
    <tableColumn id="24" xr3:uid="{FD813D2D-C9CF-4962-B9D6-117972580B57}" name="COLOR / MATERIAL" dataDxfId="25"/>
    <tableColumn id="20" xr3:uid="{F211F993-2552-475E-ABC2-C6FE183AAD02}" name="OBJECT/ SHAPE" dataDxfId="24"/>
    <tableColumn id="2" xr3:uid="{089A67E0-3BAF-453D-8944-1B55F984D37E}" name="TYPE" dataDxfId="23"/>
    <tableColumn id="3" xr3:uid="{C2D4FD52-455D-46D8-BA3F-BAEE46A59771}" name="TAG-ID" dataDxfId="22">
      <calculatedColumnFormula>IF(Inventory_List_Table341115109111317181416192021222324[[#This Row],[Q]]&lt;0.1, " ",#REF!&amp;$D$1&amp;#REF!&amp;Inventory_List_Table341115109111317181416192021222324[[#This Row],[NOTES]])</calculatedColumnFormula>
    </tableColumn>
    <tableColumn id="4" xr3:uid="{72C5903C-9BEB-4A0E-B1DB-F7FA348048B6}" name="Q" dataDxfId="21"/>
    <tableColumn id="5" xr3:uid="{F3BAEE65-0082-4794-BA05-50DD0F3EB1A9}" name="KG" dataDxfId="20"/>
    <tableColumn id="6" xr3:uid="{75106586-5AC3-4D94-91FC-B5522F4D02B9}" name="H CM" dataDxfId="19"/>
    <tableColumn id="7" xr3:uid="{81B6E080-9F49-4D6D-B501-50F7C766FB7C}" name="W CM" dataDxfId="18"/>
    <tableColumn id="8" xr3:uid="{F8ED02F5-70BF-4E17-9C18-9FC249644AF1}" name="D CM " dataDxfId="17"/>
    <tableColumn id="9" xr3:uid="{D0907C35-42C9-4CD9-9E9B-C5005C3F0D25}" name="PRICE" dataDxfId="16" dataCellStyle="Currency"/>
    <tableColumn id="23" xr3:uid="{15280CE0-8F1F-4AF7-8729-DCD90980B584}" name="TOTAL PESOS" dataDxfId="15" dataCellStyle="Currency">
      <calculatedColumnFormula>IF(Inventory_List_Table341115109111317181416192021222324[[#This Row],[Q]]&lt;0.1, " ", Inventory_List_Table341115109111317181416192021222324[[#This Row],[Q]]*Inventory_List_Table341115109111317181416192021222324[[#This Row],[PRICE]])</calculatedColumnFormula>
    </tableColumn>
    <tableColumn id="13" xr3:uid="{E40EA324-B601-48A1-95C7-DBA38E6C24BD}" name="POUNDS" dataDxfId="14">
      <calculatedColumnFormula>IF(Inventory_List_Table341115109111317181416192021222324[[#This Row],[Q]]&lt;0.1, " ", Inventory_List_Table341115109111317181416192021222324[[#This Row],[KG]]*2.20462)</calculatedColumnFormula>
    </tableColumn>
    <tableColumn id="10" xr3:uid="{8CAD23F1-BAF2-44F4-BB7F-4C0A91BCE042}" name="H Inches" dataDxfId="13">
      <calculatedColumnFormula>IF(Inventory_List_Table341115109111317181416192021222324[[#This Row],[Q]]&lt;0.1, " ",Inventory_List_Table341115109111317181416192021222324[[#This Row],[H CM]]/2.54)</calculatedColumnFormula>
    </tableColumn>
    <tableColumn id="11" xr3:uid="{E9741A7D-9844-4030-A73A-947365E2020D}" name="W Inches" dataDxfId="12">
      <calculatedColumnFormula>IF(Inventory_List_Table341115109111317181416192021222324[[#This Row],[Q]]&lt;0.1, " ",Inventory_List_Table341115109111317181416192021222324[[#This Row],[W CM]]/2.54)</calculatedColumnFormula>
    </tableColumn>
    <tableColumn id="12" xr3:uid="{5032EB73-2D58-4F64-BECA-6275F0B9B047}" name="D Incbes" dataDxfId="11">
      <calculatedColumnFormula>IF(Inventory_List_Table341115109111317181416192021222324[[#This Row],[Q]]&lt;0.1, " ",Inventory_List_Table341115109111317181416192021222324[[#This Row],[D CM ]]/2.54)</calculatedColumnFormula>
    </tableColumn>
    <tableColumn id="14" xr3:uid="{3B9BF80D-4161-4629-905D-2C109DFAF3EB}" name="AQ USD" dataDxfId="10" dataCellStyle="Currency">
      <calculatedColumnFormula>IF(Inventory_List_Table341115109111317181416192021222324[[#This Row],[Q]]&lt;0.1, " ",Inventory_List_Table341115109111317181416192021222324[[#This Row],[PRICE]]/$L$1)</calculatedColumnFormula>
    </tableColumn>
    <tableColumn id="16" xr3:uid="{D577B2B8-08B6-4FCA-B6FC-A25ABB5F1E3C}" name="AQ RND USD" dataDxfId="9" dataCellStyle="Currency">
      <calculatedColumnFormula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calculatedColumnFormula>
    </tableColumn>
    <tableColumn id="15" xr3:uid="{26874A62-268A-43DA-BB50-36D52B1D9508}" name="LND USD" dataDxfId="8" dataCellStyle="Currency">
      <calculatedColumnFormula>IF(Inventory_List_Table341115109111317181416192021222324[[#This Row],[Q]]&lt;0.1, " ",Inventory_List_Table341115109111317181416192021222324[[#This Row],[AQ RND USD]]*1.4)</calculatedColumnFormula>
    </tableColumn>
    <tableColumn id="21" xr3:uid="{9475800B-6B33-4AD1-BAA3-3B2D008B818A}" name="LND RND USD" dataDxfId="7" dataCellStyle="Currency">
      <calculatedColumnFormula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calculatedColumnFormula>
    </tableColumn>
    <tableColumn id="17" xr3:uid="{A70604EB-D77F-433A-A5C5-AEC148A7BF0C}" name="RETAIL USD" dataDxfId="6" dataCellStyle="Currency">
      <calculatedColumnFormula>IF(Inventory_List_Table341115109111317181416192021222324[[#This Row],[Q]]&lt;0.1, " ",Inventory_List_Table341115109111317181416192021222324[[#This Row],[LND RND USD]]*12)</calculatedColumnFormula>
    </tableColumn>
    <tableColumn id="22" xr3:uid="{EB2BF0D1-4868-4DDB-A3C6-F7D382205660}" name="TOTAL USD" dataDxfId="5" dataCellStyle="Currency">
      <calculatedColumnFormula>IF(Inventory_List_Table341115109111317181416192021222324[[#This Row],[Q]]&lt;0.1, " ",Inventory_List_Table341115109111317181416192021222324[[#This Row],[AQ USD]])</calculatedColumnFormula>
    </tableColumn>
    <tableColumn id="18" xr3:uid="{A1D3DB44-A336-4219-B956-4CB5B2277054}" name="AQC" dataDxfId="4">
      <calculatedColumnFormula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calculatedColumnFormula>
    </tableColumn>
    <tableColumn id="27" xr3:uid="{114BB69D-BB56-4F99-9B35-53E928DF192B}" name="LC" dataDxfId="3">
      <calculatedColumnFormula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calculatedColumnFormula>
    </tableColumn>
    <tableColumn id="28" xr3:uid="{8BA90F4D-2E5B-4DD2-84AF-83C7ECA1E861}" name="SQCM MXN" dataDxfId="2">
      <calculatedColumnFormula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calculatedColumnFormula>
    </tableColumn>
    <tableColumn id="26" xr3:uid="{1DCB122E-428C-4784-9BCE-D8311CE728AB}" name="SQM MXN" dataDxfId="1" dataCellStyle="Currency">
      <calculatedColumnFormula>IF(Inventory_List_Table341115109111317181416192021222324[[#This Row],[Q]]&lt;0.1, " ",Inventory_List_Table341115109111317181416192021222324[[#This Row],[PRICE]]/Z3*10000)</calculatedColumnFormula>
    </tableColumn>
    <tableColumn id="19" xr3:uid="{1F21EA63-BEBF-41FB-8330-42EE8D48C86E}" name="NOTES" dataDxfId="0" dataCellStyle="Currency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  <wetp:taskpane dockstate="right" visibility="0" width="350" row="2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8E0B4169-EDA1-40DF-9737-90B08A329297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6tfWuQk8wNywxLO8lQCW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11A3746-B4E2-4971-9BB6-763C320A269D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15EB89ED-0A0B-4913-B8A2-66A86A514203}">
  <we:reference id="wa103992993" version="1.2.0.0" store="en-US" storeType="OMEX"/>
  <we:alternateReferences>
    <we:reference id="wa103992993" version="1.2.0.0" store="wa10399299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10921923-A283-46D3-9307-AFA4165C8930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43A7-4A67-4129-B6D3-1AC1F9267DD5}">
  <sheetPr>
    <tabColor theme="1" tint="4.9989318521683403E-2"/>
  </sheetPr>
  <dimension ref="A1:H19"/>
  <sheetViews>
    <sheetView showGridLines="0" tabSelected="1" zoomScale="85" zoomScaleNormal="85" workbookViewId="0">
      <selection activeCell="E16" sqref="E16"/>
    </sheetView>
  </sheetViews>
  <sheetFormatPr defaultColWidth="19.625" defaultRowHeight="30.6" customHeight="1" x14ac:dyDescent="0.45"/>
  <cols>
    <col min="1" max="1" width="34.25" style="251" customWidth="1"/>
    <col min="2" max="2" width="27.375" style="21" customWidth="1"/>
    <col min="3" max="3" width="22.375" bestFit="1" customWidth="1"/>
    <col min="4" max="4" width="34.5" bestFit="1" customWidth="1"/>
    <col min="5" max="5" width="37.75" bestFit="1" customWidth="1"/>
    <col min="6" max="6" width="36.375" style="238" customWidth="1"/>
    <col min="7" max="7" width="18.5" style="233" customWidth="1"/>
    <col min="8" max="8" width="19.125" style="62" customWidth="1"/>
    <col min="9" max="16384" width="19.625" style="21"/>
  </cols>
  <sheetData>
    <row r="1" spans="1:8" s="64" customFormat="1" ht="40.5" customHeight="1" thickBot="1" x14ac:dyDescent="0.3">
      <c r="A1" s="252">
        <v>326</v>
      </c>
      <c r="B1" s="312" t="s">
        <v>143</v>
      </c>
      <c r="C1" s="317" t="s">
        <v>117</v>
      </c>
      <c r="D1" s="253" t="s">
        <v>70</v>
      </c>
      <c r="E1" s="561" t="s">
        <v>96</v>
      </c>
      <c r="F1" s="253" t="s">
        <v>75</v>
      </c>
      <c r="G1" s="253" t="s">
        <v>56</v>
      </c>
      <c r="H1" s="253" t="s">
        <v>48</v>
      </c>
    </row>
    <row r="2" spans="1:8" s="63" customFormat="1" ht="32.25" customHeight="1" thickTop="1" x14ac:dyDescent="0.45">
      <c r="A2" s="559" t="s">
        <v>142</v>
      </c>
      <c r="B2" s="560">
        <v>18</v>
      </c>
      <c r="C2" s="320" t="s">
        <v>55</v>
      </c>
      <c r="D2" s="563" t="s">
        <v>71</v>
      </c>
      <c r="E2" s="564">
        <v>12000</v>
      </c>
      <c r="F2" s="307" t="s">
        <v>107</v>
      </c>
      <c r="G2" s="307"/>
      <c r="H2" s="307"/>
    </row>
    <row r="3" spans="1:8" ht="31.9" customHeight="1" thickBot="1" x14ac:dyDescent="0.5">
      <c r="A3" s="299" t="s">
        <v>32</v>
      </c>
      <c r="B3" s="299" t="s">
        <v>98</v>
      </c>
      <c r="C3" s="318" t="s">
        <v>118</v>
      </c>
      <c r="D3" s="565" t="s">
        <v>101</v>
      </c>
      <c r="E3" s="566">
        <v>3500</v>
      </c>
      <c r="F3" s="308" t="s">
        <v>108</v>
      </c>
      <c r="G3" s="308"/>
      <c r="H3" s="308"/>
    </row>
    <row r="4" spans="1:8" ht="31.5" customHeight="1" thickTop="1" x14ac:dyDescent="0.45">
      <c r="A4" s="234" t="s">
        <v>82</v>
      </c>
      <c r="B4" s="313">
        <f>JM!M1</f>
        <v>0</v>
      </c>
      <c r="C4" s="318" t="s">
        <v>120</v>
      </c>
      <c r="D4" s="568" t="s">
        <v>103</v>
      </c>
      <c r="E4" s="569">
        <v>2300</v>
      </c>
      <c r="F4" s="309" t="s">
        <v>109</v>
      </c>
      <c r="G4" s="309"/>
      <c r="H4" s="309"/>
    </row>
    <row r="5" spans="1:8" ht="30.6" customHeight="1" x14ac:dyDescent="0.45">
      <c r="A5" s="235" t="s">
        <v>94</v>
      </c>
      <c r="B5" s="313">
        <f>EM!M1</f>
        <v>0</v>
      </c>
      <c r="C5" s="318" t="s">
        <v>125</v>
      </c>
      <c r="D5" s="568" t="s">
        <v>102</v>
      </c>
      <c r="E5" s="569">
        <v>500</v>
      </c>
      <c r="F5" s="310" t="s">
        <v>111</v>
      </c>
      <c r="G5" s="310"/>
      <c r="H5" s="310"/>
    </row>
    <row r="6" spans="1:8" ht="30.6" customHeight="1" x14ac:dyDescent="0.45">
      <c r="A6" s="236" t="s">
        <v>80</v>
      </c>
      <c r="B6" s="313">
        <f>CA!M1</f>
        <v>40600</v>
      </c>
      <c r="C6" s="318" t="s">
        <v>44</v>
      </c>
      <c r="D6" s="568" t="s">
        <v>72</v>
      </c>
      <c r="E6" s="569">
        <v>500</v>
      </c>
    </row>
    <row r="7" spans="1:8" ht="30.6" customHeight="1" x14ac:dyDescent="0.45">
      <c r="A7" s="237" t="s">
        <v>81</v>
      </c>
      <c r="B7" s="313">
        <f>AN!M1</f>
        <v>27000</v>
      </c>
      <c r="C7" s="318" t="s">
        <v>119</v>
      </c>
      <c r="D7" s="568" t="s">
        <v>73</v>
      </c>
      <c r="E7" s="569">
        <v>2300</v>
      </c>
    </row>
    <row r="8" spans="1:8" ht="30.6" customHeight="1" thickBot="1" x14ac:dyDescent="0.5">
      <c r="A8" s="239" t="s">
        <v>83</v>
      </c>
      <c r="B8" s="314">
        <f>SU!M1</f>
        <v>0</v>
      </c>
      <c r="D8" s="568" t="s">
        <v>115</v>
      </c>
      <c r="E8" s="569">
        <v>300</v>
      </c>
    </row>
    <row r="9" spans="1:8" ht="30.6" customHeight="1" thickTop="1" thickBot="1" x14ac:dyDescent="0.5">
      <c r="A9" s="240" t="s">
        <v>84</v>
      </c>
      <c r="B9" s="314">
        <f>TE!M1</f>
        <v>0</v>
      </c>
      <c r="D9" s="570" t="s">
        <v>74</v>
      </c>
      <c r="E9" s="571">
        <v>1600</v>
      </c>
    </row>
    <row r="10" spans="1:8" ht="30.6" customHeight="1" thickTop="1" x14ac:dyDescent="0.45">
      <c r="A10" s="241" t="s">
        <v>95</v>
      </c>
      <c r="B10" s="314">
        <f>DH!M1</f>
        <v>0</v>
      </c>
      <c r="D10" s="311" t="s">
        <v>153</v>
      </c>
      <c r="E10" s="304">
        <f>SUM(E2:E3)</f>
        <v>15500</v>
      </c>
    </row>
    <row r="11" spans="1:8" ht="30.6" customHeight="1" x14ac:dyDescent="0.45">
      <c r="A11" s="242" t="s">
        <v>85</v>
      </c>
      <c r="B11" s="315"/>
      <c r="D11" s="567" t="s">
        <v>154</v>
      </c>
      <c r="E11" s="306">
        <f>SUM(E4:E8)</f>
        <v>5900</v>
      </c>
    </row>
    <row r="12" spans="1:8" customFormat="1" ht="30.6" customHeight="1" x14ac:dyDescent="0.45">
      <c r="A12" s="243" t="s">
        <v>86</v>
      </c>
      <c r="B12" s="315"/>
      <c r="D12" s="326" t="s">
        <v>155</v>
      </c>
      <c r="E12" s="327">
        <f>E9</f>
        <v>1600</v>
      </c>
      <c r="F12" s="238"/>
      <c r="G12" s="233"/>
      <c r="H12" s="62"/>
    </row>
    <row r="13" spans="1:8" customFormat="1" ht="30.6" customHeight="1" x14ac:dyDescent="0.45">
      <c r="A13" s="244" t="s">
        <v>87</v>
      </c>
      <c r="B13" s="315"/>
      <c r="D13" s="298" t="s">
        <v>0</v>
      </c>
      <c r="E13" s="305">
        <f>SUM(E2:E9)</f>
        <v>23000</v>
      </c>
      <c r="F13" s="238"/>
      <c r="G13" s="233"/>
      <c r="H13" s="62"/>
    </row>
    <row r="14" spans="1:8" customFormat="1" ht="30.6" customHeight="1" x14ac:dyDescent="0.45">
      <c r="A14" s="245" t="s">
        <v>88</v>
      </c>
      <c r="B14" s="315"/>
      <c r="F14" s="238"/>
      <c r="G14" s="233"/>
      <c r="H14" s="62"/>
    </row>
    <row r="15" spans="1:8" customFormat="1" ht="30.6" customHeight="1" x14ac:dyDescent="0.45">
      <c r="A15" s="246" t="s">
        <v>89</v>
      </c>
      <c r="B15" s="315"/>
      <c r="F15" s="238"/>
      <c r="G15" s="233"/>
      <c r="H15" s="62"/>
    </row>
    <row r="16" spans="1:8" customFormat="1" ht="30.6" customHeight="1" x14ac:dyDescent="0.45">
      <c r="A16" s="247" t="s">
        <v>90</v>
      </c>
      <c r="B16" s="315"/>
      <c r="F16" s="238"/>
      <c r="G16" s="233"/>
      <c r="H16" s="62"/>
    </row>
    <row r="17" spans="1:8" customFormat="1" ht="30.6" customHeight="1" x14ac:dyDescent="0.45">
      <c r="A17" s="248" t="s">
        <v>91</v>
      </c>
      <c r="B17" s="315"/>
      <c r="F17" s="238"/>
      <c r="G17" s="233"/>
      <c r="H17" s="62"/>
    </row>
    <row r="18" spans="1:8" customFormat="1" ht="30.6" customHeight="1" x14ac:dyDescent="0.45">
      <c r="A18" s="249" t="s">
        <v>92</v>
      </c>
      <c r="B18" s="315"/>
      <c r="F18" s="238"/>
      <c r="G18" s="233"/>
      <c r="H18" s="62"/>
    </row>
    <row r="19" spans="1:8" customFormat="1" ht="30.6" customHeight="1" x14ac:dyDescent="0.45">
      <c r="A19" s="250" t="s">
        <v>93</v>
      </c>
      <c r="B19" s="315"/>
      <c r="F19" s="238"/>
      <c r="G19" s="233"/>
      <c r="H19" s="62"/>
    </row>
  </sheetData>
  <phoneticPr fontId="2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3874-F8D1-491C-BA38-35198CCEDD36}">
  <sheetPr>
    <tabColor theme="1" tint="4.9989318521683403E-2"/>
  </sheetPr>
  <dimension ref="A1:I31"/>
  <sheetViews>
    <sheetView workbookViewId="0"/>
  </sheetViews>
  <sheetFormatPr defaultRowHeight="15" x14ac:dyDescent="0.25"/>
  <cols>
    <col min="1" max="1" width="10.5" style="19" bestFit="1" customWidth="1"/>
    <col min="2" max="2" width="21.875" style="23" customWidth="1"/>
    <col min="3" max="3" width="27.375" style="23" customWidth="1"/>
    <col min="4" max="4" width="15" style="20" customWidth="1"/>
    <col min="5" max="5" width="10.625" style="23" customWidth="1"/>
    <col min="6" max="6" width="15" style="23" customWidth="1"/>
    <col min="7" max="7" width="19.5" style="22" customWidth="1"/>
    <col min="8" max="8" width="13.75" style="19" customWidth="1"/>
    <col min="9" max="9" width="22.625" customWidth="1"/>
  </cols>
  <sheetData>
    <row r="1" spans="1:9" ht="30.75" customHeight="1" x14ac:dyDescent="0.25">
      <c r="A1" s="302" t="s">
        <v>51</v>
      </c>
      <c r="B1" s="40"/>
      <c r="C1" s="40"/>
      <c r="D1" s="254"/>
      <c r="E1" s="40"/>
      <c r="F1" s="40"/>
      <c r="G1" s="255"/>
      <c r="H1" s="256"/>
      <c r="I1" s="257"/>
    </row>
    <row r="2" spans="1:9" ht="15.75" x14ac:dyDescent="0.25">
      <c r="A2" s="294" t="s">
        <v>8</v>
      </c>
      <c r="B2" s="295" t="s">
        <v>49</v>
      </c>
      <c r="C2" s="295" t="s">
        <v>47</v>
      </c>
      <c r="D2" s="296" t="s">
        <v>25</v>
      </c>
      <c r="E2" s="295" t="s">
        <v>50</v>
      </c>
      <c r="F2" s="295" t="s">
        <v>65</v>
      </c>
      <c r="G2" s="297" t="s">
        <v>66</v>
      </c>
      <c r="H2" s="294" t="s">
        <v>52</v>
      </c>
      <c r="I2" s="295" t="s">
        <v>53</v>
      </c>
    </row>
    <row r="3" spans="1:9" x14ac:dyDescent="0.25">
      <c r="A3" s="290">
        <v>46065</v>
      </c>
      <c r="B3" s="23" t="s">
        <v>81</v>
      </c>
      <c r="C3" s="23" t="s">
        <v>54</v>
      </c>
      <c r="D3" s="291">
        <v>27000</v>
      </c>
      <c r="E3" s="23">
        <v>1</v>
      </c>
      <c r="F3" s="291">
        <f>IF(Table2[[#This Row],[QTY]]&gt;0.1,D3*E3, " ")</f>
        <v>27000</v>
      </c>
      <c r="G3" s="292">
        <v>13500</v>
      </c>
      <c r="H3" s="290"/>
    </row>
    <row r="4" spans="1:9" x14ac:dyDescent="0.25">
      <c r="A4" s="19">
        <v>46065</v>
      </c>
      <c r="B4" s="23" t="s">
        <v>80</v>
      </c>
      <c r="C4" s="23" t="s">
        <v>67</v>
      </c>
      <c r="D4" s="293">
        <v>13000</v>
      </c>
      <c r="E4" s="23">
        <v>3</v>
      </c>
      <c r="F4" s="291">
        <f>IF(Table2[[#This Row],[QTY]]&gt;0.1,D4*E4, " ")</f>
        <v>39000</v>
      </c>
      <c r="G4" s="292">
        <v>20000</v>
      </c>
    </row>
    <row r="5" spans="1:9" x14ac:dyDescent="0.25">
      <c r="D5" s="293"/>
      <c r="F5" s="291" t="str">
        <f>IF(Table2[[#This Row],[QTY]]&gt;0.1,D5*E5, " ")</f>
        <v xml:space="preserve"> </v>
      </c>
      <c r="G5" s="292"/>
    </row>
    <row r="6" spans="1:9" x14ac:dyDescent="0.25">
      <c r="D6" s="293"/>
      <c r="F6" s="291" t="str">
        <f>IF(Table2[[#This Row],[QTY]]&gt;0.1,D6*E6, " ")</f>
        <v xml:space="preserve"> </v>
      </c>
      <c r="G6" s="292"/>
    </row>
    <row r="7" spans="1:9" x14ac:dyDescent="0.25">
      <c r="D7" s="293"/>
      <c r="F7" s="291" t="str">
        <f>IF(Table2[[#This Row],[QTY]]&gt;0.1,D7*E7, " ")</f>
        <v xml:space="preserve"> </v>
      </c>
      <c r="G7" s="292"/>
    </row>
    <row r="8" spans="1:9" x14ac:dyDescent="0.25">
      <c r="D8" s="293"/>
      <c r="F8" s="291" t="str">
        <f>IF(Table2[[#This Row],[QTY]]&gt;0.1,D8*E8, " ")</f>
        <v xml:space="preserve"> </v>
      </c>
      <c r="G8" s="292"/>
    </row>
    <row r="9" spans="1:9" x14ac:dyDescent="0.25">
      <c r="D9" s="293"/>
      <c r="F9" s="291" t="str">
        <f>IF(Table2[[#This Row],[QTY]]&gt;0.1,D9*E9, " ")</f>
        <v xml:space="preserve"> </v>
      </c>
      <c r="G9" s="292"/>
    </row>
    <row r="10" spans="1:9" x14ac:dyDescent="0.25">
      <c r="D10" s="293"/>
      <c r="F10" s="291" t="str">
        <f>IF(Table2[[#This Row],[QTY]]&gt;0.1,D10*E10, " ")</f>
        <v xml:space="preserve"> </v>
      </c>
      <c r="G10" s="292"/>
    </row>
    <row r="11" spans="1:9" x14ac:dyDescent="0.25">
      <c r="D11" s="293"/>
      <c r="F11" s="291" t="str">
        <f>IF(Table2[[#This Row],[QTY]]&gt;0.1,D11*E11, " ")</f>
        <v xml:space="preserve"> </v>
      </c>
      <c r="G11" s="292"/>
    </row>
    <row r="12" spans="1:9" x14ac:dyDescent="0.25">
      <c r="D12" s="293"/>
      <c r="F12" s="291" t="str">
        <f>IF(Table2[[#This Row],[QTY]]&gt;0.1,D12*E12, " ")</f>
        <v xml:space="preserve"> </v>
      </c>
      <c r="G12" s="292"/>
    </row>
    <row r="13" spans="1:9" x14ac:dyDescent="0.25">
      <c r="D13" s="293"/>
      <c r="F13" s="291" t="str">
        <f>IF(Table2[[#This Row],[QTY]]&gt;0.1,D13*E13, " ")</f>
        <v xml:space="preserve"> </v>
      </c>
      <c r="G13" s="292"/>
    </row>
    <row r="14" spans="1:9" x14ac:dyDescent="0.25">
      <c r="D14" s="293"/>
      <c r="F14" s="291" t="str">
        <f>IF(Table2[[#This Row],[QTY]]&gt;0.1,D14*E14, " ")</f>
        <v xml:space="preserve"> </v>
      </c>
      <c r="G14" s="292"/>
    </row>
    <row r="15" spans="1:9" x14ac:dyDescent="0.25">
      <c r="D15" s="293"/>
      <c r="F15" s="291" t="str">
        <f>IF(Table2[[#This Row],[QTY]]&gt;0.1,D15*E15, " ")</f>
        <v xml:space="preserve"> </v>
      </c>
      <c r="G15" s="292"/>
    </row>
    <row r="16" spans="1:9" x14ac:dyDescent="0.25">
      <c r="D16" s="293"/>
      <c r="F16" s="291" t="str">
        <f>IF(Table2[[#This Row],[QTY]]&gt;0.1,D16*E16, " ")</f>
        <v xml:space="preserve"> </v>
      </c>
      <c r="G16" s="292"/>
    </row>
    <row r="17" spans="4:7" x14ac:dyDescent="0.25">
      <c r="D17" s="293"/>
      <c r="F17" s="291" t="str">
        <f>IF(Table2[[#This Row],[QTY]]&gt;0.1,D17*E17, " ")</f>
        <v xml:space="preserve"> </v>
      </c>
      <c r="G17" s="292"/>
    </row>
    <row r="18" spans="4:7" x14ac:dyDescent="0.25">
      <c r="D18" s="293"/>
      <c r="F18" s="291" t="str">
        <f>IF(Table2[[#This Row],[QTY]]&gt;0.1,D18*E18, " ")</f>
        <v xml:space="preserve"> </v>
      </c>
      <c r="G18" s="292"/>
    </row>
    <row r="19" spans="4:7" x14ac:dyDescent="0.25">
      <c r="D19" s="293"/>
      <c r="F19" s="291" t="str">
        <f>IF(Table2[[#This Row],[QTY]]&gt;0.1,D19*E19, " ")</f>
        <v xml:space="preserve"> </v>
      </c>
      <c r="G19" s="292"/>
    </row>
    <row r="20" spans="4:7" x14ac:dyDescent="0.25">
      <c r="D20" s="293"/>
      <c r="F20" s="291" t="str">
        <f>IF(Table2[[#This Row],[QTY]]&gt;0.1,D20*E20, " ")</f>
        <v xml:space="preserve"> </v>
      </c>
      <c r="G20" s="292"/>
    </row>
    <row r="21" spans="4:7" x14ac:dyDescent="0.25">
      <c r="D21" s="293"/>
      <c r="F21" s="291" t="str">
        <f>IF(Table2[[#This Row],[QTY]]&gt;0.1,D21*E21, " ")</f>
        <v xml:space="preserve"> </v>
      </c>
      <c r="G21" s="292"/>
    </row>
    <row r="22" spans="4:7" x14ac:dyDescent="0.25">
      <c r="D22" s="293"/>
      <c r="F22" s="291" t="str">
        <f>IF(Table2[[#This Row],[QTY]]&gt;0.1,D22*E22, " ")</f>
        <v xml:space="preserve"> </v>
      </c>
      <c r="G22" s="292"/>
    </row>
    <row r="23" spans="4:7" x14ac:dyDescent="0.25">
      <c r="D23" s="293"/>
      <c r="F23" s="291" t="str">
        <f>IF(Table2[[#This Row],[QTY]]&gt;0.1,D23*E23, " ")</f>
        <v xml:space="preserve"> </v>
      </c>
      <c r="G23" s="292"/>
    </row>
    <row r="24" spans="4:7" x14ac:dyDescent="0.25">
      <c r="D24" s="293"/>
      <c r="F24" s="291" t="str">
        <f>IF(Table2[[#This Row],[QTY]]&gt;0.1,D24*E24, " ")</f>
        <v xml:space="preserve"> </v>
      </c>
      <c r="G24" s="292"/>
    </row>
    <row r="25" spans="4:7" x14ac:dyDescent="0.25">
      <c r="D25" s="293"/>
      <c r="F25" s="291" t="str">
        <f>IF(Table2[[#This Row],[QTY]]&gt;0.1,D25*E25, " ")</f>
        <v xml:space="preserve"> </v>
      </c>
      <c r="G25" s="292"/>
    </row>
    <row r="26" spans="4:7" x14ac:dyDescent="0.25">
      <c r="D26" s="293"/>
      <c r="F26" s="291" t="str">
        <f>IF(Table2[[#This Row],[QTY]]&gt;0.1,D26*E26, " ")</f>
        <v xml:space="preserve"> </v>
      </c>
      <c r="G26" s="292"/>
    </row>
    <row r="27" spans="4:7" x14ac:dyDescent="0.25">
      <c r="D27" s="293"/>
      <c r="F27" s="291" t="str">
        <f>IF(Table2[[#This Row],[QTY]]&gt;0.1,D27*E27, " ")</f>
        <v xml:space="preserve"> </v>
      </c>
      <c r="G27" s="292"/>
    </row>
    <row r="28" spans="4:7" x14ac:dyDescent="0.25">
      <c r="D28" s="293"/>
      <c r="F28" s="291" t="str">
        <f>IF(Table2[[#This Row],[QTY]]&gt;0.1,D28*E28, " ")</f>
        <v xml:space="preserve"> </v>
      </c>
      <c r="G28" s="292"/>
    </row>
    <row r="29" spans="4:7" x14ac:dyDescent="0.25">
      <c r="D29" s="293"/>
      <c r="F29" s="291" t="str">
        <f>IF(Table2[[#This Row],[QTY]]&gt;0.1,D29*E29, " ")</f>
        <v xml:space="preserve"> </v>
      </c>
      <c r="G29" s="292"/>
    </row>
    <row r="30" spans="4:7" x14ac:dyDescent="0.25">
      <c r="D30" s="293"/>
      <c r="F30" s="291" t="str">
        <f>IF(Table2[[#This Row],[QTY]]&gt;0.1,D30*E30, " ")</f>
        <v xml:space="preserve"> </v>
      </c>
      <c r="G30" s="292"/>
    </row>
    <row r="31" spans="4:7" x14ac:dyDescent="0.25">
      <c r="D31" s="293"/>
      <c r="F31" s="291" t="str">
        <f>IF(Table2[[#This Row],[QTY]]&gt;0.1,D31*E31, " ")</f>
        <v xml:space="preserve"> </v>
      </c>
      <c r="G31" s="29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7CED17-05DD-4FB0-B755-37EC9EE8C4DD}">
          <x14:formula1>
            <xm:f>'-Log'!$A$4:$A$19</xm:f>
          </x14:formula1>
          <xm:sqref>B3:B31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A53F-5178-4083-8DA5-B71FA5596C9B}">
  <sheetPr>
    <tabColor theme="1" tint="4.9989318521683403E-2"/>
  </sheetPr>
  <dimension ref="A1:J20"/>
  <sheetViews>
    <sheetView zoomScale="130" zoomScaleNormal="130" workbookViewId="0">
      <pane ySplit="3" topLeftCell="A4" activePane="bottomLeft" state="frozen"/>
      <selection activeCell="B2" sqref="B2"/>
      <selection pane="bottomLeft" activeCell="A4" sqref="A4"/>
    </sheetView>
  </sheetViews>
  <sheetFormatPr defaultColWidth="8.25" defaultRowHeight="15" x14ac:dyDescent="0.25"/>
  <cols>
    <col min="1" max="1" width="8.125" style="8" bestFit="1" customWidth="1"/>
    <col min="2" max="2" width="13.75" style="2" bestFit="1" customWidth="1"/>
    <col min="3" max="3" width="14.5" bestFit="1" customWidth="1"/>
    <col min="4" max="4" width="6.125" style="14" bestFit="1" customWidth="1"/>
    <col min="5" max="5" width="11.875" style="5" bestFit="1" customWidth="1"/>
    <col min="6" max="6" width="11.25" style="11" bestFit="1" customWidth="1"/>
    <col min="7" max="7" width="15.375" style="17" customWidth="1"/>
    <col min="8" max="8" width="8.875" style="2" bestFit="1" customWidth="1"/>
    <col min="9" max="9" width="15.25" style="2" customWidth="1"/>
    <col min="10" max="10" width="10.375" style="2" bestFit="1" customWidth="1"/>
    <col min="11" max="11" width="9.25" style="2" bestFit="1" customWidth="1"/>
    <col min="12" max="16384" width="8.25" style="2"/>
  </cols>
  <sheetData>
    <row r="1" spans="1:10" ht="24" customHeight="1" x14ac:dyDescent="0.25">
      <c r="A1" s="301" t="s">
        <v>99</v>
      </c>
      <c r="B1" s="41"/>
      <c r="C1" s="258"/>
      <c r="D1" s="41"/>
      <c r="E1" s="259"/>
      <c r="F1" s="260"/>
      <c r="G1" s="42" t="s">
        <v>43</v>
      </c>
      <c r="H1" s="42"/>
      <c r="I1" s="43">
        <f>I2-G2</f>
        <v>0</v>
      </c>
    </row>
    <row r="2" spans="1:10" x14ac:dyDescent="0.25">
      <c r="A2" s="265"/>
      <c r="B2" s="266"/>
      <c r="C2" s="267"/>
      <c r="D2" s="266"/>
      <c r="E2" s="259"/>
      <c r="F2" s="9" t="s">
        <v>46</v>
      </c>
      <c r="G2" s="10">
        <f>SUM(Table115[TOTAL $])</f>
        <v>0</v>
      </c>
      <c r="H2" s="6" t="s">
        <v>45</v>
      </c>
      <c r="I2" s="7">
        <f>SUM(Table115[[#All],[$MSN IN]])</f>
        <v>0</v>
      </c>
    </row>
    <row r="3" spans="1:10" s="12" customFormat="1" ht="13.5" x14ac:dyDescent="0.25">
      <c r="A3" s="44" t="s">
        <v>8</v>
      </c>
      <c r="B3" s="46" t="s">
        <v>33</v>
      </c>
      <c r="C3" s="47" t="s">
        <v>34</v>
      </c>
      <c r="D3" s="48" t="s">
        <v>9</v>
      </c>
      <c r="E3" s="49" t="s">
        <v>36</v>
      </c>
      <c r="F3" s="50" t="s">
        <v>37</v>
      </c>
      <c r="G3" s="51" t="s">
        <v>38</v>
      </c>
      <c r="H3" s="52" t="s">
        <v>42</v>
      </c>
      <c r="I3" s="53" t="s">
        <v>14</v>
      </c>
    </row>
    <row r="4" spans="1:10" ht="13.5" x14ac:dyDescent="0.25">
      <c r="A4" s="285"/>
      <c r="B4" s="286"/>
      <c r="C4" s="286"/>
      <c r="D4" s="287"/>
      <c r="E4" s="24"/>
      <c r="F4" s="288"/>
      <c r="G4" s="18" t="str">
        <f>IF(Table115[[#This Row],[Q]]&lt;0.1, " ",Table115[[#This Row],[Q]]*Table115[[#This Row],[$MXN OUT]])</f>
        <v xml:space="preserve"> </v>
      </c>
      <c r="H4" s="289" t="str">
        <f>IF(Table115[[#This Row],[Q]]&gt;0.1, Table115[[#This Row],[$MSN IN]]/18, " ")</f>
        <v xml:space="preserve"> </v>
      </c>
      <c r="I4" s="289" t="str">
        <f>IF(Table115[[#This Row],[Q]]&gt;0.1, Table115[[#This Row],[$USD]]*Table115[[#This Row],[Q]], " ")</f>
        <v xml:space="preserve"> </v>
      </c>
      <c r="J4" s="25"/>
    </row>
    <row r="5" spans="1:10" ht="13.5" x14ac:dyDescent="0.25">
      <c r="A5" s="285"/>
      <c r="B5" s="286"/>
      <c r="C5" s="286"/>
      <c r="D5" s="287"/>
      <c r="E5" s="24"/>
      <c r="F5" s="288"/>
      <c r="G5" s="18" t="str">
        <f>IF(Table115[[#This Row],[Q]]&lt;0.1, " ",Table115[[#This Row],[Q]]*Table115[[#This Row],[$MXN OUT]])</f>
        <v xml:space="preserve"> </v>
      </c>
      <c r="H5" s="289" t="str">
        <f>IF(Table115[[#This Row],[Q]]&gt;0.1, Table115[[#This Row],[$MSN IN]]/18, " ")</f>
        <v xml:space="preserve"> </v>
      </c>
      <c r="I5" s="289" t="str">
        <f>IF(Table115[[#This Row],[Q]]&gt;0.1, Table115[[#This Row],[$USD]]*Table115[[#This Row],[Q]], " ")</f>
        <v xml:space="preserve"> </v>
      </c>
    </row>
    <row r="6" spans="1:10" ht="13.5" x14ac:dyDescent="0.25">
      <c r="A6" s="285"/>
      <c r="B6" s="286"/>
      <c r="C6" s="286"/>
      <c r="D6" s="287"/>
      <c r="E6" s="24"/>
      <c r="F6" s="288"/>
      <c r="G6" s="18" t="str">
        <f>IF(Table115[[#This Row],[Q]]&lt;0.1, " ",Table115[[#This Row],[Q]]*Table115[[#This Row],[$MXN OUT]])</f>
        <v xml:space="preserve"> </v>
      </c>
      <c r="H6" s="289" t="str">
        <f>IF(Table115[[#This Row],[Q]]&gt;0.1, Table115[[#This Row],[$MSN IN]]/18, " ")</f>
        <v xml:space="preserve"> </v>
      </c>
      <c r="I6" s="289" t="str">
        <f>IF(Table115[[#This Row],[Q]]&gt;0.1, Table115[[#This Row],[$USD]]*Table115[[#This Row],[Q]], " ")</f>
        <v xml:space="preserve"> </v>
      </c>
    </row>
    <row r="7" spans="1:10" ht="13.5" x14ac:dyDescent="0.25">
      <c r="A7" s="285"/>
      <c r="B7" s="286"/>
      <c r="C7" s="286"/>
      <c r="D7" s="287"/>
      <c r="E7" s="24"/>
      <c r="F7" s="288"/>
      <c r="G7" s="18" t="str">
        <f>IF(Table115[[#This Row],[Q]]&lt;0.1, " ",Table115[[#This Row],[Q]]*Table115[[#This Row],[$MXN OUT]])</f>
        <v xml:space="preserve"> </v>
      </c>
      <c r="H7" s="289" t="str">
        <f>IF(Table115[[#This Row],[Q]]&gt;0.1, Table115[[#This Row],[$MSN IN]]/18, " ")</f>
        <v xml:space="preserve"> </v>
      </c>
      <c r="I7" s="289" t="str">
        <f>IF(Table115[[#This Row],[Q]]&gt;0.1, Table115[[#This Row],[$USD]]*Table115[[#This Row],[Q]], " ")</f>
        <v xml:space="preserve"> </v>
      </c>
    </row>
    <row r="8" spans="1:10" ht="13.5" x14ac:dyDescent="0.25">
      <c r="A8" s="285"/>
      <c r="B8" s="286"/>
      <c r="C8" s="286"/>
      <c r="D8" s="287"/>
      <c r="E8" s="24"/>
      <c r="F8" s="288"/>
      <c r="G8" s="18" t="str">
        <f>IF(Table115[[#This Row],[Q]]&lt;0.1, " ",Table115[[#This Row],[Q]]*Table115[[#This Row],[$MXN OUT]])</f>
        <v xml:space="preserve"> </v>
      </c>
      <c r="H8" s="289" t="str">
        <f>IF(Table115[[#This Row],[Q]]&gt;0.1, Table115[[#This Row],[$MSN IN]]/18, " ")</f>
        <v xml:space="preserve"> </v>
      </c>
      <c r="I8" s="289" t="str">
        <f>IF(Table115[[#This Row],[Q]]&gt;0.1, Table115[[#This Row],[$USD]]*Table115[[#This Row],[Q]], " ")</f>
        <v xml:space="preserve"> </v>
      </c>
    </row>
    <row r="9" spans="1:10" ht="13.5" x14ac:dyDescent="0.25">
      <c r="A9" s="285"/>
      <c r="B9" s="286"/>
      <c r="C9" s="286"/>
      <c r="D9" s="287"/>
      <c r="E9" s="24"/>
      <c r="F9" s="288"/>
      <c r="G9" s="18" t="str">
        <f>IF(Table115[[#This Row],[Q]]&lt;0.1, " ",Table115[[#This Row],[Q]]*Table115[[#This Row],[$MXN OUT]])</f>
        <v xml:space="preserve"> </v>
      </c>
      <c r="H9" s="289" t="str">
        <f>IF(Table115[[#This Row],[Q]]&gt;0.1, Table115[[#This Row],[$MSN IN]]/18, " ")</f>
        <v xml:space="preserve"> </v>
      </c>
      <c r="I9" s="289" t="str">
        <f>IF(Table115[[#This Row],[Q]]&gt;0.1, Table115[[#This Row],[$USD]]*Table115[[#This Row],[Q]], " ")</f>
        <v xml:space="preserve"> </v>
      </c>
    </row>
    <row r="10" spans="1:10" ht="13.5" x14ac:dyDescent="0.25">
      <c r="A10" s="285"/>
      <c r="B10" s="286"/>
      <c r="C10" s="286"/>
      <c r="D10" s="287"/>
      <c r="E10" s="24"/>
      <c r="F10" s="288"/>
      <c r="G10" s="18" t="str">
        <f>IF(Table115[[#This Row],[Q]]&lt;0.1, " ",Table115[[#This Row],[Q]]*Table115[[#This Row],[$MXN OUT]])</f>
        <v xml:space="preserve"> </v>
      </c>
      <c r="H10" s="289" t="str">
        <f>IF(Table115[[#This Row],[Q]]&gt;0.1, Table115[[#This Row],[$MSN IN]]/18, " ")</f>
        <v xml:space="preserve"> </v>
      </c>
      <c r="I10" s="289" t="str">
        <f>IF(Table115[[#This Row],[Q]]&gt;0.1, Table115[[#This Row],[$USD]]*Table115[[#This Row],[Q]], " ")</f>
        <v xml:space="preserve"> </v>
      </c>
    </row>
    <row r="11" spans="1:10" ht="13.5" x14ac:dyDescent="0.25">
      <c r="A11" s="285"/>
      <c r="B11" s="286"/>
      <c r="C11" s="286"/>
      <c r="D11" s="287"/>
      <c r="E11" s="24"/>
      <c r="F11" s="288"/>
      <c r="G11" s="18" t="str">
        <f>IF(Table115[[#This Row],[Q]]&lt;0.1, " ",Table115[[#This Row],[Q]]*Table115[[#This Row],[$MXN OUT]])</f>
        <v xml:space="preserve"> </v>
      </c>
      <c r="H11" s="289" t="str">
        <f>IF(Table115[[#This Row],[Q]]&gt;0.1, Table115[[#This Row],[$MSN IN]]/18, " ")</f>
        <v xml:space="preserve"> </v>
      </c>
      <c r="I11" s="289" t="str">
        <f>IF(Table115[[#This Row],[Q]]&gt;0.1, Table115[[#This Row],[$USD]]*Table115[[#This Row],[Q]], " ")</f>
        <v xml:space="preserve"> </v>
      </c>
    </row>
    <row r="12" spans="1:10" ht="13.5" x14ac:dyDescent="0.25">
      <c r="A12" s="285"/>
      <c r="B12" s="286"/>
      <c r="C12" s="286"/>
      <c r="D12" s="287"/>
      <c r="E12" s="24"/>
      <c r="F12" s="288"/>
      <c r="G12" s="18" t="str">
        <f>IF(Table115[[#This Row],[Q]]&lt;0.1, " ",Table115[[#This Row],[Q]]*Table115[[#This Row],[$MXN OUT]])</f>
        <v xml:space="preserve"> </v>
      </c>
      <c r="H12" s="289" t="str">
        <f>IF(Table115[[#This Row],[Q]]&gt;0.1, Table115[[#This Row],[$MSN IN]]/18, " ")</f>
        <v xml:space="preserve"> </v>
      </c>
      <c r="I12" s="289" t="str">
        <f>IF(Table115[[#This Row],[Q]]&gt;0.1, Table115[[#This Row],[$USD]]*Table115[[#This Row],[Q]], " ")</f>
        <v xml:space="preserve"> </v>
      </c>
    </row>
    <row r="13" spans="1:10" ht="13.5" x14ac:dyDescent="0.25">
      <c r="A13" s="285"/>
      <c r="B13" s="286"/>
      <c r="C13" s="286"/>
      <c r="D13" s="287"/>
      <c r="E13" s="24"/>
      <c r="F13" s="288"/>
      <c r="G13" s="18" t="str">
        <f>IF(Table115[[#This Row],[Q]]&lt;0.1, " ",Table115[[#This Row],[Q]]*Table115[[#This Row],[$MXN OUT]])</f>
        <v xml:space="preserve"> </v>
      </c>
      <c r="H13" s="289" t="str">
        <f>IF(Table115[[#This Row],[Q]]&gt;0.1, Table115[[#This Row],[$MSN IN]]/18, " ")</f>
        <v xml:space="preserve"> </v>
      </c>
      <c r="I13" s="289" t="str">
        <f>IF(Table115[[#This Row],[Q]]&gt;0.1, Table115[[#This Row],[$USD]]*Table115[[#This Row],[Q]], " ")</f>
        <v xml:space="preserve"> </v>
      </c>
    </row>
    <row r="14" spans="1:10" ht="13.5" x14ac:dyDescent="0.25">
      <c r="A14" s="285"/>
      <c r="B14" s="286"/>
      <c r="C14" s="286"/>
      <c r="D14" s="287"/>
      <c r="E14" s="24"/>
      <c r="F14" s="288"/>
      <c r="G14" s="18" t="str">
        <f>IF(Table115[[#This Row],[Q]]&lt;0.1, " ",Table115[[#This Row],[Q]]*Table115[[#This Row],[$MXN OUT]])</f>
        <v xml:space="preserve"> </v>
      </c>
      <c r="H14" s="289" t="str">
        <f>IF(Table115[[#This Row],[Q]]&gt;0.1, Table115[[#This Row],[$MSN IN]]/18, " ")</f>
        <v xml:space="preserve"> </v>
      </c>
      <c r="I14" s="289" t="str">
        <f>IF(Table115[[#This Row],[Q]]&gt;0.1, Table115[[#This Row],[$USD]]*Table115[[#This Row],[Q]], " ")</f>
        <v xml:space="preserve"> </v>
      </c>
    </row>
    <row r="15" spans="1:10" ht="13.5" x14ac:dyDescent="0.25">
      <c r="A15" s="285"/>
      <c r="B15" s="286"/>
      <c r="C15" s="286"/>
      <c r="D15" s="287"/>
      <c r="E15" s="24"/>
      <c r="F15" s="288"/>
      <c r="G15" s="18" t="str">
        <f>IF(Table115[[#This Row],[Q]]&lt;0.1, " ",Table115[[#This Row],[Q]]*Table115[[#This Row],[$MXN OUT]])</f>
        <v xml:space="preserve"> </v>
      </c>
      <c r="H15" s="289" t="str">
        <f>IF(Table115[[#This Row],[Q]]&gt;0.1, Table115[[#This Row],[$MSN IN]]/18, " ")</f>
        <v xml:space="preserve"> </v>
      </c>
      <c r="I15" s="289" t="str">
        <f>IF(Table115[[#This Row],[Q]]&gt;0.1, Table115[[#This Row],[$USD]]*Table115[[#This Row],[Q]], " ")</f>
        <v xml:space="preserve"> </v>
      </c>
    </row>
    <row r="16" spans="1:10" ht="13.5" x14ac:dyDescent="0.25">
      <c r="A16" s="285"/>
      <c r="B16" s="286"/>
      <c r="C16" s="286"/>
      <c r="D16" s="287"/>
      <c r="E16" s="24"/>
      <c r="F16" s="288"/>
      <c r="G16" s="18" t="str">
        <f>IF(Table115[[#This Row],[Q]]&lt;0.1, " ",Table115[[#This Row],[Q]]*Table115[[#This Row],[$MXN OUT]])</f>
        <v xml:space="preserve"> </v>
      </c>
      <c r="H16" s="289" t="str">
        <f>IF(Table115[[#This Row],[Q]]&gt;0.1, Table115[[#This Row],[$MSN IN]]/18, " ")</f>
        <v xml:space="preserve"> </v>
      </c>
      <c r="I16" s="289" t="str">
        <f>IF(Table115[[#This Row],[Q]]&gt;0.1, Table115[[#This Row],[$USD]]*Table115[[#This Row],[Q]], " ")</f>
        <v xml:space="preserve"> </v>
      </c>
    </row>
    <row r="17" spans="1:9" ht="13.5" x14ac:dyDescent="0.25">
      <c r="A17" s="285"/>
      <c r="B17" s="286"/>
      <c r="C17" s="286"/>
      <c r="D17" s="287"/>
      <c r="E17" s="24"/>
      <c r="F17" s="288"/>
      <c r="G17" s="18" t="str">
        <f>IF(Table115[[#This Row],[Q]]&lt;0.1, " ",Table115[[#This Row],[Q]]*Table115[[#This Row],[$MXN OUT]])</f>
        <v xml:space="preserve"> </v>
      </c>
      <c r="H17" s="289" t="str">
        <f>IF(Table115[[#This Row],[Q]]&gt;0.1, Table115[[#This Row],[$MSN IN]]/18, " ")</f>
        <v xml:space="preserve"> </v>
      </c>
      <c r="I17" s="289" t="str">
        <f>IF(Table115[[#This Row],[Q]]&gt;0.1, Table115[[#This Row],[$USD]]*Table115[[#This Row],[Q]], " ")</f>
        <v xml:space="preserve"> </v>
      </c>
    </row>
    <row r="18" spans="1:9" ht="13.5" x14ac:dyDescent="0.25">
      <c r="A18" s="285"/>
      <c r="B18" s="286"/>
      <c r="C18" s="286"/>
      <c r="D18" s="287"/>
      <c r="E18" s="24"/>
      <c r="F18" s="288"/>
      <c r="G18" s="18" t="str">
        <f>IF(Table115[[#This Row],[Q]]&lt;0.1, " ",Table115[[#This Row],[Q]]*Table115[[#This Row],[$MXN OUT]])</f>
        <v xml:space="preserve"> </v>
      </c>
      <c r="H18" s="289" t="str">
        <f>IF(Table115[[#This Row],[Q]]&gt;0.1, Table115[[#This Row],[$MSN IN]]/18, " ")</f>
        <v xml:space="preserve"> </v>
      </c>
      <c r="I18" s="289" t="str">
        <f>IF(Table115[[#This Row],[Q]]&gt;0.1, Table115[[#This Row],[$USD]]*Table115[[#This Row],[Q]], " ")</f>
        <v xml:space="preserve"> </v>
      </c>
    </row>
    <row r="19" spans="1:9" ht="13.5" x14ac:dyDescent="0.25">
      <c r="A19" s="285"/>
      <c r="B19" s="286"/>
      <c r="C19" s="286"/>
      <c r="D19" s="287"/>
      <c r="E19" s="24"/>
      <c r="F19" s="288"/>
      <c r="G19" s="18" t="str">
        <f>IF(Table115[[#This Row],[Q]]&lt;0.1, " ",Table115[[#This Row],[Q]]*Table115[[#This Row],[$MXN OUT]])</f>
        <v xml:space="preserve"> </v>
      </c>
      <c r="H19" s="289" t="str">
        <f>IF(Table115[[#This Row],[Q]]&gt;0.1, Table115[[#This Row],[$MSN IN]]/18, " ")</f>
        <v xml:space="preserve"> </v>
      </c>
      <c r="I19" s="289" t="str">
        <f>IF(Table115[[#This Row],[Q]]&gt;0.1, Table115[[#This Row],[$USD]]*Table115[[#This Row],[Q]], " ")</f>
        <v xml:space="preserve"> </v>
      </c>
    </row>
    <row r="20" spans="1:9" ht="13.5" x14ac:dyDescent="0.25">
      <c r="A20" s="285"/>
      <c r="B20" s="286"/>
      <c r="C20" s="286"/>
      <c r="D20" s="287"/>
      <c r="E20" s="24"/>
      <c r="F20" s="288"/>
      <c r="G20" s="18" t="str">
        <f>IF(Table115[[#This Row],[Q]]&lt;0.1, " ",Table115[[#This Row],[Q]]*Table115[[#This Row],[$MXN OUT]])</f>
        <v xml:space="preserve"> </v>
      </c>
      <c r="H20" s="289" t="str">
        <f>IF(Table115[[#This Row],[Q]]&gt;0.1, Table115[[#This Row],[$MSN IN]]/18, " ")</f>
        <v xml:space="preserve"> </v>
      </c>
      <c r="I20" s="289" t="str">
        <f>IF(Table115[[#This Row],[Q]]&gt;0.1, Table115[[#This Row],[$USD]]*Table115[[#This Row],[Q]], " ")</f>
        <v xml:space="preserve"> 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0C99-78A1-4938-AF4C-9C8388CEB58B}">
  <sheetPr>
    <tabColor theme="1" tint="4.9989318521683403E-2"/>
  </sheetPr>
  <dimension ref="A1:R140"/>
  <sheetViews>
    <sheetView zoomScale="115" zoomScaleNormal="115" workbookViewId="0">
      <pane ySplit="3" topLeftCell="A4" activePane="bottomLeft" state="frozen"/>
      <selection activeCell="B2" sqref="B2"/>
      <selection pane="bottomLeft" activeCell="A4" sqref="A4"/>
    </sheetView>
  </sheetViews>
  <sheetFormatPr defaultColWidth="8.25" defaultRowHeight="15" x14ac:dyDescent="0.25"/>
  <cols>
    <col min="1" max="1" width="8.125" style="8" bestFit="1" customWidth="1"/>
    <col min="2" max="2" width="12.5" style="2" bestFit="1" customWidth="1"/>
    <col min="3" max="3" width="13.75" style="2" bestFit="1" customWidth="1"/>
    <col min="4" max="4" width="14.5" bestFit="1" customWidth="1"/>
    <col min="5" max="5" width="6.125" style="14" bestFit="1" customWidth="1"/>
    <col min="6" max="6" width="7" style="4" bestFit="1" customWidth="1"/>
    <col min="7" max="7" width="8.5" style="15" bestFit="1" customWidth="1"/>
    <col min="8" max="8" width="9" style="11" bestFit="1" customWidth="1"/>
    <col min="9" max="9" width="8.75" style="11" bestFit="1" customWidth="1"/>
    <col min="10" max="10" width="11.875" style="5" bestFit="1" customWidth="1"/>
    <col min="11" max="11" width="11.25" style="11" bestFit="1" customWidth="1"/>
    <col min="12" max="12" width="15.375" style="17" customWidth="1"/>
    <col min="13" max="13" width="10.875" style="16" bestFit="1" customWidth="1"/>
    <col min="14" max="14" width="7" style="3" bestFit="1" customWidth="1"/>
    <col min="15" max="15" width="6.75" style="4" bestFit="1" customWidth="1"/>
    <col min="16" max="16" width="13.125" style="2" bestFit="1" customWidth="1"/>
    <col min="17" max="17" width="8.875" style="2" bestFit="1" customWidth="1"/>
    <col min="18" max="18" width="15.25" style="2" customWidth="1"/>
    <col min="19" max="20" width="8.25" style="2"/>
    <col min="21" max="21" width="10.375" style="2" bestFit="1" customWidth="1"/>
    <col min="22" max="22" width="9.25" style="2" bestFit="1" customWidth="1"/>
    <col min="23" max="16384" width="8.25" style="2"/>
  </cols>
  <sheetData>
    <row r="1" spans="1:18" ht="24" customHeight="1" x14ac:dyDescent="0.35">
      <c r="A1" s="300" t="s">
        <v>100</v>
      </c>
      <c r="B1" s="56"/>
      <c r="C1" s="57"/>
      <c r="D1" s="257"/>
      <c r="E1" s="261"/>
      <c r="F1" s="261"/>
      <c r="G1" s="261"/>
      <c r="H1" s="261"/>
      <c r="I1" s="261"/>
      <c r="J1" s="259"/>
      <c r="K1" s="260"/>
      <c r="L1" s="262"/>
      <c r="M1" s="263"/>
      <c r="N1" s="263"/>
      <c r="O1" s="264"/>
      <c r="P1" s="60" t="s">
        <v>28</v>
      </c>
      <c r="Q1" s="60"/>
      <c r="R1" s="61">
        <f>R2-P2</f>
        <v>0</v>
      </c>
    </row>
    <row r="2" spans="1:18" ht="19.5" x14ac:dyDescent="0.35">
      <c r="A2" s="58" t="s">
        <v>29</v>
      </c>
      <c r="B2" s="59"/>
      <c r="C2" s="59"/>
      <c r="D2" s="257"/>
      <c r="E2" s="261"/>
      <c r="F2" s="261"/>
      <c r="G2" s="261"/>
      <c r="H2" s="261"/>
      <c r="I2" s="261"/>
      <c r="J2" s="259"/>
      <c r="K2" s="260"/>
      <c r="L2" s="262"/>
      <c r="M2" s="263"/>
      <c r="N2" s="263"/>
      <c r="O2" s="9" t="s">
        <v>31</v>
      </c>
      <c r="P2" s="10">
        <f>SUM(Table11524[TOTAL $])</f>
        <v>0</v>
      </c>
      <c r="Q2" s="6" t="s">
        <v>30</v>
      </c>
      <c r="R2" s="7">
        <f>SUM(Table11524[[#All],[$MSN IN]])</f>
        <v>0</v>
      </c>
    </row>
    <row r="3" spans="1:18" s="12" customFormat="1" ht="13.5" x14ac:dyDescent="0.25">
      <c r="A3" s="44" t="s">
        <v>8</v>
      </c>
      <c r="B3" s="45" t="s">
        <v>32</v>
      </c>
      <c r="C3" s="46" t="s">
        <v>33</v>
      </c>
      <c r="D3" s="47" t="s">
        <v>34</v>
      </c>
      <c r="E3" s="48" t="s">
        <v>9</v>
      </c>
      <c r="F3" s="50" t="s">
        <v>10</v>
      </c>
      <c r="G3" s="50" t="s">
        <v>35</v>
      </c>
      <c r="H3" s="50" t="s">
        <v>11</v>
      </c>
      <c r="I3" s="50" t="s">
        <v>12</v>
      </c>
      <c r="J3" s="49" t="s">
        <v>36</v>
      </c>
      <c r="K3" s="50" t="s">
        <v>37</v>
      </c>
      <c r="L3" s="51" t="s">
        <v>38</v>
      </c>
      <c r="M3" s="54" t="s">
        <v>13</v>
      </c>
      <c r="N3" s="55" t="s">
        <v>39</v>
      </c>
      <c r="O3" s="55" t="s">
        <v>40</v>
      </c>
      <c r="P3" s="50" t="s">
        <v>41</v>
      </c>
      <c r="Q3" s="52" t="s">
        <v>42</v>
      </c>
      <c r="R3" s="53" t="s">
        <v>14</v>
      </c>
    </row>
    <row r="4" spans="1:18" ht="13.5" x14ac:dyDescent="0.25">
      <c r="A4" s="271"/>
      <c r="B4" s="272"/>
      <c r="C4" s="273"/>
      <c r="D4" s="268"/>
      <c r="E4" s="274"/>
      <c r="F4" s="275"/>
      <c r="G4" s="276"/>
      <c r="H4" s="277"/>
      <c r="I4" s="277"/>
      <c r="J4" s="278"/>
      <c r="K4" s="279"/>
      <c r="L4" s="280" t="str">
        <f>IF(Table11524[[#This Row],[Q]]&gt;0.1, Table11524[[#This Row],[Q]]*Table11524[[#This Row],[$MXN OUT]], " ")</f>
        <v xml:space="preserve"> </v>
      </c>
      <c r="M4" s="13" t="str">
        <f>IF(Table11524[[#This Row],[Q]]&gt;0.1,F4*2.20462, " ")</f>
        <v xml:space="preserve"> </v>
      </c>
      <c r="N4" s="281" t="str">
        <f>IF(Table11524[[#This Row],[Q]]&gt;0.1,G4/2.54, " ")</f>
        <v xml:space="preserve"> </v>
      </c>
      <c r="O4" s="281" t="str">
        <f>IF(Table11524[[#This Row],[Q]]&gt;0.1, H4/2.54, " ")</f>
        <v xml:space="preserve"> </v>
      </c>
      <c r="P4" s="282" t="str">
        <f>IF(Table11524[[#This Row],[Q]]&gt;0.1,I4/2.54, " ")</f>
        <v xml:space="preserve"> </v>
      </c>
      <c r="Q4" s="283" t="str">
        <f>IF(E4&gt;0.1,K4/18," ")</f>
        <v xml:space="preserve"> </v>
      </c>
      <c r="R4" s="284" t="str">
        <f>IF(E4&gt;0.1,Q4*E4," ")</f>
        <v xml:space="preserve"> </v>
      </c>
    </row>
    <row r="5" spans="1:18" ht="13.5" x14ac:dyDescent="0.25">
      <c r="A5" s="271"/>
      <c r="B5" s="272"/>
      <c r="C5" s="273"/>
      <c r="D5" s="268"/>
      <c r="E5" s="274"/>
      <c r="F5" s="275"/>
      <c r="G5" s="276"/>
      <c r="H5" s="277"/>
      <c r="I5" s="277"/>
      <c r="J5" s="278"/>
      <c r="K5" s="279"/>
      <c r="L5" s="280" t="str">
        <f>IF(Table11524[[#This Row],[Q]]&gt;0.1, Table11524[[#This Row],[Q]]*Table11524[[#This Row],[$MXN OUT]], " ")</f>
        <v xml:space="preserve"> </v>
      </c>
      <c r="M5" s="13" t="str">
        <f>IF(Table11524[[#This Row],[Q]]&gt;0.1,F5*2.20462, " ")</f>
        <v xml:space="preserve"> </v>
      </c>
      <c r="N5" s="281" t="str">
        <f>IF(Table11524[[#This Row],[Q]]&gt;0.1,G5/2.54, " ")</f>
        <v xml:space="preserve"> </v>
      </c>
      <c r="O5" s="281" t="str">
        <f>IF(Table11524[[#This Row],[Q]]&gt;0.1, H5/2.54, " ")</f>
        <v xml:space="preserve"> </v>
      </c>
      <c r="P5" s="282" t="str">
        <f>IF(Table11524[[#This Row],[Q]]&gt;0.1,I5/2.54, " ")</f>
        <v xml:space="preserve"> </v>
      </c>
      <c r="Q5" s="283"/>
      <c r="R5" s="284"/>
    </row>
    <row r="6" spans="1:18" ht="13.5" x14ac:dyDescent="0.25">
      <c r="A6" s="271"/>
      <c r="B6" s="272"/>
      <c r="C6" s="273"/>
      <c r="D6" s="268"/>
      <c r="E6" s="274"/>
      <c r="F6" s="275"/>
      <c r="G6" s="276"/>
      <c r="H6" s="277"/>
      <c r="I6" s="277"/>
      <c r="J6" s="278"/>
      <c r="K6" s="279"/>
      <c r="L6" s="280" t="str">
        <f>IF(Table11524[[#This Row],[Q]]&gt;0.1, Table11524[[#This Row],[Q]]*Table11524[[#This Row],[$MXN OUT]], " ")</f>
        <v xml:space="preserve"> </v>
      </c>
      <c r="M6" s="13" t="str">
        <f>IF(Table11524[[#This Row],[Q]]&gt;0.1,F6*2.20462, " ")</f>
        <v xml:space="preserve"> </v>
      </c>
      <c r="N6" s="281" t="str">
        <f>IF(Table11524[[#This Row],[Q]]&gt;0.1,G6/2.54, " ")</f>
        <v xml:space="preserve"> </v>
      </c>
      <c r="O6" s="281" t="str">
        <f>IF(Table11524[[#This Row],[Q]]&gt;0.1, H6/2.54, " ")</f>
        <v xml:space="preserve"> </v>
      </c>
      <c r="P6" s="282" t="str">
        <f>IF(Table11524[[#This Row],[Q]]&gt;0.1,I6/2.54, " ")</f>
        <v xml:space="preserve"> </v>
      </c>
      <c r="Q6" s="283"/>
      <c r="R6" s="284"/>
    </row>
    <row r="7" spans="1:18" ht="13.5" x14ac:dyDescent="0.25">
      <c r="A7" s="271"/>
      <c r="B7" s="272"/>
      <c r="C7" s="273"/>
      <c r="D7" s="268"/>
      <c r="E7" s="274"/>
      <c r="F7" s="275"/>
      <c r="G7" s="276"/>
      <c r="H7" s="277"/>
      <c r="I7" s="277"/>
      <c r="J7" s="278"/>
      <c r="K7" s="279"/>
      <c r="L7" s="280" t="str">
        <f>IF(Table11524[[#This Row],[Q]]&gt;0.1, Table11524[[#This Row],[Q]]*Table11524[[#This Row],[$MXN OUT]], " ")</f>
        <v xml:space="preserve"> </v>
      </c>
      <c r="M7" s="13" t="str">
        <f>IF(Table11524[[#This Row],[Q]]&gt;0.1,F7*2.20462, " ")</f>
        <v xml:space="preserve"> </v>
      </c>
      <c r="N7" s="281" t="str">
        <f>IF(Table11524[[#This Row],[Q]]&gt;0.1,G7/2.54, " ")</f>
        <v xml:space="preserve"> </v>
      </c>
      <c r="O7" s="281" t="str">
        <f>IF(Table11524[[#This Row],[Q]]&gt;0.1, H7/2.54, " ")</f>
        <v xml:space="preserve"> </v>
      </c>
      <c r="P7" s="282" t="str">
        <f>IF(Table11524[[#This Row],[Q]]&gt;0.1,I7/2.54, " ")</f>
        <v xml:space="preserve"> </v>
      </c>
      <c r="Q7" s="283"/>
      <c r="R7" s="284"/>
    </row>
    <row r="8" spans="1:18" ht="13.5" x14ac:dyDescent="0.25">
      <c r="A8" s="271"/>
      <c r="B8" s="272"/>
      <c r="C8" s="273"/>
      <c r="D8" s="268"/>
      <c r="E8" s="274"/>
      <c r="F8" s="275"/>
      <c r="G8" s="276"/>
      <c r="H8" s="277"/>
      <c r="I8" s="277"/>
      <c r="J8" s="278"/>
      <c r="K8" s="279"/>
      <c r="L8" s="280" t="str">
        <f>IF(Table11524[[#This Row],[Q]]&gt;0.1, Table11524[[#This Row],[Q]]*Table11524[[#This Row],[$MXN OUT]], " ")</f>
        <v xml:space="preserve"> </v>
      </c>
      <c r="M8" s="13" t="str">
        <f>IF(Table11524[[#This Row],[Q]]&gt;0.1,F8*2.20462, " ")</f>
        <v xml:space="preserve"> </v>
      </c>
      <c r="N8" s="281" t="str">
        <f>IF(Table11524[[#This Row],[Q]]&gt;0.1,G8/2.54, " ")</f>
        <v xml:space="preserve"> </v>
      </c>
      <c r="O8" s="281" t="str">
        <f>IF(Table11524[[#This Row],[Q]]&gt;0.1, H8/2.54, " ")</f>
        <v xml:space="preserve"> </v>
      </c>
      <c r="P8" s="282" t="str">
        <f>IF(Table11524[[#This Row],[Q]]&gt;0.1,I8/2.54, " ")</f>
        <v xml:space="preserve"> </v>
      </c>
      <c r="Q8" s="283"/>
      <c r="R8" s="284"/>
    </row>
    <row r="9" spans="1:18" ht="13.5" x14ac:dyDescent="0.25">
      <c r="A9" s="271"/>
      <c r="B9" s="272"/>
      <c r="C9" s="273"/>
      <c r="D9" s="268"/>
      <c r="E9" s="274"/>
      <c r="F9" s="275"/>
      <c r="G9" s="276"/>
      <c r="H9" s="277"/>
      <c r="I9" s="277"/>
      <c r="J9" s="278"/>
      <c r="K9" s="279"/>
      <c r="L9" s="280" t="str">
        <f>IF(Table11524[[#This Row],[Q]]&gt;0.1, Table11524[[#This Row],[Q]]*Table11524[[#This Row],[$MXN OUT]], " ")</f>
        <v xml:space="preserve"> </v>
      </c>
      <c r="M9" s="13" t="str">
        <f>IF(Table11524[[#This Row],[Q]]&gt;0.1,F9*2.20462, " ")</f>
        <v xml:space="preserve"> </v>
      </c>
      <c r="N9" s="281" t="str">
        <f>IF(Table11524[[#This Row],[Q]]&gt;0.1,G9/2.54, " ")</f>
        <v xml:space="preserve"> </v>
      </c>
      <c r="O9" s="281" t="str">
        <f>IF(Table11524[[#This Row],[Q]]&gt;0.1, H9/2.54, " ")</f>
        <v xml:space="preserve"> </v>
      </c>
      <c r="P9" s="282" t="str">
        <f>IF(Table11524[[#This Row],[Q]]&gt;0.1,I9/2.54, " ")</f>
        <v xml:space="preserve"> </v>
      </c>
      <c r="Q9" s="283"/>
      <c r="R9" s="284"/>
    </row>
    <row r="10" spans="1:18" ht="13.5" x14ac:dyDescent="0.25">
      <c r="A10" s="271"/>
      <c r="B10" s="272"/>
      <c r="C10" s="273"/>
      <c r="D10" s="268"/>
      <c r="E10" s="274"/>
      <c r="F10" s="275"/>
      <c r="G10" s="276"/>
      <c r="H10" s="277"/>
      <c r="I10" s="277"/>
      <c r="J10" s="278"/>
      <c r="K10" s="279"/>
      <c r="L10" s="280" t="str">
        <f>IF(Table11524[[#This Row],[Q]]&gt;0.1, Table11524[[#This Row],[Q]]*Table11524[[#This Row],[$MXN OUT]], " ")</f>
        <v xml:space="preserve"> </v>
      </c>
      <c r="M10" s="13" t="str">
        <f>IF(Table11524[[#This Row],[Q]]&gt;0.1,F10*2.20462, " ")</f>
        <v xml:space="preserve"> </v>
      </c>
      <c r="N10" s="281" t="str">
        <f>IF(Table11524[[#This Row],[Q]]&gt;0.1,G10/2.54, " ")</f>
        <v xml:space="preserve"> </v>
      </c>
      <c r="O10" s="281" t="str">
        <f>IF(Table11524[[#This Row],[Q]]&gt;0.1, H10/2.54, " ")</f>
        <v xml:space="preserve"> </v>
      </c>
      <c r="P10" s="282" t="str">
        <f>IF(Table11524[[#This Row],[Q]]&gt;0.1,I10/2.54, " ")</f>
        <v xml:space="preserve"> </v>
      </c>
      <c r="Q10" s="283"/>
      <c r="R10" s="284"/>
    </row>
    <row r="11" spans="1:18" ht="13.5" x14ac:dyDescent="0.25">
      <c r="A11" s="271"/>
      <c r="B11" s="272"/>
      <c r="C11" s="273"/>
      <c r="D11" s="268"/>
      <c r="E11" s="274"/>
      <c r="F11" s="275"/>
      <c r="G11" s="276"/>
      <c r="H11" s="277"/>
      <c r="I11" s="277"/>
      <c r="J11" s="278"/>
      <c r="K11" s="279"/>
      <c r="L11" s="280" t="str">
        <f>IF(Table11524[[#This Row],[Q]]&gt;0.1, Table11524[[#This Row],[Q]]*Table11524[[#This Row],[$MXN OUT]], " ")</f>
        <v xml:space="preserve"> </v>
      </c>
      <c r="M11" s="13" t="str">
        <f>IF(Table11524[[#This Row],[Q]]&gt;0.1,F11*2.20462, " ")</f>
        <v xml:space="preserve"> </v>
      </c>
      <c r="N11" s="281" t="str">
        <f>IF(Table11524[[#This Row],[Q]]&gt;0.1,G11/2.54, " ")</f>
        <v xml:space="preserve"> </v>
      </c>
      <c r="O11" s="281" t="str">
        <f>IF(Table11524[[#This Row],[Q]]&gt;0.1, H11/2.54, " ")</f>
        <v xml:space="preserve"> </v>
      </c>
      <c r="P11" s="282" t="str">
        <f>IF(Table11524[[#This Row],[Q]]&gt;0.1,I11/2.54, " ")</f>
        <v xml:space="preserve"> </v>
      </c>
      <c r="Q11" s="283"/>
      <c r="R11" s="284"/>
    </row>
    <row r="12" spans="1:18" ht="13.5" x14ac:dyDescent="0.25">
      <c r="A12" s="271"/>
      <c r="B12" s="272"/>
      <c r="C12" s="273"/>
      <c r="D12" s="268"/>
      <c r="E12" s="274"/>
      <c r="F12" s="275"/>
      <c r="G12" s="276"/>
      <c r="H12" s="277"/>
      <c r="I12" s="277"/>
      <c r="J12" s="278"/>
      <c r="K12" s="279"/>
      <c r="L12" s="280" t="str">
        <f>IF(Table11524[[#This Row],[Q]]&gt;0.1, Table11524[[#This Row],[Q]]*Table11524[[#This Row],[$MXN OUT]], " ")</f>
        <v xml:space="preserve"> </v>
      </c>
      <c r="M12" s="13" t="str">
        <f>IF(Table11524[[#This Row],[Q]]&gt;0.1,F12*2.20462, " ")</f>
        <v xml:space="preserve"> </v>
      </c>
      <c r="N12" s="281" t="str">
        <f>IF(Table11524[[#This Row],[Q]]&gt;0.1,G12/2.54, " ")</f>
        <v xml:space="preserve"> </v>
      </c>
      <c r="O12" s="281" t="str">
        <f>IF(Table11524[[#This Row],[Q]]&gt;0.1, H12/2.54, " ")</f>
        <v xml:space="preserve"> </v>
      </c>
      <c r="P12" s="282" t="str">
        <f>IF(Table11524[[#This Row],[Q]]&gt;0.1,I12/2.54, " ")</f>
        <v xml:space="preserve"> </v>
      </c>
      <c r="Q12" s="283"/>
      <c r="R12" s="284"/>
    </row>
    <row r="13" spans="1:18" ht="13.5" x14ac:dyDescent="0.25">
      <c r="A13" s="271"/>
      <c r="B13" s="272"/>
      <c r="C13" s="273"/>
      <c r="D13" s="269"/>
      <c r="E13" s="274"/>
      <c r="F13" s="275"/>
      <c r="G13" s="276"/>
      <c r="H13" s="277"/>
      <c r="I13" s="277"/>
      <c r="J13" s="278"/>
      <c r="K13" s="279"/>
      <c r="L13" s="280" t="str">
        <f>IF(Table11524[[#This Row],[Q]]&gt;0.1, Table11524[[#This Row],[Q]]*Table11524[[#This Row],[$MXN OUT]], " ")</f>
        <v xml:space="preserve"> </v>
      </c>
      <c r="M13" s="13" t="str">
        <f>IF(Table11524[[#This Row],[Q]]&gt;0.1,F13*2.20462, " ")</f>
        <v xml:space="preserve"> </v>
      </c>
      <c r="N13" s="281" t="str">
        <f>IF(Table11524[[#This Row],[Q]]&gt;0.1,G13/2.54, " ")</f>
        <v xml:space="preserve"> </v>
      </c>
      <c r="O13" s="281" t="str">
        <f>IF(Table11524[[#This Row],[Q]]&gt;0.1, H13/2.54, " ")</f>
        <v xml:space="preserve"> </v>
      </c>
      <c r="P13" s="282" t="str">
        <f>IF(Table11524[[#This Row],[Q]]&gt;0.1,I13/2.54, " ")</f>
        <v xml:space="preserve"> </v>
      </c>
      <c r="Q13" s="283"/>
      <c r="R13" s="284"/>
    </row>
    <row r="14" spans="1:18" ht="13.5" x14ac:dyDescent="0.25">
      <c r="A14" s="271"/>
      <c r="B14" s="272"/>
      <c r="C14" s="273"/>
      <c r="D14" s="270"/>
      <c r="E14" s="274"/>
      <c r="F14" s="275"/>
      <c r="G14" s="276"/>
      <c r="H14" s="277"/>
      <c r="I14" s="277"/>
      <c r="J14" s="278"/>
      <c r="K14" s="279"/>
      <c r="L14" s="280" t="str">
        <f>IF(Table11524[[#This Row],[Q]]&gt;0.1, Table11524[[#This Row],[Q]]*Table11524[[#This Row],[$MXN OUT]], " ")</f>
        <v xml:space="preserve"> </v>
      </c>
      <c r="M14" s="13" t="str">
        <f>IF(Table11524[[#This Row],[Q]]&gt;0.1,F14*2.20462, " ")</f>
        <v xml:space="preserve"> </v>
      </c>
      <c r="N14" s="281" t="str">
        <f>IF(Table11524[[#This Row],[Q]]&gt;0.1,G14/2.54, " ")</f>
        <v xml:space="preserve"> </v>
      </c>
      <c r="O14" s="281" t="str">
        <f>IF(Table11524[[#This Row],[Q]]&gt;0.1, H14/2.54, " ")</f>
        <v xml:space="preserve"> </v>
      </c>
      <c r="P14" s="282" t="str">
        <f>IF(Table11524[[#This Row],[Q]]&gt;0.1,I14/2.54, " ")</f>
        <v xml:space="preserve"> </v>
      </c>
      <c r="Q14" s="283"/>
      <c r="R14" s="284"/>
    </row>
    <row r="15" spans="1:18" ht="13.5" x14ac:dyDescent="0.25">
      <c r="A15" s="271"/>
      <c r="B15" s="272"/>
      <c r="C15" s="273"/>
      <c r="D15" s="269"/>
      <c r="E15" s="274"/>
      <c r="F15" s="275"/>
      <c r="G15" s="276"/>
      <c r="H15" s="277"/>
      <c r="I15" s="277"/>
      <c r="J15" s="278"/>
      <c r="K15" s="279"/>
      <c r="L15" s="280" t="str">
        <f>IF(Table11524[[#This Row],[Q]]&gt;0.1, Table11524[[#This Row],[Q]]*Table11524[[#This Row],[$MXN OUT]], " ")</f>
        <v xml:space="preserve"> </v>
      </c>
      <c r="M15" s="13" t="str">
        <f>IF(Table11524[[#This Row],[Q]]&gt;0.1,F15*2.20462, " ")</f>
        <v xml:space="preserve"> </v>
      </c>
      <c r="N15" s="281" t="str">
        <f>IF(Table11524[[#This Row],[Q]]&gt;0.1,G15/2.54, " ")</f>
        <v xml:space="preserve"> </v>
      </c>
      <c r="O15" s="281" t="str">
        <f>IF(Table11524[[#This Row],[Q]]&gt;0.1, H15/2.54, " ")</f>
        <v xml:space="preserve"> </v>
      </c>
      <c r="P15" s="282" t="str">
        <f>IF(Table11524[[#This Row],[Q]]&gt;0.1,I15/2.54, " ")</f>
        <v xml:space="preserve"> </v>
      </c>
      <c r="Q15" s="289" t="str">
        <f t="shared" ref="Q15:Q46" si="0">IF(E15&gt;0.1,K15/18," ")</f>
        <v xml:space="preserve"> </v>
      </c>
      <c r="R15" s="562" t="str">
        <f t="shared" ref="R15:R46" si="1">IF(E15&gt;0.1,Q15*E15," ")</f>
        <v xml:space="preserve"> </v>
      </c>
    </row>
    <row r="16" spans="1:18" ht="13.5" x14ac:dyDescent="0.25">
      <c r="A16" s="271"/>
      <c r="B16" s="272"/>
      <c r="C16" s="273"/>
      <c r="D16" s="270"/>
      <c r="E16" s="274"/>
      <c r="F16" s="275"/>
      <c r="G16" s="276"/>
      <c r="H16" s="277"/>
      <c r="I16" s="277"/>
      <c r="J16" s="278"/>
      <c r="K16" s="279"/>
      <c r="L16" s="280" t="str">
        <f>IF(Table11524[[#This Row],[Q]]&gt;0.1, Table11524[[#This Row],[Q]]*Table11524[[#This Row],[$MXN OUT]], " ")</f>
        <v xml:space="preserve"> </v>
      </c>
      <c r="M16" s="13" t="str">
        <f>IF(Table11524[[#This Row],[Q]]&gt;0.1,F16*2.20462, " ")</f>
        <v xml:space="preserve"> </v>
      </c>
      <c r="N16" s="281" t="str">
        <f>IF(Table11524[[#This Row],[Q]]&gt;0.1,G16/2.54, " ")</f>
        <v xml:space="preserve"> </v>
      </c>
      <c r="O16" s="281" t="str">
        <f>IF(Table11524[[#This Row],[Q]]&gt;0.1, H16/2.54, " ")</f>
        <v xml:space="preserve"> </v>
      </c>
      <c r="P16" s="282" t="str">
        <f>IF(Table11524[[#This Row],[Q]]&gt;0.1,I16/2.54, " ")</f>
        <v xml:space="preserve"> </v>
      </c>
      <c r="Q16" s="289" t="str">
        <f t="shared" si="0"/>
        <v xml:space="preserve"> </v>
      </c>
      <c r="R16" s="562" t="str">
        <f t="shared" si="1"/>
        <v xml:space="preserve"> </v>
      </c>
    </row>
    <row r="17" spans="1:18" ht="13.5" x14ac:dyDescent="0.25">
      <c r="A17" s="271"/>
      <c r="B17" s="272"/>
      <c r="C17" s="273"/>
      <c r="D17" s="269"/>
      <c r="E17" s="274"/>
      <c r="F17" s="275"/>
      <c r="G17" s="276"/>
      <c r="H17" s="277"/>
      <c r="I17" s="277"/>
      <c r="J17" s="278"/>
      <c r="K17" s="279"/>
      <c r="L17" s="280" t="str">
        <f>IF(Table11524[[#This Row],[Q]]&gt;0.1, Table11524[[#This Row],[Q]]*Table11524[[#This Row],[$MXN OUT]], " ")</f>
        <v xml:space="preserve"> </v>
      </c>
      <c r="M17" s="13" t="str">
        <f>IF(Table11524[[#This Row],[Q]]&gt;0.1,F17*2.20462, " ")</f>
        <v xml:space="preserve"> </v>
      </c>
      <c r="N17" s="281" t="str">
        <f>IF(Table11524[[#This Row],[Q]]&gt;0.1,G17/2.54, " ")</f>
        <v xml:space="preserve"> </v>
      </c>
      <c r="O17" s="281" t="str">
        <f>IF(Table11524[[#This Row],[Q]]&gt;0.1, H17/2.54, " ")</f>
        <v xml:space="preserve"> </v>
      </c>
      <c r="P17" s="282" t="str">
        <f>IF(Table11524[[#This Row],[Q]]&gt;0.1,I17/2.54, " ")</f>
        <v xml:space="preserve"> </v>
      </c>
      <c r="Q17" s="289" t="str">
        <f t="shared" si="0"/>
        <v xml:space="preserve"> </v>
      </c>
      <c r="R17" s="562" t="str">
        <f t="shared" si="1"/>
        <v xml:space="preserve"> </v>
      </c>
    </row>
    <row r="18" spans="1:18" ht="13.5" x14ac:dyDescent="0.25">
      <c r="A18" s="271"/>
      <c r="B18" s="272"/>
      <c r="C18" s="273"/>
      <c r="D18" s="270"/>
      <c r="E18" s="274"/>
      <c r="F18" s="275"/>
      <c r="G18" s="276"/>
      <c r="H18" s="277"/>
      <c r="I18" s="277"/>
      <c r="J18" s="278"/>
      <c r="K18" s="279"/>
      <c r="L18" s="280" t="str">
        <f>IF(Table11524[[#This Row],[Q]]&gt;0.1, Table11524[[#This Row],[Q]]*Table11524[[#This Row],[$MXN OUT]], " ")</f>
        <v xml:space="preserve"> </v>
      </c>
      <c r="M18" s="13" t="str">
        <f>IF(Table11524[[#This Row],[Q]]&gt;0.1,F18*2.20462, " ")</f>
        <v xml:space="preserve"> </v>
      </c>
      <c r="N18" s="281" t="str">
        <f>IF(Table11524[[#This Row],[Q]]&gt;0.1,G18/2.54, " ")</f>
        <v xml:space="preserve"> </v>
      </c>
      <c r="O18" s="281" t="str">
        <f>IF(Table11524[[#This Row],[Q]]&gt;0.1, H18/2.54, " ")</f>
        <v xml:space="preserve"> </v>
      </c>
      <c r="P18" s="282" t="str">
        <f>IF(Table11524[[#This Row],[Q]]&gt;0.1,I18/2.54, " ")</f>
        <v xml:space="preserve"> </v>
      </c>
      <c r="Q18" s="289" t="str">
        <f t="shared" si="0"/>
        <v xml:space="preserve"> </v>
      </c>
      <c r="R18" s="562" t="str">
        <f t="shared" si="1"/>
        <v xml:space="preserve"> </v>
      </c>
    </row>
    <row r="19" spans="1:18" ht="13.5" x14ac:dyDescent="0.25">
      <c r="A19" s="271"/>
      <c r="B19" s="272"/>
      <c r="C19" s="273"/>
      <c r="D19" s="269"/>
      <c r="E19" s="274"/>
      <c r="F19" s="275"/>
      <c r="G19" s="276"/>
      <c r="H19" s="277"/>
      <c r="I19" s="277"/>
      <c r="J19" s="278"/>
      <c r="K19" s="279"/>
      <c r="L19" s="280" t="str">
        <f>IF(Table11524[[#This Row],[Q]]&gt;0.1, Table11524[[#This Row],[Q]]*Table11524[[#This Row],[$MXN OUT]], " ")</f>
        <v xml:space="preserve"> </v>
      </c>
      <c r="M19" s="13" t="str">
        <f>IF(Table11524[[#This Row],[Q]]&gt;0.1,F19*2.20462, " ")</f>
        <v xml:space="preserve"> </v>
      </c>
      <c r="N19" s="281" t="str">
        <f>IF(Table11524[[#This Row],[Q]]&gt;0.1,G19/2.54, " ")</f>
        <v xml:space="preserve"> </v>
      </c>
      <c r="O19" s="281" t="str">
        <f>IF(Table11524[[#This Row],[Q]]&gt;0.1, H19/2.54, " ")</f>
        <v xml:space="preserve"> </v>
      </c>
      <c r="P19" s="282" t="str">
        <f>IF(Table11524[[#This Row],[Q]]&gt;0.1,I19/2.54, " ")</f>
        <v xml:space="preserve"> </v>
      </c>
      <c r="Q19" s="289" t="str">
        <f t="shared" si="0"/>
        <v xml:space="preserve"> </v>
      </c>
      <c r="R19" s="562" t="str">
        <f t="shared" si="1"/>
        <v xml:space="preserve"> </v>
      </c>
    </row>
    <row r="20" spans="1:18" ht="13.5" x14ac:dyDescent="0.25">
      <c r="A20" s="271"/>
      <c r="B20" s="272"/>
      <c r="C20" s="273"/>
      <c r="D20" s="270"/>
      <c r="E20" s="274"/>
      <c r="F20" s="275"/>
      <c r="G20" s="276"/>
      <c r="H20" s="277"/>
      <c r="I20" s="277"/>
      <c r="J20" s="278"/>
      <c r="K20" s="279"/>
      <c r="L20" s="280" t="str">
        <f>IF(Table11524[[#This Row],[Q]]&gt;0.1, Table11524[[#This Row],[Q]]*Table11524[[#This Row],[$MXN OUT]], " ")</f>
        <v xml:space="preserve"> </v>
      </c>
      <c r="M20" s="13" t="str">
        <f>IF(Table11524[[#This Row],[Q]]&gt;0.1,F20*2.20462, " ")</f>
        <v xml:space="preserve"> </v>
      </c>
      <c r="N20" s="281" t="str">
        <f>IF(Table11524[[#This Row],[Q]]&gt;0.1,G20/2.54, " ")</f>
        <v xml:space="preserve"> </v>
      </c>
      <c r="O20" s="281" t="str">
        <f>IF(Table11524[[#This Row],[Q]]&gt;0.1, H20/2.54, " ")</f>
        <v xml:space="preserve"> </v>
      </c>
      <c r="P20" s="282" t="str">
        <f>IF(Table11524[[#This Row],[Q]]&gt;0.1,I20/2.54, " ")</f>
        <v xml:space="preserve"> </v>
      </c>
      <c r="Q20" s="289" t="str">
        <f t="shared" si="0"/>
        <v xml:space="preserve"> </v>
      </c>
      <c r="R20" s="562" t="str">
        <f t="shared" si="1"/>
        <v xml:space="preserve"> </v>
      </c>
    </row>
    <row r="21" spans="1:18" ht="13.5" x14ac:dyDescent="0.25">
      <c r="A21" s="271"/>
      <c r="B21" s="272"/>
      <c r="C21" s="273"/>
      <c r="D21" s="269"/>
      <c r="E21" s="274"/>
      <c r="F21" s="275"/>
      <c r="G21" s="276"/>
      <c r="H21" s="277"/>
      <c r="I21" s="277"/>
      <c r="J21" s="278"/>
      <c r="K21" s="279"/>
      <c r="L21" s="280" t="str">
        <f>IF(Table11524[[#This Row],[Q]]&gt;0.1, Table11524[[#This Row],[Q]]*Table11524[[#This Row],[$MXN OUT]], " ")</f>
        <v xml:space="preserve"> </v>
      </c>
      <c r="M21" s="13" t="str">
        <f>IF(Table11524[[#This Row],[Q]]&gt;0.1,F21*2.20462, " ")</f>
        <v xml:space="preserve"> </v>
      </c>
      <c r="N21" s="281" t="str">
        <f>IF(Table11524[[#This Row],[Q]]&gt;0.1,G21/2.54, " ")</f>
        <v xml:space="preserve"> </v>
      </c>
      <c r="O21" s="281" t="str">
        <f>IF(Table11524[[#This Row],[Q]]&gt;0.1, H21/2.54, " ")</f>
        <v xml:space="preserve"> </v>
      </c>
      <c r="P21" s="282" t="str">
        <f>IF(Table11524[[#This Row],[Q]]&gt;0.1,I21/2.54, " ")</f>
        <v xml:space="preserve"> </v>
      </c>
      <c r="Q21" s="289" t="str">
        <f t="shared" si="0"/>
        <v xml:space="preserve"> </v>
      </c>
      <c r="R21" s="562" t="str">
        <f t="shared" si="1"/>
        <v xml:space="preserve"> </v>
      </c>
    </row>
    <row r="22" spans="1:18" ht="13.5" x14ac:dyDescent="0.25">
      <c r="A22" s="271"/>
      <c r="B22" s="272"/>
      <c r="C22" s="273"/>
      <c r="D22" s="270"/>
      <c r="E22" s="274"/>
      <c r="F22" s="275"/>
      <c r="G22" s="276"/>
      <c r="H22" s="277"/>
      <c r="I22" s="277"/>
      <c r="J22" s="278"/>
      <c r="K22" s="279"/>
      <c r="L22" s="280" t="str">
        <f>IF(Table11524[[#This Row],[Q]]&gt;0.1, Table11524[[#This Row],[Q]]*Table11524[[#This Row],[$MXN OUT]], " ")</f>
        <v xml:space="preserve"> </v>
      </c>
      <c r="M22" s="13" t="str">
        <f>IF(Table11524[[#This Row],[Q]]&gt;0.1,F22*2.20462, " ")</f>
        <v xml:space="preserve"> </v>
      </c>
      <c r="N22" s="281" t="str">
        <f>IF(Table11524[[#This Row],[Q]]&gt;0.1,G22/2.54, " ")</f>
        <v xml:space="preserve"> </v>
      </c>
      <c r="O22" s="281" t="str">
        <f>IF(Table11524[[#This Row],[Q]]&gt;0.1, H22/2.54, " ")</f>
        <v xml:space="preserve"> </v>
      </c>
      <c r="P22" s="282" t="str">
        <f>IF(Table11524[[#This Row],[Q]]&gt;0.1,I22/2.54, " ")</f>
        <v xml:space="preserve"> </v>
      </c>
      <c r="Q22" s="289" t="str">
        <f t="shared" si="0"/>
        <v xml:space="preserve"> </v>
      </c>
      <c r="R22" s="562" t="str">
        <f t="shared" si="1"/>
        <v xml:space="preserve"> </v>
      </c>
    </row>
    <row r="23" spans="1:18" ht="13.5" x14ac:dyDescent="0.25">
      <c r="A23" s="271"/>
      <c r="B23" s="272"/>
      <c r="C23" s="273"/>
      <c r="D23" s="269"/>
      <c r="E23" s="274"/>
      <c r="F23" s="275"/>
      <c r="G23" s="276"/>
      <c r="H23" s="277"/>
      <c r="I23" s="277"/>
      <c r="J23" s="278"/>
      <c r="K23" s="279"/>
      <c r="L23" s="280" t="str">
        <f>IF(Table11524[[#This Row],[Q]]&gt;0.1, Table11524[[#This Row],[Q]]*Table11524[[#This Row],[$MXN OUT]], " ")</f>
        <v xml:space="preserve"> </v>
      </c>
      <c r="M23" s="13" t="str">
        <f>IF(Table11524[[#This Row],[Q]]&gt;0.1,F23*2.20462, " ")</f>
        <v xml:space="preserve"> </v>
      </c>
      <c r="N23" s="281" t="str">
        <f>IF(Table11524[[#This Row],[Q]]&gt;0.1,G23/2.54, " ")</f>
        <v xml:space="preserve"> </v>
      </c>
      <c r="O23" s="281" t="str">
        <f>IF(Table11524[[#This Row],[Q]]&gt;0.1, H23/2.54, " ")</f>
        <v xml:space="preserve"> </v>
      </c>
      <c r="P23" s="282" t="str">
        <f>IF(Table11524[[#This Row],[Q]]&gt;0.1,I23/2.54, " ")</f>
        <v xml:space="preserve"> </v>
      </c>
      <c r="Q23" s="289" t="str">
        <f t="shared" si="0"/>
        <v xml:space="preserve"> </v>
      </c>
      <c r="R23" s="562" t="str">
        <f t="shared" si="1"/>
        <v xml:space="preserve"> </v>
      </c>
    </row>
    <row r="24" spans="1:18" ht="13.5" x14ac:dyDescent="0.25">
      <c r="A24" s="271"/>
      <c r="B24" s="272"/>
      <c r="C24" s="273"/>
      <c r="D24" s="270"/>
      <c r="E24" s="274"/>
      <c r="F24" s="275"/>
      <c r="G24" s="276"/>
      <c r="H24" s="277"/>
      <c r="I24" s="277"/>
      <c r="J24" s="278"/>
      <c r="K24" s="279"/>
      <c r="L24" s="280" t="str">
        <f>IF(Table11524[[#This Row],[Q]]&gt;0.1, Table11524[[#This Row],[Q]]*Table11524[[#This Row],[$MXN OUT]], " ")</f>
        <v xml:space="preserve"> </v>
      </c>
      <c r="M24" s="13" t="str">
        <f>IF(Table11524[[#This Row],[Q]]&gt;0.1,F24*2.20462, " ")</f>
        <v xml:space="preserve"> </v>
      </c>
      <c r="N24" s="281" t="str">
        <f>IF(Table11524[[#This Row],[Q]]&gt;0.1,G24/2.54, " ")</f>
        <v xml:space="preserve"> </v>
      </c>
      <c r="O24" s="281" t="str">
        <f>IF(Table11524[[#This Row],[Q]]&gt;0.1, H24/2.54, " ")</f>
        <v xml:space="preserve"> </v>
      </c>
      <c r="P24" s="282" t="str">
        <f>IF(Table11524[[#This Row],[Q]]&gt;0.1,I24/2.54, " ")</f>
        <v xml:space="preserve"> </v>
      </c>
      <c r="Q24" s="289" t="str">
        <f t="shared" si="0"/>
        <v xml:space="preserve"> </v>
      </c>
      <c r="R24" s="562" t="str">
        <f t="shared" si="1"/>
        <v xml:space="preserve"> </v>
      </c>
    </row>
    <row r="25" spans="1:18" ht="13.5" x14ac:dyDescent="0.25">
      <c r="A25" s="271"/>
      <c r="B25" s="272"/>
      <c r="C25" s="273"/>
      <c r="D25" s="269"/>
      <c r="E25" s="274"/>
      <c r="F25" s="275"/>
      <c r="G25" s="276"/>
      <c r="H25" s="277"/>
      <c r="I25" s="277"/>
      <c r="J25" s="278"/>
      <c r="K25" s="279"/>
      <c r="L25" s="280" t="str">
        <f>IF(Table11524[[#This Row],[Q]]&gt;0.1, Table11524[[#This Row],[Q]]*Table11524[[#This Row],[$MXN OUT]], " ")</f>
        <v xml:space="preserve"> </v>
      </c>
      <c r="M25" s="13" t="str">
        <f>IF(Table11524[[#This Row],[Q]]&gt;0.1,F25*2.20462, " ")</f>
        <v xml:space="preserve"> </v>
      </c>
      <c r="N25" s="281" t="str">
        <f>IF(Table11524[[#This Row],[Q]]&gt;0.1,G25/2.54, " ")</f>
        <v xml:space="preserve"> </v>
      </c>
      <c r="O25" s="281" t="str">
        <f>IF(Table11524[[#This Row],[Q]]&gt;0.1, H25/2.54, " ")</f>
        <v xml:space="preserve"> </v>
      </c>
      <c r="P25" s="282" t="str">
        <f>IF(Table11524[[#This Row],[Q]]&gt;0.1,I25/2.54, " ")</f>
        <v xml:space="preserve"> </v>
      </c>
      <c r="Q25" s="289" t="str">
        <f t="shared" si="0"/>
        <v xml:space="preserve"> </v>
      </c>
      <c r="R25" s="562" t="str">
        <f t="shared" si="1"/>
        <v xml:space="preserve"> </v>
      </c>
    </row>
    <row r="26" spans="1:18" ht="13.5" x14ac:dyDescent="0.25">
      <c r="A26" s="271"/>
      <c r="B26" s="272"/>
      <c r="C26" s="273"/>
      <c r="D26" s="270"/>
      <c r="E26" s="274"/>
      <c r="F26" s="275"/>
      <c r="G26" s="276"/>
      <c r="H26" s="277"/>
      <c r="I26" s="277"/>
      <c r="J26" s="278"/>
      <c r="K26" s="279"/>
      <c r="L26" s="280" t="str">
        <f>IF(Table11524[[#This Row],[Q]]&gt;0.1, Table11524[[#This Row],[Q]]*Table11524[[#This Row],[$MXN OUT]], " ")</f>
        <v xml:space="preserve"> </v>
      </c>
      <c r="M26" s="13" t="str">
        <f>IF(Table11524[[#This Row],[Q]]&gt;0.1,F26*2.20462, " ")</f>
        <v xml:space="preserve"> </v>
      </c>
      <c r="N26" s="281" t="str">
        <f>IF(Table11524[[#This Row],[Q]]&gt;0.1,G26/2.54, " ")</f>
        <v xml:space="preserve"> </v>
      </c>
      <c r="O26" s="281" t="str">
        <f>IF(Table11524[[#This Row],[Q]]&gt;0.1, H26/2.54, " ")</f>
        <v xml:space="preserve"> </v>
      </c>
      <c r="P26" s="282" t="str">
        <f>IF(Table11524[[#This Row],[Q]]&gt;0.1,I26/2.54, " ")</f>
        <v xml:space="preserve"> </v>
      </c>
      <c r="Q26" s="289" t="str">
        <f t="shared" si="0"/>
        <v xml:space="preserve"> </v>
      </c>
      <c r="R26" s="562" t="str">
        <f t="shared" si="1"/>
        <v xml:space="preserve"> </v>
      </c>
    </row>
    <row r="27" spans="1:18" ht="13.5" x14ac:dyDescent="0.25">
      <c r="A27" s="271"/>
      <c r="B27" s="272"/>
      <c r="C27" s="273"/>
      <c r="D27" s="269"/>
      <c r="E27" s="274"/>
      <c r="F27" s="275"/>
      <c r="G27" s="276"/>
      <c r="H27" s="277"/>
      <c r="I27" s="277"/>
      <c r="J27" s="278"/>
      <c r="K27" s="279"/>
      <c r="L27" s="280" t="str">
        <f>IF(Table11524[[#This Row],[Q]]&gt;0.1, Table11524[[#This Row],[Q]]*Table11524[[#This Row],[$MXN OUT]], " ")</f>
        <v xml:space="preserve"> </v>
      </c>
      <c r="M27" s="13" t="str">
        <f>IF(Table11524[[#This Row],[Q]]&gt;0.1,F27*2.20462, " ")</f>
        <v xml:space="preserve"> </v>
      </c>
      <c r="N27" s="281" t="str">
        <f>IF(Table11524[[#This Row],[Q]]&gt;0.1,G27/2.54, " ")</f>
        <v xml:space="preserve"> </v>
      </c>
      <c r="O27" s="281" t="str">
        <f>IF(Table11524[[#This Row],[Q]]&gt;0.1, H27/2.54, " ")</f>
        <v xml:space="preserve"> </v>
      </c>
      <c r="P27" s="282" t="str">
        <f>IF(Table11524[[#This Row],[Q]]&gt;0.1,I27/2.54, " ")</f>
        <v xml:space="preserve"> </v>
      </c>
      <c r="Q27" s="289" t="str">
        <f t="shared" si="0"/>
        <v xml:space="preserve"> </v>
      </c>
      <c r="R27" s="562" t="str">
        <f t="shared" si="1"/>
        <v xml:space="preserve"> </v>
      </c>
    </row>
    <row r="28" spans="1:18" ht="13.5" x14ac:dyDescent="0.25">
      <c r="A28" s="271"/>
      <c r="B28" s="272"/>
      <c r="C28" s="273"/>
      <c r="D28" s="270"/>
      <c r="E28" s="274"/>
      <c r="F28" s="275"/>
      <c r="G28" s="276"/>
      <c r="H28" s="277"/>
      <c r="I28" s="277"/>
      <c r="J28" s="278"/>
      <c r="K28" s="279"/>
      <c r="L28" s="280" t="str">
        <f>IF(Table11524[[#This Row],[Q]]&gt;0.1, Table11524[[#This Row],[Q]]*Table11524[[#This Row],[$MXN OUT]], " ")</f>
        <v xml:space="preserve"> </v>
      </c>
      <c r="M28" s="13" t="str">
        <f>IF(Table11524[[#This Row],[Q]]&gt;0.1,F28*2.20462, " ")</f>
        <v xml:space="preserve"> </v>
      </c>
      <c r="N28" s="281" t="str">
        <f>IF(Table11524[[#This Row],[Q]]&gt;0.1,G28/2.54, " ")</f>
        <v xml:space="preserve"> </v>
      </c>
      <c r="O28" s="281" t="str">
        <f>IF(Table11524[[#This Row],[Q]]&gt;0.1, H28/2.54, " ")</f>
        <v xml:space="preserve"> </v>
      </c>
      <c r="P28" s="282" t="str">
        <f>IF(Table11524[[#This Row],[Q]]&gt;0.1,I28/2.54, " ")</f>
        <v xml:space="preserve"> </v>
      </c>
      <c r="Q28" s="289" t="str">
        <f t="shared" si="0"/>
        <v xml:space="preserve"> </v>
      </c>
      <c r="R28" s="562" t="str">
        <f t="shared" si="1"/>
        <v xml:space="preserve"> </v>
      </c>
    </row>
    <row r="29" spans="1:18" ht="13.5" x14ac:dyDescent="0.25">
      <c r="A29" s="271"/>
      <c r="B29" s="272"/>
      <c r="C29" s="273"/>
      <c r="D29" s="269"/>
      <c r="E29" s="274"/>
      <c r="F29" s="275"/>
      <c r="G29" s="276"/>
      <c r="H29" s="277"/>
      <c r="I29" s="277"/>
      <c r="J29" s="278"/>
      <c r="K29" s="279"/>
      <c r="L29" s="280" t="str">
        <f>IF(Table11524[[#This Row],[Q]]&gt;0.1, Table11524[[#This Row],[Q]]*Table11524[[#This Row],[$MXN OUT]], " ")</f>
        <v xml:space="preserve"> </v>
      </c>
      <c r="M29" s="13" t="str">
        <f>IF(Table11524[[#This Row],[Q]]&gt;0.1,F29*2.20462, " ")</f>
        <v xml:space="preserve"> </v>
      </c>
      <c r="N29" s="281" t="str">
        <f>IF(Table11524[[#This Row],[Q]]&gt;0.1,G29/2.54, " ")</f>
        <v xml:space="preserve"> </v>
      </c>
      <c r="O29" s="281" t="str">
        <f>IF(Table11524[[#This Row],[Q]]&gt;0.1, H29/2.54, " ")</f>
        <v xml:space="preserve"> </v>
      </c>
      <c r="P29" s="282" t="str">
        <f>IF(Table11524[[#This Row],[Q]]&gt;0.1,I29/2.54, " ")</f>
        <v xml:space="preserve"> </v>
      </c>
      <c r="Q29" s="289" t="str">
        <f t="shared" si="0"/>
        <v xml:space="preserve"> </v>
      </c>
      <c r="R29" s="562" t="str">
        <f t="shared" si="1"/>
        <v xml:space="preserve"> </v>
      </c>
    </row>
    <row r="30" spans="1:18" ht="13.5" x14ac:dyDescent="0.25">
      <c r="A30" s="271"/>
      <c r="B30" s="272"/>
      <c r="C30" s="273"/>
      <c r="D30" s="270"/>
      <c r="E30" s="274"/>
      <c r="F30" s="275"/>
      <c r="G30" s="276"/>
      <c r="H30" s="277"/>
      <c r="I30" s="277"/>
      <c r="J30" s="278"/>
      <c r="K30" s="279"/>
      <c r="L30" s="280" t="str">
        <f>IF(Table11524[[#This Row],[Q]]&gt;0.1, Table11524[[#This Row],[Q]]*Table11524[[#This Row],[$MXN OUT]], " ")</f>
        <v xml:space="preserve"> </v>
      </c>
      <c r="M30" s="13" t="str">
        <f>IF(Table11524[[#This Row],[Q]]&gt;0.1,F30*2.20462, " ")</f>
        <v xml:space="preserve"> </v>
      </c>
      <c r="N30" s="281" t="str">
        <f>IF(Table11524[[#This Row],[Q]]&gt;0.1,G30/2.54, " ")</f>
        <v xml:space="preserve"> </v>
      </c>
      <c r="O30" s="281" t="str">
        <f>IF(Table11524[[#This Row],[Q]]&gt;0.1, H30/2.54, " ")</f>
        <v xml:space="preserve"> </v>
      </c>
      <c r="P30" s="282" t="str">
        <f>IF(Table11524[[#This Row],[Q]]&gt;0.1,I30/2.54, " ")</f>
        <v xml:space="preserve"> </v>
      </c>
      <c r="Q30" s="289" t="str">
        <f t="shared" si="0"/>
        <v xml:space="preserve"> </v>
      </c>
      <c r="R30" s="562" t="str">
        <f t="shared" si="1"/>
        <v xml:space="preserve"> </v>
      </c>
    </row>
    <row r="31" spans="1:18" ht="13.5" x14ac:dyDescent="0.25">
      <c r="A31" s="271"/>
      <c r="B31" s="272"/>
      <c r="C31" s="273"/>
      <c r="D31" s="269"/>
      <c r="E31" s="274"/>
      <c r="F31" s="275"/>
      <c r="G31" s="276"/>
      <c r="H31" s="277"/>
      <c r="I31" s="277"/>
      <c r="J31" s="278"/>
      <c r="K31" s="279"/>
      <c r="L31" s="280" t="str">
        <f>IF(Table11524[[#This Row],[Q]]&gt;0.1, Table11524[[#This Row],[Q]]*Table11524[[#This Row],[$MXN OUT]], " ")</f>
        <v xml:space="preserve"> </v>
      </c>
      <c r="M31" s="13" t="str">
        <f>IF(Table11524[[#This Row],[Q]]&gt;0.1,F31*2.20462, " ")</f>
        <v xml:space="preserve"> </v>
      </c>
      <c r="N31" s="281" t="str">
        <f>IF(Table11524[[#This Row],[Q]]&gt;0.1,G31/2.54, " ")</f>
        <v xml:space="preserve"> </v>
      </c>
      <c r="O31" s="281" t="str">
        <f>IF(Table11524[[#This Row],[Q]]&gt;0.1, H31/2.54, " ")</f>
        <v xml:space="preserve"> </v>
      </c>
      <c r="P31" s="282" t="str">
        <f>IF(Table11524[[#This Row],[Q]]&gt;0.1,I31/2.54, " ")</f>
        <v xml:space="preserve"> </v>
      </c>
      <c r="Q31" s="289" t="str">
        <f t="shared" si="0"/>
        <v xml:space="preserve"> </v>
      </c>
      <c r="R31" s="562" t="str">
        <f t="shared" si="1"/>
        <v xml:space="preserve"> </v>
      </c>
    </row>
    <row r="32" spans="1:18" ht="13.5" x14ac:dyDescent="0.25">
      <c r="A32" s="271"/>
      <c r="B32" s="272"/>
      <c r="C32" s="273"/>
      <c r="D32" s="270"/>
      <c r="E32" s="274"/>
      <c r="F32" s="275"/>
      <c r="G32" s="276"/>
      <c r="H32" s="277"/>
      <c r="I32" s="277"/>
      <c r="J32" s="278"/>
      <c r="K32" s="279"/>
      <c r="L32" s="280" t="str">
        <f>IF(Table11524[[#This Row],[Q]]&gt;0.1, Table11524[[#This Row],[Q]]*Table11524[[#This Row],[$MXN OUT]], " ")</f>
        <v xml:space="preserve"> </v>
      </c>
      <c r="M32" s="13" t="str">
        <f>IF(Table11524[[#This Row],[Q]]&gt;0.1,F32*2.20462, " ")</f>
        <v xml:space="preserve"> </v>
      </c>
      <c r="N32" s="281" t="str">
        <f>IF(Table11524[[#This Row],[Q]]&gt;0.1,G32/2.54, " ")</f>
        <v xml:space="preserve"> </v>
      </c>
      <c r="O32" s="281" t="str">
        <f>IF(Table11524[[#This Row],[Q]]&gt;0.1, H32/2.54, " ")</f>
        <v xml:space="preserve"> </v>
      </c>
      <c r="P32" s="282" t="str">
        <f>IF(Table11524[[#This Row],[Q]]&gt;0.1,I32/2.54, " ")</f>
        <v xml:space="preserve"> </v>
      </c>
      <c r="Q32" s="289" t="str">
        <f t="shared" si="0"/>
        <v xml:space="preserve"> </v>
      </c>
      <c r="R32" s="562" t="str">
        <f t="shared" si="1"/>
        <v xml:space="preserve"> </v>
      </c>
    </row>
    <row r="33" spans="1:18" ht="13.5" x14ac:dyDescent="0.25">
      <c r="A33" s="271"/>
      <c r="B33" s="272"/>
      <c r="C33" s="273"/>
      <c r="D33" s="269"/>
      <c r="E33" s="274"/>
      <c r="F33" s="275"/>
      <c r="G33" s="276"/>
      <c r="H33" s="277"/>
      <c r="I33" s="277"/>
      <c r="J33" s="278"/>
      <c r="K33" s="279"/>
      <c r="L33" s="280" t="str">
        <f>IF(Table11524[[#This Row],[Q]]&gt;0.1, Table11524[[#This Row],[Q]]*Table11524[[#This Row],[$MXN OUT]], " ")</f>
        <v xml:space="preserve"> </v>
      </c>
      <c r="M33" s="13" t="str">
        <f>IF(Table11524[[#This Row],[Q]]&gt;0.1,F33*2.20462, " ")</f>
        <v xml:space="preserve"> </v>
      </c>
      <c r="N33" s="281" t="str">
        <f>IF(Table11524[[#This Row],[Q]]&gt;0.1,G33/2.54, " ")</f>
        <v xml:space="preserve"> </v>
      </c>
      <c r="O33" s="281" t="str">
        <f>IF(Table11524[[#This Row],[Q]]&gt;0.1, H33/2.54, " ")</f>
        <v xml:space="preserve"> </v>
      </c>
      <c r="P33" s="282" t="str">
        <f>IF(Table11524[[#This Row],[Q]]&gt;0.1,I33/2.54, " ")</f>
        <v xml:space="preserve"> </v>
      </c>
      <c r="Q33" s="289" t="str">
        <f t="shared" si="0"/>
        <v xml:space="preserve"> </v>
      </c>
      <c r="R33" s="562" t="str">
        <f t="shared" si="1"/>
        <v xml:space="preserve"> </v>
      </c>
    </row>
    <row r="34" spans="1:18" ht="13.5" x14ac:dyDescent="0.25">
      <c r="A34" s="271"/>
      <c r="B34" s="272"/>
      <c r="C34" s="273"/>
      <c r="D34" s="270"/>
      <c r="E34" s="274"/>
      <c r="F34" s="275"/>
      <c r="G34" s="276"/>
      <c r="H34" s="277"/>
      <c r="I34" s="277"/>
      <c r="J34" s="278"/>
      <c r="K34" s="279"/>
      <c r="L34" s="280" t="str">
        <f>IF(Table11524[[#This Row],[Q]]&gt;0.1, Table11524[[#This Row],[Q]]*Table11524[[#This Row],[$MXN OUT]], " ")</f>
        <v xml:space="preserve"> </v>
      </c>
      <c r="M34" s="13" t="str">
        <f>IF(Table11524[[#This Row],[Q]]&gt;0.1,F34*2.20462, " ")</f>
        <v xml:space="preserve"> </v>
      </c>
      <c r="N34" s="281" t="str">
        <f>IF(Table11524[[#This Row],[Q]]&gt;0.1,G34/2.54, " ")</f>
        <v xml:space="preserve"> </v>
      </c>
      <c r="O34" s="281" t="str">
        <f>IF(Table11524[[#This Row],[Q]]&gt;0.1, H34/2.54, " ")</f>
        <v xml:space="preserve"> </v>
      </c>
      <c r="P34" s="282" t="str">
        <f>IF(Table11524[[#This Row],[Q]]&gt;0.1,I34/2.54, " ")</f>
        <v xml:space="preserve"> </v>
      </c>
      <c r="Q34" s="289" t="str">
        <f t="shared" si="0"/>
        <v xml:space="preserve"> </v>
      </c>
      <c r="R34" s="562" t="str">
        <f t="shared" si="1"/>
        <v xml:space="preserve"> </v>
      </c>
    </row>
    <row r="35" spans="1:18" ht="13.5" x14ac:dyDescent="0.25">
      <c r="A35" s="271"/>
      <c r="B35" s="272"/>
      <c r="C35" s="273"/>
      <c r="D35" s="269"/>
      <c r="E35" s="274"/>
      <c r="F35" s="275"/>
      <c r="G35" s="276"/>
      <c r="H35" s="277"/>
      <c r="I35" s="277"/>
      <c r="J35" s="278"/>
      <c r="K35" s="279"/>
      <c r="L35" s="280" t="str">
        <f>IF(Table11524[[#This Row],[Q]]&gt;0.1, Table11524[[#This Row],[Q]]*Table11524[[#This Row],[$MXN OUT]], " ")</f>
        <v xml:space="preserve"> </v>
      </c>
      <c r="M35" s="13" t="str">
        <f>IF(Table11524[[#This Row],[Q]]&gt;0.1,F35*2.20462, " ")</f>
        <v xml:space="preserve"> </v>
      </c>
      <c r="N35" s="281" t="str">
        <f>IF(Table11524[[#This Row],[Q]]&gt;0.1,G35/2.54, " ")</f>
        <v xml:space="preserve"> </v>
      </c>
      <c r="O35" s="281" t="str">
        <f>IF(Table11524[[#This Row],[Q]]&gt;0.1, H35/2.54, " ")</f>
        <v xml:space="preserve"> </v>
      </c>
      <c r="P35" s="282" t="str">
        <f>IF(Table11524[[#This Row],[Q]]&gt;0.1,I35/2.54, " ")</f>
        <v xml:space="preserve"> </v>
      </c>
      <c r="Q35" s="289" t="str">
        <f t="shared" si="0"/>
        <v xml:space="preserve"> </v>
      </c>
      <c r="R35" s="562" t="str">
        <f t="shared" si="1"/>
        <v xml:space="preserve"> </v>
      </c>
    </row>
    <row r="36" spans="1:18" ht="13.5" x14ac:dyDescent="0.25">
      <c r="A36" s="271"/>
      <c r="B36" s="272"/>
      <c r="C36" s="273"/>
      <c r="D36" s="270"/>
      <c r="E36" s="274"/>
      <c r="F36" s="275"/>
      <c r="G36" s="276"/>
      <c r="H36" s="277"/>
      <c r="I36" s="277"/>
      <c r="J36" s="278"/>
      <c r="K36" s="279"/>
      <c r="L36" s="280" t="str">
        <f>IF(Table11524[[#This Row],[Q]]&gt;0.1, Table11524[[#This Row],[Q]]*Table11524[[#This Row],[$MXN OUT]], " ")</f>
        <v xml:space="preserve"> </v>
      </c>
      <c r="M36" s="13" t="str">
        <f>IF(Table11524[[#This Row],[Q]]&gt;0.1,F36*2.20462, " ")</f>
        <v xml:space="preserve"> </v>
      </c>
      <c r="N36" s="281" t="str">
        <f>IF(Table11524[[#This Row],[Q]]&gt;0.1,G36/2.54, " ")</f>
        <v xml:space="preserve"> </v>
      </c>
      <c r="O36" s="281" t="str">
        <f>IF(Table11524[[#This Row],[Q]]&gt;0.1, H36/2.54, " ")</f>
        <v xml:space="preserve"> </v>
      </c>
      <c r="P36" s="282" t="str">
        <f>IF(Table11524[[#This Row],[Q]]&gt;0.1,I36/2.54, " ")</f>
        <v xml:space="preserve"> </v>
      </c>
      <c r="Q36" s="289" t="str">
        <f t="shared" si="0"/>
        <v xml:space="preserve"> </v>
      </c>
      <c r="R36" s="562" t="str">
        <f t="shared" si="1"/>
        <v xml:space="preserve"> </v>
      </c>
    </row>
    <row r="37" spans="1:18" ht="13.5" x14ac:dyDescent="0.25">
      <c r="A37" s="271"/>
      <c r="B37" s="272"/>
      <c r="C37" s="273"/>
      <c r="D37" s="269"/>
      <c r="E37" s="274"/>
      <c r="F37" s="275"/>
      <c r="G37" s="276"/>
      <c r="H37" s="277"/>
      <c r="I37" s="277"/>
      <c r="J37" s="278"/>
      <c r="K37" s="279"/>
      <c r="L37" s="280" t="str">
        <f>IF(Table11524[[#This Row],[Q]]&gt;0.1, Table11524[[#This Row],[Q]]*Table11524[[#This Row],[$MXN OUT]], " ")</f>
        <v xml:space="preserve"> </v>
      </c>
      <c r="M37" s="13" t="str">
        <f>IF(Table11524[[#This Row],[Q]]&gt;0.1,F37*2.20462, " ")</f>
        <v xml:space="preserve"> </v>
      </c>
      <c r="N37" s="281" t="str">
        <f>IF(Table11524[[#This Row],[Q]]&gt;0.1,G37/2.54, " ")</f>
        <v xml:space="preserve"> </v>
      </c>
      <c r="O37" s="281" t="str">
        <f>IF(Table11524[[#This Row],[Q]]&gt;0.1, H37/2.54, " ")</f>
        <v xml:space="preserve"> </v>
      </c>
      <c r="P37" s="282" t="str">
        <f>IF(Table11524[[#This Row],[Q]]&gt;0.1,I37/2.54, " ")</f>
        <v xml:space="preserve"> </v>
      </c>
      <c r="Q37" s="289" t="str">
        <f t="shared" si="0"/>
        <v xml:space="preserve"> </v>
      </c>
      <c r="R37" s="562" t="str">
        <f t="shared" si="1"/>
        <v xml:space="preserve"> </v>
      </c>
    </row>
    <row r="38" spans="1:18" ht="13.5" x14ac:dyDescent="0.25">
      <c r="A38" s="271"/>
      <c r="B38" s="272"/>
      <c r="C38" s="273"/>
      <c r="D38" s="270"/>
      <c r="E38" s="274"/>
      <c r="F38" s="275"/>
      <c r="G38" s="276"/>
      <c r="H38" s="277"/>
      <c r="I38" s="277"/>
      <c r="J38" s="278"/>
      <c r="K38" s="279"/>
      <c r="L38" s="280" t="str">
        <f>IF(Table11524[[#This Row],[Q]]&gt;0.1, Table11524[[#This Row],[Q]]*Table11524[[#This Row],[$MXN OUT]], " ")</f>
        <v xml:space="preserve"> </v>
      </c>
      <c r="M38" s="13" t="str">
        <f>IF(Table11524[[#This Row],[Q]]&gt;0.1,F38*2.20462, " ")</f>
        <v xml:space="preserve"> </v>
      </c>
      <c r="N38" s="281" t="str">
        <f>IF(Table11524[[#This Row],[Q]]&gt;0.1,G38/2.54, " ")</f>
        <v xml:space="preserve"> </v>
      </c>
      <c r="O38" s="281" t="str">
        <f>IF(Table11524[[#This Row],[Q]]&gt;0.1, H38/2.54, " ")</f>
        <v xml:space="preserve"> </v>
      </c>
      <c r="P38" s="282" t="str">
        <f>IF(Table11524[[#This Row],[Q]]&gt;0.1,I38/2.54, " ")</f>
        <v xml:space="preserve"> </v>
      </c>
      <c r="Q38" s="289" t="str">
        <f t="shared" si="0"/>
        <v xml:space="preserve"> </v>
      </c>
      <c r="R38" s="562" t="str">
        <f t="shared" si="1"/>
        <v xml:space="preserve"> </v>
      </c>
    </row>
    <row r="39" spans="1:18" ht="13.5" x14ac:dyDescent="0.25">
      <c r="A39" s="271"/>
      <c r="B39" s="272"/>
      <c r="C39" s="273"/>
      <c r="D39" s="269"/>
      <c r="E39" s="274"/>
      <c r="F39" s="275"/>
      <c r="G39" s="276"/>
      <c r="H39" s="277"/>
      <c r="I39" s="277"/>
      <c r="J39" s="278"/>
      <c r="K39" s="279"/>
      <c r="L39" s="280" t="str">
        <f>IF(Table11524[[#This Row],[Q]]&gt;0.1, Table11524[[#This Row],[Q]]*Table11524[[#This Row],[$MXN OUT]], " ")</f>
        <v xml:space="preserve"> </v>
      </c>
      <c r="M39" s="13" t="str">
        <f>IF(Table11524[[#This Row],[Q]]&gt;0.1,F39*2.20462, " ")</f>
        <v xml:space="preserve"> </v>
      </c>
      <c r="N39" s="281" t="str">
        <f>IF(Table11524[[#This Row],[Q]]&gt;0.1,G39/2.54, " ")</f>
        <v xml:space="preserve"> </v>
      </c>
      <c r="O39" s="281" t="str">
        <f>IF(Table11524[[#This Row],[Q]]&gt;0.1, H39/2.54, " ")</f>
        <v xml:space="preserve"> </v>
      </c>
      <c r="P39" s="282" t="str">
        <f>IF(Table11524[[#This Row],[Q]]&gt;0.1,I39/2.54, " ")</f>
        <v xml:space="preserve"> </v>
      </c>
      <c r="Q39" s="289" t="str">
        <f t="shared" si="0"/>
        <v xml:space="preserve"> </v>
      </c>
      <c r="R39" s="562" t="str">
        <f t="shared" si="1"/>
        <v xml:space="preserve"> </v>
      </c>
    </row>
    <row r="40" spans="1:18" ht="13.5" x14ac:dyDescent="0.25">
      <c r="A40" s="271"/>
      <c r="B40" s="272"/>
      <c r="C40" s="273"/>
      <c r="D40" s="270"/>
      <c r="E40" s="274"/>
      <c r="F40" s="275"/>
      <c r="G40" s="276"/>
      <c r="H40" s="277"/>
      <c r="I40" s="277"/>
      <c r="J40" s="278"/>
      <c r="K40" s="279"/>
      <c r="L40" s="280" t="str">
        <f>IF(Table11524[[#This Row],[Q]]&gt;0.1, Table11524[[#This Row],[Q]]*Table11524[[#This Row],[$MXN OUT]], " ")</f>
        <v xml:space="preserve"> </v>
      </c>
      <c r="M40" s="13" t="str">
        <f>IF(Table11524[[#This Row],[Q]]&gt;0.1,F40*2.20462, " ")</f>
        <v xml:space="preserve"> </v>
      </c>
      <c r="N40" s="281" t="str">
        <f>IF(Table11524[[#This Row],[Q]]&gt;0.1,G40/2.54, " ")</f>
        <v xml:space="preserve"> </v>
      </c>
      <c r="O40" s="281" t="str">
        <f>IF(Table11524[[#This Row],[Q]]&gt;0.1, H40/2.54, " ")</f>
        <v xml:space="preserve"> </v>
      </c>
      <c r="P40" s="282" t="str">
        <f>IF(Table11524[[#This Row],[Q]]&gt;0.1,I40/2.54, " ")</f>
        <v xml:space="preserve"> </v>
      </c>
      <c r="Q40" s="289" t="str">
        <f t="shared" si="0"/>
        <v xml:space="preserve"> </v>
      </c>
      <c r="R40" s="562" t="str">
        <f t="shared" si="1"/>
        <v xml:space="preserve"> </v>
      </c>
    </row>
    <row r="41" spans="1:18" ht="13.5" x14ac:dyDescent="0.25">
      <c r="A41" s="271"/>
      <c r="B41" s="272"/>
      <c r="C41" s="273"/>
      <c r="D41" s="269"/>
      <c r="E41" s="274"/>
      <c r="F41" s="275"/>
      <c r="G41" s="276"/>
      <c r="H41" s="277"/>
      <c r="I41" s="277"/>
      <c r="J41" s="278"/>
      <c r="K41" s="279"/>
      <c r="L41" s="280" t="str">
        <f>IF(Table11524[[#This Row],[Q]]&gt;0.1, Table11524[[#This Row],[Q]]*Table11524[[#This Row],[$MXN OUT]], " ")</f>
        <v xml:space="preserve"> </v>
      </c>
      <c r="M41" s="13" t="str">
        <f>IF(Table11524[[#This Row],[Q]]&gt;0.1,F41*2.20462, " ")</f>
        <v xml:space="preserve"> </v>
      </c>
      <c r="N41" s="281" t="str">
        <f>IF(Table11524[[#This Row],[Q]]&gt;0.1,G41/2.54, " ")</f>
        <v xml:space="preserve"> </v>
      </c>
      <c r="O41" s="281" t="str">
        <f>IF(Table11524[[#This Row],[Q]]&gt;0.1, H41/2.54, " ")</f>
        <v xml:space="preserve"> </v>
      </c>
      <c r="P41" s="282" t="str">
        <f>IF(Table11524[[#This Row],[Q]]&gt;0.1,I41/2.54, " ")</f>
        <v xml:space="preserve"> </v>
      </c>
      <c r="Q41" s="289" t="str">
        <f t="shared" si="0"/>
        <v xml:space="preserve"> </v>
      </c>
      <c r="R41" s="562" t="str">
        <f t="shared" si="1"/>
        <v xml:space="preserve"> </v>
      </c>
    </row>
    <row r="42" spans="1:18" ht="13.5" x14ac:dyDescent="0.25">
      <c r="A42" s="271"/>
      <c r="B42" s="272"/>
      <c r="C42" s="273"/>
      <c r="D42" s="270"/>
      <c r="E42" s="274"/>
      <c r="F42" s="275"/>
      <c r="G42" s="276"/>
      <c r="H42" s="277"/>
      <c r="I42" s="277"/>
      <c r="J42" s="278"/>
      <c r="K42" s="279"/>
      <c r="L42" s="280" t="str">
        <f>IF(Table11524[[#This Row],[Q]]&gt;0.1, Table11524[[#This Row],[Q]]*Table11524[[#This Row],[$MXN OUT]], " ")</f>
        <v xml:space="preserve"> </v>
      </c>
      <c r="M42" s="13" t="str">
        <f>IF(Table11524[[#This Row],[Q]]&gt;0.1,F42*2.20462, " ")</f>
        <v xml:space="preserve"> </v>
      </c>
      <c r="N42" s="281" t="str">
        <f>IF(Table11524[[#This Row],[Q]]&gt;0.1,G42/2.54, " ")</f>
        <v xml:space="preserve"> </v>
      </c>
      <c r="O42" s="281" t="str">
        <f>IF(Table11524[[#This Row],[Q]]&gt;0.1, H42/2.54, " ")</f>
        <v xml:space="preserve"> </v>
      </c>
      <c r="P42" s="282" t="str">
        <f>IF(Table11524[[#This Row],[Q]]&gt;0.1,I42/2.54, " ")</f>
        <v xml:space="preserve"> </v>
      </c>
      <c r="Q42" s="289" t="str">
        <f t="shared" si="0"/>
        <v xml:space="preserve"> </v>
      </c>
      <c r="R42" s="562" t="str">
        <f t="shared" si="1"/>
        <v xml:space="preserve"> </v>
      </c>
    </row>
    <row r="43" spans="1:18" ht="13.5" x14ac:dyDescent="0.25">
      <c r="A43" s="271"/>
      <c r="B43" s="272"/>
      <c r="C43" s="273"/>
      <c r="D43" s="269"/>
      <c r="E43" s="274"/>
      <c r="F43" s="275"/>
      <c r="G43" s="276"/>
      <c r="H43" s="277"/>
      <c r="I43" s="277"/>
      <c r="J43" s="278"/>
      <c r="K43" s="279"/>
      <c r="L43" s="280" t="str">
        <f>IF(Table11524[[#This Row],[Q]]&gt;0.1, Table11524[[#This Row],[Q]]*Table11524[[#This Row],[$MXN OUT]], " ")</f>
        <v xml:space="preserve"> </v>
      </c>
      <c r="M43" s="13" t="str">
        <f>IF(Table11524[[#This Row],[Q]]&gt;0.1,F43*2.20462, " ")</f>
        <v xml:space="preserve"> </v>
      </c>
      <c r="N43" s="281" t="str">
        <f>IF(Table11524[[#This Row],[Q]]&gt;0.1,G43/2.54, " ")</f>
        <v xml:space="preserve"> </v>
      </c>
      <c r="O43" s="281" t="str">
        <f>IF(Table11524[[#This Row],[Q]]&gt;0.1, H43/2.54, " ")</f>
        <v xml:space="preserve"> </v>
      </c>
      <c r="P43" s="282" t="str">
        <f>IF(Table11524[[#This Row],[Q]]&gt;0.1,I43/2.54, " ")</f>
        <v xml:space="preserve"> </v>
      </c>
      <c r="Q43" s="289" t="str">
        <f t="shared" si="0"/>
        <v xml:space="preserve"> </v>
      </c>
      <c r="R43" s="562" t="str">
        <f t="shared" si="1"/>
        <v xml:space="preserve"> </v>
      </c>
    </row>
    <row r="44" spans="1:18" ht="13.5" x14ac:dyDescent="0.25">
      <c r="A44" s="271"/>
      <c r="B44" s="272"/>
      <c r="C44" s="273"/>
      <c r="D44" s="270"/>
      <c r="E44" s="274"/>
      <c r="F44" s="275"/>
      <c r="G44" s="276"/>
      <c r="H44" s="277"/>
      <c r="I44" s="277"/>
      <c r="J44" s="278"/>
      <c r="K44" s="279"/>
      <c r="L44" s="280" t="str">
        <f>IF(Table11524[[#This Row],[Q]]&gt;0.1, Table11524[[#This Row],[Q]]*Table11524[[#This Row],[$MXN OUT]], " ")</f>
        <v xml:space="preserve"> </v>
      </c>
      <c r="M44" s="13" t="str">
        <f>IF(Table11524[[#This Row],[Q]]&gt;0.1,F44*2.20462, " ")</f>
        <v xml:space="preserve"> </v>
      </c>
      <c r="N44" s="281" t="str">
        <f>IF(Table11524[[#This Row],[Q]]&gt;0.1,G44/2.54, " ")</f>
        <v xml:space="preserve"> </v>
      </c>
      <c r="O44" s="281" t="str">
        <f>IF(Table11524[[#This Row],[Q]]&gt;0.1, H44/2.54, " ")</f>
        <v xml:space="preserve"> </v>
      </c>
      <c r="P44" s="282" t="str">
        <f>IF(Table11524[[#This Row],[Q]]&gt;0.1,I44/2.54, " ")</f>
        <v xml:space="preserve"> </v>
      </c>
      <c r="Q44" s="289" t="str">
        <f t="shared" si="0"/>
        <v xml:space="preserve"> </v>
      </c>
      <c r="R44" s="562" t="str">
        <f t="shared" si="1"/>
        <v xml:space="preserve"> </v>
      </c>
    </row>
    <row r="45" spans="1:18" ht="13.5" x14ac:dyDescent="0.25">
      <c r="A45" s="271"/>
      <c r="B45" s="272"/>
      <c r="C45" s="273"/>
      <c r="D45" s="269"/>
      <c r="E45" s="274"/>
      <c r="F45" s="275"/>
      <c r="G45" s="276"/>
      <c r="H45" s="277"/>
      <c r="I45" s="277"/>
      <c r="J45" s="278"/>
      <c r="K45" s="279"/>
      <c r="L45" s="280" t="str">
        <f>IF(Table11524[[#This Row],[Q]]&gt;0.1, Table11524[[#This Row],[Q]]*Table11524[[#This Row],[$MXN OUT]], " ")</f>
        <v xml:space="preserve"> </v>
      </c>
      <c r="M45" s="13" t="str">
        <f>IF(Table11524[[#This Row],[Q]]&gt;0.1,F45*2.20462, " ")</f>
        <v xml:space="preserve"> </v>
      </c>
      <c r="N45" s="281" t="str">
        <f>IF(Table11524[[#This Row],[Q]]&gt;0.1,G45/2.54, " ")</f>
        <v xml:space="preserve"> </v>
      </c>
      <c r="O45" s="281" t="str">
        <f>IF(Table11524[[#This Row],[Q]]&gt;0.1, H45/2.54, " ")</f>
        <v xml:space="preserve"> </v>
      </c>
      <c r="P45" s="282" t="str">
        <f>IF(Table11524[[#This Row],[Q]]&gt;0.1,I45/2.54, " ")</f>
        <v xml:space="preserve"> </v>
      </c>
      <c r="Q45" s="289" t="str">
        <f t="shared" si="0"/>
        <v xml:space="preserve"> </v>
      </c>
      <c r="R45" s="562" t="str">
        <f t="shared" si="1"/>
        <v xml:space="preserve"> </v>
      </c>
    </row>
    <row r="46" spans="1:18" ht="13.5" x14ac:dyDescent="0.25">
      <c r="A46" s="271"/>
      <c r="B46" s="272"/>
      <c r="C46" s="273"/>
      <c r="D46" s="270"/>
      <c r="E46" s="274"/>
      <c r="F46" s="275"/>
      <c r="G46" s="276"/>
      <c r="H46" s="277"/>
      <c r="I46" s="277"/>
      <c r="J46" s="278"/>
      <c r="K46" s="279"/>
      <c r="L46" s="280" t="str">
        <f>IF(Table11524[[#This Row],[Q]]&gt;0.1, Table11524[[#This Row],[Q]]*Table11524[[#This Row],[$MXN OUT]], " ")</f>
        <v xml:space="preserve"> </v>
      </c>
      <c r="M46" s="13" t="str">
        <f>IF(Table11524[[#This Row],[Q]]&gt;0.1,F46*2.20462, " ")</f>
        <v xml:space="preserve"> </v>
      </c>
      <c r="N46" s="281" t="str">
        <f>IF(Table11524[[#This Row],[Q]]&gt;0.1,G46/2.54, " ")</f>
        <v xml:space="preserve"> </v>
      </c>
      <c r="O46" s="281" t="str">
        <f>IF(Table11524[[#This Row],[Q]]&gt;0.1, H46/2.54, " ")</f>
        <v xml:space="preserve"> </v>
      </c>
      <c r="P46" s="282" t="str">
        <f>IF(Table11524[[#This Row],[Q]]&gt;0.1,I46/2.54, " ")</f>
        <v xml:space="preserve"> </v>
      </c>
      <c r="Q46" s="289" t="str">
        <f t="shared" si="0"/>
        <v xml:space="preserve"> </v>
      </c>
      <c r="R46" s="562" t="str">
        <f t="shared" si="1"/>
        <v xml:space="preserve"> </v>
      </c>
    </row>
    <row r="47" spans="1:18" ht="13.5" x14ac:dyDescent="0.25">
      <c r="A47" s="271"/>
      <c r="B47" s="272"/>
      <c r="C47" s="273"/>
      <c r="D47" s="269"/>
      <c r="E47" s="274"/>
      <c r="F47" s="275"/>
      <c r="G47" s="276"/>
      <c r="H47" s="277"/>
      <c r="I47" s="277"/>
      <c r="J47" s="278"/>
      <c r="K47" s="279"/>
      <c r="L47" s="280" t="str">
        <f>IF(Table11524[[#This Row],[Q]]&gt;0.1, Table11524[[#This Row],[Q]]*Table11524[[#This Row],[$MXN OUT]], " ")</f>
        <v xml:space="preserve"> </v>
      </c>
      <c r="M47" s="13" t="str">
        <f>IF(Table11524[[#This Row],[Q]]&gt;0.1,F47*2.20462, " ")</f>
        <v xml:space="preserve"> </v>
      </c>
      <c r="N47" s="281" t="str">
        <f>IF(Table11524[[#This Row],[Q]]&gt;0.1,G47/2.54, " ")</f>
        <v xml:space="preserve"> </v>
      </c>
      <c r="O47" s="281" t="str">
        <f>IF(Table11524[[#This Row],[Q]]&gt;0.1, H47/2.54, " ")</f>
        <v xml:space="preserve"> </v>
      </c>
      <c r="P47" s="282" t="str">
        <f>IF(Table11524[[#This Row],[Q]]&gt;0.1,I47/2.54, " ")</f>
        <v xml:space="preserve"> </v>
      </c>
      <c r="Q47" s="289" t="str">
        <f t="shared" ref="Q47:Q78" si="2">IF(E47&gt;0.1,K47/18," ")</f>
        <v xml:space="preserve"> </v>
      </c>
      <c r="R47" s="562" t="str">
        <f t="shared" ref="R47:R78" si="3">IF(E47&gt;0.1,Q47*E47," ")</f>
        <v xml:space="preserve"> </v>
      </c>
    </row>
    <row r="48" spans="1:18" ht="13.5" x14ac:dyDescent="0.25">
      <c r="A48" s="271"/>
      <c r="B48" s="272"/>
      <c r="C48" s="273"/>
      <c r="D48" s="270"/>
      <c r="E48" s="274"/>
      <c r="F48" s="275"/>
      <c r="G48" s="276"/>
      <c r="H48" s="277"/>
      <c r="I48" s="277"/>
      <c r="J48" s="278"/>
      <c r="K48" s="279"/>
      <c r="L48" s="280" t="str">
        <f>IF(Table11524[[#This Row],[Q]]&gt;0.1, Table11524[[#This Row],[Q]]*Table11524[[#This Row],[$MXN OUT]], " ")</f>
        <v xml:space="preserve"> </v>
      </c>
      <c r="M48" s="13" t="str">
        <f>IF(Table11524[[#This Row],[Q]]&gt;0.1,F48*2.20462, " ")</f>
        <v xml:space="preserve"> </v>
      </c>
      <c r="N48" s="281" t="str">
        <f>IF(Table11524[[#This Row],[Q]]&gt;0.1,G48/2.54, " ")</f>
        <v xml:space="preserve"> </v>
      </c>
      <c r="O48" s="281" t="str">
        <f>IF(Table11524[[#This Row],[Q]]&gt;0.1, H48/2.54, " ")</f>
        <v xml:space="preserve"> </v>
      </c>
      <c r="P48" s="282" t="str">
        <f>IF(Table11524[[#This Row],[Q]]&gt;0.1,I48/2.54, " ")</f>
        <v xml:space="preserve"> </v>
      </c>
      <c r="Q48" s="289" t="str">
        <f t="shared" si="2"/>
        <v xml:space="preserve"> </v>
      </c>
      <c r="R48" s="562" t="str">
        <f t="shared" si="3"/>
        <v xml:space="preserve"> </v>
      </c>
    </row>
    <row r="49" spans="1:18" ht="13.5" x14ac:dyDescent="0.25">
      <c r="A49" s="271"/>
      <c r="B49" s="272"/>
      <c r="C49" s="273"/>
      <c r="D49" s="269"/>
      <c r="E49" s="274"/>
      <c r="F49" s="275"/>
      <c r="G49" s="276"/>
      <c r="H49" s="277"/>
      <c r="I49" s="277"/>
      <c r="J49" s="278"/>
      <c r="K49" s="279"/>
      <c r="L49" s="280" t="str">
        <f>IF(Table11524[[#This Row],[Q]]&gt;0.1, Table11524[[#This Row],[Q]]*Table11524[[#This Row],[$MXN OUT]], " ")</f>
        <v xml:space="preserve"> </v>
      </c>
      <c r="M49" s="13" t="str">
        <f>IF(Table11524[[#This Row],[Q]]&gt;0.1,F49*2.20462, " ")</f>
        <v xml:space="preserve"> </v>
      </c>
      <c r="N49" s="281" t="str">
        <f>IF(Table11524[[#This Row],[Q]]&gt;0.1,G49/2.54, " ")</f>
        <v xml:space="preserve"> </v>
      </c>
      <c r="O49" s="281" t="str">
        <f>IF(Table11524[[#This Row],[Q]]&gt;0.1, H49/2.54, " ")</f>
        <v xml:space="preserve"> </v>
      </c>
      <c r="P49" s="282" t="str">
        <f>IF(Table11524[[#This Row],[Q]]&gt;0.1,I49/2.54, " ")</f>
        <v xml:space="preserve"> </v>
      </c>
      <c r="Q49" s="289" t="str">
        <f t="shared" si="2"/>
        <v xml:space="preserve"> </v>
      </c>
      <c r="R49" s="562" t="str">
        <f t="shared" si="3"/>
        <v xml:space="preserve"> </v>
      </c>
    </row>
    <row r="50" spans="1:18" ht="13.5" x14ac:dyDescent="0.25">
      <c r="A50" s="271"/>
      <c r="B50" s="272"/>
      <c r="C50" s="273"/>
      <c r="D50" s="270"/>
      <c r="E50" s="274"/>
      <c r="F50" s="275"/>
      <c r="G50" s="276"/>
      <c r="H50" s="277"/>
      <c r="I50" s="277"/>
      <c r="J50" s="278"/>
      <c r="K50" s="279"/>
      <c r="L50" s="280" t="str">
        <f>IF(Table11524[[#This Row],[Q]]&gt;0.1, Table11524[[#This Row],[Q]]*Table11524[[#This Row],[$MXN OUT]], " ")</f>
        <v xml:space="preserve"> </v>
      </c>
      <c r="M50" s="13" t="str">
        <f>IF(Table11524[[#This Row],[Q]]&gt;0.1,F50*2.20462, " ")</f>
        <v xml:space="preserve"> </v>
      </c>
      <c r="N50" s="281" t="str">
        <f>IF(Table11524[[#This Row],[Q]]&gt;0.1,G50/2.54, " ")</f>
        <v xml:space="preserve"> </v>
      </c>
      <c r="O50" s="281" t="str">
        <f>IF(Table11524[[#This Row],[Q]]&gt;0.1, H50/2.54, " ")</f>
        <v xml:space="preserve"> </v>
      </c>
      <c r="P50" s="282" t="str">
        <f>IF(Table11524[[#This Row],[Q]]&gt;0.1,I50/2.54, " ")</f>
        <v xml:space="preserve"> </v>
      </c>
      <c r="Q50" s="289" t="str">
        <f t="shared" si="2"/>
        <v xml:space="preserve"> </v>
      </c>
      <c r="R50" s="562" t="str">
        <f t="shared" si="3"/>
        <v xml:space="preserve"> </v>
      </c>
    </row>
    <row r="51" spans="1:18" ht="13.5" x14ac:dyDescent="0.25">
      <c r="A51" s="271"/>
      <c r="B51" s="272"/>
      <c r="C51" s="273"/>
      <c r="D51" s="269"/>
      <c r="E51" s="274"/>
      <c r="F51" s="275"/>
      <c r="G51" s="276"/>
      <c r="H51" s="277"/>
      <c r="I51" s="277"/>
      <c r="J51" s="278"/>
      <c r="K51" s="279"/>
      <c r="L51" s="280" t="str">
        <f>IF(Table11524[[#This Row],[Q]]&gt;0.1, Table11524[[#This Row],[Q]]*Table11524[[#This Row],[$MXN OUT]], " ")</f>
        <v xml:space="preserve"> </v>
      </c>
      <c r="M51" s="13" t="str">
        <f>IF(Table11524[[#This Row],[Q]]&gt;0.1,F51*2.20462, " ")</f>
        <v xml:space="preserve"> </v>
      </c>
      <c r="N51" s="281" t="str">
        <f>IF(Table11524[[#This Row],[Q]]&gt;0.1,G51/2.54, " ")</f>
        <v xml:space="preserve"> </v>
      </c>
      <c r="O51" s="281" t="str">
        <f>IF(Table11524[[#This Row],[Q]]&gt;0.1, H51/2.54, " ")</f>
        <v xml:space="preserve"> </v>
      </c>
      <c r="P51" s="282" t="str">
        <f>IF(Table11524[[#This Row],[Q]]&gt;0.1,I51/2.54, " ")</f>
        <v xml:space="preserve"> </v>
      </c>
      <c r="Q51" s="289" t="str">
        <f t="shared" si="2"/>
        <v xml:space="preserve"> </v>
      </c>
      <c r="R51" s="562" t="str">
        <f t="shared" si="3"/>
        <v xml:space="preserve"> </v>
      </c>
    </row>
    <row r="52" spans="1:18" ht="13.5" x14ac:dyDescent="0.25">
      <c r="A52" s="271"/>
      <c r="B52" s="272"/>
      <c r="C52" s="273"/>
      <c r="D52" s="270"/>
      <c r="E52" s="274"/>
      <c r="F52" s="275"/>
      <c r="G52" s="276"/>
      <c r="H52" s="277"/>
      <c r="I52" s="277"/>
      <c r="J52" s="278"/>
      <c r="K52" s="279"/>
      <c r="L52" s="280" t="str">
        <f>IF(Table11524[[#This Row],[Q]]&gt;0.1, Table11524[[#This Row],[Q]]*Table11524[[#This Row],[$MXN OUT]], " ")</f>
        <v xml:space="preserve"> </v>
      </c>
      <c r="M52" s="13" t="str">
        <f>IF(Table11524[[#This Row],[Q]]&gt;0.1,F52*2.20462, " ")</f>
        <v xml:space="preserve"> </v>
      </c>
      <c r="N52" s="281" t="str">
        <f>IF(Table11524[[#This Row],[Q]]&gt;0.1,G52/2.54, " ")</f>
        <v xml:space="preserve"> </v>
      </c>
      <c r="O52" s="281" t="str">
        <f>IF(Table11524[[#This Row],[Q]]&gt;0.1, H52/2.54, " ")</f>
        <v xml:space="preserve"> </v>
      </c>
      <c r="P52" s="282" t="str">
        <f>IF(Table11524[[#This Row],[Q]]&gt;0.1,I52/2.54, " ")</f>
        <v xml:space="preserve"> </v>
      </c>
      <c r="Q52" s="289" t="str">
        <f t="shared" si="2"/>
        <v xml:space="preserve"> </v>
      </c>
      <c r="R52" s="562" t="str">
        <f t="shared" si="3"/>
        <v xml:space="preserve"> </v>
      </c>
    </row>
    <row r="53" spans="1:18" ht="13.5" x14ac:dyDescent="0.25">
      <c r="A53" s="271"/>
      <c r="B53" s="272"/>
      <c r="C53" s="273"/>
      <c r="D53" s="269"/>
      <c r="E53" s="274"/>
      <c r="F53" s="275"/>
      <c r="G53" s="276"/>
      <c r="H53" s="277"/>
      <c r="I53" s="277"/>
      <c r="J53" s="278"/>
      <c r="K53" s="279"/>
      <c r="L53" s="280" t="str">
        <f>IF(Table11524[[#This Row],[Q]]&gt;0.1, Table11524[[#This Row],[Q]]*Table11524[[#This Row],[$MXN OUT]], " ")</f>
        <v xml:space="preserve"> </v>
      </c>
      <c r="M53" s="13" t="str">
        <f>IF(Table11524[[#This Row],[Q]]&gt;0.1,F53*2.20462, " ")</f>
        <v xml:space="preserve"> </v>
      </c>
      <c r="N53" s="281" t="str">
        <f>IF(Table11524[[#This Row],[Q]]&gt;0.1,G53/2.54, " ")</f>
        <v xml:space="preserve"> </v>
      </c>
      <c r="O53" s="281" t="str">
        <f>IF(Table11524[[#This Row],[Q]]&gt;0.1, H53/2.54, " ")</f>
        <v xml:space="preserve"> </v>
      </c>
      <c r="P53" s="282" t="str">
        <f>IF(Table11524[[#This Row],[Q]]&gt;0.1,I53/2.54, " ")</f>
        <v xml:space="preserve"> </v>
      </c>
      <c r="Q53" s="289" t="str">
        <f t="shared" si="2"/>
        <v xml:space="preserve"> </v>
      </c>
      <c r="R53" s="562" t="str">
        <f t="shared" si="3"/>
        <v xml:space="preserve"> </v>
      </c>
    </row>
    <row r="54" spans="1:18" ht="13.5" x14ac:dyDescent="0.25">
      <c r="A54" s="271"/>
      <c r="B54" s="272"/>
      <c r="C54" s="273"/>
      <c r="D54" s="270"/>
      <c r="E54" s="274"/>
      <c r="F54" s="275"/>
      <c r="G54" s="276"/>
      <c r="H54" s="277"/>
      <c r="I54" s="277"/>
      <c r="J54" s="278"/>
      <c r="K54" s="279"/>
      <c r="L54" s="280" t="str">
        <f>IF(Table11524[[#This Row],[Q]]&gt;0.1, Table11524[[#This Row],[Q]]*Table11524[[#This Row],[$MXN OUT]], " ")</f>
        <v xml:space="preserve"> </v>
      </c>
      <c r="M54" s="13" t="str">
        <f>IF(Table11524[[#This Row],[Q]]&gt;0.1,F54*2.20462, " ")</f>
        <v xml:space="preserve"> </v>
      </c>
      <c r="N54" s="281" t="str">
        <f>IF(Table11524[[#This Row],[Q]]&gt;0.1,G54/2.54, " ")</f>
        <v xml:space="preserve"> </v>
      </c>
      <c r="O54" s="281" t="str">
        <f>IF(Table11524[[#This Row],[Q]]&gt;0.1, H54/2.54, " ")</f>
        <v xml:space="preserve"> </v>
      </c>
      <c r="P54" s="282" t="str">
        <f>IF(Table11524[[#This Row],[Q]]&gt;0.1,I54/2.54, " ")</f>
        <v xml:space="preserve"> </v>
      </c>
      <c r="Q54" s="289" t="str">
        <f t="shared" si="2"/>
        <v xml:space="preserve"> </v>
      </c>
      <c r="R54" s="562" t="str">
        <f t="shared" si="3"/>
        <v xml:space="preserve"> </v>
      </c>
    </row>
    <row r="55" spans="1:18" ht="13.5" x14ac:dyDescent="0.25">
      <c r="A55" s="271"/>
      <c r="B55" s="272"/>
      <c r="C55" s="273"/>
      <c r="D55" s="269"/>
      <c r="E55" s="274"/>
      <c r="F55" s="275"/>
      <c r="G55" s="276"/>
      <c r="H55" s="277"/>
      <c r="I55" s="277"/>
      <c r="J55" s="278"/>
      <c r="K55" s="279"/>
      <c r="L55" s="280" t="str">
        <f>IF(Table11524[[#This Row],[Q]]&gt;0.1, Table11524[[#This Row],[Q]]*Table11524[[#This Row],[$MXN OUT]], " ")</f>
        <v xml:space="preserve"> </v>
      </c>
      <c r="M55" s="13" t="str">
        <f>IF(Table11524[[#This Row],[Q]]&gt;0.1,F55*2.20462, " ")</f>
        <v xml:space="preserve"> </v>
      </c>
      <c r="N55" s="281" t="str">
        <f>IF(Table11524[[#This Row],[Q]]&gt;0.1,G55/2.54, " ")</f>
        <v xml:space="preserve"> </v>
      </c>
      <c r="O55" s="281" t="str">
        <f>IF(Table11524[[#This Row],[Q]]&gt;0.1, H55/2.54, " ")</f>
        <v xml:space="preserve"> </v>
      </c>
      <c r="P55" s="282" t="str">
        <f>IF(Table11524[[#This Row],[Q]]&gt;0.1,I55/2.54, " ")</f>
        <v xml:space="preserve"> </v>
      </c>
      <c r="Q55" s="289" t="str">
        <f t="shared" si="2"/>
        <v xml:space="preserve"> </v>
      </c>
      <c r="R55" s="562" t="str">
        <f t="shared" si="3"/>
        <v xml:space="preserve"> </v>
      </c>
    </row>
    <row r="56" spans="1:18" ht="13.5" x14ac:dyDescent="0.25">
      <c r="A56" s="271"/>
      <c r="B56" s="272"/>
      <c r="C56" s="273"/>
      <c r="D56" s="270"/>
      <c r="E56" s="274"/>
      <c r="F56" s="275"/>
      <c r="G56" s="276"/>
      <c r="H56" s="277"/>
      <c r="I56" s="277"/>
      <c r="J56" s="278"/>
      <c r="K56" s="279"/>
      <c r="L56" s="280" t="str">
        <f>IF(Table11524[[#This Row],[Q]]&gt;0.1, Table11524[[#This Row],[Q]]*Table11524[[#This Row],[$MXN OUT]], " ")</f>
        <v xml:space="preserve"> </v>
      </c>
      <c r="M56" s="13" t="str">
        <f>IF(Table11524[[#This Row],[Q]]&gt;0.1,F56*2.20462, " ")</f>
        <v xml:space="preserve"> </v>
      </c>
      <c r="N56" s="281" t="str">
        <f>IF(Table11524[[#This Row],[Q]]&gt;0.1,G56/2.54, " ")</f>
        <v xml:space="preserve"> </v>
      </c>
      <c r="O56" s="281" t="str">
        <f>IF(Table11524[[#This Row],[Q]]&gt;0.1, H56/2.54, " ")</f>
        <v xml:space="preserve"> </v>
      </c>
      <c r="P56" s="282" t="str">
        <f>IF(Table11524[[#This Row],[Q]]&gt;0.1,I56/2.54, " ")</f>
        <v xml:space="preserve"> </v>
      </c>
      <c r="Q56" s="289" t="str">
        <f t="shared" si="2"/>
        <v xml:space="preserve"> </v>
      </c>
      <c r="R56" s="562" t="str">
        <f t="shared" si="3"/>
        <v xml:space="preserve"> </v>
      </c>
    </row>
    <row r="57" spans="1:18" ht="13.5" x14ac:dyDescent="0.25">
      <c r="A57" s="271"/>
      <c r="B57" s="272"/>
      <c r="C57" s="273"/>
      <c r="D57" s="269"/>
      <c r="E57" s="274"/>
      <c r="F57" s="275"/>
      <c r="G57" s="276"/>
      <c r="H57" s="277"/>
      <c r="I57" s="277"/>
      <c r="J57" s="278"/>
      <c r="K57" s="279"/>
      <c r="L57" s="280" t="str">
        <f>IF(Table11524[[#This Row],[Q]]&gt;0.1, Table11524[[#This Row],[Q]]*Table11524[[#This Row],[$MXN OUT]], " ")</f>
        <v xml:space="preserve"> </v>
      </c>
      <c r="M57" s="13" t="str">
        <f>IF(Table11524[[#This Row],[Q]]&gt;0.1,F57*2.20462, " ")</f>
        <v xml:space="preserve"> </v>
      </c>
      <c r="N57" s="281" t="str">
        <f>IF(Table11524[[#This Row],[Q]]&gt;0.1,G57/2.54, " ")</f>
        <v xml:space="preserve"> </v>
      </c>
      <c r="O57" s="281" t="str">
        <f>IF(Table11524[[#This Row],[Q]]&gt;0.1, H57/2.54, " ")</f>
        <v xml:space="preserve"> </v>
      </c>
      <c r="P57" s="282" t="str">
        <f>IF(Table11524[[#This Row],[Q]]&gt;0.1,I57/2.54, " ")</f>
        <v xml:space="preserve"> </v>
      </c>
      <c r="Q57" s="289" t="str">
        <f t="shared" si="2"/>
        <v xml:space="preserve"> </v>
      </c>
      <c r="R57" s="562" t="str">
        <f t="shared" si="3"/>
        <v xml:space="preserve"> </v>
      </c>
    </row>
    <row r="58" spans="1:18" ht="13.5" x14ac:dyDescent="0.25">
      <c r="A58" s="271"/>
      <c r="B58" s="272"/>
      <c r="C58" s="273"/>
      <c r="D58" s="270"/>
      <c r="E58" s="274"/>
      <c r="F58" s="275"/>
      <c r="G58" s="276"/>
      <c r="H58" s="277"/>
      <c r="I58" s="277"/>
      <c r="J58" s="278"/>
      <c r="K58" s="279"/>
      <c r="L58" s="280" t="str">
        <f>IF(Table11524[[#This Row],[Q]]&gt;0.1, Table11524[[#This Row],[Q]]*Table11524[[#This Row],[$MXN OUT]], " ")</f>
        <v xml:space="preserve"> </v>
      </c>
      <c r="M58" s="13" t="str">
        <f>IF(Table11524[[#This Row],[Q]]&gt;0.1,F58*2.20462, " ")</f>
        <v xml:space="preserve"> </v>
      </c>
      <c r="N58" s="281" t="str">
        <f>IF(Table11524[[#This Row],[Q]]&gt;0.1,G58/2.54, " ")</f>
        <v xml:space="preserve"> </v>
      </c>
      <c r="O58" s="281" t="str">
        <f>IF(Table11524[[#This Row],[Q]]&gt;0.1, H58/2.54, " ")</f>
        <v xml:space="preserve"> </v>
      </c>
      <c r="P58" s="282" t="str">
        <f>IF(Table11524[[#This Row],[Q]]&gt;0.1,I58/2.54, " ")</f>
        <v xml:space="preserve"> </v>
      </c>
      <c r="Q58" s="289" t="str">
        <f t="shared" si="2"/>
        <v xml:space="preserve"> </v>
      </c>
      <c r="R58" s="562" t="str">
        <f t="shared" si="3"/>
        <v xml:space="preserve"> </v>
      </c>
    </row>
    <row r="59" spans="1:18" ht="13.5" x14ac:dyDescent="0.25">
      <c r="A59" s="271"/>
      <c r="B59" s="272"/>
      <c r="C59" s="273"/>
      <c r="D59" s="269"/>
      <c r="E59" s="274"/>
      <c r="F59" s="275"/>
      <c r="G59" s="276"/>
      <c r="H59" s="277"/>
      <c r="I59" s="277"/>
      <c r="J59" s="278"/>
      <c r="K59" s="279"/>
      <c r="L59" s="280" t="str">
        <f>IF(Table11524[[#This Row],[Q]]&gt;0.1, Table11524[[#This Row],[Q]]*Table11524[[#This Row],[$MXN OUT]], " ")</f>
        <v xml:space="preserve"> </v>
      </c>
      <c r="M59" s="13" t="str">
        <f>IF(Table11524[[#This Row],[Q]]&gt;0.1,F59*2.20462, " ")</f>
        <v xml:space="preserve"> </v>
      </c>
      <c r="N59" s="281" t="str">
        <f>IF(Table11524[[#This Row],[Q]]&gt;0.1,G59/2.54, " ")</f>
        <v xml:space="preserve"> </v>
      </c>
      <c r="O59" s="281" t="str">
        <f>IF(Table11524[[#This Row],[Q]]&gt;0.1, H59/2.54, " ")</f>
        <v xml:space="preserve"> </v>
      </c>
      <c r="P59" s="282" t="str">
        <f>IF(Table11524[[#This Row],[Q]]&gt;0.1,I59/2.54, " ")</f>
        <v xml:space="preserve"> </v>
      </c>
      <c r="Q59" s="289" t="str">
        <f t="shared" si="2"/>
        <v xml:space="preserve"> </v>
      </c>
      <c r="R59" s="562" t="str">
        <f t="shared" si="3"/>
        <v xml:space="preserve"> </v>
      </c>
    </row>
    <row r="60" spans="1:18" ht="13.5" x14ac:dyDescent="0.25">
      <c r="A60" s="271"/>
      <c r="B60" s="272"/>
      <c r="C60" s="273"/>
      <c r="D60" s="270"/>
      <c r="E60" s="274"/>
      <c r="F60" s="275"/>
      <c r="G60" s="276"/>
      <c r="H60" s="277"/>
      <c r="I60" s="277"/>
      <c r="J60" s="278"/>
      <c r="K60" s="279"/>
      <c r="L60" s="280" t="str">
        <f>IF(Table11524[[#This Row],[Q]]&gt;0.1, Table11524[[#This Row],[Q]]*Table11524[[#This Row],[$MXN OUT]], " ")</f>
        <v xml:space="preserve"> </v>
      </c>
      <c r="M60" s="13" t="str">
        <f>IF(Table11524[[#This Row],[Q]]&gt;0.1,F60*2.20462, " ")</f>
        <v xml:space="preserve"> </v>
      </c>
      <c r="N60" s="281" t="str">
        <f>IF(Table11524[[#This Row],[Q]]&gt;0.1,G60/2.54, " ")</f>
        <v xml:space="preserve"> </v>
      </c>
      <c r="O60" s="281" t="str">
        <f>IF(Table11524[[#This Row],[Q]]&gt;0.1, H60/2.54, " ")</f>
        <v xml:space="preserve"> </v>
      </c>
      <c r="P60" s="282" t="str">
        <f>IF(Table11524[[#This Row],[Q]]&gt;0.1,I60/2.54, " ")</f>
        <v xml:space="preserve"> </v>
      </c>
      <c r="Q60" s="289" t="str">
        <f t="shared" si="2"/>
        <v xml:space="preserve"> </v>
      </c>
      <c r="R60" s="562" t="str">
        <f t="shared" si="3"/>
        <v xml:space="preserve"> </v>
      </c>
    </row>
    <row r="61" spans="1:18" ht="13.5" x14ac:dyDescent="0.25">
      <c r="A61" s="271"/>
      <c r="B61" s="272"/>
      <c r="C61" s="273"/>
      <c r="D61" s="269"/>
      <c r="E61" s="274"/>
      <c r="F61" s="275"/>
      <c r="G61" s="276"/>
      <c r="H61" s="277"/>
      <c r="I61" s="277"/>
      <c r="J61" s="278"/>
      <c r="K61" s="279"/>
      <c r="L61" s="280" t="str">
        <f>IF(Table11524[[#This Row],[Q]]&gt;0.1, Table11524[[#This Row],[Q]]*Table11524[[#This Row],[$MXN OUT]], " ")</f>
        <v xml:space="preserve"> </v>
      </c>
      <c r="M61" s="13" t="str">
        <f>IF(Table11524[[#This Row],[Q]]&gt;0.1,F61*2.20462, " ")</f>
        <v xml:space="preserve"> </v>
      </c>
      <c r="N61" s="281" t="str">
        <f>IF(Table11524[[#This Row],[Q]]&gt;0.1,G61/2.54, " ")</f>
        <v xml:space="preserve"> </v>
      </c>
      <c r="O61" s="281" t="str">
        <f>IF(Table11524[[#This Row],[Q]]&gt;0.1, H61/2.54, " ")</f>
        <v xml:space="preserve"> </v>
      </c>
      <c r="P61" s="282" t="str">
        <f>IF(Table11524[[#This Row],[Q]]&gt;0.1,I61/2.54, " ")</f>
        <v xml:space="preserve"> </v>
      </c>
      <c r="Q61" s="289" t="str">
        <f t="shared" si="2"/>
        <v xml:space="preserve"> </v>
      </c>
      <c r="R61" s="562" t="str">
        <f t="shared" si="3"/>
        <v xml:space="preserve"> </v>
      </c>
    </row>
    <row r="62" spans="1:18" ht="13.5" x14ac:dyDescent="0.25">
      <c r="A62" s="271"/>
      <c r="B62" s="272"/>
      <c r="C62" s="273"/>
      <c r="D62" s="270"/>
      <c r="E62" s="274"/>
      <c r="F62" s="275"/>
      <c r="G62" s="276"/>
      <c r="H62" s="277"/>
      <c r="I62" s="277"/>
      <c r="J62" s="278"/>
      <c r="K62" s="279"/>
      <c r="L62" s="280" t="str">
        <f>IF(Table11524[[#This Row],[Q]]&gt;0.1, Table11524[[#This Row],[Q]]*Table11524[[#This Row],[$MXN OUT]], " ")</f>
        <v xml:space="preserve"> </v>
      </c>
      <c r="M62" s="13" t="str">
        <f>IF(Table11524[[#This Row],[Q]]&gt;0.1,F62*2.20462, " ")</f>
        <v xml:space="preserve"> </v>
      </c>
      <c r="N62" s="281" t="str">
        <f>IF(Table11524[[#This Row],[Q]]&gt;0.1,G62/2.54, " ")</f>
        <v xml:space="preserve"> </v>
      </c>
      <c r="O62" s="281" t="str">
        <f>IF(Table11524[[#This Row],[Q]]&gt;0.1, H62/2.54, " ")</f>
        <v xml:space="preserve"> </v>
      </c>
      <c r="P62" s="282" t="str">
        <f>IF(Table11524[[#This Row],[Q]]&gt;0.1,I62/2.54, " ")</f>
        <v xml:space="preserve"> </v>
      </c>
      <c r="Q62" s="289" t="str">
        <f t="shared" si="2"/>
        <v xml:space="preserve"> </v>
      </c>
      <c r="R62" s="562" t="str">
        <f t="shared" si="3"/>
        <v xml:space="preserve"> </v>
      </c>
    </row>
    <row r="63" spans="1:18" ht="13.5" x14ac:dyDescent="0.25">
      <c r="A63" s="271"/>
      <c r="B63" s="272"/>
      <c r="C63" s="273"/>
      <c r="D63" s="269"/>
      <c r="E63" s="274"/>
      <c r="F63" s="275"/>
      <c r="G63" s="276"/>
      <c r="H63" s="277"/>
      <c r="I63" s="277"/>
      <c r="J63" s="278"/>
      <c r="K63" s="279"/>
      <c r="L63" s="280" t="str">
        <f>IF(Table11524[[#This Row],[Q]]&gt;0.1, Table11524[[#This Row],[Q]]*Table11524[[#This Row],[$MXN OUT]], " ")</f>
        <v xml:space="preserve"> </v>
      </c>
      <c r="M63" s="13" t="str">
        <f>IF(Table11524[[#This Row],[Q]]&gt;0.1,F63*2.20462, " ")</f>
        <v xml:space="preserve"> </v>
      </c>
      <c r="N63" s="281" t="str">
        <f>IF(Table11524[[#This Row],[Q]]&gt;0.1,G63/2.54, " ")</f>
        <v xml:space="preserve"> </v>
      </c>
      <c r="O63" s="281" t="str">
        <f>IF(Table11524[[#This Row],[Q]]&gt;0.1, H63/2.54, " ")</f>
        <v xml:space="preserve"> </v>
      </c>
      <c r="P63" s="282" t="str">
        <f>IF(Table11524[[#This Row],[Q]]&gt;0.1,I63/2.54, " ")</f>
        <v xml:space="preserve"> </v>
      </c>
      <c r="Q63" s="289" t="str">
        <f t="shared" si="2"/>
        <v xml:space="preserve"> </v>
      </c>
      <c r="R63" s="562" t="str">
        <f t="shared" si="3"/>
        <v xml:space="preserve"> </v>
      </c>
    </row>
    <row r="64" spans="1:18" ht="13.5" x14ac:dyDescent="0.25">
      <c r="A64" s="271"/>
      <c r="B64" s="272"/>
      <c r="C64" s="273"/>
      <c r="D64" s="270"/>
      <c r="E64" s="274"/>
      <c r="F64" s="275"/>
      <c r="G64" s="276"/>
      <c r="H64" s="277"/>
      <c r="I64" s="277"/>
      <c r="J64" s="278"/>
      <c r="K64" s="279"/>
      <c r="L64" s="280" t="str">
        <f>IF(Table11524[[#This Row],[Q]]&gt;0.1, Table11524[[#This Row],[Q]]*Table11524[[#This Row],[$MXN OUT]], " ")</f>
        <v xml:space="preserve"> </v>
      </c>
      <c r="M64" s="13" t="str">
        <f>IF(Table11524[[#This Row],[Q]]&gt;0.1,F64*2.20462, " ")</f>
        <v xml:space="preserve"> </v>
      </c>
      <c r="N64" s="281" t="str">
        <f>IF(Table11524[[#This Row],[Q]]&gt;0.1,G64/2.54, " ")</f>
        <v xml:space="preserve"> </v>
      </c>
      <c r="O64" s="281" t="str">
        <f>IF(Table11524[[#This Row],[Q]]&gt;0.1, H64/2.54, " ")</f>
        <v xml:space="preserve"> </v>
      </c>
      <c r="P64" s="282" t="str">
        <f>IF(Table11524[[#This Row],[Q]]&gt;0.1,I64/2.54, " ")</f>
        <v xml:space="preserve"> </v>
      </c>
      <c r="Q64" s="289" t="str">
        <f t="shared" si="2"/>
        <v xml:space="preserve"> </v>
      </c>
      <c r="R64" s="562" t="str">
        <f t="shared" si="3"/>
        <v xml:space="preserve"> </v>
      </c>
    </row>
    <row r="65" spans="1:18" ht="13.5" x14ac:dyDescent="0.25">
      <c r="A65" s="271"/>
      <c r="B65" s="272"/>
      <c r="C65" s="273"/>
      <c r="D65" s="269"/>
      <c r="E65" s="274"/>
      <c r="F65" s="275"/>
      <c r="G65" s="276"/>
      <c r="H65" s="277"/>
      <c r="I65" s="277"/>
      <c r="J65" s="278"/>
      <c r="K65" s="279"/>
      <c r="L65" s="280" t="str">
        <f>IF(Table11524[[#This Row],[Q]]&gt;0.1, Table11524[[#This Row],[Q]]*Table11524[[#This Row],[$MXN OUT]], " ")</f>
        <v xml:space="preserve"> </v>
      </c>
      <c r="M65" s="13" t="str">
        <f>IF(Table11524[[#This Row],[Q]]&gt;0.1,F65*2.20462, " ")</f>
        <v xml:space="preserve"> </v>
      </c>
      <c r="N65" s="281" t="str">
        <f>IF(Table11524[[#This Row],[Q]]&gt;0.1,G65/2.54, " ")</f>
        <v xml:space="preserve"> </v>
      </c>
      <c r="O65" s="281" t="str">
        <f>IF(Table11524[[#This Row],[Q]]&gt;0.1, H65/2.54, " ")</f>
        <v xml:space="preserve"> </v>
      </c>
      <c r="P65" s="282" t="str">
        <f>IF(Table11524[[#This Row],[Q]]&gt;0.1,I65/2.54, " ")</f>
        <v xml:space="preserve"> </v>
      </c>
      <c r="Q65" s="289" t="str">
        <f t="shared" si="2"/>
        <v xml:space="preserve"> </v>
      </c>
      <c r="R65" s="562" t="str">
        <f t="shared" si="3"/>
        <v xml:space="preserve"> </v>
      </c>
    </row>
    <row r="66" spans="1:18" ht="13.5" x14ac:dyDescent="0.25">
      <c r="A66" s="271"/>
      <c r="B66" s="272"/>
      <c r="C66" s="273"/>
      <c r="D66" s="270"/>
      <c r="E66" s="274"/>
      <c r="F66" s="275"/>
      <c r="G66" s="276"/>
      <c r="H66" s="277"/>
      <c r="I66" s="277"/>
      <c r="J66" s="278"/>
      <c r="K66" s="279"/>
      <c r="L66" s="280" t="str">
        <f>IF(Table11524[[#This Row],[Q]]&gt;0.1, Table11524[[#This Row],[Q]]*Table11524[[#This Row],[$MXN OUT]], " ")</f>
        <v xml:space="preserve"> </v>
      </c>
      <c r="M66" s="13" t="str">
        <f>IF(Table11524[[#This Row],[Q]]&gt;0.1,F66*2.20462, " ")</f>
        <v xml:space="preserve"> </v>
      </c>
      <c r="N66" s="281" t="str">
        <f>IF(Table11524[[#This Row],[Q]]&gt;0.1,G66/2.54, " ")</f>
        <v xml:space="preserve"> </v>
      </c>
      <c r="O66" s="281" t="str">
        <f>IF(Table11524[[#This Row],[Q]]&gt;0.1, H66/2.54, " ")</f>
        <v xml:space="preserve"> </v>
      </c>
      <c r="P66" s="282" t="str">
        <f>IF(Table11524[[#This Row],[Q]]&gt;0.1,I66/2.54, " ")</f>
        <v xml:space="preserve"> </v>
      </c>
      <c r="Q66" s="289" t="str">
        <f t="shared" si="2"/>
        <v xml:space="preserve"> </v>
      </c>
      <c r="R66" s="562" t="str">
        <f t="shared" si="3"/>
        <v xml:space="preserve"> </v>
      </c>
    </row>
    <row r="67" spans="1:18" ht="13.5" x14ac:dyDescent="0.25">
      <c r="A67" s="271"/>
      <c r="B67" s="272"/>
      <c r="C67" s="273"/>
      <c r="D67" s="269"/>
      <c r="E67" s="274"/>
      <c r="F67" s="275"/>
      <c r="G67" s="276"/>
      <c r="H67" s="277"/>
      <c r="I67" s="277"/>
      <c r="J67" s="278"/>
      <c r="K67" s="279"/>
      <c r="L67" s="280" t="str">
        <f>IF(Table11524[[#This Row],[Q]]&gt;0.1, Table11524[[#This Row],[Q]]*Table11524[[#This Row],[$MXN OUT]], " ")</f>
        <v xml:space="preserve"> </v>
      </c>
      <c r="M67" s="13" t="str">
        <f>IF(Table11524[[#This Row],[Q]]&gt;0.1,F67*2.20462, " ")</f>
        <v xml:space="preserve"> </v>
      </c>
      <c r="N67" s="281" t="str">
        <f>IF(Table11524[[#This Row],[Q]]&gt;0.1,G67/2.54, " ")</f>
        <v xml:space="preserve"> </v>
      </c>
      <c r="O67" s="281" t="str">
        <f>IF(Table11524[[#This Row],[Q]]&gt;0.1, H67/2.54, " ")</f>
        <v xml:space="preserve"> </v>
      </c>
      <c r="P67" s="282" t="str">
        <f>IF(Table11524[[#This Row],[Q]]&gt;0.1,I67/2.54, " ")</f>
        <v xml:space="preserve"> </v>
      </c>
      <c r="Q67" s="289" t="str">
        <f t="shared" si="2"/>
        <v xml:space="preserve"> </v>
      </c>
      <c r="R67" s="562" t="str">
        <f t="shared" si="3"/>
        <v xml:space="preserve"> </v>
      </c>
    </row>
    <row r="68" spans="1:18" ht="13.5" x14ac:dyDescent="0.25">
      <c r="A68" s="271"/>
      <c r="B68" s="272"/>
      <c r="C68" s="273"/>
      <c r="D68" s="270"/>
      <c r="E68" s="274"/>
      <c r="F68" s="275"/>
      <c r="G68" s="276"/>
      <c r="H68" s="277"/>
      <c r="I68" s="277"/>
      <c r="J68" s="278"/>
      <c r="K68" s="279"/>
      <c r="L68" s="280" t="str">
        <f>IF(Table11524[[#This Row],[Q]]&gt;0.1, Table11524[[#This Row],[Q]]*Table11524[[#This Row],[$MXN OUT]], " ")</f>
        <v xml:space="preserve"> </v>
      </c>
      <c r="M68" s="13" t="str">
        <f>IF(Table11524[[#This Row],[Q]]&gt;0.1,F68*2.20462, " ")</f>
        <v xml:space="preserve"> </v>
      </c>
      <c r="N68" s="281" t="str">
        <f>IF(Table11524[[#This Row],[Q]]&gt;0.1,G68/2.54, " ")</f>
        <v xml:space="preserve"> </v>
      </c>
      <c r="O68" s="281" t="str">
        <f>IF(Table11524[[#This Row],[Q]]&gt;0.1, H68/2.54, " ")</f>
        <v xml:space="preserve"> </v>
      </c>
      <c r="P68" s="282" t="str">
        <f>IF(Table11524[[#This Row],[Q]]&gt;0.1,I68/2.54, " ")</f>
        <v xml:space="preserve"> </v>
      </c>
      <c r="Q68" s="289" t="str">
        <f t="shared" si="2"/>
        <v xml:space="preserve"> </v>
      </c>
      <c r="R68" s="562" t="str">
        <f t="shared" si="3"/>
        <v xml:space="preserve"> </v>
      </c>
    </row>
    <row r="69" spans="1:18" ht="13.5" x14ac:dyDescent="0.25">
      <c r="A69" s="271"/>
      <c r="B69" s="272"/>
      <c r="C69" s="273"/>
      <c r="D69" s="269"/>
      <c r="E69" s="274"/>
      <c r="F69" s="275"/>
      <c r="G69" s="276"/>
      <c r="H69" s="277"/>
      <c r="I69" s="277"/>
      <c r="J69" s="278"/>
      <c r="K69" s="279"/>
      <c r="L69" s="280" t="str">
        <f>IF(Table11524[[#This Row],[Q]]&gt;0.1, Table11524[[#This Row],[Q]]*Table11524[[#This Row],[$MXN OUT]], " ")</f>
        <v xml:space="preserve"> </v>
      </c>
      <c r="M69" s="13" t="str">
        <f>IF(Table11524[[#This Row],[Q]]&gt;0.1,F69*2.20462, " ")</f>
        <v xml:space="preserve"> </v>
      </c>
      <c r="N69" s="281" t="str">
        <f>IF(Table11524[[#This Row],[Q]]&gt;0.1,G69/2.54, " ")</f>
        <v xml:space="preserve"> </v>
      </c>
      <c r="O69" s="281" t="str">
        <f>IF(Table11524[[#This Row],[Q]]&gt;0.1, H69/2.54, " ")</f>
        <v xml:space="preserve"> </v>
      </c>
      <c r="P69" s="282" t="str">
        <f>IF(Table11524[[#This Row],[Q]]&gt;0.1,I69/2.54, " ")</f>
        <v xml:space="preserve"> </v>
      </c>
      <c r="Q69" s="289" t="str">
        <f t="shared" si="2"/>
        <v xml:space="preserve"> </v>
      </c>
      <c r="R69" s="562" t="str">
        <f t="shared" si="3"/>
        <v xml:space="preserve"> </v>
      </c>
    </row>
    <row r="70" spans="1:18" ht="13.5" x14ac:dyDescent="0.25">
      <c r="A70" s="271"/>
      <c r="B70" s="272"/>
      <c r="C70" s="273"/>
      <c r="D70" s="270"/>
      <c r="E70" s="274"/>
      <c r="F70" s="275"/>
      <c r="G70" s="276"/>
      <c r="H70" s="277"/>
      <c r="I70" s="277"/>
      <c r="J70" s="278"/>
      <c r="K70" s="279"/>
      <c r="L70" s="280" t="str">
        <f>IF(Table11524[[#This Row],[Q]]&gt;0.1, Table11524[[#This Row],[Q]]*Table11524[[#This Row],[$MXN OUT]], " ")</f>
        <v xml:space="preserve"> </v>
      </c>
      <c r="M70" s="13" t="str">
        <f>IF(Table11524[[#This Row],[Q]]&gt;0.1,F70*2.20462, " ")</f>
        <v xml:space="preserve"> </v>
      </c>
      <c r="N70" s="281" t="str">
        <f>IF(Table11524[[#This Row],[Q]]&gt;0.1,G70/2.54, " ")</f>
        <v xml:space="preserve"> </v>
      </c>
      <c r="O70" s="281" t="str">
        <f>IF(Table11524[[#This Row],[Q]]&gt;0.1, H70/2.54, " ")</f>
        <v xml:space="preserve"> </v>
      </c>
      <c r="P70" s="282" t="str">
        <f>IF(Table11524[[#This Row],[Q]]&gt;0.1,I70/2.54, " ")</f>
        <v xml:space="preserve"> </v>
      </c>
      <c r="Q70" s="289" t="str">
        <f t="shared" si="2"/>
        <v xml:space="preserve"> </v>
      </c>
      <c r="R70" s="562" t="str">
        <f t="shared" si="3"/>
        <v xml:space="preserve"> </v>
      </c>
    </row>
    <row r="71" spans="1:18" ht="13.5" x14ac:dyDescent="0.25">
      <c r="A71" s="271"/>
      <c r="B71" s="272"/>
      <c r="C71" s="273"/>
      <c r="D71" s="269"/>
      <c r="E71" s="274"/>
      <c r="F71" s="275"/>
      <c r="G71" s="276"/>
      <c r="H71" s="277"/>
      <c r="I71" s="277"/>
      <c r="J71" s="278"/>
      <c r="K71" s="279"/>
      <c r="L71" s="280" t="str">
        <f>IF(Table11524[[#This Row],[Q]]&gt;0.1, Table11524[[#This Row],[Q]]*Table11524[[#This Row],[$MXN OUT]], " ")</f>
        <v xml:space="preserve"> </v>
      </c>
      <c r="M71" s="13" t="str">
        <f>IF(Table11524[[#This Row],[Q]]&gt;0.1,F71*2.20462, " ")</f>
        <v xml:space="preserve"> </v>
      </c>
      <c r="N71" s="281" t="str">
        <f>IF(Table11524[[#This Row],[Q]]&gt;0.1,G71/2.54, " ")</f>
        <v xml:space="preserve"> </v>
      </c>
      <c r="O71" s="281" t="str">
        <f>IF(Table11524[[#This Row],[Q]]&gt;0.1, H71/2.54, " ")</f>
        <v xml:space="preserve"> </v>
      </c>
      <c r="P71" s="282" t="str">
        <f>IF(Table11524[[#This Row],[Q]]&gt;0.1,I71/2.54, " ")</f>
        <v xml:space="preserve"> </v>
      </c>
      <c r="Q71" s="289" t="str">
        <f t="shared" si="2"/>
        <v xml:space="preserve"> </v>
      </c>
      <c r="R71" s="562" t="str">
        <f t="shared" si="3"/>
        <v xml:space="preserve"> </v>
      </c>
    </row>
    <row r="72" spans="1:18" ht="13.5" x14ac:dyDescent="0.25">
      <c r="A72" s="271"/>
      <c r="B72" s="272"/>
      <c r="C72" s="273"/>
      <c r="D72" s="270"/>
      <c r="E72" s="274"/>
      <c r="F72" s="275"/>
      <c r="G72" s="276"/>
      <c r="H72" s="277"/>
      <c r="I72" s="277"/>
      <c r="J72" s="278"/>
      <c r="K72" s="279"/>
      <c r="L72" s="280" t="str">
        <f>IF(Table11524[[#This Row],[Q]]&gt;0.1, Table11524[[#This Row],[Q]]*Table11524[[#This Row],[$MXN OUT]], " ")</f>
        <v xml:space="preserve"> </v>
      </c>
      <c r="M72" s="13" t="str">
        <f>IF(Table11524[[#This Row],[Q]]&gt;0.1,F72*2.20462, " ")</f>
        <v xml:space="preserve"> </v>
      </c>
      <c r="N72" s="281" t="str">
        <f>IF(Table11524[[#This Row],[Q]]&gt;0.1,G72/2.54, " ")</f>
        <v xml:space="preserve"> </v>
      </c>
      <c r="O72" s="281" t="str">
        <f>IF(Table11524[[#This Row],[Q]]&gt;0.1, H72/2.54, " ")</f>
        <v xml:space="preserve"> </v>
      </c>
      <c r="P72" s="282" t="str">
        <f>IF(Table11524[[#This Row],[Q]]&gt;0.1,I72/2.54, " ")</f>
        <v xml:space="preserve"> </v>
      </c>
      <c r="Q72" s="289" t="str">
        <f t="shared" si="2"/>
        <v xml:space="preserve"> </v>
      </c>
      <c r="R72" s="562" t="str">
        <f t="shared" si="3"/>
        <v xml:space="preserve"> </v>
      </c>
    </row>
    <row r="73" spans="1:18" ht="13.5" x14ac:dyDescent="0.25">
      <c r="A73" s="271"/>
      <c r="B73" s="272"/>
      <c r="C73" s="273"/>
      <c r="D73" s="269"/>
      <c r="E73" s="274"/>
      <c r="F73" s="275"/>
      <c r="G73" s="276"/>
      <c r="H73" s="277"/>
      <c r="I73" s="277"/>
      <c r="J73" s="278"/>
      <c r="K73" s="279"/>
      <c r="L73" s="280" t="str">
        <f>IF(Table11524[[#This Row],[Q]]&gt;0.1, Table11524[[#This Row],[Q]]*Table11524[[#This Row],[$MXN OUT]], " ")</f>
        <v xml:space="preserve"> </v>
      </c>
      <c r="M73" s="13" t="str">
        <f>IF(Table11524[[#This Row],[Q]]&gt;0.1,F73*2.20462, " ")</f>
        <v xml:space="preserve"> </v>
      </c>
      <c r="N73" s="281" t="str">
        <f>IF(Table11524[[#This Row],[Q]]&gt;0.1,G73/2.54, " ")</f>
        <v xml:space="preserve"> </v>
      </c>
      <c r="O73" s="281" t="str">
        <f>IF(Table11524[[#This Row],[Q]]&gt;0.1, H73/2.54, " ")</f>
        <v xml:space="preserve"> </v>
      </c>
      <c r="P73" s="282" t="str">
        <f>IF(Table11524[[#This Row],[Q]]&gt;0.1,I73/2.54, " ")</f>
        <v xml:space="preserve"> </v>
      </c>
      <c r="Q73" s="289" t="str">
        <f t="shared" si="2"/>
        <v xml:space="preserve"> </v>
      </c>
      <c r="R73" s="562" t="str">
        <f t="shared" si="3"/>
        <v xml:space="preserve"> </v>
      </c>
    </row>
    <row r="74" spans="1:18" ht="13.5" x14ac:dyDescent="0.25">
      <c r="A74" s="271"/>
      <c r="B74" s="272"/>
      <c r="C74" s="273"/>
      <c r="D74" s="270"/>
      <c r="E74" s="274"/>
      <c r="F74" s="275"/>
      <c r="G74" s="276"/>
      <c r="H74" s="277"/>
      <c r="I74" s="277"/>
      <c r="J74" s="278"/>
      <c r="K74" s="279"/>
      <c r="L74" s="280" t="str">
        <f>IF(Table11524[[#This Row],[Q]]&gt;0.1, Table11524[[#This Row],[Q]]*Table11524[[#This Row],[$MXN OUT]], " ")</f>
        <v xml:space="preserve"> </v>
      </c>
      <c r="M74" s="13" t="str">
        <f>IF(Table11524[[#This Row],[Q]]&gt;0.1,F74*2.20462, " ")</f>
        <v xml:space="preserve"> </v>
      </c>
      <c r="N74" s="281" t="str">
        <f>IF(Table11524[[#This Row],[Q]]&gt;0.1,G74/2.54, " ")</f>
        <v xml:space="preserve"> </v>
      </c>
      <c r="O74" s="281" t="str">
        <f>IF(Table11524[[#This Row],[Q]]&gt;0.1, H74/2.54, " ")</f>
        <v xml:space="preserve"> </v>
      </c>
      <c r="P74" s="282" t="str">
        <f>IF(Table11524[[#This Row],[Q]]&gt;0.1,I74/2.54, " ")</f>
        <v xml:space="preserve"> </v>
      </c>
      <c r="Q74" s="289" t="str">
        <f t="shared" si="2"/>
        <v xml:space="preserve"> </v>
      </c>
      <c r="R74" s="562" t="str">
        <f t="shared" si="3"/>
        <v xml:space="preserve"> </v>
      </c>
    </row>
    <row r="75" spans="1:18" ht="13.5" x14ac:dyDescent="0.25">
      <c r="A75" s="271"/>
      <c r="B75" s="272"/>
      <c r="C75" s="273"/>
      <c r="D75" s="269"/>
      <c r="E75" s="274"/>
      <c r="F75" s="275"/>
      <c r="G75" s="276"/>
      <c r="H75" s="277"/>
      <c r="I75" s="277"/>
      <c r="J75" s="278"/>
      <c r="K75" s="279"/>
      <c r="L75" s="280" t="str">
        <f>IF(Table11524[[#This Row],[Q]]&gt;0.1, Table11524[[#This Row],[Q]]*Table11524[[#This Row],[$MXN OUT]], " ")</f>
        <v xml:space="preserve"> </v>
      </c>
      <c r="M75" s="13" t="str">
        <f>IF(Table11524[[#This Row],[Q]]&gt;0.1,F75*2.20462, " ")</f>
        <v xml:space="preserve"> </v>
      </c>
      <c r="N75" s="281" t="str">
        <f>IF(Table11524[[#This Row],[Q]]&gt;0.1,G75/2.54, " ")</f>
        <v xml:space="preserve"> </v>
      </c>
      <c r="O75" s="281" t="str">
        <f>IF(Table11524[[#This Row],[Q]]&gt;0.1, H75/2.54, " ")</f>
        <v xml:space="preserve"> </v>
      </c>
      <c r="P75" s="282" t="str">
        <f>IF(Table11524[[#This Row],[Q]]&gt;0.1,I75/2.54, " ")</f>
        <v xml:space="preserve"> </v>
      </c>
      <c r="Q75" s="289" t="str">
        <f t="shared" si="2"/>
        <v xml:space="preserve"> </v>
      </c>
      <c r="R75" s="562" t="str">
        <f t="shared" si="3"/>
        <v xml:space="preserve"> </v>
      </c>
    </row>
    <row r="76" spans="1:18" ht="13.5" x14ac:dyDescent="0.25">
      <c r="A76" s="271"/>
      <c r="B76" s="272"/>
      <c r="C76" s="273"/>
      <c r="D76" s="270"/>
      <c r="E76" s="274"/>
      <c r="F76" s="275"/>
      <c r="G76" s="276"/>
      <c r="H76" s="277"/>
      <c r="I76" s="277"/>
      <c r="J76" s="278"/>
      <c r="K76" s="279"/>
      <c r="L76" s="280" t="str">
        <f>IF(Table11524[[#This Row],[Q]]&gt;0.1, Table11524[[#This Row],[Q]]*Table11524[[#This Row],[$MXN OUT]], " ")</f>
        <v xml:space="preserve"> </v>
      </c>
      <c r="M76" s="13" t="str">
        <f>IF(Table11524[[#This Row],[Q]]&gt;0.1,F76*2.20462, " ")</f>
        <v xml:space="preserve"> </v>
      </c>
      <c r="N76" s="281" t="str">
        <f>IF(Table11524[[#This Row],[Q]]&gt;0.1,G76/2.54, " ")</f>
        <v xml:space="preserve"> </v>
      </c>
      <c r="O76" s="281" t="str">
        <f>IF(Table11524[[#This Row],[Q]]&gt;0.1, H76/2.54, " ")</f>
        <v xml:space="preserve"> </v>
      </c>
      <c r="P76" s="282" t="str">
        <f>IF(Table11524[[#This Row],[Q]]&gt;0.1,I76/2.54, " ")</f>
        <v xml:space="preserve"> </v>
      </c>
      <c r="Q76" s="289" t="str">
        <f t="shared" si="2"/>
        <v xml:space="preserve"> </v>
      </c>
      <c r="R76" s="562" t="str">
        <f t="shared" si="3"/>
        <v xml:space="preserve"> </v>
      </c>
    </row>
    <row r="77" spans="1:18" ht="13.5" x14ac:dyDescent="0.25">
      <c r="A77" s="271"/>
      <c r="B77" s="272"/>
      <c r="C77" s="273"/>
      <c r="D77" s="269"/>
      <c r="E77" s="274"/>
      <c r="F77" s="275"/>
      <c r="G77" s="276"/>
      <c r="H77" s="277"/>
      <c r="I77" s="277"/>
      <c r="J77" s="278"/>
      <c r="K77" s="279"/>
      <c r="L77" s="280" t="str">
        <f>IF(Table11524[[#This Row],[Q]]&gt;0.1, Table11524[[#This Row],[Q]]*Table11524[[#This Row],[$MXN OUT]], " ")</f>
        <v xml:space="preserve"> </v>
      </c>
      <c r="M77" s="13" t="str">
        <f>IF(Table11524[[#This Row],[Q]]&gt;0.1,F77*2.20462, " ")</f>
        <v xml:space="preserve"> </v>
      </c>
      <c r="N77" s="281" t="str">
        <f>IF(Table11524[[#This Row],[Q]]&gt;0.1,G77/2.54, " ")</f>
        <v xml:space="preserve"> </v>
      </c>
      <c r="O77" s="281" t="str">
        <f>IF(Table11524[[#This Row],[Q]]&gt;0.1, H77/2.54, " ")</f>
        <v xml:space="preserve"> </v>
      </c>
      <c r="P77" s="282" t="str">
        <f>IF(Table11524[[#This Row],[Q]]&gt;0.1,I77/2.54, " ")</f>
        <v xml:space="preserve"> </v>
      </c>
      <c r="Q77" s="289" t="str">
        <f t="shared" si="2"/>
        <v xml:space="preserve"> </v>
      </c>
      <c r="R77" s="562" t="str">
        <f t="shared" si="3"/>
        <v xml:space="preserve"> </v>
      </c>
    </row>
    <row r="78" spans="1:18" ht="13.5" x14ac:dyDescent="0.25">
      <c r="A78" s="271"/>
      <c r="B78" s="272"/>
      <c r="C78" s="273"/>
      <c r="D78" s="270"/>
      <c r="E78" s="274"/>
      <c r="F78" s="275"/>
      <c r="G78" s="276"/>
      <c r="H78" s="277"/>
      <c r="I78" s="277"/>
      <c r="J78" s="278"/>
      <c r="K78" s="279"/>
      <c r="L78" s="280" t="str">
        <f>IF(Table11524[[#This Row],[Q]]&gt;0.1, Table11524[[#This Row],[Q]]*Table11524[[#This Row],[$MXN OUT]], " ")</f>
        <v xml:space="preserve"> </v>
      </c>
      <c r="M78" s="13" t="str">
        <f>IF(Table11524[[#This Row],[Q]]&gt;0.1,F78*2.20462, " ")</f>
        <v xml:space="preserve"> </v>
      </c>
      <c r="N78" s="281" t="str">
        <f>IF(Table11524[[#This Row],[Q]]&gt;0.1,G78/2.54, " ")</f>
        <v xml:space="preserve"> </v>
      </c>
      <c r="O78" s="281" t="str">
        <f>IF(Table11524[[#This Row],[Q]]&gt;0.1, H78/2.54, " ")</f>
        <v xml:space="preserve"> </v>
      </c>
      <c r="P78" s="282" t="str">
        <f>IF(Table11524[[#This Row],[Q]]&gt;0.1,I78/2.54, " ")</f>
        <v xml:space="preserve"> </v>
      </c>
      <c r="Q78" s="289" t="str">
        <f t="shared" si="2"/>
        <v xml:space="preserve"> </v>
      </c>
      <c r="R78" s="562" t="str">
        <f t="shared" si="3"/>
        <v xml:space="preserve"> </v>
      </c>
    </row>
    <row r="79" spans="1:18" ht="13.5" x14ac:dyDescent="0.25">
      <c r="A79" s="271"/>
      <c r="B79" s="272"/>
      <c r="C79" s="273"/>
      <c r="D79" s="269"/>
      <c r="E79" s="274"/>
      <c r="F79" s="275"/>
      <c r="G79" s="276"/>
      <c r="H79" s="277"/>
      <c r="I79" s="277"/>
      <c r="J79" s="278"/>
      <c r="K79" s="279"/>
      <c r="L79" s="280" t="str">
        <f>IF(Table11524[[#This Row],[Q]]&gt;0.1, Table11524[[#This Row],[Q]]*Table11524[[#This Row],[$MXN OUT]], " ")</f>
        <v xml:space="preserve"> </v>
      </c>
      <c r="M79" s="13" t="str">
        <f>IF(Table11524[[#This Row],[Q]]&gt;0.1,F79*2.20462, " ")</f>
        <v xml:space="preserve"> </v>
      </c>
      <c r="N79" s="281" t="str">
        <f>IF(Table11524[[#This Row],[Q]]&gt;0.1,G79/2.54, " ")</f>
        <v xml:space="preserve"> </v>
      </c>
      <c r="O79" s="281" t="str">
        <f>IF(Table11524[[#This Row],[Q]]&gt;0.1, H79/2.54, " ")</f>
        <v xml:space="preserve"> </v>
      </c>
      <c r="P79" s="282" t="str">
        <f>IF(Table11524[[#This Row],[Q]]&gt;0.1,I79/2.54, " ")</f>
        <v xml:space="preserve"> </v>
      </c>
      <c r="Q79" s="289" t="str">
        <f t="shared" ref="Q79:Q110" si="4">IF(E79&gt;0.1,K79/18," ")</f>
        <v xml:space="preserve"> </v>
      </c>
      <c r="R79" s="562" t="str">
        <f t="shared" ref="R79:R110" si="5">IF(E79&gt;0.1,Q79*E79," ")</f>
        <v xml:space="preserve"> </v>
      </c>
    </row>
    <row r="80" spans="1:18" ht="13.5" x14ac:dyDescent="0.25">
      <c r="A80" s="271"/>
      <c r="B80" s="272"/>
      <c r="C80" s="273"/>
      <c r="D80" s="270"/>
      <c r="E80" s="274"/>
      <c r="F80" s="275"/>
      <c r="G80" s="276"/>
      <c r="H80" s="277"/>
      <c r="I80" s="277"/>
      <c r="J80" s="278"/>
      <c r="K80" s="279"/>
      <c r="L80" s="280" t="str">
        <f>IF(Table11524[[#This Row],[Q]]&gt;0.1, Table11524[[#This Row],[Q]]*Table11524[[#This Row],[$MXN OUT]], " ")</f>
        <v xml:space="preserve"> </v>
      </c>
      <c r="M80" s="13" t="str">
        <f>IF(Table11524[[#This Row],[Q]]&gt;0.1,F80*2.20462, " ")</f>
        <v xml:space="preserve"> </v>
      </c>
      <c r="N80" s="281" t="str">
        <f>IF(Table11524[[#This Row],[Q]]&gt;0.1,G80/2.54, " ")</f>
        <v xml:space="preserve"> </v>
      </c>
      <c r="O80" s="281" t="str">
        <f>IF(Table11524[[#This Row],[Q]]&gt;0.1, H80/2.54, " ")</f>
        <v xml:space="preserve"> </v>
      </c>
      <c r="P80" s="282" t="str">
        <f>IF(Table11524[[#This Row],[Q]]&gt;0.1,I80/2.54, " ")</f>
        <v xml:space="preserve"> </v>
      </c>
      <c r="Q80" s="289" t="str">
        <f t="shared" si="4"/>
        <v xml:space="preserve"> </v>
      </c>
      <c r="R80" s="562" t="str">
        <f t="shared" si="5"/>
        <v xml:space="preserve"> </v>
      </c>
    </row>
    <row r="81" spans="1:18" ht="13.5" x14ac:dyDescent="0.25">
      <c r="A81" s="271"/>
      <c r="B81" s="272"/>
      <c r="C81" s="273"/>
      <c r="D81" s="269"/>
      <c r="E81" s="274"/>
      <c r="F81" s="275"/>
      <c r="G81" s="276"/>
      <c r="H81" s="277"/>
      <c r="I81" s="277"/>
      <c r="J81" s="278"/>
      <c r="K81" s="279"/>
      <c r="L81" s="280" t="str">
        <f>IF(Table11524[[#This Row],[Q]]&gt;0.1, Table11524[[#This Row],[Q]]*Table11524[[#This Row],[$MXN OUT]], " ")</f>
        <v xml:space="preserve"> </v>
      </c>
      <c r="M81" s="13" t="str">
        <f>IF(Table11524[[#This Row],[Q]]&gt;0.1,F81*2.20462, " ")</f>
        <v xml:space="preserve"> </v>
      </c>
      <c r="N81" s="281" t="str">
        <f>IF(Table11524[[#This Row],[Q]]&gt;0.1,G81/2.54, " ")</f>
        <v xml:space="preserve"> </v>
      </c>
      <c r="O81" s="281" t="str">
        <f>IF(Table11524[[#This Row],[Q]]&gt;0.1, H81/2.54, " ")</f>
        <v xml:space="preserve"> </v>
      </c>
      <c r="P81" s="282" t="str">
        <f>IF(Table11524[[#This Row],[Q]]&gt;0.1,I81/2.54, " ")</f>
        <v xml:space="preserve"> </v>
      </c>
      <c r="Q81" s="289" t="str">
        <f t="shared" si="4"/>
        <v xml:space="preserve"> </v>
      </c>
      <c r="R81" s="562" t="str">
        <f t="shared" si="5"/>
        <v xml:space="preserve"> </v>
      </c>
    </row>
    <row r="82" spans="1:18" ht="13.5" x14ac:dyDescent="0.25">
      <c r="A82" s="271"/>
      <c r="B82" s="272"/>
      <c r="C82" s="273"/>
      <c r="D82" s="270"/>
      <c r="E82" s="274"/>
      <c r="F82" s="275"/>
      <c r="G82" s="276"/>
      <c r="H82" s="277"/>
      <c r="I82" s="277"/>
      <c r="J82" s="278"/>
      <c r="K82" s="279"/>
      <c r="L82" s="280" t="str">
        <f>IF(Table11524[[#This Row],[Q]]&gt;0.1, Table11524[[#This Row],[Q]]*Table11524[[#This Row],[$MXN OUT]], " ")</f>
        <v xml:space="preserve"> </v>
      </c>
      <c r="M82" s="13" t="str">
        <f>IF(Table11524[[#This Row],[Q]]&gt;0.1,F82*2.20462, " ")</f>
        <v xml:space="preserve"> </v>
      </c>
      <c r="N82" s="281" t="str">
        <f>IF(Table11524[[#This Row],[Q]]&gt;0.1,G82/2.54, " ")</f>
        <v xml:space="preserve"> </v>
      </c>
      <c r="O82" s="281" t="str">
        <f>IF(Table11524[[#This Row],[Q]]&gt;0.1, H82/2.54, " ")</f>
        <v xml:space="preserve"> </v>
      </c>
      <c r="P82" s="282" t="str">
        <f>IF(Table11524[[#This Row],[Q]]&gt;0.1,I82/2.54, " ")</f>
        <v xml:space="preserve"> </v>
      </c>
      <c r="Q82" s="289" t="str">
        <f t="shared" si="4"/>
        <v xml:space="preserve"> </v>
      </c>
      <c r="R82" s="562" t="str">
        <f t="shared" si="5"/>
        <v xml:space="preserve"> </v>
      </c>
    </row>
    <row r="83" spans="1:18" ht="13.5" x14ac:dyDescent="0.25">
      <c r="A83" s="271"/>
      <c r="B83" s="272"/>
      <c r="C83" s="273"/>
      <c r="D83" s="269"/>
      <c r="E83" s="274"/>
      <c r="F83" s="275"/>
      <c r="G83" s="276"/>
      <c r="H83" s="277"/>
      <c r="I83" s="277"/>
      <c r="J83" s="278"/>
      <c r="K83" s="279"/>
      <c r="L83" s="280" t="str">
        <f>IF(Table11524[[#This Row],[Q]]&gt;0.1, Table11524[[#This Row],[Q]]*Table11524[[#This Row],[$MXN OUT]], " ")</f>
        <v xml:space="preserve"> </v>
      </c>
      <c r="M83" s="13" t="str">
        <f>IF(Table11524[[#This Row],[Q]]&gt;0.1,F83*2.20462, " ")</f>
        <v xml:space="preserve"> </v>
      </c>
      <c r="N83" s="281" t="str">
        <f>IF(Table11524[[#This Row],[Q]]&gt;0.1,G83/2.54, " ")</f>
        <v xml:space="preserve"> </v>
      </c>
      <c r="O83" s="281" t="str">
        <f>IF(Table11524[[#This Row],[Q]]&gt;0.1, H83/2.54, " ")</f>
        <v xml:space="preserve"> </v>
      </c>
      <c r="P83" s="282" t="str">
        <f>IF(Table11524[[#This Row],[Q]]&gt;0.1,I83/2.54, " ")</f>
        <v xml:space="preserve"> </v>
      </c>
      <c r="Q83" s="289" t="str">
        <f t="shared" si="4"/>
        <v xml:space="preserve"> </v>
      </c>
      <c r="R83" s="562" t="str">
        <f t="shared" si="5"/>
        <v xml:space="preserve"> </v>
      </c>
    </row>
    <row r="84" spans="1:18" ht="13.5" x14ac:dyDescent="0.25">
      <c r="A84" s="271"/>
      <c r="B84" s="272"/>
      <c r="C84" s="273"/>
      <c r="D84" s="270"/>
      <c r="E84" s="274"/>
      <c r="F84" s="275"/>
      <c r="G84" s="276"/>
      <c r="H84" s="277"/>
      <c r="I84" s="277"/>
      <c r="J84" s="278"/>
      <c r="K84" s="279"/>
      <c r="L84" s="280" t="str">
        <f>IF(Table11524[[#This Row],[Q]]&gt;0.1, Table11524[[#This Row],[Q]]*Table11524[[#This Row],[$MXN OUT]], " ")</f>
        <v xml:space="preserve"> </v>
      </c>
      <c r="M84" s="13" t="str">
        <f>IF(Table11524[[#This Row],[Q]]&gt;0.1,F84*2.20462, " ")</f>
        <v xml:space="preserve"> </v>
      </c>
      <c r="N84" s="281" t="str">
        <f>IF(Table11524[[#This Row],[Q]]&gt;0.1,G84/2.54, " ")</f>
        <v xml:space="preserve"> </v>
      </c>
      <c r="O84" s="281" t="str">
        <f>IF(Table11524[[#This Row],[Q]]&gt;0.1, H84/2.54, " ")</f>
        <v xml:space="preserve"> </v>
      </c>
      <c r="P84" s="282" t="str">
        <f>IF(Table11524[[#This Row],[Q]]&gt;0.1,I84/2.54, " ")</f>
        <v xml:space="preserve"> </v>
      </c>
      <c r="Q84" s="289" t="str">
        <f t="shared" si="4"/>
        <v xml:space="preserve"> </v>
      </c>
      <c r="R84" s="562" t="str">
        <f t="shared" si="5"/>
        <v xml:space="preserve"> </v>
      </c>
    </row>
    <row r="85" spans="1:18" ht="13.5" x14ac:dyDescent="0.25">
      <c r="A85" s="271"/>
      <c r="B85" s="272"/>
      <c r="C85" s="273"/>
      <c r="D85" s="269"/>
      <c r="E85" s="274"/>
      <c r="F85" s="275"/>
      <c r="G85" s="276"/>
      <c r="H85" s="277"/>
      <c r="I85" s="277"/>
      <c r="J85" s="278"/>
      <c r="K85" s="279"/>
      <c r="L85" s="280" t="str">
        <f>IF(Table11524[[#This Row],[Q]]&gt;0.1, Table11524[[#This Row],[Q]]*Table11524[[#This Row],[$MXN OUT]], " ")</f>
        <v xml:space="preserve"> </v>
      </c>
      <c r="M85" s="13" t="str">
        <f>IF(Table11524[[#This Row],[Q]]&gt;0.1,F85*2.20462, " ")</f>
        <v xml:space="preserve"> </v>
      </c>
      <c r="N85" s="281" t="str">
        <f>IF(Table11524[[#This Row],[Q]]&gt;0.1,G85/2.54, " ")</f>
        <v xml:space="preserve"> </v>
      </c>
      <c r="O85" s="281" t="str">
        <f>IF(Table11524[[#This Row],[Q]]&gt;0.1, H85/2.54, " ")</f>
        <v xml:space="preserve"> </v>
      </c>
      <c r="P85" s="282" t="str">
        <f>IF(Table11524[[#This Row],[Q]]&gt;0.1,I85/2.54, " ")</f>
        <v xml:space="preserve"> </v>
      </c>
      <c r="Q85" s="289" t="str">
        <f t="shared" si="4"/>
        <v xml:space="preserve"> </v>
      </c>
      <c r="R85" s="562" t="str">
        <f t="shared" si="5"/>
        <v xml:space="preserve"> </v>
      </c>
    </row>
    <row r="86" spans="1:18" ht="13.5" x14ac:dyDescent="0.25">
      <c r="A86" s="271"/>
      <c r="B86" s="272"/>
      <c r="C86" s="273"/>
      <c r="D86" s="270"/>
      <c r="E86" s="274"/>
      <c r="F86" s="275"/>
      <c r="G86" s="276"/>
      <c r="H86" s="277"/>
      <c r="I86" s="277"/>
      <c r="J86" s="278"/>
      <c r="K86" s="279"/>
      <c r="L86" s="280" t="str">
        <f>IF(Table11524[[#This Row],[Q]]&gt;0.1, Table11524[[#This Row],[Q]]*Table11524[[#This Row],[$MXN OUT]], " ")</f>
        <v xml:space="preserve"> </v>
      </c>
      <c r="M86" s="13" t="str">
        <f>IF(Table11524[[#This Row],[Q]]&gt;0.1,F86*2.20462, " ")</f>
        <v xml:space="preserve"> </v>
      </c>
      <c r="N86" s="281" t="str">
        <f>IF(Table11524[[#This Row],[Q]]&gt;0.1,G86/2.54, " ")</f>
        <v xml:space="preserve"> </v>
      </c>
      <c r="O86" s="281" t="str">
        <f>IF(Table11524[[#This Row],[Q]]&gt;0.1, H86/2.54, " ")</f>
        <v xml:space="preserve"> </v>
      </c>
      <c r="P86" s="282" t="str">
        <f>IF(Table11524[[#This Row],[Q]]&gt;0.1,I86/2.54, " ")</f>
        <v xml:space="preserve"> </v>
      </c>
      <c r="Q86" s="289" t="str">
        <f t="shared" si="4"/>
        <v xml:space="preserve"> </v>
      </c>
      <c r="R86" s="562" t="str">
        <f t="shared" si="5"/>
        <v xml:space="preserve"> </v>
      </c>
    </row>
    <row r="87" spans="1:18" ht="13.5" x14ac:dyDescent="0.25">
      <c r="A87" s="271"/>
      <c r="B87" s="272"/>
      <c r="C87" s="273"/>
      <c r="D87" s="269"/>
      <c r="E87" s="274"/>
      <c r="F87" s="275"/>
      <c r="G87" s="276"/>
      <c r="H87" s="277"/>
      <c r="I87" s="277"/>
      <c r="J87" s="278"/>
      <c r="K87" s="279"/>
      <c r="L87" s="280" t="str">
        <f>IF(Table11524[[#This Row],[Q]]&gt;0.1, Table11524[[#This Row],[Q]]*Table11524[[#This Row],[$MXN OUT]], " ")</f>
        <v xml:space="preserve"> </v>
      </c>
      <c r="M87" s="13" t="str">
        <f>IF(Table11524[[#This Row],[Q]]&gt;0.1,F87*2.20462, " ")</f>
        <v xml:space="preserve"> </v>
      </c>
      <c r="N87" s="281" t="str">
        <f>IF(Table11524[[#This Row],[Q]]&gt;0.1,G87/2.54, " ")</f>
        <v xml:space="preserve"> </v>
      </c>
      <c r="O87" s="281" t="str">
        <f>IF(Table11524[[#This Row],[Q]]&gt;0.1, H87/2.54, " ")</f>
        <v xml:space="preserve"> </v>
      </c>
      <c r="P87" s="282" t="str">
        <f>IF(Table11524[[#This Row],[Q]]&gt;0.1,I87/2.54, " ")</f>
        <v xml:space="preserve"> </v>
      </c>
      <c r="Q87" s="289" t="str">
        <f t="shared" si="4"/>
        <v xml:space="preserve"> </v>
      </c>
      <c r="R87" s="562" t="str">
        <f t="shared" si="5"/>
        <v xml:space="preserve"> </v>
      </c>
    </row>
    <row r="88" spans="1:18" ht="13.5" x14ac:dyDescent="0.25">
      <c r="A88" s="271"/>
      <c r="B88" s="272"/>
      <c r="C88" s="273"/>
      <c r="D88" s="270"/>
      <c r="E88" s="274"/>
      <c r="F88" s="275"/>
      <c r="G88" s="276"/>
      <c r="H88" s="277"/>
      <c r="I88" s="277"/>
      <c r="J88" s="278"/>
      <c r="K88" s="279"/>
      <c r="L88" s="280" t="str">
        <f>IF(Table11524[[#This Row],[Q]]&gt;0.1, Table11524[[#This Row],[Q]]*Table11524[[#This Row],[$MXN OUT]], " ")</f>
        <v xml:space="preserve"> </v>
      </c>
      <c r="M88" s="13" t="str">
        <f>IF(Table11524[[#This Row],[Q]]&gt;0.1,F88*2.20462, " ")</f>
        <v xml:space="preserve"> </v>
      </c>
      <c r="N88" s="281" t="str">
        <f>IF(Table11524[[#This Row],[Q]]&gt;0.1,G88/2.54, " ")</f>
        <v xml:space="preserve"> </v>
      </c>
      <c r="O88" s="281" t="str">
        <f>IF(Table11524[[#This Row],[Q]]&gt;0.1, H88/2.54, " ")</f>
        <v xml:space="preserve"> </v>
      </c>
      <c r="P88" s="282" t="str">
        <f>IF(Table11524[[#This Row],[Q]]&gt;0.1,I88/2.54, " ")</f>
        <v xml:space="preserve"> </v>
      </c>
      <c r="Q88" s="289" t="str">
        <f t="shared" si="4"/>
        <v xml:space="preserve"> </v>
      </c>
      <c r="R88" s="562" t="str">
        <f t="shared" si="5"/>
        <v xml:space="preserve"> </v>
      </c>
    </row>
    <row r="89" spans="1:18" ht="13.5" x14ac:dyDescent="0.25">
      <c r="A89" s="271"/>
      <c r="B89" s="272"/>
      <c r="C89" s="273"/>
      <c r="D89" s="269"/>
      <c r="E89" s="274"/>
      <c r="F89" s="275"/>
      <c r="G89" s="276"/>
      <c r="H89" s="277"/>
      <c r="I89" s="277"/>
      <c r="J89" s="278"/>
      <c r="K89" s="279"/>
      <c r="L89" s="280" t="str">
        <f>IF(Table11524[[#This Row],[Q]]&gt;0.1, Table11524[[#This Row],[Q]]*Table11524[[#This Row],[$MXN OUT]], " ")</f>
        <v xml:space="preserve"> </v>
      </c>
      <c r="M89" s="13" t="str">
        <f>IF(Table11524[[#This Row],[Q]]&gt;0.1,F89*2.20462, " ")</f>
        <v xml:space="preserve"> </v>
      </c>
      <c r="N89" s="281" t="str">
        <f>IF(Table11524[[#This Row],[Q]]&gt;0.1,G89/2.54, " ")</f>
        <v xml:space="preserve"> </v>
      </c>
      <c r="O89" s="281" t="str">
        <f>IF(Table11524[[#This Row],[Q]]&gt;0.1, H89/2.54, " ")</f>
        <v xml:space="preserve"> </v>
      </c>
      <c r="P89" s="282" t="str">
        <f>IF(Table11524[[#This Row],[Q]]&gt;0.1,I89/2.54, " ")</f>
        <v xml:space="preserve"> </v>
      </c>
      <c r="Q89" s="289" t="str">
        <f t="shared" si="4"/>
        <v xml:space="preserve"> </v>
      </c>
      <c r="R89" s="562" t="str">
        <f t="shared" si="5"/>
        <v xml:space="preserve"> </v>
      </c>
    </row>
    <row r="90" spans="1:18" ht="13.5" x14ac:dyDescent="0.25">
      <c r="A90" s="271"/>
      <c r="B90" s="272"/>
      <c r="C90" s="273"/>
      <c r="D90" s="270"/>
      <c r="E90" s="274"/>
      <c r="F90" s="275"/>
      <c r="G90" s="276"/>
      <c r="H90" s="277"/>
      <c r="I90" s="277"/>
      <c r="J90" s="278"/>
      <c r="K90" s="279"/>
      <c r="L90" s="280" t="str">
        <f>IF(Table11524[[#This Row],[Q]]&gt;0.1, Table11524[[#This Row],[Q]]*Table11524[[#This Row],[$MXN OUT]], " ")</f>
        <v xml:space="preserve"> </v>
      </c>
      <c r="M90" s="13" t="str">
        <f>IF(Table11524[[#This Row],[Q]]&gt;0.1,F90*2.20462, " ")</f>
        <v xml:space="preserve"> </v>
      </c>
      <c r="N90" s="281" t="str">
        <f>IF(Table11524[[#This Row],[Q]]&gt;0.1,G90/2.54, " ")</f>
        <v xml:space="preserve"> </v>
      </c>
      <c r="O90" s="281" t="str">
        <f>IF(Table11524[[#This Row],[Q]]&gt;0.1, H90/2.54, " ")</f>
        <v xml:space="preserve"> </v>
      </c>
      <c r="P90" s="282" t="str">
        <f>IF(Table11524[[#This Row],[Q]]&gt;0.1,I90/2.54, " ")</f>
        <v xml:space="preserve"> </v>
      </c>
      <c r="Q90" s="289" t="str">
        <f t="shared" si="4"/>
        <v xml:space="preserve"> </v>
      </c>
      <c r="R90" s="562" t="str">
        <f t="shared" si="5"/>
        <v xml:space="preserve"> </v>
      </c>
    </row>
    <row r="91" spans="1:18" ht="13.5" x14ac:dyDescent="0.25">
      <c r="A91" s="271"/>
      <c r="B91" s="272"/>
      <c r="C91" s="273"/>
      <c r="D91" s="269"/>
      <c r="E91" s="274"/>
      <c r="F91" s="275"/>
      <c r="G91" s="276"/>
      <c r="H91" s="277"/>
      <c r="I91" s="277"/>
      <c r="J91" s="278"/>
      <c r="K91" s="279"/>
      <c r="L91" s="280" t="str">
        <f>IF(Table11524[[#This Row],[Q]]&gt;0.1, Table11524[[#This Row],[Q]]*Table11524[[#This Row],[$MXN OUT]], " ")</f>
        <v xml:space="preserve"> </v>
      </c>
      <c r="M91" s="13" t="str">
        <f>IF(Table11524[[#This Row],[Q]]&gt;0.1,F91*2.20462, " ")</f>
        <v xml:space="preserve"> </v>
      </c>
      <c r="N91" s="281" t="str">
        <f>IF(Table11524[[#This Row],[Q]]&gt;0.1,G91/2.54, " ")</f>
        <v xml:space="preserve"> </v>
      </c>
      <c r="O91" s="281" t="str">
        <f>IF(Table11524[[#This Row],[Q]]&gt;0.1, H91/2.54, " ")</f>
        <v xml:space="preserve"> </v>
      </c>
      <c r="P91" s="282" t="str">
        <f>IF(Table11524[[#This Row],[Q]]&gt;0.1,I91/2.54, " ")</f>
        <v xml:space="preserve"> </v>
      </c>
      <c r="Q91" s="289" t="str">
        <f t="shared" si="4"/>
        <v xml:space="preserve"> </v>
      </c>
      <c r="R91" s="562" t="str">
        <f t="shared" si="5"/>
        <v xml:space="preserve"> </v>
      </c>
    </row>
    <row r="92" spans="1:18" ht="13.5" x14ac:dyDescent="0.25">
      <c r="A92" s="271"/>
      <c r="B92" s="272"/>
      <c r="C92" s="273"/>
      <c r="D92" s="270"/>
      <c r="E92" s="274"/>
      <c r="F92" s="275"/>
      <c r="G92" s="276"/>
      <c r="H92" s="277"/>
      <c r="I92" s="277"/>
      <c r="J92" s="278"/>
      <c r="K92" s="279"/>
      <c r="L92" s="280" t="str">
        <f>IF(Table11524[[#This Row],[Q]]&gt;0.1, Table11524[[#This Row],[Q]]*Table11524[[#This Row],[$MXN OUT]], " ")</f>
        <v xml:space="preserve"> </v>
      </c>
      <c r="M92" s="13" t="str">
        <f>IF(Table11524[[#This Row],[Q]]&gt;0.1,F92*2.20462, " ")</f>
        <v xml:space="preserve"> </v>
      </c>
      <c r="N92" s="281" t="str">
        <f>IF(Table11524[[#This Row],[Q]]&gt;0.1,G92/2.54, " ")</f>
        <v xml:space="preserve"> </v>
      </c>
      <c r="O92" s="281" t="str">
        <f>IF(Table11524[[#This Row],[Q]]&gt;0.1, H92/2.54, " ")</f>
        <v xml:space="preserve"> </v>
      </c>
      <c r="P92" s="282" t="str">
        <f>IF(Table11524[[#This Row],[Q]]&gt;0.1,I92/2.54, " ")</f>
        <v xml:space="preserve"> </v>
      </c>
      <c r="Q92" s="289" t="str">
        <f t="shared" si="4"/>
        <v xml:space="preserve"> </v>
      </c>
      <c r="R92" s="562" t="str">
        <f t="shared" si="5"/>
        <v xml:space="preserve"> </v>
      </c>
    </row>
    <row r="93" spans="1:18" ht="13.5" x14ac:dyDescent="0.25">
      <c r="A93" s="271"/>
      <c r="B93" s="272"/>
      <c r="C93" s="273"/>
      <c r="D93" s="269"/>
      <c r="E93" s="274"/>
      <c r="F93" s="275"/>
      <c r="G93" s="276"/>
      <c r="H93" s="277"/>
      <c r="I93" s="277"/>
      <c r="J93" s="278"/>
      <c r="K93" s="279"/>
      <c r="L93" s="280" t="str">
        <f>IF(Table11524[[#This Row],[Q]]&gt;0.1, Table11524[[#This Row],[Q]]*Table11524[[#This Row],[$MXN OUT]], " ")</f>
        <v xml:space="preserve"> </v>
      </c>
      <c r="M93" s="13" t="str">
        <f>IF(Table11524[[#This Row],[Q]]&gt;0.1,F93*2.20462, " ")</f>
        <v xml:space="preserve"> </v>
      </c>
      <c r="N93" s="281" t="str">
        <f>IF(Table11524[[#This Row],[Q]]&gt;0.1,G93/2.54, " ")</f>
        <v xml:space="preserve"> </v>
      </c>
      <c r="O93" s="281" t="str">
        <f>IF(Table11524[[#This Row],[Q]]&gt;0.1, H93/2.54, " ")</f>
        <v xml:space="preserve"> </v>
      </c>
      <c r="P93" s="282" t="str">
        <f>IF(Table11524[[#This Row],[Q]]&gt;0.1,I93/2.54, " ")</f>
        <v xml:space="preserve"> </v>
      </c>
      <c r="Q93" s="289" t="str">
        <f t="shared" si="4"/>
        <v xml:space="preserve"> </v>
      </c>
      <c r="R93" s="562" t="str">
        <f t="shared" si="5"/>
        <v xml:space="preserve"> </v>
      </c>
    </row>
    <row r="94" spans="1:18" ht="13.5" x14ac:dyDescent="0.25">
      <c r="A94" s="271"/>
      <c r="B94" s="272"/>
      <c r="C94" s="273"/>
      <c r="D94" s="270"/>
      <c r="E94" s="274"/>
      <c r="F94" s="275"/>
      <c r="G94" s="276"/>
      <c r="H94" s="277"/>
      <c r="I94" s="277"/>
      <c r="J94" s="278"/>
      <c r="K94" s="279"/>
      <c r="L94" s="280" t="str">
        <f>IF(Table11524[[#This Row],[Q]]&gt;0.1, Table11524[[#This Row],[Q]]*Table11524[[#This Row],[$MXN OUT]], " ")</f>
        <v xml:space="preserve"> </v>
      </c>
      <c r="M94" s="13" t="str">
        <f>IF(Table11524[[#This Row],[Q]]&gt;0.1,F94*2.20462, " ")</f>
        <v xml:space="preserve"> </v>
      </c>
      <c r="N94" s="281" t="str">
        <f>IF(Table11524[[#This Row],[Q]]&gt;0.1,G94/2.54, " ")</f>
        <v xml:space="preserve"> </v>
      </c>
      <c r="O94" s="281" t="str">
        <f>IF(Table11524[[#This Row],[Q]]&gt;0.1, H94/2.54, " ")</f>
        <v xml:space="preserve"> </v>
      </c>
      <c r="P94" s="282" t="str">
        <f>IF(Table11524[[#This Row],[Q]]&gt;0.1,I94/2.54, " ")</f>
        <v xml:space="preserve"> </v>
      </c>
      <c r="Q94" s="289" t="str">
        <f t="shared" si="4"/>
        <v xml:space="preserve"> </v>
      </c>
      <c r="R94" s="562" t="str">
        <f t="shared" si="5"/>
        <v xml:space="preserve"> </v>
      </c>
    </row>
    <row r="95" spans="1:18" ht="13.5" x14ac:dyDescent="0.25">
      <c r="A95" s="271"/>
      <c r="B95" s="272"/>
      <c r="C95" s="273"/>
      <c r="D95" s="269"/>
      <c r="E95" s="274"/>
      <c r="F95" s="275"/>
      <c r="G95" s="276"/>
      <c r="H95" s="277"/>
      <c r="I95" s="277"/>
      <c r="J95" s="278"/>
      <c r="K95" s="279"/>
      <c r="L95" s="280" t="str">
        <f>IF(Table11524[[#This Row],[Q]]&gt;0.1, Table11524[[#This Row],[Q]]*Table11524[[#This Row],[$MXN OUT]], " ")</f>
        <v xml:space="preserve"> </v>
      </c>
      <c r="M95" s="13" t="str">
        <f>IF(Table11524[[#This Row],[Q]]&gt;0.1,F95*2.20462, " ")</f>
        <v xml:space="preserve"> </v>
      </c>
      <c r="N95" s="281" t="str">
        <f>IF(Table11524[[#This Row],[Q]]&gt;0.1,G95/2.54, " ")</f>
        <v xml:space="preserve"> </v>
      </c>
      <c r="O95" s="281" t="str">
        <f>IF(Table11524[[#This Row],[Q]]&gt;0.1, H95/2.54, " ")</f>
        <v xml:space="preserve"> </v>
      </c>
      <c r="P95" s="282" t="str">
        <f>IF(Table11524[[#This Row],[Q]]&gt;0.1,I95/2.54, " ")</f>
        <v xml:space="preserve"> </v>
      </c>
      <c r="Q95" s="289" t="str">
        <f t="shared" si="4"/>
        <v xml:space="preserve"> </v>
      </c>
      <c r="R95" s="562" t="str">
        <f t="shared" si="5"/>
        <v xml:space="preserve"> </v>
      </c>
    </row>
    <row r="96" spans="1:18" ht="13.5" x14ac:dyDescent="0.25">
      <c r="A96" s="271"/>
      <c r="B96" s="272"/>
      <c r="C96" s="273"/>
      <c r="D96" s="270"/>
      <c r="E96" s="274"/>
      <c r="F96" s="275"/>
      <c r="G96" s="276"/>
      <c r="H96" s="277"/>
      <c r="I96" s="277"/>
      <c r="J96" s="278"/>
      <c r="K96" s="279"/>
      <c r="L96" s="280" t="str">
        <f>IF(Table11524[[#This Row],[Q]]&gt;0.1, Table11524[[#This Row],[Q]]*Table11524[[#This Row],[$MXN OUT]], " ")</f>
        <v xml:space="preserve"> </v>
      </c>
      <c r="M96" s="13" t="str">
        <f>IF(Table11524[[#This Row],[Q]]&gt;0.1,F96*2.20462, " ")</f>
        <v xml:space="preserve"> </v>
      </c>
      <c r="N96" s="281" t="str">
        <f>IF(Table11524[[#This Row],[Q]]&gt;0.1,G96/2.54, " ")</f>
        <v xml:space="preserve"> </v>
      </c>
      <c r="O96" s="281" t="str">
        <f>IF(Table11524[[#This Row],[Q]]&gt;0.1, H96/2.54, " ")</f>
        <v xml:space="preserve"> </v>
      </c>
      <c r="P96" s="282" t="str">
        <f>IF(Table11524[[#This Row],[Q]]&gt;0.1,I96/2.54, " ")</f>
        <v xml:space="preserve"> </v>
      </c>
      <c r="Q96" s="289" t="str">
        <f t="shared" si="4"/>
        <v xml:space="preserve"> </v>
      </c>
      <c r="R96" s="562" t="str">
        <f t="shared" si="5"/>
        <v xml:space="preserve"> </v>
      </c>
    </row>
    <row r="97" spans="1:18" ht="13.5" x14ac:dyDescent="0.25">
      <c r="A97" s="271"/>
      <c r="B97" s="272"/>
      <c r="C97" s="273"/>
      <c r="D97" s="269"/>
      <c r="E97" s="274"/>
      <c r="F97" s="275"/>
      <c r="G97" s="276"/>
      <c r="H97" s="277"/>
      <c r="I97" s="277"/>
      <c r="J97" s="278"/>
      <c r="K97" s="279"/>
      <c r="L97" s="280" t="str">
        <f>IF(Table11524[[#This Row],[Q]]&gt;0.1, Table11524[[#This Row],[Q]]*Table11524[[#This Row],[$MXN OUT]], " ")</f>
        <v xml:space="preserve"> </v>
      </c>
      <c r="M97" s="13" t="str">
        <f>IF(Table11524[[#This Row],[Q]]&gt;0.1,F97*2.20462, " ")</f>
        <v xml:space="preserve"> </v>
      </c>
      <c r="N97" s="281" t="str">
        <f>IF(Table11524[[#This Row],[Q]]&gt;0.1,G97/2.54, " ")</f>
        <v xml:space="preserve"> </v>
      </c>
      <c r="O97" s="281" t="str">
        <f>IF(Table11524[[#This Row],[Q]]&gt;0.1, H97/2.54, " ")</f>
        <v xml:space="preserve"> </v>
      </c>
      <c r="P97" s="282" t="str">
        <f>IF(Table11524[[#This Row],[Q]]&gt;0.1,I97/2.54, " ")</f>
        <v xml:space="preserve"> </v>
      </c>
      <c r="Q97" s="289" t="str">
        <f t="shared" si="4"/>
        <v xml:space="preserve"> </v>
      </c>
      <c r="R97" s="562" t="str">
        <f t="shared" si="5"/>
        <v xml:space="preserve"> </v>
      </c>
    </row>
    <row r="98" spans="1:18" ht="13.5" x14ac:dyDescent="0.25">
      <c r="A98" s="271"/>
      <c r="B98" s="272"/>
      <c r="C98" s="273"/>
      <c r="D98" s="270"/>
      <c r="E98" s="274"/>
      <c r="F98" s="275"/>
      <c r="G98" s="276"/>
      <c r="H98" s="277"/>
      <c r="I98" s="277"/>
      <c r="J98" s="278"/>
      <c r="K98" s="279"/>
      <c r="L98" s="280" t="str">
        <f>IF(Table11524[[#This Row],[Q]]&gt;0.1, Table11524[[#This Row],[Q]]*Table11524[[#This Row],[$MXN OUT]], " ")</f>
        <v xml:space="preserve"> </v>
      </c>
      <c r="M98" s="13" t="str">
        <f>IF(Table11524[[#This Row],[Q]]&gt;0.1,F98*2.20462, " ")</f>
        <v xml:space="preserve"> </v>
      </c>
      <c r="N98" s="281" t="str">
        <f>IF(Table11524[[#This Row],[Q]]&gt;0.1,G98/2.54, " ")</f>
        <v xml:space="preserve"> </v>
      </c>
      <c r="O98" s="281" t="str">
        <f>IF(Table11524[[#This Row],[Q]]&gt;0.1, H98/2.54, " ")</f>
        <v xml:space="preserve"> </v>
      </c>
      <c r="P98" s="282" t="str">
        <f>IF(Table11524[[#This Row],[Q]]&gt;0.1,I98/2.54, " ")</f>
        <v xml:space="preserve"> </v>
      </c>
      <c r="Q98" s="289" t="str">
        <f t="shared" si="4"/>
        <v xml:space="preserve"> </v>
      </c>
      <c r="R98" s="562" t="str">
        <f t="shared" si="5"/>
        <v xml:space="preserve"> </v>
      </c>
    </row>
    <row r="99" spans="1:18" ht="13.5" x14ac:dyDescent="0.25">
      <c r="A99" s="271"/>
      <c r="B99" s="272"/>
      <c r="C99" s="273"/>
      <c r="D99" s="269"/>
      <c r="E99" s="274"/>
      <c r="F99" s="275"/>
      <c r="G99" s="276"/>
      <c r="H99" s="277"/>
      <c r="I99" s="277"/>
      <c r="J99" s="278"/>
      <c r="K99" s="279"/>
      <c r="L99" s="280" t="str">
        <f>IF(Table11524[[#This Row],[Q]]&gt;0.1, Table11524[[#This Row],[Q]]*Table11524[[#This Row],[$MXN OUT]], " ")</f>
        <v xml:space="preserve"> </v>
      </c>
      <c r="M99" s="13" t="str">
        <f>IF(Table11524[[#This Row],[Q]]&gt;0.1,F99*2.20462, " ")</f>
        <v xml:space="preserve"> </v>
      </c>
      <c r="N99" s="281" t="str">
        <f>IF(Table11524[[#This Row],[Q]]&gt;0.1,G99/2.54, " ")</f>
        <v xml:space="preserve"> </v>
      </c>
      <c r="O99" s="281" t="str">
        <f>IF(Table11524[[#This Row],[Q]]&gt;0.1, H99/2.54, " ")</f>
        <v xml:space="preserve"> </v>
      </c>
      <c r="P99" s="282" t="str">
        <f>IF(Table11524[[#This Row],[Q]]&gt;0.1,I99/2.54, " ")</f>
        <v xml:space="preserve"> </v>
      </c>
      <c r="Q99" s="289" t="str">
        <f t="shared" si="4"/>
        <v xml:space="preserve"> </v>
      </c>
      <c r="R99" s="562" t="str">
        <f t="shared" si="5"/>
        <v xml:space="preserve"> </v>
      </c>
    </row>
    <row r="100" spans="1:18" ht="13.5" x14ac:dyDescent="0.25">
      <c r="A100" s="271"/>
      <c r="B100" s="272"/>
      <c r="C100" s="273"/>
      <c r="D100" s="270"/>
      <c r="E100" s="274"/>
      <c r="F100" s="275"/>
      <c r="G100" s="276"/>
      <c r="H100" s="277"/>
      <c r="I100" s="277"/>
      <c r="J100" s="278"/>
      <c r="K100" s="279"/>
      <c r="L100" s="280" t="str">
        <f>IF(Table11524[[#This Row],[Q]]&gt;0.1, Table11524[[#This Row],[Q]]*Table11524[[#This Row],[$MXN OUT]], " ")</f>
        <v xml:space="preserve"> </v>
      </c>
      <c r="M100" s="13" t="str">
        <f>IF(Table11524[[#This Row],[Q]]&gt;0.1,F100*2.20462, " ")</f>
        <v xml:space="preserve"> </v>
      </c>
      <c r="N100" s="281" t="str">
        <f>IF(Table11524[[#This Row],[Q]]&gt;0.1,G100/2.54, " ")</f>
        <v xml:space="preserve"> </v>
      </c>
      <c r="O100" s="281" t="str">
        <f>IF(Table11524[[#This Row],[Q]]&gt;0.1, H100/2.54, " ")</f>
        <v xml:space="preserve"> </v>
      </c>
      <c r="P100" s="282" t="str">
        <f>IF(Table11524[[#This Row],[Q]]&gt;0.1,I100/2.54, " ")</f>
        <v xml:space="preserve"> </v>
      </c>
      <c r="Q100" s="289" t="str">
        <f t="shared" si="4"/>
        <v xml:space="preserve"> </v>
      </c>
      <c r="R100" s="562" t="str">
        <f t="shared" si="5"/>
        <v xml:space="preserve"> </v>
      </c>
    </row>
    <row r="101" spans="1:18" ht="13.5" x14ac:dyDescent="0.25">
      <c r="A101" s="271"/>
      <c r="B101" s="272"/>
      <c r="C101" s="273"/>
      <c r="D101" s="269"/>
      <c r="E101" s="274"/>
      <c r="F101" s="275"/>
      <c r="G101" s="276"/>
      <c r="H101" s="277"/>
      <c r="I101" s="277"/>
      <c r="J101" s="278"/>
      <c r="K101" s="279"/>
      <c r="L101" s="280" t="str">
        <f>IF(Table11524[[#This Row],[Q]]&gt;0.1, Table11524[[#This Row],[Q]]*Table11524[[#This Row],[$MXN OUT]], " ")</f>
        <v xml:space="preserve"> </v>
      </c>
      <c r="M101" s="13" t="str">
        <f>IF(Table11524[[#This Row],[Q]]&gt;0.1,F101*2.20462, " ")</f>
        <v xml:space="preserve"> </v>
      </c>
      <c r="N101" s="281" t="str">
        <f>IF(Table11524[[#This Row],[Q]]&gt;0.1,G101/2.54, " ")</f>
        <v xml:space="preserve"> </v>
      </c>
      <c r="O101" s="281" t="str">
        <f>IF(Table11524[[#This Row],[Q]]&gt;0.1, H101/2.54, " ")</f>
        <v xml:space="preserve"> </v>
      </c>
      <c r="P101" s="282" t="str">
        <f>IF(Table11524[[#This Row],[Q]]&gt;0.1,I101/2.54, " ")</f>
        <v xml:space="preserve"> </v>
      </c>
      <c r="Q101" s="289" t="str">
        <f t="shared" si="4"/>
        <v xml:space="preserve"> </v>
      </c>
      <c r="R101" s="562" t="str">
        <f t="shared" si="5"/>
        <v xml:space="preserve"> </v>
      </c>
    </row>
    <row r="102" spans="1:18" ht="13.5" x14ac:dyDescent="0.25">
      <c r="A102" s="271"/>
      <c r="B102" s="272"/>
      <c r="C102" s="273"/>
      <c r="D102" s="270"/>
      <c r="E102" s="274"/>
      <c r="F102" s="275"/>
      <c r="G102" s="276"/>
      <c r="H102" s="277"/>
      <c r="I102" s="277"/>
      <c r="J102" s="278"/>
      <c r="K102" s="279"/>
      <c r="L102" s="280" t="str">
        <f>IF(Table11524[[#This Row],[Q]]&gt;0.1, Table11524[[#This Row],[Q]]*Table11524[[#This Row],[$MXN OUT]], " ")</f>
        <v xml:space="preserve"> </v>
      </c>
      <c r="M102" s="13" t="str">
        <f>IF(Table11524[[#This Row],[Q]]&gt;0.1,F102*2.20462, " ")</f>
        <v xml:space="preserve"> </v>
      </c>
      <c r="N102" s="281" t="str">
        <f>IF(Table11524[[#This Row],[Q]]&gt;0.1,G102/2.54, " ")</f>
        <v xml:space="preserve"> </v>
      </c>
      <c r="O102" s="281" t="str">
        <f>IF(Table11524[[#This Row],[Q]]&gt;0.1, H102/2.54, " ")</f>
        <v xml:space="preserve"> </v>
      </c>
      <c r="P102" s="282" t="str">
        <f>IF(Table11524[[#This Row],[Q]]&gt;0.1,I102/2.54, " ")</f>
        <v xml:space="preserve"> </v>
      </c>
      <c r="Q102" s="289" t="str">
        <f t="shared" si="4"/>
        <v xml:space="preserve"> </v>
      </c>
      <c r="R102" s="562" t="str">
        <f t="shared" si="5"/>
        <v xml:space="preserve"> </v>
      </c>
    </row>
    <row r="103" spans="1:18" ht="13.5" x14ac:dyDescent="0.25">
      <c r="A103" s="271"/>
      <c r="B103" s="272"/>
      <c r="C103" s="273"/>
      <c r="D103" s="269"/>
      <c r="E103" s="274"/>
      <c r="F103" s="275"/>
      <c r="G103" s="276"/>
      <c r="H103" s="277"/>
      <c r="I103" s="277"/>
      <c r="J103" s="278"/>
      <c r="K103" s="279"/>
      <c r="L103" s="280" t="str">
        <f>IF(Table11524[[#This Row],[Q]]&gt;0.1, Table11524[[#This Row],[Q]]*Table11524[[#This Row],[$MXN OUT]], " ")</f>
        <v xml:space="preserve"> </v>
      </c>
      <c r="M103" s="13" t="str">
        <f>IF(Table11524[[#This Row],[Q]]&gt;0.1,F103*2.20462, " ")</f>
        <v xml:space="preserve"> </v>
      </c>
      <c r="N103" s="281" t="str">
        <f>IF(Table11524[[#This Row],[Q]]&gt;0.1,G103/2.54, " ")</f>
        <v xml:space="preserve"> </v>
      </c>
      <c r="O103" s="281" t="str">
        <f>IF(Table11524[[#This Row],[Q]]&gt;0.1, H103/2.54, " ")</f>
        <v xml:space="preserve"> </v>
      </c>
      <c r="P103" s="282" t="str">
        <f>IF(Table11524[[#This Row],[Q]]&gt;0.1,I103/2.54, " ")</f>
        <v xml:space="preserve"> </v>
      </c>
      <c r="Q103" s="289" t="str">
        <f t="shared" si="4"/>
        <v xml:space="preserve"> </v>
      </c>
      <c r="R103" s="562" t="str">
        <f t="shared" si="5"/>
        <v xml:space="preserve"> </v>
      </c>
    </row>
    <row r="104" spans="1:18" ht="13.5" x14ac:dyDescent="0.25">
      <c r="A104" s="271"/>
      <c r="B104" s="272"/>
      <c r="C104" s="273"/>
      <c r="D104" s="270"/>
      <c r="E104" s="274"/>
      <c r="F104" s="275"/>
      <c r="G104" s="276"/>
      <c r="H104" s="277"/>
      <c r="I104" s="277"/>
      <c r="J104" s="278"/>
      <c r="K104" s="279"/>
      <c r="L104" s="280" t="str">
        <f>IF(Table11524[[#This Row],[Q]]&gt;0.1, Table11524[[#This Row],[Q]]*Table11524[[#This Row],[$MXN OUT]], " ")</f>
        <v xml:space="preserve"> </v>
      </c>
      <c r="M104" s="13" t="str">
        <f>IF(Table11524[[#This Row],[Q]]&gt;0.1,F104*2.20462, " ")</f>
        <v xml:space="preserve"> </v>
      </c>
      <c r="N104" s="281" t="str">
        <f>IF(Table11524[[#This Row],[Q]]&gt;0.1,G104/2.54, " ")</f>
        <v xml:space="preserve"> </v>
      </c>
      <c r="O104" s="281" t="str">
        <f>IF(Table11524[[#This Row],[Q]]&gt;0.1, H104/2.54, " ")</f>
        <v xml:space="preserve"> </v>
      </c>
      <c r="P104" s="282" t="str">
        <f>IF(Table11524[[#This Row],[Q]]&gt;0.1,I104/2.54, " ")</f>
        <v xml:space="preserve"> </v>
      </c>
      <c r="Q104" s="289" t="str">
        <f t="shared" si="4"/>
        <v xml:space="preserve"> </v>
      </c>
      <c r="R104" s="562" t="str">
        <f t="shared" si="5"/>
        <v xml:space="preserve"> </v>
      </c>
    </row>
    <row r="105" spans="1:18" ht="13.5" x14ac:dyDescent="0.25">
      <c r="A105" s="271"/>
      <c r="B105" s="272"/>
      <c r="C105" s="273"/>
      <c r="D105" s="269"/>
      <c r="E105" s="274"/>
      <c r="F105" s="275"/>
      <c r="G105" s="276"/>
      <c r="H105" s="277"/>
      <c r="I105" s="277"/>
      <c r="J105" s="278"/>
      <c r="K105" s="279"/>
      <c r="L105" s="280" t="str">
        <f>IF(Table11524[[#This Row],[Q]]&gt;0.1, Table11524[[#This Row],[Q]]*Table11524[[#This Row],[$MXN OUT]], " ")</f>
        <v xml:space="preserve"> </v>
      </c>
      <c r="M105" s="13" t="str">
        <f>IF(Table11524[[#This Row],[Q]]&gt;0.1,F105*2.20462, " ")</f>
        <v xml:space="preserve"> </v>
      </c>
      <c r="N105" s="281" t="str">
        <f>IF(Table11524[[#This Row],[Q]]&gt;0.1,G105/2.54, " ")</f>
        <v xml:space="preserve"> </v>
      </c>
      <c r="O105" s="281" t="str">
        <f>IF(Table11524[[#This Row],[Q]]&gt;0.1, H105/2.54, " ")</f>
        <v xml:space="preserve"> </v>
      </c>
      <c r="P105" s="282" t="str">
        <f>IF(Table11524[[#This Row],[Q]]&gt;0.1,I105/2.54, " ")</f>
        <v xml:space="preserve"> </v>
      </c>
      <c r="Q105" s="289" t="str">
        <f t="shared" si="4"/>
        <v xml:space="preserve"> </v>
      </c>
      <c r="R105" s="562" t="str">
        <f t="shared" si="5"/>
        <v xml:space="preserve"> </v>
      </c>
    </row>
    <row r="106" spans="1:18" ht="13.5" x14ac:dyDescent="0.25">
      <c r="A106" s="271"/>
      <c r="B106" s="272"/>
      <c r="C106" s="273"/>
      <c r="D106" s="270"/>
      <c r="E106" s="274"/>
      <c r="F106" s="275"/>
      <c r="G106" s="276"/>
      <c r="H106" s="277"/>
      <c r="I106" s="277"/>
      <c r="J106" s="278"/>
      <c r="K106" s="279"/>
      <c r="L106" s="280" t="str">
        <f>IF(Table11524[[#This Row],[Q]]&gt;0.1, Table11524[[#This Row],[Q]]*Table11524[[#This Row],[$MXN OUT]], " ")</f>
        <v xml:space="preserve"> </v>
      </c>
      <c r="M106" s="13" t="str">
        <f>IF(Table11524[[#This Row],[Q]]&gt;0.1,F106*2.20462, " ")</f>
        <v xml:space="preserve"> </v>
      </c>
      <c r="N106" s="281" t="str">
        <f>IF(Table11524[[#This Row],[Q]]&gt;0.1,G106/2.54, " ")</f>
        <v xml:space="preserve"> </v>
      </c>
      <c r="O106" s="281" t="str">
        <f>IF(Table11524[[#This Row],[Q]]&gt;0.1, H106/2.54, " ")</f>
        <v xml:space="preserve"> </v>
      </c>
      <c r="P106" s="282" t="str">
        <f>IF(Table11524[[#This Row],[Q]]&gt;0.1,I106/2.54, " ")</f>
        <v xml:space="preserve"> </v>
      </c>
      <c r="Q106" s="289" t="str">
        <f t="shared" si="4"/>
        <v xml:space="preserve"> </v>
      </c>
      <c r="R106" s="562" t="str">
        <f t="shared" si="5"/>
        <v xml:space="preserve"> </v>
      </c>
    </row>
    <row r="107" spans="1:18" ht="13.5" x14ac:dyDescent="0.25">
      <c r="A107" s="271"/>
      <c r="B107" s="272"/>
      <c r="C107" s="273"/>
      <c r="D107" s="269"/>
      <c r="E107" s="274"/>
      <c r="F107" s="275"/>
      <c r="G107" s="276"/>
      <c r="H107" s="277"/>
      <c r="I107" s="277"/>
      <c r="J107" s="278"/>
      <c r="K107" s="279"/>
      <c r="L107" s="280" t="str">
        <f>IF(Table11524[[#This Row],[Q]]&gt;0.1, Table11524[[#This Row],[Q]]*Table11524[[#This Row],[$MXN OUT]], " ")</f>
        <v xml:space="preserve"> </v>
      </c>
      <c r="M107" s="13" t="str">
        <f>IF(Table11524[[#This Row],[Q]]&gt;0.1,F107*2.20462, " ")</f>
        <v xml:space="preserve"> </v>
      </c>
      <c r="N107" s="281" t="str">
        <f>IF(Table11524[[#This Row],[Q]]&gt;0.1,G107/2.54, " ")</f>
        <v xml:space="preserve"> </v>
      </c>
      <c r="O107" s="281" t="str">
        <f>IF(Table11524[[#This Row],[Q]]&gt;0.1, H107/2.54, " ")</f>
        <v xml:space="preserve"> </v>
      </c>
      <c r="P107" s="282" t="str">
        <f>IF(Table11524[[#This Row],[Q]]&gt;0.1,I107/2.54, " ")</f>
        <v xml:space="preserve"> </v>
      </c>
      <c r="Q107" s="289" t="str">
        <f t="shared" si="4"/>
        <v xml:space="preserve"> </v>
      </c>
      <c r="R107" s="562" t="str">
        <f t="shared" si="5"/>
        <v xml:space="preserve"> </v>
      </c>
    </row>
    <row r="108" spans="1:18" ht="13.5" x14ac:dyDescent="0.25">
      <c r="A108" s="271"/>
      <c r="B108" s="272"/>
      <c r="C108" s="273"/>
      <c r="D108" s="270"/>
      <c r="E108" s="274"/>
      <c r="F108" s="275"/>
      <c r="G108" s="276"/>
      <c r="H108" s="277"/>
      <c r="I108" s="277"/>
      <c r="J108" s="278"/>
      <c r="K108" s="279"/>
      <c r="L108" s="280" t="str">
        <f>IF(Table11524[[#This Row],[Q]]&gt;0.1, Table11524[[#This Row],[Q]]*Table11524[[#This Row],[$MXN OUT]], " ")</f>
        <v xml:space="preserve"> </v>
      </c>
      <c r="M108" s="13" t="str">
        <f>IF(Table11524[[#This Row],[Q]]&gt;0.1,F108*2.20462, " ")</f>
        <v xml:space="preserve"> </v>
      </c>
      <c r="N108" s="281" t="str">
        <f>IF(Table11524[[#This Row],[Q]]&gt;0.1,G108/2.54, " ")</f>
        <v xml:space="preserve"> </v>
      </c>
      <c r="O108" s="281" t="str">
        <f>IF(Table11524[[#This Row],[Q]]&gt;0.1, H108/2.54, " ")</f>
        <v xml:space="preserve"> </v>
      </c>
      <c r="P108" s="282" t="str">
        <f>IF(Table11524[[#This Row],[Q]]&gt;0.1,I108/2.54, " ")</f>
        <v xml:space="preserve"> </v>
      </c>
      <c r="Q108" s="289" t="str">
        <f t="shared" si="4"/>
        <v xml:space="preserve"> </v>
      </c>
      <c r="R108" s="562" t="str">
        <f t="shared" si="5"/>
        <v xml:space="preserve"> </v>
      </c>
    </row>
    <row r="109" spans="1:18" ht="13.5" x14ac:dyDescent="0.25">
      <c r="A109" s="271"/>
      <c r="B109" s="272"/>
      <c r="C109" s="273"/>
      <c r="D109" s="269"/>
      <c r="E109" s="274"/>
      <c r="F109" s="275"/>
      <c r="G109" s="276"/>
      <c r="H109" s="277"/>
      <c r="I109" s="277"/>
      <c r="J109" s="278"/>
      <c r="K109" s="279"/>
      <c r="L109" s="280" t="str">
        <f>IF(Table11524[[#This Row],[Q]]&gt;0.1, Table11524[[#This Row],[Q]]*Table11524[[#This Row],[$MXN OUT]], " ")</f>
        <v xml:space="preserve"> </v>
      </c>
      <c r="M109" s="13" t="str">
        <f>IF(Table11524[[#This Row],[Q]]&gt;0.1,F109*2.20462, " ")</f>
        <v xml:space="preserve"> </v>
      </c>
      <c r="N109" s="281" t="str">
        <f>IF(Table11524[[#This Row],[Q]]&gt;0.1,G109/2.54, " ")</f>
        <v xml:space="preserve"> </v>
      </c>
      <c r="O109" s="281" t="str">
        <f>IF(Table11524[[#This Row],[Q]]&gt;0.1, H109/2.54, " ")</f>
        <v xml:space="preserve"> </v>
      </c>
      <c r="P109" s="282" t="str">
        <f>IF(Table11524[[#This Row],[Q]]&gt;0.1,I109/2.54, " ")</f>
        <v xml:space="preserve"> </v>
      </c>
      <c r="Q109" s="289" t="str">
        <f t="shared" si="4"/>
        <v xml:space="preserve"> </v>
      </c>
      <c r="R109" s="562" t="str">
        <f t="shared" si="5"/>
        <v xml:space="preserve"> </v>
      </c>
    </row>
    <row r="110" spans="1:18" ht="13.5" x14ac:dyDescent="0.25">
      <c r="A110" s="271"/>
      <c r="B110" s="272"/>
      <c r="C110" s="273"/>
      <c r="D110" s="270"/>
      <c r="E110" s="274"/>
      <c r="F110" s="275"/>
      <c r="G110" s="276"/>
      <c r="H110" s="277"/>
      <c r="I110" s="277"/>
      <c r="J110" s="278"/>
      <c r="K110" s="279"/>
      <c r="L110" s="280" t="str">
        <f>IF(Table11524[[#This Row],[Q]]&gt;0.1, Table11524[[#This Row],[Q]]*Table11524[[#This Row],[$MXN OUT]], " ")</f>
        <v xml:space="preserve"> </v>
      </c>
      <c r="M110" s="13" t="str">
        <f>IF(Table11524[[#This Row],[Q]]&gt;0.1,F110*2.20462, " ")</f>
        <v xml:space="preserve"> </v>
      </c>
      <c r="N110" s="281" t="str">
        <f>IF(Table11524[[#This Row],[Q]]&gt;0.1,G110/2.54, " ")</f>
        <v xml:space="preserve"> </v>
      </c>
      <c r="O110" s="281" t="str">
        <f>IF(Table11524[[#This Row],[Q]]&gt;0.1, H110/2.54, " ")</f>
        <v xml:space="preserve"> </v>
      </c>
      <c r="P110" s="282" t="str">
        <f>IF(Table11524[[#This Row],[Q]]&gt;0.1,I110/2.54, " ")</f>
        <v xml:space="preserve"> </v>
      </c>
      <c r="Q110" s="289" t="str">
        <f t="shared" si="4"/>
        <v xml:space="preserve"> </v>
      </c>
      <c r="R110" s="562" t="str">
        <f t="shared" si="5"/>
        <v xml:space="preserve"> </v>
      </c>
    </row>
    <row r="111" spans="1:18" ht="13.5" x14ac:dyDescent="0.25">
      <c r="A111" s="271"/>
      <c r="B111" s="272"/>
      <c r="C111" s="273"/>
      <c r="D111" s="269"/>
      <c r="E111" s="274"/>
      <c r="F111" s="275"/>
      <c r="G111" s="276"/>
      <c r="H111" s="277"/>
      <c r="I111" s="277"/>
      <c r="J111" s="278"/>
      <c r="K111" s="279"/>
      <c r="L111" s="280" t="str">
        <f>IF(Table11524[[#This Row],[Q]]&gt;0.1, Table11524[[#This Row],[Q]]*Table11524[[#This Row],[$MXN OUT]], " ")</f>
        <v xml:space="preserve"> </v>
      </c>
      <c r="M111" s="13" t="str">
        <f>IF(Table11524[[#This Row],[Q]]&gt;0.1,F111*2.20462, " ")</f>
        <v xml:space="preserve"> </v>
      </c>
      <c r="N111" s="281" t="str">
        <f>IF(Table11524[[#This Row],[Q]]&gt;0.1,G111/2.54, " ")</f>
        <v xml:space="preserve"> </v>
      </c>
      <c r="O111" s="281" t="str">
        <f>IF(Table11524[[#This Row],[Q]]&gt;0.1, H111/2.54, " ")</f>
        <v xml:space="preserve"> </v>
      </c>
      <c r="P111" s="282" t="str">
        <f>IF(Table11524[[#This Row],[Q]]&gt;0.1,I111/2.54, " ")</f>
        <v xml:space="preserve"> </v>
      </c>
      <c r="Q111" s="289" t="str">
        <f t="shared" ref="Q111:Q140" si="6">IF(E111&gt;0.1,K111/18," ")</f>
        <v xml:space="preserve"> </v>
      </c>
      <c r="R111" s="562" t="str">
        <f t="shared" ref="R111:R140" si="7">IF(E111&gt;0.1,Q111*E111," ")</f>
        <v xml:space="preserve"> </v>
      </c>
    </row>
    <row r="112" spans="1:18" ht="13.5" x14ac:dyDescent="0.25">
      <c r="A112" s="271"/>
      <c r="B112" s="272"/>
      <c r="C112" s="273"/>
      <c r="D112" s="270"/>
      <c r="E112" s="274"/>
      <c r="F112" s="275"/>
      <c r="G112" s="276"/>
      <c r="H112" s="277"/>
      <c r="I112" s="277"/>
      <c r="J112" s="278"/>
      <c r="K112" s="279"/>
      <c r="L112" s="280" t="str">
        <f>IF(Table11524[[#This Row],[Q]]&gt;0.1, Table11524[[#This Row],[Q]]*Table11524[[#This Row],[$MXN OUT]], " ")</f>
        <v xml:space="preserve"> </v>
      </c>
      <c r="M112" s="13" t="str">
        <f>IF(Table11524[[#This Row],[Q]]&gt;0.1,F112*2.20462, " ")</f>
        <v xml:space="preserve"> </v>
      </c>
      <c r="N112" s="281" t="str">
        <f>IF(Table11524[[#This Row],[Q]]&gt;0.1,G112/2.54, " ")</f>
        <v xml:space="preserve"> </v>
      </c>
      <c r="O112" s="281" t="str">
        <f>IF(Table11524[[#This Row],[Q]]&gt;0.1, H112/2.54, " ")</f>
        <v xml:space="preserve"> </v>
      </c>
      <c r="P112" s="282" t="str">
        <f>IF(Table11524[[#This Row],[Q]]&gt;0.1,I112/2.54, " ")</f>
        <v xml:space="preserve"> </v>
      </c>
      <c r="Q112" s="289" t="str">
        <f t="shared" si="6"/>
        <v xml:space="preserve"> </v>
      </c>
      <c r="R112" s="562" t="str">
        <f t="shared" si="7"/>
        <v xml:space="preserve"> </v>
      </c>
    </row>
    <row r="113" spans="1:18" ht="13.5" x14ac:dyDescent="0.25">
      <c r="A113" s="271"/>
      <c r="B113" s="272"/>
      <c r="C113" s="273"/>
      <c r="D113" s="269"/>
      <c r="E113" s="274"/>
      <c r="F113" s="275"/>
      <c r="G113" s="276"/>
      <c r="H113" s="277"/>
      <c r="I113" s="277"/>
      <c r="J113" s="278"/>
      <c r="K113" s="279"/>
      <c r="L113" s="280" t="str">
        <f>IF(Table11524[[#This Row],[Q]]&gt;0.1, Table11524[[#This Row],[Q]]*Table11524[[#This Row],[$MXN OUT]], " ")</f>
        <v xml:space="preserve"> </v>
      </c>
      <c r="M113" s="13" t="str">
        <f>IF(Table11524[[#This Row],[Q]]&gt;0.1,F113*2.20462, " ")</f>
        <v xml:space="preserve"> </v>
      </c>
      <c r="N113" s="281" t="str">
        <f>IF(Table11524[[#This Row],[Q]]&gt;0.1,G113/2.54, " ")</f>
        <v xml:space="preserve"> </v>
      </c>
      <c r="O113" s="281" t="str">
        <f>IF(Table11524[[#This Row],[Q]]&gt;0.1, H113/2.54, " ")</f>
        <v xml:space="preserve"> </v>
      </c>
      <c r="P113" s="282" t="str">
        <f>IF(Table11524[[#This Row],[Q]]&gt;0.1,I113/2.54, " ")</f>
        <v xml:space="preserve"> </v>
      </c>
      <c r="Q113" s="289" t="str">
        <f t="shared" si="6"/>
        <v xml:space="preserve"> </v>
      </c>
      <c r="R113" s="562" t="str">
        <f t="shared" si="7"/>
        <v xml:space="preserve"> </v>
      </c>
    </row>
    <row r="114" spans="1:18" ht="13.5" x14ac:dyDescent="0.25">
      <c r="A114" s="271"/>
      <c r="B114" s="272"/>
      <c r="C114" s="273"/>
      <c r="D114" s="270"/>
      <c r="E114" s="274"/>
      <c r="F114" s="275"/>
      <c r="G114" s="276"/>
      <c r="H114" s="277"/>
      <c r="I114" s="277"/>
      <c r="J114" s="278"/>
      <c r="K114" s="279"/>
      <c r="L114" s="280" t="str">
        <f>IF(Table11524[[#This Row],[Q]]&gt;0.1, Table11524[[#This Row],[Q]]*Table11524[[#This Row],[$MXN OUT]], " ")</f>
        <v xml:space="preserve"> </v>
      </c>
      <c r="M114" s="13" t="str">
        <f>IF(Table11524[[#This Row],[Q]]&gt;0.1,F114*2.20462, " ")</f>
        <v xml:space="preserve"> </v>
      </c>
      <c r="N114" s="281" t="str">
        <f>IF(Table11524[[#This Row],[Q]]&gt;0.1,G114/2.54, " ")</f>
        <v xml:space="preserve"> </v>
      </c>
      <c r="O114" s="281" t="str">
        <f>IF(Table11524[[#This Row],[Q]]&gt;0.1, H114/2.54, " ")</f>
        <v xml:space="preserve"> </v>
      </c>
      <c r="P114" s="282" t="str">
        <f>IF(Table11524[[#This Row],[Q]]&gt;0.1,I114/2.54, " ")</f>
        <v xml:space="preserve"> </v>
      </c>
      <c r="Q114" s="289" t="str">
        <f t="shared" si="6"/>
        <v xml:space="preserve"> </v>
      </c>
      <c r="R114" s="562" t="str">
        <f t="shared" si="7"/>
        <v xml:space="preserve"> </v>
      </c>
    </row>
    <row r="115" spans="1:18" ht="13.5" x14ac:dyDescent="0.25">
      <c r="A115" s="271"/>
      <c r="B115" s="272"/>
      <c r="C115" s="273"/>
      <c r="D115" s="269"/>
      <c r="E115" s="274"/>
      <c r="F115" s="275"/>
      <c r="G115" s="276"/>
      <c r="H115" s="277"/>
      <c r="I115" s="277"/>
      <c r="J115" s="278"/>
      <c r="K115" s="279"/>
      <c r="L115" s="280" t="str">
        <f>IF(Table11524[[#This Row],[Q]]&gt;0.1, Table11524[[#This Row],[Q]]*Table11524[[#This Row],[$MXN OUT]], " ")</f>
        <v xml:space="preserve"> </v>
      </c>
      <c r="M115" s="13" t="str">
        <f>IF(Table11524[[#This Row],[Q]]&gt;0.1,F115*2.20462, " ")</f>
        <v xml:space="preserve"> </v>
      </c>
      <c r="N115" s="281" t="str">
        <f>IF(Table11524[[#This Row],[Q]]&gt;0.1,G115/2.54, " ")</f>
        <v xml:space="preserve"> </v>
      </c>
      <c r="O115" s="281" t="str">
        <f>IF(Table11524[[#This Row],[Q]]&gt;0.1, H115/2.54, " ")</f>
        <v xml:space="preserve"> </v>
      </c>
      <c r="P115" s="282" t="str">
        <f>IF(Table11524[[#This Row],[Q]]&gt;0.1,I115/2.54, " ")</f>
        <v xml:space="preserve"> </v>
      </c>
      <c r="Q115" s="289" t="str">
        <f t="shared" si="6"/>
        <v xml:space="preserve"> </v>
      </c>
      <c r="R115" s="562" t="str">
        <f t="shared" si="7"/>
        <v xml:space="preserve"> </v>
      </c>
    </row>
    <row r="116" spans="1:18" ht="13.5" x14ac:dyDescent="0.25">
      <c r="A116" s="271"/>
      <c r="B116" s="272"/>
      <c r="C116" s="273"/>
      <c r="D116" s="270"/>
      <c r="E116" s="274"/>
      <c r="F116" s="275"/>
      <c r="G116" s="276"/>
      <c r="H116" s="277"/>
      <c r="I116" s="277"/>
      <c r="J116" s="278"/>
      <c r="K116" s="279"/>
      <c r="L116" s="280" t="str">
        <f>IF(Table11524[[#This Row],[Q]]&gt;0.1, Table11524[[#This Row],[Q]]*Table11524[[#This Row],[$MXN OUT]], " ")</f>
        <v xml:space="preserve"> </v>
      </c>
      <c r="M116" s="13" t="str">
        <f>IF(Table11524[[#This Row],[Q]]&gt;0.1,F116*2.20462, " ")</f>
        <v xml:space="preserve"> </v>
      </c>
      <c r="N116" s="281" t="str">
        <f>IF(Table11524[[#This Row],[Q]]&gt;0.1,G116/2.54, " ")</f>
        <v xml:space="preserve"> </v>
      </c>
      <c r="O116" s="281" t="str">
        <f>IF(Table11524[[#This Row],[Q]]&gt;0.1, H116/2.54, " ")</f>
        <v xml:space="preserve"> </v>
      </c>
      <c r="P116" s="282" t="str">
        <f>IF(Table11524[[#This Row],[Q]]&gt;0.1,I116/2.54, " ")</f>
        <v xml:space="preserve"> </v>
      </c>
      <c r="Q116" s="289" t="str">
        <f t="shared" si="6"/>
        <v xml:space="preserve"> </v>
      </c>
      <c r="R116" s="562" t="str">
        <f t="shared" si="7"/>
        <v xml:space="preserve"> </v>
      </c>
    </row>
    <row r="117" spans="1:18" ht="13.5" x14ac:dyDescent="0.25">
      <c r="A117" s="271"/>
      <c r="B117" s="272"/>
      <c r="C117" s="273"/>
      <c r="D117" s="269"/>
      <c r="E117" s="274"/>
      <c r="F117" s="275"/>
      <c r="G117" s="276"/>
      <c r="H117" s="277"/>
      <c r="I117" s="277"/>
      <c r="J117" s="278"/>
      <c r="K117" s="279"/>
      <c r="L117" s="280" t="str">
        <f>IF(Table11524[[#This Row],[Q]]&gt;0.1, Table11524[[#This Row],[Q]]*Table11524[[#This Row],[$MXN OUT]], " ")</f>
        <v xml:space="preserve"> </v>
      </c>
      <c r="M117" s="13" t="str">
        <f>IF(Table11524[[#This Row],[Q]]&gt;0.1,F117*2.20462, " ")</f>
        <v xml:space="preserve"> </v>
      </c>
      <c r="N117" s="281" t="str">
        <f>IF(Table11524[[#This Row],[Q]]&gt;0.1,G117/2.54, " ")</f>
        <v xml:space="preserve"> </v>
      </c>
      <c r="O117" s="281" t="str">
        <f>IF(Table11524[[#This Row],[Q]]&gt;0.1, H117/2.54, " ")</f>
        <v xml:space="preserve"> </v>
      </c>
      <c r="P117" s="282" t="str">
        <f>IF(Table11524[[#This Row],[Q]]&gt;0.1,I117/2.54, " ")</f>
        <v xml:space="preserve"> </v>
      </c>
      <c r="Q117" s="289" t="str">
        <f t="shared" si="6"/>
        <v xml:space="preserve"> </v>
      </c>
      <c r="R117" s="562" t="str">
        <f t="shared" si="7"/>
        <v xml:space="preserve"> </v>
      </c>
    </row>
    <row r="118" spans="1:18" ht="13.5" x14ac:dyDescent="0.25">
      <c r="A118" s="271"/>
      <c r="B118" s="272"/>
      <c r="C118" s="273"/>
      <c r="D118" s="270"/>
      <c r="E118" s="274"/>
      <c r="F118" s="275"/>
      <c r="G118" s="276"/>
      <c r="H118" s="277"/>
      <c r="I118" s="277"/>
      <c r="J118" s="278"/>
      <c r="K118" s="279"/>
      <c r="L118" s="280" t="str">
        <f>IF(Table11524[[#This Row],[Q]]&gt;0.1, Table11524[[#This Row],[Q]]*Table11524[[#This Row],[$MXN OUT]], " ")</f>
        <v xml:space="preserve"> </v>
      </c>
      <c r="M118" s="13" t="str">
        <f>IF(Table11524[[#This Row],[Q]]&gt;0.1,F118*2.20462, " ")</f>
        <v xml:space="preserve"> </v>
      </c>
      <c r="N118" s="281" t="str">
        <f>IF(Table11524[[#This Row],[Q]]&gt;0.1,G118/2.54, " ")</f>
        <v xml:space="preserve"> </v>
      </c>
      <c r="O118" s="281" t="str">
        <f>IF(Table11524[[#This Row],[Q]]&gt;0.1, H118/2.54, " ")</f>
        <v xml:space="preserve"> </v>
      </c>
      <c r="P118" s="282" t="str">
        <f>IF(Table11524[[#This Row],[Q]]&gt;0.1,I118/2.54, " ")</f>
        <v xml:space="preserve"> </v>
      </c>
      <c r="Q118" s="289" t="str">
        <f t="shared" si="6"/>
        <v xml:space="preserve"> </v>
      </c>
      <c r="R118" s="562" t="str">
        <f t="shared" si="7"/>
        <v xml:space="preserve"> </v>
      </c>
    </row>
    <row r="119" spans="1:18" ht="13.5" x14ac:dyDescent="0.25">
      <c r="A119" s="271"/>
      <c r="B119" s="272"/>
      <c r="C119" s="273"/>
      <c r="D119" s="269"/>
      <c r="E119" s="274"/>
      <c r="F119" s="275"/>
      <c r="G119" s="276"/>
      <c r="H119" s="277"/>
      <c r="I119" s="277"/>
      <c r="J119" s="278"/>
      <c r="K119" s="279"/>
      <c r="L119" s="280" t="str">
        <f>IF(Table11524[[#This Row],[Q]]&gt;0.1, Table11524[[#This Row],[Q]]*Table11524[[#This Row],[$MXN OUT]], " ")</f>
        <v xml:space="preserve"> </v>
      </c>
      <c r="M119" s="13" t="str">
        <f>IF(Table11524[[#This Row],[Q]]&gt;0.1,F119*2.20462, " ")</f>
        <v xml:space="preserve"> </v>
      </c>
      <c r="N119" s="281" t="str">
        <f>IF(Table11524[[#This Row],[Q]]&gt;0.1,G119/2.54, " ")</f>
        <v xml:space="preserve"> </v>
      </c>
      <c r="O119" s="281" t="str">
        <f>IF(Table11524[[#This Row],[Q]]&gt;0.1, H119/2.54, " ")</f>
        <v xml:space="preserve"> </v>
      </c>
      <c r="P119" s="282" t="str">
        <f>IF(Table11524[[#This Row],[Q]]&gt;0.1,I119/2.54, " ")</f>
        <v xml:space="preserve"> </v>
      </c>
      <c r="Q119" s="289" t="str">
        <f t="shared" si="6"/>
        <v xml:space="preserve"> </v>
      </c>
      <c r="R119" s="562" t="str">
        <f t="shared" si="7"/>
        <v xml:space="preserve"> </v>
      </c>
    </row>
    <row r="120" spans="1:18" ht="13.5" x14ac:dyDescent="0.25">
      <c r="A120" s="271"/>
      <c r="B120" s="272"/>
      <c r="C120" s="273"/>
      <c r="D120" s="270"/>
      <c r="E120" s="274"/>
      <c r="F120" s="275"/>
      <c r="G120" s="276"/>
      <c r="H120" s="277"/>
      <c r="I120" s="277"/>
      <c r="J120" s="278"/>
      <c r="K120" s="279"/>
      <c r="L120" s="280" t="str">
        <f>IF(Table11524[[#This Row],[Q]]&gt;0.1, Table11524[[#This Row],[Q]]*Table11524[[#This Row],[$MXN OUT]], " ")</f>
        <v xml:space="preserve"> </v>
      </c>
      <c r="M120" s="13" t="str">
        <f>IF(Table11524[[#This Row],[Q]]&gt;0.1,F120*2.20462, " ")</f>
        <v xml:space="preserve"> </v>
      </c>
      <c r="N120" s="281" t="str">
        <f>IF(Table11524[[#This Row],[Q]]&gt;0.1,G120/2.54, " ")</f>
        <v xml:space="preserve"> </v>
      </c>
      <c r="O120" s="281" t="str">
        <f>IF(Table11524[[#This Row],[Q]]&gt;0.1, H120/2.54, " ")</f>
        <v xml:space="preserve"> </v>
      </c>
      <c r="P120" s="282" t="str">
        <f>IF(Table11524[[#This Row],[Q]]&gt;0.1,I120/2.54, " ")</f>
        <v xml:space="preserve"> </v>
      </c>
      <c r="Q120" s="289" t="str">
        <f t="shared" si="6"/>
        <v xml:space="preserve"> </v>
      </c>
      <c r="R120" s="562" t="str">
        <f t="shared" si="7"/>
        <v xml:space="preserve"> </v>
      </c>
    </row>
    <row r="121" spans="1:18" ht="13.5" x14ac:dyDescent="0.25">
      <c r="A121" s="271"/>
      <c r="B121" s="272"/>
      <c r="C121" s="273"/>
      <c r="D121" s="269"/>
      <c r="E121" s="274"/>
      <c r="F121" s="275"/>
      <c r="G121" s="276"/>
      <c r="H121" s="277"/>
      <c r="I121" s="277"/>
      <c r="J121" s="278"/>
      <c r="K121" s="279"/>
      <c r="L121" s="280" t="str">
        <f>IF(Table11524[[#This Row],[Q]]&gt;0.1, Table11524[[#This Row],[Q]]*Table11524[[#This Row],[$MXN OUT]], " ")</f>
        <v xml:space="preserve"> </v>
      </c>
      <c r="M121" s="13" t="str">
        <f>IF(Table11524[[#This Row],[Q]]&gt;0.1,F121*2.20462, " ")</f>
        <v xml:space="preserve"> </v>
      </c>
      <c r="N121" s="281" t="str">
        <f>IF(Table11524[[#This Row],[Q]]&gt;0.1,G121/2.54, " ")</f>
        <v xml:space="preserve"> </v>
      </c>
      <c r="O121" s="281" t="str">
        <f>IF(Table11524[[#This Row],[Q]]&gt;0.1, H121/2.54, " ")</f>
        <v xml:space="preserve"> </v>
      </c>
      <c r="P121" s="282" t="str">
        <f>IF(Table11524[[#This Row],[Q]]&gt;0.1,I121/2.54, " ")</f>
        <v xml:space="preserve"> </v>
      </c>
      <c r="Q121" s="289" t="str">
        <f t="shared" si="6"/>
        <v xml:space="preserve"> </v>
      </c>
      <c r="R121" s="562" t="str">
        <f t="shared" si="7"/>
        <v xml:space="preserve"> </v>
      </c>
    </row>
    <row r="122" spans="1:18" ht="13.5" x14ac:dyDescent="0.25">
      <c r="A122" s="271"/>
      <c r="B122" s="272"/>
      <c r="C122" s="273"/>
      <c r="D122" s="270"/>
      <c r="E122" s="274"/>
      <c r="F122" s="275"/>
      <c r="G122" s="276"/>
      <c r="H122" s="277"/>
      <c r="I122" s="277"/>
      <c r="J122" s="278"/>
      <c r="K122" s="279"/>
      <c r="L122" s="280" t="str">
        <f>IF(Table11524[[#This Row],[Q]]&gt;0.1, Table11524[[#This Row],[Q]]*Table11524[[#This Row],[$MXN OUT]], " ")</f>
        <v xml:space="preserve"> </v>
      </c>
      <c r="M122" s="13" t="str">
        <f>IF(Table11524[[#This Row],[Q]]&gt;0.1,F122*2.20462, " ")</f>
        <v xml:space="preserve"> </v>
      </c>
      <c r="N122" s="281" t="str">
        <f>IF(Table11524[[#This Row],[Q]]&gt;0.1,G122/2.54, " ")</f>
        <v xml:space="preserve"> </v>
      </c>
      <c r="O122" s="281" t="str">
        <f>IF(Table11524[[#This Row],[Q]]&gt;0.1, H122/2.54, " ")</f>
        <v xml:space="preserve"> </v>
      </c>
      <c r="P122" s="282" t="str">
        <f>IF(Table11524[[#This Row],[Q]]&gt;0.1,I122/2.54, " ")</f>
        <v xml:space="preserve"> </v>
      </c>
      <c r="Q122" s="289" t="str">
        <f t="shared" si="6"/>
        <v xml:space="preserve"> </v>
      </c>
      <c r="R122" s="562" t="str">
        <f t="shared" si="7"/>
        <v xml:space="preserve"> </v>
      </c>
    </row>
    <row r="123" spans="1:18" ht="13.5" x14ac:dyDescent="0.25">
      <c r="A123" s="271"/>
      <c r="B123" s="272"/>
      <c r="C123" s="273"/>
      <c r="D123" s="269"/>
      <c r="E123" s="274"/>
      <c r="F123" s="275"/>
      <c r="G123" s="276"/>
      <c r="H123" s="277"/>
      <c r="I123" s="277"/>
      <c r="J123" s="278"/>
      <c r="K123" s="279"/>
      <c r="L123" s="280" t="str">
        <f>IF(Table11524[[#This Row],[Q]]&gt;0.1, Table11524[[#This Row],[Q]]*Table11524[[#This Row],[$MXN OUT]], " ")</f>
        <v xml:space="preserve"> </v>
      </c>
      <c r="M123" s="13" t="str">
        <f>IF(Table11524[[#This Row],[Q]]&gt;0.1,F123*2.20462, " ")</f>
        <v xml:space="preserve"> </v>
      </c>
      <c r="N123" s="281" t="str">
        <f>IF(Table11524[[#This Row],[Q]]&gt;0.1,G123/2.54, " ")</f>
        <v xml:space="preserve"> </v>
      </c>
      <c r="O123" s="281" t="str">
        <f>IF(Table11524[[#This Row],[Q]]&gt;0.1, H123/2.54, " ")</f>
        <v xml:space="preserve"> </v>
      </c>
      <c r="P123" s="282" t="str">
        <f>IF(Table11524[[#This Row],[Q]]&gt;0.1,I123/2.54, " ")</f>
        <v xml:space="preserve"> </v>
      </c>
      <c r="Q123" s="289" t="str">
        <f t="shared" si="6"/>
        <v xml:space="preserve"> </v>
      </c>
      <c r="R123" s="562" t="str">
        <f t="shared" si="7"/>
        <v xml:space="preserve"> </v>
      </c>
    </row>
    <row r="124" spans="1:18" ht="13.5" x14ac:dyDescent="0.25">
      <c r="A124" s="271"/>
      <c r="B124" s="272"/>
      <c r="C124" s="273"/>
      <c r="D124" s="270"/>
      <c r="E124" s="274"/>
      <c r="F124" s="275"/>
      <c r="G124" s="276"/>
      <c r="H124" s="277"/>
      <c r="I124" s="277"/>
      <c r="J124" s="278"/>
      <c r="K124" s="279"/>
      <c r="L124" s="280" t="str">
        <f>IF(Table11524[[#This Row],[Q]]&gt;0.1, Table11524[[#This Row],[Q]]*Table11524[[#This Row],[$MXN OUT]], " ")</f>
        <v xml:space="preserve"> </v>
      </c>
      <c r="M124" s="13" t="str">
        <f>IF(Table11524[[#This Row],[Q]]&gt;0.1,F124*2.20462, " ")</f>
        <v xml:space="preserve"> </v>
      </c>
      <c r="N124" s="281" t="str">
        <f>IF(Table11524[[#This Row],[Q]]&gt;0.1,G124/2.54, " ")</f>
        <v xml:space="preserve"> </v>
      </c>
      <c r="O124" s="281" t="str">
        <f>IF(Table11524[[#This Row],[Q]]&gt;0.1, H124/2.54, " ")</f>
        <v xml:space="preserve"> </v>
      </c>
      <c r="P124" s="282" t="str">
        <f>IF(Table11524[[#This Row],[Q]]&gt;0.1,I124/2.54, " ")</f>
        <v xml:space="preserve"> </v>
      </c>
      <c r="Q124" s="289" t="str">
        <f t="shared" si="6"/>
        <v xml:space="preserve"> </v>
      </c>
      <c r="R124" s="562" t="str">
        <f t="shared" si="7"/>
        <v xml:space="preserve"> </v>
      </c>
    </row>
    <row r="125" spans="1:18" ht="13.5" x14ac:dyDescent="0.25">
      <c r="A125" s="271"/>
      <c r="B125" s="272"/>
      <c r="C125" s="273"/>
      <c r="D125" s="269"/>
      <c r="E125" s="274"/>
      <c r="F125" s="275"/>
      <c r="G125" s="276"/>
      <c r="H125" s="277"/>
      <c r="I125" s="277"/>
      <c r="J125" s="278"/>
      <c r="K125" s="279"/>
      <c r="L125" s="280" t="str">
        <f>IF(Table11524[[#This Row],[Q]]&gt;0.1, Table11524[[#This Row],[Q]]*Table11524[[#This Row],[$MXN OUT]], " ")</f>
        <v xml:space="preserve"> </v>
      </c>
      <c r="M125" s="13" t="str">
        <f>IF(Table11524[[#This Row],[Q]]&gt;0.1,F125*2.20462, " ")</f>
        <v xml:space="preserve"> </v>
      </c>
      <c r="N125" s="281" t="str">
        <f>IF(Table11524[[#This Row],[Q]]&gt;0.1,G125/2.54, " ")</f>
        <v xml:space="preserve"> </v>
      </c>
      <c r="O125" s="281" t="str">
        <f>IF(Table11524[[#This Row],[Q]]&gt;0.1, H125/2.54, " ")</f>
        <v xml:space="preserve"> </v>
      </c>
      <c r="P125" s="282" t="str">
        <f>IF(Table11524[[#This Row],[Q]]&gt;0.1,I125/2.54, " ")</f>
        <v xml:space="preserve"> </v>
      </c>
      <c r="Q125" s="289" t="str">
        <f t="shared" si="6"/>
        <v xml:space="preserve"> </v>
      </c>
      <c r="R125" s="562" t="str">
        <f t="shared" si="7"/>
        <v xml:space="preserve"> </v>
      </c>
    </row>
    <row r="126" spans="1:18" ht="13.5" x14ac:dyDescent="0.25">
      <c r="A126" s="271"/>
      <c r="B126" s="272"/>
      <c r="C126" s="273"/>
      <c r="D126" s="270"/>
      <c r="E126" s="274"/>
      <c r="F126" s="275"/>
      <c r="G126" s="276"/>
      <c r="H126" s="277"/>
      <c r="I126" s="277"/>
      <c r="J126" s="278"/>
      <c r="K126" s="279"/>
      <c r="L126" s="280" t="str">
        <f>IF(Table11524[[#This Row],[Q]]&gt;0.1, Table11524[[#This Row],[Q]]*Table11524[[#This Row],[$MXN OUT]], " ")</f>
        <v xml:space="preserve"> </v>
      </c>
      <c r="M126" s="13" t="str">
        <f>IF(Table11524[[#This Row],[Q]]&gt;0.1,F126*2.20462, " ")</f>
        <v xml:space="preserve"> </v>
      </c>
      <c r="N126" s="281" t="str">
        <f>IF(Table11524[[#This Row],[Q]]&gt;0.1,G126/2.54, " ")</f>
        <v xml:space="preserve"> </v>
      </c>
      <c r="O126" s="281" t="str">
        <f>IF(Table11524[[#This Row],[Q]]&gt;0.1, H126/2.54, " ")</f>
        <v xml:space="preserve"> </v>
      </c>
      <c r="P126" s="282" t="str">
        <f>IF(Table11524[[#This Row],[Q]]&gt;0.1,I126/2.54, " ")</f>
        <v xml:space="preserve"> </v>
      </c>
      <c r="Q126" s="289" t="str">
        <f t="shared" si="6"/>
        <v xml:space="preserve"> </v>
      </c>
      <c r="R126" s="562" t="str">
        <f t="shared" si="7"/>
        <v xml:space="preserve"> </v>
      </c>
    </row>
    <row r="127" spans="1:18" ht="13.5" x14ac:dyDescent="0.25">
      <c r="A127" s="271"/>
      <c r="B127" s="272"/>
      <c r="C127" s="273"/>
      <c r="D127" s="269"/>
      <c r="E127" s="274"/>
      <c r="F127" s="275"/>
      <c r="G127" s="276"/>
      <c r="H127" s="277"/>
      <c r="I127" s="277"/>
      <c r="J127" s="278"/>
      <c r="K127" s="279"/>
      <c r="L127" s="280" t="str">
        <f>IF(Table11524[[#This Row],[Q]]&gt;0.1, Table11524[[#This Row],[Q]]*Table11524[[#This Row],[$MXN OUT]], " ")</f>
        <v xml:space="preserve"> </v>
      </c>
      <c r="M127" s="13" t="str">
        <f>IF(Table11524[[#This Row],[Q]]&gt;0.1,F127*2.20462, " ")</f>
        <v xml:space="preserve"> </v>
      </c>
      <c r="N127" s="281" t="str">
        <f>IF(Table11524[[#This Row],[Q]]&gt;0.1,G127/2.54, " ")</f>
        <v xml:space="preserve"> </v>
      </c>
      <c r="O127" s="281" t="str">
        <f>IF(Table11524[[#This Row],[Q]]&gt;0.1, H127/2.54, " ")</f>
        <v xml:space="preserve"> </v>
      </c>
      <c r="P127" s="282" t="str">
        <f>IF(Table11524[[#This Row],[Q]]&gt;0.1,I127/2.54, " ")</f>
        <v xml:space="preserve"> </v>
      </c>
      <c r="Q127" s="289" t="str">
        <f t="shared" si="6"/>
        <v xml:space="preserve"> </v>
      </c>
      <c r="R127" s="562" t="str">
        <f t="shared" si="7"/>
        <v xml:space="preserve"> </v>
      </c>
    </row>
    <row r="128" spans="1:18" ht="13.5" x14ac:dyDescent="0.25">
      <c r="A128" s="271"/>
      <c r="B128" s="272"/>
      <c r="C128" s="273"/>
      <c r="D128" s="270"/>
      <c r="E128" s="274"/>
      <c r="F128" s="275"/>
      <c r="G128" s="276"/>
      <c r="H128" s="277"/>
      <c r="I128" s="277"/>
      <c r="J128" s="278"/>
      <c r="K128" s="279"/>
      <c r="L128" s="280" t="str">
        <f>IF(Table11524[[#This Row],[Q]]&gt;0.1, Table11524[[#This Row],[Q]]*Table11524[[#This Row],[$MXN OUT]], " ")</f>
        <v xml:space="preserve"> </v>
      </c>
      <c r="M128" s="13" t="str">
        <f>IF(Table11524[[#This Row],[Q]]&gt;0.1,F128*2.20462, " ")</f>
        <v xml:space="preserve"> </v>
      </c>
      <c r="N128" s="281" t="str">
        <f>IF(Table11524[[#This Row],[Q]]&gt;0.1,G128/2.54, " ")</f>
        <v xml:space="preserve"> </v>
      </c>
      <c r="O128" s="281" t="str">
        <f>IF(Table11524[[#This Row],[Q]]&gt;0.1, H128/2.54, " ")</f>
        <v xml:space="preserve"> </v>
      </c>
      <c r="P128" s="282" t="str">
        <f>IF(Table11524[[#This Row],[Q]]&gt;0.1,I128/2.54, " ")</f>
        <v xml:space="preserve"> </v>
      </c>
      <c r="Q128" s="289" t="str">
        <f t="shared" si="6"/>
        <v xml:space="preserve"> </v>
      </c>
      <c r="R128" s="562" t="str">
        <f t="shared" si="7"/>
        <v xml:space="preserve"> </v>
      </c>
    </row>
    <row r="129" spans="1:18" ht="13.5" x14ac:dyDescent="0.25">
      <c r="A129" s="271"/>
      <c r="B129" s="272"/>
      <c r="C129" s="273"/>
      <c r="D129" s="269"/>
      <c r="E129" s="274"/>
      <c r="F129" s="275"/>
      <c r="G129" s="276"/>
      <c r="H129" s="277"/>
      <c r="I129" s="277"/>
      <c r="J129" s="278"/>
      <c r="K129" s="279"/>
      <c r="L129" s="280" t="str">
        <f>IF(Table11524[[#This Row],[Q]]&gt;0.1, Table11524[[#This Row],[Q]]*Table11524[[#This Row],[$MXN OUT]], " ")</f>
        <v xml:space="preserve"> </v>
      </c>
      <c r="M129" s="13" t="str">
        <f>IF(Table11524[[#This Row],[Q]]&gt;0.1,F129*2.20462, " ")</f>
        <v xml:space="preserve"> </v>
      </c>
      <c r="N129" s="281" t="str">
        <f>IF(Table11524[[#This Row],[Q]]&gt;0.1,G129/2.54, " ")</f>
        <v xml:space="preserve"> </v>
      </c>
      <c r="O129" s="281" t="str">
        <f>IF(Table11524[[#This Row],[Q]]&gt;0.1, H129/2.54, " ")</f>
        <v xml:space="preserve"> </v>
      </c>
      <c r="P129" s="282" t="str">
        <f>IF(Table11524[[#This Row],[Q]]&gt;0.1,I129/2.54, " ")</f>
        <v xml:space="preserve"> </v>
      </c>
      <c r="Q129" s="289" t="str">
        <f t="shared" si="6"/>
        <v xml:space="preserve"> </v>
      </c>
      <c r="R129" s="562" t="str">
        <f t="shared" si="7"/>
        <v xml:space="preserve"> </v>
      </c>
    </row>
    <row r="130" spans="1:18" ht="13.5" x14ac:dyDescent="0.25">
      <c r="A130" s="271"/>
      <c r="B130" s="272"/>
      <c r="C130" s="273"/>
      <c r="D130" s="270"/>
      <c r="E130" s="274"/>
      <c r="F130" s="275"/>
      <c r="G130" s="276"/>
      <c r="H130" s="277"/>
      <c r="I130" s="277"/>
      <c r="J130" s="278"/>
      <c r="K130" s="279"/>
      <c r="L130" s="280" t="str">
        <f>IF(Table11524[[#This Row],[Q]]&gt;0.1, Table11524[[#This Row],[Q]]*Table11524[[#This Row],[$MXN OUT]], " ")</f>
        <v xml:space="preserve"> </v>
      </c>
      <c r="M130" s="13" t="str">
        <f>IF(Table11524[[#This Row],[Q]]&gt;0.1,F130*2.20462, " ")</f>
        <v xml:space="preserve"> </v>
      </c>
      <c r="N130" s="281" t="str">
        <f>IF(Table11524[[#This Row],[Q]]&gt;0.1,G130/2.54, " ")</f>
        <v xml:space="preserve"> </v>
      </c>
      <c r="O130" s="281" t="str">
        <f>IF(Table11524[[#This Row],[Q]]&gt;0.1, H130/2.54, " ")</f>
        <v xml:space="preserve"> </v>
      </c>
      <c r="P130" s="282" t="str">
        <f>IF(Table11524[[#This Row],[Q]]&gt;0.1,I130/2.54, " ")</f>
        <v xml:space="preserve"> </v>
      </c>
      <c r="Q130" s="289" t="str">
        <f t="shared" si="6"/>
        <v xml:space="preserve"> </v>
      </c>
      <c r="R130" s="562" t="str">
        <f t="shared" si="7"/>
        <v xml:space="preserve"> </v>
      </c>
    </row>
    <row r="131" spans="1:18" ht="13.5" x14ac:dyDescent="0.25">
      <c r="A131" s="271"/>
      <c r="B131" s="272"/>
      <c r="C131" s="273"/>
      <c r="D131" s="269"/>
      <c r="E131" s="274"/>
      <c r="F131" s="275"/>
      <c r="G131" s="276"/>
      <c r="H131" s="277"/>
      <c r="I131" s="277"/>
      <c r="J131" s="278"/>
      <c r="K131" s="279"/>
      <c r="L131" s="280" t="str">
        <f>IF(Table11524[[#This Row],[Q]]&gt;0.1, Table11524[[#This Row],[Q]]*Table11524[[#This Row],[$MXN OUT]], " ")</f>
        <v xml:space="preserve"> </v>
      </c>
      <c r="M131" s="13" t="str">
        <f>IF(Table11524[[#This Row],[Q]]&gt;0.1,F131*2.20462, " ")</f>
        <v xml:space="preserve"> </v>
      </c>
      <c r="N131" s="281" t="str">
        <f>IF(Table11524[[#This Row],[Q]]&gt;0.1,G131/2.54, " ")</f>
        <v xml:space="preserve"> </v>
      </c>
      <c r="O131" s="281" t="str">
        <f>IF(Table11524[[#This Row],[Q]]&gt;0.1, H131/2.54, " ")</f>
        <v xml:space="preserve"> </v>
      </c>
      <c r="P131" s="282" t="str">
        <f>IF(Table11524[[#This Row],[Q]]&gt;0.1,I131/2.54, " ")</f>
        <v xml:space="preserve"> </v>
      </c>
      <c r="Q131" s="289" t="str">
        <f t="shared" si="6"/>
        <v xml:space="preserve"> </v>
      </c>
      <c r="R131" s="562" t="str">
        <f t="shared" si="7"/>
        <v xml:space="preserve"> </v>
      </c>
    </row>
    <row r="132" spans="1:18" ht="13.5" x14ac:dyDescent="0.25">
      <c r="A132" s="271"/>
      <c r="B132" s="272"/>
      <c r="C132" s="273"/>
      <c r="D132" s="270"/>
      <c r="E132" s="274"/>
      <c r="F132" s="275"/>
      <c r="G132" s="276"/>
      <c r="H132" s="277"/>
      <c r="I132" s="277"/>
      <c r="J132" s="278"/>
      <c r="K132" s="279"/>
      <c r="L132" s="280" t="str">
        <f>IF(Table11524[[#This Row],[Q]]&gt;0.1, Table11524[[#This Row],[Q]]*Table11524[[#This Row],[$MXN OUT]], " ")</f>
        <v xml:space="preserve"> </v>
      </c>
      <c r="M132" s="13" t="str">
        <f>IF(Table11524[[#This Row],[Q]]&gt;0.1,F132*2.20462, " ")</f>
        <v xml:space="preserve"> </v>
      </c>
      <c r="N132" s="281" t="str">
        <f>IF(Table11524[[#This Row],[Q]]&gt;0.1,G132/2.54, " ")</f>
        <v xml:space="preserve"> </v>
      </c>
      <c r="O132" s="281" t="str">
        <f>IF(Table11524[[#This Row],[Q]]&gt;0.1, H132/2.54, " ")</f>
        <v xml:space="preserve"> </v>
      </c>
      <c r="P132" s="282" t="str">
        <f>IF(Table11524[[#This Row],[Q]]&gt;0.1,I132/2.54, " ")</f>
        <v xml:space="preserve"> </v>
      </c>
      <c r="Q132" s="289" t="str">
        <f t="shared" si="6"/>
        <v xml:space="preserve"> </v>
      </c>
      <c r="R132" s="562" t="str">
        <f t="shared" si="7"/>
        <v xml:space="preserve"> </v>
      </c>
    </row>
    <row r="133" spans="1:18" ht="13.5" x14ac:dyDescent="0.25">
      <c r="A133" s="271"/>
      <c r="B133" s="272"/>
      <c r="C133" s="273"/>
      <c r="D133" s="269"/>
      <c r="E133" s="274"/>
      <c r="F133" s="275"/>
      <c r="G133" s="276"/>
      <c r="H133" s="277"/>
      <c r="I133" s="277"/>
      <c r="J133" s="278"/>
      <c r="K133" s="279"/>
      <c r="L133" s="280" t="str">
        <f>IF(Table11524[[#This Row],[Q]]&gt;0.1, Table11524[[#This Row],[Q]]*Table11524[[#This Row],[$MXN OUT]], " ")</f>
        <v xml:space="preserve"> </v>
      </c>
      <c r="M133" s="13" t="str">
        <f>IF(Table11524[[#This Row],[Q]]&gt;0.1,F133*2.20462, " ")</f>
        <v xml:space="preserve"> </v>
      </c>
      <c r="N133" s="281" t="str">
        <f>IF(Table11524[[#This Row],[Q]]&gt;0.1,G133/2.54, " ")</f>
        <v xml:space="preserve"> </v>
      </c>
      <c r="O133" s="281" t="str">
        <f>IF(Table11524[[#This Row],[Q]]&gt;0.1, H133/2.54, " ")</f>
        <v xml:space="preserve"> </v>
      </c>
      <c r="P133" s="282" t="str">
        <f>IF(Table11524[[#This Row],[Q]]&gt;0.1,I133/2.54, " ")</f>
        <v xml:space="preserve"> </v>
      </c>
      <c r="Q133" s="289" t="str">
        <f t="shared" si="6"/>
        <v xml:space="preserve"> </v>
      </c>
      <c r="R133" s="562" t="str">
        <f t="shared" si="7"/>
        <v xml:space="preserve"> </v>
      </c>
    </row>
    <row r="134" spans="1:18" ht="13.5" x14ac:dyDescent="0.25">
      <c r="A134" s="271"/>
      <c r="B134" s="272"/>
      <c r="C134" s="273"/>
      <c r="D134" s="270"/>
      <c r="E134" s="274"/>
      <c r="F134" s="275"/>
      <c r="G134" s="276"/>
      <c r="H134" s="277"/>
      <c r="I134" s="277"/>
      <c r="J134" s="278"/>
      <c r="K134" s="279"/>
      <c r="L134" s="280" t="str">
        <f>IF(Table11524[[#This Row],[Q]]&gt;0.1, Table11524[[#This Row],[Q]]*Table11524[[#This Row],[$MXN OUT]], " ")</f>
        <v xml:space="preserve"> </v>
      </c>
      <c r="M134" s="13" t="str">
        <f>IF(Table11524[[#This Row],[Q]]&gt;0.1,F134*2.20462, " ")</f>
        <v xml:space="preserve"> </v>
      </c>
      <c r="N134" s="281" t="str">
        <f>IF(Table11524[[#This Row],[Q]]&gt;0.1,G134/2.54, " ")</f>
        <v xml:space="preserve"> </v>
      </c>
      <c r="O134" s="281" t="str">
        <f>IF(Table11524[[#This Row],[Q]]&gt;0.1, H134/2.54, " ")</f>
        <v xml:space="preserve"> </v>
      </c>
      <c r="P134" s="282" t="str">
        <f>IF(Table11524[[#This Row],[Q]]&gt;0.1,I134/2.54, " ")</f>
        <v xml:space="preserve"> </v>
      </c>
      <c r="Q134" s="289" t="str">
        <f t="shared" si="6"/>
        <v xml:space="preserve"> </v>
      </c>
      <c r="R134" s="562" t="str">
        <f t="shared" si="7"/>
        <v xml:space="preserve"> </v>
      </c>
    </row>
    <row r="135" spans="1:18" ht="13.5" x14ac:dyDescent="0.25">
      <c r="A135" s="271"/>
      <c r="B135" s="272"/>
      <c r="C135" s="273"/>
      <c r="D135" s="269"/>
      <c r="E135" s="274"/>
      <c r="F135" s="275"/>
      <c r="G135" s="276"/>
      <c r="H135" s="277"/>
      <c r="I135" s="277"/>
      <c r="J135" s="278"/>
      <c r="K135" s="279"/>
      <c r="L135" s="280" t="str">
        <f>IF(Table11524[[#This Row],[Q]]&gt;0.1, Table11524[[#This Row],[Q]]*Table11524[[#This Row],[$MXN OUT]], " ")</f>
        <v xml:space="preserve"> </v>
      </c>
      <c r="M135" s="13" t="str">
        <f>IF(Table11524[[#This Row],[Q]]&gt;0.1,F135*2.20462, " ")</f>
        <v xml:space="preserve"> </v>
      </c>
      <c r="N135" s="281" t="str">
        <f>IF(Table11524[[#This Row],[Q]]&gt;0.1,G135/2.54, " ")</f>
        <v xml:space="preserve"> </v>
      </c>
      <c r="O135" s="281" t="str">
        <f>IF(Table11524[[#This Row],[Q]]&gt;0.1, H135/2.54, " ")</f>
        <v xml:space="preserve"> </v>
      </c>
      <c r="P135" s="282" t="str">
        <f>IF(Table11524[[#This Row],[Q]]&gt;0.1,I135/2.54, " ")</f>
        <v xml:space="preserve"> </v>
      </c>
      <c r="Q135" s="289" t="str">
        <f t="shared" si="6"/>
        <v xml:space="preserve"> </v>
      </c>
      <c r="R135" s="562" t="str">
        <f t="shared" si="7"/>
        <v xml:space="preserve"> </v>
      </c>
    </row>
    <row r="136" spans="1:18" ht="13.5" x14ac:dyDescent="0.25">
      <c r="A136" s="271"/>
      <c r="B136" s="272"/>
      <c r="C136" s="273"/>
      <c r="D136" s="270"/>
      <c r="E136" s="274"/>
      <c r="F136" s="275"/>
      <c r="G136" s="276"/>
      <c r="H136" s="277"/>
      <c r="I136" s="277"/>
      <c r="J136" s="278"/>
      <c r="K136" s="279"/>
      <c r="L136" s="280" t="str">
        <f>IF(Table11524[[#This Row],[Q]]&gt;0.1, Table11524[[#This Row],[Q]]*Table11524[[#This Row],[$MXN OUT]], " ")</f>
        <v xml:space="preserve"> </v>
      </c>
      <c r="M136" s="13" t="str">
        <f>IF(Table11524[[#This Row],[Q]]&gt;0.1,F136*2.20462, " ")</f>
        <v xml:space="preserve"> </v>
      </c>
      <c r="N136" s="281" t="str">
        <f>IF(Table11524[[#This Row],[Q]]&gt;0.1,G136/2.54, " ")</f>
        <v xml:space="preserve"> </v>
      </c>
      <c r="O136" s="281" t="str">
        <f>IF(Table11524[[#This Row],[Q]]&gt;0.1, H136/2.54, " ")</f>
        <v xml:space="preserve"> </v>
      </c>
      <c r="P136" s="282" t="str">
        <f>IF(Table11524[[#This Row],[Q]]&gt;0.1,I136/2.54, " ")</f>
        <v xml:space="preserve"> </v>
      </c>
      <c r="Q136" s="289" t="str">
        <f t="shared" si="6"/>
        <v xml:space="preserve"> </v>
      </c>
      <c r="R136" s="562" t="str">
        <f t="shared" si="7"/>
        <v xml:space="preserve"> </v>
      </c>
    </row>
    <row r="137" spans="1:18" ht="13.5" x14ac:dyDescent="0.25">
      <c r="A137" s="271"/>
      <c r="B137" s="272"/>
      <c r="C137" s="273"/>
      <c r="D137" s="269"/>
      <c r="E137" s="274"/>
      <c r="F137" s="275"/>
      <c r="G137" s="276"/>
      <c r="H137" s="277"/>
      <c r="I137" s="277"/>
      <c r="J137" s="278"/>
      <c r="K137" s="279"/>
      <c r="L137" s="280" t="str">
        <f>IF(Table11524[[#This Row],[Q]]&gt;0.1, Table11524[[#This Row],[Q]]*Table11524[[#This Row],[$MXN OUT]], " ")</f>
        <v xml:space="preserve"> </v>
      </c>
      <c r="M137" s="13" t="str">
        <f>IF(Table11524[[#This Row],[Q]]&gt;0.1,F137*2.20462, " ")</f>
        <v xml:space="preserve"> </v>
      </c>
      <c r="N137" s="281" t="str">
        <f>IF(Table11524[[#This Row],[Q]]&gt;0.1,G137/2.54, " ")</f>
        <v xml:space="preserve"> </v>
      </c>
      <c r="O137" s="281" t="str">
        <f>IF(Table11524[[#This Row],[Q]]&gt;0.1, H137/2.54, " ")</f>
        <v xml:space="preserve"> </v>
      </c>
      <c r="P137" s="282" t="str">
        <f>IF(Table11524[[#This Row],[Q]]&gt;0.1,I137/2.54, " ")</f>
        <v xml:space="preserve"> </v>
      </c>
      <c r="Q137" s="289" t="str">
        <f t="shared" si="6"/>
        <v xml:space="preserve"> </v>
      </c>
      <c r="R137" s="562" t="str">
        <f t="shared" si="7"/>
        <v xml:space="preserve"> </v>
      </c>
    </row>
    <row r="138" spans="1:18" ht="13.5" x14ac:dyDescent="0.25">
      <c r="A138" s="271"/>
      <c r="B138" s="272"/>
      <c r="C138" s="273"/>
      <c r="D138" s="270"/>
      <c r="E138" s="274"/>
      <c r="F138" s="275"/>
      <c r="G138" s="276"/>
      <c r="H138" s="277"/>
      <c r="I138" s="277"/>
      <c r="J138" s="278"/>
      <c r="K138" s="279"/>
      <c r="L138" s="280" t="str">
        <f>IF(Table11524[[#This Row],[Q]]&gt;0.1, Table11524[[#This Row],[Q]]*Table11524[[#This Row],[$MXN OUT]], " ")</f>
        <v xml:space="preserve"> </v>
      </c>
      <c r="M138" s="13" t="str">
        <f>IF(Table11524[[#This Row],[Q]]&gt;0.1,F138*2.20462, " ")</f>
        <v xml:space="preserve"> </v>
      </c>
      <c r="N138" s="281" t="str">
        <f>IF(Table11524[[#This Row],[Q]]&gt;0.1,G138/2.54, " ")</f>
        <v xml:space="preserve"> </v>
      </c>
      <c r="O138" s="281" t="str">
        <f>IF(Table11524[[#This Row],[Q]]&gt;0.1, H138/2.54, " ")</f>
        <v xml:space="preserve"> </v>
      </c>
      <c r="P138" s="282" t="str">
        <f>IF(Table11524[[#This Row],[Q]]&gt;0.1,I138/2.54, " ")</f>
        <v xml:space="preserve"> </v>
      </c>
      <c r="Q138" s="289" t="str">
        <f t="shared" si="6"/>
        <v xml:space="preserve"> </v>
      </c>
      <c r="R138" s="562" t="str">
        <f t="shared" si="7"/>
        <v xml:space="preserve"> </v>
      </c>
    </row>
    <row r="139" spans="1:18" ht="13.5" x14ac:dyDescent="0.25">
      <c r="A139" s="271"/>
      <c r="B139" s="272"/>
      <c r="C139" s="273"/>
      <c r="D139" s="269"/>
      <c r="E139" s="274"/>
      <c r="F139" s="275"/>
      <c r="G139" s="276"/>
      <c r="H139" s="277"/>
      <c r="I139" s="277"/>
      <c r="J139" s="278"/>
      <c r="K139" s="279"/>
      <c r="L139" s="280" t="str">
        <f>IF(Table11524[[#This Row],[Q]]&gt;0.1, Table11524[[#This Row],[Q]]*Table11524[[#This Row],[$MXN OUT]], " ")</f>
        <v xml:space="preserve"> </v>
      </c>
      <c r="M139" s="13" t="str">
        <f>IF(Table11524[[#This Row],[Q]]&gt;0.1,F139*2.20462, " ")</f>
        <v xml:space="preserve"> </v>
      </c>
      <c r="N139" s="281" t="str">
        <f>IF(Table11524[[#This Row],[Q]]&gt;0.1,G139/2.54, " ")</f>
        <v xml:space="preserve"> </v>
      </c>
      <c r="O139" s="281" t="str">
        <f>IF(Table11524[[#This Row],[Q]]&gt;0.1, H139/2.54, " ")</f>
        <v xml:space="preserve"> </v>
      </c>
      <c r="P139" s="282" t="str">
        <f>IF(Table11524[[#This Row],[Q]]&gt;0.1,I139/2.54, " ")</f>
        <v xml:space="preserve"> </v>
      </c>
      <c r="Q139" s="289" t="str">
        <f t="shared" si="6"/>
        <v xml:space="preserve"> </v>
      </c>
      <c r="R139" s="562" t="str">
        <f t="shared" si="7"/>
        <v xml:space="preserve"> </v>
      </c>
    </row>
    <row r="140" spans="1:18" ht="13.5" x14ac:dyDescent="0.25">
      <c r="A140" s="271"/>
      <c r="B140" s="272"/>
      <c r="C140" s="273"/>
      <c r="D140" s="270"/>
      <c r="E140" s="274"/>
      <c r="F140" s="275"/>
      <c r="G140" s="276"/>
      <c r="H140" s="277"/>
      <c r="I140" s="277"/>
      <c r="J140" s="278"/>
      <c r="K140" s="279"/>
      <c r="L140" s="280" t="str">
        <f>IF(Table11524[[#This Row],[Q]]&gt;0.1, Table11524[[#This Row],[Q]]*Table11524[[#This Row],[$MXN OUT]], " ")</f>
        <v xml:space="preserve"> </v>
      </c>
      <c r="M140" s="13" t="str">
        <f>IF(Table11524[[#This Row],[Q]]&gt;0.1,F140*2.20462, " ")</f>
        <v xml:space="preserve"> </v>
      </c>
      <c r="N140" s="281" t="str">
        <f>IF(Table11524[[#This Row],[Q]]&gt;0.1,G140/2.54, " ")</f>
        <v xml:space="preserve"> </v>
      </c>
      <c r="O140" s="281" t="str">
        <f>IF(Table11524[[#This Row],[Q]]&gt;0.1, H140/2.54, " ")</f>
        <v xml:space="preserve"> </v>
      </c>
      <c r="P140" s="282" t="str">
        <f>IF(Table11524[[#This Row],[Q]]&gt;0.1,I140/2.54, " ")</f>
        <v xml:space="preserve"> </v>
      </c>
      <c r="Q140" s="289" t="str">
        <f t="shared" si="6"/>
        <v xml:space="preserve"> </v>
      </c>
      <c r="R140" s="562" t="str">
        <f t="shared" si="7"/>
        <v xml:space="preserve"> 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C57559-21E0-422D-9588-7DF83AD4EE30}">
          <x14:formula1>
            <xm:f>'-Log'!$A$4:$A$19</xm:f>
          </x14:formula1>
          <xm:sqref>B4:B140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2CE3-08DA-40C1-95AD-EC72A78B1E6D}">
  <sheetPr>
    <tabColor theme="1" tint="0.14999847407452621"/>
  </sheetPr>
  <dimension ref="A1:J200"/>
  <sheetViews>
    <sheetView workbookViewId="0"/>
  </sheetViews>
  <sheetFormatPr defaultRowHeight="15" x14ac:dyDescent="0.25"/>
  <cols>
    <col min="1" max="1" width="21" customWidth="1"/>
    <col min="2" max="4" width="23.375" customWidth="1"/>
    <col min="5" max="7" width="23.375" style="20" customWidth="1"/>
    <col min="8" max="11" width="23.375" customWidth="1"/>
    <col min="12" max="12" width="14.25" customWidth="1"/>
  </cols>
  <sheetData>
    <row r="1" spans="1:10" s="23" customFormat="1" ht="18.75" x14ac:dyDescent="0.25">
      <c r="A1" s="316" t="s">
        <v>113</v>
      </c>
      <c r="B1" s="316" t="s">
        <v>55</v>
      </c>
      <c r="C1" s="316" t="s">
        <v>32</v>
      </c>
      <c r="D1" s="316" t="s">
        <v>112</v>
      </c>
      <c r="E1" s="319" t="s">
        <v>48</v>
      </c>
      <c r="F1" s="319" t="s">
        <v>116</v>
      </c>
      <c r="G1" s="319" t="s">
        <v>0</v>
      </c>
      <c r="H1" s="316" t="s">
        <v>70</v>
      </c>
      <c r="I1" s="316" t="s">
        <v>64</v>
      </c>
      <c r="J1" s="316" t="s">
        <v>114</v>
      </c>
    </row>
    <row r="2" spans="1:10" x14ac:dyDescent="0.25">
      <c r="A2" s="19">
        <v>46067</v>
      </c>
      <c r="B2" t="s">
        <v>120</v>
      </c>
      <c r="D2" s="303" t="s">
        <v>105</v>
      </c>
      <c r="E2" s="322">
        <v>5900</v>
      </c>
      <c r="F2" s="20">
        <f>IF(Table3[[#This Row],[MXN]]&gt;0.1, Table3[[#This Row],[MXN]]*0.16, " ")</f>
        <v>944</v>
      </c>
      <c r="G2" s="322">
        <f>IF(Table3[[#This Row],[MXN]]&gt;0.1, Table3[[#This Row],[MXN]]+Table3[[#This Row],[TAX / COM]], " ")</f>
        <v>6844</v>
      </c>
      <c r="H2" t="s">
        <v>69</v>
      </c>
    </row>
    <row r="3" spans="1:10" x14ac:dyDescent="0.25">
      <c r="A3" s="19">
        <v>46067</v>
      </c>
      <c r="B3" t="s">
        <v>120</v>
      </c>
      <c r="D3" s="324" t="s">
        <v>106</v>
      </c>
      <c r="E3" s="325">
        <v>1600</v>
      </c>
      <c r="F3" s="20">
        <f>IF(Table3[[#This Row],[MXN]]&gt;0.1, Table3[[#This Row],[MXN]]*0.8, " ")</f>
        <v>1280</v>
      </c>
      <c r="G3" s="325">
        <f>IF(Table3[[#This Row],[MXN]]&gt;0.1, Table3[[#This Row],[MXN]]+Table3[[#This Row],[TAX / COM]], " ")</f>
        <v>2880</v>
      </c>
      <c r="H3" t="s">
        <v>122</v>
      </c>
    </row>
    <row r="4" spans="1:10" x14ac:dyDescent="0.25">
      <c r="A4" s="19">
        <v>46067</v>
      </c>
      <c r="B4" t="s">
        <v>120</v>
      </c>
      <c r="D4" s="321" t="s">
        <v>104</v>
      </c>
      <c r="E4" s="323">
        <v>15500</v>
      </c>
      <c r="F4" s="20">
        <f>IF(Table3[[#This Row],[MXN]]&gt;0.1, Table3[[#This Row],[MXN]]*0.1+69.5*2, " ")</f>
        <v>1689</v>
      </c>
      <c r="G4" s="323">
        <f>IF(Table3[[#This Row],[MXN]]&gt;0.1, Table3[[#This Row],[MXN]]+Table3[[#This Row],[TAX / COM]], " ")</f>
        <v>17189</v>
      </c>
      <c r="H4" t="s">
        <v>121</v>
      </c>
    </row>
    <row r="5" spans="1:10" x14ac:dyDescent="0.25">
      <c r="A5" s="19">
        <v>46067</v>
      </c>
      <c r="B5" t="s">
        <v>125</v>
      </c>
      <c r="C5" t="s">
        <v>81</v>
      </c>
      <c r="D5" s="321" t="s">
        <v>104</v>
      </c>
      <c r="E5" s="323">
        <v>13500</v>
      </c>
      <c r="F5" s="20">
        <f>IF(Table3[[#This Row],[MXN]]&gt;0.1, Table3[[#This Row],[MXN]]*0.1+69.5*2, " ")</f>
        <v>1489</v>
      </c>
      <c r="G5" s="323">
        <f>IF(Table3[[#This Row],[MXN]]&gt;0.1, Table3[[#This Row],[MXN]]+Table3[[#This Row],[TAX / COM]], " ")</f>
        <v>14989</v>
      </c>
      <c r="H5" t="s">
        <v>123</v>
      </c>
    </row>
    <row r="6" spans="1:10" x14ac:dyDescent="0.25">
      <c r="A6" s="19">
        <v>46067</v>
      </c>
      <c r="B6" t="s">
        <v>125</v>
      </c>
      <c r="C6" t="s">
        <v>80</v>
      </c>
      <c r="D6" s="321" t="s">
        <v>104</v>
      </c>
      <c r="E6" s="323">
        <v>20000</v>
      </c>
      <c r="F6" s="20">
        <f>IF(Table3[[#This Row],[MXN]]&gt;0.1, Table3[[#This Row],[MXN]]*0.1+69.5*2, " ")</f>
        <v>2139</v>
      </c>
      <c r="G6" s="323">
        <f>IF(Table3[[#This Row],[MXN]]&gt;0.1, Table3[[#This Row],[MXN]]+Table3[[#This Row],[TAX / COM]], " ")</f>
        <v>22139</v>
      </c>
      <c r="H6" t="s">
        <v>124</v>
      </c>
    </row>
    <row r="7" spans="1:10" x14ac:dyDescent="0.25">
      <c r="G7" s="20" t="str">
        <f>IF(Table3[[#This Row],[MXN]]&gt;0.1, Table3[[#This Row],[MXN]]+Table3[[#This Row],[TAX / COM]], " ")</f>
        <v xml:space="preserve"> </v>
      </c>
    </row>
    <row r="8" spans="1:10" x14ac:dyDescent="0.25">
      <c r="G8" s="20" t="str">
        <f>IF(Table3[[#This Row],[MXN]]&gt;0.1, Table3[[#This Row],[MXN]]+Table3[[#This Row],[TAX / COM]], " ")</f>
        <v xml:space="preserve"> </v>
      </c>
    </row>
    <row r="9" spans="1:10" x14ac:dyDescent="0.25">
      <c r="G9" s="20" t="str">
        <f>IF(Table3[[#This Row],[MXN]]&gt;0.1, Table3[[#This Row],[MXN]]+Table3[[#This Row],[TAX / COM]], " ")</f>
        <v xml:space="preserve"> </v>
      </c>
    </row>
    <row r="10" spans="1:10" x14ac:dyDescent="0.25">
      <c r="G10" s="20" t="str">
        <f>IF(Table3[[#This Row],[MXN]]&gt;0.1, Table3[[#This Row],[MXN]]+Table3[[#This Row],[TAX / COM]], " ")</f>
        <v xml:space="preserve"> </v>
      </c>
    </row>
    <row r="11" spans="1:10" x14ac:dyDescent="0.25">
      <c r="G11" s="20" t="str">
        <f>IF(Table3[[#This Row],[MXN]]&gt;0.1, Table3[[#This Row],[MXN]]+Table3[[#This Row],[TAX / COM]], " ")</f>
        <v xml:space="preserve"> </v>
      </c>
    </row>
    <row r="12" spans="1:10" x14ac:dyDescent="0.25">
      <c r="G12" s="20" t="str">
        <f>IF(Table3[[#This Row],[MXN]]&gt;0.1, Table3[[#This Row],[MXN]]+Table3[[#This Row],[TAX / COM]], " ")</f>
        <v xml:space="preserve"> </v>
      </c>
    </row>
    <row r="13" spans="1:10" x14ac:dyDescent="0.25">
      <c r="G13" s="20" t="str">
        <f>IF(Table3[[#This Row],[MXN]]&gt;0.1, Table3[[#This Row],[MXN]]+Table3[[#This Row],[TAX / COM]], " ")</f>
        <v xml:space="preserve"> </v>
      </c>
    </row>
    <row r="14" spans="1:10" x14ac:dyDescent="0.25">
      <c r="G14" s="20" t="str">
        <f>IF(Table3[[#This Row],[MXN]]&gt;0.1, Table3[[#This Row],[MXN]]+Table3[[#This Row],[TAX / COM]], " ")</f>
        <v xml:space="preserve"> </v>
      </c>
    </row>
    <row r="15" spans="1:10" x14ac:dyDescent="0.25">
      <c r="G15" s="20" t="str">
        <f>IF(Table3[[#This Row],[MXN]]&gt;0.1, Table3[[#This Row],[MXN]]+Table3[[#This Row],[TAX / COM]], " ")</f>
        <v xml:space="preserve"> </v>
      </c>
    </row>
    <row r="16" spans="1:10" x14ac:dyDescent="0.25">
      <c r="G16" s="20" t="str">
        <f>IF(Table3[[#This Row],[MXN]]&gt;0.1, Table3[[#This Row],[MXN]]+Table3[[#This Row],[TAX / COM]], " ")</f>
        <v xml:space="preserve"> </v>
      </c>
    </row>
    <row r="17" spans="7:7" x14ac:dyDescent="0.25">
      <c r="G17" s="20" t="str">
        <f>IF(Table3[[#This Row],[MXN]]&gt;0.1, Table3[[#This Row],[MXN]]+Table3[[#This Row],[TAX / COM]], " ")</f>
        <v xml:space="preserve"> </v>
      </c>
    </row>
    <row r="18" spans="7:7" x14ac:dyDescent="0.25">
      <c r="G18" s="20" t="str">
        <f>IF(Table3[[#This Row],[MXN]]&gt;0.1, Table3[[#This Row],[MXN]]+Table3[[#This Row],[TAX / COM]], " ")</f>
        <v xml:space="preserve"> </v>
      </c>
    </row>
    <row r="19" spans="7:7" x14ac:dyDescent="0.25">
      <c r="G19" s="20" t="str">
        <f>IF(Table3[[#This Row],[MXN]]&gt;0.1, Table3[[#This Row],[MXN]]+Table3[[#This Row],[TAX / COM]], " ")</f>
        <v xml:space="preserve"> </v>
      </c>
    </row>
    <row r="20" spans="7:7" x14ac:dyDescent="0.25">
      <c r="G20" s="20" t="str">
        <f>IF(Table3[[#This Row],[MXN]]&gt;0.1, Table3[[#This Row],[MXN]]+Table3[[#This Row],[TAX / COM]], " ")</f>
        <v xml:space="preserve"> </v>
      </c>
    </row>
    <row r="21" spans="7:7" x14ac:dyDescent="0.25">
      <c r="G21" s="20" t="str">
        <f>IF(Table3[[#This Row],[MXN]]&gt;0.1, Table3[[#This Row],[MXN]]+Table3[[#This Row],[TAX / COM]], " ")</f>
        <v xml:space="preserve"> </v>
      </c>
    </row>
    <row r="22" spans="7:7" x14ac:dyDescent="0.25">
      <c r="G22" s="20" t="str">
        <f>IF(Table3[[#This Row],[MXN]]&gt;0.1, Table3[[#This Row],[MXN]]+Table3[[#This Row],[TAX / COM]], " ")</f>
        <v xml:space="preserve"> </v>
      </c>
    </row>
    <row r="23" spans="7:7" x14ac:dyDescent="0.25">
      <c r="G23" s="20" t="str">
        <f>IF(Table3[[#This Row],[MXN]]&gt;0.1, Table3[[#This Row],[MXN]]+Table3[[#This Row],[TAX / COM]], " ")</f>
        <v xml:space="preserve"> </v>
      </c>
    </row>
    <row r="24" spans="7:7" x14ac:dyDescent="0.25">
      <c r="G24" s="20" t="str">
        <f>IF(Table3[[#This Row],[MXN]]&gt;0.1, Table3[[#This Row],[MXN]]+Table3[[#This Row],[TAX / COM]], " ")</f>
        <v xml:space="preserve"> </v>
      </c>
    </row>
    <row r="25" spans="7:7" x14ac:dyDescent="0.25">
      <c r="G25" s="20" t="str">
        <f>IF(Table3[[#This Row],[MXN]]&gt;0.1, Table3[[#This Row],[MXN]]+Table3[[#This Row],[TAX / COM]], " ")</f>
        <v xml:space="preserve"> </v>
      </c>
    </row>
    <row r="26" spans="7:7" x14ac:dyDescent="0.25">
      <c r="G26" s="20" t="str">
        <f>IF(Table3[[#This Row],[MXN]]&gt;0.1, Table3[[#This Row],[MXN]]+Table3[[#This Row],[TAX / COM]], " ")</f>
        <v xml:space="preserve"> </v>
      </c>
    </row>
    <row r="27" spans="7:7" x14ac:dyDescent="0.25">
      <c r="G27" s="20" t="str">
        <f>IF(Table3[[#This Row],[MXN]]&gt;0.1, Table3[[#This Row],[MXN]]+Table3[[#This Row],[TAX / COM]], " ")</f>
        <v xml:space="preserve"> </v>
      </c>
    </row>
    <row r="28" spans="7:7" x14ac:dyDescent="0.25">
      <c r="G28" s="20" t="str">
        <f>IF(Table3[[#This Row],[MXN]]&gt;0.1, Table3[[#This Row],[MXN]]+Table3[[#This Row],[TAX / COM]], " ")</f>
        <v xml:space="preserve"> </v>
      </c>
    </row>
    <row r="29" spans="7:7" x14ac:dyDescent="0.25">
      <c r="G29" s="20" t="str">
        <f>IF(Table3[[#This Row],[MXN]]&gt;0.1, Table3[[#This Row],[MXN]]+Table3[[#This Row],[TAX / COM]], " ")</f>
        <v xml:space="preserve"> </v>
      </c>
    </row>
    <row r="30" spans="7:7" x14ac:dyDescent="0.25">
      <c r="G30" s="20" t="str">
        <f>IF(Table3[[#This Row],[MXN]]&gt;0.1, Table3[[#This Row],[MXN]]+Table3[[#This Row],[TAX / COM]], " ")</f>
        <v xml:space="preserve"> </v>
      </c>
    </row>
    <row r="31" spans="7:7" x14ac:dyDescent="0.25">
      <c r="G31" s="20" t="str">
        <f>IF(Table3[[#This Row],[MXN]]&gt;0.1, Table3[[#This Row],[MXN]]+Table3[[#This Row],[TAX / COM]], " ")</f>
        <v xml:space="preserve"> </v>
      </c>
    </row>
    <row r="32" spans="7:7" x14ac:dyDescent="0.25">
      <c r="G32" s="20" t="str">
        <f>IF(Table3[[#This Row],[MXN]]&gt;0.1, Table3[[#This Row],[MXN]]+Table3[[#This Row],[TAX / COM]], " ")</f>
        <v xml:space="preserve"> </v>
      </c>
    </row>
    <row r="33" spans="7:7" x14ac:dyDescent="0.25">
      <c r="G33" s="20" t="str">
        <f>IF(Table3[[#This Row],[MXN]]&gt;0.1, Table3[[#This Row],[MXN]]+Table3[[#This Row],[TAX / COM]], " ")</f>
        <v xml:space="preserve"> </v>
      </c>
    </row>
    <row r="34" spans="7:7" x14ac:dyDescent="0.25">
      <c r="G34" s="20" t="str">
        <f>IF(Table3[[#This Row],[MXN]]&gt;0.1, Table3[[#This Row],[MXN]]+Table3[[#This Row],[TAX / COM]], " ")</f>
        <v xml:space="preserve"> </v>
      </c>
    </row>
    <row r="35" spans="7:7" x14ac:dyDescent="0.25">
      <c r="G35" s="20" t="str">
        <f>IF(Table3[[#This Row],[MXN]]&gt;0.1, Table3[[#This Row],[MXN]]+Table3[[#This Row],[TAX / COM]], " ")</f>
        <v xml:space="preserve"> </v>
      </c>
    </row>
    <row r="36" spans="7:7" x14ac:dyDescent="0.25">
      <c r="G36" s="20" t="str">
        <f>IF(Table3[[#This Row],[MXN]]&gt;0.1, Table3[[#This Row],[MXN]]+Table3[[#This Row],[TAX / COM]], " ")</f>
        <v xml:space="preserve"> </v>
      </c>
    </row>
    <row r="37" spans="7:7" x14ac:dyDescent="0.25">
      <c r="G37" s="20" t="str">
        <f>IF(Table3[[#This Row],[MXN]]&gt;0.1, Table3[[#This Row],[MXN]]+Table3[[#This Row],[TAX / COM]], " ")</f>
        <v xml:space="preserve"> </v>
      </c>
    </row>
    <row r="38" spans="7:7" x14ac:dyDescent="0.25">
      <c r="G38" s="20" t="str">
        <f>IF(Table3[[#This Row],[MXN]]&gt;0.1, Table3[[#This Row],[MXN]]+Table3[[#This Row],[TAX / COM]], " ")</f>
        <v xml:space="preserve"> </v>
      </c>
    </row>
    <row r="39" spans="7:7" x14ac:dyDescent="0.25">
      <c r="G39" s="20" t="str">
        <f>IF(Table3[[#This Row],[MXN]]&gt;0.1, Table3[[#This Row],[MXN]]+Table3[[#This Row],[TAX / COM]], " ")</f>
        <v xml:space="preserve"> </v>
      </c>
    </row>
    <row r="40" spans="7:7" x14ac:dyDescent="0.25">
      <c r="G40" s="20" t="str">
        <f>IF(Table3[[#This Row],[MXN]]&gt;0.1, Table3[[#This Row],[MXN]]+Table3[[#This Row],[TAX / COM]], " ")</f>
        <v xml:space="preserve"> </v>
      </c>
    </row>
    <row r="41" spans="7:7" x14ac:dyDescent="0.25">
      <c r="G41" s="20" t="str">
        <f>IF(Table3[[#This Row],[MXN]]&gt;0.1, Table3[[#This Row],[MXN]]+Table3[[#This Row],[TAX / COM]], " ")</f>
        <v xml:space="preserve"> </v>
      </c>
    </row>
    <row r="42" spans="7:7" x14ac:dyDescent="0.25">
      <c r="G42" s="20" t="str">
        <f>IF(Table3[[#This Row],[MXN]]&gt;0.1, Table3[[#This Row],[MXN]]+Table3[[#This Row],[TAX / COM]], " ")</f>
        <v xml:space="preserve"> </v>
      </c>
    </row>
    <row r="43" spans="7:7" x14ac:dyDescent="0.25">
      <c r="G43" s="20" t="str">
        <f>IF(Table3[[#This Row],[MXN]]&gt;0.1, Table3[[#This Row],[MXN]]+Table3[[#This Row],[TAX / COM]], " ")</f>
        <v xml:space="preserve"> </v>
      </c>
    </row>
    <row r="44" spans="7:7" x14ac:dyDescent="0.25">
      <c r="G44" s="20" t="str">
        <f>IF(Table3[[#This Row],[MXN]]&gt;0.1, Table3[[#This Row],[MXN]]+Table3[[#This Row],[TAX / COM]], " ")</f>
        <v xml:space="preserve"> </v>
      </c>
    </row>
    <row r="45" spans="7:7" x14ac:dyDescent="0.25">
      <c r="G45" s="20" t="str">
        <f>IF(Table3[[#This Row],[MXN]]&gt;0.1, Table3[[#This Row],[MXN]]+Table3[[#This Row],[TAX / COM]], " ")</f>
        <v xml:space="preserve"> </v>
      </c>
    </row>
    <row r="46" spans="7:7" x14ac:dyDescent="0.25">
      <c r="G46" s="20" t="str">
        <f>IF(Table3[[#This Row],[MXN]]&gt;0.1, Table3[[#This Row],[MXN]]+Table3[[#This Row],[TAX / COM]], " ")</f>
        <v xml:space="preserve"> </v>
      </c>
    </row>
    <row r="47" spans="7:7" x14ac:dyDescent="0.25">
      <c r="G47" s="20" t="str">
        <f>IF(Table3[[#This Row],[MXN]]&gt;0.1, Table3[[#This Row],[MXN]]+Table3[[#This Row],[TAX / COM]], " ")</f>
        <v xml:space="preserve"> </v>
      </c>
    </row>
    <row r="48" spans="7:7" x14ac:dyDescent="0.25">
      <c r="G48" s="20" t="str">
        <f>IF(Table3[[#This Row],[MXN]]&gt;0.1, Table3[[#This Row],[MXN]]+Table3[[#This Row],[TAX / COM]], " ")</f>
        <v xml:space="preserve"> </v>
      </c>
    </row>
    <row r="49" spans="7:7" x14ac:dyDescent="0.25">
      <c r="G49" s="20" t="str">
        <f>IF(Table3[[#This Row],[MXN]]&gt;0.1, Table3[[#This Row],[MXN]]+Table3[[#This Row],[TAX / COM]], " ")</f>
        <v xml:space="preserve"> </v>
      </c>
    </row>
    <row r="50" spans="7:7" x14ac:dyDescent="0.25">
      <c r="G50" s="20" t="str">
        <f>IF(Table3[[#This Row],[MXN]]&gt;0.1, Table3[[#This Row],[MXN]]+Table3[[#This Row],[TAX / COM]], " ")</f>
        <v xml:space="preserve"> </v>
      </c>
    </row>
    <row r="51" spans="7:7" x14ac:dyDescent="0.25">
      <c r="G51" s="20" t="str">
        <f>IF(Table3[[#This Row],[MXN]]&gt;0.1, Table3[[#This Row],[MXN]]+Table3[[#This Row],[TAX / COM]], " ")</f>
        <v xml:space="preserve"> </v>
      </c>
    </row>
    <row r="52" spans="7:7" x14ac:dyDescent="0.25">
      <c r="G52" s="20" t="str">
        <f>IF(Table3[[#This Row],[MXN]]&gt;0.1, Table3[[#This Row],[MXN]]+Table3[[#This Row],[TAX / COM]], " ")</f>
        <v xml:space="preserve"> </v>
      </c>
    </row>
    <row r="53" spans="7:7" x14ac:dyDescent="0.25">
      <c r="G53" s="20" t="str">
        <f>IF(Table3[[#This Row],[MXN]]&gt;0.1, Table3[[#This Row],[MXN]]+Table3[[#This Row],[TAX / COM]], " ")</f>
        <v xml:space="preserve"> </v>
      </c>
    </row>
    <row r="54" spans="7:7" x14ac:dyDescent="0.25">
      <c r="G54" s="20" t="str">
        <f>IF(Table3[[#This Row],[MXN]]&gt;0.1, Table3[[#This Row],[MXN]]+Table3[[#This Row],[TAX / COM]], " ")</f>
        <v xml:space="preserve"> </v>
      </c>
    </row>
    <row r="55" spans="7:7" x14ac:dyDescent="0.25">
      <c r="G55" s="20" t="str">
        <f>IF(Table3[[#This Row],[MXN]]&gt;0.1, Table3[[#This Row],[MXN]]+Table3[[#This Row],[TAX / COM]], " ")</f>
        <v xml:space="preserve"> </v>
      </c>
    </row>
    <row r="56" spans="7:7" x14ac:dyDescent="0.25">
      <c r="G56" s="20" t="str">
        <f>IF(Table3[[#This Row],[MXN]]&gt;0.1, Table3[[#This Row],[MXN]]+Table3[[#This Row],[TAX / COM]], " ")</f>
        <v xml:space="preserve"> </v>
      </c>
    </row>
    <row r="57" spans="7:7" x14ac:dyDescent="0.25">
      <c r="G57" s="20" t="str">
        <f>IF(Table3[[#This Row],[MXN]]&gt;0.1, Table3[[#This Row],[MXN]]+Table3[[#This Row],[TAX / COM]], " ")</f>
        <v xml:space="preserve"> </v>
      </c>
    </row>
    <row r="58" spans="7:7" x14ac:dyDescent="0.25">
      <c r="G58" s="20" t="str">
        <f>IF(Table3[[#This Row],[MXN]]&gt;0.1, Table3[[#This Row],[MXN]]+Table3[[#This Row],[TAX / COM]], " ")</f>
        <v xml:space="preserve"> </v>
      </c>
    </row>
    <row r="59" spans="7:7" x14ac:dyDescent="0.25">
      <c r="G59" s="20" t="str">
        <f>IF(Table3[[#This Row],[MXN]]&gt;0.1, Table3[[#This Row],[MXN]]+Table3[[#This Row],[TAX / COM]], " ")</f>
        <v xml:space="preserve"> </v>
      </c>
    </row>
    <row r="60" spans="7:7" x14ac:dyDescent="0.25">
      <c r="G60" s="20" t="str">
        <f>IF(Table3[[#This Row],[MXN]]&gt;0.1, Table3[[#This Row],[MXN]]+Table3[[#This Row],[TAX / COM]], " ")</f>
        <v xml:space="preserve"> </v>
      </c>
    </row>
    <row r="61" spans="7:7" x14ac:dyDescent="0.25">
      <c r="G61" s="20" t="str">
        <f>IF(Table3[[#This Row],[MXN]]&gt;0.1, Table3[[#This Row],[MXN]]+Table3[[#This Row],[TAX / COM]], " ")</f>
        <v xml:space="preserve"> </v>
      </c>
    </row>
    <row r="62" spans="7:7" x14ac:dyDescent="0.25">
      <c r="G62" s="20" t="str">
        <f>IF(Table3[[#This Row],[MXN]]&gt;0.1, Table3[[#This Row],[MXN]]+Table3[[#This Row],[TAX / COM]], " ")</f>
        <v xml:space="preserve"> </v>
      </c>
    </row>
    <row r="63" spans="7:7" x14ac:dyDescent="0.25">
      <c r="G63" s="20" t="str">
        <f>IF(Table3[[#This Row],[MXN]]&gt;0.1, Table3[[#This Row],[MXN]]+Table3[[#This Row],[TAX / COM]], " ")</f>
        <v xml:space="preserve"> </v>
      </c>
    </row>
    <row r="64" spans="7:7" x14ac:dyDescent="0.25">
      <c r="G64" s="20" t="str">
        <f>IF(Table3[[#This Row],[MXN]]&gt;0.1, Table3[[#This Row],[MXN]]+Table3[[#This Row],[TAX / COM]], " ")</f>
        <v xml:space="preserve"> </v>
      </c>
    </row>
    <row r="65" spans="7:7" x14ac:dyDescent="0.25">
      <c r="G65" s="20" t="str">
        <f>IF(Table3[[#This Row],[MXN]]&gt;0.1, Table3[[#This Row],[MXN]]+Table3[[#This Row],[TAX / COM]], " ")</f>
        <v xml:space="preserve"> </v>
      </c>
    </row>
    <row r="66" spans="7:7" x14ac:dyDescent="0.25">
      <c r="G66" s="20" t="str">
        <f>IF(Table3[[#This Row],[MXN]]&gt;0.1, Table3[[#This Row],[MXN]]+Table3[[#This Row],[TAX / COM]], " ")</f>
        <v xml:space="preserve"> </v>
      </c>
    </row>
    <row r="67" spans="7:7" x14ac:dyDescent="0.25">
      <c r="G67" s="20" t="str">
        <f>IF(Table3[[#This Row],[MXN]]&gt;0.1, Table3[[#This Row],[MXN]]+Table3[[#This Row],[TAX / COM]], " ")</f>
        <v xml:space="preserve"> </v>
      </c>
    </row>
    <row r="68" spans="7:7" x14ac:dyDescent="0.25">
      <c r="G68" s="20" t="str">
        <f>IF(Table3[[#This Row],[MXN]]&gt;0.1, Table3[[#This Row],[MXN]]+Table3[[#This Row],[TAX / COM]], " ")</f>
        <v xml:space="preserve"> </v>
      </c>
    </row>
    <row r="69" spans="7:7" x14ac:dyDescent="0.25">
      <c r="G69" s="20" t="str">
        <f>IF(Table3[[#This Row],[MXN]]&gt;0.1, Table3[[#This Row],[MXN]]+Table3[[#This Row],[TAX / COM]], " ")</f>
        <v xml:space="preserve"> </v>
      </c>
    </row>
    <row r="70" spans="7:7" x14ac:dyDescent="0.25">
      <c r="G70" s="20" t="str">
        <f>IF(Table3[[#This Row],[MXN]]&gt;0.1, Table3[[#This Row],[MXN]]+Table3[[#This Row],[TAX / COM]], " ")</f>
        <v xml:space="preserve"> </v>
      </c>
    </row>
    <row r="71" spans="7:7" x14ac:dyDescent="0.25">
      <c r="G71" s="20" t="str">
        <f>IF(Table3[[#This Row],[MXN]]&gt;0.1, Table3[[#This Row],[MXN]]+Table3[[#This Row],[TAX / COM]], " ")</f>
        <v xml:space="preserve"> </v>
      </c>
    </row>
    <row r="72" spans="7:7" x14ac:dyDescent="0.25">
      <c r="G72" s="20" t="str">
        <f>IF(Table3[[#This Row],[MXN]]&gt;0.1, Table3[[#This Row],[MXN]]+Table3[[#This Row],[TAX / COM]], " ")</f>
        <v xml:space="preserve"> </v>
      </c>
    </row>
    <row r="73" spans="7:7" x14ac:dyDescent="0.25">
      <c r="G73" s="20" t="str">
        <f>IF(Table3[[#This Row],[MXN]]&gt;0.1, Table3[[#This Row],[MXN]]+Table3[[#This Row],[TAX / COM]], " ")</f>
        <v xml:space="preserve"> </v>
      </c>
    </row>
    <row r="74" spans="7:7" x14ac:dyDescent="0.25">
      <c r="G74" s="20" t="str">
        <f>IF(Table3[[#This Row],[MXN]]&gt;0.1, Table3[[#This Row],[MXN]]+Table3[[#This Row],[TAX / COM]], " ")</f>
        <v xml:space="preserve"> </v>
      </c>
    </row>
    <row r="75" spans="7:7" x14ac:dyDescent="0.25">
      <c r="G75" s="20" t="str">
        <f>IF(Table3[[#This Row],[MXN]]&gt;0.1, Table3[[#This Row],[MXN]]+Table3[[#This Row],[TAX / COM]], " ")</f>
        <v xml:space="preserve"> </v>
      </c>
    </row>
    <row r="76" spans="7:7" x14ac:dyDescent="0.25">
      <c r="G76" s="20" t="str">
        <f>IF(Table3[[#This Row],[MXN]]&gt;0.1, Table3[[#This Row],[MXN]]+Table3[[#This Row],[TAX / COM]], " ")</f>
        <v xml:space="preserve"> </v>
      </c>
    </row>
    <row r="77" spans="7:7" x14ac:dyDescent="0.25">
      <c r="G77" s="20" t="str">
        <f>IF(Table3[[#This Row],[MXN]]&gt;0.1, Table3[[#This Row],[MXN]]+Table3[[#This Row],[TAX / COM]], " ")</f>
        <v xml:space="preserve"> </v>
      </c>
    </row>
    <row r="78" spans="7:7" x14ac:dyDescent="0.25">
      <c r="G78" s="20" t="str">
        <f>IF(Table3[[#This Row],[MXN]]&gt;0.1, Table3[[#This Row],[MXN]]+Table3[[#This Row],[TAX / COM]], " ")</f>
        <v xml:space="preserve"> </v>
      </c>
    </row>
    <row r="79" spans="7:7" x14ac:dyDescent="0.25">
      <c r="G79" s="20" t="str">
        <f>IF(Table3[[#This Row],[MXN]]&gt;0.1, Table3[[#This Row],[MXN]]+Table3[[#This Row],[TAX / COM]], " ")</f>
        <v xml:space="preserve"> </v>
      </c>
    </row>
    <row r="80" spans="7:7" x14ac:dyDescent="0.25">
      <c r="G80" s="20" t="str">
        <f>IF(Table3[[#This Row],[MXN]]&gt;0.1, Table3[[#This Row],[MXN]]+Table3[[#This Row],[TAX / COM]], " ")</f>
        <v xml:space="preserve"> </v>
      </c>
    </row>
    <row r="81" spans="7:7" x14ac:dyDescent="0.25">
      <c r="G81" s="20" t="str">
        <f>IF(Table3[[#This Row],[MXN]]&gt;0.1, Table3[[#This Row],[MXN]]+Table3[[#This Row],[TAX / COM]], " ")</f>
        <v xml:space="preserve"> </v>
      </c>
    </row>
    <row r="82" spans="7:7" x14ac:dyDescent="0.25">
      <c r="G82" s="20" t="str">
        <f>IF(Table3[[#This Row],[MXN]]&gt;0.1, Table3[[#This Row],[MXN]]+Table3[[#This Row],[TAX / COM]], " ")</f>
        <v xml:space="preserve"> </v>
      </c>
    </row>
    <row r="83" spans="7:7" x14ac:dyDescent="0.25">
      <c r="G83" s="20" t="str">
        <f>IF(Table3[[#This Row],[MXN]]&gt;0.1, Table3[[#This Row],[MXN]]+Table3[[#This Row],[TAX / COM]], " ")</f>
        <v xml:space="preserve"> </v>
      </c>
    </row>
    <row r="84" spans="7:7" x14ac:dyDescent="0.25">
      <c r="G84" s="20" t="str">
        <f>IF(Table3[[#This Row],[MXN]]&gt;0.1, Table3[[#This Row],[MXN]]+Table3[[#This Row],[TAX / COM]], " ")</f>
        <v xml:space="preserve"> </v>
      </c>
    </row>
    <row r="85" spans="7:7" x14ac:dyDescent="0.25">
      <c r="G85" s="20" t="str">
        <f>IF(Table3[[#This Row],[MXN]]&gt;0.1, Table3[[#This Row],[MXN]]+Table3[[#This Row],[TAX / COM]], " ")</f>
        <v xml:space="preserve"> </v>
      </c>
    </row>
    <row r="86" spans="7:7" x14ac:dyDescent="0.25">
      <c r="G86" s="20" t="str">
        <f>IF(Table3[[#This Row],[MXN]]&gt;0.1, Table3[[#This Row],[MXN]]+Table3[[#This Row],[TAX / COM]], " ")</f>
        <v xml:space="preserve"> </v>
      </c>
    </row>
    <row r="87" spans="7:7" x14ac:dyDescent="0.25">
      <c r="G87" s="20" t="str">
        <f>IF(Table3[[#This Row],[MXN]]&gt;0.1, Table3[[#This Row],[MXN]]+Table3[[#This Row],[TAX / COM]], " ")</f>
        <v xml:space="preserve"> </v>
      </c>
    </row>
    <row r="88" spans="7:7" x14ac:dyDescent="0.25">
      <c r="G88" s="20" t="str">
        <f>IF(Table3[[#This Row],[MXN]]&gt;0.1, Table3[[#This Row],[MXN]]+Table3[[#This Row],[TAX / COM]], " ")</f>
        <v xml:space="preserve"> </v>
      </c>
    </row>
    <row r="89" spans="7:7" x14ac:dyDescent="0.25">
      <c r="G89" s="20" t="str">
        <f>IF(Table3[[#This Row],[MXN]]&gt;0.1, Table3[[#This Row],[MXN]]+Table3[[#This Row],[TAX / COM]], " ")</f>
        <v xml:space="preserve"> </v>
      </c>
    </row>
    <row r="90" spans="7:7" x14ac:dyDescent="0.25">
      <c r="G90" s="20" t="str">
        <f>IF(Table3[[#This Row],[MXN]]&gt;0.1, Table3[[#This Row],[MXN]]+Table3[[#This Row],[TAX / COM]], " ")</f>
        <v xml:space="preserve"> </v>
      </c>
    </row>
    <row r="91" spans="7:7" x14ac:dyDescent="0.25">
      <c r="G91" s="20" t="str">
        <f>IF(Table3[[#This Row],[MXN]]&gt;0.1, Table3[[#This Row],[MXN]]+Table3[[#This Row],[TAX / COM]], " ")</f>
        <v xml:space="preserve"> </v>
      </c>
    </row>
    <row r="92" spans="7:7" x14ac:dyDescent="0.25">
      <c r="G92" s="20" t="str">
        <f>IF(Table3[[#This Row],[MXN]]&gt;0.1, Table3[[#This Row],[MXN]]+Table3[[#This Row],[TAX / COM]], " ")</f>
        <v xml:space="preserve"> </v>
      </c>
    </row>
    <row r="93" spans="7:7" x14ac:dyDescent="0.25">
      <c r="G93" s="20" t="str">
        <f>IF(Table3[[#This Row],[MXN]]&gt;0.1, Table3[[#This Row],[MXN]]+Table3[[#This Row],[TAX / COM]], " ")</f>
        <v xml:space="preserve"> </v>
      </c>
    </row>
    <row r="94" spans="7:7" x14ac:dyDescent="0.25">
      <c r="G94" s="20" t="str">
        <f>IF(Table3[[#This Row],[MXN]]&gt;0.1, Table3[[#This Row],[MXN]]+Table3[[#This Row],[TAX / COM]], " ")</f>
        <v xml:space="preserve"> </v>
      </c>
    </row>
    <row r="95" spans="7:7" x14ac:dyDescent="0.25">
      <c r="G95" s="20" t="str">
        <f>IF(Table3[[#This Row],[MXN]]&gt;0.1, Table3[[#This Row],[MXN]]+Table3[[#This Row],[TAX / COM]], " ")</f>
        <v xml:space="preserve"> </v>
      </c>
    </row>
    <row r="96" spans="7:7" x14ac:dyDescent="0.25">
      <c r="G96" s="20" t="str">
        <f>IF(Table3[[#This Row],[MXN]]&gt;0.1, Table3[[#This Row],[MXN]]+Table3[[#This Row],[TAX / COM]], " ")</f>
        <v xml:space="preserve"> </v>
      </c>
    </row>
    <row r="97" spans="7:7" x14ac:dyDescent="0.25">
      <c r="G97" s="20" t="str">
        <f>IF(Table3[[#This Row],[MXN]]&gt;0.1, Table3[[#This Row],[MXN]]+Table3[[#This Row],[TAX / COM]], " ")</f>
        <v xml:space="preserve"> </v>
      </c>
    </row>
    <row r="98" spans="7:7" x14ac:dyDescent="0.25">
      <c r="G98" s="20" t="str">
        <f>IF(Table3[[#This Row],[MXN]]&gt;0.1, Table3[[#This Row],[MXN]]+Table3[[#This Row],[TAX / COM]], " ")</f>
        <v xml:space="preserve"> </v>
      </c>
    </row>
    <row r="99" spans="7:7" x14ac:dyDescent="0.25">
      <c r="G99" s="20" t="str">
        <f>IF(Table3[[#This Row],[MXN]]&gt;0.1, Table3[[#This Row],[MXN]]+Table3[[#This Row],[TAX / COM]], " ")</f>
        <v xml:space="preserve"> </v>
      </c>
    </row>
    <row r="100" spans="7:7" x14ac:dyDescent="0.25">
      <c r="G100" s="20" t="str">
        <f>IF(Table3[[#This Row],[MXN]]&gt;0.1, Table3[[#This Row],[MXN]]+Table3[[#This Row],[TAX / COM]], " ")</f>
        <v xml:space="preserve"> </v>
      </c>
    </row>
    <row r="101" spans="7:7" x14ac:dyDescent="0.25">
      <c r="G101" s="20" t="str">
        <f>IF(Table3[[#This Row],[MXN]]&gt;0.1, Table3[[#This Row],[MXN]]+Table3[[#This Row],[TAX / COM]], " ")</f>
        <v xml:space="preserve"> </v>
      </c>
    </row>
    <row r="102" spans="7:7" x14ac:dyDescent="0.25">
      <c r="G102" s="20" t="str">
        <f>IF(Table3[[#This Row],[MXN]]&gt;0.1, Table3[[#This Row],[MXN]]+Table3[[#This Row],[TAX / COM]], " ")</f>
        <v xml:space="preserve"> </v>
      </c>
    </row>
    <row r="103" spans="7:7" x14ac:dyDescent="0.25">
      <c r="G103" s="20" t="str">
        <f>IF(Table3[[#This Row],[MXN]]&gt;0.1, Table3[[#This Row],[MXN]]+Table3[[#This Row],[TAX / COM]], " ")</f>
        <v xml:space="preserve"> </v>
      </c>
    </row>
    <row r="104" spans="7:7" x14ac:dyDescent="0.25">
      <c r="G104" s="20" t="str">
        <f>IF(Table3[[#This Row],[MXN]]&gt;0.1, Table3[[#This Row],[MXN]]+Table3[[#This Row],[TAX / COM]], " ")</f>
        <v xml:space="preserve"> </v>
      </c>
    </row>
    <row r="105" spans="7:7" x14ac:dyDescent="0.25">
      <c r="G105" s="20" t="str">
        <f>IF(Table3[[#This Row],[MXN]]&gt;0.1, Table3[[#This Row],[MXN]]+Table3[[#This Row],[TAX / COM]], " ")</f>
        <v xml:space="preserve"> </v>
      </c>
    </row>
    <row r="106" spans="7:7" x14ac:dyDescent="0.25">
      <c r="G106" s="20" t="str">
        <f>IF(Table3[[#This Row],[MXN]]&gt;0.1, Table3[[#This Row],[MXN]]+Table3[[#This Row],[TAX / COM]], " ")</f>
        <v xml:space="preserve"> </v>
      </c>
    </row>
    <row r="107" spans="7:7" x14ac:dyDescent="0.25">
      <c r="G107" s="20" t="str">
        <f>IF(Table3[[#This Row],[MXN]]&gt;0.1, Table3[[#This Row],[MXN]]+Table3[[#This Row],[TAX / COM]], " ")</f>
        <v xml:space="preserve"> </v>
      </c>
    </row>
    <row r="108" spans="7:7" x14ac:dyDescent="0.25">
      <c r="G108" s="20" t="str">
        <f>IF(Table3[[#This Row],[MXN]]&gt;0.1, Table3[[#This Row],[MXN]]+Table3[[#This Row],[TAX / COM]], " ")</f>
        <v xml:space="preserve"> </v>
      </c>
    </row>
    <row r="109" spans="7:7" x14ac:dyDescent="0.25">
      <c r="G109" s="20" t="str">
        <f>IF(Table3[[#This Row],[MXN]]&gt;0.1, Table3[[#This Row],[MXN]]+Table3[[#This Row],[TAX / COM]], " ")</f>
        <v xml:space="preserve"> </v>
      </c>
    </row>
    <row r="110" spans="7:7" x14ac:dyDescent="0.25">
      <c r="G110" s="20" t="str">
        <f>IF(Table3[[#This Row],[MXN]]&gt;0.1, Table3[[#This Row],[MXN]]+Table3[[#This Row],[TAX / COM]], " ")</f>
        <v xml:space="preserve"> </v>
      </c>
    </row>
    <row r="111" spans="7:7" x14ac:dyDescent="0.25">
      <c r="G111" s="20" t="str">
        <f>IF(Table3[[#This Row],[MXN]]&gt;0.1, Table3[[#This Row],[MXN]]+Table3[[#This Row],[TAX / COM]], " ")</f>
        <v xml:space="preserve"> </v>
      </c>
    </row>
    <row r="112" spans="7:7" x14ac:dyDescent="0.25">
      <c r="G112" s="20" t="str">
        <f>IF(Table3[[#This Row],[MXN]]&gt;0.1, Table3[[#This Row],[MXN]]+Table3[[#This Row],[TAX / COM]], " ")</f>
        <v xml:space="preserve"> </v>
      </c>
    </row>
    <row r="113" spans="7:7" x14ac:dyDescent="0.25">
      <c r="G113" s="20" t="str">
        <f>IF(Table3[[#This Row],[MXN]]&gt;0.1, Table3[[#This Row],[MXN]]+Table3[[#This Row],[TAX / COM]], " ")</f>
        <v xml:space="preserve"> </v>
      </c>
    </row>
    <row r="114" spans="7:7" x14ac:dyDescent="0.25">
      <c r="G114" s="20" t="str">
        <f>IF(Table3[[#This Row],[MXN]]&gt;0.1, Table3[[#This Row],[MXN]]+Table3[[#This Row],[TAX / COM]], " ")</f>
        <v xml:space="preserve"> </v>
      </c>
    </row>
    <row r="115" spans="7:7" x14ac:dyDescent="0.25">
      <c r="G115" s="20" t="str">
        <f>IF(Table3[[#This Row],[MXN]]&gt;0.1, Table3[[#This Row],[MXN]]+Table3[[#This Row],[TAX / COM]], " ")</f>
        <v xml:space="preserve"> </v>
      </c>
    </row>
    <row r="116" spans="7:7" x14ac:dyDescent="0.25">
      <c r="G116" s="20" t="str">
        <f>IF(Table3[[#This Row],[MXN]]&gt;0.1, Table3[[#This Row],[MXN]]+Table3[[#This Row],[TAX / COM]], " ")</f>
        <v xml:space="preserve"> </v>
      </c>
    </row>
    <row r="117" spans="7:7" x14ac:dyDescent="0.25">
      <c r="G117" s="20" t="str">
        <f>IF(Table3[[#This Row],[MXN]]&gt;0.1, Table3[[#This Row],[MXN]]+Table3[[#This Row],[TAX / COM]], " ")</f>
        <v xml:space="preserve"> </v>
      </c>
    </row>
    <row r="118" spans="7:7" x14ac:dyDescent="0.25">
      <c r="G118" s="20" t="str">
        <f>IF(Table3[[#This Row],[MXN]]&gt;0.1, Table3[[#This Row],[MXN]]+Table3[[#This Row],[TAX / COM]], " ")</f>
        <v xml:space="preserve"> </v>
      </c>
    </row>
    <row r="119" spans="7:7" x14ac:dyDescent="0.25">
      <c r="G119" s="20" t="str">
        <f>IF(Table3[[#This Row],[MXN]]&gt;0.1, Table3[[#This Row],[MXN]]+Table3[[#This Row],[TAX / COM]], " ")</f>
        <v xml:space="preserve"> </v>
      </c>
    </row>
    <row r="120" spans="7:7" x14ac:dyDescent="0.25">
      <c r="G120" s="20" t="str">
        <f>IF(Table3[[#This Row],[MXN]]&gt;0.1, Table3[[#This Row],[MXN]]+Table3[[#This Row],[TAX / COM]], " ")</f>
        <v xml:space="preserve"> </v>
      </c>
    </row>
    <row r="121" spans="7:7" x14ac:dyDescent="0.25">
      <c r="G121" s="20" t="str">
        <f>IF(Table3[[#This Row],[MXN]]&gt;0.1, Table3[[#This Row],[MXN]]+Table3[[#This Row],[TAX / COM]], " ")</f>
        <v xml:space="preserve"> </v>
      </c>
    </row>
    <row r="122" spans="7:7" x14ac:dyDescent="0.25">
      <c r="G122" s="20" t="str">
        <f>IF(Table3[[#This Row],[MXN]]&gt;0.1, Table3[[#This Row],[MXN]]+Table3[[#This Row],[TAX / COM]], " ")</f>
        <v xml:space="preserve"> </v>
      </c>
    </row>
    <row r="123" spans="7:7" x14ac:dyDescent="0.25">
      <c r="G123" s="20" t="str">
        <f>IF(Table3[[#This Row],[MXN]]&gt;0.1, Table3[[#This Row],[MXN]]+Table3[[#This Row],[TAX / COM]], " ")</f>
        <v xml:space="preserve"> </v>
      </c>
    </row>
    <row r="124" spans="7:7" x14ac:dyDescent="0.25">
      <c r="G124" s="20" t="str">
        <f>IF(Table3[[#This Row],[MXN]]&gt;0.1, Table3[[#This Row],[MXN]]+Table3[[#This Row],[TAX / COM]], " ")</f>
        <v xml:space="preserve"> </v>
      </c>
    </row>
    <row r="125" spans="7:7" x14ac:dyDescent="0.25">
      <c r="G125" s="20" t="str">
        <f>IF(Table3[[#This Row],[MXN]]&gt;0.1, Table3[[#This Row],[MXN]]+Table3[[#This Row],[TAX / COM]], " ")</f>
        <v xml:space="preserve"> </v>
      </c>
    </row>
    <row r="126" spans="7:7" x14ac:dyDescent="0.25">
      <c r="G126" s="20" t="str">
        <f>IF(Table3[[#This Row],[MXN]]&gt;0.1, Table3[[#This Row],[MXN]]+Table3[[#This Row],[TAX / COM]], " ")</f>
        <v xml:space="preserve"> </v>
      </c>
    </row>
    <row r="127" spans="7:7" x14ac:dyDescent="0.25">
      <c r="G127" s="20" t="str">
        <f>IF(Table3[[#This Row],[MXN]]&gt;0.1, Table3[[#This Row],[MXN]]+Table3[[#This Row],[TAX / COM]], " ")</f>
        <v xml:space="preserve"> </v>
      </c>
    </row>
    <row r="128" spans="7:7" x14ac:dyDescent="0.25">
      <c r="G128" s="20" t="str">
        <f>IF(Table3[[#This Row],[MXN]]&gt;0.1, Table3[[#This Row],[MXN]]+Table3[[#This Row],[TAX / COM]], " ")</f>
        <v xml:space="preserve"> </v>
      </c>
    </row>
    <row r="129" spans="7:7" x14ac:dyDescent="0.25">
      <c r="G129" s="20" t="str">
        <f>IF(Table3[[#This Row],[MXN]]&gt;0.1, Table3[[#This Row],[MXN]]+Table3[[#This Row],[TAX / COM]], " ")</f>
        <v xml:space="preserve"> </v>
      </c>
    </row>
    <row r="130" spans="7:7" x14ac:dyDescent="0.25">
      <c r="G130" s="20" t="str">
        <f>IF(Table3[[#This Row],[MXN]]&gt;0.1, Table3[[#This Row],[MXN]]+Table3[[#This Row],[TAX / COM]], " ")</f>
        <v xml:space="preserve"> </v>
      </c>
    </row>
    <row r="131" spans="7:7" x14ac:dyDescent="0.25">
      <c r="G131" s="20" t="str">
        <f>IF(Table3[[#This Row],[MXN]]&gt;0.1, Table3[[#This Row],[MXN]]+Table3[[#This Row],[TAX / COM]], " ")</f>
        <v xml:space="preserve"> </v>
      </c>
    </row>
    <row r="132" spans="7:7" x14ac:dyDescent="0.25">
      <c r="G132" s="20" t="str">
        <f>IF(Table3[[#This Row],[MXN]]&gt;0.1, Table3[[#This Row],[MXN]]+Table3[[#This Row],[TAX / COM]], " ")</f>
        <v xml:space="preserve"> </v>
      </c>
    </row>
    <row r="133" spans="7:7" x14ac:dyDescent="0.25">
      <c r="G133" s="20" t="str">
        <f>IF(Table3[[#This Row],[MXN]]&gt;0.1, Table3[[#This Row],[MXN]]+Table3[[#This Row],[TAX / COM]], " ")</f>
        <v xml:space="preserve"> </v>
      </c>
    </row>
    <row r="134" spans="7:7" x14ac:dyDescent="0.25">
      <c r="G134" s="20" t="str">
        <f>IF(Table3[[#This Row],[MXN]]&gt;0.1, Table3[[#This Row],[MXN]]+Table3[[#This Row],[TAX / COM]], " ")</f>
        <v xml:space="preserve"> </v>
      </c>
    </row>
    <row r="135" spans="7:7" x14ac:dyDescent="0.25">
      <c r="G135" s="20" t="str">
        <f>IF(Table3[[#This Row],[MXN]]&gt;0.1, Table3[[#This Row],[MXN]]+Table3[[#This Row],[TAX / COM]], " ")</f>
        <v xml:space="preserve"> </v>
      </c>
    </row>
    <row r="136" spans="7:7" x14ac:dyDescent="0.25">
      <c r="G136" s="20" t="str">
        <f>IF(Table3[[#This Row],[MXN]]&gt;0.1, Table3[[#This Row],[MXN]]+Table3[[#This Row],[TAX / COM]], " ")</f>
        <v xml:space="preserve"> </v>
      </c>
    </row>
    <row r="137" spans="7:7" x14ac:dyDescent="0.25">
      <c r="G137" s="20" t="str">
        <f>IF(Table3[[#This Row],[MXN]]&gt;0.1, Table3[[#This Row],[MXN]]+Table3[[#This Row],[TAX / COM]], " ")</f>
        <v xml:space="preserve"> </v>
      </c>
    </row>
    <row r="138" spans="7:7" x14ac:dyDescent="0.25">
      <c r="G138" s="20" t="str">
        <f>IF(Table3[[#This Row],[MXN]]&gt;0.1, Table3[[#This Row],[MXN]]+Table3[[#This Row],[TAX / COM]], " ")</f>
        <v xml:space="preserve"> </v>
      </c>
    </row>
    <row r="139" spans="7:7" x14ac:dyDescent="0.25">
      <c r="G139" s="20" t="str">
        <f>IF(Table3[[#This Row],[MXN]]&gt;0.1, Table3[[#This Row],[MXN]]+Table3[[#This Row],[TAX / COM]], " ")</f>
        <v xml:space="preserve"> </v>
      </c>
    </row>
    <row r="140" spans="7:7" x14ac:dyDescent="0.25">
      <c r="G140" s="20" t="str">
        <f>IF(Table3[[#This Row],[MXN]]&gt;0.1, Table3[[#This Row],[MXN]]+Table3[[#This Row],[TAX / COM]], " ")</f>
        <v xml:space="preserve"> </v>
      </c>
    </row>
    <row r="141" spans="7:7" x14ac:dyDescent="0.25">
      <c r="G141" s="20" t="str">
        <f>IF(Table3[[#This Row],[MXN]]&gt;0.1, Table3[[#This Row],[MXN]]+Table3[[#This Row],[TAX / COM]], " ")</f>
        <v xml:space="preserve"> </v>
      </c>
    </row>
    <row r="142" spans="7:7" x14ac:dyDescent="0.25">
      <c r="G142" s="20" t="str">
        <f>IF(Table3[[#This Row],[MXN]]&gt;0.1, Table3[[#This Row],[MXN]]+Table3[[#This Row],[TAX / COM]], " ")</f>
        <v xml:space="preserve"> </v>
      </c>
    </row>
    <row r="143" spans="7:7" x14ac:dyDescent="0.25">
      <c r="G143" s="20" t="str">
        <f>IF(Table3[[#This Row],[MXN]]&gt;0.1, Table3[[#This Row],[MXN]]+Table3[[#This Row],[TAX / COM]], " ")</f>
        <v xml:space="preserve"> </v>
      </c>
    </row>
    <row r="144" spans="7:7" x14ac:dyDescent="0.25">
      <c r="G144" s="20" t="str">
        <f>IF(Table3[[#This Row],[MXN]]&gt;0.1, Table3[[#This Row],[MXN]]+Table3[[#This Row],[TAX / COM]], " ")</f>
        <v xml:space="preserve"> </v>
      </c>
    </row>
    <row r="145" spans="7:7" x14ac:dyDescent="0.25">
      <c r="G145" s="20" t="str">
        <f>IF(Table3[[#This Row],[MXN]]&gt;0.1, Table3[[#This Row],[MXN]]+Table3[[#This Row],[TAX / COM]], " ")</f>
        <v xml:space="preserve"> </v>
      </c>
    </row>
    <row r="146" spans="7:7" x14ac:dyDescent="0.25">
      <c r="G146" s="20" t="str">
        <f>IF(Table3[[#This Row],[MXN]]&gt;0.1, Table3[[#This Row],[MXN]]+Table3[[#This Row],[TAX / COM]], " ")</f>
        <v xml:space="preserve"> </v>
      </c>
    </row>
    <row r="147" spans="7:7" x14ac:dyDescent="0.25">
      <c r="G147" s="20" t="str">
        <f>IF(Table3[[#This Row],[MXN]]&gt;0.1, Table3[[#This Row],[MXN]]+Table3[[#This Row],[TAX / COM]], " ")</f>
        <v xml:space="preserve"> </v>
      </c>
    </row>
    <row r="148" spans="7:7" x14ac:dyDescent="0.25">
      <c r="G148" s="20" t="str">
        <f>IF(Table3[[#This Row],[MXN]]&gt;0.1, Table3[[#This Row],[MXN]]+Table3[[#This Row],[TAX / COM]], " ")</f>
        <v xml:space="preserve"> </v>
      </c>
    </row>
    <row r="149" spans="7:7" x14ac:dyDescent="0.25">
      <c r="G149" s="20" t="str">
        <f>IF(Table3[[#This Row],[MXN]]&gt;0.1, Table3[[#This Row],[MXN]]+Table3[[#This Row],[TAX / COM]], " ")</f>
        <v xml:space="preserve"> </v>
      </c>
    </row>
    <row r="150" spans="7:7" x14ac:dyDescent="0.25">
      <c r="G150" s="20" t="str">
        <f>IF(Table3[[#This Row],[MXN]]&gt;0.1, Table3[[#This Row],[MXN]]+Table3[[#This Row],[TAX / COM]], " ")</f>
        <v xml:space="preserve"> </v>
      </c>
    </row>
    <row r="151" spans="7:7" x14ac:dyDescent="0.25">
      <c r="G151" s="20" t="str">
        <f>IF(Table3[[#This Row],[MXN]]&gt;0.1, Table3[[#This Row],[MXN]]+Table3[[#This Row],[TAX / COM]], " ")</f>
        <v xml:space="preserve"> </v>
      </c>
    </row>
    <row r="152" spans="7:7" x14ac:dyDescent="0.25">
      <c r="G152" s="20" t="str">
        <f>IF(Table3[[#This Row],[MXN]]&gt;0.1, Table3[[#This Row],[MXN]]+Table3[[#This Row],[TAX / COM]], " ")</f>
        <v xml:space="preserve"> </v>
      </c>
    </row>
    <row r="153" spans="7:7" x14ac:dyDescent="0.25">
      <c r="G153" s="20" t="str">
        <f>IF(Table3[[#This Row],[MXN]]&gt;0.1, Table3[[#This Row],[MXN]]+Table3[[#This Row],[TAX / COM]], " ")</f>
        <v xml:space="preserve"> </v>
      </c>
    </row>
    <row r="154" spans="7:7" x14ac:dyDescent="0.25">
      <c r="G154" s="20" t="str">
        <f>IF(Table3[[#This Row],[MXN]]&gt;0.1, Table3[[#This Row],[MXN]]+Table3[[#This Row],[TAX / COM]], " ")</f>
        <v xml:space="preserve"> </v>
      </c>
    </row>
    <row r="155" spans="7:7" x14ac:dyDescent="0.25">
      <c r="G155" s="20" t="str">
        <f>IF(Table3[[#This Row],[MXN]]&gt;0.1, Table3[[#This Row],[MXN]]+Table3[[#This Row],[TAX / COM]], " ")</f>
        <v xml:space="preserve"> </v>
      </c>
    </row>
    <row r="156" spans="7:7" x14ac:dyDescent="0.25">
      <c r="G156" s="20" t="str">
        <f>IF(Table3[[#This Row],[MXN]]&gt;0.1, Table3[[#This Row],[MXN]]+Table3[[#This Row],[TAX / COM]], " ")</f>
        <v xml:space="preserve"> </v>
      </c>
    </row>
    <row r="157" spans="7:7" x14ac:dyDescent="0.25">
      <c r="G157" s="20" t="str">
        <f>IF(Table3[[#This Row],[MXN]]&gt;0.1, Table3[[#This Row],[MXN]]+Table3[[#This Row],[TAX / COM]], " ")</f>
        <v xml:space="preserve"> </v>
      </c>
    </row>
    <row r="158" spans="7:7" x14ac:dyDescent="0.25">
      <c r="G158" s="20" t="str">
        <f>IF(Table3[[#This Row],[MXN]]&gt;0.1, Table3[[#This Row],[MXN]]+Table3[[#This Row],[TAX / COM]], " ")</f>
        <v xml:space="preserve"> </v>
      </c>
    </row>
    <row r="159" spans="7:7" x14ac:dyDescent="0.25">
      <c r="G159" s="20" t="str">
        <f>IF(Table3[[#This Row],[MXN]]&gt;0.1, Table3[[#This Row],[MXN]]+Table3[[#This Row],[TAX / COM]], " ")</f>
        <v xml:space="preserve"> </v>
      </c>
    </row>
    <row r="160" spans="7:7" x14ac:dyDescent="0.25">
      <c r="G160" s="20" t="str">
        <f>IF(Table3[[#This Row],[MXN]]&gt;0.1, Table3[[#This Row],[MXN]]+Table3[[#This Row],[TAX / COM]], " ")</f>
        <v xml:space="preserve"> </v>
      </c>
    </row>
    <row r="161" spans="7:7" x14ac:dyDescent="0.25">
      <c r="G161" s="20" t="str">
        <f>IF(Table3[[#This Row],[MXN]]&gt;0.1, Table3[[#This Row],[MXN]]+Table3[[#This Row],[TAX / COM]], " ")</f>
        <v xml:space="preserve"> </v>
      </c>
    </row>
    <row r="162" spans="7:7" x14ac:dyDescent="0.25">
      <c r="G162" s="20" t="str">
        <f>IF(Table3[[#This Row],[MXN]]&gt;0.1, Table3[[#This Row],[MXN]]+Table3[[#This Row],[TAX / COM]], " ")</f>
        <v xml:space="preserve"> </v>
      </c>
    </row>
    <row r="163" spans="7:7" x14ac:dyDescent="0.25">
      <c r="G163" s="20" t="str">
        <f>IF(Table3[[#This Row],[MXN]]&gt;0.1, Table3[[#This Row],[MXN]]+Table3[[#This Row],[TAX / COM]], " ")</f>
        <v xml:space="preserve"> </v>
      </c>
    </row>
    <row r="164" spans="7:7" x14ac:dyDescent="0.25">
      <c r="G164" s="20" t="str">
        <f>IF(Table3[[#This Row],[MXN]]&gt;0.1, Table3[[#This Row],[MXN]]+Table3[[#This Row],[TAX / COM]], " ")</f>
        <v xml:space="preserve"> </v>
      </c>
    </row>
    <row r="165" spans="7:7" x14ac:dyDescent="0.25">
      <c r="G165" s="20" t="str">
        <f>IF(Table3[[#This Row],[MXN]]&gt;0.1, Table3[[#This Row],[MXN]]+Table3[[#This Row],[TAX / COM]], " ")</f>
        <v xml:space="preserve"> </v>
      </c>
    </row>
    <row r="166" spans="7:7" x14ac:dyDescent="0.25">
      <c r="G166" s="20" t="str">
        <f>IF(Table3[[#This Row],[MXN]]&gt;0.1, Table3[[#This Row],[MXN]]+Table3[[#This Row],[TAX / COM]], " ")</f>
        <v xml:space="preserve"> </v>
      </c>
    </row>
    <row r="167" spans="7:7" x14ac:dyDescent="0.25">
      <c r="G167" s="20" t="str">
        <f>IF(Table3[[#This Row],[MXN]]&gt;0.1, Table3[[#This Row],[MXN]]+Table3[[#This Row],[TAX / COM]], " ")</f>
        <v xml:space="preserve"> </v>
      </c>
    </row>
    <row r="168" spans="7:7" x14ac:dyDescent="0.25">
      <c r="G168" s="20" t="str">
        <f>IF(Table3[[#This Row],[MXN]]&gt;0.1, Table3[[#This Row],[MXN]]+Table3[[#This Row],[TAX / COM]], " ")</f>
        <v xml:space="preserve"> </v>
      </c>
    </row>
    <row r="169" spans="7:7" x14ac:dyDescent="0.25">
      <c r="G169" s="20" t="str">
        <f>IF(Table3[[#This Row],[MXN]]&gt;0.1, Table3[[#This Row],[MXN]]+Table3[[#This Row],[TAX / COM]], " ")</f>
        <v xml:space="preserve"> </v>
      </c>
    </row>
    <row r="170" spans="7:7" x14ac:dyDescent="0.25">
      <c r="G170" s="20" t="str">
        <f>IF(Table3[[#This Row],[MXN]]&gt;0.1, Table3[[#This Row],[MXN]]+Table3[[#This Row],[TAX / COM]], " ")</f>
        <v xml:space="preserve"> </v>
      </c>
    </row>
    <row r="171" spans="7:7" x14ac:dyDescent="0.25">
      <c r="G171" s="20" t="str">
        <f>IF(Table3[[#This Row],[MXN]]&gt;0.1, Table3[[#This Row],[MXN]]+Table3[[#This Row],[TAX / COM]], " ")</f>
        <v xml:space="preserve"> </v>
      </c>
    </row>
    <row r="172" spans="7:7" x14ac:dyDescent="0.25">
      <c r="G172" s="20" t="str">
        <f>IF(Table3[[#This Row],[MXN]]&gt;0.1, Table3[[#This Row],[MXN]]+Table3[[#This Row],[TAX / COM]], " ")</f>
        <v xml:space="preserve"> </v>
      </c>
    </row>
    <row r="173" spans="7:7" x14ac:dyDescent="0.25">
      <c r="G173" s="20" t="str">
        <f>IF(Table3[[#This Row],[MXN]]&gt;0.1, Table3[[#This Row],[MXN]]+Table3[[#This Row],[TAX / COM]], " ")</f>
        <v xml:space="preserve"> </v>
      </c>
    </row>
    <row r="174" spans="7:7" x14ac:dyDescent="0.25">
      <c r="G174" s="20" t="str">
        <f>IF(Table3[[#This Row],[MXN]]&gt;0.1, Table3[[#This Row],[MXN]]+Table3[[#This Row],[TAX / COM]], " ")</f>
        <v xml:space="preserve"> </v>
      </c>
    </row>
    <row r="175" spans="7:7" x14ac:dyDescent="0.25">
      <c r="G175" s="20" t="str">
        <f>IF(Table3[[#This Row],[MXN]]&gt;0.1, Table3[[#This Row],[MXN]]+Table3[[#This Row],[TAX / COM]], " ")</f>
        <v xml:space="preserve"> </v>
      </c>
    </row>
    <row r="176" spans="7:7" x14ac:dyDescent="0.25">
      <c r="G176" s="20" t="str">
        <f>IF(Table3[[#This Row],[MXN]]&gt;0.1, Table3[[#This Row],[MXN]]+Table3[[#This Row],[TAX / COM]], " ")</f>
        <v xml:space="preserve"> </v>
      </c>
    </row>
    <row r="177" spans="7:7" x14ac:dyDescent="0.25">
      <c r="G177" s="20" t="str">
        <f>IF(Table3[[#This Row],[MXN]]&gt;0.1, Table3[[#This Row],[MXN]]+Table3[[#This Row],[TAX / COM]], " ")</f>
        <v xml:space="preserve"> </v>
      </c>
    </row>
    <row r="178" spans="7:7" x14ac:dyDescent="0.25">
      <c r="G178" s="20" t="str">
        <f>IF(Table3[[#This Row],[MXN]]&gt;0.1, Table3[[#This Row],[MXN]]+Table3[[#This Row],[TAX / COM]], " ")</f>
        <v xml:space="preserve"> </v>
      </c>
    </row>
    <row r="179" spans="7:7" x14ac:dyDescent="0.25">
      <c r="G179" s="20" t="str">
        <f>IF(Table3[[#This Row],[MXN]]&gt;0.1, Table3[[#This Row],[MXN]]+Table3[[#This Row],[TAX / COM]], " ")</f>
        <v xml:space="preserve"> </v>
      </c>
    </row>
    <row r="180" spans="7:7" x14ac:dyDescent="0.25">
      <c r="G180" s="20" t="str">
        <f>IF(Table3[[#This Row],[MXN]]&gt;0.1, Table3[[#This Row],[MXN]]+Table3[[#This Row],[TAX / COM]], " ")</f>
        <v xml:space="preserve"> </v>
      </c>
    </row>
    <row r="181" spans="7:7" x14ac:dyDescent="0.25">
      <c r="G181" s="20" t="str">
        <f>IF(Table3[[#This Row],[MXN]]&gt;0.1, Table3[[#This Row],[MXN]]+Table3[[#This Row],[TAX / COM]], " ")</f>
        <v xml:space="preserve"> </v>
      </c>
    </row>
    <row r="182" spans="7:7" x14ac:dyDescent="0.25">
      <c r="G182" s="20" t="str">
        <f>IF(Table3[[#This Row],[MXN]]&gt;0.1, Table3[[#This Row],[MXN]]+Table3[[#This Row],[TAX / COM]], " ")</f>
        <v xml:space="preserve"> </v>
      </c>
    </row>
    <row r="183" spans="7:7" x14ac:dyDescent="0.25">
      <c r="G183" s="20" t="str">
        <f>IF(Table3[[#This Row],[MXN]]&gt;0.1, Table3[[#This Row],[MXN]]+Table3[[#This Row],[TAX / COM]], " ")</f>
        <v xml:space="preserve"> </v>
      </c>
    </row>
    <row r="184" spans="7:7" x14ac:dyDescent="0.25">
      <c r="G184" s="20" t="str">
        <f>IF(Table3[[#This Row],[MXN]]&gt;0.1, Table3[[#This Row],[MXN]]+Table3[[#This Row],[TAX / COM]], " ")</f>
        <v xml:space="preserve"> </v>
      </c>
    </row>
    <row r="185" spans="7:7" x14ac:dyDescent="0.25">
      <c r="G185" s="20" t="str">
        <f>IF(Table3[[#This Row],[MXN]]&gt;0.1, Table3[[#This Row],[MXN]]+Table3[[#This Row],[TAX / COM]], " ")</f>
        <v xml:space="preserve"> </v>
      </c>
    </row>
    <row r="186" spans="7:7" x14ac:dyDescent="0.25">
      <c r="G186" s="20" t="str">
        <f>IF(Table3[[#This Row],[MXN]]&gt;0.1, Table3[[#This Row],[MXN]]+Table3[[#This Row],[TAX / COM]], " ")</f>
        <v xml:space="preserve"> </v>
      </c>
    </row>
    <row r="187" spans="7:7" x14ac:dyDescent="0.25">
      <c r="G187" s="20" t="str">
        <f>IF(Table3[[#This Row],[MXN]]&gt;0.1, Table3[[#This Row],[MXN]]+Table3[[#This Row],[TAX / COM]], " ")</f>
        <v xml:space="preserve"> </v>
      </c>
    </row>
    <row r="188" spans="7:7" x14ac:dyDescent="0.25">
      <c r="G188" s="20" t="str">
        <f>IF(Table3[[#This Row],[MXN]]&gt;0.1, Table3[[#This Row],[MXN]]+Table3[[#This Row],[TAX / COM]], " ")</f>
        <v xml:space="preserve"> </v>
      </c>
    </row>
    <row r="189" spans="7:7" x14ac:dyDescent="0.25">
      <c r="G189" s="20" t="str">
        <f>IF(Table3[[#This Row],[MXN]]&gt;0.1, Table3[[#This Row],[MXN]]+Table3[[#This Row],[TAX / COM]], " ")</f>
        <v xml:space="preserve"> </v>
      </c>
    </row>
    <row r="190" spans="7:7" x14ac:dyDescent="0.25">
      <c r="G190" s="20" t="str">
        <f>IF(Table3[[#This Row],[MXN]]&gt;0.1, Table3[[#This Row],[MXN]]+Table3[[#This Row],[TAX / COM]], " ")</f>
        <v xml:space="preserve"> </v>
      </c>
    </row>
    <row r="191" spans="7:7" x14ac:dyDescent="0.25">
      <c r="G191" s="20" t="str">
        <f>IF(Table3[[#This Row],[MXN]]&gt;0.1, Table3[[#This Row],[MXN]]+Table3[[#This Row],[TAX / COM]], " ")</f>
        <v xml:space="preserve"> </v>
      </c>
    </row>
    <row r="192" spans="7:7" x14ac:dyDescent="0.25">
      <c r="G192" s="20" t="str">
        <f>IF(Table3[[#This Row],[MXN]]&gt;0.1, Table3[[#This Row],[MXN]]+Table3[[#This Row],[TAX / COM]], " ")</f>
        <v xml:space="preserve"> </v>
      </c>
    </row>
    <row r="193" spans="7:7" x14ac:dyDescent="0.25">
      <c r="G193" s="20" t="str">
        <f>IF(Table3[[#This Row],[MXN]]&gt;0.1, Table3[[#This Row],[MXN]]+Table3[[#This Row],[TAX / COM]], " ")</f>
        <v xml:space="preserve"> </v>
      </c>
    </row>
    <row r="194" spans="7:7" x14ac:dyDescent="0.25">
      <c r="G194" s="20" t="str">
        <f>IF(Table3[[#This Row],[MXN]]&gt;0.1, Table3[[#This Row],[MXN]]+Table3[[#This Row],[TAX / COM]], " ")</f>
        <v xml:space="preserve"> </v>
      </c>
    </row>
    <row r="195" spans="7:7" x14ac:dyDescent="0.25">
      <c r="G195" s="20" t="str">
        <f>IF(Table3[[#This Row],[MXN]]&gt;0.1, Table3[[#This Row],[MXN]]+Table3[[#This Row],[TAX / COM]], " ")</f>
        <v xml:space="preserve"> </v>
      </c>
    </row>
    <row r="196" spans="7:7" x14ac:dyDescent="0.25">
      <c r="G196" s="20" t="str">
        <f>IF(Table3[[#This Row],[MXN]]&gt;0.1, Table3[[#This Row],[MXN]]+Table3[[#This Row],[TAX / COM]], " ")</f>
        <v xml:space="preserve"> </v>
      </c>
    </row>
    <row r="197" spans="7:7" x14ac:dyDescent="0.25">
      <c r="G197" s="20" t="str">
        <f>IF(Table3[[#This Row],[MXN]]&gt;0.1, Table3[[#This Row],[MXN]]+Table3[[#This Row],[TAX / COM]], " ")</f>
        <v xml:space="preserve"> </v>
      </c>
    </row>
    <row r="198" spans="7:7" x14ac:dyDescent="0.25">
      <c r="G198" s="20" t="str">
        <f>IF(Table3[[#This Row],[MXN]]&gt;0.1, Table3[[#This Row],[MXN]]+Table3[[#This Row],[TAX / COM]], " ")</f>
        <v xml:space="preserve"> </v>
      </c>
    </row>
    <row r="199" spans="7:7" x14ac:dyDescent="0.25">
      <c r="G199" s="20" t="str">
        <f>IF(Table3[[#This Row],[MXN]]&gt;0.1, Table3[[#This Row],[MXN]]+Table3[[#This Row],[TAX / COM]], " ")</f>
        <v xml:space="preserve"> </v>
      </c>
    </row>
    <row r="200" spans="7:7" x14ac:dyDescent="0.25">
      <c r="G200" s="20" t="str">
        <f>IF(Table3[[#This Row],[MXN]]&gt;0.1, Table3[[#This Row],[MXN]]+Table3[[#This Row],[TAX / COM]], " ")</f>
        <v xml:space="preserve"> 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A0AF58-E1B5-4D7A-8FDC-744B0475C853}">
          <x14:formula1>
            <xm:f>'-Log'!$A$4:$A$19</xm:f>
          </x14:formula1>
          <xm:sqref>C1:C200</xm:sqref>
        </x14:dataValidation>
        <x14:dataValidation type="list" allowBlank="1" showInputMessage="1" showErrorMessage="1" xr:uid="{18102311-A865-4131-B12F-C9E7EFF9C69F}">
          <x14:formula1>
            <xm:f>'-Log'!$C$3:$C$7</xm:f>
          </x14:formula1>
          <xm:sqref>B1:B200</xm:sqref>
        </x14:dataValidation>
        <x14:dataValidation type="list" allowBlank="1" showInputMessage="1" showErrorMessage="1" xr:uid="{DE083FF5-BCC2-4528-BBB1-4506053FADEA}">
          <x14:formula1>
            <xm:f>'-Log'!#REF!</xm:f>
          </x14:formula1>
          <xm:sqref>D1:D200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E777-D8AB-41B7-B248-6A600BF71B38}">
  <sheetPr>
    <tabColor rgb="FF6BCEBB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2.6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31.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66" t="s">
        <v>6</v>
      </c>
      <c r="B1" s="65" t="s">
        <v>7</v>
      </c>
      <c r="C1" s="65" t="s">
        <v>17</v>
      </c>
      <c r="D1" s="65">
        <v>326</v>
      </c>
      <c r="E1" s="65"/>
      <c r="F1" s="65"/>
      <c r="G1" s="65">
        <f>SUM(Inventory_List_Table341115[Q])</f>
        <v>0</v>
      </c>
      <c r="H1" s="65"/>
      <c r="I1" s="65"/>
      <c r="J1" s="67"/>
      <c r="K1" s="65" t="s">
        <v>18</v>
      </c>
      <c r="L1" s="68">
        <v>18</v>
      </c>
      <c r="M1" s="69">
        <f>SUM(Inventory_List_Table341115[TOTAL PESOS])</f>
        <v>0</v>
      </c>
      <c r="N1" s="70"/>
      <c r="O1" s="70"/>
      <c r="P1" s="70"/>
      <c r="Q1" s="71"/>
      <c r="R1" s="72"/>
      <c r="S1" s="73"/>
      <c r="T1" s="74"/>
      <c r="U1" s="74"/>
      <c r="V1" s="74"/>
      <c r="W1" s="75">
        <f>SUM(Inventory_List_Table341115[TOTAL USD])</f>
        <v>0</v>
      </c>
      <c r="X1" s="76"/>
      <c r="Y1" s="76"/>
      <c r="Z1" s="76"/>
      <c r="AA1" s="77"/>
      <c r="AB1" s="72"/>
    </row>
    <row r="2" spans="1:30" s="39" customFormat="1" ht="40.9" customHeight="1" x14ac:dyDescent="0.25">
      <c r="A2" s="78" t="s">
        <v>19</v>
      </c>
      <c r="B2" s="79" t="s">
        <v>56</v>
      </c>
      <c r="C2" s="79" t="s">
        <v>146</v>
      </c>
      <c r="D2" s="79" t="s">
        <v>145</v>
      </c>
      <c r="E2" s="79" t="s">
        <v>55</v>
      </c>
      <c r="F2" s="78" t="s">
        <v>20</v>
      </c>
      <c r="G2" s="78" t="s">
        <v>9</v>
      </c>
      <c r="H2" s="78" t="s">
        <v>10</v>
      </c>
      <c r="I2" s="78" t="s">
        <v>15</v>
      </c>
      <c r="J2" s="78" t="s">
        <v>11</v>
      </c>
      <c r="K2" s="78" t="s">
        <v>12</v>
      </c>
      <c r="L2" s="79" t="s">
        <v>25</v>
      </c>
      <c r="M2" s="80" t="s">
        <v>21</v>
      </c>
      <c r="N2" s="81" t="s">
        <v>13</v>
      </c>
      <c r="O2" s="81" t="s">
        <v>22</v>
      </c>
      <c r="P2" s="81" t="s">
        <v>23</v>
      </c>
      <c r="Q2" s="81" t="s">
        <v>24</v>
      </c>
      <c r="R2" s="82" t="s">
        <v>57</v>
      </c>
      <c r="S2" s="79" t="s">
        <v>58</v>
      </c>
      <c r="T2" s="82" t="s">
        <v>59</v>
      </c>
      <c r="U2" s="82" t="s">
        <v>60</v>
      </c>
      <c r="V2" s="82" t="s">
        <v>61</v>
      </c>
      <c r="W2" s="83" t="s">
        <v>14</v>
      </c>
      <c r="X2" s="83" t="s">
        <v>16</v>
      </c>
      <c r="Y2" s="83" t="s">
        <v>1</v>
      </c>
      <c r="Z2" s="65" t="s">
        <v>62</v>
      </c>
      <c r="AA2" s="68" t="s">
        <v>63</v>
      </c>
      <c r="AB2" s="65" t="s">
        <v>110</v>
      </c>
    </row>
    <row r="3" spans="1:30" s="29" customFormat="1" ht="23.25" x14ac:dyDescent="0.35">
      <c r="A3" s="84">
        <v>1</v>
      </c>
      <c r="B3" s="1"/>
      <c r="C3" s="557"/>
      <c r="D3" s="557"/>
      <c r="E3" s="557"/>
      <c r="F3" s="38" t="str">
        <f>IF(Inventory_List_Table341115[[#This Row],[Q]]&lt;0.1, " ",$A$1&amp;$D$1&amp;Inventory_List_Table341115[[#This Row],['#]]&amp;Inventory_List_Table341115[[#This Row],[LC]])</f>
        <v xml:space="preserve"> </v>
      </c>
      <c r="G3" s="85"/>
      <c r="H3" s="85"/>
      <c r="I3" s="85"/>
      <c r="J3" s="85"/>
      <c r="K3" s="85"/>
      <c r="L3" s="86"/>
      <c r="M3" s="539" t="str">
        <f>IF(Inventory_List_Table341115[[#This Row],[Q]]&lt;0.1, " ", Inventory_List_Table341115[[#This Row],[Q]]*Inventory_List_Table341115[[#This Row],[PRICE]])</f>
        <v xml:space="preserve"> </v>
      </c>
      <c r="N3" s="35" t="str">
        <f>IF(Inventory_List_Table341115[[#This Row],[Q]]&lt;0.1, " ", Inventory_List_Table341115[[#This Row],[KG]]*2.20462)</f>
        <v xml:space="preserve"> </v>
      </c>
      <c r="O3" s="35" t="str">
        <f>IF(Inventory_List_Table341115[[#This Row],[Q]]&lt;0.1, " ",Inventory_List_Table341115[[#This Row],[H CM]]/2.54)</f>
        <v xml:space="preserve"> </v>
      </c>
      <c r="P3" s="35" t="str">
        <f>IF(Inventory_List_Table341115[[#This Row],[Q]]&lt;0.1, " ",Inventory_List_Table341115[[#This Row],[W CM]]/2.54)</f>
        <v xml:space="preserve"> </v>
      </c>
      <c r="Q3" s="35" t="str">
        <f>IF(Inventory_List_Table341115[[#This Row],[Q]]&lt;0.1, " ",Inventory_List_Table341115[[#This Row],[D CM ]]/2.54)</f>
        <v xml:space="preserve"> </v>
      </c>
      <c r="R3" s="539" t="str">
        <f>IF(Inventory_List_Table341115[[#This Row],[Q]]&lt;0.1, " ",Inventory_List_Table341115[[#This Row],[PRICE]]/$L$1)</f>
        <v xml:space="preserve"> </v>
      </c>
      <c r="S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" s="539" t="str">
        <f>IF(Inventory_List_Table341115[[#This Row],[Q]]&lt;0.1, " ",Inventory_List_Table341115[[#This Row],[AQ RND USD]]*1.4)</f>
        <v xml:space="preserve"> </v>
      </c>
      <c r="U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" s="539" t="str">
        <f>IF(Inventory_List_Table341115[[#This Row],[Q]]&lt;0.1, " ",Inventory_List_Table341115[[#This Row],[LND RND USD]]*12)</f>
        <v xml:space="preserve"> </v>
      </c>
      <c r="W3" s="539" t="str">
        <f>IF(Inventory_List_Table341115[[#This Row],[Q]]&lt;0.1, " ",Inventory_List_Table341115[[#This Row],[AQ USD]])</f>
        <v xml:space="preserve"> </v>
      </c>
      <c r="X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" s="540" t="str">
        <f>IF(Inventory_List_Table341115[[#This Row],[Q]]&lt;0.1, " ",Inventory_List_Table341115[[#This Row],[PRICE]]/Z3*10000)</f>
        <v xml:space="preserve"> </v>
      </c>
      <c r="AC3" s="27"/>
      <c r="AD3" s="28"/>
    </row>
    <row r="4" spans="1:30" ht="21" x14ac:dyDescent="0.3">
      <c r="A4" s="84">
        <v>2</v>
      </c>
      <c r="B4" s="1"/>
      <c r="C4" s="557"/>
      <c r="D4" s="557"/>
      <c r="E4" s="557"/>
      <c r="F4" s="38" t="str">
        <f>IF(Inventory_List_Table341115[[#This Row],[Q]]&lt;0.1, " ",$A$1&amp;$D$1&amp;Inventory_List_Table341115[[#This Row],['#]]&amp;Inventory_List_Table341115[[#This Row],[LC]])</f>
        <v xml:space="preserve"> </v>
      </c>
      <c r="G4" s="85"/>
      <c r="H4" s="85"/>
      <c r="I4" s="85"/>
      <c r="J4" s="85"/>
      <c r="K4" s="85"/>
      <c r="L4" s="87"/>
      <c r="M4" s="539" t="str">
        <f>IF(Inventory_List_Table341115[[#This Row],[Q]]&lt;0.1, " ", Inventory_List_Table341115[[#This Row],[Q]]*Inventory_List_Table341115[[#This Row],[PRICE]])</f>
        <v xml:space="preserve"> </v>
      </c>
      <c r="N4" s="35" t="str">
        <f>IF(Inventory_List_Table341115[[#This Row],[Q]]&lt;0.1, " ", Inventory_List_Table341115[[#This Row],[KG]]*2.20462)</f>
        <v xml:space="preserve"> </v>
      </c>
      <c r="O4" s="35" t="str">
        <f>IF(Inventory_List_Table341115[[#This Row],[Q]]&lt;0.1, " ",Inventory_List_Table341115[[#This Row],[H CM]]/2.54)</f>
        <v xml:space="preserve"> </v>
      </c>
      <c r="P4" s="35" t="str">
        <f>IF(Inventory_List_Table341115[[#This Row],[Q]]&lt;0.1, " ",Inventory_List_Table341115[[#This Row],[W CM]]/2.54)</f>
        <v xml:space="preserve"> </v>
      </c>
      <c r="Q4" s="35" t="str">
        <f>IF(Inventory_List_Table341115[[#This Row],[Q]]&lt;0.1, " ",Inventory_List_Table341115[[#This Row],[D CM ]]/2.54)</f>
        <v xml:space="preserve"> </v>
      </c>
      <c r="R4" s="539" t="str">
        <f>IF(Inventory_List_Table341115[[#This Row],[Q]]&lt;0.1, " ",Inventory_List_Table341115[[#This Row],[PRICE]]/$L$1)</f>
        <v xml:space="preserve"> </v>
      </c>
      <c r="S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" s="539" t="str">
        <f>IF(Inventory_List_Table341115[[#This Row],[Q]]&lt;0.1, " ",Inventory_List_Table341115[[#This Row],[AQ RND USD]]*1.4)</f>
        <v xml:space="preserve"> </v>
      </c>
      <c r="U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" s="539" t="str">
        <f>IF(Inventory_List_Table341115[[#This Row],[Q]]&lt;0.1, " ",Inventory_List_Table341115[[#This Row],[LND RND USD]]*12)</f>
        <v xml:space="preserve"> </v>
      </c>
      <c r="W4" s="539" t="str">
        <f>IF(Inventory_List_Table341115[[#This Row],[Q]]&lt;0.1, " ",Inventory_List_Table341115[[#This Row],[AQ USD]])</f>
        <v xml:space="preserve"> </v>
      </c>
      <c r="X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" s="539" t="str">
        <f>IF(Inventory_List_Table341115[[#This Row],[Q]]&lt;0.1, " ",Inventory_List_Table341115[[#This Row],[PRICE]]/Z4*10000)</f>
        <v xml:space="preserve"> </v>
      </c>
      <c r="AB4" s="27"/>
      <c r="AC4" s="1"/>
      <c r="AD4" s="1"/>
    </row>
    <row r="5" spans="1:30" ht="24" customHeight="1" x14ac:dyDescent="0.3">
      <c r="A5" s="84">
        <v>3</v>
      </c>
      <c r="B5" s="1"/>
      <c r="C5" s="557"/>
      <c r="D5" s="557"/>
      <c r="E5" s="557"/>
      <c r="F5" s="38" t="str">
        <f>IF(Inventory_List_Table341115[[#This Row],[Q]]&lt;0.1, " ",$A$1&amp;$D$1&amp;Inventory_List_Table341115[[#This Row],['#]]&amp;Inventory_List_Table341115[[#This Row],[LC]])</f>
        <v xml:space="preserve"> </v>
      </c>
      <c r="G5" s="85"/>
      <c r="H5" s="85"/>
      <c r="I5" s="85"/>
      <c r="J5" s="85"/>
      <c r="K5" s="85"/>
      <c r="L5" s="87"/>
      <c r="M5" s="539" t="str">
        <f>IF(Inventory_List_Table341115[[#This Row],[Q]]&lt;0.1, " ", Inventory_List_Table341115[[#This Row],[Q]]*Inventory_List_Table341115[[#This Row],[PRICE]])</f>
        <v xml:space="preserve"> </v>
      </c>
      <c r="N5" s="35" t="str">
        <f>IF(Inventory_List_Table341115[[#This Row],[Q]]&lt;0.1, " ", Inventory_List_Table341115[[#This Row],[KG]]*2.20462)</f>
        <v xml:space="preserve"> </v>
      </c>
      <c r="O5" s="35" t="str">
        <f>IF(Inventory_List_Table341115[[#This Row],[Q]]&lt;0.1, " ",Inventory_List_Table341115[[#This Row],[H CM]]/2.54)</f>
        <v xml:space="preserve"> </v>
      </c>
      <c r="P5" s="35" t="str">
        <f>IF(Inventory_List_Table341115[[#This Row],[Q]]&lt;0.1, " ",Inventory_List_Table341115[[#This Row],[W CM]]/2.54)</f>
        <v xml:space="preserve"> </v>
      </c>
      <c r="Q5" s="35" t="str">
        <f>IF(Inventory_List_Table341115[[#This Row],[Q]]&lt;0.1, " ",Inventory_List_Table341115[[#This Row],[D CM ]]/2.54)</f>
        <v xml:space="preserve"> </v>
      </c>
      <c r="R5" s="539" t="str">
        <f>IF(Inventory_List_Table341115[[#This Row],[Q]]&lt;0.1, " ",Inventory_List_Table341115[[#This Row],[PRICE]]/$L$1)</f>
        <v xml:space="preserve"> </v>
      </c>
      <c r="S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" s="539" t="str">
        <f>IF(Inventory_List_Table341115[[#This Row],[Q]]&lt;0.1, " ",Inventory_List_Table341115[[#This Row],[AQ RND USD]]*1.4)</f>
        <v xml:space="preserve"> </v>
      </c>
      <c r="U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" s="539" t="str">
        <f>IF(Inventory_List_Table341115[[#This Row],[Q]]&lt;0.1, " ",Inventory_List_Table341115[[#This Row],[LND RND USD]]*12)</f>
        <v xml:space="preserve"> </v>
      </c>
      <c r="W5" s="539" t="str">
        <f>IF(Inventory_List_Table341115[[#This Row],[Q]]&lt;0.1, " ",Inventory_List_Table341115[[#This Row],[AQ USD]])</f>
        <v xml:space="preserve"> </v>
      </c>
      <c r="X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" s="539" t="str">
        <f>IF(Inventory_List_Table341115[[#This Row],[Q]]&lt;0.1, " ",Inventory_List_Table341115[[#This Row],[PRICE]]/Z5*10000)</f>
        <v xml:space="preserve"> </v>
      </c>
      <c r="AB5" s="27"/>
      <c r="AC5" s="1"/>
      <c r="AD5" s="1"/>
    </row>
    <row r="6" spans="1:30" ht="24" customHeight="1" x14ac:dyDescent="0.3">
      <c r="A6" s="84">
        <v>4</v>
      </c>
      <c r="B6" s="1"/>
      <c r="C6" s="557"/>
      <c r="D6" s="557"/>
      <c r="E6" s="557"/>
      <c r="F6" s="38" t="str">
        <f>IF(Inventory_List_Table341115[[#This Row],[Q]]&lt;0.1, " ",$A$1&amp;$D$1&amp;Inventory_List_Table341115[[#This Row],['#]]&amp;Inventory_List_Table341115[[#This Row],[LC]])</f>
        <v xml:space="preserve"> </v>
      </c>
      <c r="G6" s="85"/>
      <c r="H6" s="85"/>
      <c r="I6" s="85"/>
      <c r="J6" s="85"/>
      <c r="K6" s="85"/>
      <c r="L6" s="87"/>
      <c r="M6" s="539" t="str">
        <f>IF(Inventory_List_Table341115[[#This Row],[Q]]&lt;0.1, " ", Inventory_List_Table341115[[#This Row],[Q]]*Inventory_List_Table341115[[#This Row],[PRICE]])</f>
        <v xml:space="preserve"> </v>
      </c>
      <c r="N6" s="35" t="str">
        <f>IF(Inventory_List_Table341115[[#This Row],[Q]]&lt;0.1, " ", Inventory_List_Table341115[[#This Row],[KG]]*2.20462)</f>
        <v xml:space="preserve"> </v>
      </c>
      <c r="O6" s="35" t="str">
        <f>IF(Inventory_List_Table341115[[#This Row],[Q]]&lt;0.1, " ",Inventory_List_Table341115[[#This Row],[H CM]]/2.54)</f>
        <v xml:space="preserve"> </v>
      </c>
      <c r="P6" s="35" t="str">
        <f>IF(Inventory_List_Table341115[[#This Row],[Q]]&lt;0.1, " ",Inventory_List_Table341115[[#This Row],[W CM]]/2.54)</f>
        <v xml:space="preserve"> </v>
      </c>
      <c r="Q6" s="35" t="str">
        <f>IF(Inventory_List_Table341115[[#This Row],[Q]]&lt;0.1, " ",Inventory_List_Table341115[[#This Row],[D CM ]]/2.54)</f>
        <v xml:space="preserve"> </v>
      </c>
      <c r="R6" s="539" t="str">
        <f>IF(Inventory_List_Table341115[[#This Row],[Q]]&lt;0.1, " ",Inventory_List_Table341115[[#This Row],[PRICE]]/$L$1)</f>
        <v xml:space="preserve"> </v>
      </c>
      <c r="S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" s="539" t="str">
        <f>IF(Inventory_List_Table341115[[#This Row],[Q]]&lt;0.1, " ",Inventory_List_Table341115[[#This Row],[AQ RND USD]]*1.4)</f>
        <v xml:space="preserve"> </v>
      </c>
      <c r="U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" s="539" t="str">
        <f>IF(Inventory_List_Table341115[[#This Row],[Q]]&lt;0.1, " ",Inventory_List_Table341115[[#This Row],[LND RND USD]]*12)</f>
        <v xml:space="preserve"> </v>
      </c>
      <c r="W6" s="539" t="str">
        <f>IF(Inventory_List_Table341115[[#This Row],[Q]]&lt;0.1, " ",Inventory_List_Table341115[[#This Row],[AQ USD]])</f>
        <v xml:space="preserve"> </v>
      </c>
      <c r="X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" s="539" t="str">
        <f>IF(Inventory_List_Table341115[[#This Row],[Q]]&lt;0.1, " ",Inventory_List_Table341115[[#This Row],[PRICE]]/Z6*10000)</f>
        <v xml:space="preserve"> </v>
      </c>
      <c r="AB6" s="27"/>
      <c r="AC6" s="1"/>
      <c r="AD6" s="1"/>
    </row>
    <row r="7" spans="1:30" ht="24" customHeight="1" x14ac:dyDescent="0.3">
      <c r="A7" s="84">
        <v>5</v>
      </c>
      <c r="B7" s="1"/>
      <c r="C7" s="557"/>
      <c r="D7" s="557"/>
      <c r="E7" s="557"/>
      <c r="F7" s="38" t="str">
        <f>IF(Inventory_List_Table341115[[#This Row],[Q]]&lt;0.1, " ",$A$1&amp;$D$1&amp;Inventory_List_Table341115[[#This Row],['#]]&amp;Inventory_List_Table341115[[#This Row],[LC]])</f>
        <v xml:space="preserve"> </v>
      </c>
      <c r="G7" s="85"/>
      <c r="H7" s="85"/>
      <c r="I7" s="85"/>
      <c r="J7" s="85"/>
      <c r="K7" s="85"/>
      <c r="L7" s="87"/>
      <c r="M7" s="539" t="str">
        <f>IF(Inventory_List_Table341115[[#This Row],[Q]]&lt;0.1, " ", Inventory_List_Table341115[[#This Row],[Q]]*Inventory_List_Table341115[[#This Row],[PRICE]])</f>
        <v xml:space="preserve"> </v>
      </c>
      <c r="N7" s="35" t="str">
        <f>IF(Inventory_List_Table341115[[#This Row],[Q]]&lt;0.1, " ", Inventory_List_Table341115[[#This Row],[KG]]*2.20462)</f>
        <v xml:space="preserve"> </v>
      </c>
      <c r="O7" s="35" t="str">
        <f>IF(Inventory_List_Table341115[[#This Row],[Q]]&lt;0.1, " ",Inventory_List_Table341115[[#This Row],[H CM]]/2.54)</f>
        <v xml:space="preserve"> </v>
      </c>
      <c r="P7" s="35" t="str">
        <f>IF(Inventory_List_Table341115[[#This Row],[Q]]&lt;0.1, " ",Inventory_List_Table341115[[#This Row],[W CM]]/2.54)</f>
        <v xml:space="preserve"> </v>
      </c>
      <c r="Q7" s="35" t="str">
        <f>IF(Inventory_List_Table341115[[#This Row],[Q]]&lt;0.1, " ",Inventory_List_Table341115[[#This Row],[D CM ]]/2.54)</f>
        <v xml:space="preserve"> </v>
      </c>
      <c r="R7" s="539" t="str">
        <f>IF(Inventory_List_Table341115[[#This Row],[Q]]&lt;0.1, " ",Inventory_List_Table341115[[#This Row],[PRICE]]/$L$1)</f>
        <v xml:space="preserve"> </v>
      </c>
      <c r="S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" s="539" t="str">
        <f>IF(Inventory_List_Table341115[[#This Row],[Q]]&lt;0.1, " ",Inventory_List_Table341115[[#This Row],[AQ RND USD]]*1.4)</f>
        <v xml:space="preserve"> </v>
      </c>
      <c r="U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" s="539" t="str">
        <f>IF(Inventory_List_Table341115[[#This Row],[Q]]&lt;0.1, " ",Inventory_List_Table341115[[#This Row],[LND RND USD]]*12)</f>
        <v xml:space="preserve"> </v>
      </c>
      <c r="W7" s="539" t="str">
        <f>IF(Inventory_List_Table341115[[#This Row],[Q]]&lt;0.1, " ",Inventory_List_Table341115[[#This Row],[AQ USD]])</f>
        <v xml:space="preserve"> </v>
      </c>
      <c r="X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" s="539" t="str">
        <f>IF(Inventory_List_Table341115[[#This Row],[Q]]&lt;0.1, " ",Inventory_List_Table341115[[#This Row],[PRICE]]/Z7*10000)</f>
        <v xml:space="preserve"> </v>
      </c>
      <c r="AB7" s="27"/>
      <c r="AC7" s="1"/>
      <c r="AD7" s="1"/>
    </row>
    <row r="8" spans="1:30" ht="24" customHeight="1" x14ac:dyDescent="0.3">
      <c r="A8" s="84">
        <v>6</v>
      </c>
      <c r="B8" s="1"/>
      <c r="C8" s="557"/>
      <c r="D8" s="557"/>
      <c r="E8" s="557"/>
      <c r="F8" s="38" t="str">
        <f>IF(Inventory_List_Table341115[[#This Row],[Q]]&lt;0.1, " ",$A$1&amp;$D$1&amp;Inventory_List_Table341115[[#This Row],['#]]&amp;Inventory_List_Table341115[[#This Row],[LC]])</f>
        <v xml:space="preserve"> </v>
      </c>
      <c r="G8" s="85"/>
      <c r="H8" s="85"/>
      <c r="I8" s="85"/>
      <c r="J8" s="85"/>
      <c r="K8" s="85"/>
      <c r="L8" s="87"/>
      <c r="M8" s="539" t="str">
        <f>IF(Inventory_List_Table341115[[#This Row],[Q]]&lt;0.1, " ", Inventory_List_Table341115[[#This Row],[Q]]*Inventory_List_Table341115[[#This Row],[PRICE]])</f>
        <v xml:space="preserve"> </v>
      </c>
      <c r="N8" s="35" t="str">
        <f>IF(Inventory_List_Table341115[[#This Row],[Q]]&lt;0.1, " ", Inventory_List_Table341115[[#This Row],[KG]]*2.20462)</f>
        <v xml:space="preserve"> </v>
      </c>
      <c r="O8" s="35" t="str">
        <f>IF(Inventory_List_Table341115[[#This Row],[Q]]&lt;0.1, " ",Inventory_List_Table341115[[#This Row],[H CM]]/2.54)</f>
        <v xml:space="preserve"> </v>
      </c>
      <c r="P8" s="35" t="str">
        <f>IF(Inventory_List_Table341115[[#This Row],[Q]]&lt;0.1, " ",Inventory_List_Table341115[[#This Row],[W CM]]/2.54)</f>
        <v xml:space="preserve"> </v>
      </c>
      <c r="Q8" s="35" t="str">
        <f>IF(Inventory_List_Table341115[[#This Row],[Q]]&lt;0.1, " ",Inventory_List_Table341115[[#This Row],[D CM ]]/2.54)</f>
        <v xml:space="preserve"> </v>
      </c>
      <c r="R8" s="539" t="str">
        <f>IF(Inventory_List_Table341115[[#This Row],[Q]]&lt;0.1, " ",Inventory_List_Table341115[[#This Row],[PRICE]]/$L$1)</f>
        <v xml:space="preserve"> </v>
      </c>
      <c r="S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" s="539" t="str">
        <f>IF(Inventory_List_Table341115[[#This Row],[Q]]&lt;0.1, " ",Inventory_List_Table341115[[#This Row],[AQ RND USD]]*1.4)</f>
        <v xml:space="preserve"> </v>
      </c>
      <c r="U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" s="539" t="str">
        <f>IF(Inventory_List_Table341115[[#This Row],[Q]]&lt;0.1, " ",Inventory_List_Table341115[[#This Row],[LND RND USD]]*12)</f>
        <v xml:space="preserve"> </v>
      </c>
      <c r="W8" s="539" t="str">
        <f>IF(Inventory_List_Table341115[[#This Row],[Q]]&lt;0.1, " ",Inventory_List_Table341115[[#This Row],[AQ USD]])</f>
        <v xml:space="preserve"> </v>
      </c>
      <c r="X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" s="539" t="str">
        <f>IF(Inventory_List_Table341115[[#This Row],[Q]]&lt;0.1, " ",Inventory_List_Table341115[[#This Row],[PRICE]]/Z8*10000)</f>
        <v xml:space="preserve"> </v>
      </c>
      <c r="AB8" s="27"/>
      <c r="AC8" s="1"/>
      <c r="AD8" s="1"/>
    </row>
    <row r="9" spans="1:30" ht="24" customHeight="1" x14ac:dyDescent="0.3">
      <c r="A9" s="84">
        <v>7</v>
      </c>
      <c r="B9" s="1"/>
      <c r="C9" s="557"/>
      <c r="D9" s="557"/>
      <c r="E9" s="557"/>
      <c r="F9" s="38" t="str">
        <f>IF(Inventory_List_Table341115[[#This Row],[Q]]&lt;0.1, " ",$A$1&amp;$D$1&amp;Inventory_List_Table341115[[#This Row],['#]]&amp;Inventory_List_Table341115[[#This Row],[LC]])</f>
        <v xml:space="preserve"> </v>
      </c>
      <c r="G9" s="85"/>
      <c r="H9" s="85"/>
      <c r="I9" s="85"/>
      <c r="J9" s="85"/>
      <c r="K9" s="85"/>
      <c r="L9" s="87"/>
      <c r="M9" s="539" t="str">
        <f>IF(Inventory_List_Table341115[[#This Row],[Q]]&lt;0.1, " ", Inventory_List_Table341115[[#This Row],[Q]]*Inventory_List_Table341115[[#This Row],[PRICE]])</f>
        <v xml:space="preserve"> </v>
      </c>
      <c r="N9" s="35" t="str">
        <f>IF(Inventory_List_Table341115[[#This Row],[Q]]&lt;0.1, " ", Inventory_List_Table341115[[#This Row],[KG]]*2.20462)</f>
        <v xml:space="preserve"> </v>
      </c>
      <c r="O9" s="35" t="str">
        <f>IF(Inventory_List_Table341115[[#This Row],[Q]]&lt;0.1, " ",Inventory_List_Table341115[[#This Row],[H CM]]/2.54)</f>
        <v xml:space="preserve"> </v>
      </c>
      <c r="P9" s="35" t="str">
        <f>IF(Inventory_List_Table341115[[#This Row],[Q]]&lt;0.1, " ",Inventory_List_Table341115[[#This Row],[W CM]]/2.54)</f>
        <v xml:space="preserve"> </v>
      </c>
      <c r="Q9" s="35" t="str">
        <f>IF(Inventory_List_Table341115[[#This Row],[Q]]&lt;0.1, " ",Inventory_List_Table341115[[#This Row],[D CM ]]/2.54)</f>
        <v xml:space="preserve"> </v>
      </c>
      <c r="R9" s="539" t="str">
        <f>IF(Inventory_List_Table341115[[#This Row],[Q]]&lt;0.1, " ",Inventory_List_Table341115[[#This Row],[PRICE]]/$L$1)</f>
        <v xml:space="preserve"> </v>
      </c>
      <c r="S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" s="539" t="str">
        <f>IF(Inventory_List_Table341115[[#This Row],[Q]]&lt;0.1, " ",Inventory_List_Table341115[[#This Row],[AQ RND USD]]*1.4)</f>
        <v xml:space="preserve"> </v>
      </c>
      <c r="U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" s="539" t="str">
        <f>IF(Inventory_List_Table341115[[#This Row],[Q]]&lt;0.1, " ",Inventory_List_Table341115[[#This Row],[LND RND USD]]*12)</f>
        <v xml:space="preserve"> </v>
      </c>
      <c r="W9" s="539" t="str">
        <f>IF(Inventory_List_Table341115[[#This Row],[Q]]&lt;0.1, " ",Inventory_List_Table341115[[#This Row],[AQ USD]])</f>
        <v xml:space="preserve"> </v>
      </c>
      <c r="X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" s="539" t="str">
        <f>IF(Inventory_List_Table341115[[#This Row],[Q]]&lt;0.1, " ",Inventory_List_Table341115[[#This Row],[PRICE]]/Z9*10000)</f>
        <v xml:space="preserve"> </v>
      </c>
      <c r="AB9" s="27"/>
      <c r="AC9" s="1"/>
      <c r="AD9" s="1"/>
    </row>
    <row r="10" spans="1:30" ht="24" customHeight="1" x14ac:dyDescent="0.3">
      <c r="A10" s="84">
        <v>8</v>
      </c>
      <c r="B10" s="1"/>
      <c r="C10" s="557"/>
      <c r="D10" s="557"/>
      <c r="E10" s="557"/>
      <c r="F10" s="38" t="str">
        <f>IF(Inventory_List_Table341115[[#This Row],[Q]]&lt;0.1, " ",$A$1&amp;$D$1&amp;Inventory_List_Table341115[[#This Row],['#]]&amp;Inventory_List_Table341115[[#This Row],[LC]])</f>
        <v xml:space="preserve"> </v>
      </c>
      <c r="G10" s="85"/>
      <c r="H10" s="85"/>
      <c r="I10" s="85"/>
      <c r="J10" s="85"/>
      <c r="K10" s="85"/>
      <c r="L10" s="87"/>
      <c r="M10" s="539" t="str">
        <f>IF(Inventory_List_Table341115[[#This Row],[Q]]&lt;0.1, " ", Inventory_List_Table341115[[#This Row],[Q]]*Inventory_List_Table341115[[#This Row],[PRICE]])</f>
        <v xml:space="preserve"> </v>
      </c>
      <c r="N10" s="35" t="str">
        <f>IF(Inventory_List_Table341115[[#This Row],[Q]]&lt;0.1, " ", Inventory_List_Table341115[[#This Row],[KG]]*2.20462)</f>
        <v xml:space="preserve"> </v>
      </c>
      <c r="O10" s="35" t="str">
        <f>IF(Inventory_List_Table341115[[#This Row],[Q]]&lt;0.1, " ",Inventory_List_Table341115[[#This Row],[H CM]]/2.54)</f>
        <v xml:space="preserve"> </v>
      </c>
      <c r="P10" s="35" t="str">
        <f>IF(Inventory_List_Table341115[[#This Row],[Q]]&lt;0.1, " ",Inventory_List_Table341115[[#This Row],[W CM]]/2.54)</f>
        <v xml:space="preserve"> </v>
      </c>
      <c r="Q10" s="35" t="str">
        <f>IF(Inventory_List_Table341115[[#This Row],[Q]]&lt;0.1, " ",Inventory_List_Table341115[[#This Row],[D CM ]]/2.54)</f>
        <v xml:space="preserve"> </v>
      </c>
      <c r="R10" s="539" t="str">
        <f>IF(Inventory_List_Table341115[[#This Row],[Q]]&lt;0.1, " ",Inventory_List_Table341115[[#This Row],[PRICE]]/$L$1)</f>
        <v xml:space="preserve"> </v>
      </c>
      <c r="S1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0" s="539" t="str">
        <f>IF(Inventory_List_Table341115[[#This Row],[Q]]&lt;0.1, " ",Inventory_List_Table341115[[#This Row],[AQ RND USD]]*1.4)</f>
        <v xml:space="preserve"> </v>
      </c>
      <c r="U1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0" s="539" t="str">
        <f>IF(Inventory_List_Table341115[[#This Row],[Q]]&lt;0.1, " ",Inventory_List_Table341115[[#This Row],[LND RND USD]]*12)</f>
        <v xml:space="preserve"> </v>
      </c>
      <c r="W10" s="539" t="str">
        <f>IF(Inventory_List_Table341115[[#This Row],[Q]]&lt;0.1, " ",Inventory_List_Table341115[[#This Row],[AQ USD]])</f>
        <v xml:space="preserve"> </v>
      </c>
      <c r="X1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0" s="539" t="str">
        <f>IF(Inventory_List_Table341115[[#This Row],[Q]]&lt;0.1, " ",Inventory_List_Table341115[[#This Row],[PRICE]]/Z10*10000)</f>
        <v xml:space="preserve"> </v>
      </c>
      <c r="AB10" s="27"/>
      <c r="AC10" s="1"/>
      <c r="AD10" s="1"/>
    </row>
    <row r="11" spans="1:30" ht="24" customHeight="1" x14ac:dyDescent="0.3">
      <c r="A11" s="84">
        <v>9</v>
      </c>
      <c r="B11" s="1"/>
      <c r="C11" s="557"/>
      <c r="D11" s="557"/>
      <c r="E11" s="557"/>
      <c r="F11" s="38" t="str">
        <f>IF(Inventory_List_Table341115[[#This Row],[Q]]&lt;0.1, " ",$A$1&amp;$D$1&amp;Inventory_List_Table341115[[#This Row],['#]]&amp;Inventory_List_Table341115[[#This Row],[LC]])</f>
        <v xml:space="preserve"> </v>
      </c>
      <c r="G11" s="85"/>
      <c r="H11" s="85"/>
      <c r="I11" s="85"/>
      <c r="J11" s="85"/>
      <c r="K11" s="85"/>
      <c r="L11" s="87"/>
      <c r="M11" s="539" t="str">
        <f>IF(Inventory_List_Table341115[[#This Row],[Q]]&lt;0.1, " ", Inventory_List_Table341115[[#This Row],[Q]]*Inventory_List_Table341115[[#This Row],[PRICE]])</f>
        <v xml:space="preserve"> </v>
      </c>
      <c r="N11" s="35" t="str">
        <f>IF(Inventory_List_Table341115[[#This Row],[Q]]&lt;0.1, " ", Inventory_List_Table341115[[#This Row],[KG]]*2.20462)</f>
        <v xml:space="preserve"> </v>
      </c>
      <c r="O11" s="35" t="str">
        <f>IF(Inventory_List_Table341115[[#This Row],[Q]]&lt;0.1, " ",Inventory_List_Table341115[[#This Row],[H CM]]/2.54)</f>
        <v xml:space="preserve"> </v>
      </c>
      <c r="P11" s="35" t="str">
        <f>IF(Inventory_List_Table341115[[#This Row],[Q]]&lt;0.1, " ",Inventory_List_Table341115[[#This Row],[W CM]]/2.54)</f>
        <v xml:space="preserve"> </v>
      </c>
      <c r="Q11" s="35" t="str">
        <f>IF(Inventory_List_Table341115[[#This Row],[Q]]&lt;0.1, " ",Inventory_List_Table341115[[#This Row],[D CM ]]/2.54)</f>
        <v xml:space="preserve"> </v>
      </c>
      <c r="R11" s="539" t="str">
        <f>IF(Inventory_List_Table341115[[#This Row],[Q]]&lt;0.1, " ",Inventory_List_Table341115[[#This Row],[PRICE]]/$L$1)</f>
        <v xml:space="preserve"> </v>
      </c>
      <c r="S1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1" s="539" t="str">
        <f>IF(Inventory_List_Table341115[[#This Row],[Q]]&lt;0.1, " ",Inventory_List_Table341115[[#This Row],[AQ RND USD]]*1.4)</f>
        <v xml:space="preserve"> </v>
      </c>
      <c r="U1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1" s="539" t="str">
        <f>IF(Inventory_List_Table341115[[#This Row],[Q]]&lt;0.1, " ",Inventory_List_Table341115[[#This Row],[LND RND USD]]*12)</f>
        <v xml:space="preserve"> </v>
      </c>
      <c r="W11" s="539" t="str">
        <f>IF(Inventory_List_Table341115[[#This Row],[Q]]&lt;0.1, " ",Inventory_List_Table341115[[#This Row],[AQ USD]])</f>
        <v xml:space="preserve"> </v>
      </c>
      <c r="X1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1" s="539" t="str">
        <f>IF(Inventory_List_Table341115[[#This Row],[Q]]&lt;0.1, " ",Inventory_List_Table341115[[#This Row],[PRICE]]/Z11*10000)</f>
        <v xml:space="preserve"> </v>
      </c>
      <c r="AB11" s="27"/>
      <c r="AC11" s="1"/>
      <c r="AD11" s="1"/>
    </row>
    <row r="12" spans="1:30" ht="24" customHeight="1" x14ac:dyDescent="0.3">
      <c r="A12" s="84">
        <v>10</v>
      </c>
      <c r="B12" s="1"/>
      <c r="C12" s="557"/>
      <c r="D12" s="557"/>
      <c r="E12" s="557"/>
      <c r="F12" s="38" t="str">
        <f>IF(Inventory_List_Table341115[[#This Row],[Q]]&lt;0.1, " ",$A$1&amp;$D$1&amp;Inventory_List_Table341115[[#This Row],['#]]&amp;Inventory_List_Table341115[[#This Row],[LC]])</f>
        <v xml:space="preserve"> </v>
      </c>
      <c r="G12" s="85"/>
      <c r="H12" s="85"/>
      <c r="I12" s="85"/>
      <c r="J12" s="85"/>
      <c r="K12" s="85"/>
      <c r="L12" s="87"/>
      <c r="M12" s="539" t="str">
        <f>IF(Inventory_List_Table341115[[#This Row],[Q]]&lt;0.1, " ", Inventory_List_Table341115[[#This Row],[Q]]*Inventory_List_Table341115[[#This Row],[PRICE]])</f>
        <v xml:space="preserve"> </v>
      </c>
      <c r="N12" s="35" t="str">
        <f>IF(Inventory_List_Table341115[[#This Row],[Q]]&lt;0.1, " ", Inventory_List_Table341115[[#This Row],[KG]]*2.20462)</f>
        <v xml:space="preserve"> </v>
      </c>
      <c r="O12" s="35" t="str">
        <f>IF(Inventory_List_Table341115[[#This Row],[Q]]&lt;0.1, " ",Inventory_List_Table341115[[#This Row],[H CM]]/2.54)</f>
        <v xml:space="preserve"> </v>
      </c>
      <c r="P12" s="35" t="str">
        <f>IF(Inventory_List_Table341115[[#This Row],[Q]]&lt;0.1, " ",Inventory_List_Table341115[[#This Row],[W CM]]/2.54)</f>
        <v xml:space="preserve"> </v>
      </c>
      <c r="Q12" s="35" t="str">
        <f>IF(Inventory_List_Table341115[[#This Row],[Q]]&lt;0.1, " ",Inventory_List_Table341115[[#This Row],[D CM ]]/2.54)</f>
        <v xml:space="preserve"> </v>
      </c>
      <c r="R12" s="539" t="str">
        <f>IF(Inventory_List_Table341115[[#This Row],[Q]]&lt;0.1, " ",Inventory_List_Table341115[[#This Row],[PRICE]]/$L$1)</f>
        <v xml:space="preserve"> </v>
      </c>
      <c r="S1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2" s="539" t="str">
        <f>IF(Inventory_List_Table341115[[#This Row],[Q]]&lt;0.1, " ",Inventory_List_Table341115[[#This Row],[AQ RND USD]]*1.4)</f>
        <v xml:space="preserve"> </v>
      </c>
      <c r="U1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2" s="539" t="str">
        <f>IF(Inventory_List_Table341115[[#This Row],[Q]]&lt;0.1, " ",Inventory_List_Table341115[[#This Row],[LND RND USD]]*12)</f>
        <v xml:space="preserve"> </v>
      </c>
      <c r="W12" s="539" t="str">
        <f>IF(Inventory_List_Table341115[[#This Row],[Q]]&lt;0.1, " ",Inventory_List_Table341115[[#This Row],[AQ USD]])</f>
        <v xml:space="preserve"> </v>
      </c>
      <c r="X1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2" s="539" t="str">
        <f>IF(Inventory_List_Table341115[[#This Row],[Q]]&lt;0.1, " ",Inventory_List_Table341115[[#This Row],[PRICE]]/Z12*10000)</f>
        <v xml:space="preserve"> </v>
      </c>
      <c r="AB12" s="27"/>
      <c r="AC12" s="1"/>
      <c r="AD12" s="1"/>
    </row>
    <row r="13" spans="1:30" ht="24" customHeight="1" x14ac:dyDescent="0.3">
      <c r="A13" s="84">
        <v>11</v>
      </c>
      <c r="B13" s="1"/>
      <c r="C13" s="557"/>
      <c r="D13" s="557"/>
      <c r="E13" s="557"/>
      <c r="F13" s="38" t="str">
        <f>IF(Inventory_List_Table341115[[#This Row],[Q]]&lt;0.1, " ",$A$1&amp;$D$1&amp;Inventory_List_Table341115[[#This Row],['#]]&amp;Inventory_List_Table341115[[#This Row],[LC]])</f>
        <v xml:space="preserve"> </v>
      </c>
      <c r="G13" s="85"/>
      <c r="H13" s="85"/>
      <c r="I13" s="85"/>
      <c r="J13" s="85"/>
      <c r="K13" s="85"/>
      <c r="L13" s="87"/>
      <c r="M13" s="539" t="str">
        <f>IF(Inventory_List_Table341115[[#This Row],[Q]]&lt;0.1, " ", Inventory_List_Table341115[[#This Row],[Q]]*Inventory_List_Table341115[[#This Row],[PRICE]])</f>
        <v xml:space="preserve"> </v>
      </c>
      <c r="N13" s="35" t="str">
        <f>IF(Inventory_List_Table341115[[#This Row],[Q]]&lt;0.1, " ", Inventory_List_Table341115[[#This Row],[KG]]*2.20462)</f>
        <v xml:space="preserve"> </v>
      </c>
      <c r="O13" s="35" t="str">
        <f>IF(Inventory_List_Table341115[[#This Row],[Q]]&lt;0.1, " ",Inventory_List_Table341115[[#This Row],[H CM]]/2.54)</f>
        <v xml:space="preserve"> </v>
      </c>
      <c r="P13" s="35" t="str">
        <f>IF(Inventory_List_Table341115[[#This Row],[Q]]&lt;0.1, " ",Inventory_List_Table341115[[#This Row],[W CM]]/2.54)</f>
        <v xml:space="preserve"> </v>
      </c>
      <c r="Q13" s="35" t="str">
        <f>IF(Inventory_List_Table341115[[#This Row],[Q]]&lt;0.1, " ",Inventory_List_Table341115[[#This Row],[D CM ]]/2.54)</f>
        <v xml:space="preserve"> </v>
      </c>
      <c r="R13" s="539" t="str">
        <f>IF(Inventory_List_Table341115[[#This Row],[Q]]&lt;0.1, " ",Inventory_List_Table341115[[#This Row],[PRICE]]/$L$1)</f>
        <v xml:space="preserve"> </v>
      </c>
      <c r="S1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3" s="539" t="str">
        <f>IF(Inventory_List_Table341115[[#This Row],[Q]]&lt;0.1, " ",Inventory_List_Table341115[[#This Row],[AQ RND USD]]*1.4)</f>
        <v xml:space="preserve"> </v>
      </c>
      <c r="U1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3" s="539" t="str">
        <f>IF(Inventory_List_Table341115[[#This Row],[Q]]&lt;0.1, " ",Inventory_List_Table341115[[#This Row],[LND RND USD]]*12)</f>
        <v xml:space="preserve"> </v>
      </c>
      <c r="W13" s="539" t="str">
        <f>IF(Inventory_List_Table341115[[#This Row],[Q]]&lt;0.1, " ",Inventory_List_Table341115[[#This Row],[AQ USD]])</f>
        <v xml:space="preserve"> </v>
      </c>
      <c r="X1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3" s="539" t="str">
        <f>IF(Inventory_List_Table341115[[#This Row],[Q]]&lt;0.1, " ",Inventory_List_Table341115[[#This Row],[PRICE]]/Z13*10000)</f>
        <v xml:space="preserve"> </v>
      </c>
      <c r="AB13" s="27"/>
      <c r="AC13" s="1"/>
      <c r="AD13" s="1"/>
    </row>
    <row r="14" spans="1:30" ht="24" customHeight="1" x14ac:dyDescent="0.3">
      <c r="A14" s="84">
        <v>12</v>
      </c>
      <c r="B14" s="1"/>
      <c r="C14" s="557"/>
      <c r="D14" s="557"/>
      <c r="E14" s="557"/>
      <c r="F14" s="38" t="str">
        <f>IF(Inventory_List_Table341115[[#This Row],[Q]]&lt;0.1, " ",$A$1&amp;$D$1&amp;Inventory_List_Table341115[[#This Row],['#]]&amp;Inventory_List_Table341115[[#This Row],[LC]])</f>
        <v xml:space="preserve"> </v>
      </c>
      <c r="G14" s="85"/>
      <c r="H14" s="85"/>
      <c r="I14" s="85"/>
      <c r="J14" s="85"/>
      <c r="K14" s="85"/>
      <c r="L14" s="87"/>
      <c r="M14" s="539" t="str">
        <f>IF(Inventory_List_Table341115[[#This Row],[Q]]&lt;0.1, " ", Inventory_List_Table341115[[#This Row],[Q]]*Inventory_List_Table341115[[#This Row],[PRICE]])</f>
        <v xml:space="preserve"> </v>
      </c>
      <c r="N14" s="35" t="str">
        <f>IF(Inventory_List_Table341115[[#This Row],[Q]]&lt;0.1, " ", Inventory_List_Table341115[[#This Row],[KG]]*2.20462)</f>
        <v xml:space="preserve"> </v>
      </c>
      <c r="O14" s="35" t="str">
        <f>IF(Inventory_List_Table341115[[#This Row],[Q]]&lt;0.1, " ",Inventory_List_Table341115[[#This Row],[H CM]]/2.54)</f>
        <v xml:space="preserve"> </v>
      </c>
      <c r="P14" s="35" t="str">
        <f>IF(Inventory_List_Table341115[[#This Row],[Q]]&lt;0.1, " ",Inventory_List_Table341115[[#This Row],[W CM]]/2.54)</f>
        <v xml:space="preserve"> </v>
      </c>
      <c r="Q14" s="35" t="str">
        <f>IF(Inventory_List_Table341115[[#This Row],[Q]]&lt;0.1, " ",Inventory_List_Table341115[[#This Row],[D CM ]]/2.54)</f>
        <v xml:space="preserve"> </v>
      </c>
      <c r="R14" s="539" t="str">
        <f>IF(Inventory_List_Table341115[[#This Row],[Q]]&lt;0.1, " ",Inventory_List_Table341115[[#This Row],[PRICE]]/$L$1)</f>
        <v xml:space="preserve"> </v>
      </c>
      <c r="S1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4" s="539" t="str">
        <f>IF(Inventory_List_Table341115[[#This Row],[Q]]&lt;0.1, " ",Inventory_List_Table341115[[#This Row],[AQ RND USD]]*1.4)</f>
        <v xml:space="preserve"> </v>
      </c>
      <c r="U1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4" s="539" t="str">
        <f>IF(Inventory_List_Table341115[[#This Row],[Q]]&lt;0.1, " ",Inventory_List_Table341115[[#This Row],[LND RND USD]]*12)</f>
        <v xml:space="preserve"> </v>
      </c>
      <c r="W14" s="539" t="str">
        <f>IF(Inventory_List_Table341115[[#This Row],[Q]]&lt;0.1, " ",Inventory_List_Table341115[[#This Row],[AQ USD]])</f>
        <v xml:space="preserve"> </v>
      </c>
      <c r="X1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4" s="539" t="str">
        <f>IF(Inventory_List_Table341115[[#This Row],[Q]]&lt;0.1, " ",Inventory_List_Table341115[[#This Row],[PRICE]]/Z14*10000)</f>
        <v xml:space="preserve"> </v>
      </c>
      <c r="AB14" s="27"/>
      <c r="AC14" s="1"/>
      <c r="AD14" s="1"/>
    </row>
    <row r="15" spans="1:30" ht="24" customHeight="1" x14ac:dyDescent="0.3">
      <c r="A15" s="84">
        <v>13</v>
      </c>
      <c r="B15" s="1"/>
      <c r="C15" s="557"/>
      <c r="D15" s="557"/>
      <c r="E15" s="557"/>
      <c r="F15" s="38" t="str">
        <f>IF(Inventory_List_Table341115[[#This Row],[Q]]&lt;0.1, " ",$A$1&amp;$D$1&amp;Inventory_List_Table341115[[#This Row],['#]]&amp;Inventory_List_Table341115[[#This Row],[LC]])</f>
        <v xml:space="preserve"> </v>
      </c>
      <c r="G15" s="85"/>
      <c r="H15" s="85"/>
      <c r="I15" s="85"/>
      <c r="J15" s="85"/>
      <c r="K15" s="85"/>
      <c r="L15" s="87"/>
      <c r="M15" s="539" t="str">
        <f>IF(Inventory_List_Table341115[[#This Row],[Q]]&lt;0.1, " ", Inventory_List_Table341115[[#This Row],[Q]]*Inventory_List_Table341115[[#This Row],[PRICE]])</f>
        <v xml:space="preserve"> </v>
      </c>
      <c r="N15" s="35" t="str">
        <f>IF(Inventory_List_Table341115[[#This Row],[Q]]&lt;0.1, " ", Inventory_List_Table341115[[#This Row],[KG]]*2.20462)</f>
        <v xml:space="preserve"> </v>
      </c>
      <c r="O15" s="35" t="str">
        <f>IF(Inventory_List_Table341115[[#This Row],[Q]]&lt;0.1, " ",Inventory_List_Table341115[[#This Row],[H CM]]/2.54)</f>
        <v xml:space="preserve"> </v>
      </c>
      <c r="P15" s="35" t="str">
        <f>IF(Inventory_List_Table341115[[#This Row],[Q]]&lt;0.1, " ",Inventory_List_Table341115[[#This Row],[W CM]]/2.54)</f>
        <v xml:space="preserve"> </v>
      </c>
      <c r="Q15" s="35" t="str">
        <f>IF(Inventory_List_Table341115[[#This Row],[Q]]&lt;0.1, " ",Inventory_List_Table341115[[#This Row],[D CM ]]/2.54)</f>
        <v xml:space="preserve"> </v>
      </c>
      <c r="R15" s="539" t="str">
        <f>IF(Inventory_List_Table341115[[#This Row],[Q]]&lt;0.1, " ",Inventory_List_Table341115[[#This Row],[PRICE]]/$L$1)</f>
        <v xml:space="preserve"> </v>
      </c>
      <c r="S1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5" s="539" t="str">
        <f>IF(Inventory_List_Table341115[[#This Row],[Q]]&lt;0.1, " ",Inventory_List_Table341115[[#This Row],[AQ RND USD]]*1.4)</f>
        <v xml:space="preserve"> </v>
      </c>
      <c r="U1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5" s="539" t="str">
        <f>IF(Inventory_List_Table341115[[#This Row],[Q]]&lt;0.1, " ",Inventory_List_Table341115[[#This Row],[LND RND USD]]*12)</f>
        <v xml:space="preserve"> </v>
      </c>
      <c r="W15" s="539" t="str">
        <f>IF(Inventory_List_Table341115[[#This Row],[Q]]&lt;0.1, " ",Inventory_List_Table341115[[#This Row],[AQ USD]])</f>
        <v xml:space="preserve"> </v>
      </c>
      <c r="X1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5" s="539" t="str">
        <f>IF(Inventory_List_Table341115[[#This Row],[Q]]&lt;0.1, " ",Inventory_List_Table341115[[#This Row],[PRICE]]/Z15*10000)</f>
        <v xml:space="preserve"> </v>
      </c>
      <c r="AB15" s="27"/>
      <c r="AC15" s="1"/>
      <c r="AD15" s="1"/>
    </row>
    <row r="16" spans="1:30" ht="24" customHeight="1" x14ac:dyDescent="0.3">
      <c r="A16" s="84">
        <v>14</v>
      </c>
      <c r="B16" s="1"/>
      <c r="C16" s="557"/>
      <c r="D16" s="557"/>
      <c r="E16" s="557"/>
      <c r="F16" s="38" t="str">
        <f>IF(Inventory_List_Table341115[[#This Row],[Q]]&lt;0.1, " ",$A$1&amp;$D$1&amp;Inventory_List_Table341115[[#This Row],['#]]&amp;Inventory_List_Table341115[[#This Row],[LC]])</f>
        <v xml:space="preserve"> </v>
      </c>
      <c r="G16" s="85"/>
      <c r="H16" s="85"/>
      <c r="I16" s="85"/>
      <c r="J16" s="85"/>
      <c r="K16" s="85"/>
      <c r="L16" s="87"/>
      <c r="M16" s="539" t="str">
        <f>IF(Inventory_List_Table341115[[#This Row],[Q]]&lt;0.1, " ", Inventory_List_Table341115[[#This Row],[Q]]*Inventory_List_Table341115[[#This Row],[PRICE]])</f>
        <v xml:space="preserve"> </v>
      </c>
      <c r="N16" s="35" t="str">
        <f>IF(Inventory_List_Table341115[[#This Row],[Q]]&lt;0.1, " ", Inventory_List_Table341115[[#This Row],[KG]]*2.20462)</f>
        <v xml:space="preserve"> </v>
      </c>
      <c r="O16" s="35" t="str">
        <f>IF(Inventory_List_Table341115[[#This Row],[Q]]&lt;0.1, " ",Inventory_List_Table341115[[#This Row],[H CM]]/2.54)</f>
        <v xml:space="preserve"> </v>
      </c>
      <c r="P16" s="35" t="str">
        <f>IF(Inventory_List_Table341115[[#This Row],[Q]]&lt;0.1, " ",Inventory_List_Table341115[[#This Row],[W CM]]/2.54)</f>
        <v xml:space="preserve"> </v>
      </c>
      <c r="Q16" s="35" t="str">
        <f>IF(Inventory_List_Table341115[[#This Row],[Q]]&lt;0.1, " ",Inventory_List_Table341115[[#This Row],[D CM ]]/2.54)</f>
        <v xml:space="preserve"> </v>
      </c>
      <c r="R16" s="539" t="str">
        <f>IF(Inventory_List_Table341115[[#This Row],[Q]]&lt;0.1, " ",Inventory_List_Table341115[[#This Row],[PRICE]]/$L$1)</f>
        <v xml:space="preserve"> </v>
      </c>
      <c r="S1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6" s="539" t="str">
        <f>IF(Inventory_List_Table341115[[#This Row],[Q]]&lt;0.1, " ",Inventory_List_Table341115[[#This Row],[AQ RND USD]]*1.4)</f>
        <v xml:space="preserve"> </v>
      </c>
      <c r="U1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6" s="539" t="str">
        <f>IF(Inventory_List_Table341115[[#This Row],[Q]]&lt;0.1, " ",Inventory_List_Table341115[[#This Row],[LND RND USD]]*12)</f>
        <v xml:space="preserve"> </v>
      </c>
      <c r="W16" s="539" t="str">
        <f>IF(Inventory_List_Table341115[[#This Row],[Q]]&lt;0.1, " ",Inventory_List_Table341115[[#This Row],[AQ USD]])</f>
        <v xml:space="preserve"> </v>
      </c>
      <c r="X1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6" s="539" t="str">
        <f>IF(Inventory_List_Table341115[[#This Row],[Q]]&lt;0.1, " ",Inventory_List_Table341115[[#This Row],[PRICE]]/Z16*10000)</f>
        <v xml:space="preserve"> </v>
      </c>
      <c r="AB16" s="27"/>
      <c r="AC16" s="1"/>
      <c r="AD16" s="1"/>
    </row>
    <row r="17" spans="1:30" ht="24" customHeight="1" x14ac:dyDescent="0.3">
      <c r="A17" s="84">
        <v>15</v>
      </c>
      <c r="B17" s="1"/>
      <c r="C17" s="557"/>
      <c r="D17" s="557"/>
      <c r="E17" s="557"/>
      <c r="F17" s="38" t="str">
        <f>IF(Inventory_List_Table341115[[#This Row],[Q]]&lt;0.1, " ",$A$1&amp;$D$1&amp;Inventory_List_Table341115[[#This Row],['#]]&amp;Inventory_List_Table341115[[#This Row],[LC]])</f>
        <v xml:space="preserve"> </v>
      </c>
      <c r="G17" s="85"/>
      <c r="H17" s="85"/>
      <c r="I17" s="85"/>
      <c r="J17" s="85"/>
      <c r="K17" s="85"/>
      <c r="L17" s="87"/>
      <c r="M17" s="539" t="str">
        <f>IF(Inventory_List_Table341115[[#This Row],[Q]]&lt;0.1, " ", Inventory_List_Table341115[[#This Row],[Q]]*Inventory_List_Table341115[[#This Row],[PRICE]])</f>
        <v xml:space="preserve"> </v>
      </c>
      <c r="N17" s="35" t="str">
        <f>IF(Inventory_List_Table341115[[#This Row],[Q]]&lt;0.1, " ", Inventory_List_Table341115[[#This Row],[KG]]*2.20462)</f>
        <v xml:space="preserve"> </v>
      </c>
      <c r="O17" s="35" t="str">
        <f>IF(Inventory_List_Table341115[[#This Row],[Q]]&lt;0.1, " ",Inventory_List_Table341115[[#This Row],[H CM]]/2.54)</f>
        <v xml:space="preserve"> </v>
      </c>
      <c r="P17" s="35" t="str">
        <f>IF(Inventory_List_Table341115[[#This Row],[Q]]&lt;0.1, " ",Inventory_List_Table341115[[#This Row],[W CM]]/2.54)</f>
        <v xml:space="preserve"> </v>
      </c>
      <c r="Q17" s="35" t="str">
        <f>IF(Inventory_List_Table341115[[#This Row],[Q]]&lt;0.1, " ",Inventory_List_Table341115[[#This Row],[D CM ]]/2.54)</f>
        <v xml:space="preserve"> </v>
      </c>
      <c r="R17" s="539" t="str">
        <f>IF(Inventory_List_Table341115[[#This Row],[Q]]&lt;0.1, " ",Inventory_List_Table341115[[#This Row],[PRICE]]/$L$1)</f>
        <v xml:space="preserve"> </v>
      </c>
      <c r="S1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7" s="539" t="str">
        <f>IF(Inventory_List_Table341115[[#This Row],[Q]]&lt;0.1, " ",Inventory_List_Table341115[[#This Row],[AQ RND USD]]*1.4)</f>
        <v xml:space="preserve"> </v>
      </c>
      <c r="U1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7" s="539" t="str">
        <f>IF(Inventory_List_Table341115[[#This Row],[Q]]&lt;0.1, " ",Inventory_List_Table341115[[#This Row],[LND RND USD]]*12)</f>
        <v xml:space="preserve"> </v>
      </c>
      <c r="W17" s="539" t="str">
        <f>IF(Inventory_List_Table341115[[#This Row],[Q]]&lt;0.1, " ",Inventory_List_Table341115[[#This Row],[AQ USD]])</f>
        <v xml:space="preserve"> </v>
      </c>
      <c r="X1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7" s="539" t="str">
        <f>IF(Inventory_List_Table341115[[#This Row],[Q]]&lt;0.1, " ",Inventory_List_Table341115[[#This Row],[PRICE]]/Z17*10000)</f>
        <v xml:space="preserve"> </v>
      </c>
      <c r="AB17" s="27"/>
      <c r="AC17" s="1"/>
      <c r="AD17" s="1"/>
    </row>
    <row r="18" spans="1:30" ht="24" customHeight="1" x14ac:dyDescent="0.3">
      <c r="A18" s="84">
        <v>16</v>
      </c>
      <c r="B18" s="1"/>
      <c r="C18" s="557"/>
      <c r="D18" s="557"/>
      <c r="E18" s="557"/>
      <c r="F18" s="38" t="str">
        <f>IF(Inventory_List_Table341115[[#This Row],[Q]]&lt;0.1, " ",$A$1&amp;$D$1&amp;Inventory_List_Table341115[[#This Row],['#]]&amp;Inventory_List_Table341115[[#This Row],[LC]])</f>
        <v xml:space="preserve"> </v>
      </c>
      <c r="G18" s="85"/>
      <c r="H18" s="85"/>
      <c r="I18" s="85"/>
      <c r="J18" s="85"/>
      <c r="K18" s="85"/>
      <c r="L18" s="87"/>
      <c r="M18" s="539" t="str">
        <f>IF(Inventory_List_Table341115[[#This Row],[Q]]&lt;0.1, " ", Inventory_List_Table341115[[#This Row],[Q]]*Inventory_List_Table341115[[#This Row],[PRICE]])</f>
        <v xml:space="preserve"> </v>
      </c>
      <c r="N18" s="35" t="str">
        <f>IF(Inventory_List_Table341115[[#This Row],[Q]]&lt;0.1, " ", Inventory_List_Table341115[[#This Row],[KG]]*2.20462)</f>
        <v xml:space="preserve"> </v>
      </c>
      <c r="O18" s="35" t="str">
        <f>IF(Inventory_List_Table341115[[#This Row],[Q]]&lt;0.1, " ",Inventory_List_Table341115[[#This Row],[H CM]]/2.54)</f>
        <v xml:space="preserve"> </v>
      </c>
      <c r="P18" s="35" t="str">
        <f>IF(Inventory_List_Table341115[[#This Row],[Q]]&lt;0.1, " ",Inventory_List_Table341115[[#This Row],[W CM]]/2.54)</f>
        <v xml:space="preserve"> </v>
      </c>
      <c r="Q18" s="35" t="str">
        <f>IF(Inventory_List_Table341115[[#This Row],[Q]]&lt;0.1, " ",Inventory_List_Table341115[[#This Row],[D CM ]]/2.54)</f>
        <v xml:space="preserve"> </v>
      </c>
      <c r="R18" s="539" t="str">
        <f>IF(Inventory_List_Table341115[[#This Row],[Q]]&lt;0.1, " ",Inventory_List_Table341115[[#This Row],[PRICE]]/$L$1)</f>
        <v xml:space="preserve"> </v>
      </c>
      <c r="S1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8" s="539" t="str">
        <f>IF(Inventory_List_Table341115[[#This Row],[Q]]&lt;0.1, " ",Inventory_List_Table341115[[#This Row],[AQ RND USD]]*1.4)</f>
        <v xml:space="preserve"> </v>
      </c>
      <c r="U1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8" s="539" t="str">
        <f>IF(Inventory_List_Table341115[[#This Row],[Q]]&lt;0.1, " ",Inventory_List_Table341115[[#This Row],[LND RND USD]]*12)</f>
        <v xml:space="preserve"> </v>
      </c>
      <c r="W18" s="539" t="str">
        <f>IF(Inventory_List_Table341115[[#This Row],[Q]]&lt;0.1, " ",Inventory_List_Table341115[[#This Row],[AQ USD]])</f>
        <v xml:space="preserve"> </v>
      </c>
      <c r="X1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8" s="539" t="str">
        <f>IF(Inventory_List_Table341115[[#This Row],[Q]]&lt;0.1, " ",Inventory_List_Table341115[[#This Row],[PRICE]]/Z18*10000)</f>
        <v xml:space="preserve"> </v>
      </c>
      <c r="AB18" s="27"/>
      <c r="AC18" s="1"/>
      <c r="AD18" s="1"/>
    </row>
    <row r="19" spans="1:30" ht="24" customHeight="1" x14ac:dyDescent="0.3">
      <c r="A19" s="84">
        <v>17</v>
      </c>
      <c r="B19" s="1"/>
      <c r="C19" s="557"/>
      <c r="D19" s="557"/>
      <c r="E19" s="557"/>
      <c r="F19" s="38" t="str">
        <f>IF(Inventory_List_Table341115[[#This Row],[Q]]&lt;0.1, " ",$A$1&amp;$D$1&amp;Inventory_List_Table341115[[#This Row],['#]]&amp;Inventory_List_Table341115[[#This Row],[LC]])</f>
        <v xml:space="preserve"> </v>
      </c>
      <c r="G19" s="85"/>
      <c r="H19" s="85"/>
      <c r="I19" s="85"/>
      <c r="J19" s="85"/>
      <c r="K19" s="85"/>
      <c r="L19" s="87"/>
      <c r="M19" s="539" t="str">
        <f>IF(Inventory_List_Table341115[[#This Row],[Q]]&lt;0.1, " ", Inventory_List_Table341115[[#This Row],[Q]]*Inventory_List_Table341115[[#This Row],[PRICE]])</f>
        <v xml:space="preserve"> </v>
      </c>
      <c r="N19" s="35" t="str">
        <f>IF(Inventory_List_Table341115[[#This Row],[Q]]&lt;0.1, " ", Inventory_List_Table341115[[#This Row],[KG]]*2.20462)</f>
        <v xml:space="preserve"> </v>
      </c>
      <c r="O19" s="35" t="str">
        <f>IF(Inventory_List_Table341115[[#This Row],[Q]]&lt;0.1, " ",Inventory_List_Table341115[[#This Row],[H CM]]/2.54)</f>
        <v xml:space="preserve"> </v>
      </c>
      <c r="P19" s="35" t="str">
        <f>IF(Inventory_List_Table341115[[#This Row],[Q]]&lt;0.1, " ",Inventory_List_Table341115[[#This Row],[W CM]]/2.54)</f>
        <v xml:space="preserve"> </v>
      </c>
      <c r="Q19" s="35" t="str">
        <f>IF(Inventory_List_Table341115[[#This Row],[Q]]&lt;0.1, " ",Inventory_List_Table341115[[#This Row],[D CM ]]/2.54)</f>
        <v xml:space="preserve"> </v>
      </c>
      <c r="R19" s="539" t="str">
        <f>IF(Inventory_List_Table341115[[#This Row],[Q]]&lt;0.1, " ",Inventory_List_Table341115[[#This Row],[PRICE]]/$L$1)</f>
        <v xml:space="preserve"> </v>
      </c>
      <c r="S1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9" s="539" t="str">
        <f>IF(Inventory_List_Table341115[[#This Row],[Q]]&lt;0.1, " ",Inventory_List_Table341115[[#This Row],[AQ RND USD]]*1.4)</f>
        <v xml:space="preserve"> </v>
      </c>
      <c r="U1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9" s="539" t="str">
        <f>IF(Inventory_List_Table341115[[#This Row],[Q]]&lt;0.1, " ",Inventory_List_Table341115[[#This Row],[LND RND USD]]*12)</f>
        <v xml:space="preserve"> </v>
      </c>
      <c r="W19" s="539" t="str">
        <f>IF(Inventory_List_Table341115[[#This Row],[Q]]&lt;0.1, " ",Inventory_List_Table341115[[#This Row],[AQ USD]])</f>
        <v xml:space="preserve"> </v>
      </c>
      <c r="X1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9" s="539" t="str">
        <f>IF(Inventory_List_Table341115[[#This Row],[Q]]&lt;0.1, " ",Inventory_List_Table341115[[#This Row],[PRICE]]/Z19*10000)</f>
        <v xml:space="preserve"> </v>
      </c>
      <c r="AB19" s="27"/>
      <c r="AC19" s="1"/>
      <c r="AD19" s="1"/>
    </row>
    <row r="20" spans="1:30" ht="24" customHeight="1" x14ac:dyDescent="0.3">
      <c r="A20" s="84">
        <v>18</v>
      </c>
      <c r="B20" s="1"/>
      <c r="C20" s="557"/>
      <c r="D20" s="557"/>
      <c r="E20" s="557"/>
      <c r="F20" s="38" t="str">
        <f>IF(Inventory_List_Table341115[[#This Row],[Q]]&lt;0.1, " ",$A$1&amp;$D$1&amp;Inventory_List_Table341115[[#This Row],['#]]&amp;Inventory_List_Table341115[[#This Row],[LC]])</f>
        <v xml:space="preserve"> </v>
      </c>
      <c r="G20" s="85"/>
      <c r="H20" s="85"/>
      <c r="I20" s="85"/>
      <c r="J20" s="85"/>
      <c r="K20" s="85"/>
      <c r="L20" s="87"/>
      <c r="M20" s="539" t="str">
        <f>IF(Inventory_List_Table341115[[#This Row],[Q]]&lt;0.1, " ", Inventory_List_Table341115[[#This Row],[Q]]*Inventory_List_Table341115[[#This Row],[PRICE]])</f>
        <v xml:space="preserve"> </v>
      </c>
      <c r="N20" s="35" t="str">
        <f>IF(Inventory_List_Table341115[[#This Row],[Q]]&lt;0.1, " ", Inventory_List_Table341115[[#This Row],[KG]]*2.20462)</f>
        <v xml:space="preserve"> </v>
      </c>
      <c r="O20" s="35" t="str">
        <f>IF(Inventory_List_Table341115[[#This Row],[Q]]&lt;0.1, " ",Inventory_List_Table341115[[#This Row],[H CM]]/2.54)</f>
        <v xml:space="preserve"> </v>
      </c>
      <c r="P20" s="35" t="str">
        <f>IF(Inventory_List_Table341115[[#This Row],[Q]]&lt;0.1, " ",Inventory_List_Table341115[[#This Row],[W CM]]/2.54)</f>
        <v xml:space="preserve"> </v>
      </c>
      <c r="Q20" s="35" t="str">
        <f>IF(Inventory_List_Table341115[[#This Row],[Q]]&lt;0.1, " ",Inventory_List_Table341115[[#This Row],[D CM ]]/2.54)</f>
        <v xml:space="preserve"> </v>
      </c>
      <c r="R20" s="539" t="str">
        <f>IF(Inventory_List_Table341115[[#This Row],[Q]]&lt;0.1, " ",Inventory_List_Table341115[[#This Row],[PRICE]]/$L$1)</f>
        <v xml:space="preserve"> </v>
      </c>
      <c r="S2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0" s="539" t="str">
        <f>IF(Inventory_List_Table341115[[#This Row],[Q]]&lt;0.1, " ",Inventory_List_Table341115[[#This Row],[AQ RND USD]]*1.4)</f>
        <v xml:space="preserve"> </v>
      </c>
      <c r="U2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0" s="539" t="str">
        <f>IF(Inventory_List_Table341115[[#This Row],[Q]]&lt;0.1, " ",Inventory_List_Table341115[[#This Row],[LND RND USD]]*12)</f>
        <v xml:space="preserve"> </v>
      </c>
      <c r="W20" s="539" t="str">
        <f>IF(Inventory_List_Table341115[[#This Row],[Q]]&lt;0.1, " ",Inventory_List_Table341115[[#This Row],[AQ USD]])</f>
        <v xml:space="preserve"> </v>
      </c>
      <c r="X2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0" s="539" t="str">
        <f>IF(Inventory_List_Table341115[[#This Row],[Q]]&lt;0.1, " ",Inventory_List_Table341115[[#This Row],[PRICE]]/Z20*10000)</f>
        <v xml:space="preserve"> </v>
      </c>
      <c r="AB20" s="27"/>
      <c r="AC20" s="1"/>
      <c r="AD20" s="1"/>
    </row>
    <row r="21" spans="1:30" ht="24" customHeight="1" x14ac:dyDescent="0.3">
      <c r="A21" s="84">
        <v>19</v>
      </c>
      <c r="B21" s="1"/>
      <c r="C21" s="557"/>
      <c r="D21" s="557"/>
      <c r="E21" s="557"/>
      <c r="F21" s="38" t="str">
        <f>IF(Inventory_List_Table341115[[#This Row],[Q]]&lt;0.1, " ",$A$1&amp;$D$1&amp;Inventory_List_Table341115[[#This Row],['#]]&amp;Inventory_List_Table341115[[#This Row],[LC]])</f>
        <v xml:space="preserve"> </v>
      </c>
      <c r="G21" s="85"/>
      <c r="H21" s="85"/>
      <c r="I21" s="85"/>
      <c r="J21" s="85"/>
      <c r="K21" s="85"/>
      <c r="L21" s="87"/>
      <c r="M21" s="539" t="str">
        <f>IF(Inventory_List_Table341115[[#This Row],[Q]]&lt;0.1, " ", Inventory_List_Table341115[[#This Row],[Q]]*Inventory_List_Table341115[[#This Row],[PRICE]])</f>
        <v xml:space="preserve"> </v>
      </c>
      <c r="N21" s="35" t="str">
        <f>IF(Inventory_List_Table341115[[#This Row],[Q]]&lt;0.1, " ", Inventory_List_Table341115[[#This Row],[KG]]*2.20462)</f>
        <v xml:space="preserve"> </v>
      </c>
      <c r="O21" s="35" t="str">
        <f>IF(Inventory_List_Table341115[[#This Row],[Q]]&lt;0.1, " ",Inventory_List_Table341115[[#This Row],[H CM]]/2.54)</f>
        <v xml:space="preserve"> </v>
      </c>
      <c r="P21" s="35" t="str">
        <f>IF(Inventory_List_Table341115[[#This Row],[Q]]&lt;0.1, " ",Inventory_List_Table341115[[#This Row],[W CM]]/2.54)</f>
        <v xml:space="preserve"> </v>
      </c>
      <c r="Q21" s="35" t="str">
        <f>IF(Inventory_List_Table341115[[#This Row],[Q]]&lt;0.1, " ",Inventory_List_Table341115[[#This Row],[D CM ]]/2.54)</f>
        <v xml:space="preserve"> </v>
      </c>
      <c r="R21" s="539" t="str">
        <f>IF(Inventory_List_Table341115[[#This Row],[Q]]&lt;0.1, " ",Inventory_List_Table341115[[#This Row],[PRICE]]/$L$1)</f>
        <v xml:space="preserve"> </v>
      </c>
      <c r="S2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1" s="539" t="str">
        <f>IF(Inventory_List_Table341115[[#This Row],[Q]]&lt;0.1, " ",Inventory_List_Table341115[[#This Row],[AQ RND USD]]*1.4)</f>
        <v xml:space="preserve"> </v>
      </c>
      <c r="U2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1" s="539" t="str">
        <f>IF(Inventory_List_Table341115[[#This Row],[Q]]&lt;0.1, " ",Inventory_List_Table341115[[#This Row],[LND RND USD]]*12)</f>
        <v xml:space="preserve"> </v>
      </c>
      <c r="W21" s="539" t="str">
        <f>IF(Inventory_List_Table341115[[#This Row],[Q]]&lt;0.1, " ",Inventory_List_Table341115[[#This Row],[AQ USD]])</f>
        <v xml:space="preserve"> </v>
      </c>
      <c r="X2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1" s="539" t="str">
        <f>IF(Inventory_List_Table341115[[#This Row],[Q]]&lt;0.1, " ",Inventory_List_Table341115[[#This Row],[PRICE]]/Z21*10000)</f>
        <v xml:space="preserve"> </v>
      </c>
      <c r="AB21" s="27"/>
      <c r="AC21" s="1"/>
      <c r="AD21" s="1"/>
    </row>
    <row r="22" spans="1:30" ht="24" customHeight="1" x14ac:dyDescent="0.3">
      <c r="A22" s="84">
        <v>20</v>
      </c>
      <c r="B22" s="1"/>
      <c r="C22" s="557"/>
      <c r="D22" s="557"/>
      <c r="E22" s="557"/>
      <c r="F22" s="38" t="str">
        <f>IF(Inventory_List_Table341115[[#This Row],[Q]]&lt;0.1, " ",$A$1&amp;$D$1&amp;Inventory_List_Table341115[[#This Row],['#]]&amp;Inventory_List_Table341115[[#This Row],[LC]])</f>
        <v xml:space="preserve"> </v>
      </c>
      <c r="G22" s="85"/>
      <c r="H22" s="85"/>
      <c r="I22" s="85"/>
      <c r="J22" s="85"/>
      <c r="K22" s="85"/>
      <c r="L22" s="87"/>
      <c r="M22" s="539" t="str">
        <f>IF(Inventory_List_Table341115[[#This Row],[Q]]&lt;0.1, " ", Inventory_List_Table341115[[#This Row],[Q]]*Inventory_List_Table341115[[#This Row],[PRICE]])</f>
        <v xml:space="preserve"> </v>
      </c>
      <c r="N22" s="35" t="str">
        <f>IF(Inventory_List_Table341115[[#This Row],[Q]]&lt;0.1, " ", Inventory_List_Table341115[[#This Row],[KG]]*2.20462)</f>
        <v xml:space="preserve"> </v>
      </c>
      <c r="O22" s="35" t="str">
        <f>IF(Inventory_List_Table341115[[#This Row],[Q]]&lt;0.1, " ",Inventory_List_Table341115[[#This Row],[H CM]]/2.54)</f>
        <v xml:space="preserve"> </v>
      </c>
      <c r="P22" s="35" t="str">
        <f>IF(Inventory_List_Table341115[[#This Row],[Q]]&lt;0.1, " ",Inventory_List_Table341115[[#This Row],[W CM]]/2.54)</f>
        <v xml:space="preserve"> </v>
      </c>
      <c r="Q22" s="35" t="str">
        <f>IF(Inventory_List_Table341115[[#This Row],[Q]]&lt;0.1, " ",Inventory_List_Table341115[[#This Row],[D CM ]]/2.54)</f>
        <v xml:space="preserve"> </v>
      </c>
      <c r="R22" s="539" t="str">
        <f>IF(Inventory_List_Table341115[[#This Row],[Q]]&lt;0.1, " ",Inventory_List_Table341115[[#This Row],[PRICE]]/$L$1)</f>
        <v xml:space="preserve"> </v>
      </c>
      <c r="S2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2" s="539" t="str">
        <f>IF(Inventory_List_Table341115[[#This Row],[Q]]&lt;0.1, " ",Inventory_List_Table341115[[#This Row],[AQ RND USD]]*1.4)</f>
        <v xml:space="preserve"> </v>
      </c>
      <c r="U2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2" s="539" t="str">
        <f>IF(Inventory_List_Table341115[[#This Row],[Q]]&lt;0.1, " ",Inventory_List_Table341115[[#This Row],[LND RND USD]]*12)</f>
        <v xml:space="preserve"> </v>
      </c>
      <c r="W22" s="539" t="str">
        <f>IF(Inventory_List_Table341115[[#This Row],[Q]]&lt;0.1, " ",Inventory_List_Table341115[[#This Row],[AQ USD]])</f>
        <v xml:space="preserve"> </v>
      </c>
      <c r="X2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2" s="539" t="str">
        <f>IF(Inventory_List_Table341115[[#This Row],[Q]]&lt;0.1, " ",Inventory_List_Table341115[[#This Row],[PRICE]]/Z22*10000)</f>
        <v xml:space="preserve"> </v>
      </c>
      <c r="AB22" s="27"/>
      <c r="AC22" s="1"/>
      <c r="AD22" s="1"/>
    </row>
    <row r="23" spans="1:30" ht="24" customHeight="1" x14ac:dyDescent="0.3">
      <c r="A23" s="84">
        <v>21</v>
      </c>
      <c r="B23" s="1"/>
      <c r="C23" s="557"/>
      <c r="D23" s="557"/>
      <c r="E23" s="557"/>
      <c r="F23" s="38" t="str">
        <f>IF(Inventory_List_Table341115[[#This Row],[Q]]&lt;0.1, " ",$A$1&amp;$D$1&amp;Inventory_List_Table341115[[#This Row],['#]]&amp;Inventory_List_Table341115[[#This Row],[LC]])</f>
        <v xml:space="preserve"> </v>
      </c>
      <c r="G23" s="85"/>
      <c r="H23" s="85"/>
      <c r="I23" s="85"/>
      <c r="J23" s="85"/>
      <c r="K23" s="85"/>
      <c r="L23" s="87"/>
      <c r="M23" s="539" t="str">
        <f>IF(Inventory_List_Table341115[[#This Row],[Q]]&lt;0.1, " ", Inventory_List_Table341115[[#This Row],[Q]]*Inventory_List_Table341115[[#This Row],[PRICE]])</f>
        <v xml:space="preserve"> </v>
      </c>
      <c r="N23" s="35" t="str">
        <f>IF(Inventory_List_Table341115[[#This Row],[Q]]&lt;0.1, " ", Inventory_List_Table341115[[#This Row],[KG]]*2.20462)</f>
        <v xml:space="preserve"> </v>
      </c>
      <c r="O23" s="35" t="str">
        <f>IF(Inventory_List_Table341115[[#This Row],[Q]]&lt;0.1, " ",Inventory_List_Table341115[[#This Row],[H CM]]/2.54)</f>
        <v xml:space="preserve"> </v>
      </c>
      <c r="P23" s="35" t="str">
        <f>IF(Inventory_List_Table341115[[#This Row],[Q]]&lt;0.1, " ",Inventory_List_Table341115[[#This Row],[W CM]]/2.54)</f>
        <v xml:space="preserve"> </v>
      </c>
      <c r="Q23" s="35" t="str">
        <f>IF(Inventory_List_Table341115[[#This Row],[Q]]&lt;0.1, " ",Inventory_List_Table341115[[#This Row],[D CM ]]/2.54)</f>
        <v xml:space="preserve"> </v>
      </c>
      <c r="R23" s="539" t="str">
        <f>IF(Inventory_List_Table341115[[#This Row],[Q]]&lt;0.1, " ",Inventory_List_Table341115[[#This Row],[PRICE]]/$L$1)</f>
        <v xml:space="preserve"> </v>
      </c>
      <c r="S2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3" s="539" t="str">
        <f>IF(Inventory_List_Table341115[[#This Row],[Q]]&lt;0.1, " ",Inventory_List_Table341115[[#This Row],[AQ RND USD]]*1.4)</f>
        <v xml:space="preserve"> </v>
      </c>
      <c r="U2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3" s="539" t="str">
        <f>IF(Inventory_List_Table341115[[#This Row],[Q]]&lt;0.1, " ",Inventory_List_Table341115[[#This Row],[LND RND USD]]*12)</f>
        <v xml:space="preserve"> </v>
      </c>
      <c r="W23" s="539" t="str">
        <f>IF(Inventory_List_Table341115[[#This Row],[Q]]&lt;0.1, " ",Inventory_List_Table341115[[#This Row],[AQ USD]])</f>
        <v xml:space="preserve"> </v>
      </c>
      <c r="X2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3" s="539" t="str">
        <f>IF(Inventory_List_Table341115[[#This Row],[Q]]&lt;0.1, " ",Inventory_List_Table341115[[#This Row],[PRICE]]/Z23*10000)</f>
        <v xml:space="preserve"> </v>
      </c>
      <c r="AB23" s="27"/>
      <c r="AC23" s="1"/>
      <c r="AD23" s="1"/>
    </row>
    <row r="24" spans="1:30" ht="24" customHeight="1" x14ac:dyDescent="0.3">
      <c r="A24" s="84">
        <v>22</v>
      </c>
      <c r="B24" s="1"/>
      <c r="C24" s="557"/>
      <c r="D24" s="557"/>
      <c r="E24" s="557"/>
      <c r="F24" s="38" t="str">
        <f>IF(Inventory_List_Table341115[[#This Row],[Q]]&lt;0.1, " ",$A$1&amp;$D$1&amp;Inventory_List_Table341115[[#This Row],['#]]&amp;Inventory_List_Table341115[[#This Row],[LC]])</f>
        <v xml:space="preserve"> </v>
      </c>
      <c r="G24" s="85"/>
      <c r="H24" s="85"/>
      <c r="I24" s="85"/>
      <c r="J24" s="85"/>
      <c r="K24" s="85"/>
      <c r="L24" s="87"/>
      <c r="M24" s="539" t="str">
        <f>IF(Inventory_List_Table341115[[#This Row],[Q]]&lt;0.1, " ", Inventory_List_Table341115[[#This Row],[Q]]*Inventory_List_Table341115[[#This Row],[PRICE]])</f>
        <v xml:space="preserve"> </v>
      </c>
      <c r="N24" s="35" t="str">
        <f>IF(Inventory_List_Table341115[[#This Row],[Q]]&lt;0.1, " ", Inventory_List_Table341115[[#This Row],[KG]]*2.20462)</f>
        <v xml:space="preserve"> </v>
      </c>
      <c r="O24" s="35" t="str">
        <f>IF(Inventory_List_Table341115[[#This Row],[Q]]&lt;0.1, " ",Inventory_List_Table341115[[#This Row],[H CM]]/2.54)</f>
        <v xml:space="preserve"> </v>
      </c>
      <c r="P24" s="35" t="str">
        <f>IF(Inventory_List_Table341115[[#This Row],[Q]]&lt;0.1, " ",Inventory_List_Table341115[[#This Row],[W CM]]/2.54)</f>
        <v xml:space="preserve"> </v>
      </c>
      <c r="Q24" s="35" t="str">
        <f>IF(Inventory_List_Table341115[[#This Row],[Q]]&lt;0.1, " ",Inventory_List_Table341115[[#This Row],[D CM ]]/2.54)</f>
        <v xml:space="preserve"> </v>
      </c>
      <c r="R24" s="539" t="str">
        <f>IF(Inventory_List_Table341115[[#This Row],[Q]]&lt;0.1, " ",Inventory_List_Table341115[[#This Row],[PRICE]]/$L$1)</f>
        <v xml:space="preserve"> </v>
      </c>
      <c r="S2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4" s="539" t="str">
        <f>IF(Inventory_List_Table341115[[#This Row],[Q]]&lt;0.1, " ",Inventory_List_Table341115[[#This Row],[AQ RND USD]]*1.4)</f>
        <v xml:space="preserve"> </v>
      </c>
      <c r="U2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4" s="539" t="str">
        <f>IF(Inventory_List_Table341115[[#This Row],[Q]]&lt;0.1, " ",Inventory_List_Table341115[[#This Row],[LND RND USD]]*12)</f>
        <v xml:space="preserve"> </v>
      </c>
      <c r="W24" s="539" t="str">
        <f>IF(Inventory_List_Table341115[[#This Row],[Q]]&lt;0.1, " ",Inventory_List_Table341115[[#This Row],[AQ USD]])</f>
        <v xml:space="preserve"> </v>
      </c>
      <c r="X2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4" s="539" t="str">
        <f>IF(Inventory_List_Table341115[[#This Row],[Q]]&lt;0.1, " ",Inventory_List_Table341115[[#This Row],[PRICE]]/Z24*10000)</f>
        <v xml:space="preserve"> </v>
      </c>
      <c r="AB24" s="27"/>
      <c r="AC24" s="1"/>
      <c r="AD24" s="1"/>
    </row>
    <row r="25" spans="1:30" ht="24" customHeight="1" x14ac:dyDescent="0.3">
      <c r="A25" s="84">
        <v>23</v>
      </c>
      <c r="B25" s="1"/>
      <c r="C25" s="557"/>
      <c r="D25" s="557"/>
      <c r="E25" s="557"/>
      <c r="F25" s="38" t="str">
        <f>IF(Inventory_List_Table341115[[#This Row],[Q]]&lt;0.1, " ",$A$1&amp;$D$1&amp;Inventory_List_Table341115[[#This Row],['#]]&amp;Inventory_List_Table341115[[#This Row],[LC]])</f>
        <v xml:space="preserve"> </v>
      </c>
      <c r="G25" s="85"/>
      <c r="H25" s="85"/>
      <c r="I25" s="85"/>
      <c r="J25" s="85"/>
      <c r="K25" s="85"/>
      <c r="L25" s="87"/>
      <c r="M25" s="539" t="str">
        <f>IF(Inventory_List_Table341115[[#This Row],[Q]]&lt;0.1, " ", Inventory_List_Table341115[[#This Row],[Q]]*Inventory_List_Table341115[[#This Row],[PRICE]])</f>
        <v xml:space="preserve"> </v>
      </c>
      <c r="N25" s="35" t="str">
        <f>IF(Inventory_List_Table341115[[#This Row],[Q]]&lt;0.1, " ", Inventory_List_Table341115[[#This Row],[KG]]*2.20462)</f>
        <v xml:space="preserve"> </v>
      </c>
      <c r="O25" s="35" t="str">
        <f>IF(Inventory_List_Table341115[[#This Row],[Q]]&lt;0.1, " ",Inventory_List_Table341115[[#This Row],[H CM]]/2.54)</f>
        <v xml:space="preserve"> </v>
      </c>
      <c r="P25" s="35" t="str">
        <f>IF(Inventory_List_Table341115[[#This Row],[Q]]&lt;0.1, " ",Inventory_List_Table341115[[#This Row],[W CM]]/2.54)</f>
        <v xml:space="preserve"> </v>
      </c>
      <c r="Q25" s="35" t="str">
        <f>IF(Inventory_List_Table341115[[#This Row],[Q]]&lt;0.1, " ",Inventory_List_Table341115[[#This Row],[D CM ]]/2.54)</f>
        <v xml:space="preserve"> </v>
      </c>
      <c r="R25" s="539" t="str">
        <f>IF(Inventory_List_Table341115[[#This Row],[Q]]&lt;0.1, " ",Inventory_List_Table341115[[#This Row],[PRICE]]/$L$1)</f>
        <v xml:space="preserve"> </v>
      </c>
      <c r="S2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5" s="539" t="str">
        <f>IF(Inventory_List_Table341115[[#This Row],[Q]]&lt;0.1, " ",Inventory_List_Table341115[[#This Row],[AQ RND USD]]*1.4)</f>
        <v xml:space="preserve"> </v>
      </c>
      <c r="U2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5" s="539" t="str">
        <f>IF(Inventory_List_Table341115[[#This Row],[Q]]&lt;0.1, " ",Inventory_List_Table341115[[#This Row],[LND RND USD]]*12)</f>
        <v xml:space="preserve"> </v>
      </c>
      <c r="W25" s="539" t="str">
        <f>IF(Inventory_List_Table341115[[#This Row],[Q]]&lt;0.1, " ",Inventory_List_Table341115[[#This Row],[AQ USD]])</f>
        <v xml:space="preserve"> </v>
      </c>
      <c r="X2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5" s="539" t="str">
        <f>IF(Inventory_List_Table341115[[#This Row],[Q]]&lt;0.1, " ",Inventory_List_Table341115[[#This Row],[PRICE]]/Z25*10000)</f>
        <v xml:space="preserve"> </v>
      </c>
      <c r="AB25" s="27"/>
      <c r="AC25" s="1"/>
      <c r="AD25" s="1"/>
    </row>
    <row r="26" spans="1:30" ht="24" customHeight="1" x14ac:dyDescent="0.3">
      <c r="A26" s="84">
        <v>24</v>
      </c>
      <c r="B26" s="1"/>
      <c r="C26" s="557"/>
      <c r="D26" s="557"/>
      <c r="E26" s="557"/>
      <c r="F26" s="38" t="str">
        <f>IF(Inventory_List_Table341115[[#This Row],[Q]]&lt;0.1, " ",$A$1&amp;$D$1&amp;Inventory_List_Table341115[[#This Row],['#]]&amp;Inventory_List_Table341115[[#This Row],[LC]])</f>
        <v xml:space="preserve"> </v>
      </c>
      <c r="G26" s="85"/>
      <c r="H26" s="85"/>
      <c r="I26" s="85"/>
      <c r="J26" s="85"/>
      <c r="K26" s="85"/>
      <c r="L26" s="87"/>
      <c r="M26" s="539" t="str">
        <f>IF(Inventory_List_Table341115[[#This Row],[Q]]&lt;0.1, " ", Inventory_List_Table341115[[#This Row],[Q]]*Inventory_List_Table341115[[#This Row],[PRICE]])</f>
        <v xml:space="preserve"> </v>
      </c>
      <c r="N26" s="35" t="str">
        <f>IF(Inventory_List_Table341115[[#This Row],[Q]]&lt;0.1, " ", Inventory_List_Table341115[[#This Row],[KG]]*2.20462)</f>
        <v xml:space="preserve"> </v>
      </c>
      <c r="O26" s="35" t="str">
        <f>IF(Inventory_List_Table341115[[#This Row],[Q]]&lt;0.1, " ",Inventory_List_Table341115[[#This Row],[H CM]]/2.54)</f>
        <v xml:space="preserve"> </v>
      </c>
      <c r="P26" s="35" t="str">
        <f>IF(Inventory_List_Table341115[[#This Row],[Q]]&lt;0.1, " ",Inventory_List_Table341115[[#This Row],[W CM]]/2.54)</f>
        <v xml:space="preserve"> </v>
      </c>
      <c r="Q26" s="35" t="str">
        <f>IF(Inventory_List_Table341115[[#This Row],[Q]]&lt;0.1, " ",Inventory_List_Table341115[[#This Row],[D CM ]]/2.54)</f>
        <v xml:space="preserve"> </v>
      </c>
      <c r="R26" s="539" t="str">
        <f>IF(Inventory_List_Table341115[[#This Row],[Q]]&lt;0.1, " ",Inventory_List_Table341115[[#This Row],[PRICE]]/$L$1)</f>
        <v xml:space="preserve"> </v>
      </c>
      <c r="S2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6" s="539" t="str">
        <f>IF(Inventory_List_Table341115[[#This Row],[Q]]&lt;0.1, " ",Inventory_List_Table341115[[#This Row],[AQ RND USD]]*1.4)</f>
        <v xml:space="preserve"> </v>
      </c>
      <c r="U2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6" s="539" t="str">
        <f>IF(Inventory_List_Table341115[[#This Row],[Q]]&lt;0.1, " ",Inventory_List_Table341115[[#This Row],[LND RND USD]]*12)</f>
        <v xml:space="preserve"> </v>
      </c>
      <c r="W26" s="539" t="str">
        <f>IF(Inventory_List_Table341115[[#This Row],[Q]]&lt;0.1, " ",Inventory_List_Table341115[[#This Row],[AQ USD]])</f>
        <v xml:space="preserve"> </v>
      </c>
      <c r="X2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6" s="539" t="str">
        <f>IF(Inventory_List_Table341115[[#This Row],[Q]]&lt;0.1, " ",Inventory_List_Table341115[[#This Row],[PRICE]]/Z26*10000)</f>
        <v xml:space="preserve"> </v>
      </c>
      <c r="AB26" s="27"/>
      <c r="AC26" s="1"/>
      <c r="AD26" s="1"/>
    </row>
    <row r="27" spans="1:30" ht="24" customHeight="1" x14ac:dyDescent="0.3">
      <c r="A27" s="84">
        <v>25</v>
      </c>
      <c r="B27" s="1"/>
      <c r="C27" s="557"/>
      <c r="D27" s="557"/>
      <c r="E27" s="557"/>
      <c r="F27" s="38" t="str">
        <f>IF(Inventory_List_Table341115[[#This Row],[Q]]&lt;0.1, " ",$A$1&amp;$D$1&amp;Inventory_List_Table341115[[#This Row],['#]]&amp;Inventory_List_Table341115[[#This Row],[LC]])</f>
        <v xml:space="preserve"> </v>
      </c>
      <c r="G27" s="85"/>
      <c r="H27" s="85"/>
      <c r="I27" s="85"/>
      <c r="J27" s="85"/>
      <c r="K27" s="85"/>
      <c r="L27" s="87"/>
      <c r="M27" s="539" t="str">
        <f>IF(Inventory_List_Table341115[[#This Row],[Q]]&lt;0.1, " ", Inventory_List_Table341115[[#This Row],[Q]]*Inventory_List_Table341115[[#This Row],[PRICE]])</f>
        <v xml:space="preserve"> </v>
      </c>
      <c r="N27" s="35" t="str">
        <f>IF(Inventory_List_Table341115[[#This Row],[Q]]&lt;0.1, " ", Inventory_List_Table341115[[#This Row],[KG]]*2.20462)</f>
        <v xml:space="preserve"> </v>
      </c>
      <c r="O27" s="35" t="str">
        <f>IF(Inventory_List_Table341115[[#This Row],[Q]]&lt;0.1, " ",Inventory_List_Table341115[[#This Row],[H CM]]/2.54)</f>
        <v xml:space="preserve"> </v>
      </c>
      <c r="P27" s="35" t="str">
        <f>IF(Inventory_List_Table341115[[#This Row],[Q]]&lt;0.1, " ",Inventory_List_Table341115[[#This Row],[W CM]]/2.54)</f>
        <v xml:space="preserve"> </v>
      </c>
      <c r="Q27" s="35" t="str">
        <f>IF(Inventory_List_Table341115[[#This Row],[Q]]&lt;0.1, " ",Inventory_List_Table341115[[#This Row],[D CM ]]/2.54)</f>
        <v xml:space="preserve"> </v>
      </c>
      <c r="R27" s="539" t="str">
        <f>IF(Inventory_List_Table341115[[#This Row],[Q]]&lt;0.1, " ",Inventory_List_Table341115[[#This Row],[PRICE]]/$L$1)</f>
        <v xml:space="preserve"> </v>
      </c>
      <c r="S2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7" s="539" t="str">
        <f>IF(Inventory_List_Table341115[[#This Row],[Q]]&lt;0.1, " ",Inventory_List_Table341115[[#This Row],[AQ RND USD]]*1.4)</f>
        <v xml:space="preserve"> </v>
      </c>
      <c r="U2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7" s="539" t="str">
        <f>IF(Inventory_List_Table341115[[#This Row],[Q]]&lt;0.1, " ",Inventory_List_Table341115[[#This Row],[LND RND USD]]*12)</f>
        <v xml:space="preserve"> </v>
      </c>
      <c r="W27" s="539" t="str">
        <f>IF(Inventory_List_Table341115[[#This Row],[Q]]&lt;0.1, " ",Inventory_List_Table341115[[#This Row],[AQ USD]])</f>
        <v xml:space="preserve"> </v>
      </c>
      <c r="X2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7" s="539" t="str">
        <f>IF(Inventory_List_Table341115[[#This Row],[Q]]&lt;0.1, " ",Inventory_List_Table341115[[#This Row],[PRICE]]/Z27*10000)</f>
        <v xml:space="preserve"> </v>
      </c>
      <c r="AB27" s="27"/>
      <c r="AC27" s="1"/>
      <c r="AD27" s="1"/>
    </row>
    <row r="28" spans="1:30" ht="24" customHeight="1" x14ac:dyDescent="0.3">
      <c r="A28" s="84">
        <v>26</v>
      </c>
      <c r="B28" s="1"/>
      <c r="C28" s="557"/>
      <c r="D28" s="557"/>
      <c r="E28" s="557"/>
      <c r="F28" s="38" t="str">
        <f>IF(Inventory_List_Table341115[[#This Row],[Q]]&lt;0.1, " ",$A$1&amp;$D$1&amp;Inventory_List_Table341115[[#This Row],['#]]&amp;Inventory_List_Table341115[[#This Row],[LC]])</f>
        <v xml:space="preserve"> </v>
      </c>
      <c r="G28" s="85"/>
      <c r="H28" s="85"/>
      <c r="I28" s="85"/>
      <c r="J28" s="85"/>
      <c r="K28" s="85"/>
      <c r="L28" s="87"/>
      <c r="M28" s="539" t="str">
        <f>IF(Inventory_List_Table341115[[#This Row],[Q]]&lt;0.1, " ", Inventory_List_Table341115[[#This Row],[Q]]*Inventory_List_Table341115[[#This Row],[PRICE]])</f>
        <v xml:space="preserve"> </v>
      </c>
      <c r="N28" s="35" t="str">
        <f>IF(Inventory_List_Table341115[[#This Row],[Q]]&lt;0.1, " ", Inventory_List_Table341115[[#This Row],[KG]]*2.20462)</f>
        <v xml:space="preserve"> </v>
      </c>
      <c r="O28" s="35" t="str">
        <f>IF(Inventory_List_Table341115[[#This Row],[Q]]&lt;0.1, " ",Inventory_List_Table341115[[#This Row],[H CM]]/2.54)</f>
        <v xml:space="preserve"> </v>
      </c>
      <c r="P28" s="35" t="str">
        <f>IF(Inventory_List_Table341115[[#This Row],[Q]]&lt;0.1, " ",Inventory_List_Table341115[[#This Row],[W CM]]/2.54)</f>
        <v xml:space="preserve"> </v>
      </c>
      <c r="Q28" s="35" t="str">
        <f>IF(Inventory_List_Table341115[[#This Row],[Q]]&lt;0.1, " ",Inventory_List_Table341115[[#This Row],[D CM ]]/2.54)</f>
        <v xml:space="preserve"> </v>
      </c>
      <c r="R28" s="539" t="str">
        <f>IF(Inventory_List_Table341115[[#This Row],[Q]]&lt;0.1, " ",Inventory_List_Table341115[[#This Row],[PRICE]]/$L$1)</f>
        <v xml:space="preserve"> </v>
      </c>
      <c r="S2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8" s="539" t="str">
        <f>IF(Inventory_List_Table341115[[#This Row],[Q]]&lt;0.1, " ",Inventory_List_Table341115[[#This Row],[AQ RND USD]]*1.4)</f>
        <v xml:space="preserve"> </v>
      </c>
      <c r="U2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8" s="539" t="str">
        <f>IF(Inventory_List_Table341115[[#This Row],[Q]]&lt;0.1, " ",Inventory_List_Table341115[[#This Row],[LND RND USD]]*12)</f>
        <v xml:space="preserve"> </v>
      </c>
      <c r="W28" s="539" t="str">
        <f>IF(Inventory_List_Table341115[[#This Row],[Q]]&lt;0.1, " ",Inventory_List_Table341115[[#This Row],[AQ USD]])</f>
        <v xml:space="preserve"> </v>
      </c>
      <c r="X2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8" s="539" t="str">
        <f>IF(Inventory_List_Table341115[[#This Row],[Q]]&lt;0.1, " ",Inventory_List_Table341115[[#This Row],[PRICE]]/Z28*10000)</f>
        <v xml:space="preserve"> </v>
      </c>
      <c r="AB28" s="27"/>
      <c r="AC28" s="1"/>
      <c r="AD28" s="1"/>
    </row>
    <row r="29" spans="1:30" ht="24" customHeight="1" x14ac:dyDescent="0.3">
      <c r="A29" s="84">
        <v>27</v>
      </c>
      <c r="B29" s="1"/>
      <c r="C29" s="557"/>
      <c r="D29" s="557"/>
      <c r="E29" s="557"/>
      <c r="F29" s="38" t="str">
        <f>IF(Inventory_List_Table341115[[#This Row],[Q]]&lt;0.1, " ",$A$1&amp;$D$1&amp;Inventory_List_Table341115[[#This Row],['#]]&amp;Inventory_List_Table341115[[#This Row],[LC]])</f>
        <v xml:space="preserve"> </v>
      </c>
      <c r="G29" s="85"/>
      <c r="H29" s="85"/>
      <c r="I29" s="85"/>
      <c r="J29" s="85"/>
      <c r="K29" s="85"/>
      <c r="L29" s="87"/>
      <c r="M29" s="539" t="str">
        <f>IF(Inventory_List_Table341115[[#This Row],[Q]]&lt;0.1, " ", Inventory_List_Table341115[[#This Row],[Q]]*Inventory_List_Table341115[[#This Row],[PRICE]])</f>
        <v xml:space="preserve"> </v>
      </c>
      <c r="N29" s="35" t="str">
        <f>IF(Inventory_List_Table341115[[#This Row],[Q]]&lt;0.1, " ", Inventory_List_Table341115[[#This Row],[KG]]*2.20462)</f>
        <v xml:space="preserve"> </v>
      </c>
      <c r="O29" s="35" t="str">
        <f>IF(Inventory_List_Table341115[[#This Row],[Q]]&lt;0.1, " ",Inventory_List_Table341115[[#This Row],[H CM]]/2.54)</f>
        <v xml:space="preserve"> </v>
      </c>
      <c r="P29" s="35" t="str">
        <f>IF(Inventory_List_Table341115[[#This Row],[Q]]&lt;0.1, " ",Inventory_List_Table341115[[#This Row],[W CM]]/2.54)</f>
        <v xml:space="preserve"> </v>
      </c>
      <c r="Q29" s="35" t="str">
        <f>IF(Inventory_List_Table341115[[#This Row],[Q]]&lt;0.1, " ",Inventory_List_Table341115[[#This Row],[D CM ]]/2.54)</f>
        <v xml:space="preserve"> </v>
      </c>
      <c r="R29" s="539" t="str">
        <f>IF(Inventory_List_Table341115[[#This Row],[Q]]&lt;0.1, " ",Inventory_List_Table341115[[#This Row],[PRICE]]/$L$1)</f>
        <v xml:space="preserve"> </v>
      </c>
      <c r="S2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29" s="539" t="str">
        <f>IF(Inventory_List_Table341115[[#This Row],[Q]]&lt;0.1, " ",Inventory_List_Table341115[[#This Row],[AQ RND USD]]*1.4)</f>
        <v xml:space="preserve"> </v>
      </c>
      <c r="U2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29" s="539" t="str">
        <f>IF(Inventory_List_Table341115[[#This Row],[Q]]&lt;0.1, " ",Inventory_List_Table341115[[#This Row],[LND RND USD]]*12)</f>
        <v xml:space="preserve"> </v>
      </c>
      <c r="W29" s="539" t="str">
        <f>IF(Inventory_List_Table341115[[#This Row],[Q]]&lt;0.1, " ",Inventory_List_Table341115[[#This Row],[AQ USD]])</f>
        <v xml:space="preserve"> </v>
      </c>
      <c r="X2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2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2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29" s="539" t="str">
        <f>IF(Inventory_List_Table341115[[#This Row],[Q]]&lt;0.1, " ",Inventory_List_Table341115[[#This Row],[PRICE]]/Z29*10000)</f>
        <v xml:space="preserve"> </v>
      </c>
      <c r="AB29" s="27"/>
      <c r="AC29" s="1"/>
      <c r="AD29" s="1"/>
    </row>
    <row r="30" spans="1:30" ht="24" customHeight="1" x14ac:dyDescent="0.3">
      <c r="A30" s="84">
        <v>28</v>
      </c>
      <c r="B30" s="1"/>
      <c r="C30" s="557"/>
      <c r="D30" s="557"/>
      <c r="E30" s="557"/>
      <c r="F30" s="38" t="str">
        <f>IF(Inventory_List_Table341115[[#This Row],[Q]]&lt;0.1, " ",$A$1&amp;$D$1&amp;Inventory_List_Table341115[[#This Row],['#]]&amp;Inventory_List_Table341115[[#This Row],[LC]])</f>
        <v xml:space="preserve"> </v>
      </c>
      <c r="G30" s="85"/>
      <c r="H30" s="85"/>
      <c r="I30" s="85"/>
      <c r="J30" s="85"/>
      <c r="K30" s="85"/>
      <c r="L30" s="87"/>
      <c r="M30" s="539" t="str">
        <f>IF(Inventory_List_Table341115[[#This Row],[Q]]&lt;0.1, " ", Inventory_List_Table341115[[#This Row],[Q]]*Inventory_List_Table341115[[#This Row],[PRICE]])</f>
        <v xml:space="preserve"> </v>
      </c>
      <c r="N30" s="35" t="str">
        <f>IF(Inventory_List_Table341115[[#This Row],[Q]]&lt;0.1, " ", Inventory_List_Table341115[[#This Row],[KG]]*2.20462)</f>
        <v xml:space="preserve"> </v>
      </c>
      <c r="O30" s="35" t="str">
        <f>IF(Inventory_List_Table341115[[#This Row],[Q]]&lt;0.1, " ",Inventory_List_Table341115[[#This Row],[H CM]]/2.54)</f>
        <v xml:space="preserve"> </v>
      </c>
      <c r="P30" s="35" t="str">
        <f>IF(Inventory_List_Table341115[[#This Row],[Q]]&lt;0.1, " ",Inventory_List_Table341115[[#This Row],[W CM]]/2.54)</f>
        <v xml:space="preserve"> </v>
      </c>
      <c r="Q30" s="35" t="str">
        <f>IF(Inventory_List_Table341115[[#This Row],[Q]]&lt;0.1, " ",Inventory_List_Table341115[[#This Row],[D CM ]]/2.54)</f>
        <v xml:space="preserve"> </v>
      </c>
      <c r="R30" s="539" t="str">
        <f>IF(Inventory_List_Table341115[[#This Row],[Q]]&lt;0.1, " ",Inventory_List_Table341115[[#This Row],[PRICE]]/$L$1)</f>
        <v xml:space="preserve"> </v>
      </c>
      <c r="S3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0" s="539" t="str">
        <f>IF(Inventory_List_Table341115[[#This Row],[Q]]&lt;0.1, " ",Inventory_List_Table341115[[#This Row],[AQ RND USD]]*1.4)</f>
        <v xml:space="preserve"> </v>
      </c>
      <c r="U3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0" s="539" t="str">
        <f>IF(Inventory_List_Table341115[[#This Row],[Q]]&lt;0.1, " ",Inventory_List_Table341115[[#This Row],[LND RND USD]]*12)</f>
        <v xml:space="preserve"> </v>
      </c>
      <c r="W30" s="539" t="str">
        <f>IF(Inventory_List_Table341115[[#This Row],[Q]]&lt;0.1, " ",Inventory_List_Table341115[[#This Row],[AQ USD]])</f>
        <v xml:space="preserve"> </v>
      </c>
      <c r="X3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0" s="539" t="str">
        <f>IF(Inventory_List_Table341115[[#This Row],[Q]]&lt;0.1, " ",Inventory_List_Table341115[[#This Row],[PRICE]]/Z30*10000)</f>
        <v xml:space="preserve"> </v>
      </c>
      <c r="AB30" s="27"/>
      <c r="AC30" s="1"/>
      <c r="AD30" s="1"/>
    </row>
    <row r="31" spans="1:30" ht="24" customHeight="1" x14ac:dyDescent="0.3">
      <c r="A31" s="84">
        <v>29</v>
      </c>
      <c r="B31" s="1"/>
      <c r="C31" s="557"/>
      <c r="D31" s="557"/>
      <c r="E31" s="557"/>
      <c r="F31" s="38" t="str">
        <f>IF(Inventory_List_Table341115[[#This Row],[Q]]&lt;0.1, " ",$A$1&amp;$D$1&amp;Inventory_List_Table341115[[#This Row],['#]]&amp;Inventory_List_Table341115[[#This Row],[LC]])</f>
        <v xml:space="preserve"> </v>
      </c>
      <c r="G31" s="85"/>
      <c r="H31" s="85"/>
      <c r="I31" s="85"/>
      <c r="J31" s="85"/>
      <c r="K31" s="85"/>
      <c r="L31" s="87"/>
      <c r="M31" s="539" t="str">
        <f>IF(Inventory_List_Table341115[[#This Row],[Q]]&lt;0.1, " ", Inventory_List_Table341115[[#This Row],[Q]]*Inventory_List_Table341115[[#This Row],[PRICE]])</f>
        <v xml:space="preserve"> </v>
      </c>
      <c r="N31" s="35" t="str">
        <f>IF(Inventory_List_Table341115[[#This Row],[Q]]&lt;0.1, " ", Inventory_List_Table341115[[#This Row],[KG]]*2.20462)</f>
        <v xml:space="preserve"> </v>
      </c>
      <c r="O31" s="35" t="str">
        <f>IF(Inventory_List_Table341115[[#This Row],[Q]]&lt;0.1, " ",Inventory_List_Table341115[[#This Row],[H CM]]/2.54)</f>
        <v xml:space="preserve"> </v>
      </c>
      <c r="P31" s="35" t="str">
        <f>IF(Inventory_List_Table341115[[#This Row],[Q]]&lt;0.1, " ",Inventory_List_Table341115[[#This Row],[W CM]]/2.54)</f>
        <v xml:space="preserve"> </v>
      </c>
      <c r="Q31" s="35" t="str">
        <f>IF(Inventory_List_Table341115[[#This Row],[Q]]&lt;0.1, " ",Inventory_List_Table341115[[#This Row],[D CM ]]/2.54)</f>
        <v xml:space="preserve"> </v>
      </c>
      <c r="R31" s="539" t="str">
        <f>IF(Inventory_List_Table341115[[#This Row],[Q]]&lt;0.1, " ",Inventory_List_Table341115[[#This Row],[PRICE]]/$L$1)</f>
        <v xml:space="preserve"> </v>
      </c>
      <c r="S3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1" s="539" t="str">
        <f>IF(Inventory_List_Table341115[[#This Row],[Q]]&lt;0.1, " ",Inventory_List_Table341115[[#This Row],[AQ RND USD]]*1.4)</f>
        <v xml:space="preserve"> </v>
      </c>
      <c r="U3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1" s="539" t="str">
        <f>IF(Inventory_List_Table341115[[#This Row],[Q]]&lt;0.1, " ",Inventory_List_Table341115[[#This Row],[LND RND USD]]*12)</f>
        <v xml:space="preserve"> </v>
      </c>
      <c r="W31" s="539" t="str">
        <f>IF(Inventory_List_Table341115[[#This Row],[Q]]&lt;0.1, " ",Inventory_List_Table341115[[#This Row],[AQ USD]])</f>
        <v xml:space="preserve"> </v>
      </c>
      <c r="X3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1" s="539" t="str">
        <f>IF(Inventory_List_Table341115[[#This Row],[Q]]&lt;0.1, " ",Inventory_List_Table341115[[#This Row],[PRICE]]/Z31*10000)</f>
        <v xml:space="preserve"> </v>
      </c>
      <c r="AB31" s="27"/>
      <c r="AC31" s="1"/>
      <c r="AD31" s="1"/>
    </row>
    <row r="32" spans="1:30" ht="24" customHeight="1" x14ac:dyDescent="0.3">
      <c r="A32" s="84">
        <v>30</v>
      </c>
      <c r="B32" s="1"/>
      <c r="C32" s="557"/>
      <c r="D32" s="557"/>
      <c r="E32" s="557"/>
      <c r="F32" s="38" t="str">
        <f>IF(Inventory_List_Table341115[[#This Row],[Q]]&lt;0.1, " ",$A$1&amp;$D$1&amp;Inventory_List_Table341115[[#This Row],['#]]&amp;Inventory_List_Table341115[[#This Row],[LC]])</f>
        <v xml:space="preserve"> </v>
      </c>
      <c r="G32" s="85"/>
      <c r="H32" s="85"/>
      <c r="I32" s="85"/>
      <c r="J32" s="85"/>
      <c r="K32" s="85"/>
      <c r="L32" s="87"/>
      <c r="M32" s="539" t="str">
        <f>IF(Inventory_List_Table341115[[#This Row],[Q]]&lt;0.1, " ", Inventory_List_Table341115[[#This Row],[Q]]*Inventory_List_Table341115[[#This Row],[PRICE]])</f>
        <v xml:space="preserve"> </v>
      </c>
      <c r="N32" s="35" t="str">
        <f>IF(Inventory_List_Table341115[[#This Row],[Q]]&lt;0.1, " ", Inventory_List_Table341115[[#This Row],[KG]]*2.20462)</f>
        <v xml:space="preserve"> </v>
      </c>
      <c r="O32" s="35" t="str">
        <f>IF(Inventory_List_Table341115[[#This Row],[Q]]&lt;0.1, " ",Inventory_List_Table341115[[#This Row],[H CM]]/2.54)</f>
        <v xml:space="preserve"> </v>
      </c>
      <c r="P32" s="35" t="str">
        <f>IF(Inventory_List_Table341115[[#This Row],[Q]]&lt;0.1, " ",Inventory_List_Table341115[[#This Row],[W CM]]/2.54)</f>
        <v xml:space="preserve"> </v>
      </c>
      <c r="Q32" s="35" t="str">
        <f>IF(Inventory_List_Table341115[[#This Row],[Q]]&lt;0.1, " ",Inventory_List_Table341115[[#This Row],[D CM ]]/2.54)</f>
        <v xml:space="preserve"> </v>
      </c>
      <c r="R32" s="539" t="str">
        <f>IF(Inventory_List_Table341115[[#This Row],[Q]]&lt;0.1, " ",Inventory_List_Table341115[[#This Row],[PRICE]]/$L$1)</f>
        <v xml:space="preserve"> </v>
      </c>
      <c r="S3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2" s="539" t="str">
        <f>IF(Inventory_List_Table341115[[#This Row],[Q]]&lt;0.1, " ",Inventory_List_Table341115[[#This Row],[AQ RND USD]]*1.4)</f>
        <v xml:space="preserve"> </v>
      </c>
      <c r="U3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2" s="539" t="str">
        <f>IF(Inventory_List_Table341115[[#This Row],[Q]]&lt;0.1, " ",Inventory_List_Table341115[[#This Row],[LND RND USD]]*12)</f>
        <v xml:space="preserve"> </v>
      </c>
      <c r="W32" s="539" t="str">
        <f>IF(Inventory_List_Table341115[[#This Row],[Q]]&lt;0.1, " ",Inventory_List_Table341115[[#This Row],[AQ USD]])</f>
        <v xml:space="preserve"> </v>
      </c>
      <c r="X3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2" s="539" t="str">
        <f>IF(Inventory_List_Table341115[[#This Row],[Q]]&lt;0.1, " ",Inventory_List_Table341115[[#This Row],[PRICE]]/Z32*10000)</f>
        <v xml:space="preserve"> </v>
      </c>
      <c r="AB32" s="27"/>
      <c r="AC32" s="1"/>
      <c r="AD32" s="1"/>
    </row>
    <row r="33" spans="1:30" ht="24" customHeight="1" x14ac:dyDescent="0.3">
      <c r="A33" s="84">
        <v>31</v>
      </c>
      <c r="B33" s="1"/>
      <c r="C33" s="557"/>
      <c r="D33" s="557"/>
      <c r="E33" s="557"/>
      <c r="F33" s="38" t="str">
        <f>IF(Inventory_List_Table341115[[#This Row],[Q]]&lt;0.1, " ",$A$1&amp;$D$1&amp;Inventory_List_Table341115[[#This Row],['#]]&amp;Inventory_List_Table341115[[#This Row],[LC]])</f>
        <v xml:space="preserve"> </v>
      </c>
      <c r="G33" s="85"/>
      <c r="H33" s="85"/>
      <c r="I33" s="85"/>
      <c r="J33" s="85"/>
      <c r="K33" s="85"/>
      <c r="L33" s="87"/>
      <c r="M33" s="539" t="str">
        <f>IF(Inventory_List_Table341115[[#This Row],[Q]]&lt;0.1, " ", Inventory_List_Table341115[[#This Row],[Q]]*Inventory_List_Table341115[[#This Row],[PRICE]])</f>
        <v xml:space="preserve"> </v>
      </c>
      <c r="N33" s="35" t="str">
        <f>IF(Inventory_List_Table341115[[#This Row],[Q]]&lt;0.1, " ", Inventory_List_Table341115[[#This Row],[KG]]*2.20462)</f>
        <v xml:space="preserve"> </v>
      </c>
      <c r="O33" s="35" t="str">
        <f>IF(Inventory_List_Table341115[[#This Row],[Q]]&lt;0.1, " ",Inventory_List_Table341115[[#This Row],[H CM]]/2.54)</f>
        <v xml:space="preserve"> </v>
      </c>
      <c r="P33" s="35" t="str">
        <f>IF(Inventory_List_Table341115[[#This Row],[Q]]&lt;0.1, " ",Inventory_List_Table341115[[#This Row],[W CM]]/2.54)</f>
        <v xml:space="preserve"> </v>
      </c>
      <c r="Q33" s="35" t="str">
        <f>IF(Inventory_List_Table341115[[#This Row],[Q]]&lt;0.1, " ",Inventory_List_Table341115[[#This Row],[D CM ]]/2.54)</f>
        <v xml:space="preserve"> </v>
      </c>
      <c r="R33" s="539" t="str">
        <f>IF(Inventory_List_Table341115[[#This Row],[Q]]&lt;0.1, " ",Inventory_List_Table341115[[#This Row],[PRICE]]/$L$1)</f>
        <v xml:space="preserve"> </v>
      </c>
      <c r="S3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3" s="539" t="str">
        <f>IF(Inventory_List_Table341115[[#This Row],[Q]]&lt;0.1, " ",Inventory_List_Table341115[[#This Row],[AQ RND USD]]*1.4)</f>
        <v xml:space="preserve"> </v>
      </c>
      <c r="U3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3" s="539" t="str">
        <f>IF(Inventory_List_Table341115[[#This Row],[Q]]&lt;0.1, " ",Inventory_List_Table341115[[#This Row],[LND RND USD]]*12)</f>
        <v xml:space="preserve"> </v>
      </c>
      <c r="W33" s="539" t="str">
        <f>IF(Inventory_List_Table341115[[#This Row],[Q]]&lt;0.1, " ",Inventory_List_Table341115[[#This Row],[AQ USD]])</f>
        <v xml:space="preserve"> </v>
      </c>
      <c r="X3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3" s="539" t="str">
        <f>IF(Inventory_List_Table341115[[#This Row],[Q]]&lt;0.1, " ",Inventory_List_Table341115[[#This Row],[PRICE]]/Z33*10000)</f>
        <v xml:space="preserve"> </v>
      </c>
      <c r="AB33" s="27"/>
      <c r="AC33" s="1"/>
      <c r="AD33" s="1"/>
    </row>
    <row r="34" spans="1:30" ht="24" customHeight="1" x14ac:dyDescent="0.3">
      <c r="A34" s="84">
        <v>32</v>
      </c>
      <c r="B34" s="1"/>
      <c r="C34" s="557"/>
      <c r="D34" s="557"/>
      <c r="E34" s="557"/>
      <c r="F34" s="38" t="str">
        <f>IF(Inventory_List_Table341115[[#This Row],[Q]]&lt;0.1, " ",$A$1&amp;$D$1&amp;Inventory_List_Table341115[[#This Row],['#]]&amp;Inventory_List_Table341115[[#This Row],[LC]])</f>
        <v xml:space="preserve"> </v>
      </c>
      <c r="G34" s="85"/>
      <c r="H34" s="85"/>
      <c r="I34" s="85"/>
      <c r="J34" s="85"/>
      <c r="K34" s="85"/>
      <c r="L34" s="87"/>
      <c r="M34" s="539" t="str">
        <f>IF(Inventory_List_Table341115[[#This Row],[Q]]&lt;0.1, " ", Inventory_List_Table341115[[#This Row],[Q]]*Inventory_List_Table341115[[#This Row],[PRICE]])</f>
        <v xml:space="preserve"> </v>
      </c>
      <c r="N34" s="35" t="str">
        <f>IF(Inventory_List_Table341115[[#This Row],[Q]]&lt;0.1, " ", Inventory_List_Table341115[[#This Row],[KG]]*2.20462)</f>
        <v xml:space="preserve"> </v>
      </c>
      <c r="O34" s="35" t="str">
        <f>IF(Inventory_List_Table341115[[#This Row],[Q]]&lt;0.1, " ",Inventory_List_Table341115[[#This Row],[H CM]]/2.54)</f>
        <v xml:space="preserve"> </v>
      </c>
      <c r="P34" s="35" t="str">
        <f>IF(Inventory_List_Table341115[[#This Row],[Q]]&lt;0.1, " ",Inventory_List_Table341115[[#This Row],[W CM]]/2.54)</f>
        <v xml:space="preserve"> </v>
      </c>
      <c r="Q34" s="35" t="str">
        <f>IF(Inventory_List_Table341115[[#This Row],[Q]]&lt;0.1, " ",Inventory_List_Table341115[[#This Row],[D CM ]]/2.54)</f>
        <v xml:space="preserve"> </v>
      </c>
      <c r="R34" s="539" t="str">
        <f>IF(Inventory_List_Table341115[[#This Row],[Q]]&lt;0.1, " ",Inventory_List_Table341115[[#This Row],[PRICE]]/$L$1)</f>
        <v xml:space="preserve"> </v>
      </c>
      <c r="S3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4" s="539" t="str">
        <f>IF(Inventory_List_Table341115[[#This Row],[Q]]&lt;0.1, " ",Inventory_List_Table341115[[#This Row],[AQ RND USD]]*1.4)</f>
        <v xml:space="preserve"> </v>
      </c>
      <c r="U3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4" s="539" t="str">
        <f>IF(Inventory_List_Table341115[[#This Row],[Q]]&lt;0.1, " ",Inventory_List_Table341115[[#This Row],[LND RND USD]]*12)</f>
        <v xml:space="preserve"> </v>
      </c>
      <c r="W34" s="539" t="str">
        <f>IF(Inventory_List_Table341115[[#This Row],[Q]]&lt;0.1, " ",Inventory_List_Table341115[[#This Row],[AQ USD]])</f>
        <v xml:space="preserve"> </v>
      </c>
      <c r="X3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4" s="539" t="str">
        <f>IF(Inventory_List_Table341115[[#This Row],[Q]]&lt;0.1, " ",Inventory_List_Table341115[[#This Row],[PRICE]]/Z34*10000)</f>
        <v xml:space="preserve"> </v>
      </c>
      <c r="AB34" s="27"/>
      <c r="AC34" s="1"/>
      <c r="AD34" s="1"/>
    </row>
    <row r="35" spans="1:30" ht="24" customHeight="1" x14ac:dyDescent="0.3">
      <c r="A35" s="84">
        <v>33</v>
      </c>
      <c r="B35" s="1"/>
      <c r="C35" s="557"/>
      <c r="D35" s="557"/>
      <c r="E35" s="557"/>
      <c r="F35" s="38" t="str">
        <f>IF(Inventory_List_Table341115[[#This Row],[Q]]&lt;0.1, " ",$A$1&amp;$D$1&amp;Inventory_List_Table341115[[#This Row],['#]]&amp;Inventory_List_Table341115[[#This Row],[LC]])</f>
        <v xml:space="preserve"> </v>
      </c>
      <c r="G35" s="85"/>
      <c r="H35" s="85"/>
      <c r="I35" s="85"/>
      <c r="J35" s="85"/>
      <c r="K35" s="85"/>
      <c r="L35" s="87"/>
      <c r="M35" s="539" t="str">
        <f>IF(Inventory_List_Table341115[[#This Row],[Q]]&lt;0.1, " ", Inventory_List_Table341115[[#This Row],[Q]]*Inventory_List_Table341115[[#This Row],[PRICE]])</f>
        <v xml:space="preserve"> </v>
      </c>
      <c r="N35" s="35" t="str">
        <f>IF(Inventory_List_Table341115[[#This Row],[Q]]&lt;0.1, " ", Inventory_List_Table341115[[#This Row],[KG]]*2.20462)</f>
        <v xml:space="preserve"> </v>
      </c>
      <c r="O35" s="35" t="str">
        <f>IF(Inventory_List_Table341115[[#This Row],[Q]]&lt;0.1, " ",Inventory_List_Table341115[[#This Row],[H CM]]/2.54)</f>
        <v xml:space="preserve"> </v>
      </c>
      <c r="P35" s="35" t="str">
        <f>IF(Inventory_List_Table341115[[#This Row],[Q]]&lt;0.1, " ",Inventory_List_Table341115[[#This Row],[W CM]]/2.54)</f>
        <v xml:space="preserve"> </v>
      </c>
      <c r="Q35" s="35" t="str">
        <f>IF(Inventory_List_Table341115[[#This Row],[Q]]&lt;0.1, " ",Inventory_List_Table341115[[#This Row],[D CM ]]/2.54)</f>
        <v xml:space="preserve"> </v>
      </c>
      <c r="R35" s="539" t="str">
        <f>IF(Inventory_List_Table341115[[#This Row],[Q]]&lt;0.1, " ",Inventory_List_Table341115[[#This Row],[PRICE]]/$L$1)</f>
        <v xml:space="preserve"> </v>
      </c>
      <c r="S3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5" s="539" t="str">
        <f>IF(Inventory_List_Table341115[[#This Row],[Q]]&lt;0.1, " ",Inventory_List_Table341115[[#This Row],[AQ RND USD]]*1.4)</f>
        <v xml:space="preserve"> </v>
      </c>
      <c r="U3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5" s="539" t="str">
        <f>IF(Inventory_List_Table341115[[#This Row],[Q]]&lt;0.1, " ",Inventory_List_Table341115[[#This Row],[LND RND USD]]*12)</f>
        <v xml:space="preserve"> </v>
      </c>
      <c r="W35" s="539" t="str">
        <f>IF(Inventory_List_Table341115[[#This Row],[Q]]&lt;0.1, " ",Inventory_List_Table341115[[#This Row],[AQ USD]])</f>
        <v xml:space="preserve"> </v>
      </c>
      <c r="X3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5" s="539" t="str">
        <f>IF(Inventory_List_Table341115[[#This Row],[Q]]&lt;0.1, " ",Inventory_List_Table341115[[#This Row],[PRICE]]/Z35*10000)</f>
        <v xml:space="preserve"> </v>
      </c>
      <c r="AB35" s="27"/>
      <c r="AC35" s="1"/>
      <c r="AD35" s="1"/>
    </row>
    <row r="36" spans="1:30" ht="24" customHeight="1" x14ac:dyDescent="0.3">
      <c r="A36" s="84">
        <v>34</v>
      </c>
      <c r="B36" s="1"/>
      <c r="C36" s="557"/>
      <c r="D36" s="557"/>
      <c r="E36" s="557"/>
      <c r="F36" s="38" t="str">
        <f>IF(Inventory_List_Table341115[[#This Row],[Q]]&lt;0.1, " ",$A$1&amp;$D$1&amp;Inventory_List_Table341115[[#This Row],['#]]&amp;Inventory_List_Table341115[[#This Row],[LC]])</f>
        <v xml:space="preserve"> </v>
      </c>
      <c r="G36" s="85"/>
      <c r="H36" s="85"/>
      <c r="I36" s="85"/>
      <c r="J36" s="85"/>
      <c r="K36" s="85"/>
      <c r="L36" s="87"/>
      <c r="M36" s="539" t="str">
        <f>IF(Inventory_List_Table341115[[#This Row],[Q]]&lt;0.1, " ", Inventory_List_Table341115[[#This Row],[Q]]*Inventory_List_Table341115[[#This Row],[PRICE]])</f>
        <v xml:space="preserve"> </v>
      </c>
      <c r="N36" s="35" t="str">
        <f>IF(Inventory_List_Table341115[[#This Row],[Q]]&lt;0.1, " ", Inventory_List_Table341115[[#This Row],[KG]]*2.20462)</f>
        <v xml:space="preserve"> </v>
      </c>
      <c r="O36" s="35" t="str">
        <f>IF(Inventory_List_Table341115[[#This Row],[Q]]&lt;0.1, " ",Inventory_List_Table341115[[#This Row],[H CM]]/2.54)</f>
        <v xml:space="preserve"> </v>
      </c>
      <c r="P36" s="35" t="str">
        <f>IF(Inventory_List_Table341115[[#This Row],[Q]]&lt;0.1, " ",Inventory_List_Table341115[[#This Row],[W CM]]/2.54)</f>
        <v xml:space="preserve"> </v>
      </c>
      <c r="Q36" s="35" t="str">
        <f>IF(Inventory_List_Table341115[[#This Row],[Q]]&lt;0.1, " ",Inventory_List_Table341115[[#This Row],[D CM ]]/2.54)</f>
        <v xml:space="preserve"> </v>
      </c>
      <c r="R36" s="539" t="str">
        <f>IF(Inventory_List_Table341115[[#This Row],[Q]]&lt;0.1, " ",Inventory_List_Table341115[[#This Row],[PRICE]]/$L$1)</f>
        <v xml:space="preserve"> </v>
      </c>
      <c r="S3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6" s="539" t="str">
        <f>IF(Inventory_List_Table341115[[#This Row],[Q]]&lt;0.1, " ",Inventory_List_Table341115[[#This Row],[AQ RND USD]]*1.4)</f>
        <v xml:space="preserve"> </v>
      </c>
      <c r="U3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6" s="539" t="str">
        <f>IF(Inventory_List_Table341115[[#This Row],[Q]]&lt;0.1, " ",Inventory_List_Table341115[[#This Row],[LND RND USD]]*12)</f>
        <v xml:space="preserve"> </v>
      </c>
      <c r="W36" s="539" t="str">
        <f>IF(Inventory_List_Table341115[[#This Row],[Q]]&lt;0.1, " ",Inventory_List_Table341115[[#This Row],[AQ USD]])</f>
        <v xml:space="preserve"> </v>
      </c>
      <c r="X3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6" s="539" t="str">
        <f>IF(Inventory_List_Table341115[[#This Row],[Q]]&lt;0.1, " ",Inventory_List_Table341115[[#This Row],[PRICE]]/Z36*10000)</f>
        <v xml:space="preserve"> </v>
      </c>
      <c r="AB36" s="27"/>
      <c r="AC36" s="1"/>
      <c r="AD36" s="1"/>
    </row>
    <row r="37" spans="1:30" ht="24" customHeight="1" x14ac:dyDescent="0.3">
      <c r="A37" s="84">
        <v>35</v>
      </c>
      <c r="B37" s="1"/>
      <c r="C37" s="557"/>
      <c r="D37" s="557"/>
      <c r="E37" s="557"/>
      <c r="F37" s="38" t="str">
        <f>IF(Inventory_List_Table341115[[#This Row],[Q]]&lt;0.1, " ",$A$1&amp;$D$1&amp;Inventory_List_Table341115[[#This Row],['#]]&amp;Inventory_List_Table341115[[#This Row],[LC]])</f>
        <v xml:space="preserve"> </v>
      </c>
      <c r="G37" s="85"/>
      <c r="H37" s="85"/>
      <c r="I37" s="85"/>
      <c r="J37" s="85"/>
      <c r="K37" s="85"/>
      <c r="L37" s="87"/>
      <c r="M37" s="539" t="str">
        <f>IF(Inventory_List_Table341115[[#This Row],[Q]]&lt;0.1, " ", Inventory_List_Table341115[[#This Row],[Q]]*Inventory_List_Table341115[[#This Row],[PRICE]])</f>
        <v xml:space="preserve"> </v>
      </c>
      <c r="N37" s="35" t="str">
        <f>IF(Inventory_List_Table341115[[#This Row],[Q]]&lt;0.1, " ", Inventory_List_Table341115[[#This Row],[KG]]*2.20462)</f>
        <v xml:space="preserve"> </v>
      </c>
      <c r="O37" s="35" t="str">
        <f>IF(Inventory_List_Table341115[[#This Row],[Q]]&lt;0.1, " ",Inventory_List_Table341115[[#This Row],[H CM]]/2.54)</f>
        <v xml:space="preserve"> </v>
      </c>
      <c r="P37" s="35" t="str">
        <f>IF(Inventory_List_Table341115[[#This Row],[Q]]&lt;0.1, " ",Inventory_List_Table341115[[#This Row],[W CM]]/2.54)</f>
        <v xml:space="preserve"> </v>
      </c>
      <c r="Q37" s="35" t="str">
        <f>IF(Inventory_List_Table341115[[#This Row],[Q]]&lt;0.1, " ",Inventory_List_Table341115[[#This Row],[D CM ]]/2.54)</f>
        <v xml:space="preserve"> </v>
      </c>
      <c r="R37" s="539" t="str">
        <f>IF(Inventory_List_Table341115[[#This Row],[Q]]&lt;0.1, " ",Inventory_List_Table341115[[#This Row],[PRICE]]/$L$1)</f>
        <v xml:space="preserve"> </v>
      </c>
      <c r="S3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7" s="539" t="str">
        <f>IF(Inventory_List_Table341115[[#This Row],[Q]]&lt;0.1, " ",Inventory_List_Table341115[[#This Row],[AQ RND USD]]*1.4)</f>
        <v xml:space="preserve"> </v>
      </c>
      <c r="U3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7" s="539" t="str">
        <f>IF(Inventory_List_Table341115[[#This Row],[Q]]&lt;0.1, " ",Inventory_List_Table341115[[#This Row],[LND RND USD]]*12)</f>
        <v xml:space="preserve"> </v>
      </c>
      <c r="W37" s="539" t="str">
        <f>IF(Inventory_List_Table341115[[#This Row],[Q]]&lt;0.1, " ",Inventory_List_Table341115[[#This Row],[AQ USD]])</f>
        <v xml:space="preserve"> </v>
      </c>
      <c r="X3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7" s="539" t="str">
        <f>IF(Inventory_List_Table341115[[#This Row],[Q]]&lt;0.1, " ",Inventory_List_Table341115[[#This Row],[PRICE]]/Z37*10000)</f>
        <v xml:space="preserve"> </v>
      </c>
      <c r="AB37" s="27"/>
      <c r="AC37" s="1"/>
      <c r="AD37" s="1"/>
    </row>
    <row r="38" spans="1:30" ht="24" customHeight="1" x14ac:dyDescent="0.3">
      <c r="A38" s="84">
        <v>36</v>
      </c>
      <c r="B38" s="1"/>
      <c r="C38" s="557"/>
      <c r="D38" s="557"/>
      <c r="E38" s="557"/>
      <c r="F38" s="38" t="str">
        <f>IF(Inventory_List_Table341115[[#This Row],[Q]]&lt;0.1, " ",$A$1&amp;$D$1&amp;Inventory_List_Table341115[[#This Row],['#]]&amp;Inventory_List_Table341115[[#This Row],[LC]])</f>
        <v xml:space="preserve"> </v>
      </c>
      <c r="G38" s="85"/>
      <c r="H38" s="85"/>
      <c r="I38" s="85"/>
      <c r="J38" s="85"/>
      <c r="K38" s="85"/>
      <c r="L38" s="87"/>
      <c r="M38" s="539" t="str">
        <f>IF(Inventory_List_Table341115[[#This Row],[Q]]&lt;0.1, " ", Inventory_List_Table341115[[#This Row],[Q]]*Inventory_List_Table341115[[#This Row],[PRICE]])</f>
        <v xml:space="preserve"> </v>
      </c>
      <c r="N38" s="35" t="str">
        <f>IF(Inventory_List_Table341115[[#This Row],[Q]]&lt;0.1, " ", Inventory_List_Table341115[[#This Row],[KG]]*2.20462)</f>
        <v xml:space="preserve"> </v>
      </c>
      <c r="O38" s="35" t="str">
        <f>IF(Inventory_List_Table341115[[#This Row],[Q]]&lt;0.1, " ",Inventory_List_Table341115[[#This Row],[H CM]]/2.54)</f>
        <v xml:space="preserve"> </v>
      </c>
      <c r="P38" s="35" t="str">
        <f>IF(Inventory_List_Table341115[[#This Row],[Q]]&lt;0.1, " ",Inventory_List_Table341115[[#This Row],[W CM]]/2.54)</f>
        <v xml:space="preserve"> </v>
      </c>
      <c r="Q38" s="35" t="str">
        <f>IF(Inventory_List_Table341115[[#This Row],[Q]]&lt;0.1, " ",Inventory_List_Table341115[[#This Row],[D CM ]]/2.54)</f>
        <v xml:space="preserve"> </v>
      </c>
      <c r="R38" s="539" t="str">
        <f>IF(Inventory_List_Table341115[[#This Row],[Q]]&lt;0.1, " ",Inventory_List_Table341115[[#This Row],[PRICE]]/$L$1)</f>
        <v xml:space="preserve"> </v>
      </c>
      <c r="S3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8" s="539" t="str">
        <f>IF(Inventory_List_Table341115[[#This Row],[Q]]&lt;0.1, " ",Inventory_List_Table341115[[#This Row],[AQ RND USD]]*1.4)</f>
        <v xml:space="preserve"> </v>
      </c>
      <c r="U3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8" s="539" t="str">
        <f>IF(Inventory_List_Table341115[[#This Row],[Q]]&lt;0.1, " ",Inventory_List_Table341115[[#This Row],[LND RND USD]]*12)</f>
        <v xml:space="preserve"> </v>
      </c>
      <c r="W38" s="539" t="str">
        <f>IF(Inventory_List_Table341115[[#This Row],[Q]]&lt;0.1, " ",Inventory_List_Table341115[[#This Row],[AQ USD]])</f>
        <v xml:space="preserve"> </v>
      </c>
      <c r="X3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8" s="539" t="str">
        <f>IF(Inventory_List_Table341115[[#This Row],[Q]]&lt;0.1, " ",Inventory_List_Table341115[[#This Row],[PRICE]]/Z38*10000)</f>
        <v xml:space="preserve"> </v>
      </c>
      <c r="AB38" s="27"/>
      <c r="AC38" s="1"/>
      <c r="AD38" s="1"/>
    </row>
    <row r="39" spans="1:30" ht="24" customHeight="1" x14ac:dyDescent="0.3">
      <c r="A39" s="84">
        <v>37</v>
      </c>
      <c r="B39" s="1"/>
      <c r="C39" s="557"/>
      <c r="D39" s="557"/>
      <c r="E39" s="557"/>
      <c r="F39" s="38" t="str">
        <f>IF(Inventory_List_Table341115[[#This Row],[Q]]&lt;0.1, " ",$A$1&amp;$D$1&amp;Inventory_List_Table341115[[#This Row],['#]]&amp;Inventory_List_Table341115[[#This Row],[LC]])</f>
        <v xml:space="preserve"> </v>
      </c>
      <c r="G39" s="85"/>
      <c r="H39" s="85"/>
      <c r="I39" s="85"/>
      <c r="J39" s="85"/>
      <c r="K39" s="85"/>
      <c r="L39" s="87"/>
      <c r="M39" s="539" t="str">
        <f>IF(Inventory_List_Table341115[[#This Row],[Q]]&lt;0.1, " ", Inventory_List_Table341115[[#This Row],[Q]]*Inventory_List_Table341115[[#This Row],[PRICE]])</f>
        <v xml:space="preserve"> </v>
      </c>
      <c r="N39" s="35" t="str">
        <f>IF(Inventory_List_Table341115[[#This Row],[Q]]&lt;0.1, " ", Inventory_List_Table341115[[#This Row],[KG]]*2.20462)</f>
        <v xml:space="preserve"> </v>
      </c>
      <c r="O39" s="35" t="str">
        <f>IF(Inventory_List_Table341115[[#This Row],[Q]]&lt;0.1, " ",Inventory_List_Table341115[[#This Row],[H CM]]/2.54)</f>
        <v xml:space="preserve"> </v>
      </c>
      <c r="P39" s="35" t="str">
        <f>IF(Inventory_List_Table341115[[#This Row],[Q]]&lt;0.1, " ",Inventory_List_Table341115[[#This Row],[W CM]]/2.54)</f>
        <v xml:space="preserve"> </v>
      </c>
      <c r="Q39" s="35" t="str">
        <f>IF(Inventory_List_Table341115[[#This Row],[Q]]&lt;0.1, " ",Inventory_List_Table341115[[#This Row],[D CM ]]/2.54)</f>
        <v xml:space="preserve"> </v>
      </c>
      <c r="R39" s="539" t="str">
        <f>IF(Inventory_List_Table341115[[#This Row],[Q]]&lt;0.1, " ",Inventory_List_Table341115[[#This Row],[PRICE]]/$L$1)</f>
        <v xml:space="preserve"> </v>
      </c>
      <c r="S3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39" s="539" t="str">
        <f>IF(Inventory_List_Table341115[[#This Row],[Q]]&lt;0.1, " ",Inventory_List_Table341115[[#This Row],[AQ RND USD]]*1.4)</f>
        <v xml:space="preserve"> </v>
      </c>
      <c r="U3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39" s="539" t="str">
        <f>IF(Inventory_List_Table341115[[#This Row],[Q]]&lt;0.1, " ",Inventory_List_Table341115[[#This Row],[LND RND USD]]*12)</f>
        <v xml:space="preserve"> </v>
      </c>
      <c r="W39" s="539" t="str">
        <f>IF(Inventory_List_Table341115[[#This Row],[Q]]&lt;0.1, " ",Inventory_List_Table341115[[#This Row],[AQ USD]])</f>
        <v xml:space="preserve"> </v>
      </c>
      <c r="X3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3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3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39" s="539" t="str">
        <f>IF(Inventory_List_Table341115[[#This Row],[Q]]&lt;0.1, " ",Inventory_List_Table341115[[#This Row],[PRICE]]/Z39*10000)</f>
        <v xml:space="preserve"> </v>
      </c>
      <c r="AB39" s="27"/>
      <c r="AC39" s="1"/>
      <c r="AD39" s="1"/>
    </row>
    <row r="40" spans="1:30" ht="24" customHeight="1" x14ac:dyDescent="0.3">
      <c r="A40" s="84">
        <v>38</v>
      </c>
      <c r="B40" s="1"/>
      <c r="C40" s="557"/>
      <c r="D40" s="557"/>
      <c r="E40" s="557"/>
      <c r="F40" s="38" t="str">
        <f>IF(Inventory_List_Table341115[[#This Row],[Q]]&lt;0.1, " ",$A$1&amp;$D$1&amp;Inventory_List_Table341115[[#This Row],['#]]&amp;Inventory_List_Table341115[[#This Row],[LC]])</f>
        <v xml:space="preserve"> </v>
      </c>
      <c r="G40" s="85"/>
      <c r="H40" s="85"/>
      <c r="I40" s="85"/>
      <c r="J40" s="85"/>
      <c r="K40" s="85"/>
      <c r="L40" s="87"/>
      <c r="M40" s="539" t="str">
        <f>IF(Inventory_List_Table341115[[#This Row],[Q]]&lt;0.1, " ", Inventory_List_Table341115[[#This Row],[Q]]*Inventory_List_Table341115[[#This Row],[PRICE]])</f>
        <v xml:space="preserve"> </v>
      </c>
      <c r="N40" s="35" t="str">
        <f>IF(Inventory_List_Table341115[[#This Row],[Q]]&lt;0.1, " ", Inventory_List_Table341115[[#This Row],[KG]]*2.20462)</f>
        <v xml:space="preserve"> </v>
      </c>
      <c r="O40" s="35" t="str">
        <f>IF(Inventory_List_Table341115[[#This Row],[Q]]&lt;0.1, " ",Inventory_List_Table341115[[#This Row],[H CM]]/2.54)</f>
        <v xml:space="preserve"> </v>
      </c>
      <c r="P40" s="35" t="str">
        <f>IF(Inventory_List_Table341115[[#This Row],[Q]]&lt;0.1, " ",Inventory_List_Table341115[[#This Row],[W CM]]/2.54)</f>
        <v xml:space="preserve"> </v>
      </c>
      <c r="Q40" s="35" t="str">
        <f>IF(Inventory_List_Table341115[[#This Row],[Q]]&lt;0.1, " ",Inventory_List_Table341115[[#This Row],[D CM ]]/2.54)</f>
        <v xml:space="preserve"> </v>
      </c>
      <c r="R40" s="539" t="str">
        <f>IF(Inventory_List_Table341115[[#This Row],[Q]]&lt;0.1, " ",Inventory_List_Table341115[[#This Row],[PRICE]]/$L$1)</f>
        <v xml:space="preserve"> </v>
      </c>
      <c r="S4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0" s="539" t="str">
        <f>IF(Inventory_List_Table341115[[#This Row],[Q]]&lt;0.1, " ",Inventory_List_Table341115[[#This Row],[AQ RND USD]]*1.4)</f>
        <v xml:space="preserve"> </v>
      </c>
      <c r="U4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0" s="539" t="str">
        <f>IF(Inventory_List_Table341115[[#This Row],[Q]]&lt;0.1, " ",Inventory_List_Table341115[[#This Row],[LND RND USD]]*12)</f>
        <v xml:space="preserve"> </v>
      </c>
      <c r="W40" s="539" t="str">
        <f>IF(Inventory_List_Table341115[[#This Row],[Q]]&lt;0.1, " ",Inventory_List_Table341115[[#This Row],[AQ USD]])</f>
        <v xml:space="preserve"> </v>
      </c>
      <c r="X4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0" s="539" t="str">
        <f>IF(Inventory_List_Table341115[[#This Row],[Q]]&lt;0.1, " ",Inventory_List_Table341115[[#This Row],[PRICE]]/Z40*10000)</f>
        <v xml:space="preserve"> </v>
      </c>
      <c r="AB40" s="27"/>
      <c r="AC40" s="1"/>
      <c r="AD40" s="1"/>
    </row>
    <row r="41" spans="1:30" ht="24" customHeight="1" x14ac:dyDescent="0.3">
      <c r="A41" s="84">
        <v>39</v>
      </c>
      <c r="B41" s="1"/>
      <c r="C41" s="557"/>
      <c r="D41" s="557"/>
      <c r="E41" s="557"/>
      <c r="F41" s="38" t="str">
        <f>IF(Inventory_List_Table341115[[#This Row],[Q]]&lt;0.1, " ",$A$1&amp;$D$1&amp;Inventory_List_Table341115[[#This Row],['#]]&amp;Inventory_List_Table341115[[#This Row],[LC]])</f>
        <v xml:space="preserve"> </v>
      </c>
      <c r="G41" s="85"/>
      <c r="H41" s="85"/>
      <c r="I41" s="85"/>
      <c r="J41" s="85"/>
      <c r="K41" s="85"/>
      <c r="L41" s="87"/>
      <c r="M41" s="539" t="str">
        <f>IF(Inventory_List_Table341115[[#This Row],[Q]]&lt;0.1, " ", Inventory_List_Table341115[[#This Row],[Q]]*Inventory_List_Table341115[[#This Row],[PRICE]])</f>
        <v xml:space="preserve"> </v>
      </c>
      <c r="N41" s="35" t="str">
        <f>IF(Inventory_List_Table341115[[#This Row],[Q]]&lt;0.1, " ", Inventory_List_Table341115[[#This Row],[KG]]*2.20462)</f>
        <v xml:space="preserve"> </v>
      </c>
      <c r="O41" s="35" t="str">
        <f>IF(Inventory_List_Table341115[[#This Row],[Q]]&lt;0.1, " ",Inventory_List_Table341115[[#This Row],[H CM]]/2.54)</f>
        <v xml:space="preserve"> </v>
      </c>
      <c r="P41" s="35" t="str">
        <f>IF(Inventory_List_Table341115[[#This Row],[Q]]&lt;0.1, " ",Inventory_List_Table341115[[#This Row],[W CM]]/2.54)</f>
        <v xml:space="preserve"> </v>
      </c>
      <c r="Q41" s="35" t="str">
        <f>IF(Inventory_List_Table341115[[#This Row],[Q]]&lt;0.1, " ",Inventory_List_Table341115[[#This Row],[D CM ]]/2.54)</f>
        <v xml:space="preserve"> </v>
      </c>
      <c r="R41" s="539" t="str">
        <f>IF(Inventory_List_Table341115[[#This Row],[Q]]&lt;0.1, " ",Inventory_List_Table341115[[#This Row],[PRICE]]/$L$1)</f>
        <v xml:space="preserve"> </v>
      </c>
      <c r="S4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1" s="539" t="str">
        <f>IF(Inventory_List_Table341115[[#This Row],[Q]]&lt;0.1, " ",Inventory_List_Table341115[[#This Row],[AQ RND USD]]*1.4)</f>
        <v xml:space="preserve"> </v>
      </c>
      <c r="U4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1" s="539" t="str">
        <f>IF(Inventory_List_Table341115[[#This Row],[Q]]&lt;0.1, " ",Inventory_List_Table341115[[#This Row],[LND RND USD]]*12)</f>
        <v xml:space="preserve"> </v>
      </c>
      <c r="W41" s="539" t="str">
        <f>IF(Inventory_List_Table341115[[#This Row],[Q]]&lt;0.1, " ",Inventory_List_Table341115[[#This Row],[AQ USD]])</f>
        <v xml:space="preserve"> </v>
      </c>
      <c r="X4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1" s="539" t="str">
        <f>IF(Inventory_List_Table341115[[#This Row],[Q]]&lt;0.1, " ",Inventory_List_Table341115[[#This Row],[PRICE]]/Z41*10000)</f>
        <v xml:space="preserve"> </v>
      </c>
      <c r="AB41" s="27"/>
      <c r="AC41" s="1"/>
      <c r="AD41" s="1"/>
    </row>
    <row r="42" spans="1:30" ht="24" customHeight="1" x14ac:dyDescent="0.3">
      <c r="A42" s="84">
        <v>40</v>
      </c>
      <c r="B42" s="1"/>
      <c r="C42" s="557"/>
      <c r="D42" s="557"/>
      <c r="E42" s="557"/>
      <c r="F42" s="38" t="str">
        <f>IF(Inventory_List_Table341115[[#This Row],[Q]]&lt;0.1, " ",$A$1&amp;$D$1&amp;Inventory_List_Table341115[[#This Row],['#]]&amp;Inventory_List_Table341115[[#This Row],[LC]])</f>
        <v xml:space="preserve"> </v>
      </c>
      <c r="G42" s="85"/>
      <c r="H42" s="85"/>
      <c r="I42" s="85"/>
      <c r="J42" s="85"/>
      <c r="K42" s="85"/>
      <c r="L42" s="87"/>
      <c r="M42" s="539" t="str">
        <f>IF(Inventory_List_Table341115[[#This Row],[Q]]&lt;0.1, " ", Inventory_List_Table341115[[#This Row],[Q]]*Inventory_List_Table341115[[#This Row],[PRICE]])</f>
        <v xml:space="preserve"> </v>
      </c>
      <c r="N42" s="35" t="str">
        <f>IF(Inventory_List_Table341115[[#This Row],[Q]]&lt;0.1, " ", Inventory_List_Table341115[[#This Row],[KG]]*2.20462)</f>
        <v xml:space="preserve"> </v>
      </c>
      <c r="O42" s="35" t="str">
        <f>IF(Inventory_List_Table341115[[#This Row],[Q]]&lt;0.1, " ",Inventory_List_Table341115[[#This Row],[H CM]]/2.54)</f>
        <v xml:space="preserve"> </v>
      </c>
      <c r="P42" s="35" t="str">
        <f>IF(Inventory_List_Table341115[[#This Row],[Q]]&lt;0.1, " ",Inventory_List_Table341115[[#This Row],[W CM]]/2.54)</f>
        <v xml:space="preserve"> </v>
      </c>
      <c r="Q42" s="35" t="str">
        <f>IF(Inventory_List_Table341115[[#This Row],[Q]]&lt;0.1, " ",Inventory_List_Table341115[[#This Row],[D CM ]]/2.54)</f>
        <v xml:space="preserve"> </v>
      </c>
      <c r="R42" s="539" t="str">
        <f>IF(Inventory_List_Table341115[[#This Row],[Q]]&lt;0.1, " ",Inventory_List_Table341115[[#This Row],[PRICE]]/$L$1)</f>
        <v xml:space="preserve"> </v>
      </c>
      <c r="S4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2" s="539" t="str">
        <f>IF(Inventory_List_Table341115[[#This Row],[Q]]&lt;0.1, " ",Inventory_List_Table341115[[#This Row],[AQ RND USD]]*1.4)</f>
        <v xml:space="preserve"> </v>
      </c>
      <c r="U4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2" s="539" t="str">
        <f>IF(Inventory_List_Table341115[[#This Row],[Q]]&lt;0.1, " ",Inventory_List_Table341115[[#This Row],[LND RND USD]]*12)</f>
        <v xml:space="preserve"> </v>
      </c>
      <c r="W42" s="539" t="str">
        <f>IF(Inventory_List_Table341115[[#This Row],[Q]]&lt;0.1, " ",Inventory_List_Table341115[[#This Row],[AQ USD]])</f>
        <v xml:space="preserve"> </v>
      </c>
      <c r="X4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2" s="539" t="str">
        <f>IF(Inventory_List_Table341115[[#This Row],[Q]]&lt;0.1, " ",Inventory_List_Table341115[[#This Row],[PRICE]]/Z42*10000)</f>
        <v xml:space="preserve"> </v>
      </c>
      <c r="AB42" s="27"/>
      <c r="AC42" s="1"/>
      <c r="AD42" s="1"/>
    </row>
    <row r="43" spans="1:30" ht="24" customHeight="1" x14ac:dyDescent="0.3">
      <c r="A43" s="84">
        <v>41</v>
      </c>
      <c r="B43" s="1"/>
      <c r="C43" s="557"/>
      <c r="D43" s="557"/>
      <c r="E43" s="557"/>
      <c r="F43" s="38" t="str">
        <f>IF(Inventory_List_Table341115[[#This Row],[Q]]&lt;0.1, " ",$A$1&amp;$D$1&amp;Inventory_List_Table341115[[#This Row],['#]]&amp;Inventory_List_Table341115[[#This Row],[LC]])</f>
        <v xml:space="preserve"> </v>
      </c>
      <c r="G43" s="85"/>
      <c r="H43" s="85"/>
      <c r="I43" s="85"/>
      <c r="J43" s="85"/>
      <c r="K43" s="85"/>
      <c r="L43" s="87"/>
      <c r="M43" s="539" t="str">
        <f>IF(Inventory_List_Table341115[[#This Row],[Q]]&lt;0.1, " ", Inventory_List_Table341115[[#This Row],[Q]]*Inventory_List_Table341115[[#This Row],[PRICE]])</f>
        <v xml:space="preserve"> </v>
      </c>
      <c r="N43" s="35" t="str">
        <f>IF(Inventory_List_Table341115[[#This Row],[Q]]&lt;0.1, " ", Inventory_List_Table341115[[#This Row],[KG]]*2.20462)</f>
        <v xml:space="preserve"> </v>
      </c>
      <c r="O43" s="35" t="str">
        <f>IF(Inventory_List_Table341115[[#This Row],[Q]]&lt;0.1, " ",Inventory_List_Table341115[[#This Row],[H CM]]/2.54)</f>
        <v xml:space="preserve"> </v>
      </c>
      <c r="P43" s="35" t="str">
        <f>IF(Inventory_List_Table341115[[#This Row],[Q]]&lt;0.1, " ",Inventory_List_Table341115[[#This Row],[W CM]]/2.54)</f>
        <v xml:space="preserve"> </v>
      </c>
      <c r="Q43" s="35" t="str">
        <f>IF(Inventory_List_Table341115[[#This Row],[Q]]&lt;0.1, " ",Inventory_List_Table341115[[#This Row],[D CM ]]/2.54)</f>
        <v xml:space="preserve"> </v>
      </c>
      <c r="R43" s="539" t="str">
        <f>IF(Inventory_List_Table341115[[#This Row],[Q]]&lt;0.1, " ",Inventory_List_Table341115[[#This Row],[PRICE]]/$L$1)</f>
        <v xml:space="preserve"> </v>
      </c>
      <c r="S4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3" s="539" t="str">
        <f>IF(Inventory_List_Table341115[[#This Row],[Q]]&lt;0.1, " ",Inventory_List_Table341115[[#This Row],[AQ RND USD]]*1.4)</f>
        <v xml:space="preserve"> </v>
      </c>
      <c r="U4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3" s="539" t="str">
        <f>IF(Inventory_List_Table341115[[#This Row],[Q]]&lt;0.1, " ",Inventory_List_Table341115[[#This Row],[LND RND USD]]*12)</f>
        <v xml:space="preserve"> </v>
      </c>
      <c r="W43" s="539" t="str">
        <f>IF(Inventory_List_Table341115[[#This Row],[Q]]&lt;0.1, " ",Inventory_List_Table341115[[#This Row],[AQ USD]])</f>
        <v xml:space="preserve"> </v>
      </c>
      <c r="X4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3" s="539" t="str">
        <f>IF(Inventory_List_Table341115[[#This Row],[Q]]&lt;0.1, " ",Inventory_List_Table341115[[#This Row],[PRICE]]/Z43*10000)</f>
        <v xml:space="preserve"> </v>
      </c>
      <c r="AB43" s="27"/>
      <c r="AC43" s="1"/>
      <c r="AD43" s="1"/>
    </row>
    <row r="44" spans="1:30" ht="24" customHeight="1" x14ac:dyDescent="0.3">
      <c r="A44" s="84">
        <v>42</v>
      </c>
      <c r="B44" s="1"/>
      <c r="C44" s="557"/>
      <c r="D44" s="557"/>
      <c r="E44" s="557"/>
      <c r="F44" s="38" t="str">
        <f>IF(Inventory_List_Table341115[[#This Row],[Q]]&lt;0.1, " ",$A$1&amp;$D$1&amp;Inventory_List_Table341115[[#This Row],['#]]&amp;Inventory_List_Table341115[[#This Row],[LC]])</f>
        <v xml:space="preserve"> </v>
      </c>
      <c r="G44" s="85"/>
      <c r="H44" s="85"/>
      <c r="I44" s="85"/>
      <c r="J44" s="85"/>
      <c r="K44" s="85"/>
      <c r="L44" s="87"/>
      <c r="M44" s="539" t="str">
        <f>IF(Inventory_List_Table341115[[#This Row],[Q]]&lt;0.1, " ", Inventory_List_Table341115[[#This Row],[Q]]*Inventory_List_Table341115[[#This Row],[PRICE]])</f>
        <v xml:space="preserve"> </v>
      </c>
      <c r="N44" s="35" t="str">
        <f>IF(Inventory_List_Table341115[[#This Row],[Q]]&lt;0.1, " ", Inventory_List_Table341115[[#This Row],[KG]]*2.20462)</f>
        <v xml:space="preserve"> </v>
      </c>
      <c r="O44" s="35" t="str">
        <f>IF(Inventory_List_Table341115[[#This Row],[Q]]&lt;0.1, " ",Inventory_List_Table341115[[#This Row],[H CM]]/2.54)</f>
        <v xml:space="preserve"> </v>
      </c>
      <c r="P44" s="35" t="str">
        <f>IF(Inventory_List_Table341115[[#This Row],[Q]]&lt;0.1, " ",Inventory_List_Table341115[[#This Row],[W CM]]/2.54)</f>
        <v xml:space="preserve"> </v>
      </c>
      <c r="Q44" s="35" t="str">
        <f>IF(Inventory_List_Table341115[[#This Row],[Q]]&lt;0.1, " ",Inventory_List_Table341115[[#This Row],[D CM ]]/2.54)</f>
        <v xml:space="preserve"> </v>
      </c>
      <c r="R44" s="539" t="str">
        <f>IF(Inventory_List_Table341115[[#This Row],[Q]]&lt;0.1, " ",Inventory_List_Table341115[[#This Row],[PRICE]]/$L$1)</f>
        <v xml:space="preserve"> </v>
      </c>
      <c r="S4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4" s="539" t="str">
        <f>IF(Inventory_List_Table341115[[#This Row],[Q]]&lt;0.1, " ",Inventory_List_Table341115[[#This Row],[AQ RND USD]]*1.4)</f>
        <v xml:space="preserve"> </v>
      </c>
      <c r="U4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4" s="539" t="str">
        <f>IF(Inventory_List_Table341115[[#This Row],[Q]]&lt;0.1, " ",Inventory_List_Table341115[[#This Row],[LND RND USD]]*12)</f>
        <v xml:space="preserve"> </v>
      </c>
      <c r="W44" s="539" t="str">
        <f>IF(Inventory_List_Table341115[[#This Row],[Q]]&lt;0.1, " ",Inventory_List_Table341115[[#This Row],[AQ USD]])</f>
        <v xml:space="preserve"> </v>
      </c>
      <c r="X4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4" s="539" t="str">
        <f>IF(Inventory_List_Table341115[[#This Row],[Q]]&lt;0.1, " ",Inventory_List_Table341115[[#This Row],[PRICE]]/Z44*10000)</f>
        <v xml:space="preserve"> </v>
      </c>
      <c r="AB44" s="27"/>
      <c r="AC44" s="1"/>
      <c r="AD44" s="1"/>
    </row>
    <row r="45" spans="1:30" ht="24" customHeight="1" x14ac:dyDescent="0.3">
      <c r="A45" s="84">
        <v>43</v>
      </c>
      <c r="B45" s="1"/>
      <c r="C45" s="557"/>
      <c r="D45" s="557"/>
      <c r="E45" s="557"/>
      <c r="F45" s="38" t="str">
        <f>IF(Inventory_List_Table341115[[#This Row],[Q]]&lt;0.1, " ",$A$1&amp;$D$1&amp;Inventory_List_Table341115[[#This Row],['#]]&amp;Inventory_List_Table341115[[#This Row],[LC]])</f>
        <v xml:space="preserve"> </v>
      </c>
      <c r="G45" s="85"/>
      <c r="H45" s="85"/>
      <c r="I45" s="85"/>
      <c r="J45" s="85"/>
      <c r="K45" s="85"/>
      <c r="L45" s="87"/>
      <c r="M45" s="539" t="str">
        <f>IF(Inventory_List_Table341115[[#This Row],[Q]]&lt;0.1, " ", Inventory_List_Table341115[[#This Row],[Q]]*Inventory_List_Table341115[[#This Row],[PRICE]])</f>
        <v xml:space="preserve"> </v>
      </c>
      <c r="N45" s="35" t="str">
        <f>IF(Inventory_List_Table341115[[#This Row],[Q]]&lt;0.1, " ", Inventory_List_Table341115[[#This Row],[KG]]*2.20462)</f>
        <v xml:space="preserve"> </v>
      </c>
      <c r="O45" s="35" t="str">
        <f>IF(Inventory_List_Table341115[[#This Row],[Q]]&lt;0.1, " ",Inventory_List_Table341115[[#This Row],[H CM]]/2.54)</f>
        <v xml:space="preserve"> </v>
      </c>
      <c r="P45" s="35" t="str">
        <f>IF(Inventory_List_Table341115[[#This Row],[Q]]&lt;0.1, " ",Inventory_List_Table341115[[#This Row],[W CM]]/2.54)</f>
        <v xml:space="preserve"> </v>
      </c>
      <c r="Q45" s="35" t="str">
        <f>IF(Inventory_List_Table341115[[#This Row],[Q]]&lt;0.1, " ",Inventory_List_Table341115[[#This Row],[D CM ]]/2.54)</f>
        <v xml:space="preserve"> </v>
      </c>
      <c r="R45" s="539" t="str">
        <f>IF(Inventory_List_Table341115[[#This Row],[Q]]&lt;0.1, " ",Inventory_List_Table341115[[#This Row],[PRICE]]/$L$1)</f>
        <v xml:space="preserve"> </v>
      </c>
      <c r="S4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5" s="539" t="str">
        <f>IF(Inventory_List_Table341115[[#This Row],[Q]]&lt;0.1, " ",Inventory_List_Table341115[[#This Row],[AQ RND USD]]*1.4)</f>
        <v xml:space="preserve"> </v>
      </c>
      <c r="U4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5" s="539" t="str">
        <f>IF(Inventory_List_Table341115[[#This Row],[Q]]&lt;0.1, " ",Inventory_List_Table341115[[#This Row],[LND RND USD]]*12)</f>
        <v xml:space="preserve"> </v>
      </c>
      <c r="W45" s="539" t="str">
        <f>IF(Inventory_List_Table341115[[#This Row],[Q]]&lt;0.1, " ",Inventory_List_Table341115[[#This Row],[AQ USD]])</f>
        <v xml:space="preserve"> </v>
      </c>
      <c r="X4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5" s="539" t="str">
        <f>IF(Inventory_List_Table341115[[#This Row],[Q]]&lt;0.1, " ",Inventory_List_Table341115[[#This Row],[PRICE]]/Z45*10000)</f>
        <v xml:space="preserve"> </v>
      </c>
      <c r="AB45" s="27"/>
      <c r="AC45" s="1"/>
      <c r="AD45" s="1"/>
    </row>
    <row r="46" spans="1:30" ht="24" customHeight="1" x14ac:dyDescent="0.3">
      <c r="A46" s="84">
        <v>44</v>
      </c>
      <c r="B46" s="1"/>
      <c r="C46" s="557"/>
      <c r="D46" s="557"/>
      <c r="E46" s="557"/>
      <c r="F46" s="38" t="str">
        <f>IF(Inventory_List_Table341115[[#This Row],[Q]]&lt;0.1, " ",$A$1&amp;$D$1&amp;Inventory_List_Table341115[[#This Row],['#]]&amp;Inventory_List_Table341115[[#This Row],[LC]])</f>
        <v xml:space="preserve"> </v>
      </c>
      <c r="G46" s="85"/>
      <c r="H46" s="85"/>
      <c r="I46" s="85"/>
      <c r="J46" s="85"/>
      <c r="K46" s="85"/>
      <c r="L46" s="87"/>
      <c r="M46" s="539" t="str">
        <f>IF(Inventory_List_Table341115[[#This Row],[Q]]&lt;0.1, " ", Inventory_List_Table341115[[#This Row],[Q]]*Inventory_List_Table341115[[#This Row],[PRICE]])</f>
        <v xml:space="preserve"> </v>
      </c>
      <c r="N46" s="35" t="str">
        <f>IF(Inventory_List_Table341115[[#This Row],[Q]]&lt;0.1, " ", Inventory_List_Table341115[[#This Row],[KG]]*2.20462)</f>
        <v xml:space="preserve"> </v>
      </c>
      <c r="O46" s="35" t="str">
        <f>IF(Inventory_List_Table341115[[#This Row],[Q]]&lt;0.1, " ",Inventory_List_Table341115[[#This Row],[H CM]]/2.54)</f>
        <v xml:space="preserve"> </v>
      </c>
      <c r="P46" s="35" t="str">
        <f>IF(Inventory_List_Table341115[[#This Row],[Q]]&lt;0.1, " ",Inventory_List_Table341115[[#This Row],[W CM]]/2.54)</f>
        <v xml:space="preserve"> </v>
      </c>
      <c r="Q46" s="35" t="str">
        <f>IF(Inventory_List_Table341115[[#This Row],[Q]]&lt;0.1, " ",Inventory_List_Table341115[[#This Row],[D CM ]]/2.54)</f>
        <v xml:space="preserve"> </v>
      </c>
      <c r="R46" s="539" t="str">
        <f>IF(Inventory_List_Table341115[[#This Row],[Q]]&lt;0.1, " ",Inventory_List_Table341115[[#This Row],[PRICE]]/$L$1)</f>
        <v xml:space="preserve"> </v>
      </c>
      <c r="S4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6" s="539" t="str">
        <f>IF(Inventory_List_Table341115[[#This Row],[Q]]&lt;0.1, " ",Inventory_List_Table341115[[#This Row],[AQ RND USD]]*1.4)</f>
        <v xml:space="preserve"> </v>
      </c>
      <c r="U4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6" s="539" t="str">
        <f>IF(Inventory_List_Table341115[[#This Row],[Q]]&lt;0.1, " ",Inventory_List_Table341115[[#This Row],[LND RND USD]]*12)</f>
        <v xml:space="preserve"> </v>
      </c>
      <c r="W46" s="539" t="str">
        <f>IF(Inventory_List_Table341115[[#This Row],[Q]]&lt;0.1, " ",Inventory_List_Table341115[[#This Row],[AQ USD]])</f>
        <v xml:space="preserve"> </v>
      </c>
      <c r="X4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6" s="539" t="str">
        <f>IF(Inventory_List_Table341115[[#This Row],[Q]]&lt;0.1, " ",Inventory_List_Table341115[[#This Row],[PRICE]]/Z46*10000)</f>
        <v xml:space="preserve"> </v>
      </c>
      <c r="AB46" s="27"/>
      <c r="AC46" s="1"/>
      <c r="AD46" s="1"/>
    </row>
    <row r="47" spans="1:30" ht="24" customHeight="1" x14ac:dyDescent="0.3">
      <c r="A47" s="84">
        <v>45</v>
      </c>
      <c r="B47" s="1"/>
      <c r="C47" s="557"/>
      <c r="D47" s="557"/>
      <c r="E47" s="557"/>
      <c r="F47" s="38" t="str">
        <f>IF(Inventory_List_Table341115[[#This Row],[Q]]&lt;0.1, " ",$A$1&amp;$D$1&amp;Inventory_List_Table341115[[#This Row],['#]]&amp;Inventory_List_Table341115[[#This Row],[LC]])</f>
        <v xml:space="preserve"> </v>
      </c>
      <c r="G47" s="85"/>
      <c r="H47" s="85"/>
      <c r="I47" s="85"/>
      <c r="J47" s="85"/>
      <c r="K47" s="85"/>
      <c r="L47" s="87"/>
      <c r="M47" s="539" t="str">
        <f>IF(Inventory_List_Table341115[[#This Row],[Q]]&lt;0.1, " ", Inventory_List_Table341115[[#This Row],[Q]]*Inventory_List_Table341115[[#This Row],[PRICE]])</f>
        <v xml:space="preserve"> </v>
      </c>
      <c r="N47" s="35" t="str">
        <f>IF(Inventory_List_Table341115[[#This Row],[Q]]&lt;0.1, " ", Inventory_List_Table341115[[#This Row],[KG]]*2.20462)</f>
        <v xml:space="preserve"> </v>
      </c>
      <c r="O47" s="35" t="str">
        <f>IF(Inventory_List_Table341115[[#This Row],[Q]]&lt;0.1, " ",Inventory_List_Table341115[[#This Row],[H CM]]/2.54)</f>
        <v xml:space="preserve"> </v>
      </c>
      <c r="P47" s="35" t="str">
        <f>IF(Inventory_List_Table341115[[#This Row],[Q]]&lt;0.1, " ",Inventory_List_Table341115[[#This Row],[W CM]]/2.54)</f>
        <v xml:space="preserve"> </v>
      </c>
      <c r="Q47" s="35" t="str">
        <f>IF(Inventory_List_Table341115[[#This Row],[Q]]&lt;0.1, " ",Inventory_List_Table341115[[#This Row],[D CM ]]/2.54)</f>
        <v xml:space="preserve"> </v>
      </c>
      <c r="R47" s="539" t="str">
        <f>IF(Inventory_List_Table341115[[#This Row],[Q]]&lt;0.1, " ",Inventory_List_Table341115[[#This Row],[PRICE]]/$L$1)</f>
        <v xml:space="preserve"> </v>
      </c>
      <c r="S4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7" s="539" t="str">
        <f>IF(Inventory_List_Table341115[[#This Row],[Q]]&lt;0.1, " ",Inventory_List_Table341115[[#This Row],[AQ RND USD]]*1.4)</f>
        <v xml:space="preserve"> </v>
      </c>
      <c r="U4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7" s="539" t="str">
        <f>IF(Inventory_List_Table341115[[#This Row],[Q]]&lt;0.1, " ",Inventory_List_Table341115[[#This Row],[LND RND USD]]*12)</f>
        <v xml:space="preserve"> </v>
      </c>
      <c r="W47" s="539" t="str">
        <f>IF(Inventory_List_Table341115[[#This Row],[Q]]&lt;0.1, " ",Inventory_List_Table341115[[#This Row],[AQ USD]])</f>
        <v xml:space="preserve"> </v>
      </c>
      <c r="X4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7" s="539" t="str">
        <f>IF(Inventory_List_Table341115[[#This Row],[Q]]&lt;0.1, " ",Inventory_List_Table341115[[#This Row],[PRICE]]/Z47*10000)</f>
        <v xml:space="preserve"> </v>
      </c>
      <c r="AB47" s="27"/>
      <c r="AC47" s="1"/>
      <c r="AD47" s="1"/>
    </row>
    <row r="48" spans="1:30" ht="24" customHeight="1" x14ac:dyDescent="0.3">
      <c r="A48" s="84">
        <v>46</v>
      </c>
      <c r="B48" s="1"/>
      <c r="C48" s="557"/>
      <c r="D48" s="557"/>
      <c r="E48" s="557"/>
      <c r="F48" s="38" t="str">
        <f>IF(Inventory_List_Table341115[[#This Row],[Q]]&lt;0.1, " ",$A$1&amp;$D$1&amp;Inventory_List_Table341115[[#This Row],['#]]&amp;Inventory_List_Table341115[[#This Row],[LC]])</f>
        <v xml:space="preserve"> </v>
      </c>
      <c r="G48" s="85"/>
      <c r="H48" s="85"/>
      <c r="I48" s="85"/>
      <c r="J48" s="85"/>
      <c r="K48" s="85"/>
      <c r="L48" s="87"/>
      <c r="M48" s="539" t="str">
        <f>IF(Inventory_List_Table341115[[#This Row],[Q]]&lt;0.1, " ", Inventory_List_Table341115[[#This Row],[Q]]*Inventory_List_Table341115[[#This Row],[PRICE]])</f>
        <v xml:space="preserve"> </v>
      </c>
      <c r="N48" s="35" t="str">
        <f>IF(Inventory_List_Table341115[[#This Row],[Q]]&lt;0.1, " ", Inventory_List_Table341115[[#This Row],[KG]]*2.20462)</f>
        <v xml:space="preserve"> </v>
      </c>
      <c r="O48" s="35" t="str">
        <f>IF(Inventory_List_Table341115[[#This Row],[Q]]&lt;0.1, " ",Inventory_List_Table341115[[#This Row],[H CM]]/2.54)</f>
        <v xml:space="preserve"> </v>
      </c>
      <c r="P48" s="35" t="str">
        <f>IF(Inventory_List_Table341115[[#This Row],[Q]]&lt;0.1, " ",Inventory_List_Table341115[[#This Row],[W CM]]/2.54)</f>
        <v xml:space="preserve"> </v>
      </c>
      <c r="Q48" s="35" t="str">
        <f>IF(Inventory_List_Table341115[[#This Row],[Q]]&lt;0.1, " ",Inventory_List_Table341115[[#This Row],[D CM ]]/2.54)</f>
        <v xml:space="preserve"> </v>
      </c>
      <c r="R48" s="539" t="str">
        <f>IF(Inventory_List_Table341115[[#This Row],[Q]]&lt;0.1, " ",Inventory_List_Table341115[[#This Row],[PRICE]]/$L$1)</f>
        <v xml:space="preserve"> </v>
      </c>
      <c r="S4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8" s="539" t="str">
        <f>IF(Inventory_List_Table341115[[#This Row],[Q]]&lt;0.1, " ",Inventory_List_Table341115[[#This Row],[AQ RND USD]]*1.4)</f>
        <v xml:space="preserve"> </v>
      </c>
      <c r="U4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8" s="539" t="str">
        <f>IF(Inventory_List_Table341115[[#This Row],[Q]]&lt;0.1, " ",Inventory_List_Table341115[[#This Row],[LND RND USD]]*12)</f>
        <v xml:space="preserve"> </v>
      </c>
      <c r="W48" s="539" t="str">
        <f>IF(Inventory_List_Table341115[[#This Row],[Q]]&lt;0.1, " ",Inventory_List_Table341115[[#This Row],[AQ USD]])</f>
        <v xml:space="preserve"> </v>
      </c>
      <c r="X4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8" s="539" t="str">
        <f>IF(Inventory_List_Table341115[[#This Row],[Q]]&lt;0.1, " ",Inventory_List_Table341115[[#This Row],[PRICE]]/Z48*10000)</f>
        <v xml:space="preserve"> </v>
      </c>
      <c r="AB48" s="27"/>
      <c r="AC48" s="1"/>
      <c r="AD48" s="1"/>
    </row>
    <row r="49" spans="1:30" ht="24" customHeight="1" x14ac:dyDescent="0.3">
      <c r="A49" s="84">
        <v>47</v>
      </c>
      <c r="B49" s="1"/>
      <c r="C49" s="557"/>
      <c r="D49" s="557"/>
      <c r="E49" s="557"/>
      <c r="F49" s="38" t="str">
        <f>IF(Inventory_List_Table341115[[#This Row],[Q]]&lt;0.1, " ",$A$1&amp;$D$1&amp;Inventory_List_Table341115[[#This Row],['#]]&amp;Inventory_List_Table341115[[#This Row],[LC]])</f>
        <v xml:space="preserve"> </v>
      </c>
      <c r="G49" s="85"/>
      <c r="H49" s="85"/>
      <c r="I49" s="85"/>
      <c r="J49" s="85"/>
      <c r="K49" s="85"/>
      <c r="L49" s="87"/>
      <c r="M49" s="539" t="str">
        <f>IF(Inventory_List_Table341115[[#This Row],[Q]]&lt;0.1, " ", Inventory_List_Table341115[[#This Row],[Q]]*Inventory_List_Table341115[[#This Row],[PRICE]])</f>
        <v xml:space="preserve"> </v>
      </c>
      <c r="N49" s="35" t="str">
        <f>IF(Inventory_List_Table341115[[#This Row],[Q]]&lt;0.1, " ", Inventory_List_Table341115[[#This Row],[KG]]*2.20462)</f>
        <v xml:space="preserve"> </v>
      </c>
      <c r="O49" s="35" t="str">
        <f>IF(Inventory_List_Table341115[[#This Row],[Q]]&lt;0.1, " ",Inventory_List_Table341115[[#This Row],[H CM]]/2.54)</f>
        <v xml:space="preserve"> </v>
      </c>
      <c r="P49" s="35" t="str">
        <f>IF(Inventory_List_Table341115[[#This Row],[Q]]&lt;0.1, " ",Inventory_List_Table341115[[#This Row],[W CM]]/2.54)</f>
        <v xml:space="preserve"> </v>
      </c>
      <c r="Q49" s="35" t="str">
        <f>IF(Inventory_List_Table341115[[#This Row],[Q]]&lt;0.1, " ",Inventory_List_Table341115[[#This Row],[D CM ]]/2.54)</f>
        <v xml:space="preserve"> </v>
      </c>
      <c r="R49" s="539" t="str">
        <f>IF(Inventory_List_Table341115[[#This Row],[Q]]&lt;0.1, " ",Inventory_List_Table341115[[#This Row],[PRICE]]/$L$1)</f>
        <v xml:space="preserve"> </v>
      </c>
      <c r="S4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49" s="539" t="str">
        <f>IF(Inventory_List_Table341115[[#This Row],[Q]]&lt;0.1, " ",Inventory_List_Table341115[[#This Row],[AQ RND USD]]*1.4)</f>
        <v xml:space="preserve"> </v>
      </c>
      <c r="U4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49" s="539" t="str">
        <f>IF(Inventory_List_Table341115[[#This Row],[Q]]&lt;0.1, " ",Inventory_List_Table341115[[#This Row],[LND RND USD]]*12)</f>
        <v xml:space="preserve"> </v>
      </c>
      <c r="W49" s="539" t="str">
        <f>IF(Inventory_List_Table341115[[#This Row],[Q]]&lt;0.1, " ",Inventory_List_Table341115[[#This Row],[AQ USD]])</f>
        <v xml:space="preserve"> </v>
      </c>
      <c r="X4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4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4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49" s="539" t="str">
        <f>IF(Inventory_List_Table341115[[#This Row],[Q]]&lt;0.1, " ",Inventory_List_Table341115[[#This Row],[PRICE]]/Z49*10000)</f>
        <v xml:space="preserve"> </v>
      </c>
      <c r="AB49" s="27"/>
      <c r="AC49" s="1"/>
      <c r="AD49" s="1"/>
    </row>
    <row r="50" spans="1:30" ht="24" customHeight="1" x14ac:dyDescent="0.3">
      <c r="A50" s="84">
        <v>48</v>
      </c>
      <c r="B50" s="1"/>
      <c r="C50" s="557"/>
      <c r="D50" s="557"/>
      <c r="E50" s="557"/>
      <c r="F50" s="38" t="str">
        <f>IF(Inventory_List_Table341115[[#This Row],[Q]]&lt;0.1, " ",$A$1&amp;$D$1&amp;Inventory_List_Table341115[[#This Row],['#]]&amp;Inventory_List_Table341115[[#This Row],[LC]])</f>
        <v xml:space="preserve"> </v>
      </c>
      <c r="G50" s="85"/>
      <c r="H50" s="85"/>
      <c r="I50" s="85"/>
      <c r="J50" s="85"/>
      <c r="K50" s="85"/>
      <c r="L50" s="87"/>
      <c r="M50" s="539" t="str">
        <f>IF(Inventory_List_Table341115[[#This Row],[Q]]&lt;0.1, " ", Inventory_List_Table341115[[#This Row],[Q]]*Inventory_List_Table341115[[#This Row],[PRICE]])</f>
        <v xml:space="preserve"> </v>
      </c>
      <c r="N50" s="35" t="str">
        <f>IF(Inventory_List_Table341115[[#This Row],[Q]]&lt;0.1, " ", Inventory_List_Table341115[[#This Row],[KG]]*2.20462)</f>
        <v xml:space="preserve"> </v>
      </c>
      <c r="O50" s="35" t="str">
        <f>IF(Inventory_List_Table341115[[#This Row],[Q]]&lt;0.1, " ",Inventory_List_Table341115[[#This Row],[H CM]]/2.54)</f>
        <v xml:space="preserve"> </v>
      </c>
      <c r="P50" s="35" t="str">
        <f>IF(Inventory_List_Table341115[[#This Row],[Q]]&lt;0.1, " ",Inventory_List_Table341115[[#This Row],[W CM]]/2.54)</f>
        <v xml:space="preserve"> </v>
      </c>
      <c r="Q50" s="35" t="str">
        <f>IF(Inventory_List_Table341115[[#This Row],[Q]]&lt;0.1, " ",Inventory_List_Table341115[[#This Row],[D CM ]]/2.54)</f>
        <v xml:space="preserve"> </v>
      </c>
      <c r="R50" s="539" t="str">
        <f>IF(Inventory_List_Table341115[[#This Row],[Q]]&lt;0.1, " ",Inventory_List_Table341115[[#This Row],[PRICE]]/$L$1)</f>
        <v xml:space="preserve"> </v>
      </c>
      <c r="S5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0" s="539" t="str">
        <f>IF(Inventory_List_Table341115[[#This Row],[Q]]&lt;0.1, " ",Inventory_List_Table341115[[#This Row],[AQ RND USD]]*1.4)</f>
        <v xml:space="preserve"> </v>
      </c>
      <c r="U5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0" s="539" t="str">
        <f>IF(Inventory_List_Table341115[[#This Row],[Q]]&lt;0.1, " ",Inventory_List_Table341115[[#This Row],[LND RND USD]]*12)</f>
        <v xml:space="preserve"> </v>
      </c>
      <c r="W50" s="539" t="str">
        <f>IF(Inventory_List_Table341115[[#This Row],[Q]]&lt;0.1, " ",Inventory_List_Table341115[[#This Row],[AQ USD]])</f>
        <v xml:space="preserve"> </v>
      </c>
      <c r="X5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0" s="539" t="str">
        <f>IF(Inventory_List_Table341115[[#This Row],[Q]]&lt;0.1, " ",Inventory_List_Table341115[[#This Row],[PRICE]]/Z50*10000)</f>
        <v xml:space="preserve"> </v>
      </c>
      <c r="AB50" s="27"/>
      <c r="AC50" s="1"/>
      <c r="AD50" s="1"/>
    </row>
    <row r="51" spans="1:30" ht="24" customHeight="1" x14ac:dyDescent="0.3">
      <c r="A51" s="84">
        <v>49</v>
      </c>
      <c r="B51" s="1"/>
      <c r="C51" s="557"/>
      <c r="D51" s="557"/>
      <c r="E51" s="557"/>
      <c r="F51" s="38" t="str">
        <f>IF(Inventory_List_Table341115[[#This Row],[Q]]&lt;0.1, " ",$A$1&amp;$D$1&amp;Inventory_List_Table341115[[#This Row],['#]]&amp;Inventory_List_Table341115[[#This Row],[LC]])</f>
        <v xml:space="preserve"> </v>
      </c>
      <c r="G51" s="85"/>
      <c r="H51" s="85"/>
      <c r="I51" s="85"/>
      <c r="J51" s="85"/>
      <c r="K51" s="85"/>
      <c r="L51" s="87"/>
      <c r="M51" s="539" t="str">
        <f>IF(Inventory_List_Table341115[[#This Row],[Q]]&lt;0.1, " ", Inventory_List_Table341115[[#This Row],[Q]]*Inventory_List_Table341115[[#This Row],[PRICE]])</f>
        <v xml:space="preserve"> </v>
      </c>
      <c r="N51" s="35" t="str">
        <f>IF(Inventory_List_Table341115[[#This Row],[Q]]&lt;0.1, " ", Inventory_List_Table341115[[#This Row],[KG]]*2.20462)</f>
        <v xml:space="preserve"> </v>
      </c>
      <c r="O51" s="35" t="str">
        <f>IF(Inventory_List_Table341115[[#This Row],[Q]]&lt;0.1, " ",Inventory_List_Table341115[[#This Row],[H CM]]/2.54)</f>
        <v xml:space="preserve"> </v>
      </c>
      <c r="P51" s="35" t="str">
        <f>IF(Inventory_List_Table341115[[#This Row],[Q]]&lt;0.1, " ",Inventory_List_Table341115[[#This Row],[W CM]]/2.54)</f>
        <v xml:space="preserve"> </v>
      </c>
      <c r="Q51" s="35" t="str">
        <f>IF(Inventory_List_Table341115[[#This Row],[Q]]&lt;0.1, " ",Inventory_List_Table341115[[#This Row],[D CM ]]/2.54)</f>
        <v xml:space="preserve"> </v>
      </c>
      <c r="R51" s="539" t="str">
        <f>IF(Inventory_List_Table341115[[#This Row],[Q]]&lt;0.1, " ",Inventory_List_Table341115[[#This Row],[PRICE]]/$L$1)</f>
        <v xml:space="preserve"> </v>
      </c>
      <c r="S5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1" s="539" t="str">
        <f>IF(Inventory_List_Table341115[[#This Row],[Q]]&lt;0.1, " ",Inventory_List_Table341115[[#This Row],[AQ RND USD]]*1.4)</f>
        <v xml:space="preserve"> </v>
      </c>
      <c r="U5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1" s="539" t="str">
        <f>IF(Inventory_List_Table341115[[#This Row],[Q]]&lt;0.1, " ",Inventory_List_Table341115[[#This Row],[LND RND USD]]*12)</f>
        <v xml:space="preserve"> </v>
      </c>
      <c r="W51" s="539" t="str">
        <f>IF(Inventory_List_Table341115[[#This Row],[Q]]&lt;0.1, " ",Inventory_List_Table341115[[#This Row],[AQ USD]])</f>
        <v xml:space="preserve"> </v>
      </c>
      <c r="X5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1" s="539" t="str">
        <f>IF(Inventory_List_Table341115[[#This Row],[Q]]&lt;0.1, " ",Inventory_List_Table341115[[#This Row],[PRICE]]/Z51*10000)</f>
        <v xml:space="preserve"> </v>
      </c>
      <c r="AB51" s="27"/>
      <c r="AC51" s="1"/>
      <c r="AD51" s="1"/>
    </row>
    <row r="52" spans="1:30" ht="24" customHeight="1" x14ac:dyDescent="0.3">
      <c r="A52" s="84">
        <v>50</v>
      </c>
      <c r="B52" s="1"/>
      <c r="C52" s="557"/>
      <c r="D52" s="557"/>
      <c r="E52" s="557"/>
      <c r="F52" s="38" t="str">
        <f>IF(Inventory_List_Table341115[[#This Row],[Q]]&lt;0.1, " ",$A$1&amp;$D$1&amp;Inventory_List_Table341115[[#This Row],['#]]&amp;Inventory_List_Table341115[[#This Row],[LC]])</f>
        <v xml:space="preserve"> </v>
      </c>
      <c r="G52" s="85"/>
      <c r="H52" s="85"/>
      <c r="I52" s="85"/>
      <c r="J52" s="85"/>
      <c r="K52" s="85"/>
      <c r="L52" s="87"/>
      <c r="M52" s="539" t="str">
        <f>IF(Inventory_List_Table341115[[#This Row],[Q]]&lt;0.1, " ", Inventory_List_Table341115[[#This Row],[Q]]*Inventory_List_Table341115[[#This Row],[PRICE]])</f>
        <v xml:space="preserve"> </v>
      </c>
      <c r="N52" s="35" t="str">
        <f>IF(Inventory_List_Table341115[[#This Row],[Q]]&lt;0.1, " ", Inventory_List_Table341115[[#This Row],[KG]]*2.20462)</f>
        <v xml:space="preserve"> </v>
      </c>
      <c r="O52" s="35" t="str">
        <f>IF(Inventory_List_Table341115[[#This Row],[Q]]&lt;0.1, " ",Inventory_List_Table341115[[#This Row],[H CM]]/2.54)</f>
        <v xml:space="preserve"> </v>
      </c>
      <c r="P52" s="35" t="str">
        <f>IF(Inventory_List_Table341115[[#This Row],[Q]]&lt;0.1, " ",Inventory_List_Table341115[[#This Row],[W CM]]/2.54)</f>
        <v xml:space="preserve"> </v>
      </c>
      <c r="Q52" s="35" t="str">
        <f>IF(Inventory_List_Table341115[[#This Row],[Q]]&lt;0.1, " ",Inventory_List_Table341115[[#This Row],[D CM ]]/2.54)</f>
        <v xml:space="preserve"> </v>
      </c>
      <c r="R52" s="539" t="str">
        <f>IF(Inventory_List_Table341115[[#This Row],[Q]]&lt;0.1, " ",Inventory_List_Table341115[[#This Row],[PRICE]]/$L$1)</f>
        <v xml:space="preserve"> </v>
      </c>
      <c r="S5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2" s="539" t="str">
        <f>IF(Inventory_List_Table341115[[#This Row],[Q]]&lt;0.1, " ",Inventory_List_Table341115[[#This Row],[AQ RND USD]]*1.4)</f>
        <v xml:space="preserve"> </v>
      </c>
      <c r="U5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2" s="539" t="str">
        <f>IF(Inventory_List_Table341115[[#This Row],[Q]]&lt;0.1, " ",Inventory_List_Table341115[[#This Row],[LND RND USD]]*12)</f>
        <v xml:space="preserve"> </v>
      </c>
      <c r="W52" s="539" t="str">
        <f>IF(Inventory_List_Table341115[[#This Row],[Q]]&lt;0.1, " ",Inventory_List_Table341115[[#This Row],[AQ USD]])</f>
        <v xml:space="preserve"> </v>
      </c>
      <c r="X5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2" s="539" t="str">
        <f>IF(Inventory_List_Table341115[[#This Row],[Q]]&lt;0.1, " ",Inventory_List_Table341115[[#This Row],[PRICE]]/Z52*10000)</f>
        <v xml:space="preserve"> </v>
      </c>
      <c r="AB52" s="27"/>
      <c r="AC52" s="1"/>
      <c r="AD52" s="1"/>
    </row>
    <row r="53" spans="1:30" ht="24" customHeight="1" x14ac:dyDescent="0.3">
      <c r="A53" s="84">
        <v>51</v>
      </c>
      <c r="B53" s="1"/>
      <c r="C53" s="557"/>
      <c r="D53" s="557"/>
      <c r="E53" s="557"/>
      <c r="F53" s="38" t="str">
        <f>IF(Inventory_List_Table341115[[#This Row],[Q]]&lt;0.1, " ",$A$1&amp;$D$1&amp;Inventory_List_Table341115[[#This Row],['#]]&amp;Inventory_List_Table341115[[#This Row],[LC]])</f>
        <v xml:space="preserve"> </v>
      </c>
      <c r="G53" s="85"/>
      <c r="H53" s="85"/>
      <c r="I53" s="85"/>
      <c r="J53" s="85"/>
      <c r="K53" s="85"/>
      <c r="L53" s="87"/>
      <c r="M53" s="539" t="str">
        <f>IF(Inventory_List_Table341115[[#This Row],[Q]]&lt;0.1, " ", Inventory_List_Table341115[[#This Row],[Q]]*Inventory_List_Table341115[[#This Row],[PRICE]])</f>
        <v xml:space="preserve"> </v>
      </c>
      <c r="N53" s="35" t="str">
        <f>IF(Inventory_List_Table341115[[#This Row],[Q]]&lt;0.1, " ", Inventory_List_Table341115[[#This Row],[KG]]*2.20462)</f>
        <v xml:space="preserve"> </v>
      </c>
      <c r="O53" s="35" t="str">
        <f>IF(Inventory_List_Table341115[[#This Row],[Q]]&lt;0.1, " ",Inventory_List_Table341115[[#This Row],[H CM]]/2.54)</f>
        <v xml:space="preserve"> </v>
      </c>
      <c r="P53" s="35" t="str">
        <f>IF(Inventory_List_Table341115[[#This Row],[Q]]&lt;0.1, " ",Inventory_List_Table341115[[#This Row],[W CM]]/2.54)</f>
        <v xml:space="preserve"> </v>
      </c>
      <c r="Q53" s="35" t="str">
        <f>IF(Inventory_List_Table341115[[#This Row],[Q]]&lt;0.1, " ",Inventory_List_Table341115[[#This Row],[D CM ]]/2.54)</f>
        <v xml:space="preserve"> </v>
      </c>
      <c r="R53" s="539" t="str">
        <f>IF(Inventory_List_Table341115[[#This Row],[Q]]&lt;0.1, " ",Inventory_List_Table341115[[#This Row],[PRICE]]/$L$1)</f>
        <v xml:space="preserve"> </v>
      </c>
      <c r="S5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3" s="539" t="str">
        <f>IF(Inventory_List_Table341115[[#This Row],[Q]]&lt;0.1, " ",Inventory_List_Table341115[[#This Row],[AQ RND USD]]*1.4)</f>
        <v xml:space="preserve"> </v>
      </c>
      <c r="U5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3" s="539" t="str">
        <f>IF(Inventory_List_Table341115[[#This Row],[Q]]&lt;0.1, " ",Inventory_List_Table341115[[#This Row],[LND RND USD]]*12)</f>
        <v xml:space="preserve"> </v>
      </c>
      <c r="W53" s="539" t="str">
        <f>IF(Inventory_List_Table341115[[#This Row],[Q]]&lt;0.1, " ",Inventory_List_Table341115[[#This Row],[AQ USD]])</f>
        <v xml:space="preserve"> </v>
      </c>
      <c r="X5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3" s="539" t="str">
        <f>IF(Inventory_List_Table341115[[#This Row],[Q]]&lt;0.1, " ",Inventory_List_Table341115[[#This Row],[PRICE]]/Z53*10000)</f>
        <v xml:space="preserve"> </v>
      </c>
      <c r="AB53" s="27"/>
      <c r="AC53" s="1"/>
      <c r="AD53" s="1"/>
    </row>
    <row r="54" spans="1:30" ht="24" customHeight="1" x14ac:dyDescent="0.3">
      <c r="A54" s="84">
        <v>52</v>
      </c>
      <c r="B54" s="1"/>
      <c r="C54" s="557"/>
      <c r="D54" s="557"/>
      <c r="E54" s="557"/>
      <c r="F54" s="38" t="str">
        <f>IF(Inventory_List_Table341115[[#This Row],[Q]]&lt;0.1, " ",$A$1&amp;$D$1&amp;Inventory_List_Table341115[[#This Row],['#]]&amp;Inventory_List_Table341115[[#This Row],[LC]])</f>
        <v xml:space="preserve"> </v>
      </c>
      <c r="G54" s="85"/>
      <c r="H54" s="85"/>
      <c r="I54" s="85"/>
      <c r="J54" s="85"/>
      <c r="K54" s="85"/>
      <c r="L54" s="87"/>
      <c r="M54" s="539" t="str">
        <f>IF(Inventory_List_Table341115[[#This Row],[Q]]&lt;0.1, " ", Inventory_List_Table341115[[#This Row],[Q]]*Inventory_List_Table341115[[#This Row],[PRICE]])</f>
        <v xml:space="preserve"> </v>
      </c>
      <c r="N54" s="35" t="str">
        <f>IF(Inventory_List_Table341115[[#This Row],[Q]]&lt;0.1, " ", Inventory_List_Table341115[[#This Row],[KG]]*2.20462)</f>
        <v xml:space="preserve"> </v>
      </c>
      <c r="O54" s="35" t="str">
        <f>IF(Inventory_List_Table341115[[#This Row],[Q]]&lt;0.1, " ",Inventory_List_Table341115[[#This Row],[H CM]]/2.54)</f>
        <v xml:space="preserve"> </v>
      </c>
      <c r="P54" s="35" t="str">
        <f>IF(Inventory_List_Table341115[[#This Row],[Q]]&lt;0.1, " ",Inventory_List_Table341115[[#This Row],[W CM]]/2.54)</f>
        <v xml:space="preserve"> </v>
      </c>
      <c r="Q54" s="35" t="str">
        <f>IF(Inventory_List_Table341115[[#This Row],[Q]]&lt;0.1, " ",Inventory_List_Table341115[[#This Row],[D CM ]]/2.54)</f>
        <v xml:space="preserve"> </v>
      </c>
      <c r="R54" s="539" t="str">
        <f>IF(Inventory_List_Table341115[[#This Row],[Q]]&lt;0.1, " ",Inventory_List_Table341115[[#This Row],[PRICE]]/$L$1)</f>
        <v xml:space="preserve"> </v>
      </c>
      <c r="S5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4" s="539" t="str">
        <f>IF(Inventory_List_Table341115[[#This Row],[Q]]&lt;0.1, " ",Inventory_List_Table341115[[#This Row],[AQ RND USD]]*1.4)</f>
        <v xml:space="preserve"> </v>
      </c>
      <c r="U5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4" s="539" t="str">
        <f>IF(Inventory_List_Table341115[[#This Row],[Q]]&lt;0.1, " ",Inventory_List_Table341115[[#This Row],[LND RND USD]]*12)</f>
        <v xml:space="preserve"> </v>
      </c>
      <c r="W54" s="539" t="str">
        <f>IF(Inventory_List_Table341115[[#This Row],[Q]]&lt;0.1, " ",Inventory_List_Table341115[[#This Row],[AQ USD]])</f>
        <v xml:space="preserve"> </v>
      </c>
      <c r="X5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4" s="539" t="str">
        <f>IF(Inventory_List_Table341115[[#This Row],[Q]]&lt;0.1, " ",Inventory_List_Table341115[[#This Row],[PRICE]]/Z54*10000)</f>
        <v xml:space="preserve"> </v>
      </c>
      <c r="AB54" s="27"/>
      <c r="AC54" s="1"/>
      <c r="AD54" s="1"/>
    </row>
    <row r="55" spans="1:30" ht="24" customHeight="1" x14ac:dyDescent="0.3">
      <c r="A55" s="84">
        <v>53</v>
      </c>
      <c r="B55" s="1"/>
      <c r="C55" s="557"/>
      <c r="D55" s="557"/>
      <c r="E55" s="557"/>
      <c r="F55" s="38" t="str">
        <f>IF(Inventory_List_Table341115[[#This Row],[Q]]&lt;0.1, " ",$A$1&amp;$D$1&amp;Inventory_List_Table341115[[#This Row],['#]]&amp;Inventory_List_Table341115[[#This Row],[LC]])</f>
        <v xml:space="preserve"> </v>
      </c>
      <c r="G55" s="85"/>
      <c r="H55" s="85"/>
      <c r="I55" s="85"/>
      <c r="J55" s="85"/>
      <c r="K55" s="85"/>
      <c r="L55" s="87"/>
      <c r="M55" s="539" t="str">
        <f>IF(Inventory_List_Table341115[[#This Row],[Q]]&lt;0.1, " ", Inventory_List_Table341115[[#This Row],[Q]]*Inventory_List_Table341115[[#This Row],[PRICE]])</f>
        <v xml:space="preserve"> </v>
      </c>
      <c r="N55" s="35" t="str">
        <f>IF(Inventory_List_Table341115[[#This Row],[Q]]&lt;0.1, " ", Inventory_List_Table341115[[#This Row],[KG]]*2.20462)</f>
        <v xml:space="preserve"> </v>
      </c>
      <c r="O55" s="35" t="str">
        <f>IF(Inventory_List_Table341115[[#This Row],[Q]]&lt;0.1, " ",Inventory_List_Table341115[[#This Row],[H CM]]/2.54)</f>
        <v xml:space="preserve"> </v>
      </c>
      <c r="P55" s="35" t="str">
        <f>IF(Inventory_List_Table341115[[#This Row],[Q]]&lt;0.1, " ",Inventory_List_Table341115[[#This Row],[W CM]]/2.54)</f>
        <v xml:space="preserve"> </v>
      </c>
      <c r="Q55" s="35" t="str">
        <f>IF(Inventory_List_Table341115[[#This Row],[Q]]&lt;0.1, " ",Inventory_List_Table341115[[#This Row],[D CM ]]/2.54)</f>
        <v xml:space="preserve"> </v>
      </c>
      <c r="R55" s="539" t="str">
        <f>IF(Inventory_List_Table341115[[#This Row],[Q]]&lt;0.1, " ",Inventory_List_Table341115[[#This Row],[PRICE]]/$L$1)</f>
        <v xml:space="preserve"> </v>
      </c>
      <c r="S5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5" s="539" t="str">
        <f>IF(Inventory_List_Table341115[[#This Row],[Q]]&lt;0.1, " ",Inventory_List_Table341115[[#This Row],[AQ RND USD]]*1.4)</f>
        <v xml:space="preserve"> </v>
      </c>
      <c r="U5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5" s="539" t="str">
        <f>IF(Inventory_List_Table341115[[#This Row],[Q]]&lt;0.1, " ",Inventory_List_Table341115[[#This Row],[LND RND USD]]*12)</f>
        <v xml:space="preserve"> </v>
      </c>
      <c r="W55" s="539" t="str">
        <f>IF(Inventory_List_Table341115[[#This Row],[Q]]&lt;0.1, " ",Inventory_List_Table341115[[#This Row],[AQ USD]])</f>
        <v xml:space="preserve"> </v>
      </c>
      <c r="X5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5" s="539" t="str">
        <f>IF(Inventory_List_Table341115[[#This Row],[Q]]&lt;0.1, " ",Inventory_List_Table341115[[#This Row],[PRICE]]/Z55*10000)</f>
        <v xml:space="preserve"> </v>
      </c>
      <c r="AB55" s="27"/>
      <c r="AC55" s="1"/>
      <c r="AD55" s="1"/>
    </row>
    <row r="56" spans="1:30" ht="24" customHeight="1" x14ac:dyDescent="0.3">
      <c r="A56" s="84">
        <v>54</v>
      </c>
      <c r="B56" s="1"/>
      <c r="C56" s="557"/>
      <c r="D56" s="557"/>
      <c r="E56" s="557"/>
      <c r="F56" s="38" t="str">
        <f>IF(Inventory_List_Table341115[[#This Row],[Q]]&lt;0.1, " ",$A$1&amp;$D$1&amp;Inventory_List_Table341115[[#This Row],['#]]&amp;Inventory_List_Table341115[[#This Row],[LC]])</f>
        <v xml:space="preserve"> </v>
      </c>
      <c r="G56" s="85"/>
      <c r="H56" s="85"/>
      <c r="I56" s="85"/>
      <c r="J56" s="85"/>
      <c r="K56" s="85"/>
      <c r="L56" s="87"/>
      <c r="M56" s="539" t="str">
        <f>IF(Inventory_List_Table341115[[#This Row],[Q]]&lt;0.1, " ", Inventory_List_Table341115[[#This Row],[Q]]*Inventory_List_Table341115[[#This Row],[PRICE]])</f>
        <v xml:space="preserve"> </v>
      </c>
      <c r="N56" s="35" t="str">
        <f>IF(Inventory_List_Table341115[[#This Row],[Q]]&lt;0.1, " ", Inventory_List_Table341115[[#This Row],[KG]]*2.20462)</f>
        <v xml:space="preserve"> </v>
      </c>
      <c r="O56" s="35" t="str">
        <f>IF(Inventory_List_Table341115[[#This Row],[Q]]&lt;0.1, " ",Inventory_List_Table341115[[#This Row],[H CM]]/2.54)</f>
        <v xml:space="preserve"> </v>
      </c>
      <c r="P56" s="35" t="str">
        <f>IF(Inventory_List_Table341115[[#This Row],[Q]]&lt;0.1, " ",Inventory_List_Table341115[[#This Row],[W CM]]/2.54)</f>
        <v xml:space="preserve"> </v>
      </c>
      <c r="Q56" s="35" t="str">
        <f>IF(Inventory_List_Table341115[[#This Row],[Q]]&lt;0.1, " ",Inventory_List_Table341115[[#This Row],[D CM ]]/2.54)</f>
        <v xml:space="preserve"> </v>
      </c>
      <c r="R56" s="539" t="str">
        <f>IF(Inventory_List_Table341115[[#This Row],[Q]]&lt;0.1, " ",Inventory_List_Table341115[[#This Row],[PRICE]]/$L$1)</f>
        <v xml:space="preserve"> </v>
      </c>
      <c r="S5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6" s="539" t="str">
        <f>IF(Inventory_List_Table341115[[#This Row],[Q]]&lt;0.1, " ",Inventory_List_Table341115[[#This Row],[AQ RND USD]]*1.4)</f>
        <v xml:space="preserve"> </v>
      </c>
      <c r="U5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6" s="539" t="str">
        <f>IF(Inventory_List_Table341115[[#This Row],[Q]]&lt;0.1, " ",Inventory_List_Table341115[[#This Row],[LND RND USD]]*12)</f>
        <v xml:space="preserve"> </v>
      </c>
      <c r="W56" s="539" t="str">
        <f>IF(Inventory_List_Table341115[[#This Row],[Q]]&lt;0.1, " ",Inventory_List_Table341115[[#This Row],[AQ USD]])</f>
        <v xml:space="preserve"> </v>
      </c>
      <c r="X5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6" s="539" t="str">
        <f>IF(Inventory_List_Table341115[[#This Row],[Q]]&lt;0.1, " ",Inventory_List_Table341115[[#This Row],[PRICE]]/Z56*10000)</f>
        <v xml:space="preserve"> </v>
      </c>
      <c r="AB56" s="27"/>
      <c r="AC56" s="1"/>
      <c r="AD56" s="1"/>
    </row>
    <row r="57" spans="1:30" ht="24" customHeight="1" x14ac:dyDescent="0.3">
      <c r="A57" s="84">
        <v>55</v>
      </c>
      <c r="B57" s="1"/>
      <c r="C57" s="557"/>
      <c r="D57" s="557"/>
      <c r="E57" s="557"/>
      <c r="F57" s="38" t="str">
        <f>IF(Inventory_List_Table341115[[#This Row],[Q]]&lt;0.1, " ",$A$1&amp;$D$1&amp;Inventory_List_Table341115[[#This Row],['#]]&amp;Inventory_List_Table341115[[#This Row],[LC]])</f>
        <v xml:space="preserve"> </v>
      </c>
      <c r="G57" s="85"/>
      <c r="H57" s="85"/>
      <c r="I57" s="85"/>
      <c r="J57" s="85"/>
      <c r="K57" s="85"/>
      <c r="L57" s="87"/>
      <c r="M57" s="539" t="str">
        <f>IF(Inventory_List_Table341115[[#This Row],[Q]]&lt;0.1, " ", Inventory_List_Table341115[[#This Row],[Q]]*Inventory_List_Table341115[[#This Row],[PRICE]])</f>
        <v xml:space="preserve"> </v>
      </c>
      <c r="N57" s="35" t="str">
        <f>IF(Inventory_List_Table341115[[#This Row],[Q]]&lt;0.1, " ", Inventory_List_Table341115[[#This Row],[KG]]*2.20462)</f>
        <v xml:space="preserve"> </v>
      </c>
      <c r="O57" s="35" t="str">
        <f>IF(Inventory_List_Table341115[[#This Row],[Q]]&lt;0.1, " ",Inventory_List_Table341115[[#This Row],[H CM]]/2.54)</f>
        <v xml:space="preserve"> </v>
      </c>
      <c r="P57" s="35" t="str">
        <f>IF(Inventory_List_Table341115[[#This Row],[Q]]&lt;0.1, " ",Inventory_List_Table341115[[#This Row],[W CM]]/2.54)</f>
        <v xml:space="preserve"> </v>
      </c>
      <c r="Q57" s="35" t="str">
        <f>IF(Inventory_List_Table341115[[#This Row],[Q]]&lt;0.1, " ",Inventory_List_Table341115[[#This Row],[D CM ]]/2.54)</f>
        <v xml:space="preserve"> </v>
      </c>
      <c r="R57" s="539" t="str">
        <f>IF(Inventory_List_Table341115[[#This Row],[Q]]&lt;0.1, " ",Inventory_List_Table341115[[#This Row],[PRICE]]/$L$1)</f>
        <v xml:space="preserve"> </v>
      </c>
      <c r="S5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7" s="539" t="str">
        <f>IF(Inventory_List_Table341115[[#This Row],[Q]]&lt;0.1, " ",Inventory_List_Table341115[[#This Row],[AQ RND USD]]*1.4)</f>
        <v xml:space="preserve"> </v>
      </c>
      <c r="U5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7" s="539" t="str">
        <f>IF(Inventory_List_Table341115[[#This Row],[Q]]&lt;0.1, " ",Inventory_List_Table341115[[#This Row],[LND RND USD]]*12)</f>
        <v xml:space="preserve"> </v>
      </c>
      <c r="W57" s="539" t="str">
        <f>IF(Inventory_List_Table341115[[#This Row],[Q]]&lt;0.1, " ",Inventory_List_Table341115[[#This Row],[AQ USD]])</f>
        <v xml:space="preserve"> </v>
      </c>
      <c r="X5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7" s="539" t="str">
        <f>IF(Inventory_List_Table341115[[#This Row],[Q]]&lt;0.1, " ",Inventory_List_Table341115[[#This Row],[PRICE]]/Z57*10000)</f>
        <v xml:space="preserve"> </v>
      </c>
      <c r="AB57" s="27"/>
      <c r="AC57" s="1"/>
      <c r="AD57" s="1"/>
    </row>
    <row r="58" spans="1:30" ht="24" customHeight="1" x14ac:dyDescent="0.3">
      <c r="A58" s="84">
        <v>56</v>
      </c>
      <c r="B58" s="1"/>
      <c r="C58" s="557"/>
      <c r="D58" s="557"/>
      <c r="E58" s="557"/>
      <c r="F58" s="38" t="str">
        <f>IF(Inventory_List_Table341115[[#This Row],[Q]]&lt;0.1, " ",$A$1&amp;$D$1&amp;Inventory_List_Table341115[[#This Row],['#]]&amp;Inventory_List_Table341115[[#This Row],[LC]])</f>
        <v xml:space="preserve"> </v>
      </c>
      <c r="G58" s="85"/>
      <c r="H58" s="85"/>
      <c r="I58" s="85"/>
      <c r="J58" s="85"/>
      <c r="K58" s="85"/>
      <c r="L58" s="87"/>
      <c r="M58" s="539" t="str">
        <f>IF(Inventory_List_Table341115[[#This Row],[Q]]&lt;0.1, " ", Inventory_List_Table341115[[#This Row],[Q]]*Inventory_List_Table341115[[#This Row],[PRICE]])</f>
        <v xml:space="preserve"> </v>
      </c>
      <c r="N58" s="35" t="str">
        <f>IF(Inventory_List_Table341115[[#This Row],[Q]]&lt;0.1, " ", Inventory_List_Table341115[[#This Row],[KG]]*2.20462)</f>
        <v xml:space="preserve"> </v>
      </c>
      <c r="O58" s="35" t="str">
        <f>IF(Inventory_List_Table341115[[#This Row],[Q]]&lt;0.1, " ",Inventory_List_Table341115[[#This Row],[H CM]]/2.54)</f>
        <v xml:space="preserve"> </v>
      </c>
      <c r="P58" s="35" t="str">
        <f>IF(Inventory_List_Table341115[[#This Row],[Q]]&lt;0.1, " ",Inventory_List_Table341115[[#This Row],[W CM]]/2.54)</f>
        <v xml:space="preserve"> </v>
      </c>
      <c r="Q58" s="35" t="str">
        <f>IF(Inventory_List_Table341115[[#This Row],[Q]]&lt;0.1, " ",Inventory_List_Table341115[[#This Row],[D CM ]]/2.54)</f>
        <v xml:space="preserve"> </v>
      </c>
      <c r="R58" s="539" t="str">
        <f>IF(Inventory_List_Table341115[[#This Row],[Q]]&lt;0.1, " ",Inventory_List_Table341115[[#This Row],[PRICE]]/$L$1)</f>
        <v xml:space="preserve"> </v>
      </c>
      <c r="S5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8" s="539" t="str">
        <f>IF(Inventory_List_Table341115[[#This Row],[Q]]&lt;0.1, " ",Inventory_List_Table341115[[#This Row],[AQ RND USD]]*1.4)</f>
        <v xml:space="preserve"> </v>
      </c>
      <c r="U5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8" s="539" t="str">
        <f>IF(Inventory_List_Table341115[[#This Row],[Q]]&lt;0.1, " ",Inventory_List_Table341115[[#This Row],[LND RND USD]]*12)</f>
        <v xml:space="preserve"> </v>
      </c>
      <c r="W58" s="539" t="str">
        <f>IF(Inventory_List_Table341115[[#This Row],[Q]]&lt;0.1, " ",Inventory_List_Table341115[[#This Row],[AQ USD]])</f>
        <v xml:space="preserve"> </v>
      </c>
      <c r="X5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8" s="539" t="str">
        <f>IF(Inventory_List_Table341115[[#This Row],[Q]]&lt;0.1, " ",Inventory_List_Table341115[[#This Row],[PRICE]]/Z58*10000)</f>
        <v xml:space="preserve"> </v>
      </c>
      <c r="AB58" s="27"/>
      <c r="AC58" s="1"/>
      <c r="AD58" s="1"/>
    </row>
    <row r="59" spans="1:30" ht="24" customHeight="1" x14ac:dyDescent="0.3">
      <c r="A59" s="84">
        <v>57</v>
      </c>
      <c r="B59" s="1"/>
      <c r="C59" s="557"/>
      <c r="D59" s="557"/>
      <c r="E59" s="557"/>
      <c r="F59" s="38" t="str">
        <f>IF(Inventory_List_Table341115[[#This Row],[Q]]&lt;0.1, " ",$A$1&amp;$D$1&amp;Inventory_List_Table341115[[#This Row],['#]]&amp;Inventory_List_Table341115[[#This Row],[LC]])</f>
        <v xml:space="preserve"> </v>
      </c>
      <c r="G59" s="85"/>
      <c r="H59" s="85"/>
      <c r="I59" s="85"/>
      <c r="J59" s="85"/>
      <c r="K59" s="85"/>
      <c r="L59" s="87"/>
      <c r="M59" s="539" t="str">
        <f>IF(Inventory_List_Table341115[[#This Row],[Q]]&lt;0.1, " ", Inventory_List_Table341115[[#This Row],[Q]]*Inventory_List_Table341115[[#This Row],[PRICE]])</f>
        <v xml:space="preserve"> </v>
      </c>
      <c r="N59" s="35" t="str">
        <f>IF(Inventory_List_Table341115[[#This Row],[Q]]&lt;0.1, " ", Inventory_List_Table341115[[#This Row],[KG]]*2.20462)</f>
        <v xml:space="preserve"> </v>
      </c>
      <c r="O59" s="35" t="str">
        <f>IF(Inventory_List_Table341115[[#This Row],[Q]]&lt;0.1, " ",Inventory_List_Table341115[[#This Row],[H CM]]/2.54)</f>
        <v xml:space="preserve"> </v>
      </c>
      <c r="P59" s="35" t="str">
        <f>IF(Inventory_List_Table341115[[#This Row],[Q]]&lt;0.1, " ",Inventory_List_Table341115[[#This Row],[W CM]]/2.54)</f>
        <v xml:space="preserve"> </v>
      </c>
      <c r="Q59" s="35" t="str">
        <f>IF(Inventory_List_Table341115[[#This Row],[Q]]&lt;0.1, " ",Inventory_List_Table341115[[#This Row],[D CM ]]/2.54)</f>
        <v xml:space="preserve"> </v>
      </c>
      <c r="R59" s="539" t="str">
        <f>IF(Inventory_List_Table341115[[#This Row],[Q]]&lt;0.1, " ",Inventory_List_Table341115[[#This Row],[PRICE]]/$L$1)</f>
        <v xml:space="preserve"> </v>
      </c>
      <c r="S5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59" s="539" t="str">
        <f>IF(Inventory_List_Table341115[[#This Row],[Q]]&lt;0.1, " ",Inventory_List_Table341115[[#This Row],[AQ RND USD]]*1.4)</f>
        <v xml:space="preserve"> </v>
      </c>
      <c r="U5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59" s="539" t="str">
        <f>IF(Inventory_List_Table341115[[#This Row],[Q]]&lt;0.1, " ",Inventory_List_Table341115[[#This Row],[LND RND USD]]*12)</f>
        <v xml:space="preserve"> </v>
      </c>
      <c r="W59" s="539" t="str">
        <f>IF(Inventory_List_Table341115[[#This Row],[Q]]&lt;0.1, " ",Inventory_List_Table341115[[#This Row],[AQ USD]])</f>
        <v xml:space="preserve"> </v>
      </c>
      <c r="X5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5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5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59" s="539" t="str">
        <f>IF(Inventory_List_Table341115[[#This Row],[Q]]&lt;0.1, " ",Inventory_List_Table341115[[#This Row],[PRICE]]/Z59*10000)</f>
        <v xml:space="preserve"> </v>
      </c>
      <c r="AB59" s="27"/>
      <c r="AC59" s="1"/>
      <c r="AD59" s="1"/>
    </row>
    <row r="60" spans="1:30" ht="24" customHeight="1" x14ac:dyDescent="0.3">
      <c r="A60" s="84">
        <v>58</v>
      </c>
      <c r="B60" s="1"/>
      <c r="C60" s="557"/>
      <c r="D60" s="557"/>
      <c r="E60" s="557"/>
      <c r="F60" s="38" t="str">
        <f>IF(Inventory_List_Table341115[[#This Row],[Q]]&lt;0.1, " ",$A$1&amp;$D$1&amp;Inventory_List_Table341115[[#This Row],['#]]&amp;Inventory_List_Table341115[[#This Row],[LC]])</f>
        <v xml:space="preserve"> </v>
      </c>
      <c r="G60" s="85"/>
      <c r="H60" s="85"/>
      <c r="I60" s="85"/>
      <c r="J60" s="85"/>
      <c r="K60" s="85"/>
      <c r="L60" s="87"/>
      <c r="M60" s="539" t="str">
        <f>IF(Inventory_List_Table341115[[#This Row],[Q]]&lt;0.1, " ", Inventory_List_Table341115[[#This Row],[Q]]*Inventory_List_Table341115[[#This Row],[PRICE]])</f>
        <v xml:space="preserve"> </v>
      </c>
      <c r="N60" s="35" t="str">
        <f>IF(Inventory_List_Table341115[[#This Row],[Q]]&lt;0.1, " ", Inventory_List_Table341115[[#This Row],[KG]]*2.20462)</f>
        <v xml:space="preserve"> </v>
      </c>
      <c r="O60" s="35" t="str">
        <f>IF(Inventory_List_Table341115[[#This Row],[Q]]&lt;0.1, " ",Inventory_List_Table341115[[#This Row],[H CM]]/2.54)</f>
        <v xml:space="preserve"> </v>
      </c>
      <c r="P60" s="35" t="str">
        <f>IF(Inventory_List_Table341115[[#This Row],[Q]]&lt;0.1, " ",Inventory_List_Table341115[[#This Row],[W CM]]/2.54)</f>
        <v xml:space="preserve"> </v>
      </c>
      <c r="Q60" s="35" t="str">
        <f>IF(Inventory_List_Table341115[[#This Row],[Q]]&lt;0.1, " ",Inventory_List_Table341115[[#This Row],[D CM ]]/2.54)</f>
        <v xml:space="preserve"> </v>
      </c>
      <c r="R60" s="539" t="str">
        <f>IF(Inventory_List_Table341115[[#This Row],[Q]]&lt;0.1, " ",Inventory_List_Table341115[[#This Row],[PRICE]]/$L$1)</f>
        <v xml:space="preserve"> </v>
      </c>
      <c r="S6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0" s="539" t="str">
        <f>IF(Inventory_List_Table341115[[#This Row],[Q]]&lt;0.1, " ",Inventory_List_Table341115[[#This Row],[AQ RND USD]]*1.4)</f>
        <v xml:space="preserve"> </v>
      </c>
      <c r="U6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0" s="539" t="str">
        <f>IF(Inventory_List_Table341115[[#This Row],[Q]]&lt;0.1, " ",Inventory_List_Table341115[[#This Row],[LND RND USD]]*12)</f>
        <v xml:space="preserve"> </v>
      </c>
      <c r="W60" s="539" t="str">
        <f>IF(Inventory_List_Table341115[[#This Row],[Q]]&lt;0.1, " ",Inventory_List_Table341115[[#This Row],[AQ USD]])</f>
        <v xml:space="preserve"> </v>
      </c>
      <c r="X6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0" s="539" t="str">
        <f>IF(Inventory_List_Table341115[[#This Row],[Q]]&lt;0.1, " ",Inventory_List_Table341115[[#This Row],[PRICE]]/Z60*10000)</f>
        <v xml:space="preserve"> </v>
      </c>
      <c r="AB60" s="27"/>
      <c r="AC60" s="1"/>
      <c r="AD60" s="1"/>
    </row>
    <row r="61" spans="1:30" ht="24" customHeight="1" x14ac:dyDescent="0.3">
      <c r="A61" s="84">
        <v>59</v>
      </c>
      <c r="B61" s="1"/>
      <c r="C61" s="557"/>
      <c r="D61" s="557"/>
      <c r="E61" s="557"/>
      <c r="F61" s="38" t="str">
        <f>IF(Inventory_List_Table341115[[#This Row],[Q]]&lt;0.1, " ",$A$1&amp;$D$1&amp;Inventory_List_Table341115[[#This Row],['#]]&amp;Inventory_List_Table341115[[#This Row],[LC]])</f>
        <v xml:space="preserve"> </v>
      </c>
      <c r="G61" s="85"/>
      <c r="H61" s="85"/>
      <c r="I61" s="85"/>
      <c r="J61" s="85"/>
      <c r="K61" s="85"/>
      <c r="L61" s="87"/>
      <c r="M61" s="539" t="str">
        <f>IF(Inventory_List_Table341115[[#This Row],[Q]]&lt;0.1, " ", Inventory_List_Table341115[[#This Row],[Q]]*Inventory_List_Table341115[[#This Row],[PRICE]])</f>
        <v xml:space="preserve"> </v>
      </c>
      <c r="N61" s="35" t="str">
        <f>IF(Inventory_List_Table341115[[#This Row],[Q]]&lt;0.1, " ", Inventory_List_Table341115[[#This Row],[KG]]*2.20462)</f>
        <v xml:space="preserve"> </v>
      </c>
      <c r="O61" s="35" t="str">
        <f>IF(Inventory_List_Table341115[[#This Row],[Q]]&lt;0.1, " ",Inventory_List_Table341115[[#This Row],[H CM]]/2.54)</f>
        <v xml:space="preserve"> </v>
      </c>
      <c r="P61" s="35" t="str">
        <f>IF(Inventory_List_Table341115[[#This Row],[Q]]&lt;0.1, " ",Inventory_List_Table341115[[#This Row],[W CM]]/2.54)</f>
        <v xml:space="preserve"> </v>
      </c>
      <c r="Q61" s="35" t="str">
        <f>IF(Inventory_List_Table341115[[#This Row],[Q]]&lt;0.1, " ",Inventory_List_Table341115[[#This Row],[D CM ]]/2.54)</f>
        <v xml:space="preserve"> </v>
      </c>
      <c r="R61" s="539" t="str">
        <f>IF(Inventory_List_Table341115[[#This Row],[Q]]&lt;0.1, " ",Inventory_List_Table341115[[#This Row],[PRICE]]/$L$1)</f>
        <v xml:space="preserve"> </v>
      </c>
      <c r="S6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1" s="539" t="str">
        <f>IF(Inventory_List_Table341115[[#This Row],[Q]]&lt;0.1, " ",Inventory_List_Table341115[[#This Row],[AQ RND USD]]*1.4)</f>
        <v xml:space="preserve"> </v>
      </c>
      <c r="U6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1" s="539" t="str">
        <f>IF(Inventory_List_Table341115[[#This Row],[Q]]&lt;0.1, " ",Inventory_List_Table341115[[#This Row],[LND RND USD]]*12)</f>
        <v xml:space="preserve"> </v>
      </c>
      <c r="W61" s="539" t="str">
        <f>IF(Inventory_List_Table341115[[#This Row],[Q]]&lt;0.1, " ",Inventory_List_Table341115[[#This Row],[AQ USD]])</f>
        <v xml:space="preserve"> </v>
      </c>
      <c r="X6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1" s="539" t="str">
        <f>IF(Inventory_List_Table341115[[#This Row],[Q]]&lt;0.1, " ",Inventory_List_Table341115[[#This Row],[PRICE]]/Z61*10000)</f>
        <v xml:space="preserve"> </v>
      </c>
      <c r="AB61" s="27"/>
      <c r="AC61" s="1"/>
      <c r="AD61" s="1"/>
    </row>
    <row r="62" spans="1:30" ht="24" customHeight="1" x14ac:dyDescent="0.3">
      <c r="A62" s="84">
        <v>60</v>
      </c>
      <c r="B62" s="1"/>
      <c r="C62" s="557"/>
      <c r="D62" s="557"/>
      <c r="E62" s="557"/>
      <c r="F62" s="38" t="str">
        <f>IF(Inventory_List_Table341115[[#This Row],[Q]]&lt;0.1, " ",$A$1&amp;$D$1&amp;Inventory_List_Table341115[[#This Row],['#]]&amp;Inventory_List_Table341115[[#This Row],[LC]])</f>
        <v xml:space="preserve"> </v>
      </c>
      <c r="G62" s="85"/>
      <c r="H62" s="85"/>
      <c r="I62" s="85"/>
      <c r="J62" s="85"/>
      <c r="K62" s="85"/>
      <c r="L62" s="87"/>
      <c r="M62" s="539" t="str">
        <f>IF(Inventory_List_Table341115[[#This Row],[Q]]&lt;0.1, " ", Inventory_List_Table341115[[#This Row],[Q]]*Inventory_List_Table341115[[#This Row],[PRICE]])</f>
        <v xml:space="preserve"> </v>
      </c>
      <c r="N62" s="35" t="str">
        <f>IF(Inventory_List_Table341115[[#This Row],[Q]]&lt;0.1, " ", Inventory_List_Table341115[[#This Row],[KG]]*2.20462)</f>
        <v xml:space="preserve"> </v>
      </c>
      <c r="O62" s="35" t="str">
        <f>IF(Inventory_List_Table341115[[#This Row],[Q]]&lt;0.1, " ",Inventory_List_Table341115[[#This Row],[H CM]]/2.54)</f>
        <v xml:space="preserve"> </v>
      </c>
      <c r="P62" s="35" t="str">
        <f>IF(Inventory_List_Table341115[[#This Row],[Q]]&lt;0.1, " ",Inventory_List_Table341115[[#This Row],[W CM]]/2.54)</f>
        <v xml:space="preserve"> </v>
      </c>
      <c r="Q62" s="35" t="str">
        <f>IF(Inventory_List_Table341115[[#This Row],[Q]]&lt;0.1, " ",Inventory_List_Table341115[[#This Row],[D CM ]]/2.54)</f>
        <v xml:space="preserve"> </v>
      </c>
      <c r="R62" s="539" t="str">
        <f>IF(Inventory_List_Table341115[[#This Row],[Q]]&lt;0.1, " ",Inventory_List_Table341115[[#This Row],[PRICE]]/$L$1)</f>
        <v xml:space="preserve"> </v>
      </c>
      <c r="S6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2" s="539" t="str">
        <f>IF(Inventory_List_Table341115[[#This Row],[Q]]&lt;0.1, " ",Inventory_List_Table341115[[#This Row],[AQ RND USD]]*1.4)</f>
        <v xml:space="preserve"> </v>
      </c>
      <c r="U6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2" s="539" t="str">
        <f>IF(Inventory_List_Table341115[[#This Row],[Q]]&lt;0.1, " ",Inventory_List_Table341115[[#This Row],[LND RND USD]]*12)</f>
        <v xml:space="preserve"> </v>
      </c>
      <c r="W62" s="539" t="str">
        <f>IF(Inventory_List_Table341115[[#This Row],[Q]]&lt;0.1, " ",Inventory_List_Table341115[[#This Row],[AQ USD]])</f>
        <v xml:space="preserve"> </v>
      </c>
      <c r="X6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2" s="539" t="str">
        <f>IF(Inventory_List_Table341115[[#This Row],[Q]]&lt;0.1, " ",Inventory_List_Table341115[[#This Row],[PRICE]]/Z62*10000)</f>
        <v xml:space="preserve"> </v>
      </c>
      <c r="AB62" s="27"/>
      <c r="AC62" s="1"/>
      <c r="AD62" s="1"/>
    </row>
    <row r="63" spans="1:30" ht="24" customHeight="1" x14ac:dyDescent="0.3">
      <c r="A63" s="84">
        <v>61</v>
      </c>
      <c r="B63" s="1"/>
      <c r="C63" s="557"/>
      <c r="D63" s="557"/>
      <c r="E63" s="557"/>
      <c r="F63" s="38" t="str">
        <f>IF(Inventory_List_Table341115[[#This Row],[Q]]&lt;0.1, " ",$A$1&amp;$D$1&amp;Inventory_List_Table341115[[#This Row],['#]]&amp;Inventory_List_Table341115[[#This Row],[LC]])</f>
        <v xml:space="preserve"> </v>
      </c>
      <c r="G63" s="85"/>
      <c r="H63" s="85"/>
      <c r="I63" s="85"/>
      <c r="J63" s="85"/>
      <c r="K63" s="85"/>
      <c r="L63" s="87"/>
      <c r="M63" s="539" t="str">
        <f>IF(Inventory_List_Table341115[[#This Row],[Q]]&lt;0.1, " ", Inventory_List_Table341115[[#This Row],[Q]]*Inventory_List_Table341115[[#This Row],[PRICE]])</f>
        <v xml:space="preserve"> </v>
      </c>
      <c r="N63" s="35" t="str">
        <f>IF(Inventory_List_Table341115[[#This Row],[Q]]&lt;0.1, " ", Inventory_List_Table341115[[#This Row],[KG]]*2.20462)</f>
        <v xml:space="preserve"> </v>
      </c>
      <c r="O63" s="35" t="str">
        <f>IF(Inventory_List_Table341115[[#This Row],[Q]]&lt;0.1, " ",Inventory_List_Table341115[[#This Row],[H CM]]/2.54)</f>
        <v xml:space="preserve"> </v>
      </c>
      <c r="P63" s="35" t="str">
        <f>IF(Inventory_List_Table341115[[#This Row],[Q]]&lt;0.1, " ",Inventory_List_Table341115[[#This Row],[W CM]]/2.54)</f>
        <v xml:space="preserve"> </v>
      </c>
      <c r="Q63" s="35" t="str">
        <f>IF(Inventory_List_Table341115[[#This Row],[Q]]&lt;0.1, " ",Inventory_List_Table341115[[#This Row],[D CM ]]/2.54)</f>
        <v xml:space="preserve"> </v>
      </c>
      <c r="R63" s="539" t="str">
        <f>IF(Inventory_List_Table341115[[#This Row],[Q]]&lt;0.1, " ",Inventory_List_Table341115[[#This Row],[PRICE]]/$L$1)</f>
        <v xml:space="preserve"> </v>
      </c>
      <c r="S6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3" s="539" t="str">
        <f>IF(Inventory_List_Table341115[[#This Row],[Q]]&lt;0.1, " ",Inventory_List_Table341115[[#This Row],[AQ RND USD]]*1.4)</f>
        <v xml:space="preserve"> </v>
      </c>
      <c r="U6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3" s="539" t="str">
        <f>IF(Inventory_List_Table341115[[#This Row],[Q]]&lt;0.1, " ",Inventory_List_Table341115[[#This Row],[LND RND USD]]*12)</f>
        <v xml:space="preserve"> </v>
      </c>
      <c r="W63" s="539" t="str">
        <f>IF(Inventory_List_Table341115[[#This Row],[Q]]&lt;0.1, " ",Inventory_List_Table341115[[#This Row],[AQ USD]])</f>
        <v xml:space="preserve"> </v>
      </c>
      <c r="X6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3" s="539" t="str">
        <f>IF(Inventory_List_Table341115[[#This Row],[Q]]&lt;0.1, " ",Inventory_List_Table341115[[#This Row],[PRICE]]/Z63*10000)</f>
        <v xml:space="preserve"> </v>
      </c>
      <c r="AB63" s="27"/>
      <c r="AC63" s="1"/>
      <c r="AD63" s="1"/>
    </row>
    <row r="64" spans="1:30" ht="24" customHeight="1" x14ac:dyDescent="0.3">
      <c r="A64" s="84">
        <v>62</v>
      </c>
      <c r="B64" s="1"/>
      <c r="C64" s="557"/>
      <c r="D64" s="557"/>
      <c r="E64" s="557"/>
      <c r="F64" s="38" t="str">
        <f>IF(Inventory_List_Table341115[[#This Row],[Q]]&lt;0.1, " ",$A$1&amp;$D$1&amp;Inventory_List_Table341115[[#This Row],['#]]&amp;Inventory_List_Table341115[[#This Row],[LC]])</f>
        <v xml:space="preserve"> </v>
      </c>
      <c r="G64" s="85"/>
      <c r="H64" s="85"/>
      <c r="I64" s="85"/>
      <c r="J64" s="85"/>
      <c r="K64" s="85"/>
      <c r="L64" s="87"/>
      <c r="M64" s="539" t="str">
        <f>IF(Inventory_List_Table341115[[#This Row],[Q]]&lt;0.1, " ", Inventory_List_Table341115[[#This Row],[Q]]*Inventory_List_Table341115[[#This Row],[PRICE]])</f>
        <v xml:space="preserve"> </v>
      </c>
      <c r="N64" s="35" t="str">
        <f>IF(Inventory_List_Table341115[[#This Row],[Q]]&lt;0.1, " ", Inventory_List_Table341115[[#This Row],[KG]]*2.20462)</f>
        <v xml:space="preserve"> </v>
      </c>
      <c r="O64" s="35" t="str">
        <f>IF(Inventory_List_Table341115[[#This Row],[Q]]&lt;0.1, " ",Inventory_List_Table341115[[#This Row],[H CM]]/2.54)</f>
        <v xml:space="preserve"> </v>
      </c>
      <c r="P64" s="35" t="str">
        <f>IF(Inventory_List_Table341115[[#This Row],[Q]]&lt;0.1, " ",Inventory_List_Table341115[[#This Row],[W CM]]/2.54)</f>
        <v xml:space="preserve"> </v>
      </c>
      <c r="Q64" s="35" t="str">
        <f>IF(Inventory_List_Table341115[[#This Row],[Q]]&lt;0.1, " ",Inventory_List_Table341115[[#This Row],[D CM ]]/2.54)</f>
        <v xml:space="preserve"> </v>
      </c>
      <c r="R64" s="539" t="str">
        <f>IF(Inventory_List_Table341115[[#This Row],[Q]]&lt;0.1, " ",Inventory_List_Table341115[[#This Row],[PRICE]]/$L$1)</f>
        <v xml:space="preserve"> </v>
      </c>
      <c r="S6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4" s="539" t="str">
        <f>IF(Inventory_List_Table341115[[#This Row],[Q]]&lt;0.1, " ",Inventory_List_Table341115[[#This Row],[AQ RND USD]]*1.4)</f>
        <v xml:space="preserve"> </v>
      </c>
      <c r="U6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4" s="539" t="str">
        <f>IF(Inventory_List_Table341115[[#This Row],[Q]]&lt;0.1, " ",Inventory_List_Table341115[[#This Row],[LND RND USD]]*12)</f>
        <v xml:space="preserve"> </v>
      </c>
      <c r="W64" s="539" t="str">
        <f>IF(Inventory_List_Table341115[[#This Row],[Q]]&lt;0.1, " ",Inventory_List_Table341115[[#This Row],[AQ USD]])</f>
        <v xml:space="preserve"> </v>
      </c>
      <c r="X6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4" s="539" t="str">
        <f>IF(Inventory_List_Table341115[[#This Row],[Q]]&lt;0.1, " ",Inventory_List_Table341115[[#This Row],[PRICE]]/Z64*10000)</f>
        <v xml:space="preserve"> </v>
      </c>
      <c r="AB64" s="27"/>
      <c r="AC64" s="1"/>
      <c r="AD64" s="1"/>
    </row>
    <row r="65" spans="1:30" ht="24" customHeight="1" x14ac:dyDescent="0.3">
      <c r="A65" s="84">
        <v>63</v>
      </c>
      <c r="B65" s="1"/>
      <c r="C65" s="557"/>
      <c r="D65" s="557"/>
      <c r="E65" s="557"/>
      <c r="F65" s="38" t="str">
        <f>IF(Inventory_List_Table341115[[#This Row],[Q]]&lt;0.1, " ",$A$1&amp;$D$1&amp;Inventory_List_Table341115[[#This Row],['#]]&amp;Inventory_List_Table341115[[#This Row],[LC]])</f>
        <v xml:space="preserve"> </v>
      </c>
      <c r="G65" s="85"/>
      <c r="H65" s="85"/>
      <c r="I65" s="85"/>
      <c r="J65" s="85"/>
      <c r="K65" s="85"/>
      <c r="L65" s="87"/>
      <c r="M65" s="539" t="str">
        <f>IF(Inventory_List_Table341115[[#This Row],[Q]]&lt;0.1, " ", Inventory_List_Table341115[[#This Row],[Q]]*Inventory_List_Table341115[[#This Row],[PRICE]])</f>
        <v xml:space="preserve"> </v>
      </c>
      <c r="N65" s="35" t="str">
        <f>IF(Inventory_List_Table341115[[#This Row],[Q]]&lt;0.1, " ", Inventory_List_Table341115[[#This Row],[KG]]*2.20462)</f>
        <v xml:space="preserve"> </v>
      </c>
      <c r="O65" s="35" t="str">
        <f>IF(Inventory_List_Table341115[[#This Row],[Q]]&lt;0.1, " ",Inventory_List_Table341115[[#This Row],[H CM]]/2.54)</f>
        <v xml:space="preserve"> </v>
      </c>
      <c r="P65" s="35" t="str">
        <f>IF(Inventory_List_Table341115[[#This Row],[Q]]&lt;0.1, " ",Inventory_List_Table341115[[#This Row],[W CM]]/2.54)</f>
        <v xml:space="preserve"> </v>
      </c>
      <c r="Q65" s="35" t="str">
        <f>IF(Inventory_List_Table341115[[#This Row],[Q]]&lt;0.1, " ",Inventory_List_Table341115[[#This Row],[D CM ]]/2.54)</f>
        <v xml:space="preserve"> </v>
      </c>
      <c r="R65" s="539" t="str">
        <f>IF(Inventory_List_Table341115[[#This Row],[Q]]&lt;0.1, " ",Inventory_List_Table341115[[#This Row],[PRICE]]/$L$1)</f>
        <v xml:space="preserve"> </v>
      </c>
      <c r="S6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5" s="539" t="str">
        <f>IF(Inventory_List_Table341115[[#This Row],[Q]]&lt;0.1, " ",Inventory_List_Table341115[[#This Row],[AQ RND USD]]*1.4)</f>
        <v xml:space="preserve"> </v>
      </c>
      <c r="U6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5" s="539" t="str">
        <f>IF(Inventory_List_Table341115[[#This Row],[Q]]&lt;0.1, " ",Inventory_List_Table341115[[#This Row],[LND RND USD]]*12)</f>
        <v xml:space="preserve"> </v>
      </c>
      <c r="W65" s="539" t="str">
        <f>IF(Inventory_List_Table341115[[#This Row],[Q]]&lt;0.1, " ",Inventory_List_Table341115[[#This Row],[AQ USD]])</f>
        <v xml:space="preserve"> </v>
      </c>
      <c r="X6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5" s="539" t="str">
        <f>IF(Inventory_List_Table341115[[#This Row],[Q]]&lt;0.1, " ",Inventory_List_Table341115[[#This Row],[PRICE]]/Z65*10000)</f>
        <v xml:space="preserve"> </v>
      </c>
      <c r="AB65" s="27"/>
      <c r="AC65" s="1"/>
      <c r="AD65" s="1"/>
    </row>
    <row r="66" spans="1:30" ht="24" customHeight="1" x14ac:dyDescent="0.3">
      <c r="A66" s="84">
        <v>64</v>
      </c>
      <c r="B66" s="1"/>
      <c r="C66" s="557"/>
      <c r="D66" s="557"/>
      <c r="E66" s="557"/>
      <c r="F66" s="38" t="str">
        <f>IF(Inventory_List_Table341115[[#This Row],[Q]]&lt;0.1, " ",$A$1&amp;$D$1&amp;Inventory_List_Table341115[[#This Row],['#]]&amp;Inventory_List_Table341115[[#This Row],[LC]])</f>
        <v xml:space="preserve"> </v>
      </c>
      <c r="G66" s="85"/>
      <c r="H66" s="85"/>
      <c r="I66" s="85"/>
      <c r="J66" s="85"/>
      <c r="K66" s="85"/>
      <c r="L66" s="87"/>
      <c r="M66" s="539" t="str">
        <f>IF(Inventory_List_Table341115[[#This Row],[Q]]&lt;0.1, " ", Inventory_List_Table341115[[#This Row],[Q]]*Inventory_List_Table341115[[#This Row],[PRICE]])</f>
        <v xml:space="preserve"> </v>
      </c>
      <c r="N66" s="35" t="str">
        <f>IF(Inventory_List_Table341115[[#This Row],[Q]]&lt;0.1, " ", Inventory_List_Table341115[[#This Row],[KG]]*2.20462)</f>
        <v xml:space="preserve"> </v>
      </c>
      <c r="O66" s="35" t="str">
        <f>IF(Inventory_List_Table341115[[#This Row],[Q]]&lt;0.1, " ",Inventory_List_Table341115[[#This Row],[H CM]]/2.54)</f>
        <v xml:space="preserve"> </v>
      </c>
      <c r="P66" s="35" t="str">
        <f>IF(Inventory_List_Table341115[[#This Row],[Q]]&lt;0.1, " ",Inventory_List_Table341115[[#This Row],[W CM]]/2.54)</f>
        <v xml:space="preserve"> </v>
      </c>
      <c r="Q66" s="35" t="str">
        <f>IF(Inventory_List_Table341115[[#This Row],[Q]]&lt;0.1, " ",Inventory_List_Table341115[[#This Row],[D CM ]]/2.54)</f>
        <v xml:space="preserve"> </v>
      </c>
      <c r="R66" s="539" t="str">
        <f>IF(Inventory_List_Table341115[[#This Row],[Q]]&lt;0.1, " ",Inventory_List_Table341115[[#This Row],[PRICE]]/$L$1)</f>
        <v xml:space="preserve"> </v>
      </c>
      <c r="S6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6" s="539" t="str">
        <f>IF(Inventory_List_Table341115[[#This Row],[Q]]&lt;0.1, " ",Inventory_List_Table341115[[#This Row],[AQ RND USD]]*1.4)</f>
        <v xml:space="preserve"> </v>
      </c>
      <c r="U6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6" s="539" t="str">
        <f>IF(Inventory_List_Table341115[[#This Row],[Q]]&lt;0.1, " ",Inventory_List_Table341115[[#This Row],[LND RND USD]]*12)</f>
        <v xml:space="preserve"> </v>
      </c>
      <c r="W66" s="539" t="str">
        <f>IF(Inventory_List_Table341115[[#This Row],[Q]]&lt;0.1, " ",Inventory_List_Table341115[[#This Row],[AQ USD]])</f>
        <v xml:space="preserve"> </v>
      </c>
      <c r="X6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6" s="539" t="str">
        <f>IF(Inventory_List_Table341115[[#This Row],[Q]]&lt;0.1, " ",Inventory_List_Table341115[[#This Row],[PRICE]]/Z66*10000)</f>
        <v xml:space="preserve"> </v>
      </c>
      <c r="AB66" s="27"/>
      <c r="AC66" s="1"/>
      <c r="AD66" s="1"/>
    </row>
    <row r="67" spans="1:30" ht="24" customHeight="1" x14ac:dyDescent="0.3">
      <c r="A67" s="84">
        <v>65</v>
      </c>
      <c r="B67" s="1"/>
      <c r="C67" s="557"/>
      <c r="D67" s="557"/>
      <c r="E67" s="557"/>
      <c r="F67" s="38" t="str">
        <f>IF(Inventory_List_Table341115[[#This Row],[Q]]&lt;0.1, " ",$A$1&amp;$D$1&amp;Inventory_List_Table341115[[#This Row],['#]]&amp;Inventory_List_Table341115[[#This Row],[LC]])</f>
        <v xml:space="preserve"> </v>
      </c>
      <c r="G67" s="85"/>
      <c r="H67" s="85"/>
      <c r="I67" s="85"/>
      <c r="J67" s="85"/>
      <c r="K67" s="85"/>
      <c r="L67" s="87"/>
      <c r="M67" s="539" t="str">
        <f>IF(Inventory_List_Table341115[[#This Row],[Q]]&lt;0.1, " ", Inventory_List_Table341115[[#This Row],[Q]]*Inventory_List_Table341115[[#This Row],[PRICE]])</f>
        <v xml:space="preserve"> </v>
      </c>
      <c r="N67" s="35" t="str">
        <f>IF(Inventory_List_Table341115[[#This Row],[Q]]&lt;0.1, " ", Inventory_List_Table341115[[#This Row],[KG]]*2.20462)</f>
        <v xml:space="preserve"> </v>
      </c>
      <c r="O67" s="35" t="str">
        <f>IF(Inventory_List_Table341115[[#This Row],[Q]]&lt;0.1, " ",Inventory_List_Table341115[[#This Row],[H CM]]/2.54)</f>
        <v xml:space="preserve"> </v>
      </c>
      <c r="P67" s="35" t="str">
        <f>IF(Inventory_List_Table341115[[#This Row],[Q]]&lt;0.1, " ",Inventory_List_Table341115[[#This Row],[W CM]]/2.54)</f>
        <v xml:space="preserve"> </v>
      </c>
      <c r="Q67" s="35" t="str">
        <f>IF(Inventory_List_Table341115[[#This Row],[Q]]&lt;0.1, " ",Inventory_List_Table341115[[#This Row],[D CM ]]/2.54)</f>
        <v xml:space="preserve"> </v>
      </c>
      <c r="R67" s="539" t="str">
        <f>IF(Inventory_List_Table341115[[#This Row],[Q]]&lt;0.1, " ",Inventory_List_Table341115[[#This Row],[PRICE]]/$L$1)</f>
        <v xml:space="preserve"> </v>
      </c>
      <c r="S6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7" s="539" t="str">
        <f>IF(Inventory_List_Table341115[[#This Row],[Q]]&lt;0.1, " ",Inventory_List_Table341115[[#This Row],[AQ RND USD]]*1.4)</f>
        <v xml:space="preserve"> </v>
      </c>
      <c r="U6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7" s="539" t="str">
        <f>IF(Inventory_List_Table341115[[#This Row],[Q]]&lt;0.1, " ",Inventory_List_Table341115[[#This Row],[LND RND USD]]*12)</f>
        <v xml:space="preserve"> </v>
      </c>
      <c r="W67" s="539" t="str">
        <f>IF(Inventory_List_Table341115[[#This Row],[Q]]&lt;0.1, " ",Inventory_List_Table341115[[#This Row],[AQ USD]])</f>
        <v xml:space="preserve"> </v>
      </c>
      <c r="X6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7" s="539" t="str">
        <f>IF(Inventory_List_Table341115[[#This Row],[Q]]&lt;0.1, " ",Inventory_List_Table341115[[#This Row],[PRICE]]/Z67*10000)</f>
        <v xml:space="preserve"> </v>
      </c>
      <c r="AB67" s="27"/>
      <c r="AC67" s="1"/>
      <c r="AD67" s="1"/>
    </row>
    <row r="68" spans="1:30" ht="24" customHeight="1" x14ac:dyDescent="0.3">
      <c r="A68" s="84">
        <v>66</v>
      </c>
      <c r="B68" s="1"/>
      <c r="C68" s="557"/>
      <c r="D68" s="557"/>
      <c r="E68" s="557"/>
      <c r="F68" s="38" t="str">
        <f>IF(Inventory_List_Table341115[[#This Row],[Q]]&lt;0.1, " ",$A$1&amp;$D$1&amp;Inventory_List_Table341115[[#This Row],['#]]&amp;Inventory_List_Table341115[[#This Row],[LC]])</f>
        <v xml:space="preserve"> </v>
      </c>
      <c r="G68" s="85"/>
      <c r="H68" s="85"/>
      <c r="I68" s="85"/>
      <c r="J68" s="85"/>
      <c r="K68" s="85"/>
      <c r="L68" s="87"/>
      <c r="M68" s="539" t="str">
        <f>IF(Inventory_List_Table341115[[#This Row],[Q]]&lt;0.1, " ", Inventory_List_Table341115[[#This Row],[Q]]*Inventory_List_Table341115[[#This Row],[PRICE]])</f>
        <v xml:space="preserve"> </v>
      </c>
      <c r="N68" s="35" t="str">
        <f>IF(Inventory_List_Table341115[[#This Row],[Q]]&lt;0.1, " ", Inventory_List_Table341115[[#This Row],[KG]]*2.20462)</f>
        <v xml:space="preserve"> </v>
      </c>
      <c r="O68" s="35" t="str">
        <f>IF(Inventory_List_Table341115[[#This Row],[Q]]&lt;0.1, " ",Inventory_List_Table341115[[#This Row],[H CM]]/2.54)</f>
        <v xml:space="preserve"> </v>
      </c>
      <c r="P68" s="35" t="str">
        <f>IF(Inventory_List_Table341115[[#This Row],[Q]]&lt;0.1, " ",Inventory_List_Table341115[[#This Row],[W CM]]/2.54)</f>
        <v xml:space="preserve"> </v>
      </c>
      <c r="Q68" s="35" t="str">
        <f>IF(Inventory_List_Table341115[[#This Row],[Q]]&lt;0.1, " ",Inventory_List_Table341115[[#This Row],[D CM ]]/2.54)</f>
        <v xml:space="preserve"> </v>
      </c>
      <c r="R68" s="539" t="str">
        <f>IF(Inventory_List_Table341115[[#This Row],[Q]]&lt;0.1, " ",Inventory_List_Table341115[[#This Row],[PRICE]]/$L$1)</f>
        <v xml:space="preserve"> </v>
      </c>
      <c r="S6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8" s="539" t="str">
        <f>IF(Inventory_List_Table341115[[#This Row],[Q]]&lt;0.1, " ",Inventory_List_Table341115[[#This Row],[AQ RND USD]]*1.4)</f>
        <v xml:space="preserve"> </v>
      </c>
      <c r="U6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8" s="539" t="str">
        <f>IF(Inventory_List_Table341115[[#This Row],[Q]]&lt;0.1, " ",Inventory_List_Table341115[[#This Row],[LND RND USD]]*12)</f>
        <v xml:space="preserve"> </v>
      </c>
      <c r="W68" s="539" t="str">
        <f>IF(Inventory_List_Table341115[[#This Row],[Q]]&lt;0.1, " ",Inventory_List_Table341115[[#This Row],[AQ USD]])</f>
        <v xml:space="preserve"> </v>
      </c>
      <c r="X6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8" s="539" t="str">
        <f>IF(Inventory_List_Table341115[[#This Row],[Q]]&lt;0.1, " ",Inventory_List_Table341115[[#This Row],[PRICE]]/Z68*10000)</f>
        <v xml:space="preserve"> </v>
      </c>
      <c r="AB68" s="27"/>
      <c r="AC68" s="1"/>
      <c r="AD68" s="1"/>
    </row>
    <row r="69" spans="1:30" ht="24" customHeight="1" x14ac:dyDescent="0.3">
      <c r="A69" s="84">
        <v>67</v>
      </c>
      <c r="B69" s="1"/>
      <c r="C69" s="557"/>
      <c r="D69" s="557"/>
      <c r="E69" s="557"/>
      <c r="F69" s="38" t="str">
        <f>IF(Inventory_List_Table341115[[#This Row],[Q]]&lt;0.1, " ",$A$1&amp;$D$1&amp;Inventory_List_Table341115[[#This Row],['#]]&amp;Inventory_List_Table341115[[#This Row],[LC]])</f>
        <v xml:space="preserve"> </v>
      </c>
      <c r="G69" s="85"/>
      <c r="H69" s="85"/>
      <c r="I69" s="85"/>
      <c r="J69" s="85"/>
      <c r="K69" s="85"/>
      <c r="L69" s="87"/>
      <c r="M69" s="539" t="str">
        <f>IF(Inventory_List_Table341115[[#This Row],[Q]]&lt;0.1, " ", Inventory_List_Table341115[[#This Row],[Q]]*Inventory_List_Table341115[[#This Row],[PRICE]])</f>
        <v xml:space="preserve"> </v>
      </c>
      <c r="N69" s="35" t="str">
        <f>IF(Inventory_List_Table341115[[#This Row],[Q]]&lt;0.1, " ", Inventory_List_Table341115[[#This Row],[KG]]*2.20462)</f>
        <v xml:space="preserve"> </v>
      </c>
      <c r="O69" s="35" t="str">
        <f>IF(Inventory_List_Table341115[[#This Row],[Q]]&lt;0.1, " ",Inventory_List_Table341115[[#This Row],[H CM]]/2.54)</f>
        <v xml:space="preserve"> </v>
      </c>
      <c r="P69" s="35" t="str">
        <f>IF(Inventory_List_Table341115[[#This Row],[Q]]&lt;0.1, " ",Inventory_List_Table341115[[#This Row],[W CM]]/2.54)</f>
        <v xml:space="preserve"> </v>
      </c>
      <c r="Q69" s="35" t="str">
        <f>IF(Inventory_List_Table341115[[#This Row],[Q]]&lt;0.1, " ",Inventory_List_Table341115[[#This Row],[D CM ]]/2.54)</f>
        <v xml:space="preserve"> </v>
      </c>
      <c r="R69" s="539" t="str">
        <f>IF(Inventory_List_Table341115[[#This Row],[Q]]&lt;0.1, " ",Inventory_List_Table341115[[#This Row],[PRICE]]/$L$1)</f>
        <v xml:space="preserve"> </v>
      </c>
      <c r="S6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69" s="539" t="str">
        <f>IF(Inventory_List_Table341115[[#This Row],[Q]]&lt;0.1, " ",Inventory_List_Table341115[[#This Row],[AQ RND USD]]*1.4)</f>
        <v xml:space="preserve"> </v>
      </c>
      <c r="U6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69" s="539" t="str">
        <f>IF(Inventory_List_Table341115[[#This Row],[Q]]&lt;0.1, " ",Inventory_List_Table341115[[#This Row],[LND RND USD]]*12)</f>
        <v xml:space="preserve"> </v>
      </c>
      <c r="W69" s="539" t="str">
        <f>IF(Inventory_List_Table341115[[#This Row],[Q]]&lt;0.1, " ",Inventory_List_Table341115[[#This Row],[AQ USD]])</f>
        <v xml:space="preserve"> </v>
      </c>
      <c r="X6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6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6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69" s="539" t="str">
        <f>IF(Inventory_List_Table341115[[#This Row],[Q]]&lt;0.1, " ",Inventory_List_Table341115[[#This Row],[PRICE]]/Z69*10000)</f>
        <v xml:space="preserve"> </v>
      </c>
      <c r="AB69" s="27"/>
      <c r="AC69" s="1"/>
      <c r="AD69" s="1"/>
    </row>
    <row r="70" spans="1:30" ht="24" customHeight="1" x14ac:dyDescent="0.3">
      <c r="A70" s="84">
        <v>68</v>
      </c>
      <c r="B70" s="1"/>
      <c r="C70" s="557"/>
      <c r="D70" s="557"/>
      <c r="E70" s="557"/>
      <c r="F70" s="38" t="str">
        <f>IF(Inventory_List_Table341115[[#This Row],[Q]]&lt;0.1, " ",$A$1&amp;$D$1&amp;Inventory_List_Table341115[[#This Row],['#]]&amp;Inventory_List_Table341115[[#This Row],[LC]])</f>
        <v xml:space="preserve"> </v>
      </c>
      <c r="G70" s="85"/>
      <c r="H70" s="85"/>
      <c r="I70" s="85"/>
      <c r="J70" s="85"/>
      <c r="K70" s="85"/>
      <c r="L70" s="87"/>
      <c r="M70" s="539" t="str">
        <f>IF(Inventory_List_Table341115[[#This Row],[Q]]&lt;0.1, " ", Inventory_List_Table341115[[#This Row],[Q]]*Inventory_List_Table341115[[#This Row],[PRICE]])</f>
        <v xml:space="preserve"> </v>
      </c>
      <c r="N70" s="35" t="str">
        <f>IF(Inventory_List_Table341115[[#This Row],[Q]]&lt;0.1, " ", Inventory_List_Table341115[[#This Row],[KG]]*2.20462)</f>
        <v xml:space="preserve"> </v>
      </c>
      <c r="O70" s="35" t="str">
        <f>IF(Inventory_List_Table341115[[#This Row],[Q]]&lt;0.1, " ",Inventory_List_Table341115[[#This Row],[H CM]]/2.54)</f>
        <v xml:space="preserve"> </v>
      </c>
      <c r="P70" s="35" t="str">
        <f>IF(Inventory_List_Table341115[[#This Row],[Q]]&lt;0.1, " ",Inventory_List_Table341115[[#This Row],[W CM]]/2.54)</f>
        <v xml:space="preserve"> </v>
      </c>
      <c r="Q70" s="35" t="str">
        <f>IF(Inventory_List_Table341115[[#This Row],[Q]]&lt;0.1, " ",Inventory_List_Table341115[[#This Row],[D CM ]]/2.54)</f>
        <v xml:space="preserve"> </v>
      </c>
      <c r="R70" s="539" t="str">
        <f>IF(Inventory_List_Table341115[[#This Row],[Q]]&lt;0.1, " ",Inventory_List_Table341115[[#This Row],[PRICE]]/$L$1)</f>
        <v xml:space="preserve"> </v>
      </c>
      <c r="S7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0" s="539" t="str">
        <f>IF(Inventory_List_Table341115[[#This Row],[Q]]&lt;0.1, " ",Inventory_List_Table341115[[#This Row],[AQ RND USD]]*1.4)</f>
        <v xml:space="preserve"> </v>
      </c>
      <c r="U7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0" s="539" t="str">
        <f>IF(Inventory_List_Table341115[[#This Row],[Q]]&lt;0.1, " ",Inventory_List_Table341115[[#This Row],[LND RND USD]]*12)</f>
        <v xml:space="preserve"> </v>
      </c>
      <c r="W70" s="539" t="str">
        <f>IF(Inventory_List_Table341115[[#This Row],[Q]]&lt;0.1, " ",Inventory_List_Table341115[[#This Row],[AQ USD]])</f>
        <v xml:space="preserve"> </v>
      </c>
      <c r="X7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0" s="539" t="str">
        <f>IF(Inventory_List_Table341115[[#This Row],[Q]]&lt;0.1, " ",Inventory_List_Table341115[[#This Row],[PRICE]]/Z70*10000)</f>
        <v xml:space="preserve"> </v>
      </c>
      <c r="AB70" s="27"/>
      <c r="AC70" s="1"/>
      <c r="AD70" s="1"/>
    </row>
    <row r="71" spans="1:30" ht="24" customHeight="1" x14ac:dyDescent="0.3">
      <c r="A71" s="84">
        <v>69</v>
      </c>
      <c r="B71" s="1"/>
      <c r="C71" s="557"/>
      <c r="D71" s="557"/>
      <c r="E71" s="557"/>
      <c r="F71" s="38" t="str">
        <f>IF(Inventory_List_Table341115[[#This Row],[Q]]&lt;0.1, " ",$A$1&amp;$D$1&amp;Inventory_List_Table341115[[#This Row],['#]]&amp;Inventory_List_Table341115[[#This Row],[LC]])</f>
        <v xml:space="preserve"> </v>
      </c>
      <c r="G71" s="85"/>
      <c r="H71" s="85"/>
      <c r="I71" s="85"/>
      <c r="J71" s="85"/>
      <c r="K71" s="85"/>
      <c r="L71" s="87"/>
      <c r="M71" s="539" t="str">
        <f>IF(Inventory_List_Table341115[[#This Row],[Q]]&lt;0.1, " ", Inventory_List_Table341115[[#This Row],[Q]]*Inventory_List_Table341115[[#This Row],[PRICE]])</f>
        <v xml:space="preserve"> </v>
      </c>
      <c r="N71" s="35" t="str">
        <f>IF(Inventory_List_Table341115[[#This Row],[Q]]&lt;0.1, " ", Inventory_List_Table341115[[#This Row],[KG]]*2.20462)</f>
        <v xml:space="preserve"> </v>
      </c>
      <c r="O71" s="35" t="str">
        <f>IF(Inventory_List_Table341115[[#This Row],[Q]]&lt;0.1, " ",Inventory_List_Table341115[[#This Row],[H CM]]/2.54)</f>
        <v xml:space="preserve"> </v>
      </c>
      <c r="P71" s="35" t="str">
        <f>IF(Inventory_List_Table341115[[#This Row],[Q]]&lt;0.1, " ",Inventory_List_Table341115[[#This Row],[W CM]]/2.54)</f>
        <v xml:space="preserve"> </v>
      </c>
      <c r="Q71" s="35" t="str">
        <f>IF(Inventory_List_Table341115[[#This Row],[Q]]&lt;0.1, " ",Inventory_List_Table341115[[#This Row],[D CM ]]/2.54)</f>
        <v xml:space="preserve"> </v>
      </c>
      <c r="R71" s="539" t="str">
        <f>IF(Inventory_List_Table341115[[#This Row],[Q]]&lt;0.1, " ",Inventory_List_Table341115[[#This Row],[PRICE]]/$L$1)</f>
        <v xml:space="preserve"> </v>
      </c>
      <c r="S7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1" s="539" t="str">
        <f>IF(Inventory_List_Table341115[[#This Row],[Q]]&lt;0.1, " ",Inventory_List_Table341115[[#This Row],[AQ RND USD]]*1.4)</f>
        <v xml:space="preserve"> </v>
      </c>
      <c r="U7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1" s="539" t="str">
        <f>IF(Inventory_List_Table341115[[#This Row],[Q]]&lt;0.1, " ",Inventory_List_Table341115[[#This Row],[LND RND USD]]*12)</f>
        <v xml:space="preserve"> </v>
      </c>
      <c r="W71" s="539" t="str">
        <f>IF(Inventory_List_Table341115[[#This Row],[Q]]&lt;0.1, " ",Inventory_List_Table341115[[#This Row],[AQ USD]])</f>
        <v xml:space="preserve"> </v>
      </c>
      <c r="X7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1" s="539" t="str">
        <f>IF(Inventory_List_Table341115[[#This Row],[Q]]&lt;0.1, " ",Inventory_List_Table341115[[#This Row],[PRICE]]/Z71*10000)</f>
        <v xml:space="preserve"> </v>
      </c>
      <c r="AB71" s="27"/>
      <c r="AC71" s="1"/>
      <c r="AD71" s="1"/>
    </row>
    <row r="72" spans="1:30" ht="24" customHeight="1" x14ac:dyDescent="0.3">
      <c r="A72" s="84">
        <v>70</v>
      </c>
      <c r="B72" s="1"/>
      <c r="C72" s="557"/>
      <c r="D72" s="557"/>
      <c r="E72" s="557"/>
      <c r="F72" s="38" t="str">
        <f>IF(Inventory_List_Table341115[[#This Row],[Q]]&lt;0.1, " ",$A$1&amp;$D$1&amp;Inventory_List_Table341115[[#This Row],['#]]&amp;Inventory_List_Table341115[[#This Row],[LC]])</f>
        <v xml:space="preserve"> </v>
      </c>
      <c r="G72" s="85"/>
      <c r="H72" s="85"/>
      <c r="I72" s="85"/>
      <c r="J72" s="85"/>
      <c r="K72" s="85"/>
      <c r="L72" s="87"/>
      <c r="M72" s="539" t="str">
        <f>IF(Inventory_List_Table341115[[#This Row],[Q]]&lt;0.1, " ", Inventory_List_Table341115[[#This Row],[Q]]*Inventory_List_Table341115[[#This Row],[PRICE]])</f>
        <v xml:space="preserve"> </v>
      </c>
      <c r="N72" s="35" t="str">
        <f>IF(Inventory_List_Table341115[[#This Row],[Q]]&lt;0.1, " ", Inventory_List_Table341115[[#This Row],[KG]]*2.20462)</f>
        <v xml:space="preserve"> </v>
      </c>
      <c r="O72" s="35" t="str">
        <f>IF(Inventory_List_Table341115[[#This Row],[Q]]&lt;0.1, " ",Inventory_List_Table341115[[#This Row],[H CM]]/2.54)</f>
        <v xml:space="preserve"> </v>
      </c>
      <c r="P72" s="35" t="str">
        <f>IF(Inventory_List_Table341115[[#This Row],[Q]]&lt;0.1, " ",Inventory_List_Table341115[[#This Row],[W CM]]/2.54)</f>
        <v xml:space="preserve"> </v>
      </c>
      <c r="Q72" s="35" t="str">
        <f>IF(Inventory_List_Table341115[[#This Row],[Q]]&lt;0.1, " ",Inventory_List_Table341115[[#This Row],[D CM ]]/2.54)</f>
        <v xml:space="preserve"> </v>
      </c>
      <c r="R72" s="539" t="str">
        <f>IF(Inventory_List_Table341115[[#This Row],[Q]]&lt;0.1, " ",Inventory_List_Table341115[[#This Row],[PRICE]]/$L$1)</f>
        <v xml:space="preserve"> </v>
      </c>
      <c r="S7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2" s="539" t="str">
        <f>IF(Inventory_List_Table341115[[#This Row],[Q]]&lt;0.1, " ",Inventory_List_Table341115[[#This Row],[AQ RND USD]]*1.4)</f>
        <v xml:space="preserve"> </v>
      </c>
      <c r="U7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2" s="539" t="str">
        <f>IF(Inventory_List_Table341115[[#This Row],[Q]]&lt;0.1, " ",Inventory_List_Table341115[[#This Row],[LND RND USD]]*12)</f>
        <v xml:space="preserve"> </v>
      </c>
      <c r="W72" s="539" t="str">
        <f>IF(Inventory_List_Table341115[[#This Row],[Q]]&lt;0.1, " ",Inventory_List_Table341115[[#This Row],[AQ USD]])</f>
        <v xml:space="preserve"> </v>
      </c>
      <c r="X7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2" s="539" t="str">
        <f>IF(Inventory_List_Table341115[[#This Row],[Q]]&lt;0.1, " ",Inventory_List_Table341115[[#This Row],[PRICE]]/Z72*10000)</f>
        <v xml:space="preserve"> </v>
      </c>
      <c r="AB72" s="27"/>
      <c r="AC72" s="1"/>
      <c r="AD72" s="1"/>
    </row>
    <row r="73" spans="1:30" ht="24" customHeight="1" x14ac:dyDescent="0.3">
      <c r="A73" s="84">
        <v>71</v>
      </c>
      <c r="B73" s="1"/>
      <c r="C73" s="557"/>
      <c r="D73" s="557"/>
      <c r="E73" s="557"/>
      <c r="F73" s="38" t="str">
        <f>IF(Inventory_List_Table341115[[#This Row],[Q]]&lt;0.1, " ",$A$1&amp;$D$1&amp;Inventory_List_Table341115[[#This Row],['#]]&amp;Inventory_List_Table341115[[#This Row],[LC]])</f>
        <v xml:space="preserve"> </v>
      </c>
      <c r="G73" s="85"/>
      <c r="H73" s="85"/>
      <c r="I73" s="85"/>
      <c r="J73" s="85"/>
      <c r="K73" s="85"/>
      <c r="L73" s="87"/>
      <c r="M73" s="539" t="str">
        <f>IF(Inventory_List_Table341115[[#This Row],[Q]]&lt;0.1, " ", Inventory_List_Table341115[[#This Row],[Q]]*Inventory_List_Table341115[[#This Row],[PRICE]])</f>
        <v xml:space="preserve"> </v>
      </c>
      <c r="N73" s="35" t="str">
        <f>IF(Inventory_List_Table341115[[#This Row],[Q]]&lt;0.1, " ", Inventory_List_Table341115[[#This Row],[KG]]*2.20462)</f>
        <v xml:space="preserve"> </v>
      </c>
      <c r="O73" s="35" t="str">
        <f>IF(Inventory_List_Table341115[[#This Row],[Q]]&lt;0.1, " ",Inventory_List_Table341115[[#This Row],[H CM]]/2.54)</f>
        <v xml:space="preserve"> </v>
      </c>
      <c r="P73" s="35" t="str">
        <f>IF(Inventory_List_Table341115[[#This Row],[Q]]&lt;0.1, " ",Inventory_List_Table341115[[#This Row],[W CM]]/2.54)</f>
        <v xml:space="preserve"> </v>
      </c>
      <c r="Q73" s="35" t="str">
        <f>IF(Inventory_List_Table341115[[#This Row],[Q]]&lt;0.1, " ",Inventory_List_Table341115[[#This Row],[D CM ]]/2.54)</f>
        <v xml:space="preserve"> </v>
      </c>
      <c r="R73" s="539" t="str">
        <f>IF(Inventory_List_Table341115[[#This Row],[Q]]&lt;0.1, " ",Inventory_List_Table341115[[#This Row],[PRICE]]/$L$1)</f>
        <v xml:space="preserve"> </v>
      </c>
      <c r="S7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3" s="539" t="str">
        <f>IF(Inventory_List_Table341115[[#This Row],[Q]]&lt;0.1, " ",Inventory_List_Table341115[[#This Row],[AQ RND USD]]*1.4)</f>
        <v xml:space="preserve"> </v>
      </c>
      <c r="U7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3" s="539" t="str">
        <f>IF(Inventory_List_Table341115[[#This Row],[Q]]&lt;0.1, " ",Inventory_List_Table341115[[#This Row],[LND RND USD]]*12)</f>
        <v xml:space="preserve"> </v>
      </c>
      <c r="W73" s="539" t="str">
        <f>IF(Inventory_List_Table341115[[#This Row],[Q]]&lt;0.1, " ",Inventory_List_Table341115[[#This Row],[AQ USD]])</f>
        <v xml:space="preserve"> </v>
      </c>
      <c r="X7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3" s="539" t="str">
        <f>IF(Inventory_List_Table341115[[#This Row],[Q]]&lt;0.1, " ",Inventory_List_Table341115[[#This Row],[PRICE]]/Z73*10000)</f>
        <v xml:space="preserve"> </v>
      </c>
      <c r="AB73" s="27"/>
      <c r="AC73" s="1"/>
      <c r="AD73" s="1"/>
    </row>
    <row r="74" spans="1:30" ht="24" customHeight="1" x14ac:dyDescent="0.3">
      <c r="A74" s="84">
        <v>72</v>
      </c>
      <c r="B74" s="1"/>
      <c r="C74" s="557"/>
      <c r="D74" s="557"/>
      <c r="E74" s="557"/>
      <c r="F74" s="38" t="str">
        <f>IF(Inventory_List_Table341115[[#This Row],[Q]]&lt;0.1, " ",$A$1&amp;$D$1&amp;Inventory_List_Table341115[[#This Row],['#]]&amp;Inventory_List_Table341115[[#This Row],[LC]])</f>
        <v xml:space="preserve"> </v>
      </c>
      <c r="G74" s="85"/>
      <c r="H74" s="85"/>
      <c r="I74" s="85"/>
      <c r="J74" s="85"/>
      <c r="K74" s="85"/>
      <c r="L74" s="87"/>
      <c r="M74" s="539" t="str">
        <f>IF(Inventory_List_Table341115[[#This Row],[Q]]&lt;0.1, " ", Inventory_List_Table341115[[#This Row],[Q]]*Inventory_List_Table341115[[#This Row],[PRICE]])</f>
        <v xml:space="preserve"> </v>
      </c>
      <c r="N74" s="35" t="str">
        <f>IF(Inventory_List_Table341115[[#This Row],[Q]]&lt;0.1, " ", Inventory_List_Table341115[[#This Row],[KG]]*2.20462)</f>
        <v xml:space="preserve"> </v>
      </c>
      <c r="O74" s="35" t="str">
        <f>IF(Inventory_List_Table341115[[#This Row],[Q]]&lt;0.1, " ",Inventory_List_Table341115[[#This Row],[H CM]]/2.54)</f>
        <v xml:space="preserve"> </v>
      </c>
      <c r="P74" s="35" t="str">
        <f>IF(Inventory_List_Table341115[[#This Row],[Q]]&lt;0.1, " ",Inventory_List_Table341115[[#This Row],[W CM]]/2.54)</f>
        <v xml:space="preserve"> </v>
      </c>
      <c r="Q74" s="35" t="str">
        <f>IF(Inventory_List_Table341115[[#This Row],[Q]]&lt;0.1, " ",Inventory_List_Table341115[[#This Row],[D CM ]]/2.54)</f>
        <v xml:space="preserve"> </v>
      </c>
      <c r="R74" s="539" t="str">
        <f>IF(Inventory_List_Table341115[[#This Row],[Q]]&lt;0.1, " ",Inventory_List_Table341115[[#This Row],[PRICE]]/$L$1)</f>
        <v xml:space="preserve"> </v>
      </c>
      <c r="S7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4" s="539" t="str">
        <f>IF(Inventory_List_Table341115[[#This Row],[Q]]&lt;0.1, " ",Inventory_List_Table341115[[#This Row],[AQ RND USD]]*1.4)</f>
        <v xml:space="preserve"> </v>
      </c>
      <c r="U7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4" s="539" t="str">
        <f>IF(Inventory_List_Table341115[[#This Row],[Q]]&lt;0.1, " ",Inventory_List_Table341115[[#This Row],[LND RND USD]]*12)</f>
        <v xml:space="preserve"> </v>
      </c>
      <c r="W74" s="539" t="str">
        <f>IF(Inventory_List_Table341115[[#This Row],[Q]]&lt;0.1, " ",Inventory_List_Table341115[[#This Row],[AQ USD]])</f>
        <v xml:space="preserve"> </v>
      </c>
      <c r="X7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4" s="539" t="str">
        <f>IF(Inventory_List_Table341115[[#This Row],[Q]]&lt;0.1, " ",Inventory_List_Table341115[[#This Row],[PRICE]]/Z74*10000)</f>
        <v xml:space="preserve"> </v>
      </c>
      <c r="AB74" s="27"/>
      <c r="AC74" s="1"/>
      <c r="AD74" s="1"/>
    </row>
    <row r="75" spans="1:30" ht="24" customHeight="1" x14ac:dyDescent="0.3">
      <c r="A75" s="84">
        <v>73</v>
      </c>
      <c r="B75" s="1"/>
      <c r="C75" s="557"/>
      <c r="D75" s="557"/>
      <c r="E75" s="557"/>
      <c r="F75" s="38" t="str">
        <f>IF(Inventory_List_Table341115[[#This Row],[Q]]&lt;0.1, " ",$A$1&amp;$D$1&amp;Inventory_List_Table341115[[#This Row],['#]]&amp;Inventory_List_Table341115[[#This Row],[LC]])</f>
        <v xml:space="preserve"> </v>
      </c>
      <c r="G75" s="85"/>
      <c r="H75" s="85"/>
      <c r="I75" s="85"/>
      <c r="J75" s="85"/>
      <c r="K75" s="85"/>
      <c r="L75" s="87"/>
      <c r="M75" s="539" t="str">
        <f>IF(Inventory_List_Table341115[[#This Row],[Q]]&lt;0.1, " ", Inventory_List_Table341115[[#This Row],[Q]]*Inventory_List_Table341115[[#This Row],[PRICE]])</f>
        <v xml:space="preserve"> </v>
      </c>
      <c r="N75" s="35" t="str">
        <f>IF(Inventory_List_Table341115[[#This Row],[Q]]&lt;0.1, " ", Inventory_List_Table341115[[#This Row],[KG]]*2.20462)</f>
        <v xml:space="preserve"> </v>
      </c>
      <c r="O75" s="35" t="str">
        <f>IF(Inventory_List_Table341115[[#This Row],[Q]]&lt;0.1, " ",Inventory_List_Table341115[[#This Row],[H CM]]/2.54)</f>
        <v xml:space="preserve"> </v>
      </c>
      <c r="P75" s="35" t="str">
        <f>IF(Inventory_List_Table341115[[#This Row],[Q]]&lt;0.1, " ",Inventory_List_Table341115[[#This Row],[W CM]]/2.54)</f>
        <v xml:space="preserve"> </v>
      </c>
      <c r="Q75" s="35" t="str">
        <f>IF(Inventory_List_Table341115[[#This Row],[Q]]&lt;0.1, " ",Inventory_List_Table341115[[#This Row],[D CM ]]/2.54)</f>
        <v xml:space="preserve"> </v>
      </c>
      <c r="R75" s="539" t="str">
        <f>IF(Inventory_List_Table341115[[#This Row],[Q]]&lt;0.1, " ",Inventory_List_Table341115[[#This Row],[PRICE]]/$L$1)</f>
        <v xml:space="preserve"> </v>
      </c>
      <c r="S7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5" s="539" t="str">
        <f>IF(Inventory_List_Table341115[[#This Row],[Q]]&lt;0.1, " ",Inventory_List_Table341115[[#This Row],[AQ RND USD]]*1.4)</f>
        <v xml:space="preserve"> </v>
      </c>
      <c r="U7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5" s="539" t="str">
        <f>IF(Inventory_List_Table341115[[#This Row],[Q]]&lt;0.1, " ",Inventory_List_Table341115[[#This Row],[LND RND USD]]*12)</f>
        <v xml:space="preserve"> </v>
      </c>
      <c r="W75" s="539" t="str">
        <f>IF(Inventory_List_Table341115[[#This Row],[Q]]&lt;0.1, " ",Inventory_List_Table341115[[#This Row],[AQ USD]])</f>
        <v xml:space="preserve"> </v>
      </c>
      <c r="X7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5" s="539" t="str">
        <f>IF(Inventory_List_Table341115[[#This Row],[Q]]&lt;0.1, " ",Inventory_List_Table341115[[#This Row],[PRICE]]/Z75*10000)</f>
        <v xml:space="preserve"> </v>
      </c>
      <c r="AB75" s="27"/>
      <c r="AC75" s="1"/>
      <c r="AD75" s="1"/>
    </row>
    <row r="76" spans="1:30" ht="24" customHeight="1" x14ac:dyDescent="0.3">
      <c r="A76" s="84">
        <v>74</v>
      </c>
      <c r="B76" s="1"/>
      <c r="C76" s="557"/>
      <c r="D76" s="557"/>
      <c r="E76" s="557"/>
      <c r="F76" s="38" t="str">
        <f>IF(Inventory_List_Table341115[[#This Row],[Q]]&lt;0.1, " ",$A$1&amp;$D$1&amp;Inventory_List_Table341115[[#This Row],['#]]&amp;Inventory_List_Table341115[[#This Row],[LC]])</f>
        <v xml:space="preserve"> </v>
      </c>
      <c r="G76" s="85"/>
      <c r="H76" s="85"/>
      <c r="I76" s="85"/>
      <c r="J76" s="85"/>
      <c r="K76" s="85"/>
      <c r="L76" s="87"/>
      <c r="M76" s="539" t="str">
        <f>IF(Inventory_List_Table341115[[#This Row],[Q]]&lt;0.1, " ", Inventory_List_Table341115[[#This Row],[Q]]*Inventory_List_Table341115[[#This Row],[PRICE]])</f>
        <v xml:space="preserve"> </v>
      </c>
      <c r="N76" s="35" t="str">
        <f>IF(Inventory_List_Table341115[[#This Row],[Q]]&lt;0.1, " ", Inventory_List_Table341115[[#This Row],[KG]]*2.20462)</f>
        <v xml:space="preserve"> </v>
      </c>
      <c r="O76" s="35" t="str">
        <f>IF(Inventory_List_Table341115[[#This Row],[Q]]&lt;0.1, " ",Inventory_List_Table341115[[#This Row],[H CM]]/2.54)</f>
        <v xml:space="preserve"> </v>
      </c>
      <c r="P76" s="35" t="str">
        <f>IF(Inventory_List_Table341115[[#This Row],[Q]]&lt;0.1, " ",Inventory_List_Table341115[[#This Row],[W CM]]/2.54)</f>
        <v xml:space="preserve"> </v>
      </c>
      <c r="Q76" s="35" t="str">
        <f>IF(Inventory_List_Table341115[[#This Row],[Q]]&lt;0.1, " ",Inventory_List_Table341115[[#This Row],[D CM ]]/2.54)</f>
        <v xml:space="preserve"> </v>
      </c>
      <c r="R76" s="539" t="str">
        <f>IF(Inventory_List_Table341115[[#This Row],[Q]]&lt;0.1, " ",Inventory_List_Table341115[[#This Row],[PRICE]]/$L$1)</f>
        <v xml:space="preserve"> </v>
      </c>
      <c r="S7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6" s="539" t="str">
        <f>IF(Inventory_List_Table341115[[#This Row],[Q]]&lt;0.1, " ",Inventory_List_Table341115[[#This Row],[AQ RND USD]]*1.4)</f>
        <v xml:space="preserve"> </v>
      </c>
      <c r="U7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6" s="539" t="str">
        <f>IF(Inventory_List_Table341115[[#This Row],[Q]]&lt;0.1, " ",Inventory_List_Table341115[[#This Row],[LND RND USD]]*12)</f>
        <v xml:space="preserve"> </v>
      </c>
      <c r="W76" s="539" t="str">
        <f>IF(Inventory_List_Table341115[[#This Row],[Q]]&lt;0.1, " ",Inventory_List_Table341115[[#This Row],[AQ USD]])</f>
        <v xml:space="preserve"> </v>
      </c>
      <c r="X7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6" s="539" t="str">
        <f>IF(Inventory_List_Table341115[[#This Row],[Q]]&lt;0.1, " ",Inventory_List_Table341115[[#This Row],[PRICE]]/Z76*10000)</f>
        <v xml:space="preserve"> </v>
      </c>
      <c r="AB76" s="27"/>
      <c r="AC76" s="1"/>
      <c r="AD76" s="1"/>
    </row>
    <row r="77" spans="1:30" ht="24" customHeight="1" x14ac:dyDescent="0.3">
      <c r="A77" s="84">
        <v>75</v>
      </c>
      <c r="B77" s="1"/>
      <c r="C77" s="557"/>
      <c r="D77" s="557"/>
      <c r="E77" s="557"/>
      <c r="F77" s="38" t="str">
        <f>IF(Inventory_List_Table341115[[#This Row],[Q]]&lt;0.1, " ",$A$1&amp;$D$1&amp;Inventory_List_Table341115[[#This Row],['#]]&amp;Inventory_List_Table341115[[#This Row],[LC]])</f>
        <v xml:space="preserve"> </v>
      </c>
      <c r="G77" s="85"/>
      <c r="H77" s="85"/>
      <c r="I77" s="85"/>
      <c r="J77" s="85"/>
      <c r="K77" s="85"/>
      <c r="L77" s="87"/>
      <c r="M77" s="539" t="str">
        <f>IF(Inventory_List_Table341115[[#This Row],[Q]]&lt;0.1, " ", Inventory_List_Table341115[[#This Row],[Q]]*Inventory_List_Table341115[[#This Row],[PRICE]])</f>
        <v xml:space="preserve"> </v>
      </c>
      <c r="N77" s="35" t="str">
        <f>IF(Inventory_List_Table341115[[#This Row],[Q]]&lt;0.1, " ", Inventory_List_Table341115[[#This Row],[KG]]*2.20462)</f>
        <v xml:space="preserve"> </v>
      </c>
      <c r="O77" s="35" t="str">
        <f>IF(Inventory_List_Table341115[[#This Row],[Q]]&lt;0.1, " ",Inventory_List_Table341115[[#This Row],[H CM]]/2.54)</f>
        <v xml:space="preserve"> </v>
      </c>
      <c r="P77" s="35" t="str">
        <f>IF(Inventory_List_Table341115[[#This Row],[Q]]&lt;0.1, " ",Inventory_List_Table341115[[#This Row],[W CM]]/2.54)</f>
        <v xml:space="preserve"> </v>
      </c>
      <c r="Q77" s="35" t="str">
        <f>IF(Inventory_List_Table341115[[#This Row],[Q]]&lt;0.1, " ",Inventory_List_Table341115[[#This Row],[D CM ]]/2.54)</f>
        <v xml:space="preserve"> </v>
      </c>
      <c r="R77" s="539" t="str">
        <f>IF(Inventory_List_Table341115[[#This Row],[Q]]&lt;0.1, " ",Inventory_List_Table341115[[#This Row],[PRICE]]/$L$1)</f>
        <v xml:space="preserve"> </v>
      </c>
      <c r="S7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7" s="539" t="str">
        <f>IF(Inventory_List_Table341115[[#This Row],[Q]]&lt;0.1, " ",Inventory_List_Table341115[[#This Row],[AQ RND USD]]*1.4)</f>
        <v xml:space="preserve"> </v>
      </c>
      <c r="U7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7" s="539" t="str">
        <f>IF(Inventory_List_Table341115[[#This Row],[Q]]&lt;0.1, " ",Inventory_List_Table341115[[#This Row],[LND RND USD]]*12)</f>
        <v xml:space="preserve"> </v>
      </c>
      <c r="W77" s="539" t="str">
        <f>IF(Inventory_List_Table341115[[#This Row],[Q]]&lt;0.1, " ",Inventory_List_Table341115[[#This Row],[AQ USD]])</f>
        <v xml:space="preserve"> </v>
      </c>
      <c r="X7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7" s="539" t="str">
        <f>IF(Inventory_List_Table341115[[#This Row],[Q]]&lt;0.1, " ",Inventory_List_Table341115[[#This Row],[PRICE]]/Z77*10000)</f>
        <v xml:space="preserve"> </v>
      </c>
      <c r="AB77" s="27"/>
      <c r="AC77" s="1"/>
      <c r="AD77" s="1"/>
    </row>
    <row r="78" spans="1:30" ht="24" customHeight="1" x14ac:dyDescent="0.3">
      <c r="A78" s="84">
        <v>76</v>
      </c>
      <c r="B78" s="1"/>
      <c r="C78" s="557"/>
      <c r="D78" s="557"/>
      <c r="E78" s="557"/>
      <c r="F78" s="38" t="str">
        <f>IF(Inventory_List_Table341115[[#This Row],[Q]]&lt;0.1, " ",$A$1&amp;$D$1&amp;Inventory_List_Table341115[[#This Row],['#]]&amp;Inventory_List_Table341115[[#This Row],[LC]])</f>
        <v xml:space="preserve"> </v>
      </c>
      <c r="G78" s="85"/>
      <c r="H78" s="85"/>
      <c r="I78" s="85"/>
      <c r="J78" s="85"/>
      <c r="K78" s="85"/>
      <c r="L78" s="87"/>
      <c r="M78" s="539" t="str">
        <f>IF(Inventory_List_Table341115[[#This Row],[Q]]&lt;0.1, " ", Inventory_List_Table341115[[#This Row],[Q]]*Inventory_List_Table341115[[#This Row],[PRICE]])</f>
        <v xml:space="preserve"> </v>
      </c>
      <c r="N78" s="35" t="str">
        <f>IF(Inventory_List_Table341115[[#This Row],[Q]]&lt;0.1, " ", Inventory_List_Table341115[[#This Row],[KG]]*2.20462)</f>
        <v xml:space="preserve"> </v>
      </c>
      <c r="O78" s="35" t="str">
        <f>IF(Inventory_List_Table341115[[#This Row],[Q]]&lt;0.1, " ",Inventory_List_Table341115[[#This Row],[H CM]]/2.54)</f>
        <v xml:space="preserve"> </v>
      </c>
      <c r="P78" s="35" t="str">
        <f>IF(Inventory_List_Table341115[[#This Row],[Q]]&lt;0.1, " ",Inventory_List_Table341115[[#This Row],[W CM]]/2.54)</f>
        <v xml:space="preserve"> </v>
      </c>
      <c r="Q78" s="35" t="str">
        <f>IF(Inventory_List_Table341115[[#This Row],[Q]]&lt;0.1, " ",Inventory_List_Table341115[[#This Row],[D CM ]]/2.54)</f>
        <v xml:space="preserve"> </v>
      </c>
      <c r="R78" s="539" t="str">
        <f>IF(Inventory_List_Table341115[[#This Row],[Q]]&lt;0.1, " ",Inventory_List_Table341115[[#This Row],[PRICE]]/$L$1)</f>
        <v xml:space="preserve"> </v>
      </c>
      <c r="S7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8" s="539" t="str">
        <f>IF(Inventory_List_Table341115[[#This Row],[Q]]&lt;0.1, " ",Inventory_List_Table341115[[#This Row],[AQ RND USD]]*1.4)</f>
        <v xml:space="preserve"> </v>
      </c>
      <c r="U7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8" s="539" t="str">
        <f>IF(Inventory_List_Table341115[[#This Row],[Q]]&lt;0.1, " ",Inventory_List_Table341115[[#This Row],[LND RND USD]]*12)</f>
        <v xml:space="preserve"> </v>
      </c>
      <c r="W78" s="539" t="str">
        <f>IF(Inventory_List_Table341115[[#This Row],[Q]]&lt;0.1, " ",Inventory_List_Table341115[[#This Row],[AQ USD]])</f>
        <v xml:space="preserve"> </v>
      </c>
      <c r="X7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8" s="539" t="str">
        <f>IF(Inventory_List_Table341115[[#This Row],[Q]]&lt;0.1, " ",Inventory_List_Table341115[[#This Row],[PRICE]]/Z78*10000)</f>
        <v xml:space="preserve"> </v>
      </c>
      <c r="AB78" s="27"/>
      <c r="AC78" s="1"/>
      <c r="AD78" s="1"/>
    </row>
    <row r="79" spans="1:30" ht="24" customHeight="1" x14ac:dyDescent="0.3">
      <c r="A79" s="84">
        <v>77</v>
      </c>
      <c r="B79" s="1"/>
      <c r="C79" s="557"/>
      <c r="D79" s="557"/>
      <c r="E79" s="557"/>
      <c r="F79" s="38" t="str">
        <f>IF(Inventory_List_Table341115[[#This Row],[Q]]&lt;0.1, " ",$A$1&amp;$D$1&amp;Inventory_List_Table341115[[#This Row],['#]]&amp;Inventory_List_Table341115[[#This Row],[LC]])</f>
        <v xml:space="preserve"> </v>
      </c>
      <c r="G79" s="85"/>
      <c r="H79" s="85"/>
      <c r="I79" s="85"/>
      <c r="J79" s="85"/>
      <c r="K79" s="85"/>
      <c r="L79" s="87"/>
      <c r="M79" s="539" t="str">
        <f>IF(Inventory_List_Table341115[[#This Row],[Q]]&lt;0.1, " ", Inventory_List_Table341115[[#This Row],[Q]]*Inventory_List_Table341115[[#This Row],[PRICE]])</f>
        <v xml:space="preserve"> </v>
      </c>
      <c r="N79" s="35" t="str">
        <f>IF(Inventory_List_Table341115[[#This Row],[Q]]&lt;0.1, " ", Inventory_List_Table341115[[#This Row],[KG]]*2.20462)</f>
        <v xml:space="preserve"> </v>
      </c>
      <c r="O79" s="35" t="str">
        <f>IF(Inventory_List_Table341115[[#This Row],[Q]]&lt;0.1, " ",Inventory_List_Table341115[[#This Row],[H CM]]/2.54)</f>
        <v xml:space="preserve"> </v>
      </c>
      <c r="P79" s="35" t="str">
        <f>IF(Inventory_List_Table341115[[#This Row],[Q]]&lt;0.1, " ",Inventory_List_Table341115[[#This Row],[W CM]]/2.54)</f>
        <v xml:space="preserve"> </v>
      </c>
      <c r="Q79" s="35" t="str">
        <f>IF(Inventory_List_Table341115[[#This Row],[Q]]&lt;0.1, " ",Inventory_List_Table341115[[#This Row],[D CM ]]/2.54)</f>
        <v xml:space="preserve"> </v>
      </c>
      <c r="R79" s="539" t="str">
        <f>IF(Inventory_List_Table341115[[#This Row],[Q]]&lt;0.1, " ",Inventory_List_Table341115[[#This Row],[PRICE]]/$L$1)</f>
        <v xml:space="preserve"> </v>
      </c>
      <c r="S7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79" s="539" t="str">
        <f>IF(Inventory_List_Table341115[[#This Row],[Q]]&lt;0.1, " ",Inventory_List_Table341115[[#This Row],[AQ RND USD]]*1.4)</f>
        <v xml:space="preserve"> </v>
      </c>
      <c r="U7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79" s="539" t="str">
        <f>IF(Inventory_List_Table341115[[#This Row],[Q]]&lt;0.1, " ",Inventory_List_Table341115[[#This Row],[LND RND USD]]*12)</f>
        <v xml:space="preserve"> </v>
      </c>
      <c r="W79" s="539" t="str">
        <f>IF(Inventory_List_Table341115[[#This Row],[Q]]&lt;0.1, " ",Inventory_List_Table341115[[#This Row],[AQ USD]])</f>
        <v xml:space="preserve"> </v>
      </c>
      <c r="X7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7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7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79" s="539" t="str">
        <f>IF(Inventory_List_Table341115[[#This Row],[Q]]&lt;0.1, " ",Inventory_List_Table341115[[#This Row],[PRICE]]/Z79*10000)</f>
        <v xml:space="preserve"> </v>
      </c>
      <c r="AB79" s="27"/>
      <c r="AC79" s="1"/>
      <c r="AD79" s="1"/>
    </row>
    <row r="80" spans="1:30" ht="24" customHeight="1" x14ac:dyDescent="0.3">
      <c r="A80" s="84">
        <v>78</v>
      </c>
      <c r="B80" s="1"/>
      <c r="C80" s="557"/>
      <c r="D80" s="557"/>
      <c r="E80" s="557"/>
      <c r="F80" s="38" t="str">
        <f>IF(Inventory_List_Table341115[[#This Row],[Q]]&lt;0.1, " ",$A$1&amp;$D$1&amp;Inventory_List_Table341115[[#This Row],['#]]&amp;Inventory_List_Table341115[[#This Row],[LC]])</f>
        <v xml:space="preserve"> </v>
      </c>
      <c r="G80" s="85"/>
      <c r="H80" s="85"/>
      <c r="I80" s="85"/>
      <c r="J80" s="85"/>
      <c r="K80" s="85"/>
      <c r="L80" s="87"/>
      <c r="M80" s="539" t="str">
        <f>IF(Inventory_List_Table341115[[#This Row],[Q]]&lt;0.1, " ", Inventory_List_Table341115[[#This Row],[Q]]*Inventory_List_Table341115[[#This Row],[PRICE]])</f>
        <v xml:space="preserve"> </v>
      </c>
      <c r="N80" s="35" t="str">
        <f>IF(Inventory_List_Table341115[[#This Row],[Q]]&lt;0.1, " ", Inventory_List_Table341115[[#This Row],[KG]]*2.20462)</f>
        <v xml:space="preserve"> </v>
      </c>
      <c r="O80" s="35" t="str">
        <f>IF(Inventory_List_Table341115[[#This Row],[Q]]&lt;0.1, " ",Inventory_List_Table341115[[#This Row],[H CM]]/2.54)</f>
        <v xml:space="preserve"> </v>
      </c>
      <c r="P80" s="35" t="str">
        <f>IF(Inventory_List_Table341115[[#This Row],[Q]]&lt;0.1, " ",Inventory_List_Table341115[[#This Row],[W CM]]/2.54)</f>
        <v xml:space="preserve"> </v>
      </c>
      <c r="Q80" s="35" t="str">
        <f>IF(Inventory_List_Table341115[[#This Row],[Q]]&lt;0.1, " ",Inventory_List_Table341115[[#This Row],[D CM ]]/2.54)</f>
        <v xml:space="preserve"> </v>
      </c>
      <c r="R80" s="539" t="str">
        <f>IF(Inventory_List_Table341115[[#This Row],[Q]]&lt;0.1, " ",Inventory_List_Table341115[[#This Row],[PRICE]]/$L$1)</f>
        <v xml:space="preserve"> </v>
      </c>
      <c r="S8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0" s="539" t="str">
        <f>IF(Inventory_List_Table341115[[#This Row],[Q]]&lt;0.1, " ",Inventory_List_Table341115[[#This Row],[AQ RND USD]]*1.4)</f>
        <v xml:space="preserve"> </v>
      </c>
      <c r="U8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0" s="539" t="str">
        <f>IF(Inventory_List_Table341115[[#This Row],[Q]]&lt;0.1, " ",Inventory_List_Table341115[[#This Row],[LND RND USD]]*12)</f>
        <v xml:space="preserve"> </v>
      </c>
      <c r="W80" s="539" t="str">
        <f>IF(Inventory_List_Table341115[[#This Row],[Q]]&lt;0.1, " ",Inventory_List_Table341115[[#This Row],[AQ USD]])</f>
        <v xml:space="preserve"> </v>
      </c>
      <c r="X8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0" s="539" t="str">
        <f>IF(Inventory_List_Table341115[[#This Row],[Q]]&lt;0.1, " ",Inventory_List_Table341115[[#This Row],[PRICE]]/Z80*10000)</f>
        <v xml:space="preserve"> </v>
      </c>
      <c r="AB80" s="27"/>
      <c r="AC80" s="1"/>
      <c r="AD80" s="1"/>
    </row>
    <row r="81" spans="1:30" ht="24" customHeight="1" x14ac:dyDescent="0.3">
      <c r="A81" s="84">
        <v>79</v>
      </c>
      <c r="B81" s="1"/>
      <c r="C81" s="557"/>
      <c r="D81" s="557"/>
      <c r="E81" s="557"/>
      <c r="F81" s="38" t="str">
        <f>IF(Inventory_List_Table341115[[#This Row],[Q]]&lt;0.1, " ",$A$1&amp;$D$1&amp;Inventory_List_Table341115[[#This Row],['#]]&amp;Inventory_List_Table341115[[#This Row],[LC]])</f>
        <v xml:space="preserve"> </v>
      </c>
      <c r="G81" s="85"/>
      <c r="H81" s="85"/>
      <c r="I81" s="85"/>
      <c r="J81" s="85"/>
      <c r="K81" s="85"/>
      <c r="L81" s="87"/>
      <c r="M81" s="539" t="str">
        <f>IF(Inventory_List_Table341115[[#This Row],[Q]]&lt;0.1, " ", Inventory_List_Table341115[[#This Row],[Q]]*Inventory_List_Table341115[[#This Row],[PRICE]])</f>
        <v xml:space="preserve"> </v>
      </c>
      <c r="N81" s="35" t="str">
        <f>IF(Inventory_List_Table341115[[#This Row],[Q]]&lt;0.1, " ", Inventory_List_Table341115[[#This Row],[KG]]*2.20462)</f>
        <v xml:space="preserve"> </v>
      </c>
      <c r="O81" s="35" t="str">
        <f>IF(Inventory_List_Table341115[[#This Row],[Q]]&lt;0.1, " ",Inventory_List_Table341115[[#This Row],[H CM]]/2.54)</f>
        <v xml:space="preserve"> </v>
      </c>
      <c r="P81" s="35" t="str">
        <f>IF(Inventory_List_Table341115[[#This Row],[Q]]&lt;0.1, " ",Inventory_List_Table341115[[#This Row],[W CM]]/2.54)</f>
        <v xml:space="preserve"> </v>
      </c>
      <c r="Q81" s="35" t="str">
        <f>IF(Inventory_List_Table341115[[#This Row],[Q]]&lt;0.1, " ",Inventory_List_Table341115[[#This Row],[D CM ]]/2.54)</f>
        <v xml:space="preserve"> </v>
      </c>
      <c r="R81" s="539" t="str">
        <f>IF(Inventory_List_Table341115[[#This Row],[Q]]&lt;0.1, " ",Inventory_List_Table341115[[#This Row],[PRICE]]/$L$1)</f>
        <v xml:space="preserve"> </v>
      </c>
      <c r="S8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1" s="539" t="str">
        <f>IF(Inventory_List_Table341115[[#This Row],[Q]]&lt;0.1, " ",Inventory_List_Table341115[[#This Row],[AQ RND USD]]*1.4)</f>
        <v xml:space="preserve"> </v>
      </c>
      <c r="U8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1" s="539" t="str">
        <f>IF(Inventory_List_Table341115[[#This Row],[Q]]&lt;0.1, " ",Inventory_List_Table341115[[#This Row],[LND RND USD]]*12)</f>
        <v xml:space="preserve"> </v>
      </c>
      <c r="W81" s="539" t="str">
        <f>IF(Inventory_List_Table341115[[#This Row],[Q]]&lt;0.1, " ",Inventory_List_Table341115[[#This Row],[AQ USD]])</f>
        <v xml:space="preserve"> </v>
      </c>
      <c r="X8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1" s="539" t="str">
        <f>IF(Inventory_List_Table341115[[#This Row],[Q]]&lt;0.1, " ",Inventory_List_Table341115[[#This Row],[PRICE]]/Z81*10000)</f>
        <v xml:space="preserve"> </v>
      </c>
      <c r="AB81" s="27"/>
      <c r="AC81" s="1"/>
      <c r="AD81" s="1"/>
    </row>
    <row r="82" spans="1:30" ht="24" customHeight="1" x14ac:dyDescent="0.3">
      <c r="A82" s="84">
        <v>80</v>
      </c>
      <c r="B82" s="1"/>
      <c r="C82" s="557"/>
      <c r="D82" s="557"/>
      <c r="E82" s="557"/>
      <c r="F82" s="38" t="str">
        <f>IF(Inventory_List_Table341115[[#This Row],[Q]]&lt;0.1, " ",$A$1&amp;$D$1&amp;Inventory_List_Table341115[[#This Row],['#]]&amp;Inventory_List_Table341115[[#This Row],[LC]])</f>
        <v xml:space="preserve"> </v>
      </c>
      <c r="G82" s="85"/>
      <c r="H82" s="85"/>
      <c r="I82" s="85"/>
      <c r="J82" s="85"/>
      <c r="K82" s="85"/>
      <c r="L82" s="87"/>
      <c r="M82" s="539" t="str">
        <f>IF(Inventory_List_Table341115[[#This Row],[Q]]&lt;0.1, " ", Inventory_List_Table341115[[#This Row],[Q]]*Inventory_List_Table341115[[#This Row],[PRICE]])</f>
        <v xml:space="preserve"> </v>
      </c>
      <c r="N82" s="35" t="str">
        <f>IF(Inventory_List_Table341115[[#This Row],[Q]]&lt;0.1, " ", Inventory_List_Table341115[[#This Row],[KG]]*2.20462)</f>
        <v xml:space="preserve"> </v>
      </c>
      <c r="O82" s="35" t="str">
        <f>IF(Inventory_List_Table341115[[#This Row],[Q]]&lt;0.1, " ",Inventory_List_Table341115[[#This Row],[H CM]]/2.54)</f>
        <v xml:space="preserve"> </v>
      </c>
      <c r="P82" s="35" t="str">
        <f>IF(Inventory_List_Table341115[[#This Row],[Q]]&lt;0.1, " ",Inventory_List_Table341115[[#This Row],[W CM]]/2.54)</f>
        <v xml:space="preserve"> </v>
      </c>
      <c r="Q82" s="35" t="str">
        <f>IF(Inventory_List_Table341115[[#This Row],[Q]]&lt;0.1, " ",Inventory_List_Table341115[[#This Row],[D CM ]]/2.54)</f>
        <v xml:space="preserve"> </v>
      </c>
      <c r="R82" s="539" t="str">
        <f>IF(Inventory_List_Table341115[[#This Row],[Q]]&lt;0.1, " ",Inventory_List_Table341115[[#This Row],[PRICE]]/$L$1)</f>
        <v xml:space="preserve"> </v>
      </c>
      <c r="S8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2" s="539" t="str">
        <f>IF(Inventory_List_Table341115[[#This Row],[Q]]&lt;0.1, " ",Inventory_List_Table341115[[#This Row],[AQ RND USD]]*1.4)</f>
        <v xml:space="preserve"> </v>
      </c>
      <c r="U8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2" s="539" t="str">
        <f>IF(Inventory_List_Table341115[[#This Row],[Q]]&lt;0.1, " ",Inventory_List_Table341115[[#This Row],[LND RND USD]]*12)</f>
        <v xml:space="preserve"> </v>
      </c>
      <c r="W82" s="539" t="str">
        <f>IF(Inventory_List_Table341115[[#This Row],[Q]]&lt;0.1, " ",Inventory_List_Table341115[[#This Row],[AQ USD]])</f>
        <v xml:space="preserve"> </v>
      </c>
      <c r="X8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2" s="539" t="str">
        <f>IF(Inventory_List_Table341115[[#This Row],[Q]]&lt;0.1, " ",Inventory_List_Table341115[[#This Row],[PRICE]]/Z82*10000)</f>
        <v xml:space="preserve"> </v>
      </c>
      <c r="AB82" s="27"/>
      <c r="AC82" s="1"/>
      <c r="AD82" s="1"/>
    </row>
    <row r="83" spans="1:30" ht="24" customHeight="1" x14ac:dyDescent="0.3">
      <c r="A83" s="84">
        <v>81</v>
      </c>
      <c r="B83" s="1"/>
      <c r="C83" s="557"/>
      <c r="D83" s="557"/>
      <c r="E83" s="557"/>
      <c r="F83" s="38" t="str">
        <f>IF(Inventory_List_Table341115[[#This Row],[Q]]&lt;0.1, " ",$A$1&amp;$D$1&amp;Inventory_List_Table341115[[#This Row],['#]]&amp;Inventory_List_Table341115[[#This Row],[LC]])</f>
        <v xml:space="preserve"> </v>
      </c>
      <c r="G83" s="85"/>
      <c r="H83" s="85"/>
      <c r="I83" s="85"/>
      <c r="J83" s="85"/>
      <c r="K83" s="85"/>
      <c r="L83" s="87"/>
      <c r="M83" s="539" t="str">
        <f>IF(Inventory_List_Table341115[[#This Row],[Q]]&lt;0.1, " ", Inventory_List_Table341115[[#This Row],[Q]]*Inventory_List_Table341115[[#This Row],[PRICE]])</f>
        <v xml:space="preserve"> </v>
      </c>
      <c r="N83" s="35" t="str">
        <f>IF(Inventory_List_Table341115[[#This Row],[Q]]&lt;0.1, " ", Inventory_List_Table341115[[#This Row],[KG]]*2.20462)</f>
        <v xml:space="preserve"> </v>
      </c>
      <c r="O83" s="35" t="str">
        <f>IF(Inventory_List_Table341115[[#This Row],[Q]]&lt;0.1, " ",Inventory_List_Table341115[[#This Row],[H CM]]/2.54)</f>
        <v xml:space="preserve"> </v>
      </c>
      <c r="P83" s="35" t="str">
        <f>IF(Inventory_List_Table341115[[#This Row],[Q]]&lt;0.1, " ",Inventory_List_Table341115[[#This Row],[W CM]]/2.54)</f>
        <v xml:space="preserve"> </v>
      </c>
      <c r="Q83" s="35" t="str">
        <f>IF(Inventory_List_Table341115[[#This Row],[Q]]&lt;0.1, " ",Inventory_List_Table341115[[#This Row],[D CM ]]/2.54)</f>
        <v xml:space="preserve"> </v>
      </c>
      <c r="R83" s="539" t="str">
        <f>IF(Inventory_List_Table341115[[#This Row],[Q]]&lt;0.1, " ",Inventory_List_Table341115[[#This Row],[PRICE]]/$L$1)</f>
        <v xml:space="preserve"> </v>
      </c>
      <c r="S8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3" s="539" t="str">
        <f>IF(Inventory_List_Table341115[[#This Row],[Q]]&lt;0.1, " ",Inventory_List_Table341115[[#This Row],[AQ RND USD]]*1.4)</f>
        <v xml:space="preserve"> </v>
      </c>
      <c r="U8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3" s="539" t="str">
        <f>IF(Inventory_List_Table341115[[#This Row],[Q]]&lt;0.1, " ",Inventory_List_Table341115[[#This Row],[LND RND USD]]*12)</f>
        <v xml:space="preserve"> </v>
      </c>
      <c r="W83" s="539" t="str">
        <f>IF(Inventory_List_Table341115[[#This Row],[Q]]&lt;0.1, " ",Inventory_List_Table341115[[#This Row],[AQ USD]])</f>
        <v xml:space="preserve"> </v>
      </c>
      <c r="X8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3" s="539" t="str">
        <f>IF(Inventory_List_Table341115[[#This Row],[Q]]&lt;0.1, " ",Inventory_List_Table341115[[#This Row],[PRICE]]/Z83*10000)</f>
        <v xml:space="preserve"> </v>
      </c>
      <c r="AB83" s="27"/>
      <c r="AC83" s="1"/>
      <c r="AD83" s="1"/>
    </row>
    <row r="84" spans="1:30" ht="24" customHeight="1" x14ac:dyDescent="0.3">
      <c r="A84" s="84">
        <v>82</v>
      </c>
      <c r="B84" s="1"/>
      <c r="C84" s="557"/>
      <c r="D84" s="557"/>
      <c r="E84" s="557"/>
      <c r="F84" s="38" t="str">
        <f>IF(Inventory_List_Table341115[[#This Row],[Q]]&lt;0.1, " ",$A$1&amp;$D$1&amp;Inventory_List_Table341115[[#This Row],['#]]&amp;Inventory_List_Table341115[[#This Row],[LC]])</f>
        <v xml:space="preserve"> </v>
      </c>
      <c r="G84" s="85"/>
      <c r="H84" s="85"/>
      <c r="I84" s="85"/>
      <c r="J84" s="85"/>
      <c r="K84" s="85"/>
      <c r="L84" s="87"/>
      <c r="M84" s="539" t="str">
        <f>IF(Inventory_List_Table341115[[#This Row],[Q]]&lt;0.1, " ", Inventory_List_Table341115[[#This Row],[Q]]*Inventory_List_Table341115[[#This Row],[PRICE]])</f>
        <v xml:space="preserve"> </v>
      </c>
      <c r="N84" s="35" t="str">
        <f>IF(Inventory_List_Table341115[[#This Row],[Q]]&lt;0.1, " ", Inventory_List_Table341115[[#This Row],[KG]]*2.20462)</f>
        <v xml:space="preserve"> </v>
      </c>
      <c r="O84" s="35" t="str">
        <f>IF(Inventory_List_Table341115[[#This Row],[Q]]&lt;0.1, " ",Inventory_List_Table341115[[#This Row],[H CM]]/2.54)</f>
        <v xml:space="preserve"> </v>
      </c>
      <c r="P84" s="35" t="str">
        <f>IF(Inventory_List_Table341115[[#This Row],[Q]]&lt;0.1, " ",Inventory_List_Table341115[[#This Row],[W CM]]/2.54)</f>
        <v xml:space="preserve"> </v>
      </c>
      <c r="Q84" s="35" t="str">
        <f>IF(Inventory_List_Table341115[[#This Row],[Q]]&lt;0.1, " ",Inventory_List_Table341115[[#This Row],[D CM ]]/2.54)</f>
        <v xml:space="preserve"> </v>
      </c>
      <c r="R84" s="539" t="str">
        <f>IF(Inventory_List_Table341115[[#This Row],[Q]]&lt;0.1, " ",Inventory_List_Table341115[[#This Row],[PRICE]]/$L$1)</f>
        <v xml:space="preserve"> </v>
      </c>
      <c r="S8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4" s="539" t="str">
        <f>IF(Inventory_List_Table341115[[#This Row],[Q]]&lt;0.1, " ",Inventory_List_Table341115[[#This Row],[AQ RND USD]]*1.4)</f>
        <v xml:space="preserve"> </v>
      </c>
      <c r="U8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4" s="539" t="str">
        <f>IF(Inventory_List_Table341115[[#This Row],[Q]]&lt;0.1, " ",Inventory_List_Table341115[[#This Row],[LND RND USD]]*12)</f>
        <v xml:space="preserve"> </v>
      </c>
      <c r="W84" s="539" t="str">
        <f>IF(Inventory_List_Table341115[[#This Row],[Q]]&lt;0.1, " ",Inventory_List_Table341115[[#This Row],[AQ USD]])</f>
        <v xml:space="preserve"> </v>
      </c>
      <c r="X8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4" s="539" t="str">
        <f>IF(Inventory_List_Table341115[[#This Row],[Q]]&lt;0.1, " ",Inventory_List_Table341115[[#This Row],[PRICE]]/Z84*10000)</f>
        <v xml:space="preserve"> </v>
      </c>
      <c r="AB84" s="27"/>
      <c r="AC84" s="1"/>
      <c r="AD84" s="1"/>
    </row>
    <row r="85" spans="1:30" ht="24" customHeight="1" x14ac:dyDescent="0.3">
      <c r="A85" s="84">
        <v>83</v>
      </c>
      <c r="B85" s="1"/>
      <c r="C85" s="557"/>
      <c r="D85" s="557"/>
      <c r="E85" s="557"/>
      <c r="F85" s="38" t="str">
        <f>IF(Inventory_List_Table341115[[#This Row],[Q]]&lt;0.1, " ",$A$1&amp;$D$1&amp;Inventory_List_Table341115[[#This Row],['#]]&amp;Inventory_List_Table341115[[#This Row],[LC]])</f>
        <v xml:space="preserve"> </v>
      </c>
      <c r="G85" s="85"/>
      <c r="H85" s="85"/>
      <c r="I85" s="85"/>
      <c r="J85" s="85"/>
      <c r="K85" s="85"/>
      <c r="L85" s="87"/>
      <c r="M85" s="539" t="str">
        <f>IF(Inventory_List_Table341115[[#This Row],[Q]]&lt;0.1, " ", Inventory_List_Table341115[[#This Row],[Q]]*Inventory_List_Table341115[[#This Row],[PRICE]])</f>
        <v xml:space="preserve"> </v>
      </c>
      <c r="N85" s="35" t="str">
        <f>IF(Inventory_List_Table341115[[#This Row],[Q]]&lt;0.1, " ", Inventory_List_Table341115[[#This Row],[KG]]*2.20462)</f>
        <v xml:space="preserve"> </v>
      </c>
      <c r="O85" s="35" t="str">
        <f>IF(Inventory_List_Table341115[[#This Row],[Q]]&lt;0.1, " ",Inventory_List_Table341115[[#This Row],[H CM]]/2.54)</f>
        <v xml:space="preserve"> </v>
      </c>
      <c r="P85" s="35" t="str">
        <f>IF(Inventory_List_Table341115[[#This Row],[Q]]&lt;0.1, " ",Inventory_List_Table341115[[#This Row],[W CM]]/2.54)</f>
        <v xml:space="preserve"> </v>
      </c>
      <c r="Q85" s="35" t="str">
        <f>IF(Inventory_List_Table341115[[#This Row],[Q]]&lt;0.1, " ",Inventory_List_Table341115[[#This Row],[D CM ]]/2.54)</f>
        <v xml:space="preserve"> </v>
      </c>
      <c r="R85" s="539" t="str">
        <f>IF(Inventory_List_Table341115[[#This Row],[Q]]&lt;0.1, " ",Inventory_List_Table341115[[#This Row],[PRICE]]/$L$1)</f>
        <v xml:space="preserve"> </v>
      </c>
      <c r="S8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5" s="539" t="str">
        <f>IF(Inventory_List_Table341115[[#This Row],[Q]]&lt;0.1, " ",Inventory_List_Table341115[[#This Row],[AQ RND USD]]*1.4)</f>
        <v xml:space="preserve"> </v>
      </c>
      <c r="U8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5" s="539" t="str">
        <f>IF(Inventory_List_Table341115[[#This Row],[Q]]&lt;0.1, " ",Inventory_List_Table341115[[#This Row],[LND RND USD]]*12)</f>
        <v xml:space="preserve"> </v>
      </c>
      <c r="W85" s="539" t="str">
        <f>IF(Inventory_List_Table341115[[#This Row],[Q]]&lt;0.1, " ",Inventory_List_Table341115[[#This Row],[AQ USD]])</f>
        <v xml:space="preserve"> </v>
      </c>
      <c r="X8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5" s="539" t="str">
        <f>IF(Inventory_List_Table341115[[#This Row],[Q]]&lt;0.1, " ",Inventory_List_Table341115[[#This Row],[PRICE]]/Z85*10000)</f>
        <v xml:space="preserve"> </v>
      </c>
      <c r="AB85" s="27"/>
      <c r="AC85" s="1"/>
      <c r="AD85" s="1"/>
    </row>
    <row r="86" spans="1:30" ht="24" customHeight="1" x14ac:dyDescent="0.3">
      <c r="A86" s="84">
        <v>84</v>
      </c>
      <c r="B86" s="1"/>
      <c r="C86" s="557"/>
      <c r="D86" s="557"/>
      <c r="E86" s="557"/>
      <c r="F86" s="38" t="str">
        <f>IF(Inventory_List_Table341115[[#This Row],[Q]]&lt;0.1, " ",$A$1&amp;$D$1&amp;Inventory_List_Table341115[[#This Row],['#]]&amp;Inventory_List_Table341115[[#This Row],[LC]])</f>
        <v xml:space="preserve"> </v>
      </c>
      <c r="G86" s="85"/>
      <c r="H86" s="85"/>
      <c r="I86" s="85"/>
      <c r="J86" s="85"/>
      <c r="K86" s="85"/>
      <c r="L86" s="87"/>
      <c r="M86" s="539" t="str">
        <f>IF(Inventory_List_Table341115[[#This Row],[Q]]&lt;0.1, " ", Inventory_List_Table341115[[#This Row],[Q]]*Inventory_List_Table341115[[#This Row],[PRICE]])</f>
        <v xml:space="preserve"> </v>
      </c>
      <c r="N86" s="35" t="str">
        <f>IF(Inventory_List_Table341115[[#This Row],[Q]]&lt;0.1, " ", Inventory_List_Table341115[[#This Row],[KG]]*2.20462)</f>
        <v xml:space="preserve"> </v>
      </c>
      <c r="O86" s="35" t="str">
        <f>IF(Inventory_List_Table341115[[#This Row],[Q]]&lt;0.1, " ",Inventory_List_Table341115[[#This Row],[H CM]]/2.54)</f>
        <v xml:space="preserve"> </v>
      </c>
      <c r="P86" s="35" t="str">
        <f>IF(Inventory_List_Table341115[[#This Row],[Q]]&lt;0.1, " ",Inventory_List_Table341115[[#This Row],[W CM]]/2.54)</f>
        <v xml:space="preserve"> </v>
      </c>
      <c r="Q86" s="35" t="str">
        <f>IF(Inventory_List_Table341115[[#This Row],[Q]]&lt;0.1, " ",Inventory_List_Table341115[[#This Row],[D CM ]]/2.54)</f>
        <v xml:space="preserve"> </v>
      </c>
      <c r="R86" s="539" t="str">
        <f>IF(Inventory_List_Table341115[[#This Row],[Q]]&lt;0.1, " ",Inventory_List_Table341115[[#This Row],[PRICE]]/$L$1)</f>
        <v xml:space="preserve"> </v>
      </c>
      <c r="S8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6" s="539" t="str">
        <f>IF(Inventory_List_Table341115[[#This Row],[Q]]&lt;0.1, " ",Inventory_List_Table341115[[#This Row],[AQ RND USD]]*1.4)</f>
        <v xml:space="preserve"> </v>
      </c>
      <c r="U8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6" s="539" t="str">
        <f>IF(Inventory_List_Table341115[[#This Row],[Q]]&lt;0.1, " ",Inventory_List_Table341115[[#This Row],[LND RND USD]]*12)</f>
        <v xml:space="preserve"> </v>
      </c>
      <c r="W86" s="539" t="str">
        <f>IF(Inventory_List_Table341115[[#This Row],[Q]]&lt;0.1, " ",Inventory_List_Table341115[[#This Row],[AQ USD]])</f>
        <v xml:space="preserve"> </v>
      </c>
      <c r="X8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6" s="539" t="str">
        <f>IF(Inventory_List_Table341115[[#This Row],[Q]]&lt;0.1, " ",Inventory_List_Table341115[[#This Row],[PRICE]]/Z86*10000)</f>
        <v xml:space="preserve"> </v>
      </c>
      <c r="AB86" s="27"/>
      <c r="AC86" s="1"/>
      <c r="AD86" s="1"/>
    </row>
    <row r="87" spans="1:30" ht="24" customHeight="1" x14ac:dyDescent="0.3">
      <c r="A87" s="84">
        <v>85</v>
      </c>
      <c r="B87" s="1"/>
      <c r="C87" s="557"/>
      <c r="D87" s="557"/>
      <c r="E87" s="557"/>
      <c r="F87" s="38" t="str">
        <f>IF(Inventory_List_Table341115[[#This Row],[Q]]&lt;0.1, " ",$A$1&amp;$D$1&amp;Inventory_List_Table341115[[#This Row],['#]]&amp;Inventory_List_Table341115[[#This Row],[LC]])</f>
        <v xml:space="preserve"> </v>
      </c>
      <c r="G87" s="85"/>
      <c r="H87" s="85"/>
      <c r="I87" s="85"/>
      <c r="J87" s="85"/>
      <c r="K87" s="85"/>
      <c r="L87" s="87"/>
      <c r="M87" s="539" t="str">
        <f>IF(Inventory_List_Table341115[[#This Row],[Q]]&lt;0.1, " ", Inventory_List_Table341115[[#This Row],[Q]]*Inventory_List_Table341115[[#This Row],[PRICE]])</f>
        <v xml:space="preserve"> </v>
      </c>
      <c r="N87" s="35" t="str">
        <f>IF(Inventory_List_Table341115[[#This Row],[Q]]&lt;0.1, " ", Inventory_List_Table341115[[#This Row],[KG]]*2.20462)</f>
        <v xml:space="preserve"> </v>
      </c>
      <c r="O87" s="35" t="str">
        <f>IF(Inventory_List_Table341115[[#This Row],[Q]]&lt;0.1, " ",Inventory_List_Table341115[[#This Row],[H CM]]/2.54)</f>
        <v xml:space="preserve"> </v>
      </c>
      <c r="P87" s="35" t="str">
        <f>IF(Inventory_List_Table341115[[#This Row],[Q]]&lt;0.1, " ",Inventory_List_Table341115[[#This Row],[W CM]]/2.54)</f>
        <v xml:space="preserve"> </v>
      </c>
      <c r="Q87" s="35" t="str">
        <f>IF(Inventory_List_Table341115[[#This Row],[Q]]&lt;0.1, " ",Inventory_List_Table341115[[#This Row],[D CM ]]/2.54)</f>
        <v xml:space="preserve"> </v>
      </c>
      <c r="R87" s="539" t="str">
        <f>IF(Inventory_List_Table341115[[#This Row],[Q]]&lt;0.1, " ",Inventory_List_Table341115[[#This Row],[PRICE]]/$L$1)</f>
        <v xml:space="preserve"> </v>
      </c>
      <c r="S8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7" s="539" t="str">
        <f>IF(Inventory_List_Table341115[[#This Row],[Q]]&lt;0.1, " ",Inventory_List_Table341115[[#This Row],[AQ RND USD]]*1.4)</f>
        <v xml:space="preserve"> </v>
      </c>
      <c r="U8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7" s="539" t="str">
        <f>IF(Inventory_List_Table341115[[#This Row],[Q]]&lt;0.1, " ",Inventory_List_Table341115[[#This Row],[LND RND USD]]*12)</f>
        <v xml:space="preserve"> </v>
      </c>
      <c r="W87" s="539" t="str">
        <f>IF(Inventory_List_Table341115[[#This Row],[Q]]&lt;0.1, " ",Inventory_List_Table341115[[#This Row],[AQ USD]])</f>
        <v xml:space="preserve"> </v>
      </c>
      <c r="X8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7" s="539" t="str">
        <f>IF(Inventory_List_Table341115[[#This Row],[Q]]&lt;0.1, " ",Inventory_List_Table341115[[#This Row],[PRICE]]/Z87*10000)</f>
        <v xml:space="preserve"> </v>
      </c>
      <c r="AB87" s="27"/>
      <c r="AC87" s="1"/>
      <c r="AD87" s="1"/>
    </row>
    <row r="88" spans="1:30" ht="24" customHeight="1" x14ac:dyDescent="0.3">
      <c r="A88" s="84">
        <v>86</v>
      </c>
      <c r="B88" s="1"/>
      <c r="C88" s="557"/>
      <c r="D88" s="557"/>
      <c r="E88" s="557"/>
      <c r="F88" s="38" t="str">
        <f>IF(Inventory_List_Table341115[[#This Row],[Q]]&lt;0.1, " ",$A$1&amp;$D$1&amp;Inventory_List_Table341115[[#This Row],['#]]&amp;Inventory_List_Table341115[[#This Row],[LC]])</f>
        <v xml:space="preserve"> </v>
      </c>
      <c r="G88" s="85"/>
      <c r="H88" s="85"/>
      <c r="I88" s="85"/>
      <c r="J88" s="85"/>
      <c r="K88" s="85"/>
      <c r="L88" s="87"/>
      <c r="M88" s="539" t="str">
        <f>IF(Inventory_List_Table341115[[#This Row],[Q]]&lt;0.1, " ", Inventory_List_Table341115[[#This Row],[Q]]*Inventory_List_Table341115[[#This Row],[PRICE]])</f>
        <v xml:space="preserve"> </v>
      </c>
      <c r="N88" s="35" t="str">
        <f>IF(Inventory_List_Table341115[[#This Row],[Q]]&lt;0.1, " ", Inventory_List_Table341115[[#This Row],[KG]]*2.20462)</f>
        <v xml:space="preserve"> </v>
      </c>
      <c r="O88" s="35" t="str">
        <f>IF(Inventory_List_Table341115[[#This Row],[Q]]&lt;0.1, " ",Inventory_List_Table341115[[#This Row],[H CM]]/2.54)</f>
        <v xml:space="preserve"> </v>
      </c>
      <c r="P88" s="35" t="str">
        <f>IF(Inventory_List_Table341115[[#This Row],[Q]]&lt;0.1, " ",Inventory_List_Table341115[[#This Row],[W CM]]/2.54)</f>
        <v xml:space="preserve"> </v>
      </c>
      <c r="Q88" s="35" t="str">
        <f>IF(Inventory_List_Table341115[[#This Row],[Q]]&lt;0.1, " ",Inventory_List_Table341115[[#This Row],[D CM ]]/2.54)</f>
        <v xml:space="preserve"> </v>
      </c>
      <c r="R88" s="539" t="str">
        <f>IF(Inventory_List_Table341115[[#This Row],[Q]]&lt;0.1, " ",Inventory_List_Table341115[[#This Row],[PRICE]]/$L$1)</f>
        <v xml:space="preserve"> </v>
      </c>
      <c r="S8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8" s="539" t="str">
        <f>IF(Inventory_List_Table341115[[#This Row],[Q]]&lt;0.1, " ",Inventory_List_Table341115[[#This Row],[AQ RND USD]]*1.4)</f>
        <v xml:space="preserve"> </v>
      </c>
      <c r="U8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8" s="539" t="str">
        <f>IF(Inventory_List_Table341115[[#This Row],[Q]]&lt;0.1, " ",Inventory_List_Table341115[[#This Row],[LND RND USD]]*12)</f>
        <v xml:space="preserve"> </v>
      </c>
      <c r="W88" s="539" t="str">
        <f>IF(Inventory_List_Table341115[[#This Row],[Q]]&lt;0.1, " ",Inventory_List_Table341115[[#This Row],[AQ USD]])</f>
        <v xml:space="preserve"> </v>
      </c>
      <c r="X8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8" s="539" t="str">
        <f>IF(Inventory_List_Table341115[[#This Row],[Q]]&lt;0.1, " ",Inventory_List_Table341115[[#This Row],[PRICE]]/Z88*10000)</f>
        <v xml:space="preserve"> </v>
      </c>
      <c r="AB88" s="27"/>
      <c r="AC88" s="1"/>
      <c r="AD88" s="1"/>
    </row>
    <row r="89" spans="1:30" ht="24" customHeight="1" x14ac:dyDescent="0.3">
      <c r="A89" s="84">
        <v>87</v>
      </c>
      <c r="B89" s="1"/>
      <c r="C89" s="557"/>
      <c r="D89" s="557"/>
      <c r="E89" s="557"/>
      <c r="F89" s="38" t="str">
        <f>IF(Inventory_List_Table341115[[#This Row],[Q]]&lt;0.1, " ",$A$1&amp;$D$1&amp;Inventory_List_Table341115[[#This Row],['#]]&amp;Inventory_List_Table341115[[#This Row],[LC]])</f>
        <v xml:space="preserve"> </v>
      </c>
      <c r="G89" s="85"/>
      <c r="H89" s="85"/>
      <c r="I89" s="85"/>
      <c r="J89" s="85"/>
      <c r="K89" s="85"/>
      <c r="L89" s="87"/>
      <c r="M89" s="539" t="str">
        <f>IF(Inventory_List_Table341115[[#This Row],[Q]]&lt;0.1, " ", Inventory_List_Table341115[[#This Row],[Q]]*Inventory_List_Table341115[[#This Row],[PRICE]])</f>
        <v xml:space="preserve"> </v>
      </c>
      <c r="N89" s="35" t="str">
        <f>IF(Inventory_List_Table341115[[#This Row],[Q]]&lt;0.1, " ", Inventory_List_Table341115[[#This Row],[KG]]*2.20462)</f>
        <v xml:space="preserve"> </v>
      </c>
      <c r="O89" s="35" t="str">
        <f>IF(Inventory_List_Table341115[[#This Row],[Q]]&lt;0.1, " ",Inventory_List_Table341115[[#This Row],[H CM]]/2.54)</f>
        <v xml:space="preserve"> </v>
      </c>
      <c r="P89" s="35" t="str">
        <f>IF(Inventory_List_Table341115[[#This Row],[Q]]&lt;0.1, " ",Inventory_List_Table341115[[#This Row],[W CM]]/2.54)</f>
        <v xml:space="preserve"> </v>
      </c>
      <c r="Q89" s="35" t="str">
        <f>IF(Inventory_List_Table341115[[#This Row],[Q]]&lt;0.1, " ",Inventory_List_Table341115[[#This Row],[D CM ]]/2.54)</f>
        <v xml:space="preserve"> </v>
      </c>
      <c r="R89" s="539" t="str">
        <f>IF(Inventory_List_Table341115[[#This Row],[Q]]&lt;0.1, " ",Inventory_List_Table341115[[#This Row],[PRICE]]/$L$1)</f>
        <v xml:space="preserve"> </v>
      </c>
      <c r="S8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89" s="539" t="str">
        <f>IF(Inventory_List_Table341115[[#This Row],[Q]]&lt;0.1, " ",Inventory_List_Table341115[[#This Row],[AQ RND USD]]*1.4)</f>
        <v xml:space="preserve"> </v>
      </c>
      <c r="U8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89" s="539" t="str">
        <f>IF(Inventory_List_Table341115[[#This Row],[Q]]&lt;0.1, " ",Inventory_List_Table341115[[#This Row],[LND RND USD]]*12)</f>
        <v xml:space="preserve"> </v>
      </c>
      <c r="W89" s="539" t="str">
        <f>IF(Inventory_List_Table341115[[#This Row],[Q]]&lt;0.1, " ",Inventory_List_Table341115[[#This Row],[AQ USD]])</f>
        <v xml:space="preserve"> </v>
      </c>
      <c r="X8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8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8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89" s="539" t="str">
        <f>IF(Inventory_List_Table341115[[#This Row],[Q]]&lt;0.1, " ",Inventory_List_Table341115[[#This Row],[PRICE]]/Z89*10000)</f>
        <v xml:space="preserve"> </v>
      </c>
      <c r="AB89" s="27"/>
      <c r="AC89" s="1"/>
      <c r="AD89" s="1"/>
    </row>
    <row r="90" spans="1:30" ht="24" customHeight="1" x14ac:dyDescent="0.3">
      <c r="A90" s="84">
        <v>88</v>
      </c>
      <c r="B90" s="1"/>
      <c r="C90" s="557"/>
      <c r="D90" s="557"/>
      <c r="E90" s="557"/>
      <c r="F90" s="38" t="str">
        <f>IF(Inventory_List_Table341115[[#This Row],[Q]]&lt;0.1, " ",$A$1&amp;$D$1&amp;Inventory_List_Table341115[[#This Row],['#]]&amp;Inventory_List_Table341115[[#This Row],[LC]])</f>
        <v xml:space="preserve"> </v>
      </c>
      <c r="G90" s="85"/>
      <c r="H90" s="85"/>
      <c r="I90" s="85"/>
      <c r="J90" s="85"/>
      <c r="K90" s="85"/>
      <c r="L90" s="87"/>
      <c r="M90" s="539" t="str">
        <f>IF(Inventory_List_Table341115[[#This Row],[Q]]&lt;0.1, " ", Inventory_List_Table341115[[#This Row],[Q]]*Inventory_List_Table341115[[#This Row],[PRICE]])</f>
        <v xml:space="preserve"> </v>
      </c>
      <c r="N90" s="35" t="str">
        <f>IF(Inventory_List_Table341115[[#This Row],[Q]]&lt;0.1, " ", Inventory_List_Table341115[[#This Row],[KG]]*2.20462)</f>
        <v xml:space="preserve"> </v>
      </c>
      <c r="O90" s="35" t="str">
        <f>IF(Inventory_List_Table341115[[#This Row],[Q]]&lt;0.1, " ",Inventory_List_Table341115[[#This Row],[H CM]]/2.54)</f>
        <v xml:space="preserve"> </v>
      </c>
      <c r="P90" s="35" t="str">
        <f>IF(Inventory_List_Table341115[[#This Row],[Q]]&lt;0.1, " ",Inventory_List_Table341115[[#This Row],[W CM]]/2.54)</f>
        <v xml:space="preserve"> </v>
      </c>
      <c r="Q90" s="35" t="str">
        <f>IF(Inventory_List_Table341115[[#This Row],[Q]]&lt;0.1, " ",Inventory_List_Table341115[[#This Row],[D CM ]]/2.54)</f>
        <v xml:space="preserve"> </v>
      </c>
      <c r="R90" s="539" t="str">
        <f>IF(Inventory_List_Table341115[[#This Row],[Q]]&lt;0.1, " ",Inventory_List_Table341115[[#This Row],[PRICE]]/$L$1)</f>
        <v xml:space="preserve"> </v>
      </c>
      <c r="S9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0" s="539" t="str">
        <f>IF(Inventory_List_Table341115[[#This Row],[Q]]&lt;0.1, " ",Inventory_List_Table341115[[#This Row],[AQ RND USD]]*1.4)</f>
        <v xml:space="preserve"> </v>
      </c>
      <c r="U9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0" s="539" t="str">
        <f>IF(Inventory_List_Table341115[[#This Row],[Q]]&lt;0.1, " ",Inventory_List_Table341115[[#This Row],[LND RND USD]]*12)</f>
        <v xml:space="preserve"> </v>
      </c>
      <c r="W90" s="539" t="str">
        <f>IF(Inventory_List_Table341115[[#This Row],[Q]]&lt;0.1, " ",Inventory_List_Table341115[[#This Row],[AQ USD]])</f>
        <v xml:space="preserve"> </v>
      </c>
      <c r="X9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0" s="539" t="str">
        <f>IF(Inventory_List_Table341115[[#This Row],[Q]]&lt;0.1, " ",Inventory_List_Table341115[[#This Row],[PRICE]]/Z90*10000)</f>
        <v xml:space="preserve"> </v>
      </c>
      <c r="AB90" s="27"/>
      <c r="AC90" s="1"/>
      <c r="AD90" s="1"/>
    </row>
    <row r="91" spans="1:30" ht="24" customHeight="1" x14ac:dyDescent="0.3">
      <c r="A91" s="84">
        <v>89</v>
      </c>
      <c r="B91" s="1"/>
      <c r="C91" s="557"/>
      <c r="D91" s="557"/>
      <c r="E91" s="557"/>
      <c r="F91" s="38" t="str">
        <f>IF(Inventory_List_Table341115[[#This Row],[Q]]&lt;0.1, " ",$A$1&amp;$D$1&amp;Inventory_List_Table341115[[#This Row],['#]]&amp;Inventory_List_Table341115[[#This Row],[LC]])</f>
        <v xml:space="preserve"> </v>
      </c>
      <c r="G91" s="85"/>
      <c r="H91" s="85"/>
      <c r="I91" s="85"/>
      <c r="J91" s="85"/>
      <c r="K91" s="85"/>
      <c r="L91" s="87"/>
      <c r="M91" s="539" t="str">
        <f>IF(Inventory_List_Table341115[[#This Row],[Q]]&lt;0.1, " ", Inventory_List_Table341115[[#This Row],[Q]]*Inventory_List_Table341115[[#This Row],[PRICE]])</f>
        <v xml:space="preserve"> </v>
      </c>
      <c r="N91" s="35" t="str">
        <f>IF(Inventory_List_Table341115[[#This Row],[Q]]&lt;0.1, " ", Inventory_List_Table341115[[#This Row],[KG]]*2.20462)</f>
        <v xml:space="preserve"> </v>
      </c>
      <c r="O91" s="35" t="str">
        <f>IF(Inventory_List_Table341115[[#This Row],[Q]]&lt;0.1, " ",Inventory_List_Table341115[[#This Row],[H CM]]/2.54)</f>
        <v xml:space="preserve"> </v>
      </c>
      <c r="P91" s="35" t="str">
        <f>IF(Inventory_List_Table341115[[#This Row],[Q]]&lt;0.1, " ",Inventory_List_Table341115[[#This Row],[W CM]]/2.54)</f>
        <v xml:space="preserve"> </v>
      </c>
      <c r="Q91" s="35" t="str">
        <f>IF(Inventory_List_Table341115[[#This Row],[Q]]&lt;0.1, " ",Inventory_List_Table341115[[#This Row],[D CM ]]/2.54)</f>
        <v xml:space="preserve"> </v>
      </c>
      <c r="R91" s="539" t="str">
        <f>IF(Inventory_List_Table341115[[#This Row],[Q]]&lt;0.1, " ",Inventory_List_Table341115[[#This Row],[PRICE]]/$L$1)</f>
        <v xml:space="preserve"> </v>
      </c>
      <c r="S9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1" s="539" t="str">
        <f>IF(Inventory_List_Table341115[[#This Row],[Q]]&lt;0.1, " ",Inventory_List_Table341115[[#This Row],[AQ RND USD]]*1.4)</f>
        <v xml:space="preserve"> </v>
      </c>
      <c r="U9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1" s="539" t="str">
        <f>IF(Inventory_List_Table341115[[#This Row],[Q]]&lt;0.1, " ",Inventory_List_Table341115[[#This Row],[LND RND USD]]*12)</f>
        <v xml:space="preserve"> </v>
      </c>
      <c r="W91" s="539" t="str">
        <f>IF(Inventory_List_Table341115[[#This Row],[Q]]&lt;0.1, " ",Inventory_List_Table341115[[#This Row],[AQ USD]])</f>
        <v xml:space="preserve"> </v>
      </c>
      <c r="X9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1" s="539" t="str">
        <f>IF(Inventory_List_Table341115[[#This Row],[Q]]&lt;0.1, " ",Inventory_List_Table341115[[#This Row],[PRICE]]/Z91*10000)</f>
        <v xml:space="preserve"> </v>
      </c>
      <c r="AB91" s="27"/>
      <c r="AC91" s="1"/>
      <c r="AD91" s="1"/>
    </row>
    <row r="92" spans="1:30" ht="24" customHeight="1" x14ac:dyDescent="0.3">
      <c r="A92" s="84">
        <v>90</v>
      </c>
      <c r="B92" s="1"/>
      <c r="C92" s="557"/>
      <c r="D92" s="557"/>
      <c r="E92" s="557"/>
      <c r="F92" s="38" t="str">
        <f>IF(Inventory_List_Table341115[[#This Row],[Q]]&lt;0.1, " ",$A$1&amp;$D$1&amp;Inventory_List_Table341115[[#This Row],['#]]&amp;Inventory_List_Table341115[[#This Row],[LC]])</f>
        <v xml:space="preserve"> </v>
      </c>
      <c r="G92" s="85"/>
      <c r="H92" s="85"/>
      <c r="I92" s="85"/>
      <c r="J92" s="85"/>
      <c r="K92" s="85"/>
      <c r="L92" s="87"/>
      <c r="M92" s="539" t="str">
        <f>IF(Inventory_List_Table341115[[#This Row],[Q]]&lt;0.1, " ", Inventory_List_Table341115[[#This Row],[Q]]*Inventory_List_Table341115[[#This Row],[PRICE]])</f>
        <v xml:space="preserve"> </v>
      </c>
      <c r="N92" s="35" t="str">
        <f>IF(Inventory_List_Table341115[[#This Row],[Q]]&lt;0.1, " ", Inventory_List_Table341115[[#This Row],[KG]]*2.20462)</f>
        <v xml:space="preserve"> </v>
      </c>
      <c r="O92" s="35" t="str">
        <f>IF(Inventory_List_Table341115[[#This Row],[Q]]&lt;0.1, " ",Inventory_List_Table341115[[#This Row],[H CM]]/2.54)</f>
        <v xml:space="preserve"> </v>
      </c>
      <c r="P92" s="35" t="str">
        <f>IF(Inventory_List_Table341115[[#This Row],[Q]]&lt;0.1, " ",Inventory_List_Table341115[[#This Row],[W CM]]/2.54)</f>
        <v xml:space="preserve"> </v>
      </c>
      <c r="Q92" s="35" t="str">
        <f>IF(Inventory_List_Table341115[[#This Row],[Q]]&lt;0.1, " ",Inventory_List_Table341115[[#This Row],[D CM ]]/2.54)</f>
        <v xml:space="preserve"> </v>
      </c>
      <c r="R92" s="539" t="str">
        <f>IF(Inventory_List_Table341115[[#This Row],[Q]]&lt;0.1, " ",Inventory_List_Table341115[[#This Row],[PRICE]]/$L$1)</f>
        <v xml:space="preserve"> </v>
      </c>
      <c r="S9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2" s="539" t="str">
        <f>IF(Inventory_List_Table341115[[#This Row],[Q]]&lt;0.1, " ",Inventory_List_Table341115[[#This Row],[AQ RND USD]]*1.4)</f>
        <v xml:space="preserve"> </v>
      </c>
      <c r="U9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2" s="539" t="str">
        <f>IF(Inventory_List_Table341115[[#This Row],[Q]]&lt;0.1, " ",Inventory_List_Table341115[[#This Row],[LND RND USD]]*12)</f>
        <v xml:space="preserve"> </v>
      </c>
      <c r="W92" s="539" t="str">
        <f>IF(Inventory_List_Table341115[[#This Row],[Q]]&lt;0.1, " ",Inventory_List_Table341115[[#This Row],[AQ USD]])</f>
        <v xml:space="preserve"> </v>
      </c>
      <c r="X9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2" s="539" t="str">
        <f>IF(Inventory_List_Table341115[[#This Row],[Q]]&lt;0.1, " ",Inventory_List_Table341115[[#This Row],[PRICE]]/Z92*10000)</f>
        <v xml:space="preserve"> </v>
      </c>
      <c r="AB92" s="27"/>
      <c r="AC92" s="1"/>
      <c r="AD92" s="1"/>
    </row>
    <row r="93" spans="1:30" ht="24" customHeight="1" x14ac:dyDescent="0.3">
      <c r="A93" s="84">
        <v>91</v>
      </c>
      <c r="B93" s="1"/>
      <c r="C93" s="557"/>
      <c r="D93" s="557"/>
      <c r="E93" s="557"/>
      <c r="F93" s="38" t="str">
        <f>IF(Inventory_List_Table341115[[#This Row],[Q]]&lt;0.1, " ",$A$1&amp;$D$1&amp;Inventory_List_Table341115[[#This Row],['#]]&amp;Inventory_List_Table341115[[#This Row],[LC]])</f>
        <v xml:space="preserve"> </v>
      </c>
      <c r="G93" s="85"/>
      <c r="H93" s="85"/>
      <c r="I93" s="85"/>
      <c r="J93" s="85"/>
      <c r="K93" s="85"/>
      <c r="L93" s="87"/>
      <c r="M93" s="539" t="str">
        <f>IF(Inventory_List_Table341115[[#This Row],[Q]]&lt;0.1, " ", Inventory_List_Table341115[[#This Row],[Q]]*Inventory_List_Table341115[[#This Row],[PRICE]])</f>
        <v xml:space="preserve"> </v>
      </c>
      <c r="N93" s="35" t="str">
        <f>IF(Inventory_List_Table341115[[#This Row],[Q]]&lt;0.1, " ", Inventory_List_Table341115[[#This Row],[KG]]*2.20462)</f>
        <v xml:space="preserve"> </v>
      </c>
      <c r="O93" s="35" t="str">
        <f>IF(Inventory_List_Table341115[[#This Row],[Q]]&lt;0.1, " ",Inventory_List_Table341115[[#This Row],[H CM]]/2.54)</f>
        <v xml:space="preserve"> </v>
      </c>
      <c r="P93" s="35" t="str">
        <f>IF(Inventory_List_Table341115[[#This Row],[Q]]&lt;0.1, " ",Inventory_List_Table341115[[#This Row],[W CM]]/2.54)</f>
        <v xml:space="preserve"> </v>
      </c>
      <c r="Q93" s="35" t="str">
        <f>IF(Inventory_List_Table341115[[#This Row],[Q]]&lt;0.1, " ",Inventory_List_Table341115[[#This Row],[D CM ]]/2.54)</f>
        <v xml:space="preserve"> </v>
      </c>
      <c r="R93" s="539" t="str">
        <f>IF(Inventory_List_Table341115[[#This Row],[Q]]&lt;0.1, " ",Inventory_List_Table341115[[#This Row],[PRICE]]/$L$1)</f>
        <v xml:space="preserve"> </v>
      </c>
      <c r="S93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3" s="539" t="str">
        <f>IF(Inventory_List_Table341115[[#This Row],[Q]]&lt;0.1, " ",Inventory_List_Table341115[[#This Row],[AQ RND USD]]*1.4)</f>
        <v xml:space="preserve"> </v>
      </c>
      <c r="U93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3" s="539" t="str">
        <f>IF(Inventory_List_Table341115[[#This Row],[Q]]&lt;0.1, " ",Inventory_List_Table341115[[#This Row],[LND RND USD]]*12)</f>
        <v xml:space="preserve"> </v>
      </c>
      <c r="W93" s="539" t="str">
        <f>IF(Inventory_List_Table341115[[#This Row],[Q]]&lt;0.1, " ",Inventory_List_Table341115[[#This Row],[AQ USD]])</f>
        <v xml:space="preserve"> </v>
      </c>
      <c r="X93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3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3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3" s="539" t="str">
        <f>IF(Inventory_List_Table341115[[#This Row],[Q]]&lt;0.1, " ",Inventory_List_Table341115[[#This Row],[PRICE]]/Z93*10000)</f>
        <v xml:space="preserve"> </v>
      </c>
      <c r="AB93" s="27"/>
      <c r="AC93" s="1"/>
      <c r="AD93" s="1"/>
    </row>
    <row r="94" spans="1:30" ht="24" customHeight="1" x14ac:dyDescent="0.3">
      <c r="A94" s="84">
        <v>92</v>
      </c>
      <c r="B94" s="1"/>
      <c r="C94" s="557"/>
      <c r="D94" s="557"/>
      <c r="E94" s="557"/>
      <c r="F94" s="38" t="str">
        <f>IF(Inventory_List_Table341115[[#This Row],[Q]]&lt;0.1, " ",$A$1&amp;$D$1&amp;Inventory_List_Table341115[[#This Row],['#]]&amp;Inventory_List_Table341115[[#This Row],[LC]])</f>
        <v xml:space="preserve"> </v>
      </c>
      <c r="G94" s="85"/>
      <c r="H94" s="85"/>
      <c r="I94" s="85"/>
      <c r="J94" s="85"/>
      <c r="K94" s="85"/>
      <c r="L94" s="87"/>
      <c r="M94" s="539" t="str">
        <f>IF(Inventory_List_Table341115[[#This Row],[Q]]&lt;0.1, " ", Inventory_List_Table341115[[#This Row],[Q]]*Inventory_List_Table341115[[#This Row],[PRICE]])</f>
        <v xml:space="preserve"> </v>
      </c>
      <c r="N94" s="35" t="str">
        <f>IF(Inventory_List_Table341115[[#This Row],[Q]]&lt;0.1, " ", Inventory_List_Table341115[[#This Row],[KG]]*2.20462)</f>
        <v xml:space="preserve"> </v>
      </c>
      <c r="O94" s="35" t="str">
        <f>IF(Inventory_List_Table341115[[#This Row],[Q]]&lt;0.1, " ",Inventory_List_Table341115[[#This Row],[H CM]]/2.54)</f>
        <v xml:space="preserve"> </v>
      </c>
      <c r="P94" s="35" t="str">
        <f>IF(Inventory_List_Table341115[[#This Row],[Q]]&lt;0.1, " ",Inventory_List_Table341115[[#This Row],[W CM]]/2.54)</f>
        <v xml:space="preserve"> </v>
      </c>
      <c r="Q94" s="35" t="str">
        <f>IF(Inventory_List_Table341115[[#This Row],[Q]]&lt;0.1, " ",Inventory_List_Table341115[[#This Row],[D CM ]]/2.54)</f>
        <v xml:space="preserve"> </v>
      </c>
      <c r="R94" s="539" t="str">
        <f>IF(Inventory_List_Table341115[[#This Row],[Q]]&lt;0.1, " ",Inventory_List_Table341115[[#This Row],[PRICE]]/$L$1)</f>
        <v xml:space="preserve"> </v>
      </c>
      <c r="S94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4" s="539" t="str">
        <f>IF(Inventory_List_Table341115[[#This Row],[Q]]&lt;0.1, " ",Inventory_List_Table341115[[#This Row],[AQ RND USD]]*1.4)</f>
        <v xml:space="preserve"> </v>
      </c>
      <c r="U94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4" s="539" t="str">
        <f>IF(Inventory_List_Table341115[[#This Row],[Q]]&lt;0.1, " ",Inventory_List_Table341115[[#This Row],[LND RND USD]]*12)</f>
        <v xml:space="preserve"> </v>
      </c>
      <c r="W94" s="539" t="str">
        <f>IF(Inventory_List_Table341115[[#This Row],[Q]]&lt;0.1, " ",Inventory_List_Table341115[[#This Row],[AQ USD]])</f>
        <v xml:space="preserve"> </v>
      </c>
      <c r="X94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4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4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4" s="539" t="str">
        <f>IF(Inventory_List_Table341115[[#This Row],[Q]]&lt;0.1, " ",Inventory_List_Table341115[[#This Row],[PRICE]]/Z94*10000)</f>
        <v xml:space="preserve"> </v>
      </c>
      <c r="AB94" s="27"/>
      <c r="AC94" s="1"/>
      <c r="AD94" s="1"/>
    </row>
    <row r="95" spans="1:30" ht="24" customHeight="1" x14ac:dyDescent="0.3">
      <c r="A95" s="84">
        <v>93</v>
      </c>
      <c r="B95" s="1"/>
      <c r="C95" s="557"/>
      <c r="D95" s="557"/>
      <c r="E95" s="557"/>
      <c r="F95" s="38" t="str">
        <f>IF(Inventory_List_Table341115[[#This Row],[Q]]&lt;0.1, " ",$A$1&amp;$D$1&amp;Inventory_List_Table341115[[#This Row],['#]]&amp;Inventory_List_Table341115[[#This Row],[LC]])</f>
        <v xml:space="preserve"> </v>
      </c>
      <c r="G95" s="85"/>
      <c r="H95" s="85"/>
      <c r="I95" s="85"/>
      <c r="J95" s="85"/>
      <c r="K95" s="85"/>
      <c r="L95" s="87"/>
      <c r="M95" s="539" t="str">
        <f>IF(Inventory_List_Table341115[[#This Row],[Q]]&lt;0.1, " ", Inventory_List_Table341115[[#This Row],[Q]]*Inventory_List_Table341115[[#This Row],[PRICE]])</f>
        <v xml:space="preserve"> </v>
      </c>
      <c r="N95" s="35" t="str">
        <f>IF(Inventory_List_Table341115[[#This Row],[Q]]&lt;0.1, " ", Inventory_List_Table341115[[#This Row],[KG]]*2.20462)</f>
        <v xml:space="preserve"> </v>
      </c>
      <c r="O95" s="35" t="str">
        <f>IF(Inventory_List_Table341115[[#This Row],[Q]]&lt;0.1, " ",Inventory_List_Table341115[[#This Row],[H CM]]/2.54)</f>
        <v xml:space="preserve"> </v>
      </c>
      <c r="P95" s="35" t="str">
        <f>IF(Inventory_List_Table341115[[#This Row],[Q]]&lt;0.1, " ",Inventory_List_Table341115[[#This Row],[W CM]]/2.54)</f>
        <v xml:space="preserve"> </v>
      </c>
      <c r="Q95" s="35" t="str">
        <f>IF(Inventory_List_Table341115[[#This Row],[Q]]&lt;0.1, " ",Inventory_List_Table341115[[#This Row],[D CM ]]/2.54)</f>
        <v xml:space="preserve"> </v>
      </c>
      <c r="R95" s="539" t="str">
        <f>IF(Inventory_List_Table341115[[#This Row],[Q]]&lt;0.1, " ",Inventory_List_Table341115[[#This Row],[PRICE]]/$L$1)</f>
        <v xml:space="preserve"> </v>
      </c>
      <c r="S95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5" s="539" t="str">
        <f>IF(Inventory_List_Table341115[[#This Row],[Q]]&lt;0.1, " ",Inventory_List_Table341115[[#This Row],[AQ RND USD]]*1.4)</f>
        <v xml:space="preserve"> </v>
      </c>
      <c r="U95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5" s="539" t="str">
        <f>IF(Inventory_List_Table341115[[#This Row],[Q]]&lt;0.1, " ",Inventory_List_Table341115[[#This Row],[LND RND USD]]*12)</f>
        <v xml:space="preserve"> </v>
      </c>
      <c r="W95" s="539" t="str">
        <f>IF(Inventory_List_Table341115[[#This Row],[Q]]&lt;0.1, " ",Inventory_List_Table341115[[#This Row],[AQ USD]])</f>
        <v xml:space="preserve"> </v>
      </c>
      <c r="X95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5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5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5" s="539" t="str">
        <f>IF(Inventory_List_Table341115[[#This Row],[Q]]&lt;0.1, " ",Inventory_List_Table341115[[#This Row],[PRICE]]/Z95*10000)</f>
        <v xml:space="preserve"> </v>
      </c>
      <c r="AB95" s="27"/>
      <c r="AC95" s="1"/>
      <c r="AD95" s="1"/>
    </row>
    <row r="96" spans="1:30" ht="24" customHeight="1" x14ac:dyDescent="0.3">
      <c r="A96" s="84">
        <v>94</v>
      </c>
      <c r="B96" s="1"/>
      <c r="C96" s="557"/>
      <c r="D96" s="557"/>
      <c r="E96" s="557"/>
      <c r="F96" s="38" t="str">
        <f>IF(Inventory_List_Table341115[[#This Row],[Q]]&lt;0.1, " ",$A$1&amp;$D$1&amp;Inventory_List_Table341115[[#This Row],['#]]&amp;Inventory_List_Table341115[[#This Row],[LC]])</f>
        <v xml:space="preserve"> </v>
      </c>
      <c r="G96" s="85"/>
      <c r="H96" s="85"/>
      <c r="I96" s="85"/>
      <c r="J96" s="85"/>
      <c r="K96" s="85"/>
      <c r="L96" s="87"/>
      <c r="M96" s="539" t="str">
        <f>IF(Inventory_List_Table341115[[#This Row],[Q]]&lt;0.1, " ", Inventory_List_Table341115[[#This Row],[Q]]*Inventory_List_Table341115[[#This Row],[PRICE]])</f>
        <v xml:space="preserve"> </v>
      </c>
      <c r="N96" s="35" t="str">
        <f>IF(Inventory_List_Table341115[[#This Row],[Q]]&lt;0.1, " ", Inventory_List_Table341115[[#This Row],[KG]]*2.20462)</f>
        <v xml:space="preserve"> </v>
      </c>
      <c r="O96" s="35" t="str">
        <f>IF(Inventory_List_Table341115[[#This Row],[Q]]&lt;0.1, " ",Inventory_List_Table341115[[#This Row],[H CM]]/2.54)</f>
        <v xml:space="preserve"> </v>
      </c>
      <c r="P96" s="35" t="str">
        <f>IF(Inventory_List_Table341115[[#This Row],[Q]]&lt;0.1, " ",Inventory_List_Table341115[[#This Row],[W CM]]/2.54)</f>
        <v xml:space="preserve"> </v>
      </c>
      <c r="Q96" s="35" t="str">
        <f>IF(Inventory_List_Table341115[[#This Row],[Q]]&lt;0.1, " ",Inventory_List_Table341115[[#This Row],[D CM ]]/2.54)</f>
        <v xml:space="preserve"> </v>
      </c>
      <c r="R96" s="539" t="str">
        <f>IF(Inventory_List_Table341115[[#This Row],[Q]]&lt;0.1, " ",Inventory_List_Table341115[[#This Row],[PRICE]]/$L$1)</f>
        <v xml:space="preserve"> </v>
      </c>
      <c r="S96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6" s="539" t="str">
        <f>IF(Inventory_List_Table341115[[#This Row],[Q]]&lt;0.1, " ",Inventory_List_Table341115[[#This Row],[AQ RND USD]]*1.4)</f>
        <v xml:space="preserve"> </v>
      </c>
      <c r="U96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6" s="539" t="str">
        <f>IF(Inventory_List_Table341115[[#This Row],[Q]]&lt;0.1, " ",Inventory_List_Table341115[[#This Row],[LND RND USD]]*12)</f>
        <v xml:space="preserve"> </v>
      </c>
      <c r="W96" s="539" t="str">
        <f>IF(Inventory_List_Table341115[[#This Row],[Q]]&lt;0.1, " ",Inventory_List_Table341115[[#This Row],[AQ USD]])</f>
        <v xml:space="preserve"> </v>
      </c>
      <c r="X96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6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6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6" s="539" t="str">
        <f>IF(Inventory_List_Table341115[[#This Row],[Q]]&lt;0.1, " ",Inventory_List_Table341115[[#This Row],[PRICE]]/Z96*10000)</f>
        <v xml:space="preserve"> </v>
      </c>
      <c r="AB96" s="27"/>
      <c r="AC96" s="1"/>
      <c r="AD96" s="1"/>
    </row>
    <row r="97" spans="1:30" ht="24" customHeight="1" x14ac:dyDescent="0.3">
      <c r="A97" s="84">
        <v>95</v>
      </c>
      <c r="B97" s="1"/>
      <c r="C97" s="557"/>
      <c r="D97" s="557"/>
      <c r="E97" s="557"/>
      <c r="F97" s="38" t="str">
        <f>IF(Inventory_List_Table341115[[#This Row],[Q]]&lt;0.1, " ",$A$1&amp;$D$1&amp;Inventory_List_Table341115[[#This Row],['#]]&amp;Inventory_List_Table341115[[#This Row],[LC]])</f>
        <v xml:space="preserve"> </v>
      </c>
      <c r="G97" s="85"/>
      <c r="H97" s="85"/>
      <c r="I97" s="85"/>
      <c r="J97" s="85"/>
      <c r="K97" s="85"/>
      <c r="L97" s="87"/>
      <c r="M97" s="539" t="str">
        <f>IF(Inventory_List_Table341115[[#This Row],[Q]]&lt;0.1, " ", Inventory_List_Table341115[[#This Row],[Q]]*Inventory_List_Table341115[[#This Row],[PRICE]])</f>
        <v xml:space="preserve"> </v>
      </c>
      <c r="N97" s="35" t="str">
        <f>IF(Inventory_List_Table341115[[#This Row],[Q]]&lt;0.1, " ", Inventory_List_Table341115[[#This Row],[KG]]*2.20462)</f>
        <v xml:space="preserve"> </v>
      </c>
      <c r="O97" s="35" t="str">
        <f>IF(Inventory_List_Table341115[[#This Row],[Q]]&lt;0.1, " ",Inventory_List_Table341115[[#This Row],[H CM]]/2.54)</f>
        <v xml:space="preserve"> </v>
      </c>
      <c r="P97" s="35" t="str">
        <f>IF(Inventory_List_Table341115[[#This Row],[Q]]&lt;0.1, " ",Inventory_List_Table341115[[#This Row],[W CM]]/2.54)</f>
        <v xml:space="preserve"> </v>
      </c>
      <c r="Q97" s="35" t="str">
        <f>IF(Inventory_List_Table341115[[#This Row],[Q]]&lt;0.1, " ",Inventory_List_Table341115[[#This Row],[D CM ]]/2.54)</f>
        <v xml:space="preserve"> </v>
      </c>
      <c r="R97" s="539" t="str">
        <f>IF(Inventory_List_Table341115[[#This Row],[Q]]&lt;0.1, " ",Inventory_List_Table341115[[#This Row],[PRICE]]/$L$1)</f>
        <v xml:space="preserve"> </v>
      </c>
      <c r="S97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7" s="539" t="str">
        <f>IF(Inventory_List_Table341115[[#This Row],[Q]]&lt;0.1, " ",Inventory_List_Table341115[[#This Row],[AQ RND USD]]*1.4)</f>
        <v xml:space="preserve"> </v>
      </c>
      <c r="U97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7" s="539" t="str">
        <f>IF(Inventory_List_Table341115[[#This Row],[Q]]&lt;0.1, " ",Inventory_List_Table341115[[#This Row],[LND RND USD]]*12)</f>
        <v xml:space="preserve"> </v>
      </c>
      <c r="W97" s="539" t="str">
        <f>IF(Inventory_List_Table341115[[#This Row],[Q]]&lt;0.1, " ",Inventory_List_Table341115[[#This Row],[AQ USD]])</f>
        <v xml:space="preserve"> </v>
      </c>
      <c r="X97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7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7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7" s="539" t="str">
        <f>IF(Inventory_List_Table341115[[#This Row],[Q]]&lt;0.1, " ",Inventory_List_Table341115[[#This Row],[PRICE]]/Z97*10000)</f>
        <v xml:space="preserve"> </v>
      </c>
      <c r="AB97" s="27"/>
      <c r="AC97" s="1"/>
      <c r="AD97" s="1"/>
    </row>
    <row r="98" spans="1:30" ht="24" customHeight="1" x14ac:dyDescent="0.3">
      <c r="A98" s="84">
        <v>96</v>
      </c>
      <c r="B98" s="1"/>
      <c r="C98" s="557"/>
      <c r="D98" s="557"/>
      <c r="E98" s="557"/>
      <c r="F98" s="38" t="str">
        <f>IF(Inventory_List_Table341115[[#This Row],[Q]]&lt;0.1, " ",$A$1&amp;$D$1&amp;Inventory_List_Table341115[[#This Row],['#]]&amp;Inventory_List_Table341115[[#This Row],[LC]])</f>
        <v xml:space="preserve"> </v>
      </c>
      <c r="G98" s="85"/>
      <c r="H98" s="85"/>
      <c r="I98" s="85"/>
      <c r="J98" s="85"/>
      <c r="K98" s="85"/>
      <c r="L98" s="87"/>
      <c r="M98" s="539" t="str">
        <f>IF(Inventory_List_Table341115[[#This Row],[Q]]&lt;0.1, " ", Inventory_List_Table341115[[#This Row],[Q]]*Inventory_List_Table341115[[#This Row],[PRICE]])</f>
        <v xml:space="preserve"> </v>
      </c>
      <c r="N98" s="35" t="str">
        <f>IF(Inventory_List_Table341115[[#This Row],[Q]]&lt;0.1, " ", Inventory_List_Table341115[[#This Row],[KG]]*2.20462)</f>
        <v xml:space="preserve"> </v>
      </c>
      <c r="O98" s="35" t="str">
        <f>IF(Inventory_List_Table341115[[#This Row],[Q]]&lt;0.1, " ",Inventory_List_Table341115[[#This Row],[H CM]]/2.54)</f>
        <v xml:space="preserve"> </v>
      </c>
      <c r="P98" s="35" t="str">
        <f>IF(Inventory_List_Table341115[[#This Row],[Q]]&lt;0.1, " ",Inventory_List_Table341115[[#This Row],[W CM]]/2.54)</f>
        <v xml:space="preserve"> </v>
      </c>
      <c r="Q98" s="35" t="str">
        <f>IF(Inventory_List_Table341115[[#This Row],[Q]]&lt;0.1, " ",Inventory_List_Table341115[[#This Row],[D CM ]]/2.54)</f>
        <v xml:space="preserve"> </v>
      </c>
      <c r="R98" s="539" t="str">
        <f>IF(Inventory_List_Table341115[[#This Row],[Q]]&lt;0.1, " ",Inventory_List_Table341115[[#This Row],[PRICE]]/$L$1)</f>
        <v xml:space="preserve"> </v>
      </c>
      <c r="S98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8" s="539" t="str">
        <f>IF(Inventory_List_Table341115[[#This Row],[Q]]&lt;0.1, " ",Inventory_List_Table341115[[#This Row],[AQ RND USD]]*1.4)</f>
        <v xml:space="preserve"> </v>
      </c>
      <c r="U98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8" s="539" t="str">
        <f>IF(Inventory_List_Table341115[[#This Row],[Q]]&lt;0.1, " ",Inventory_List_Table341115[[#This Row],[LND RND USD]]*12)</f>
        <v xml:space="preserve"> </v>
      </c>
      <c r="W98" s="539" t="str">
        <f>IF(Inventory_List_Table341115[[#This Row],[Q]]&lt;0.1, " ",Inventory_List_Table341115[[#This Row],[AQ USD]])</f>
        <v xml:space="preserve"> </v>
      </c>
      <c r="X98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8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8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8" s="539" t="str">
        <f>IF(Inventory_List_Table341115[[#This Row],[Q]]&lt;0.1, " ",Inventory_List_Table341115[[#This Row],[PRICE]]/Z98*10000)</f>
        <v xml:space="preserve"> </v>
      </c>
      <c r="AB98" s="27"/>
      <c r="AC98" s="1"/>
      <c r="AD98" s="1"/>
    </row>
    <row r="99" spans="1:30" ht="24" customHeight="1" x14ac:dyDescent="0.3">
      <c r="A99" s="84">
        <v>97</v>
      </c>
      <c r="B99" s="1"/>
      <c r="C99" s="557"/>
      <c r="D99" s="557"/>
      <c r="E99" s="557"/>
      <c r="F99" s="38" t="str">
        <f>IF(Inventory_List_Table341115[[#This Row],[Q]]&lt;0.1, " ",$A$1&amp;$D$1&amp;Inventory_List_Table341115[[#This Row],['#]]&amp;Inventory_List_Table341115[[#This Row],[LC]])</f>
        <v xml:space="preserve"> </v>
      </c>
      <c r="G99" s="85"/>
      <c r="H99" s="85"/>
      <c r="I99" s="85"/>
      <c r="J99" s="85"/>
      <c r="K99" s="85"/>
      <c r="L99" s="87"/>
      <c r="M99" s="539" t="str">
        <f>IF(Inventory_List_Table341115[[#This Row],[Q]]&lt;0.1, " ", Inventory_List_Table341115[[#This Row],[Q]]*Inventory_List_Table341115[[#This Row],[PRICE]])</f>
        <v xml:space="preserve"> </v>
      </c>
      <c r="N99" s="35" t="str">
        <f>IF(Inventory_List_Table341115[[#This Row],[Q]]&lt;0.1, " ", Inventory_List_Table341115[[#This Row],[KG]]*2.20462)</f>
        <v xml:space="preserve"> </v>
      </c>
      <c r="O99" s="35" t="str">
        <f>IF(Inventory_List_Table341115[[#This Row],[Q]]&lt;0.1, " ",Inventory_List_Table341115[[#This Row],[H CM]]/2.54)</f>
        <v xml:space="preserve"> </v>
      </c>
      <c r="P99" s="35" t="str">
        <f>IF(Inventory_List_Table341115[[#This Row],[Q]]&lt;0.1, " ",Inventory_List_Table341115[[#This Row],[W CM]]/2.54)</f>
        <v xml:space="preserve"> </v>
      </c>
      <c r="Q99" s="35" t="str">
        <f>IF(Inventory_List_Table341115[[#This Row],[Q]]&lt;0.1, " ",Inventory_List_Table341115[[#This Row],[D CM ]]/2.54)</f>
        <v xml:space="preserve"> </v>
      </c>
      <c r="R99" s="539" t="str">
        <f>IF(Inventory_List_Table341115[[#This Row],[Q]]&lt;0.1, " ",Inventory_List_Table341115[[#This Row],[PRICE]]/$L$1)</f>
        <v xml:space="preserve"> </v>
      </c>
      <c r="S99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99" s="539" t="str">
        <f>IF(Inventory_List_Table341115[[#This Row],[Q]]&lt;0.1, " ",Inventory_List_Table341115[[#This Row],[AQ RND USD]]*1.4)</f>
        <v xml:space="preserve"> </v>
      </c>
      <c r="U99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99" s="539" t="str">
        <f>IF(Inventory_List_Table341115[[#This Row],[Q]]&lt;0.1, " ",Inventory_List_Table341115[[#This Row],[LND RND USD]]*12)</f>
        <v xml:space="preserve"> </v>
      </c>
      <c r="W99" s="539" t="str">
        <f>IF(Inventory_List_Table341115[[#This Row],[Q]]&lt;0.1, " ",Inventory_List_Table341115[[#This Row],[AQ USD]])</f>
        <v xml:space="preserve"> </v>
      </c>
      <c r="X99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99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99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99" s="539" t="str">
        <f>IF(Inventory_List_Table341115[[#This Row],[Q]]&lt;0.1, " ",Inventory_List_Table341115[[#This Row],[PRICE]]/Z99*10000)</f>
        <v xml:space="preserve"> </v>
      </c>
      <c r="AB99" s="27"/>
      <c r="AC99" s="1"/>
      <c r="AD99" s="1"/>
    </row>
    <row r="100" spans="1:30" ht="24" customHeight="1" x14ac:dyDescent="0.3">
      <c r="A100" s="84">
        <v>98</v>
      </c>
      <c r="B100" s="1"/>
      <c r="C100" s="557"/>
      <c r="D100" s="557"/>
      <c r="E100" s="557"/>
      <c r="F100" s="38" t="str">
        <f>IF(Inventory_List_Table341115[[#This Row],[Q]]&lt;0.1, " ",$A$1&amp;$D$1&amp;Inventory_List_Table341115[[#This Row],['#]]&amp;Inventory_List_Table341115[[#This Row],[LC]])</f>
        <v xml:space="preserve"> </v>
      </c>
      <c r="G100" s="85"/>
      <c r="H100" s="85"/>
      <c r="I100" s="85"/>
      <c r="J100" s="85"/>
      <c r="K100" s="85"/>
      <c r="L100" s="87"/>
      <c r="M100" s="539" t="str">
        <f>IF(Inventory_List_Table341115[[#This Row],[Q]]&lt;0.1, " ", Inventory_List_Table341115[[#This Row],[Q]]*Inventory_List_Table341115[[#This Row],[PRICE]])</f>
        <v xml:space="preserve"> </v>
      </c>
      <c r="N100" s="35" t="str">
        <f>IF(Inventory_List_Table341115[[#This Row],[Q]]&lt;0.1, " ", Inventory_List_Table341115[[#This Row],[KG]]*2.20462)</f>
        <v xml:space="preserve"> </v>
      </c>
      <c r="O100" s="35" t="str">
        <f>IF(Inventory_List_Table341115[[#This Row],[Q]]&lt;0.1, " ",Inventory_List_Table341115[[#This Row],[H CM]]/2.54)</f>
        <v xml:space="preserve"> </v>
      </c>
      <c r="P100" s="35" t="str">
        <f>IF(Inventory_List_Table341115[[#This Row],[Q]]&lt;0.1, " ",Inventory_List_Table341115[[#This Row],[W CM]]/2.54)</f>
        <v xml:space="preserve"> </v>
      </c>
      <c r="Q100" s="35" t="str">
        <f>IF(Inventory_List_Table341115[[#This Row],[Q]]&lt;0.1, " ",Inventory_List_Table341115[[#This Row],[D CM ]]/2.54)</f>
        <v xml:space="preserve"> </v>
      </c>
      <c r="R100" s="539" t="str">
        <f>IF(Inventory_List_Table341115[[#This Row],[Q]]&lt;0.1, " ",Inventory_List_Table341115[[#This Row],[PRICE]]/$L$1)</f>
        <v xml:space="preserve"> </v>
      </c>
      <c r="S100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00" s="539" t="str">
        <f>IF(Inventory_List_Table341115[[#This Row],[Q]]&lt;0.1, " ",Inventory_List_Table341115[[#This Row],[AQ RND USD]]*1.4)</f>
        <v xml:space="preserve"> </v>
      </c>
      <c r="U100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00" s="539" t="str">
        <f>IF(Inventory_List_Table341115[[#This Row],[Q]]&lt;0.1, " ",Inventory_List_Table341115[[#This Row],[LND RND USD]]*12)</f>
        <v xml:space="preserve"> </v>
      </c>
      <c r="W100" s="539" t="str">
        <f>IF(Inventory_List_Table341115[[#This Row],[Q]]&lt;0.1, " ",Inventory_List_Table341115[[#This Row],[AQ USD]])</f>
        <v xml:space="preserve"> </v>
      </c>
      <c r="X100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00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00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00" s="539" t="str">
        <f>IF(Inventory_List_Table341115[[#This Row],[Q]]&lt;0.1, " ",Inventory_List_Table341115[[#This Row],[PRICE]]/Z100*10000)</f>
        <v xml:space="preserve"> </v>
      </c>
      <c r="AB100" s="27"/>
      <c r="AC100" s="1"/>
      <c r="AD100" s="1"/>
    </row>
    <row r="101" spans="1:30" ht="24" customHeight="1" x14ac:dyDescent="0.3">
      <c r="A101" s="84">
        <v>99</v>
      </c>
      <c r="B101" s="1"/>
      <c r="C101" s="557"/>
      <c r="D101" s="557"/>
      <c r="E101" s="557"/>
      <c r="F101" s="38" t="str">
        <f>IF(Inventory_List_Table341115[[#This Row],[Q]]&lt;0.1, " ",$A$1&amp;$D$1&amp;Inventory_List_Table341115[[#This Row],['#]]&amp;Inventory_List_Table341115[[#This Row],[LC]])</f>
        <v xml:space="preserve"> </v>
      </c>
      <c r="G101" s="85"/>
      <c r="H101" s="85"/>
      <c r="I101" s="85"/>
      <c r="J101" s="85"/>
      <c r="K101" s="85"/>
      <c r="L101" s="87"/>
      <c r="M101" s="539" t="str">
        <f>IF(Inventory_List_Table341115[[#This Row],[Q]]&lt;0.1, " ", Inventory_List_Table341115[[#This Row],[Q]]*Inventory_List_Table341115[[#This Row],[PRICE]])</f>
        <v xml:space="preserve"> </v>
      </c>
      <c r="N101" s="35" t="str">
        <f>IF(Inventory_List_Table341115[[#This Row],[Q]]&lt;0.1, " ", Inventory_List_Table341115[[#This Row],[KG]]*2.20462)</f>
        <v xml:space="preserve"> </v>
      </c>
      <c r="O101" s="35" t="str">
        <f>IF(Inventory_List_Table341115[[#This Row],[Q]]&lt;0.1, " ",Inventory_List_Table341115[[#This Row],[H CM]]/2.54)</f>
        <v xml:space="preserve"> </v>
      </c>
      <c r="P101" s="35" t="str">
        <f>IF(Inventory_List_Table341115[[#This Row],[Q]]&lt;0.1, " ",Inventory_List_Table341115[[#This Row],[W CM]]/2.54)</f>
        <v xml:space="preserve"> </v>
      </c>
      <c r="Q101" s="35" t="str">
        <f>IF(Inventory_List_Table341115[[#This Row],[Q]]&lt;0.1, " ",Inventory_List_Table341115[[#This Row],[D CM ]]/2.54)</f>
        <v xml:space="preserve"> </v>
      </c>
      <c r="R101" s="539" t="str">
        <f>IF(Inventory_List_Table341115[[#This Row],[Q]]&lt;0.1, " ",Inventory_List_Table341115[[#This Row],[PRICE]]/$L$1)</f>
        <v xml:space="preserve"> </v>
      </c>
      <c r="S101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01" s="539" t="str">
        <f>IF(Inventory_List_Table341115[[#This Row],[Q]]&lt;0.1, " ",Inventory_List_Table341115[[#This Row],[AQ RND USD]]*1.4)</f>
        <v xml:space="preserve"> </v>
      </c>
      <c r="U101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01" s="539" t="str">
        <f>IF(Inventory_List_Table341115[[#This Row],[Q]]&lt;0.1, " ",Inventory_List_Table341115[[#This Row],[LND RND USD]]*12)</f>
        <v xml:space="preserve"> </v>
      </c>
      <c r="W101" s="539" t="str">
        <f>IF(Inventory_List_Table341115[[#This Row],[Q]]&lt;0.1, " ",Inventory_List_Table341115[[#This Row],[AQ USD]])</f>
        <v xml:space="preserve"> </v>
      </c>
      <c r="X101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01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01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01" s="539" t="str">
        <f>IF(Inventory_List_Table341115[[#This Row],[Q]]&lt;0.1, " ",Inventory_List_Table341115[[#This Row],[PRICE]]/Z101*10000)</f>
        <v xml:space="preserve"> </v>
      </c>
      <c r="AB101" s="27"/>
      <c r="AC101" s="1"/>
      <c r="AD101" s="1"/>
    </row>
    <row r="102" spans="1:30" ht="24" customHeight="1" x14ac:dyDescent="0.3">
      <c r="A102" s="84">
        <v>100</v>
      </c>
      <c r="B102" s="1"/>
      <c r="C102" s="557"/>
      <c r="D102" s="557"/>
      <c r="E102" s="557"/>
      <c r="F102" s="38" t="str">
        <f>IF(Inventory_List_Table341115[[#This Row],[Q]]&lt;0.1, " ",$A$1&amp;$D$1&amp;Inventory_List_Table341115[[#This Row],['#]]&amp;Inventory_List_Table341115[[#This Row],[LC]])</f>
        <v xml:space="preserve"> </v>
      </c>
      <c r="G102" s="85"/>
      <c r="H102" s="85"/>
      <c r="I102" s="85"/>
      <c r="J102" s="85"/>
      <c r="K102" s="85"/>
      <c r="L102" s="87"/>
      <c r="M102" s="539" t="str">
        <f>IF(Inventory_List_Table341115[[#This Row],[Q]]&lt;0.1, " ", Inventory_List_Table341115[[#This Row],[Q]]*Inventory_List_Table341115[[#This Row],[PRICE]])</f>
        <v xml:space="preserve"> </v>
      </c>
      <c r="N102" s="35" t="str">
        <f>IF(Inventory_List_Table341115[[#This Row],[Q]]&lt;0.1, " ", Inventory_List_Table341115[[#This Row],[KG]]*2.20462)</f>
        <v xml:space="preserve"> </v>
      </c>
      <c r="O102" s="35" t="str">
        <f>IF(Inventory_List_Table341115[[#This Row],[Q]]&lt;0.1, " ",Inventory_List_Table341115[[#This Row],[H CM]]/2.54)</f>
        <v xml:space="preserve"> </v>
      </c>
      <c r="P102" s="35" t="str">
        <f>IF(Inventory_List_Table341115[[#This Row],[Q]]&lt;0.1, " ",Inventory_List_Table341115[[#This Row],[W CM]]/2.54)</f>
        <v xml:space="preserve"> </v>
      </c>
      <c r="Q102" s="35" t="str">
        <f>IF(Inventory_List_Table341115[[#This Row],[Q]]&lt;0.1, " ",Inventory_List_Table341115[[#This Row],[D CM ]]/2.54)</f>
        <v xml:space="preserve"> </v>
      </c>
      <c r="R102" s="539" t="str">
        <f>IF(Inventory_List_Table341115[[#This Row],[Q]]&lt;0.1, " ",Inventory_List_Table341115[[#This Row],[PRICE]]/$L$1)</f>
        <v xml:space="preserve"> </v>
      </c>
      <c r="S102" s="539" t="str">
        <f>IF(Inventory_List_Table341115[[#This Row],[Q]]&lt;0.1, " ",IF(MOD(Inventory_List_Table341115[[#This Row],[AQ USD]],1)&gt;0.4,ROUNDUP(Inventory_List_Table341115[[#This Row],[AQ USD]],0),ROUNDDOWN(Inventory_List_Table341115[[#This Row],[AQ USD]],0)))</f>
        <v xml:space="preserve"> </v>
      </c>
      <c r="T102" s="539" t="str">
        <f>IF(Inventory_List_Table341115[[#This Row],[Q]]&lt;0.1, " ",Inventory_List_Table341115[[#This Row],[AQ RND USD]]*1.4)</f>
        <v xml:space="preserve"> </v>
      </c>
      <c r="U102" s="539" t="str">
        <f>IF(Inventory_List_Table341115[[#This Row],[Q]]&lt;0.1, " ",IF(MOD(Inventory_List_Table341115[[#This Row],[LND USD]],1)&gt;0.4,ROUNDUP(Inventory_List_Table341115[[#This Row],[LND USD]],0),ROUNDDOWN(Inventory_List_Table341115[[#This Row],[LND USD]],0)))</f>
        <v xml:space="preserve"> </v>
      </c>
      <c r="V102" s="539" t="str">
        <f>IF(Inventory_List_Table341115[[#This Row],[Q]]&lt;0.1, " ",Inventory_List_Table341115[[#This Row],[LND RND USD]]*12)</f>
        <v xml:space="preserve"> </v>
      </c>
      <c r="W102" s="539" t="str">
        <f>IF(Inventory_List_Table341115[[#This Row],[Q]]&lt;0.1, " ",Inventory_List_Table341115[[#This Row],[AQ USD]])</f>
        <v xml:space="preserve"> </v>
      </c>
      <c r="X102" s="1" t="str">
        <f>IF(Inventory_List_Table341115[[#This Row],[Q]]&lt;0.1, " ",SUBSTITUTE(SUBSTITUTE(SUBSTITUTE(SUBSTITUTE(SUBSTITUTE(SUBSTITUTE(SUBSTITUTE(SUBSTITUTE(SUBSTITUTE(SUBSTITUTE(Inventory_List_Table341115[[#This Row],[AQ RND USD]], "1", "M"), "2", "O"), "3", "X"), "4", "H"), "5", "E"), "6", "L"), "7", "F"), "8", "A"), "9", "N"), "0", "D"))</f>
        <v xml:space="preserve"> </v>
      </c>
      <c r="Y102" s="1" t="str">
        <f>IF(Inventory_List_Table341115[[#This Row],[Q]]&lt;0.1, " ",SUBSTITUTE(SUBSTITUTE(SUBSTITUTE(SUBSTITUTE(SUBSTITUTE(SUBSTITUTE(SUBSTITUTE(SUBSTITUTE(SUBSTITUTE(SUBSTITUTE(Inventory_List_Table341115[[#This Row],[LND RND USD]], "1", "M"), "2", "O"), "3", "X"), "4", "H"), "5", "E"), "6", "L"), "7", "F"), "8", "A"), "9", "N"), "0", "D"))</f>
        <v xml:space="preserve"> </v>
      </c>
      <c r="Z102" s="1" t="str">
        <f>IF(Inventory_List_Table341115[[#This Row],[Q]]&lt;0.1, " ",Inventory_List_Table341115[[#This Row],[H CM]]*Inventory_List_Table341115[[#This Row],[D CM ]]*4+Inventory_List_Table341115[[#This Row],[W CM]]*Inventory_List_Table341115[[#This Row],[D CM ]]/10000)</f>
        <v xml:space="preserve"> </v>
      </c>
      <c r="AA102" s="539" t="str">
        <f>IF(Inventory_List_Table341115[[#This Row],[Q]]&lt;0.1, " ",Inventory_List_Table341115[[#This Row],[PRICE]]/Z102*10000)</f>
        <v xml:space="preserve"> </v>
      </c>
      <c r="AB102" s="27"/>
      <c r="AC102" s="1"/>
      <c r="AD102" s="1"/>
    </row>
  </sheetData>
  <phoneticPr fontId="2" type="noConversion"/>
  <dataValidations count="12">
    <dataValidation allowBlank="1" showInputMessage="1" showErrorMessage="1" prompt="Enter a description of the item in this column" sqref="G2:G3" xr:uid="{9BF8E637-1FD2-4E30-889D-1B223AF339E5}"/>
    <dataValidation allowBlank="1" showInputMessage="1" showErrorMessage="1" prompt="Enter the unit price of each item in this column" sqref="H2:H3" xr:uid="{AE7D61EA-4513-404B-AD08-A75F54E44F04}"/>
    <dataValidation allowBlank="1" showInputMessage="1" showErrorMessage="1" prompt="Enter the quantity in stock for each item in this column" sqref="I2:I3" xr:uid="{FEE624D2-2200-48F2-95E7-DBDFEA155124}"/>
    <dataValidation allowBlank="1" showInputMessage="1" showErrorMessage="1" prompt="This is an automated column._x000a__x000a_The inventory value for each item is automatically calculated in this column." sqref="J2:J3" xr:uid="{E3650C98-3AF7-4A47-A4BF-B2C326E30CE0}"/>
    <dataValidation allowBlank="1" showInputMessage="1" showErrorMessage="1" prompt="Enter the reorder level for each item in this column" sqref="K2:K3" xr:uid="{25457053-4B54-48B2-84F2-2661EB46A1F3}"/>
    <dataValidation allowBlank="1" showInputMessage="1" showErrorMessage="1" prompt="Enter the number of days it takes to reorder each item in this column" sqref="L2:N3" xr:uid="{EDBBDE64-0978-4ACD-B8AB-DFEC6A2ECE11}"/>
    <dataValidation allowBlank="1" showInputMessage="1" showErrorMessage="1" prompt="Enter the quantity in reorder for each item in this column" sqref="O2:O3" xr:uid="{B9B1756B-2D11-46F6-B055-95C380889AAE}"/>
    <dataValidation allowBlank="1" showInputMessage="1" showErrorMessage="1" prompt="Enter yes if the item has been discontinued. When a yes is entered, the corresponding row is highlighted a light grey and the font style changed to strikethrough" sqref="P2:P3" xr:uid="{EA1ED69C-BF96-4083-829A-26C233171756}"/>
    <dataValidation allowBlank="1" showInputMessage="1" showErrorMessage="1" prompt="Enter the name of the item in this column" sqref="F2:F102" xr:uid="{B1A3A962-F76C-42A6-A60A-E7F5B9137160}"/>
    <dataValidation allowBlank="1" showInputMessage="1" showErrorMessage="1" prompt="Enter the item inventory ID in this column" sqref="E2:E3" xr:uid="{E83737FC-4915-40A8-8615-B1AC3DFF0F80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0ED8D15B-B99B-40B7-B643-7D38D6B4CE31}"/>
    <dataValidation allowBlank="1" showInputMessage="1" showErrorMessage="1" prompt="Enter company name in this cell" sqref="B1" xr:uid="{6643DC01-985C-4C82-9822-5B4F05F24E54}"/>
  </dataValidations>
  <printOptions horizontalCentered="1"/>
  <pageMargins left="0.25" right="0.25" top="0.75" bottom="0.75" header="0.3" footer="0.3"/>
  <pageSetup scale="22" fitToHeight="0" orientation="portrait" r:id="rId1"/>
  <ignoredErrors>
    <ignoredError sqref="A3:A4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54509D-5CC4-4383-AA9B-607E8201A34C}">
          <x14:formula1>
            <xm:f>'-Log'!$F$2:$F$19</xm:f>
          </x14:formula1>
          <xm:sqref>AB3:AB102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E12D-CF26-4E3B-91A6-FB0377FC4930}">
  <sheetPr>
    <tabColor rgb="FF00AEEF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548" bestFit="1" customWidth="1"/>
    <col min="2" max="2" width="23.25" style="29" customWidth="1"/>
    <col min="3" max="3" width="28.375" style="29" customWidth="1"/>
    <col min="4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34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37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545" t="s">
        <v>2</v>
      </c>
      <c r="B1" s="88" t="s">
        <v>97</v>
      </c>
      <c r="C1" s="88" t="s">
        <v>17</v>
      </c>
      <c r="D1" s="88">
        <v>326</v>
      </c>
      <c r="E1" s="88"/>
      <c r="F1" s="88"/>
      <c r="G1" s="88"/>
      <c r="H1" s="88"/>
      <c r="I1" s="88"/>
      <c r="J1" s="91"/>
      <c r="K1" s="88" t="s">
        <v>18</v>
      </c>
      <c r="L1" s="92">
        <v>18</v>
      </c>
      <c r="M1" s="96">
        <f>SUM(Inventory_List_Table34111510[TOTAL PESOS])</f>
        <v>0</v>
      </c>
      <c r="N1" s="97"/>
      <c r="O1" s="97"/>
      <c r="P1" s="97"/>
      <c r="Q1" s="98"/>
      <c r="R1" s="99"/>
      <c r="S1" s="100"/>
      <c r="T1" s="101"/>
      <c r="U1" s="101"/>
      <c r="V1" s="101"/>
      <c r="W1" s="102">
        <f>SUM(Inventory_List_Table34111510[TOTAL USD])</f>
        <v>0</v>
      </c>
      <c r="X1" s="103"/>
      <c r="Y1" s="103"/>
      <c r="Z1" s="103"/>
      <c r="AA1" s="549" t="str">
        <f>IF(G3&gt;0.1, AVERAGE(Inventory_List_Table34111510[NOTES]), " ")</f>
        <v xml:space="preserve"> </v>
      </c>
      <c r="AB1" s="551"/>
    </row>
    <row r="2" spans="1:30" s="39" customFormat="1" ht="40.9" customHeight="1" x14ac:dyDescent="0.25">
      <c r="A2" s="546" t="s">
        <v>19</v>
      </c>
      <c r="B2" s="90" t="s">
        <v>56</v>
      </c>
      <c r="C2" s="90" t="s">
        <v>146</v>
      </c>
      <c r="D2" s="90" t="s">
        <v>145</v>
      </c>
      <c r="E2" s="90" t="s">
        <v>55</v>
      </c>
      <c r="F2" s="89" t="s">
        <v>20</v>
      </c>
      <c r="G2" s="89" t="s">
        <v>9</v>
      </c>
      <c r="H2" s="89" t="s">
        <v>10</v>
      </c>
      <c r="I2" s="89" t="s">
        <v>15</v>
      </c>
      <c r="J2" s="89" t="s">
        <v>11</v>
      </c>
      <c r="K2" s="89" t="s">
        <v>12</v>
      </c>
      <c r="L2" s="90" t="s">
        <v>25</v>
      </c>
      <c r="M2" s="104" t="s">
        <v>21</v>
      </c>
      <c r="N2" s="105" t="s">
        <v>13</v>
      </c>
      <c r="O2" s="105" t="s">
        <v>22</v>
      </c>
      <c r="P2" s="105" t="s">
        <v>23</v>
      </c>
      <c r="Q2" s="105" t="s">
        <v>24</v>
      </c>
      <c r="R2" s="106" t="s">
        <v>57</v>
      </c>
      <c r="S2" s="90" t="s">
        <v>58</v>
      </c>
      <c r="T2" s="106" t="s">
        <v>59</v>
      </c>
      <c r="U2" s="106" t="s">
        <v>60</v>
      </c>
      <c r="V2" s="106" t="s">
        <v>61</v>
      </c>
      <c r="W2" s="107" t="s">
        <v>14</v>
      </c>
      <c r="X2" s="107" t="s">
        <v>16</v>
      </c>
      <c r="Y2" s="107" t="s">
        <v>1</v>
      </c>
      <c r="Z2" s="88" t="s">
        <v>62</v>
      </c>
      <c r="AA2" s="550" t="s">
        <v>63</v>
      </c>
      <c r="AB2" s="552" t="s">
        <v>64</v>
      </c>
    </row>
    <row r="3" spans="1:30" s="29" customFormat="1" ht="23.25" x14ac:dyDescent="0.35">
      <c r="A3" s="547">
        <v>1</v>
      </c>
      <c r="B3" s="1"/>
      <c r="C3" s="558"/>
      <c r="D3" s="558"/>
      <c r="E3" s="558"/>
      <c r="F3" s="38" t="str">
        <f>IF(Inventory_List_Table34111510[[#This Row],[Q]]&lt;0.1, " ",$A$1&amp;$D$1&amp;Inventory_List_Table34111510[[#This Row],['#]]&amp;Inventory_List_Table34111510[[#This Row],[LC]])</f>
        <v xml:space="preserve"> </v>
      </c>
      <c r="G3" s="93"/>
      <c r="H3" s="93"/>
      <c r="I3" s="93"/>
      <c r="J3" s="93"/>
      <c r="K3" s="93"/>
      <c r="L3" s="94"/>
      <c r="M3" s="30" t="str">
        <f>IF(Inventory_List_Table34111510[[#This Row],[Q]]&lt;0.1, " ", Inventory_List_Table34111510[[#This Row],[Q]]*Inventory_List_Table34111510[[#This Row],[PRICE]])</f>
        <v xml:space="preserve"> </v>
      </c>
      <c r="N3" s="35" t="str">
        <f>IF(Inventory_List_Table34111510[[#This Row],[Q]]&lt;0.1, " ", Inventory_List_Table34111510[[#This Row],[KG]]*2.20462)</f>
        <v xml:space="preserve"> </v>
      </c>
      <c r="O3" s="35" t="str">
        <f>IF(Inventory_List_Table34111510[[#This Row],[Q]]&lt;0.1, " ",Inventory_List_Table34111510[[#This Row],[H CM]]/2.54)</f>
        <v xml:space="preserve"> </v>
      </c>
      <c r="P3" s="35" t="str">
        <f>IF(Inventory_List_Table34111510[[#This Row],[Q]]&lt;0.1, " ",Inventory_List_Table34111510[[#This Row],[W CM]]/2.54)</f>
        <v xml:space="preserve"> </v>
      </c>
      <c r="Q3" s="35" t="str">
        <f>IF(Inventory_List_Table34111510[[#This Row],[Q]]&lt;0.1, " ",Inventory_List_Table34111510[[#This Row],[D CM ]]/2.54)</f>
        <v xml:space="preserve"> </v>
      </c>
      <c r="R3" s="30" t="str">
        <f>IF(Inventory_List_Table34111510[[#This Row],[Q]]&lt;0.1, " ",Inventory_List_Table34111510[[#This Row],[PRICE]]/$L$1)</f>
        <v xml:space="preserve"> </v>
      </c>
      <c r="S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" s="30" t="str">
        <f>IF(Inventory_List_Table34111510[[#This Row],[Q]]&lt;0.1, " ",Inventory_List_Table34111510[[#This Row],[AQ RND USD]]*1.4)</f>
        <v xml:space="preserve"> </v>
      </c>
      <c r="U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" s="30" t="str">
        <f>IF(Inventory_List_Table34111510[[#This Row],[Q]]&lt;0.1, " ",Inventory_List_Table34111510[[#This Row],[LND RND USD]]*12)</f>
        <v xml:space="preserve"> </v>
      </c>
      <c r="W3" s="30" t="str">
        <f>IF(Inventory_List_Table34111510[[#This Row],[Q]]&lt;0.1, " ",Inventory_List_Table34111510[[#This Row],[AQ USD]])</f>
        <v xml:space="preserve"> </v>
      </c>
      <c r="X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" s="36" t="str">
        <f>IF(Inventory_List_Table34111510[[#This Row],[Q]]&lt;0.1, " ",Inventory_List_Table34111510[[#This Row],[PRICE]]/Z3*10000)</f>
        <v xml:space="preserve"> </v>
      </c>
      <c r="AC3" s="27"/>
      <c r="AD3" s="28"/>
    </row>
    <row r="4" spans="1:30" ht="21" x14ac:dyDescent="0.3">
      <c r="A4" s="547">
        <v>2</v>
      </c>
      <c r="B4" s="1"/>
      <c r="C4" s="558"/>
      <c r="D4" s="558"/>
      <c r="E4" s="558"/>
      <c r="F4" s="38" t="str">
        <f>IF(Inventory_List_Table34111510[[#This Row],[Q]]&lt;0.1, " ",$A$1&amp;$D$1&amp;Inventory_List_Table34111510[[#This Row],['#]]&amp;Inventory_List_Table34111510[[#This Row],[LC]])</f>
        <v xml:space="preserve"> </v>
      </c>
      <c r="G4" s="93"/>
      <c r="H4" s="93"/>
      <c r="I4" s="93"/>
      <c r="J4" s="93"/>
      <c r="K4" s="93"/>
      <c r="L4" s="95"/>
      <c r="M4" s="30" t="str">
        <f>IF(Inventory_List_Table34111510[[#This Row],[Q]]&lt;0.1, " ", Inventory_List_Table34111510[[#This Row],[Q]]*Inventory_List_Table34111510[[#This Row],[PRICE]])</f>
        <v xml:space="preserve"> </v>
      </c>
      <c r="N4" s="35" t="str">
        <f>IF(Inventory_List_Table34111510[[#This Row],[Q]]&lt;0.1, " ", Inventory_List_Table34111510[[#This Row],[KG]]*2.20462)</f>
        <v xml:space="preserve"> </v>
      </c>
      <c r="O4" s="35" t="str">
        <f>IF(Inventory_List_Table34111510[[#This Row],[Q]]&lt;0.1, " ",Inventory_List_Table34111510[[#This Row],[H CM]]/2.54)</f>
        <v xml:space="preserve"> </v>
      </c>
      <c r="P4" s="35" t="str">
        <f>IF(Inventory_List_Table34111510[[#This Row],[Q]]&lt;0.1, " ",Inventory_List_Table34111510[[#This Row],[W CM]]/2.54)</f>
        <v xml:space="preserve"> </v>
      </c>
      <c r="Q4" s="35" t="str">
        <f>IF(Inventory_List_Table34111510[[#This Row],[Q]]&lt;0.1, " ",Inventory_List_Table34111510[[#This Row],[D CM ]]/2.54)</f>
        <v xml:space="preserve"> </v>
      </c>
      <c r="R4" s="30" t="str">
        <f>IF(Inventory_List_Table34111510[[#This Row],[Q]]&lt;0.1, " ",Inventory_List_Table34111510[[#This Row],[PRICE]]/$L$1)</f>
        <v xml:space="preserve"> </v>
      </c>
      <c r="S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" s="30" t="str">
        <f>IF(Inventory_List_Table34111510[[#This Row],[Q]]&lt;0.1, " ",Inventory_List_Table34111510[[#This Row],[AQ RND USD]]*1.4)</f>
        <v xml:space="preserve"> </v>
      </c>
      <c r="U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" s="30" t="str">
        <f>IF(Inventory_List_Table34111510[[#This Row],[Q]]&lt;0.1, " ",Inventory_List_Table34111510[[#This Row],[LND RND USD]]*12)</f>
        <v xml:space="preserve"> </v>
      </c>
      <c r="W4" s="30" t="str">
        <f>IF(Inventory_List_Table34111510[[#This Row],[Q]]&lt;0.1, " ",Inventory_List_Table34111510[[#This Row],[AQ USD]])</f>
        <v xml:space="preserve"> </v>
      </c>
      <c r="X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" s="30" t="str">
        <f>IF(Inventory_List_Table34111510[[#This Row],[Q]]&lt;0.1, " ",Inventory_List_Table34111510[[#This Row],[PRICE]]/Z4*10000)</f>
        <v xml:space="preserve"> </v>
      </c>
      <c r="AB4" s="27"/>
      <c r="AC4" s="1"/>
      <c r="AD4" s="1"/>
    </row>
    <row r="5" spans="1:30" ht="24" customHeight="1" x14ac:dyDescent="0.3">
      <c r="A5" s="547">
        <v>3</v>
      </c>
      <c r="B5" s="1"/>
      <c r="C5" s="558"/>
      <c r="D5" s="558"/>
      <c r="E5" s="558"/>
      <c r="F5" s="38" t="str">
        <f>IF(Inventory_List_Table34111510[[#This Row],[Q]]&lt;0.1, " ",$A$1&amp;$D$1&amp;Inventory_List_Table34111510[[#This Row],['#]]&amp;Inventory_List_Table34111510[[#This Row],[LC]])</f>
        <v xml:space="preserve"> </v>
      </c>
      <c r="G5" s="93"/>
      <c r="H5" s="93"/>
      <c r="I5" s="93"/>
      <c r="J5" s="93"/>
      <c r="K5" s="93"/>
      <c r="L5" s="95"/>
      <c r="M5" s="30" t="str">
        <f>IF(Inventory_List_Table34111510[[#This Row],[Q]]&lt;0.1, " ", Inventory_List_Table34111510[[#This Row],[Q]]*Inventory_List_Table34111510[[#This Row],[PRICE]])</f>
        <v xml:space="preserve"> </v>
      </c>
      <c r="N5" s="35" t="str">
        <f>IF(Inventory_List_Table34111510[[#This Row],[Q]]&lt;0.1, " ", Inventory_List_Table34111510[[#This Row],[KG]]*2.20462)</f>
        <v xml:space="preserve"> </v>
      </c>
      <c r="O5" s="35" t="str">
        <f>IF(Inventory_List_Table34111510[[#This Row],[Q]]&lt;0.1, " ",Inventory_List_Table34111510[[#This Row],[H CM]]/2.54)</f>
        <v xml:space="preserve"> </v>
      </c>
      <c r="P5" s="35" t="str">
        <f>IF(Inventory_List_Table34111510[[#This Row],[Q]]&lt;0.1, " ",Inventory_List_Table34111510[[#This Row],[W CM]]/2.54)</f>
        <v xml:space="preserve"> </v>
      </c>
      <c r="Q5" s="35" t="str">
        <f>IF(Inventory_List_Table34111510[[#This Row],[Q]]&lt;0.1, " ",Inventory_List_Table34111510[[#This Row],[D CM ]]/2.54)</f>
        <v xml:space="preserve"> </v>
      </c>
      <c r="R5" s="30" t="str">
        <f>IF(Inventory_List_Table34111510[[#This Row],[Q]]&lt;0.1, " ",Inventory_List_Table34111510[[#This Row],[PRICE]]/$L$1)</f>
        <v xml:space="preserve"> </v>
      </c>
      <c r="S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" s="30" t="str">
        <f>IF(Inventory_List_Table34111510[[#This Row],[Q]]&lt;0.1, " ",Inventory_List_Table34111510[[#This Row],[AQ RND USD]]*1.4)</f>
        <v xml:space="preserve"> </v>
      </c>
      <c r="U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" s="30" t="str">
        <f>IF(Inventory_List_Table34111510[[#This Row],[Q]]&lt;0.1, " ",Inventory_List_Table34111510[[#This Row],[LND RND USD]]*12)</f>
        <v xml:space="preserve"> </v>
      </c>
      <c r="W5" s="30" t="str">
        <f>IF(Inventory_List_Table34111510[[#This Row],[Q]]&lt;0.1, " ",Inventory_List_Table34111510[[#This Row],[AQ USD]])</f>
        <v xml:space="preserve"> </v>
      </c>
      <c r="X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" s="30" t="str">
        <f>IF(Inventory_List_Table34111510[[#This Row],[Q]]&lt;0.1, " ",Inventory_List_Table34111510[[#This Row],[PRICE]]/Z5*10000)</f>
        <v xml:space="preserve"> </v>
      </c>
      <c r="AB5" s="27"/>
      <c r="AC5" s="1"/>
      <c r="AD5" s="1"/>
    </row>
    <row r="6" spans="1:30" ht="24" customHeight="1" x14ac:dyDescent="0.3">
      <c r="A6" s="547">
        <v>4</v>
      </c>
      <c r="B6" s="1"/>
      <c r="C6" s="558"/>
      <c r="D6" s="558"/>
      <c r="E6" s="558"/>
      <c r="F6" s="38" t="str">
        <f>IF(Inventory_List_Table34111510[[#This Row],[Q]]&lt;0.1, " ",$A$1&amp;$D$1&amp;Inventory_List_Table34111510[[#This Row],['#]]&amp;Inventory_List_Table34111510[[#This Row],[LC]])</f>
        <v xml:space="preserve"> </v>
      </c>
      <c r="G6" s="93"/>
      <c r="H6" s="93"/>
      <c r="I6" s="93"/>
      <c r="J6" s="93"/>
      <c r="K6" s="93"/>
      <c r="L6" s="95"/>
      <c r="M6" s="30" t="str">
        <f>IF(Inventory_List_Table34111510[[#This Row],[Q]]&lt;0.1, " ", Inventory_List_Table34111510[[#This Row],[Q]]*Inventory_List_Table34111510[[#This Row],[PRICE]])</f>
        <v xml:space="preserve"> </v>
      </c>
      <c r="N6" s="35" t="str">
        <f>IF(Inventory_List_Table34111510[[#This Row],[Q]]&lt;0.1, " ", Inventory_List_Table34111510[[#This Row],[KG]]*2.20462)</f>
        <v xml:space="preserve"> </v>
      </c>
      <c r="O6" s="35" t="str">
        <f>IF(Inventory_List_Table34111510[[#This Row],[Q]]&lt;0.1, " ",Inventory_List_Table34111510[[#This Row],[H CM]]/2.54)</f>
        <v xml:space="preserve"> </v>
      </c>
      <c r="P6" s="35" t="str">
        <f>IF(Inventory_List_Table34111510[[#This Row],[Q]]&lt;0.1, " ",Inventory_List_Table34111510[[#This Row],[W CM]]/2.54)</f>
        <v xml:space="preserve"> </v>
      </c>
      <c r="Q6" s="35" t="str">
        <f>IF(Inventory_List_Table34111510[[#This Row],[Q]]&lt;0.1, " ",Inventory_List_Table34111510[[#This Row],[D CM ]]/2.54)</f>
        <v xml:space="preserve"> </v>
      </c>
      <c r="R6" s="30" t="str">
        <f>IF(Inventory_List_Table34111510[[#This Row],[Q]]&lt;0.1, " ",Inventory_List_Table34111510[[#This Row],[PRICE]]/$L$1)</f>
        <v xml:space="preserve"> </v>
      </c>
      <c r="S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" s="30" t="str">
        <f>IF(Inventory_List_Table34111510[[#This Row],[Q]]&lt;0.1, " ",Inventory_List_Table34111510[[#This Row],[AQ RND USD]]*1.4)</f>
        <v xml:space="preserve"> </v>
      </c>
      <c r="U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" s="30" t="str">
        <f>IF(Inventory_List_Table34111510[[#This Row],[Q]]&lt;0.1, " ",Inventory_List_Table34111510[[#This Row],[LND RND USD]]*12)</f>
        <v xml:space="preserve"> </v>
      </c>
      <c r="W6" s="30" t="str">
        <f>IF(Inventory_List_Table34111510[[#This Row],[Q]]&lt;0.1, " ",Inventory_List_Table34111510[[#This Row],[AQ USD]])</f>
        <v xml:space="preserve"> </v>
      </c>
      <c r="X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" s="30" t="str">
        <f>IF(Inventory_List_Table34111510[[#This Row],[Q]]&lt;0.1, " ",Inventory_List_Table34111510[[#This Row],[PRICE]]/Z6*10000)</f>
        <v xml:space="preserve"> </v>
      </c>
      <c r="AB6" s="27"/>
      <c r="AC6" s="1"/>
      <c r="AD6" s="1"/>
    </row>
    <row r="7" spans="1:30" ht="24" customHeight="1" x14ac:dyDescent="0.3">
      <c r="A7" s="547">
        <v>5</v>
      </c>
      <c r="B7" s="1"/>
      <c r="C7" s="558"/>
      <c r="D7" s="558"/>
      <c r="E7" s="558"/>
      <c r="F7" s="38" t="str">
        <f>IF(Inventory_List_Table34111510[[#This Row],[Q]]&lt;0.1, " ",$A$1&amp;$D$1&amp;Inventory_List_Table34111510[[#This Row],['#]]&amp;Inventory_List_Table34111510[[#This Row],[LC]])</f>
        <v xml:space="preserve"> </v>
      </c>
      <c r="G7" s="93"/>
      <c r="H7" s="93"/>
      <c r="I7" s="93"/>
      <c r="J7" s="93"/>
      <c r="K7" s="93"/>
      <c r="L7" s="95"/>
      <c r="M7" s="30" t="str">
        <f>IF(Inventory_List_Table34111510[[#This Row],[Q]]&lt;0.1, " ", Inventory_List_Table34111510[[#This Row],[Q]]*Inventory_List_Table34111510[[#This Row],[PRICE]])</f>
        <v xml:space="preserve"> </v>
      </c>
      <c r="N7" s="35" t="str">
        <f>IF(Inventory_List_Table34111510[[#This Row],[Q]]&lt;0.1, " ", Inventory_List_Table34111510[[#This Row],[KG]]*2.20462)</f>
        <v xml:space="preserve"> </v>
      </c>
      <c r="O7" s="35" t="str">
        <f>IF(Inventory_List_Table34111510[[#This Row],[Q]]&lt;0.1, " ",Inventory_List_Table34111510[[#This Row],[H CM]]/2.54)</f>
        <v xml:space="preserve"> </v>
      </c>
      <c r="P7" s="35" t="str">
        <f>IF(Inventory_List_Table34111510[[#This Row],[Q]]&lt;0.1, " ",Inventory_List_Table34111510[[#This Row],[W CM]]/2.54)</f>
        <v xml:space="preserve"> </v>
      </c>
      <c r="Q7" s="35" t="str">
        <f>IF(Inventory_List_Table34111510[[#This Row],[Q]]&lt;0.1, " ",Inventory_List_Table34111510[[#This Row],[D CM ]]/2.54)</f>
        <v xml:space="preserve"> </v>
      </c>
      <c r="R7" s="30" t="str">
        <f>IF(Inventory_List_Table34111510[[#This Row],[Q]]&lt;0.1, " ",Inventory_List_Table34111510[[#This Row],[PRICE]]/$L$1)</f>
        <v xml:space="preserve"> </v>
      </c>
      <c r="S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" s="30" t="str">
        <f>IF(Inventory_List_Table34111510[[#This Row],[Q]]&lt;0.1, " ",Inventory_List_Table34111510[[#This Row],[AQ RND USD]]*1.4)</f>
        <v xml:space="preserve"> </v>
      </c>
      <c r="U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" s="30" t="str">
        <f>IF(Inventory_List_Table34111510[[#This Row],[Q]]&lt;0.1, " ",Inventory_List_Table34111510[[#This Row],[LND RND USD]]*12)</f>
        <v xml:space="preserve"> </v>
      </c>
      <c r="W7" s="30" t="str">
        <f>IF(Inventory_List_Table34111510[[#This Row],[Q]]&lt;0.1, " ",Inventory_List_Table34111510[[#This Row],[AQ USD]])</f>
        <v xml:space="preserve"> </v>
      </c>
      <c r="X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" s="30" t="str">
        <f>IF(Inventory_List_Table34111510[[#This Row],[Q]]&lt;0.1, " ",Inventory_List_Table34111510[[#This Row],[PRICE]]/Z7*10000)</f>
        <v xml:space="preserve"> </v>
      </c>
      <c r="AB7" s="27"/>
      <c r="AC7" s="1"/>
      <c r="AD7" s="1"/>
    </row>
    <row r="8" spans="1:30" ht="24" customHeight="1" x14ac:dyDescent="0.3">
      <c r="A8" s="547">
        <v>6</v>
      </c>
      <c r="B8" s="1"/>
      <c r="C8" s="558"/>
      <c r="D8" s="558"/>
      <c r="E8" s="558"/>
      <c r="F8" s="38" t="str">
        <f>IF(Inventory_List_Table34111510[[#This Row],[Q]]&lt;0.1, " ",$A$1&amp;$D$1&amp;Inventory_List_Table34111510[[#This Row],['#]]&amp;Inventory_List_Table34111510[[#This Row],[LC]])</f>
        <v xml:space="preserve"> </v>
      </c>
      <c r="G8" s="93"/>
      <c r="H8" s="93"/>
      <c r="I8" s="93"/>
      <c r="J8" s="93"/>
      <c r="K8" s="93"/>
      <c r="L8" s="95"/>
      <c r="M8" s="30" t="str">
        <f>IF(Inventory_List_Table34111510[[#This Row],[Q]]&lt;0.1, " ", Inventory_List_Table34111510[[#This Row],[Q]]*Inventory_List_Table34111510[[#This Row],[PRICE]])</f>
        <v xml:space="preserve"> </v>
      </c>
      <c r="N8" s="35" t="str">
        <f>IF(Inventory_List_Table34111510[[#This Row],[Q]]&lt;0.1, " ", Inventory_List_Table34111510[[#This Row],[KG]]*2.20462)</f>
        <v xml:space="preserve"> </v>
      </c>
      <c r="O8" s="35" t="str">
        <f>IF(Inventory_List_Table34111510[[#This Row],[Q]]&lt;0.1, " ",Inventory_List_Table34111510[[#This Row],[H CM]]/2.54)</f>
        <v xml:space="preserve"> </v>
      </c>
      <c r="P8" s="35" t="str">
        <f>IF(Inventory_List_Table34111510[[#This Row],[Q]]&lt;0.1, " ",Inventory_List_Table34111510[[#This Row],[W CM]]/2.54)</f>
        <v xml:space="preserve"> </v>
      </c>
      <c r="Q8" s="35" t="str">
        <f>IF(Inventory_List_Table34111510[[#This Row],[Q]]&lt;0.1, " ",Inventory_List_Table34111510[[#This Row],[D CM ]]/2.54)</f>
        <v xml:space="preserve"> </v>
      </c>
      <c r="R8" s="30" t="str">
        <f>IF(Inventory_List_Table34111510[[#This Row],[Q]]&lt;0.1, " ",Inventory_List_Table34111510[[#This Row],[PRICE]]/$L$1)</f>
        <v xml:space="preserve"> </v>
      </c>
      <c r="S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" s="30" t="str">
        <f>IF(Inventory_List_Table34111510[[#This Row],[Q]]&lt;0.1, " ",Inventory_List_Table34111510[[#This Row],[AQ RND USD]]*1.4)</f>
        <v xml:space="preserve"> </v>
      </c>
      <c r="U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" s="30" t="str">
        <f>IF(Inventory_List_Table34111510[[#This Row],[Q]]&lt;0.1, " ",Inventory_List_Table34111510[[#This Row],[LND RND USD]]*12)</f>
        <v xml:space="preserve"> </v>
      </c>
      <c r="W8" s="30" t="str">
        <f>IF(Inventory_List_Table34111510[[#This Row],[Q]]&lt;0.1, " ",Inventory_List_Table34111510[[#This Row],[AQ USD]])</f>
        <v xml:space="preserve"> </v>
      </c>
      <c r="X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" s="30" t="str">
        <f>IF(Inventory_List_Table34111510[[#This Row],[Q]]&lt;0.1, " ",Inventory_List_Table34111510[[#This Row],[PRICE]]/Z8*10000)</f>
        <v xml:space="preserve"> </v>
      </c>
      <c r="AB8" s="27"/>
      <c r="AC8" s="1"/>
      <c r="AD8" s="1"/>
    </row>
    <row r="9" spans="1:30" ht="24" customHeight="1" x14ac:dyDescent="0.3">
      <c r="A9" s="547">
        <v>7</v>
      </c>
      <c r="B9" s="1"/>
      <c r="C9" s="558"/>
      <c r="D9" s="558"/>
      <c r="E9" s="558"/>
      <c r="F9" s="38" t="str">
        <f>IF(Inventory_List_Table34111510[[#This Row],[Q]]&lt;0.1, " ",$A$1&amp;$D$1&amp;Inventory_List_Table34111510[[#This Row],['#]]&amp;Inventory_List_Table34111510[[#This Row],[LC]])</f>
        <v xml:space="preserve"> </v>
      </c>
      <c r="G9" s="93"/>
      <c r="H9" s="93"/>
      <c r="I9" s="93"/>
      <c r="J9" s="93"/>
      <c r="K9" s="93"/>
      <c r="L9" s="95"/>
      <c r="M9" s="30" t="str">
        <f>IF(Inventory_List_Table34111510[[#This Row],[Q]]&lt;0.1, " ", Inventory_List_Table34111510[[#This Row],[Q]]*Inventory_List_Table34111510[[#This Row],[PRICE]])</f>
        <v xml:space="preserve"> </v>
      </c>
      <c r="N9" s="35" t="str">
        <f>IF(Inventory_List_Table34111510[[#This Row],[Q]]&lt;0.1, " ", Inventory_List_Table34111510[[#This Row],[KG]]*2.20462)</f>
        <v xml:space="preserve"> </v>
      </c>
      <c r="O9" s="35" t="str">
        <f>IF(Inventory_List_Table34111510[[#This Row],[Q]]&lt;0.1, " ",Inventory_List_Table34111510[[#This Row],[H CM]]/2.54)</f>
        <v xml:space="preserve"> </v>
      </c>
      <c r="P9" s="35" t="str">
        <f>IF(Inventory_List_Table34111510[[#This Row],[Q]]&lt;0.1, " ",Inventory_List_Table34111510[[#This Row],[W CM]]/2.54)</f>
        <v xml:space="preserve"> </v>
      </c>
      <c r="Q9" s="35" t="str">
        <f>IF(Inventory_List_Table34111510[[#This Row],[Q]]&lt;0.1, " ",Inventory_List_Table34111510[[#This Row],[D CM ]]/2.54)</f>
        <v xml:space="preserve"> </v>
      </c>
      <c r="R9" s="30" t="str">
        <f>IF(Inventory_List_Table34111510[[#This Row],[Q]]&lt;0.1, " ",Inventory_List_Table34111510[[#This Row],[PRICE]]/$L$1)</f>
        <v xml:space="preserve"> </v>
      </c>
      <c r="S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" s="30" t="str">
        <f>IF(Inventory_List_Table34111510[[#This Row],[Q]]&lt;0.1, " ",Inventory_List_Table34111510[[#This Row],[AQ RND USD]]*1.4)</f>
        <v xml:space="preserve"> </v>
      </c>
      <c r="U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" s="30" t="str">
        <f>IF(Inventory_List_Table34111510[[#This Row],[Q]]&lt;0.1, " ",Inventory_List_Table34111510[[#This Row],[LND RND USD]]*12)</f>
        <v xml:space="preserve"> </v>
      </c>
      <c r="W9" s="30" t="str">
        <f>IF(Inventory_List_Table34111510[[#This Row],[Q]]&lt;0.1, " ",Inventory_List_Table34111510[[#This Row],[AQ USD]])</f>
        <v xml:space="preserve"> </v>
      </c>
      <c r="X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" s="30" t="str">
        <f>IF(Inventory_List_Table34111510[[#This Row],[Q]]&lt;0.1, " ",Inventory_List_Table34111510[[#This Row],[PRICE]]/Z9*10000)</f>
        <v xml:space="preserve"> </v>
      </c>
      <c r="AB9" s="27"/>
      <c r="AC9" s="1"/>
      <c r="AD9" s="1"/>
    </row>
    <row r="10" spans="1:30" ht="24" customHeight="1" x14ac:dyDescent="0.3">
      <c r="A10" s="547">
        <v>8</v>
      </c>
      <c r="B10" s="1"/>
      <c r="C10" s="558"/>
      <c r="D10" s="558"/>
      <c r="E10" s="558"/>
      <c r="F10" s="38" t="str">
        <f>IF(Inventory_List_Table34111510[[#This Row],[Q]]&lt;0.1, " ",$A$1&amp;$D$1&amp;Inventory_List_Table34111510[[#This Row],['#]]&amp;Inventory_List_Table34111510[[#This Row],[LC]])</f>
        <v xml:space="preserve"> </v>
      </c>
      <c r="G10" s="93"/>
      <c r="H10" s="93"/>
      <c r="I10" s="93"/>
      <c r="J10" s="93"/>
      <c r="K10" s="93"/>
      <c r="L10" s="95"/>
      <c r="M10" s="30" t="str">
        <f>IF(Inventory_List_Table34111510[[#This Row],[Q]]&lt;0.1, " ", Inventory_List_Table34111510[[#This Row],[Q]]*Inventory_List_Table34111510[[#This Row],[PRICE]])</f>
        <v xml:space="preserve"> </v>
      </c>
      <c r="N10" s="35" t="str">
        <f>IF(Inventory_List_Table34111510[[#This Row],[Q]]&lt;0.1, " ", Inventory_List_Table34111510[[#This Row],[KG]]*2.20462)</f>
        <v xml:space="preserve"> </v>
      </c>
      <c r="O10" s="35" t="str">
        <f>IF(Inventory_List_Table34111510[[#This Row],[Q]]&lt;0.1, " ",Inventory_List_Table34111510[[#This Row],[H CM]]/2.54)</f>
        <v xml:space="preserve"> </v>
      </c>
      <c r="P10" s="35" t="str">
        <f>IF(Inventory_List_Table34111510[[#This Row],[Q]]&lt;0.1, " ",Inventory_List_Table34111510[[#This Row],[W CM]]/2.54)</f>
        <v xml:space="preserve"> </v>
      </c>
      <c r="Q10" s="35" t="str">
        <f>IF(Inventory_List_Table34111510[[#This Row],[Q]]&lt;0.1, " ",Inventory_List_Table34111510[[#This Row],[D CM ]]/2.54)</f>
        <v xml:space="preserve"> </v>
      </c>
      <c r="R10" s="30" t="str">
        <f>IF(Inventory_List_Table34111510[[#This Row],[Q]]&lt;0.1, " ",Inventory_List_Table34111510[[#This Row],[PRICE]]/$L$1)</f>
        <v xml:space="preserve"> </v>
      </c>
      <c r="S1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0" s="30" t="str">
        <f>IF(Inventory_List_Table34111510[[#This Row],[Q]]&lt;0.1, " ",Inventory_List_Table34111510[[#This Row],[AQ RND USD]]*1.4)</f>
        <v xml:space="preserve"> </v>
      </c>
      <c r="U1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0" s="30" t="str">
        <f>IF(Inventory_List_Table34111510[[#This Row],[Q]]&lt;0.1, " ",Inventory_List_Table34111510[[#This Row],[LND RND USD]]*12)</f>
        <v xml:space="preserve"> </v>
      </c>
      <c r="W10" s="30" t="str">
        <f>IF(Inventory_List_Table34111510[[#This Row],[Q]]&lt;0.1, " ",Inventory_List_Table34111510[[#This Row],[AQ USD]])</f>
        <v xml:space="preserve"> </v>
      </c>
      <c r="X1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0" s="30" t="str">
        <f>IF(Inventory_List_Table34111510[[#This Row],[Q]]&lt;0.1, " ",Inventory_List_Table34111510[[#This Row],[PRICE]]/Z10*10000)</f>
        <v xml:space="preserve"> </v>
      </c>
      <c r="AB10" s="27"/>
      <c r="AC10" s="1"/>
      <c r="AD10" s="1"/>
    </row>
    <row r="11" spans="1:30" ht="24" customHeight="1" x14ac:dyDescent="0.3">
      <c r="A11" s="547">
        <v>9</v>
      </c>
      <c r="B11" s="1"/>
      <c r="C11" s="558"/>
      <c r="D11" s="558"/>
      <c r="E11" s="558"/>
      <c r="F11" s="38" t="str">
        <f>IF(Inventory_List_Table34111510[[#This Row],[Q]]&lt;0.1, " ",$A$1&amp;$D$1&amp;Inventory_List_Table34111510[[#This Row],['#]]&amp;Inventory_List_Table34111510[[#This Row],[LC]])</f>
        <v xml:space="preserve"> </v>
      </c>
      <c r="G11" s="93"/>
      <c r="H11" s="93"/>
      <c r="I11" s="93"/>
      <c r="J11" s="93"/>
      <c r="K11" s="93"/>
      <c r="L11" s="95"/>
      <c r="M11" s="30" t="str">
        <f>IF(Inventory_List_Table34111510[[#This Row],[Q]]&lt;0.1, " ", Inventory_List_Table34111510[[#This Row],[Q]]*Inventory_List_Table34111510[[#This Row],[PRICE]])</f>
        <v xml:space="preserve"> </v>
      </c>
      <c r="N11" s="35" t="str">
        <f>IF(Inventory_List_Table34111510[[#This Row],[Q]]&lt;0.1, " ", Inventory_List_Table34111510[[#This Row],[KG]]*2.20462)</f>
        <v xml:space="preserve"> </v>
      </c>
      <c r="O11" s="35" t="str">
        <f>IF(Inventory_List_Table34111510[[#This Row],[Q]]&lt;0.1, " ",Inventory_List_Table34111510[[#This Row],[H CM]]/2.54)</f>
        <v xml:space="preserve"> </v>
      </c>
      <c r="P11" s="35" t="str">
        <f>IF(Inventory_List_Table34111510[[#This Row],[Q]]&lt;0.1, " ",Inventory_List_Table34111510[[#This Row],[W CM]]/2.54)</f>
        <v xml:space="preserve"> </v>
      </c>
      <c r="Q11" s="35" t="str">
        <f>IF(Inventory_List_Table34111510[[#This Row],[Q]]&lt;0.1, " ",Inventory_List_Table34111510[[#This Row],[D CM ]]/2.54)</f>
        <v xml:space="preserve"> </v>
      </c>
      <c r="R11" s="30" t="str">
        <f>IF(Inventory_List_Table34111510[[#This Row],[Q]]&lt;0.1, " ",Inventory_List_Table34111510[[#This Row],[PRICE]]/$L$1)</f>
        <v xml:space="preserve"> </v>
      </c>
      <c r="S1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1" s="30" t="str">
        <f>IF(Inventory_List_Table34111510[[#This Row],[Q]]&lt;0.1, " ",Inventory_List_Table34111510[[#This Row],[AQ RND USD]]*1.4)</f>
        <v xml:space="preserve"> </v>
      </c>
      <c r="U1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1" s="30" t="str">
        <f>IF(Inventory_List_Table34111510[[#This Row],[Q]]&lt;0.1, " ",Inventory_List_Table34111510[[#This Row],[LND RND USD]]*12)</f>
        <v xml:space="preserve"> </v>
      </c>
      <c r="W11" s="30" t="str">
        <f>IF(Inventory_List_Table34111510[[#This Row],[Q]]&lt;0.1, " ",Inventory_List_Table34111510[[#This Row],[AQ USD]])</f>
        <v xml:space="preserve"> </v>
      </c>
      <c r="X1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1" s="30" t="str">
        <f>IF(Inventory_List_Table34111510[[#This Row],[Q]]&lt;0.1, " ",Inventory_List_Table34111510[[#This Row],[PRICE]]/Z11*10000)</f>
        <v xml:space="preserve"> </v>
      </c>
      <c r="AB11" s="27"/>
      <c r="AC11" s="1"/>
      <c r="AD11" s="1"/>
    </row>
    <row r="12" spans="1:30" ht="24" customHeight="1" x14ac:dyDescent="0.3">
      <c r="A12" s="547">
        <v>10</v>
      </c>
      <c r="B12" s="1"/>
      <c r="C12" s="558"/>
      <c r="D12" s="558"/>
      <c r="E12" s="558"/>
      <c r="F12" s="38" t="str">
        <f>IF(Inventory_List_Table34111510[[#This Row],[Q]]&lt;0.1, " ",$A$1&amp;$D$1&amp;Inventory_List_Table34111510[[#This Row],['#]]&amp;Inventory_List_Table34111510[[#This Row],[LC]])</f>
        <v xml:space="preserve"> </v>
      </c>
      <c r="G12" s="93"/>
      <c r="H12" s="93"/>
      <c r="I12" s="93"/>
      <c r="J12" s="93"/>
      <c r="K12" s="93"/>
      <c r="L12" s="95"/>
      <c r="M12" s="30" t="str">
        <f>IF(Inventory_List_Table34111510[[#This Row],[Q]]&lt;0.1, " ", Inventory_List_Table34111510[[#This Row],[Q]]*Inventory_List_Table34111510[[#This Row],[PRICE]])</f>
        <v xml:space="preserve"> </v>
      </c>
      <c r="N12" s="35" t="str">
        <f>IF(Inventory_List_Table34111510[[#This Row],[Q]]&lt;0.1, " ", Inventory_List_Table34111510[[#This Row],[KG]]*2.20462)</f>
        <v xml:space="preserve"> </v>
      </c>
      <c r="O12" s="35" t="str">
        <f>IF(Inventory_List_Table34111510[[#This Row],[Q]]&lt;0.1, " ",Inventory_List_Table34111510[[#This Row],[H CM]]/2.54)</f>
        <v xml:space="preserve"> </v>
      </c>
      <c r="P12" s="35" t="str">
        <f>IF(Inventory_List_Table34111510[[#This Row],[Q]]&lt;0.1, " ",Inventory_List_Table34111510[[#This Row],[W CM]]/2.54)</f>
        <v xml:space="preserve"> </v>
      </c>
      <c r="Q12" s="35" t="str">
        <f>IF(Inventory_List_Table34111510[[#This Row],[Q]]&lt;0.1, " ",Inventory_List_Table34111510[[#This Row],[D CM ]]/2.54)</f>
        <v xml:space="preserve"> </v>
      </c>
      <c r="R12" s="30" t="str">
        <f>IF(Inventory_List_Table34111510[[#This Row],[Q]]&lt;0.1, " ",Inventory_List_Table34111510[[#This Row],[PRICE]]/$L$1)</f>
        <v xml:space="preserve"> </v>
      </c>
      <c r="S1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2" s="30" t="str">
        <f>IF(Inventory_List_Table34111510[[#This Row],[Q]]&lt;0.1, " ",Inventory_List_Table34111510[[#This Row],[AQ RND USD]]*1.4)</f>
        <v xml:space="preserve"> </v>
      </c>
      <c r="U1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2" s="30" t="str">
        <f>IF(Inventory_List_Table34111510[[#This Row],[Q]]&lt;0.1, " ",Inventory_List_Table34111510[[#This Row],[LND RND USD]]*12)</f>
        <v xml:space="preserve"> </v>
      </c>
      <c r="W12" s="30" t="str">
        <f>IF(Inventory_List_Table34111510[[#This Row],[Q]]&lt;0.1, " ",Inventory_List_Table34111510[[#This Row],[AQ USD]])</f>
        <v xml:space="preserve"> </v>
      </c>
      <c r="X1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2" s="30" t="str">
        <f>IF(Inventory_List_Table34111510[[#This Row],[Q]]&lt;0.1, " ",Inventory_List_Table34111510[[#This Row],[PRICE]]/Z12*10000)</f>
        <v xml:space="preserve"> </v>
      </c>
      <c r="AB12" s="27"/>
      <c r="AC12" s="1"/>
      <c r="AD12" s="1"/>
    </row>
    <row r="13" spans="1:30" ht="24" customHeight="1" x14ac:dyDescent="0.3">
      <c r="A13" s="547">
        <v>11</v>
      </c>
      <c r="B13" s="1"/>
      <c r="C13" s="558"/>
      <c r="D13" s="558"/>
      <c r="E13" s="558"/>
      <c r="F13" s="38" t="str">
        <f>IF(Inventory_List_Table34111510[[#This Row],[Q]]&lt;0.1, " ",$A$1&amp;$D$1&amp;Inventory_List_Table34111510[[#This Row],['#]]&amp;Inventory_List_Table34111510[[#This Row],[LC]])</f>
        <v xml:space="preserve"> </v>
      </c>
      <c r="G13" s="93"/>
      <c r="H13" s="93"/>
      <c r="I13" s="93"/>
      <c r="J13" s="93"/>
      <c r="K13" s="93"/>
      <c r="L13" s="95"/>
      <c r="M13" s="30" t="str">
        <f>IF(Inventory_List_Table34111510[[#This Row],[Q]]&lt;0.1, " ", Inventory_List_Table34111510[[#This Row],[Q]]*Inventory_List_Table34111510[[#This Row],[PRICE]])</f>
        <v xml:space="preserve"> </v>
      </c>
      <c r="N13" s="35" t="str">
        <f>IF(Inventory_List_Table34111510[[#This Row],[Q]]&lt;0.1, " ", Inventory_List_Table34111510[[#This Row],[KG]]*2.20462)</f>
        <v xml:space="preserve"> </v>
      </c>
      <c r="O13" s="35" t="str">
        <f>IF(Inventory_List_Table34111510[[#This Row],[Q]]&lt;0.1, " ",Inventory_List_Table34111510[[#This Row],[H CM]]/2.54)</f>
        <v xml:space="preserve"> </v>
      </c>
      <c r="P13" s="35" t="str">
        <f>IF(Inventory_List_Table34111510[[#This Row],[Q]]&lt;0.1, " ",Inventory_List_Table34111510[[#This Row],[W CM]]/2.54)</f>
        <v xml:space="preserve"> </v>
      </c>
      <c r="Q13" s="35" t="str">
        <f>IF(Inventory_List_Table34111510[[#This Row],[Q]]&lt;0.1, " ",Inventory_List_Table34111510[[#This Row],[D CM ]]/2.54)</f>
        <v xml:space="preserve"> </v>
      </c>
      <c r="R13" s="30" t="str">
        <f>IF(Inventory_List_Table34111510[[#This Row],[Q]]&lt;0.1, " ",Inventory_List_Table34111510[[#This Row],[PRICE]]/$L$1)</f>
        <v xml:space="preserve"> </v>
      </c>
      <c r="S1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3" s="30" t="str">
        <f>IF(Inventory_List_Table34111510[[#This Row],[Q]]&lt;0.1, " ",Inventory_List_Table34111510[[#This Row],[AQ RND USD]]*1.4)</f>
        <v xml:space="preserve"> </v>
      </c>
      <c r="U1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3" s="30" t="str">
        <f>IF(Inventory_List_Table34111510[[#This Row],[Q]]&lt;0.1, " ",Inventory_List_Table34111510[[#This Row],[LND RND USD]]*12)</f>
        <v xml:space="preserve"> </v>
      </c>
      <c r="W13" s="30" t="str">
        <f>IF(Inventory_List_Table34111510[[#This Row],[Q]]&lt;0.1, " ",Inventory_List_Table34111510[[#This Row],[AQ USD]])</f>
        <v xml:space="preserve"> </v>
      </c>
      <c r="X1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3" s="30" t="str">
        <f>IF(Inventory_List_Table34111510[[#This Row],[Q]]&lt;0.1, " ",Inventory_List_Table34111510[[#This Row],[PRICE]]/Z13*10000)</f>
        <v xml:space="preserve"> </v>
      </c>
      <c r="AB13" s="27"/>
      <c r="AC13" s="1"/>
      <c r="AD13" s="1"/>
    </row>
    <row r="14" spans="1:30" ht="24" customHeight="1" x14ac:dyDescent="0.3">
      <c r="A14" s="547">
        <v>12</v>
      </c>
      <c r="B14" s="1"/>
      <c r="C14" s="558"/>
      <c r="D14" s="558"/>
      <c r="E14" s="558"/>
      <c r="F14" s="38" t="str">
        <f>IF(Inventory_List_Table34111510[[#This Row],[Q]]&lt;0.1, " ",$A$1&amp;$D$1&amp;Inventory_List_Table34111510[[#This Row],['#]]&amp;Inventory_List_Table34111510[[#This Row],[LC]])</f>
        <v xml:space="preserve"> </v>
      </c>
      <c r="G14" s="93"/>
      <c r="H14" s="93"/>
      <c r="I14" s="93"/>
      <c r="J14" s="93"/>
      <c r="K14" s="93"/>
      <c r="L14" s="95"/>
      <c r="M14" s="30" t="str">
        <f>IF(Inventory_List_Table34111510[[#This Row],[Q]]&lt;0.1, " ", Inventory_List_Table34111510[[#This Row],[Q]]*Inventory_List_Table34111510[[#This Row],[PRICE]])</f>
        <v xml:space="preserve"> </v>
      </c>
      <c r="N14" s="35" t="str">
        <f>IF(Inventory_List_Table34111510[[#This Row],[Q]]&lt;0.1, " ", Inventory_List_Table34111510[[#This Row],[KG]]*2.20462)</f>
        <v xml:space="preserve"> </v>
      </c>
      <c r="O14" s="35" t="str">
        <f>IF(Inventory_List_Table34111510[[#This Row],[Q]]&lt;0.1, " ",Inventory_List_Table34111510[[#This Row],[H CM]]/2.54)</f>
        <v xml:space="preserve"> </v>
      </c>
      <c r="P14" s="35" t="str">
        <f>IF(Inventory_List_Table34111510[[#This Row],[Q]]&lt;0.1, " ",Inventory_List_Table34111510[[#This Row],[W CM]]/2.54)</f>
        <v xml:space="preserve"> </v>
      </c>
      <c r="Q14" s="35" t="str">
        <f>IF(Inventory_List_Table34111510[[#This Row],[Q]]&lt;0.1, " ",Inventory_List_Table34111510[[#This Row],[D CM ]]/2.54)</f>
        <v xml:space="preserve"> </v>
      </c>
      <c r="R14" s="30" t="str">
        <f>IF(Inventory_List_Table34111510[[#This Row],[Q]]&lt;0.1, " ",Inventory_List_Table34111510[[#This Row],[PRICE]]/$L$1)</f>
        <v xml:space="preserve"> </v>
      </c>
      <c r="S1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4" s="30" t="str">
        <f>IF(Inventory_List_Table34111510[[#This Row],[Q]]&lt;0.1, " ",Inventory_List_Table34111510[[#This Row],[AQ RND USD]]*1.4)</f>
        <v xml:space="preserve"> </v>
      </c>
      <c r="U1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4" s="30" t="str">
        <f>IF(Inventory_List_Table34111510[[#This Row],[Q]]&lt;0.1, " ",Inventory_List_Table34111510[[#This Row],[LND RND USD]]*12)</f>
        <v xml:space="preserve"> </v>
      </c>
      <c r="W14" s="30" t="str">
        <f>IF(Inventory_List_Table34111510[[#This Row],[Q]]&lt;0.1, " ",Inventory_List_Table34111510[[#This Row],[AQ USD]])</f>
        <v xml:space="preserve"> </v>
      </c>
      <c r="X1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4" s="30" t="str">
        <f>IF(Inventory_List_Table34111510[[#This Row],[Q]]&lt;0.1, " ",Inventory_List_Table34111510[[#This Row],[PRICE]]/Z14*10000)</f>
        <v xml:space="preserve"> </v>
      </c>
      <c r="AB14" s="27"/>
      <c r="AC14" s="1"/>
      <c r="AD14" s="1"/>
    </row>
    <row r="15" spans="1:30" ht="24" customHeight="1" x14ac:dyDescent="0.3">
      <c r="A15" s="547">
        <v>13</v>
      </c>
      <c r="B15" s="1"/>
      <c r="C15" s="558"/>
      <c r="D15" s="558"/>
      <c r="E15" s="558"/>
      <c r="F15" s="38" t="str">
        <f>IF(Inventory_List_Table34111510[[#This Row],[Q]]&lt;0.1, " ",$A$1&amp;$D$1&amp;Inventory_List_Table34111510[[#This Row],['#]]&amp;Inventory_List_Table34111510[[#This Row],[LC]])</f>
        <v xml:space="preserve"> </v>
      </c>
      <c r="G15" s="93"/>
      <c r="H15" s="93"/>
      <c r="I15" s="93"/>
      <c r="J15" s="93"/>
      <c r="K15" s="93"/>
      <c r="L15" s="95"/>
      <c r="M15" s="30" t="str">
        <f>IF(Inventory_List_Table34111510[[#This Row],[Q]]&lt;0.1, " ", Inventory_List_Table34111510[[#This Row],[Q]]*Inventory_List_Table34111510[[#This Row],[PRICE]])</f>
        <v xml:space="preserve"> </v>
      </c>
      <c r="N15" s="35" t="str">
        <f>IF(Inventory_List_Table34111510[[#This Row],[Q]]&lt;0.1, " ", Inventory_List_Table34111510[[#This Row],[KG]]*2.20462)</f>
        <v xml:space="preserve"> </v>
      </c>
      <c r="O15" s="35" t="str">
        <f>IF(Inventory_List_Table34111510[[#This Row],[Q]]&lt;0.1, " ",Inventory_List_Table34111510[[#This Row],[H CM]]/2.54)</f>
        <v xml:space="preserve"> </v>
      </c>
      <c r="P15" s="35" t="str">
        <f>IF(Inventory_List_Table34111510[[#This Row],[Q]]&lt;0.1, " ",Inventory_List_Table34111510[[#This Row],[W CM]]/2.54)</f>
        <v xml:space="preserve"> </v>
      </c>
      <c r="Q15" s="35" t="str">
        <f>IF(Inventory_List_Table34111510[[#This Row],[Q]]&lt;0.1, " ",Inventory_List_Table34111510[[#This Row],[D CM ]]/2.54)</f>
        <v xml:space="preserve"> </v>
      </c>
      <c r="R15" s="30" t="str">
        <f>IF(Inventory_List_Table34111510[[#This Row],[Q]]&lt;0.1, " ",Inventory_List_Table34111510[[#This Row],[PRICE]]/$L$1)</f>
        <v xml:space="preserve"> </v>
      </c>
      <c r="S1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5" s="30" t="str">
        <f>IF(Inventory_List_Table34111510[[#This Row],[Q]]&lt;0.1, " ",Inventory_List_Table34111510[[#This Row],[AQ RND USD]]*1.4)</f>
        <v xml:space="preserve"> </v>
      </c>
      <c r="U1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5" s="30" t="str">
        <f>IF(Inventory_List_Table34111510[[#This Row],[Q]]&lt;0.1, " ",Inventory_List_Table34111510[[#This Row],[LND RND USD]]*12)</f>
        <v xml:space="preserve"> </v>
      </c>
      <c r="W15" s="30" t="str">
        <f>IF(Inventory_List_Table34111510[[#This Row],[Q]]&lt;0.1, " ",Inventory_List_Table34111510[[#This Row],[AQ USD]])</f>
        <v xml:space="preserve"> </v>
      </c>
      <c r="X1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5" s="30" t="str">
        <f>IF(Inventory_List_Table34111510[[#This Row],[Q]]&lt;0.1, " ",Inventory_List_Table34111510[[#This Row],[PRICE]]/Z15*10000)</f>
        <v xml:space="preserve"> </v>
      </c>
      <c r="AB15" s="27"/>
      <c r="AC15" s="1"/>
      <c r="AD15" s="1"/>
    </row>
    <row r="16" spans="1:30" ht="24" customHeight="1" x14ac:dyDescent="0.3">
      <c r="A16" s="547">
        <v>14</v>
      </c>
      <c r="B16" s="1"/>
      <c r="C16" s="558"/>
      <c r="D16" s="558"/>
      <c r="E16" s="558"/>
      <c r="F16" s="38" t="str">
        <f>IF(Inventory_List_Table34111510[[#This Row],[Q]]&lt;0.1, " ",$A$1&amp;$D$1&amp;Inventory_List_Table34111510[[#This Row],['#]]&amp;Inventory_List_Table34111510[[#This Row],[LC]])</f>
        <v xml:space="preserve"> </v>
      </c>
      <c r="G16" s="93"/>
      <c r="H16" s="93"/>
      <c r="I16" s="93"/>
      <c r="J16" s="93"/>
      <c r="K16" s="93"/>
      <c r="L16" s="95"/>
      <c r="M16" s="30" t="str">
        <f>IF(Inventory_List_Table34111510[[#This Row],[Q]]&lt;0.1, " ", Inventory_List_Table34111510[[#This Row],[Q]]*Inventory_List_Table34111510[[#This Row],[PRICE]])</f>
        <v xml:space="preserve"> </v>
      </c>
      <c r="N16" s="35" t="str">
        <f>IF(Inventory_List_Table34111510[[#This Row],[Q]]&lt;0.1, " ", Inventory_List_Table34111510[[#This Row],[KG]]*2.20462)</f>
        <v xml:space="preserve"> </v>
      </c>
      <c r="O16" s="35" t="str">
        <f>IF(Inventory_List_Table34111510[[#This Row],[Q]]&lt;0.1, " ",Inventory_List_Table34111510[[#This Row],[H CM]]/2.54)</f>
        <v xml:space="preserve"> </v>
      </c>
      <c r="P16" s="35" t="str">
        <f>IF(Inventory_List_Table34111510[[#This Row],[Q]]&lt;0.1, " ",Inventory_List_Table34111510[[#This Row],[W CM]]/2.54)</f>
        <v xml:space="preserve"> </v>
      </c>
      <c r="Q16" s="35" t="str">
        <f>IF(Inventory_List_Table34111510[[#This Row],[Q]]&lt;0.1, " ",Inventory_List_Table34111510[[#This Row],[D CM ]]/2.54)</f>
        <v xml:space="preserve"> </v>
      </c>
      <c r="R16" s="30" t="str">
        <f>IF(Inventory_List_Table34111510[[#This Row],[Q]]&lt;0.1, " ",Inventory_List_Table34111510[[#This Row],[PRICE]]/$L$1)</f>
        <v xml:space="preserve"> </v>
      </c>
      <c r="S1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6" s="30" t="str">
        <f>IF(Inventory_List_Table34111510[[#This Row],[Q]]&lt;0.1, " ",Inventory_List_Table34111510[[#This Row],[AQ RND USD]]*1.4)</f>
        <v xml:space="preserve"> </v>
      </c>
      <c r="U1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6" s="30" t="str">
        <f>IF(Inventory_List_Table34111510[[#This Row],[Q]]&lt;0.1, " ",Inventory_List_Table34111510[[#This Row],[LND RND USD]]*12)</f>
        <v xml:space="preserve"> </v>
      </c>
      <c r="W16" s="30" t="str">
        <f>IF(Inventory_List_Table34111510[[#This Row],[Q]]&lt;0.1, " ",Inventory_List_Table34111510[[#This Row],[AQ USD]])</f>
        <v xml:space="preserve"> </v>
      </c>
      <c r="X1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6" s="30" t="str">
        <f>IF(Inventory_List_Table34111510[[#This Row],[Q]]&lt;0.1, " ",Inventory_List_Table34111510[[#This Row],[PRICE]]/Z16*10000)</f>
        <v xml:space="preserve"> </v>
      </c>
      <c r="AB16" s="27"/>
      <c r="AC16" s="1"/>
      <c r="AD16" s="1"/>
    </row>
    <row r="17" spans="1:30" ht="24" customHeight="1" x14ac:dyDescent="0.3">
      <c r="A17" s="547">
        <v>15</v>
      </c>
      <c r="B17" s="1"/>
      <c r="C17" s="558"/>
      <c r="D17" s="558"/>
      <c r="E17" s="558"/>
      <c r="F17" s="38" t="str">
        <f>IF(Inventory_List_Table34111510[[#This Row],[Q]]&lt;0.1, " ",$A$1&amp;$D$1&amp;Inventory_List_Table34111510[[#This Row],['#]]&amp;Inventory_List_Table34111510[[#This Row],[LC]])</f>
        <v xml:space="preserve"> </v>
      </c>
      <c r="G17" s="93"/>
      <c r="H17" s="93"/>
      <c r="I17" s="93"/>
      <c r="J17" s="93"/>
      <c r="K17" s="93"/>
      <c r="L17" s="95"/>
      <c r="M17" s="30" t="str">
        <f>IF(Inventory_List_Table34111510[[#This Row],[Q]]&lt;0.1, " ", Inventory_List_Table34111510[[#This Row],[Q]]*Inventory_List_Table34111510[[#This Row],[PRICE]])</f>
        <v xml:space="preserve"> </v>
      </c>
      <c r="N17" s="35" t="str">
        <f>IF(Inventory_List_Table34111510[[#This Row],[Q]]&lt;0.1, " ", Inventory_List_Table34111510[[#This Row],[KG]]*2.20462)</f>
        <v xml:space="preserve"> </v>
      </c>
      <c r="O17" s="35" t="str">
        <f>IF(Inventory_List_Table34111510[[#This Row],[Q]]&lt;0.1, " ",Inventory_List_Table34111510[[#This Row],[H CM]]/2.54)</f>
        <v xml:space="preserve"> </v>
      </c>
      <c r="P17" s="35" t="str">
        <f>IF(Inventory_List_Table34111510[[#This Row],[Q]]&lt;0.1, " ",Inventory_List_Table34111510[[#This Row],[W CM]]/2.54)</f>
        <v xml:space="preserve"> </v>
      </c>
      <c r="Q17" s="35" t="str">
        <f>IF(Inventory_List_Table34111510[[#This Row],[Q]]&lt;0.1, " ",Inventory_List_Table34111510[[#This Row],[D CM ]]/2.54)</f>
        <v xml:space="preserve"> </v>
      </c>
      <c r="R17" s="30" t="str">
        <f>IF(Inventory_List_Table34111510[[#This Row],[Q]]&lt;0.1, " ",Inventory_List_Table34111510[[#This Row],[PRICE]]/$L$1)</f>
        <v xml:space="preserve"> </v>
      </c>
      <c r="S1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7" s="30" t="str">
        <f>IF(Inventory_List_Table34111510[[#This Row],[Q]]&lt;0.1, " ",Inventory_List_Table34111510[[#This Row],[AQ RND USD]]*1.4)</f>
        <v xml:space="preserve"> </v>
      </c>
      <c r="U1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7" s="30" t="str">
        <f>IF(Inventory_List_Table34111510[[#This Row],[Q]]&lt;0.1, " ",Inventory_List_Table34111510[[#This Row],[LND RND USD]]*12)</f>
        <v xml:space="preserve"> </v>
      </c>
      <c r="W17" s="30" t="str">
        <f>IF(Inventory_List_Table34111510[[#This Row],[Q]]&lt;0.1, " ",Inventory_List_Table34111510[[#This Row],[AQ USD]])</f>
        <v xml:space="preserve"> </v>
      </c>
      <c r="X1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7" s="30" t="str">
        <f>IF(Inventory_List_Table34111510[[#This Row],[Q]]&lt;0.1, " ",Inventory_List_Table34111510[[#This Row],[PRICE]]/Z17*10000)</f>
        <v xml:space="preserve"> </v>
      </c>
      <c r="AB17" s="27"/>
      <c r="AC17" s="1"/>
      <c r="AD17" s="1"/>
    </row>
    <row r="18" spans="1:30" ht="24" customHeight="1" x14ac:dyDescent="0.3">
      <c r="A18" s="547">
        <v>16</v>
      </c>
      <c r="B18" s="1"/>
      <c r="C18" s="558"/>
      <c r="D18" s="558"/>
      <c r="E18" s="558"/>
      <c r="F18" s="38" t="str">
        <f>IF(Inventory_List_Table34111510[[#This Row],[Q]]&lt;0.1, " ",$A$1&amp;$D$1&amp;Inventory_List_Table34111510[[#This Row],['#]]&amp;Inventory_List_Table34111510[[#This Row],[LC]])</f>
        <v xml:space="preserve"> </v>
      </c>
      <c r="G18" s="93"/>
      <c r="H18" s="93"/>
      <c r="I18" s="93"/>
      <c r="J18" s="93"/>
      <c r="K18" s="93"/>
      <c r="L18" s="95"/>
      <c r="M18" s="30" t="str">
        <f>IF(Inventory_List_Table34111510[[#This Row],[Q]]&lt;0.1, " ", Inventory_List_Table34111510[[#This Row],[Q]]*Inventory_List_Table34111510[[#This Row],[PRICE]])</f>
        <v xml:space="preserve"> </v>
      </c>
      <c r="N18" s="35" t="str">
        <f>IF(Inventory_List_Table34111510[[#This Row],[Q]]&lt;0.1, " ", Inventory_List_Table34111510[[#This Row],[KG]]*2.20462)</f>
        <v xml:space="preserve"> </v>
      </c>
      <c r="O18" s="35" t="str">
        <f>IF(Inventory_List_Table34111510[[#This Row],[Q]]&lt;0.1, " ",Inventory_List_Table34111510[[#This Row],[H CM]]/2.54)</f>
        <v xml:space="preserve"> </v>
      </c>
      <c r="P18" s="35" t="str">
        <f>IF(Inventory_List_Table34111510[[#This Row],[Q]]&lt;0.1, " ",Inventory_List_Table34111510[[#This Row],[W CM]]/2.54)</f>
        <v xml:space="preserve"> </v>
      </c>
      <c r="Q18" s="35" t="str">
        <f>IF(Inventory_List_Table34111510[[#This Row],[Q]]&lt;0.1, " ",Inventory_List_Table34111510[[#This Row],[D CM ]]/2.54)</f>
        <v xml:space="preserve"> </v>
      </c>
      <c r="R18" s="30" t="str">
        <f>IF(Inventory_List_Table34111510[[#This Row],[Q]]&lt;0.1, " ",Inventory_List_Table34111510[[#This Row],[PRICE]]/$L$1)</f>
        <v xml:space="preserve"> </v>
      </c>
      <c r="S1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8" s="30" t="str">
        <f>IF(Inventory_List_Table34111510[[#This Row],[Q]]&lt;0.1, " ",Inventory_List_Table34111510[[#This Row],[AQ RND USD]]*1.4)</f>
        <v xml:space="preserve"> </v>
      </c>
      <c r="U1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8" s="30" t="str">
        <f>IF(Inventory_List_Table34111510[[#This Row],[Q]]&lt;0.1, " ",Inventory_List_Table34111510[[#This Row],[LND RND USD]]*12)</f>
        <v xml:space="preserve"> </v>
      </c>
      <c r="W18" s="30" t="str">
        <f>IF(Inventory_List_Table34111510[[#This Row],[Q]]&lt;0.1, " ",Inventory_List_Table34111510[[#This Row],[AQ USD]])</f>
        <v xml:space="preserve"> </v>
      </c>
      <c r="X1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8" s="30" t="str">
        <f>IF(Inventory_List_Table34111510[[#This Row],[Q]]&lt;0.1, " ",Inventory_List_Table34111510[[#This Row],[PRICE]]/Z18*10000)</f>
        <v xml:space="preserve"> </v>
      </c>
      <c r="AB18" s="27"/>
      <c r="AC18" s="1"/>
      <c r="AD18" s="1"/>
    </row>
    <row r="19" spans="1:30" ht="24" customHeight="1" x14ac:dyDescent="0.3">
      <c r="A19" s="547">
        <v>17</v>
      </c>
      <c r="B19" s="1"/>
      <c r="C19" s="558"/>
      <c r="D19" s="558"/>
      <c r="E19" s="558"/>
      <c r="F19" s="38" t="str">
        <f>IF(Inventory_List_Table34111510[[#This Row],[Q]]&lt;0.1, " ",$A$1&amp;$D$1&amp;Inventory_List_Table34111510[[#This Row],['#]]&amp;Inventory_List_Table34111510[[#This Row],[LC]])</f>
        <v xml:space="preserve"> </v>
      </c>
      <c r="G19" s="93"/>
      <c r="H19" s="93"/>
      <c r="I19" s="93"/>
      <c r="J19" s="93"/>
      <c r="K19" s="93"/>
      <c r="L19" s="95"/>
      <c r="M19" s="30" t="str">
        <f>IF(Inventory_List_Table34111510[[#This Row],[Q]]&lt;0.1, " ", Inventory_List_Table34111510[[#This Row],[Q]]*Inventory_List_Table34111510[[#This Row],[PRICE]])</f>
        <v xml:space="preserve"> </v>
      </c>
      <c r="N19" s="35" t="str">
        <f>IF(Inventory_List_Table34111510[[#This Row],[Q]]&lt;0.1, " ", Inventory_List_Table34111510[[#This Row],[KG]]*2.20462)</f>
        <v xml:space="preserve"> </v>
      </c>
      <c r="O19" s="35" t="str">
        <f>IF(Inventory_List_Table34111510[[#This Row],[Q]]&lt;0.1, " ",Inventory_List_Table34111510[[#This Row],[H CM]]/2.54)</f>
        <v xml:space="preserve"> </v>
      </c>
      <c r="P19" s="35" t="str">
        <f>IF(Inventory_List_Table34111510[[#This Row],[Q]]&lt;0.1, " ",Inventory_List_Table34111510[[#This Row],[W CM]]/2.54)</f>
        <v xml:space="preserve"> </v>
      </c>
      <c r="Q19" s="35" t="str">
        <f>IF(Inventory_List_Table34111510[[#This Row],[Q]]&lt;0.1, " ",Inventory_List_Table34111510[[#This Row],[D CM ]]/2.54)</f>
        <v xml:space="preserve"> </v>
      </c>
      <c r="R19" s="30" t="str">
        <f>IF(Inventory_List_Table34111510[[#This Row],[Q]]&lt;0.1, " ",Inventory_List_Table34111510[[#This Row],[PRICE]]/$L$1)</f>
        <v xml:space="preserve"> </v>
      </c>
      <c r="S1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9" s="30" t="str">
        <f>IF(Inventory_List_Table34111510[[#This Row],[Q]]&lt;0.1, " ",Inventory_List_Table34111510[[#This Row],[AQ RND USD]]*1.4)</f>
        <v xml:space="preserve"> </v>
      </c>
      <c r="U1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9" s="30" t="str">
        <f>IF(Inventory_List_Table34111510[[#This Row],[Q]]&lt;0.1, " ",Inventory_List_Table34111510[[#This Row],[LND RND USD]]*12)</f>
        <v xml:space="preserve"> </v>
      </c>
      <c r="W19" s="30" t="str">
        <f>IF(Inventory_List_Table34111510[[#This Row],[Q]]&lt;0.1, " ",Inventory_List_Table34111510[[#This Row],[AQ USD]])</f>
        <v xml:space="preserve"> </v>
      </c>
      <c r="X1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9" s="30" t="str">
        <f>IF(Inventory_List_Table34111510[[#This Row],[Q]]&lt;0.1, " ",Inventory_List_Table34111510[[#This Row],[PRICE]]/Z19*10000)</f>
        <v xml:space="preserve"> </v>
      </c>
      <c r="AB19" s="27"/>
      <c r="AC19" s="1"/>
      <c r="AD19" s="1"/>
    </row>
    <row r="20" spans="1:30" ht="24" customHeight="1" x14ac:dyDescent="0.3">
      <c r="A20" s="547">
        <v>18</v>
      </c>
      <c r="B20" s="1"/>
      <c r="C20" s="558"/>
      <c r="D20" s="558"/>
      <c r="E20" s="558"/>
      <c r="F20" s="38" t="str">
        <f>IF(Inventory_List_Table34111510[[#This Row],[Q]]&lt;0.1, " ",$A$1&amp;$D$1&amp;Inventory_List_Table34111510[[#This Row],['#]]&amp;Inventory_List_Table34111510[[#This Row],[LC]])</f>
        <v xml:space="preserve"> </v>
      </c>
      <c r="G20" s="93"/>
      <c r="H20" s="93"/>
      <c r="I20" s="93"/>
      <c r="J20" s="93"/>
      <c r="K20" s="93"/>
      <c r="L20" s="95"/>
      <c r="M20" s="30" t="str">
        <f>IF(Inventory_List_Table34111510[[#This Row],[Q]]&lt;0.1, " ", Inventory_List_Table34111510[[#This Row],[Q]]*Inventory_List_Table34111510[[#This Row],[PRICE]])</f>
        <v xml:space="preserve"> </v>
      </c>
      <c r="N20" s="35" t="str">
        <f>IF(Inventory_List_Table34111510[[#This Row],[Q]]&lt;0.1, " ", Inventory_List_Table34111510[[#This Row],[KG]]*2.20462)</f>
        <v xml:space="preserve"> </v>
      </c>
      <c r="O20" s="35" t="str">
        <f>IF(Inventory_List_Table34111510[[#This Row],[Q]]&lt;0.1, " ",Inventory_List_Table34111510[[#This Row],[H CM]]/2.54)</f>
        <v xml:space="preserve"> </v>
      </c>
      <c r="P20" s="35" t="str">
        <f>IF(Inventory_List_Table34111510[[#This Row],[Q]]&lt;0.1, " ",Inventory_List_Table34111510[[#This Row],[W CM]]/2.54)</f>
        <v xml:space="preserve"> </v>
      </c>
      <c r="Q20" s="35" t="str">
        <f>IF(Inventory_List_Table34111510[[#This Row],[Q]]&lt;0.1, " ",Inventory_List_Table34111510[[#This Row],[D CM ]]/2.54)</f>
        <v xml:space="preserve"> </v>
      </c>
      <c r="R20" s="30" t="str">
        <f>IF(Inventory_List_Table34111510[[#This Row],[Q]]&lt;0.1, " ",Inventory_List_Table34111510[[#This Row],[PRICE]]/$L$1)</f>
        <v xml:space="preserve"> </v>
      </c>
      <c r="S2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0" s="30" t="str">
        <f>IF(Inventory_List_Table34111510[[#This Row],[Q]]&lt;0.1, " ",Inventory_List_Table34111510[[#This Row],[AQ RND USD]]*1.4)</f>
        <v xml:space="preserve"> </v>
      </c>
      <c r="U2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0" s="30" t="str">
        <f>IF(Inventory_List_Table34111510[[#This Row],[Q]]&lt;0.1, " ",Inventory_List_Table34111510[[#This Row],[LND RND USD]]*12)</f>
        <v xml:space="preserve"> </v>
      </c>
      <c r="W20" s="30" t="str">
        <f>IF(Inventory_List_Table34111510[[#This Row],[Q]]&lt;0.1, " ",Inventory_List_Table34111510[[#This Row],[AQ USD]])</f>
        <v xml:space="preserve"> </v>
      </c>
      <c r="X2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0" s="30" t="str">
        <f>IF(Inventory_List_Table34111510[[#This Row],[Q]]&lt;0.1, " ",Inventory_List_Table34111510[[#This Row],[PRICE]]/Z20*10000)</f>
        <v xml:space="preserve"> </v>
      </c>
      <c r="AB20" s="27"/>
      <c r="AC20" s="1"/>
      <c r="AD20" s="1"/>
    </row>
    <row r="21" spans="1:30" ht="24" customHeight="1" x14ac:dyDescent="0.3">
      <c r="A21" s="547">
        <v>19</v>
      </c>
      <c r="B21" s="1"/>
      <c r="C21" s="558"/>
      <c r="D21" s="558"/>
      <c r="E21" s="558"/>
      <c r="F21" s="38" t="str">
        <f>IF(Inventory_List_Table34111510[[#This Row],[Q]]&lt;0.1, " ",$A$1&amp;$D$1&amp;Inventory_List_Table34111510[[#This Row],['#]]&amp;Inventory_List_Table34111510[[#This Row],[LC]])</f>
        <v xml:space="preserve"> </v>
      </c>
      <c r="G21" s="93"/>
      <c r="H21" s="93"/>
      <c r="I21" s="93"/>
      <c r="J21" s="93"/>
      <c r="K21" s="93"/>
      <c r="L21" s="95"/>
      <c r="M21" s="30" t="str">
        <f>IF(Inventory_List_Table34111510[[#This Row],[Q]]&lt;0.1, " ", Inventory_List_Table34111510[[#This Row],[Q]]*Inventory_List_Table34111510[[#This Row],[PRICE]])</f>
        <v xml:space="preserve"> </v>
      </c>
      <c r="N21" s="35" t="str">
        <f>IF(Inventory_List_Table34111510[[#This Row],[Q]]&lt;0.1, " ", Inventory_List_Table34111510[[#This Row],[KG]]*2.20462)</f>
        <v xml:space="preserve"> </v>
      </c>
      <c r="O21" s="35" t="str">
        <f>IF(Inventory_List_Table34111510[[#This Row],[Q]]&lt;0.1, " ",Inventory_List_Table34111510[[#This Row],[H CM]]/2.54)</f>
        <v xml:space="preserve"> </v>
      </c>
      <c r="P21" s="35" t="str">
        <f>IF(Inventory_List_Table34111510[[#This Row],[Q]]&lt;0.1, " ",Inventory_List_Table34111510[[#This Row],[W CM]]/2.54)</f>
        <v xml:space="preserve"> </v>
      </c>
      <c r="Q21" s="35" t="str">
        <f>IF(Inventory_List_Table34111510[[#This Row],[Q]]&lt;0.1, " ",Inventory_List_Table34111510[[#This Row],[D CM ]]/2.54)</f>
        <v xml:space="preserve"> </v>
      </c>
      <c r="R21" s="30" t="str">
        <f>IF(Inventory_List_Table34111510[[#This Row],[Q]]&lt;0.1, " ",Inventory_List_Table34111510[[#This Row],[PRICE]]/$L$1)</f>
        <v xml:space="preserve"> </v>
      </c>
      <c r="S2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1" s="30" t="str">
        <f>IF(Inventory_List_Table34111510[[#This Row],[Q]]&lt;0.1, " ",Inventory_List_Table34111510[[#This Row],[AQ RND USD]]*1.4)</f>
        <v xml:space="preserve"> </v>
      </c>
      <c r="U2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1" s="30" t="str">
        <f>IF(Inventory_List_Table34111510[[#This Row],[Q]]&lt;0.1, " ",Inventory_List_Table34111510[[#This Row],[LND RND USD]]*12)</f>
        <v xml:space="preserve"> </v>
      </c>
      <c r="W21" s="30" t="str">
        <f>IF(Inventory_List_Table34111510[[#This Row],[Q]]&lt;0.1, " ",Inventory_List_Table34111510[[#This Row],[AQ USD]])</f>
        <v xml:space="preserve"> </v>
      </c>
      <c r="X2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1" s="30" t="str">
        <f>IF(Inventory_List_Table34111510[[#This Row],[Q]]&lt;0.1, " ",Inventory_List_Table34111510[[#This Row],[PRICE]]/Z21*10000)</f>
        <v xml:space="preserve"> </v>
      </c>
      <c r="AB21" s="27"/>
      <c r="AC21" s="1"/>
      <c r="AD21" s="1"/>
    </row>
    <row r="22" spans="1:30" ht="24" customHeight="1" x14ac:dyDescent="0.3">
      <c r="A22" s="547">
        <v>20</v>
      </c>
      <c r="B22" s="1"/>
      <c r="C22" s="558"/>
      <c r="D22" s="558"/>
      <c r="E22" s="558"/>
      <c r="F22" s="38" t="str">
        <f>IF(Inventory_List_Table34111510[[#This Row],[Q]]&lt;0.1, " ",$A$1&amp;$D$1&amp;Inventory_List_Table34111510[[#This Row],['#]]&amp;Inventory_List_Table34111510[[#This Row],[LC]])</f>
        <v xml:space="preserve"> </v>
      </c>
      <c r="G22" s="93"/>
      <c r="H22" s="93"/>
      <c r="I22" s="93"/>
      <c r="J22" s="93"/>
      <c r="K22" s="93"/>
      <c r="L22" s="95"/>
      <c r="M22" s="30" t="str">
        <f>IF(Inventory_List_Table34111510[[#This Row],[Q]]&lt;0.1, " ", Inventory_List_Table34111510[[#This Row],[Q]]*Inventory_List_Table34111510[[#This Row],[PRICE]])</f>
        <v xml:space="preserve"> </v>
      </c>
      <c r="N22" s="35" t="str">
        <f>IF(Inventory_List_Table34111510[[#This Row],[Q]]&lt;0.1, " ", Inventory_List_Table34111510[[#This Row],[KG]]*2.20462)</f>
        <v xml:space="preserve"> </v>
      </c>
      <c r="O22" s="35" t="str">
        <f>IF(Inventory_List_Table34111510[[#This Row],[Q]]&lt;0.1, " ",Inventory_List_Table34111510[[#This Row],[H CM]]/2.54)</f>
        <v xml:space="preserve"> </v>
      </c>
      <c r="P22" s="35" t="str">
        <f>IF(Inventory_List_Table34111510[[#This Row],[Q]]&lt;0.1, " ",Inventory_List_Table34111510[[#This Row],[W CM]]/2.54)</f>
        <v xml:space="preserve"> </v>
      </c>
      <c r="Q22" s="35" t="str">
        <f>IF(Inventory_List_Table34111510[[#This Row],[Q]]&lt;0.1, " ",Inventory_List_Table34111510[[#This Row],[D CM ]]/2.54)</f>
        <v xml:space="preserve"> </v>
      </c>
      <c r="R22" s="30" t="str">
        <f>IF(Inventory_List_Table34111510[[#This Row],[Q]]&lt;0.1, " ",Inventory_List_Table34111510[[#This Row],[PRICE]]/$L$1)</f>
        <v xml:space="preserve"> </v>
      </c>
      <c r="S2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2" s="30" t="str">
        <f>IF(Inventory_List_Table34111510[[#This Row],[Q]]&lt;0.1, " ",Inventory_List_Table34111510[[#This Row],[AQ RND USD]]*1.4)</f>
        <v xml:space="preserve"> </v>
      </c>
      <c r="U2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2" s="30" t="str">
        <f>IF(Inventory_List_Table34111510[[#This Row],[Q]]&lt;0.1, " ",Inventory_List_Table34111510[[#This Row],[LND RND USD]]*12)</f>
        <v xml:space="preserve"> </v>
      </c>
      <c r="W22" s="30" t="str">
        <f>IF(Inventory_List_Table34111510[[#This Row],[Q]]&lt;0.1, " ",Inventory_List_Table34111510[[#This Row],[AQ USD]])</f>
        <v xml:space="preserve"> </v>
      </c>
      <c r="X2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2" s="30" t="str">
        <f>IF(Inventory_List_Table34111510[[#This Row],[Q]]&lt;0.1, " ",Inventory_List_Table34111510[[#This Row],[PRICE]]/Z22*10000)</f>
        <v xml:space="preserve"> </v>
      </c>
      <c r="AB22" s="27"/>
      <c r="AC22" s="1"/>
      <c r="AD22" s="1"/>
    </row>
    <row r="23" spans="1:30" ht="24" customHeight="1" x14ac:dyDescent="0.3">
      <c r="A23" s="547">
        <v>21</v>
      </c>
      <c r="B23" s="1"/>
      <c r="C23" s="558"/>
      <c r="D23" s="558"/>
      <c r="E23" s="558"/>
      <c r="F23" s="38" t="str">
        <f>IF(Inventory_List_Table34111510[[#This Row],[Q]]&lt;0.1, " ",$A$1&amp;$D$1&amp;Inventory_List_Table34111510[[#This Row],['#]]&amp;Inventory_List_Table34111510[[#This Row],[LC]])</f>
        <v xml:space="preserve"> </v>
      </c>
      <c r="G23" s="93"/>
      <c r="H23" s="93"/>
      <c r="I23" s="93"/>
      <c r="J23" s="93"/>
      <c r="K23" s="93"/>
      <c r="L23" s="95"/>
      <c r="M23" s="30" t="str">
        <f>IF(Inventory_List_Table34111510[[#This Row],[Q]]&lt;0.1, " ", Inventory_List_Table34111510[[#This Row],[Q]]*Inventory_List_Table34111510[[#This Row],[PRICE]])</f>
        <v xml:space="preserve"> </v>
      </c>
      <c r="N23" s="35" t="str">
        <f>IF(Inventory_List_Table34111510[[#This Row],[Q]]&lt;0.1, " ", Inventory_List_Table34111510[[#This Row],[KG]]*2.20462)</f>
        <v xml:space="preserve"> </v>
      </c>
      <c r="O23" s="35" t="str">
        <f>IF(Inventory_List_Table34111510[[#This Row],[Q]]&lt;0.1, " ",Inventory_List_Table34111510[[#This Row],[H CM]]/2.54)</f>
        <v xml:space="preserve"> </v>
      </c>
      <c r="P23" s="35" t="str">
        <f>IF(Inventory_List_Table34111510[[#This Row],[Q]]&lt;0.1, " ",Inventory_List_Table34111510[[#This Row],[W CM]]/2.54)</f>
        <v xml:space="preserve"> </v>
      </c>
      <c r="Q23" s="35" t="str">
        <f>IF(Inventory_List_Table34111510[[#This Row],[Q]]&lt;0.1, " ",Inventory_List_Table34111510[[#This Row],[D CM ]]/2.54)</f>
        <v xml:space="preserve"> </v>
      </c>
      <c r="R23" s="30" t="str">
        <f>IF(Inventory_List_Table34111510[[#This Row],[Q]]&lt;0.1, " ",Inventory_List_Table34111510[[#This Row],[PRICE]]/$L$1)</f>
        <v xml:space="preserve"> </v>
      </c>
      <c r="S2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3" s="30" t="str">
        <f>IF(Inventory_List_Table34111510[[#This Row],[Q]]&lt;0.1, " ",Inventory_List_Table34111510[[#This Row],[AQ RND USD]]*1.4)</f>
        <v xml:space="preserve"> </v>
      </c>
      <c r="U2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3" s="30" t="str">
        <f>IF(Inventory_List_Table34111510[[#This Row],[Q]]&lt;0.1, " ",Inventory_List_Table34111510[[#This Row],[LND RND USD]]*12)</f>
        <v xml:space="preserve"> </v>
      </c>
      <c r="W23" s="30" t="str">
        <f>IF(Inventory_List_Table34111510[[#This Row],[Q]]&lt;0.1, " ",Inventory_List_Table34111510[[#This Row],[AQ USD]])</f>
        <v xml:space="preserve"> </v>
      </c>
      <c r="X2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3" s="30" t="str">
        <f>IF(Inventory_List_Table34111510[[#This Row],[Q]]&lt;0.1, " ",Inventory_List_Table34111510[[#This Row],[PRICE]]/Z23*10000)</f>
        <v xml:space="preserve"> </v>
      </c>
      <c r="AB23" s="27"/>
      <c r="AC23" s="1"/>
      <c r="AD23" s="1"/>
    </row>
    <row r="24" spans="1:30" ht="24" customHeight="1" x14ac:dyDescent="0.3">
      <c r="A24" s="547">
        <v>22</v>
      </c>
      <c r="B24" s="1"/>
      <c r="C24" s="558"/>
      <c r="D24" s="558"/>
      <c r="E24" s="558"/>
      <c r="F24" s="38" t="str">
        <f>IF(Inventory_List_Table34111510[[#This Row],[Q]]&lt;0.1, " ",$A$1&amp;$D$1&amp;Inventory_List_Table34111510[[#This Row],['#]]&amp;Inventory_List_Table34111510[[#This Row],[LC]])</f>
        <v xml:space="preserve"> </v>
      </c>
      <c r="G24" s="93"/>
      <c r="H24" s="93"/>
      <c r="I24" s="93"/>
      <c r="J24" s="93"/>
      <c r="K24" s="93"/>
      <c r="L24" s="95"/>
      <c r="M24" s="30" t="str">
        <f>IF(Inventory_List_Table34111510[[#This Row],[Q]]&lt;0.1, " ", Inventory_List_Table34111510[[#This Row],[Q]]*Inventory_List_Table34111510[[#This Row],[PRICE]])</f>
        <v xml:space="preserve"> </v>
      </c>
      <c r="N24" s="35" t="str">
        <f>IF(Inventory_List_Table34111510[[#This Row],[Q]]&lt;0.1, " ", Inventory_List_Table34111510[[#This Row],[KG]]*2.20462)</f>
        <v xml:space="preserve"> </v>
      </c>
      <c r="O24" s="35" t="str">
        <f>IF(Inventory_List_Table34111510[[#This Row],[Q]]&lt;0.1, " ",Inventory_List_Table34111510[[#This Row],[H CM]]/2.54)</f>
        <v xml:space="preserve"> </v>
      </c>
      <c r="P24" s="35" t="str">
        <f>IF(Inventory_List_Table34111510[[#This Row],[Q]]&lt;0.1, " ",Inventory_List_Table34111510[[#This Row],[W CM]]/2.54)</f>
        <v xml:space="preserve"> </v>
      </c>
      <c r="Q24" s="35" t="str">
        <f>IF(Inventory_List_Table34111510[[#This Row],[Q]]&lt;0.1, " ",Inventory_List_Table34111510[[#This Row],[D CM ]]/2.54)</f>
        <v xml:space="preserve"> </v>
      </c>
      <c r="R24" s="30" t="str">
        <f>IF(Inventory_List_Table34111510[[#This Row],[Q]]&lt;0.1, " ",Inventory_List_Table34111510[[#This Row],[PRICE]]/$L$1)</f>
        <v xml:space="preserve"> </v>
      </c>
      <c r="S2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4" s="30" t="str">
        <f>IF(Inventory_List_Table34111510[[#This Row],[Q]]&lt;0.1, " ",Inventory_List_Table34111510[[#This Row],[AQ RND USD]]*1.4)</f>
        <v xml:space="preserve"> </v>
      </c>
      <c r="U2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4" s="30" t="str">
        <f>IF(Inventory_List_Table34111510[[#This Row],[Q]]&lt;0.1, " ",Inventory_List_Table34111510[[#This Row],[LND RND USD]]*12)</f>
        <v xml:space="preserve"> </v>
      </c>
      <c r="W24" s="30" t="str">
        <f>IF(Inventory_List_Table34111510[[#This Row],[Q]]&lt;0.1, " ",Inventory_List_Table34111510[[#This Row],[AQ USD]])</f>
        <v xml:space="preserve"> </v>
      </c>
      <c r="X2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4" s="30" t="str">
        <f>IF(Inventory_List_Table34111510[[#This Row],[Q]]&lt;0.1, " ",Inventory_List_Table34111510[[#This Row],[PRICE]]/Z24*10000)</f>
        <v xml:space="preserve"> </v>
      </c>
      <c r="AB24" s="27"/>
      <c r="AC24" s="1"/>
      <c r="AD24" s="1"/>
    </row>
    <row r="25" spans="1:30" ht="24" customHeight="1" x14ac:dyDescent="0.3">
      <c r="A25" s="547">
        <v>23</v>
      </c>
      <c r="B25" s="1"/>
      <c r="C25" s="558"/>
      <c r="D25" s="558"/>
      <c r="E25" s="558"/>
      <c r="F25" s="38" t="str">
        <f>IF(Inventory_List_Table34111510[[#This Row],[Q]]&lt;0.1, " ",$A$1&amp;$D$1&amp;Inventory_List_Table34111510[[#This Row],['#]]&amp;Inventory_List_Table34111510[[#This Row],[LC]])</f>
        <v xml:space="preserve"> </v>
      </c>
      <c r="G25" s="93"/>
      <c r="H25" s="93"/>
      <c r="I25" s="93"/>
      <c r="J25" s="93"/>
      <c r="K25" s="93"/>
      <c r="L25" s="95"/>
      <c r="M25" s="30" t="str">
        <f>IF(Inventory_List_Table34111510[[#This Row],[Q]]&lt;0.1, " ", Inventory_List_Table34111510[[#This Row],[Q]]*Inventory_List_Table34111510[[#This Row],[PRICE]])</f>
        <v xml:space="preserve"> </v>
      </c>
      <c r="N25" s="35" t="str">
        <f>IF(Inventory_List_Table34111510[[#This Row],[Q]]&lt;0.1, " ", Inventory_List_Table34111510[[#This Row],[KG]]*2.20462)</f>
        <v xml:space="preserve"> </v>
      </c>
      <c r="O25" s="35" t="str">
        <f>IF(Inventory_List_Table34111510[[#This Row],[Q]]&lt;0.1, " ",Inventory_List_Table34111510[[#This Row],[H CM]]/2.54)</f>
        <v xml:space="preserve"> </v>
      </c>
      <c r="P25" s="35" t="str">
        <f>IF(Inventory_List_Table34111510[[#This Row],[Q]]&lt;0.1, " ",Inventory_List_Table34111510[[#This Row],[W CM]]/2.54)</f>
        <v xml:space="preserve"> </v>
      </c>
      <c r="Q25" s="35" t="str">
        <f>IF(Inventory_List_Table34111510[[#This Row],[Q]]&lt;0.1, " ",Inventory_List_Table34111510[[#This Row],[D CM ]]/2.54)</f>
        <v xml:space="preserve"> </v>
      </c>
      <c r="R25" s="30" t="str">
        <f>IF(Inventory_List_Table34111510[[#This Row],[Q]]&lt;0.1, " ",Inventory_List_Table34111510[[#This Row],[PRICE]]/$L$1)</f>
        <v xml:space="preserve"> </v>
      </c>
      <c r="S2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5" s="30" t="str">
        <f>IF(Inventory_List_Table34111510[[#This Row],[Q]]&lt;0.1, " ",Inventory_List_Table34111510[[#This Row],[AQ RND USD]]*1.4)</f>
        <v xml:space="preserve"> </v>
      </c>
      <c r="U2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5" s="30" t="str">
        <f>IF(Inventory_List_Table34111510[[#This Row],[Q]]&lt;0.1, " ",Inventory_List_Table34111510[[#This Row],[LND RND USD]]*12)</f>
        <v xml:space="preserve"> </v>
      </c>
      <c r="W25" s="30" t="str">
        <f>IF(Inventory_List_Table34111510[[#This Row],[Q]]&lt;0.1, " ",Inventory_List_Table34111510[[#This Row],[AQ USD]])</f>
        <v xml:space="preserve"> </v>
      </c>
      <c r="X2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5" s="30" t="str">
        <f>IF(Inventory_List_Table34111510[[#This Row],[Q]]&lt;0.1, " ",Inventory_List_Table34111510[[#This Row],[PRICE]]/Z25*10000)</f>
        <v xml:space="preserve"> </v>
      </c>
      <c r="AB25" s="27"/>
      <c r="AC25" s="1"/>
      <c r="AD25" s="1"/>
    </row>
    <row r="26" spans="1:30" ht="24" customHeight="1" x14ac:dyDescent="0.3">
      <c r="A26" s="547">
        <v>24</v>
      </c>
      <c r="B26" s="1"/>
      <c r="C26" s="558"/>
      <c r="D26" s="558"/>
      <c r="E26" s="558"/>
      <c r="F26" s="38" t="str">
        <f>IF(Inventory_List_Table34111510[[#This Row],[Q]]&lt;0.1, " ",$A$1&amp;$D$1&amp;Inventory_List_Table34111510[[#This Row],['#]]&amp;Inventory_List_Table34111510[[#This Row],[LC]])</f>
        <v xml:space="preserve"> </v>
      </c>
      <c r="G26" s="93"/>
      <c r="H26" s="93"/>
      <c r="I26" s="93"/>
      <c r="J26" s="93"/>
      <c r="K26" s="93"/>
      <c r="L26" s="95"/>
      <c r="M26" s="30" t="str">
        <f>IF(Inventory_List_Table34111510[[#This Row],[Q]]&lt;0.1, " ", Inventory_List_Table34111510[[#This Row],[Q]]*Inventory_List_Table34111510[[#This Row],[PRICE]])</f>
        <v xml:space="preserve"> </v>
      </c>
      <c r="N26" s="35" t="str">
        <f>IF(Inventory_List_Table34111510[[#This Row],[Q]]&lt;0.1, " ", Inventory_List_Table34111510[[#This Row],[KG]]*2.20462)</f>
        <v xml:space="preserve"> </v>
      </c>
      <c r="O26" s="35" t="str">
        <f>IF(Inventory_List_Table34111510[[#This Row],[Q]]&lt;0.1, " ",Inventory_List_Table34111510[[#This Row],[H CM]]/2.54)</f>
        <v xml:space="preserve"> </v>
      </c>
      <c r="P26" s="35" t="str">
        <f>IF(Inventory_List_Table34111510[[#This Row],[Q]]&lt;0.1, " ",Inventory_List_Table34111510[[#This Row],[W CM]]/2.54)</f>
        <v xml:space="preserve"> </v>
      </c>
      <c r="Q26" s="35" t="str">
        <f>IF(Inventory_List_Table34111510[[#This Row],[Q]]&lt;0.1, " ",Inventory_List_Table34111510[[#This Row],[D CM ]]/2.54)</f>
        <v xml:space="preserve"> </v>
      </c>
      <c r="R26" s="30" t="str">
        <f>IF(Inventory_List_Table34111510[[#This Row],[Q]]&lt;0.1, " ",Inventory_List_Table34111510[[#This Row],[PRICE]]/$L$1)</f>
        <v xml:space="preserve"> </v>
      </c>
      <c r="S2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6" s="30" t="str">
        <f>IF(Inventory_List_Table34111510[[#This Row],[Q]]&lt;0.1, " ",Inventory_List_Table34111510[[#This Row],[AQ RND USD]]*1.4)</f>
        <v xml:space="preserve"> </v>
      </c>
      <c r="U2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6" s="30" t="str">
        <f>IF(Inventory_List_Table34111510[[#This Row],[Q]]&lt;0.1, " ",Inventory_List_Table34111510[[#This Row],[LND RND USD]]*12)</f>
        <v xml:space="preserve"> </v>
      </c>
      <c r="W26" s="30" t="str">
        <f>IF(Inventory_List_Table34111510[[#This Row],[Q]]&lt;0.1, " ",Inventory_List_Table34111510[[#This Row],[AQ USD]])</f>
        <v xml:space="preserve"> </v>
      </c>
      <c r="X2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6" s="30" t="str">
        <f>IF(Inventory_List_Table34111510[[#This Row],[Q]]&lt;0.1, " ",Inventory_List_Table34111510[[#This Row],[PRICE]]/Z26*10000)</f>
        <v xml:space="preserve"> </v>
      </c>
      <c r="AB26" s="27"/>
      <c r="AC26" s="1"/>
      <c r="AD26" s="1"/>
    </row>
    <row r="27" spans="1:30" ht="24" customHeight="1" x14ac:dyDescent="0.3">
      <c r="A27" s="547">
        <v>25</v>
      </c>
      <c r="B27" s="1"/>
      <c r="C27" s="558"/>
      <c r="D27" s="558"/>
      <c r="E27" s="558"/>
      <c r="F27" s="38" t="str">
        <f>IF(Inventory_List_Table34111510[[#This Row],[Q]]&lt;0.1, " ",$A$1&amp;$D$1&amp;Inventory_List_Table34111510[[#This Row],['#]]&amp;Inventory_List_Table34111510[[#This Row],[LC]])</f>
        <v xml:space="preserve"> </v>
      </c>
      <c r="G27" s="93"/>
      <c r="H27" s="93"/>
      <c r="I27" s="93"/>
      <c r="J27" s="93"/>
      <c r="K27" s="93"/>
      <c r="L27" s="95"/>
      <c r="M27" s="30" t="str">
        <f>IF(Inventory_List_Table34111510[[#This Row],[Q]]&lt;0.1, " ", Inventory_List_Table34111510[[#This Row],[Q]]*Inventory_List_Table34111510[[#This Row],[PRICE]])</f>
        <v xml:space="preserve"> </v>
      </c>
      <c r="N27" s="35" t="str">
        <f>IF(Inventory_List_Table34111510[[#This Row],[Q]]&lt;0.1, " ", Inventory_List_Table34111510[[#This Row],[KG]]*2.20462)</f>
        <v xml:space="preserve"> </v>
      </c>
      <c r="O27" s="35" t="str">
        <f>IF(Inventory_List_Table34111510[[#This Row],[Q]]&lt;0.1, " ",Inventory_List_Table34111510[[#This Row],[H CM]]/2.54)</f>
        <v xml:space="preserve"> </v>
      </c>
      <c r="P27" s="35" t="str">
        <f>IF(Inventory_List_Table34111510[[#This Row],[Q]]&lt;0.1, " ",Inventory_List_Table34111510[[#This Row],[W CM]]/2.54)</f>
        <v xml:space="preserve"> </v>
      </c>
      <c r="Q27" s="35" t="str">
        <f>IF(Inventory_List_Table34111510[[#This Row],[Q]]&lt;0.1, " ",Inventory_List_Table34111510[[#This Row],[D CM ]]/2.54)</f>
        <v xml:space="preserve"> </v>
      </c>
      <c r="R27" s="30" t="str">
        <f>IF(Inventory_List_Table34111510[[#This Row],[Q]]&lt;0.1, " ",Inventory_List_Table34111510[[#This Row],[PRICE]]/$L$1)</f>
        <v xml:space="preserve"> </v>
      </c>
      <c r="S2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7" s="30" t="str">
        <f>IF(Inventory_List_Table34111510[[#This Row],[Q]]&lt;0.1, " ",Inventory_List_Table34111510[[#This Row],[AQ RND USD]]*1.4)</f>
        <v xml:space="preserve"> </v>
      </c>
      <c r="U2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7" s="30" t="str">
        <f>IF(Inventory_List_Table34111510[[#This Row],[Q]]&lt;0.1, " ",Inventory_List_Table34111510[[#This Row],[LND RND USD]]*12)</f>
        <v xml:space="preserve"> </v>
      </c>
      <c r="W27" s="30" t="str">
        <f>IF(Inventory_List_Table34111510[[#This Row],[Q]]&lt;0.1, " ",Inventory_List_Table34111510[[#This Row],[AQ USD]])</f>
        <v xml:space="preserve"> </v>
      </c>
      <c r="X2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7" s="30" t="str">
        <f>IF(Inventory_List_Table34111510[[#This Row],[Q]]&lt;0.1, " ",Inventory_List_Table34111510[[#This Row],[PRICE]]/Z27*10000)</f>
        <v xml:space="preserve"> </v>
      </c>
      <c r="AB27" s="27"/>
      <c r="AC27" s="1"/>
      <c r="AD27" s="1"/>
    </row>
    <row r="28" spans="1:30" ht="24" customHeight="1" x14ac:dyDescent="0.3">
      <c r="A28" s="547">
        <v>26</v>
      </c>
      <c r="B28" s="1"/>
      <c r="C28" s="558"/>
      <c r="D28" s="558"/>
      <c r="E28" s="558"/>
      <c r="F28" s="38" t="str">
        <f>IF(Inventory_List_Table34111510[[#This Row],[Q]]&lt;0.1, " ",$A$1&amp;$D$1&amp;Inventory_List_Table34111510[[#This Row],['#]]&amp;Inventory_List_Table34111510[[#This Row],[LC]])</f>
        <v xml:space="preserve"> </v>
      </c>
      <c r="G28" s="93"/>
      <c r="H28" s="93"/>
      <c r="I28" s="93"/>
      <c r="J28" s="93"/>
      <c r="K28" s="93"/>
      <c r="L28" s="95"/>
      <c r="M28" s="30" t="str">
        <f>IF(Inventory_List_Table34111510[[#This Row],[Q]]&lt;0.1, " ", Inventory_List_Table34111510[[#This Row],[Q]]*Inventory_List_Table34111510[[#This Row],[PRICE]])</f>
        <v xml:space="preserve"> </v>
      </c>
      <c r="N28" s="35" t="str">
        <f>IF(Inventory_List_Table34111510[[#This Row],[Q]]&lt;0.1, " ", Inventory_List_Table34111510[[#This Row],[KG]]*2.20462)</f>
        <v xml:space="preserve"> </v>
      </c>
      <c r="O28" s="35" t="str">
        <f>IF(Inventory_List_Table34111510[[#This Row],[Q]]&lt;0.1, " ",Inventory_List_Table34111510[[#This Row],[H CM]]/2.54)</f>
        <v xml:space="preserve"> </v>
      </c>
      <c r="P28" s="35" t="str">
        <f>IF(Inventory_List_Table34111510[[#This Row],[Q]]&lt;0.1, " ",Inventory_List_Table34111510[[#This Row],[W CM]]/2.54)</f>
        <v xml:space="preserve"> </v>
      </c>
      <c r="Q28" s="35" t="str">
        <f>IF(Inventory_List_Table34111510[[#This Row],[Q]]&lt;0.1, " ",Inventory_List_Table34111510[[#This Row],[D CM ]]/2.54)</f>
        <v xml:space="preserve"> </v>
      </c>
      <c r="R28" s="30" t="str">
        <f>IF(Inventory_List_Table34111510[[#This Row],[Q]]&lt;0.1, " ",Inventory_List_Table34111510[[#This Row],[PRICE]]/$L$1)</f>
        <v xml:space="preserve"> </v>
      </c>
      <c r="S2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8" s="30" t="str">
        <f>IF(Inventory_List_Table34111510[[#This Row],[Q]]&lt;0.1, " ",Inventory_List_Table34111510[[#This Row],[AQ RND USD]]*1.4)</f>
        <v xml:space="preserve"> </v>
      </c>
      <c r="U2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8" s="30" t="str">
        <f>IF(Inventory_List_Table34111510[[#This Row],[Q]]&lt;0.1, " ",Inventory_List_Table34111510[[#This Row],[LND RND USD]]*12)</f>
        <v xml:space="preserve"> </v>
      </c>
      <c r="W28" s="30" t="str">
        <f>IF(Inventory_List_Table34111510[[#This Row],[Q]]&lt;0.1, " ",Inventory_List_Table34111510[[#This Row],[AQ USD]])</f>
        <v xml:space="preserve"> </v>
      </c>
      <c r="X2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8" s="30" t="str">
        <f>IF(Inventory_List_Table34111510[[#This Row],[Q]]&lt;0.1, " ",Inventory_List_Table34111510[[#This Row],[PRICE]]/Z28*10000)</f>
        <v xml:space="preserve"> </v>
      </c>
      <c r="AB28" s="27"/>
      <c r="AC28" s="1"/>
      <c r="AD28" s="1"/>
    </row>
    <row r="29" spans="1:30" ht="24" customHeight="1" x14ac:dyDescent="0.3">
      <c r="A29" s="547">
        <v>27</v>
      </c>
      <c r="B29" s="1"/>
      <c r="C29" s="558"/>
      <c r="D29" s="558"/>
      <c r="E29" s="558"/>
      <c r="F29" s="38" t="str">
        <f>IF(Inventory_List_Table34111510[[#This Row],[Q]]&lt;0.1, " ",$A$1&amp;$D$1&amp;Inventory_List_Table34111510[[#This Row],['#]]&amp;Inventory_List_Table34111510[[#This Row],[LC]])</f>
        <v xml:space="preserve"> </v>
      </c>
      <c r="G29" s="93"/>
      <c r="H29" s="93"/>
      <c r="I29" s="93"/>
      <c r="J29" s="93"/>
      <c r="K29" s="93"/>
      <c r="L29" s="95"/>
      <c r="M29" s="30" t="str">
        <f>IF(Inventory_List_Table34111510[[#This Row],[Q]]&lt;0.1, " ", Inventory_List_Table34111510[[#This Row],[Q]]*Inventory_List_Table34111510[[#This Row],[PRICE]])</f>
        <v xml:space="preserve"> </v>
      </c>
      <c r="N29" s="35" t="str">
        <f>IF(Inventory_List_Table34111510[[#This Row],[Q]]&lt;0.1, " ", Inventory_List_Table34111510[[#This Row],[KG]]*2.20462)</f>
        <v xml:space="preserve"> </v>
      </c>
      <c r="O29" s="35" t="str">
        <f>IF(Inventory_List_Table34111510[[#This Row],[Q]]&lt;0.1, " ",Inventory_List_Table34111510[[#This Row],[H CM]]/2.54)</f>
        <v xml:space="preserve"> </v>
      </c>
      <c r="P29" s="35" t="str">
        <f>IF(Inventory_List_Table34111510[[#This Row],[Q]]&lt;0.1, " ",Inventory_List_Table34111510[[#This Row],[W CM]]/2.54)</f>
        <v xml:space="preserve"> </v>
      </c>
      <c r="Q29" s="35" t="str">
        <f>IF(Inventory_List_Table34111510[[#This Row],[Q]]&lt;0.1, " ",Inventory_List_Table34111510[[#This Row],[D CM ]]/2.54)</f>
        <v xml:space="preserve"> </v>
      </c>
      <c r="R29" s="30" t="str">
        <f>IF(Inventory_List_Table34111510[[#This Row],[Q]]&lt;0.1, " ",Inventory_List_Table34111510[[#This Row],[PRICE]]/$L$1)</f>
        <v xml:space="preserve"> </v>
      </c>
      <c r="S2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29" s="30" t="str">
        <f>IF(Inventory_List_Table34111510[[#This Row],[Q]]&lt;0.1, " ",Inventory_List_Table34111510[[#This Row],[AQ RND USD]]*1.4)</f>
        <v xml:space="preserve"> </v>
      </c>
      <c r="U2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29" s="30" t="str">
        <f>IF(Inventory_List_Table34111510[[#This Row],[Q]]&lt;0.1, " ",Inventory_List_Table34111510[[#This Row],[LND RND USD]]*12)</f>
        <v xml:space="preserve"> </v>
      </c>
      <c r="W29" s="30" t="str">
        <f>IF(Inventory_List_Table34111510[[#This Row],[Q]]&lt;0.1, " ",Inventory_List_Table34111510[[#This Row],[AQ USD]])</f>
        <v xml:space="preserve"> </v>
      </c>
      <c r="X2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2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2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29" s="30" t="str">
        <f>IF(Inventory_List_Table34111510[[#This Row],[Q]]&lt;0.1, " ",Inventory_List_Table34111510[[#This Row],[PRICE]]/Z29*10000)</f>
        <v xml:space="preserve"> </v>
      </c>
      <c r="AB29" s="27"/>
      <c r="AC29" s="1"/>
      <c r="AD29" s="1"/>
    </row>
    <row r="30" spans="1:30" ht="24" customHeight="1" x14ac:dyDescent="0.3">
      <c r="A30" s="547">
        <v>28</v>
      </c>
      <c r="B30" s="1"/>
      <c r="C30" s="558"/>
      <c r="D30" s="558"/>
      <c r="E30" s="558"/>
      <c r="F30" s="38" t="str">
        <f>IF(Inventory_List_Table34111510[[#This Row],[Q]]&lt;0.1, " ",$A$1&amp;$D$1&amp;Inventory_List_Table34111510[[#This Row],['#]]&amp;Inventory_List_Table34111510[[#This Row],[LC]])</f>
        <v xml:space="preserve"> </v>
      </c>
      <c r="G30" s="93"/>
      <c r="H30" s="93"/>
      <c r="I30" s="93"/>
      <c r="J30" s="93"/>
      <c r="K30" s="93"/>
      <c r="L30" s="95"/>
      <c r="M30" s="30" t="str">
        <f>IF(Inventory_List_Table34111510[[#This Row],[Q]]&lt;0.1, " ", Inventory_List_Table34111510[[#This Row],[Q]]*Inventory_List_Table34111510[[#This Row],[PRICE]])</f>
        <v xml:space="preserve"> </v>
      </c>
      <c r="N30" s="35" t="str">
        <f>IF(Inventory_List_Table34111510[[#This Row],[Q]]&lt;0.1, " ", Inventory_List_Table34111510[[#This Row],[KG]]*2.20462)</f>
        <v xml:space="preserve"> </v>
      </c>
      <c r="O30" s="35" t="str">
        <f>IF(Inventory_List_Table34111510[[#This Row],[Q]]&lt;0.1, " ",Inventory_List_Table34111510[[#This Row],[H CM]]/2.54)</f>
        <v xml:space="preserve"> </v>
      </c>
      <c r="P30" s="35" t="str">
        <f>IF(Inventory_List_Table34111510[[#This Row],[Q]]&lt;0.1, " ",Inventory_List_Table34111510[[#This Row],[W CM]]/2.54)</f>
        <v xml:space="preserve"> </v>
      </c>
      <c r="Q30" s="35" t="str">
        <f>IF(Inventory_List_Table34111510[[#This Row],[Q]]&lt;0.1, " ",Inventory_List_Table34111510[[#This Row],[D CM ]]/2.54)</f>
        <v xml:space="preserve"> </v>
      </c>
      <c r="R30" s="30" t="str">
        <f>IF(Inventory_List_Table34111510[[#This Row],[Q]]&lt;0.1, " ",Inventory_List_Table34111510[[#This Row],[PRICE]]/$L$1)</f>
        <v xml:space="preserve"> </v>
      </c>
      <c r="S3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0" s="30" t="str">
        <f>IF(Inventory_List_Table34111510[[#This Row],[Q]]&lt;0.1, " ",Inventory_List_Table34111510[[#This Row],[AQ RND USD]]*1.4)</f>
        <v xml:space="preserve"> </v>
      </c>
      <c r="U3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0" s="30" t="str">
        <f>IF(Inventory_List_Table34111510[[#This Row],[Q]]&lt;0.1, " ",Inventory_List_Table34111510[[#This Row],[LND RND USD]]*12)</f>
        <v xml:space="preserve"> </v>
      </c>
      <c r="W30" s="30" t="str">
        <f>IF(Inventory_List_Table34111510[[#This Row],[Q]]&lt;0.1, " ",Inventory_List_Table34111510[[#This Row],[AQ USD]])</f>
        <v xml:space="preserve"> </v>
      </c>
      <c r="X3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0" s="30" t="str">
        <f>IF(Inventory_List_Table34111510[[#This Row],[Q]]&lt;0.1, " ",Inventory_List_Table34111510[[#This Row],[PRICE]]/Z30*10000)</f>
        <v xml:space="preserve"> </v>
      </c>
      <c r="AB30" s="27"/>
      <c r="AC30" s="1"/>
      <c r="AD30" s="1"/>
    </row>
    <row r="31" spans="1:30" ht="24" customHeight="1" x14ac:dyDescent="0.3">
      <c r="A31" s="547">
        <v>29</v>
      </c>
      <c r="B31" s="1"/>
      <c r="C31" s="558"/>
      <c r="D31" s="558"/>
      <c r="E31" s="558"/>
      <c r="F31" s="38" t="str">
        <f>IF(Inventory_List_Table34111510[[#This Row],[Q]]&lt;0.1, " ",$A$1&amp;$D$1&amp;Inventory_List_Table34111510[[#This Row],['#]]&amp;Inventory_List_Table34111510[[#This Row],[LC]])</f>
        <v xml:space="preserve"> </v>
      </c>
      <c r="G31" s="93"/>
      <c r="H31" s="93"/>
      <c r="I31" s="93"/>
      <c r="J31" s="93"/>
      <c r="K31" s="93"/>
      <c r="L31" s="95"/>
      <c r="M31" s="30" t="str">
        <f>IF(Inventory_List_Table34111510[[#This Row],[Q]]&lt;0.1, " ", Inventory_List_Table34111510[[#This Row],[Q]]*Inventory_List_Table34111510[[#This Row],[PRICE]])</f>
        <v xml:space="preserve"> </v>
      </c>
      <c r="N31" s="35" t="str">
        <f>IF(Inventory_List_Table34111510[[#This Row],[Q]]&lt;0.1, " ", Inventory_List_Table34111510[[#This Row],[KG]]*2.20462)</f>
        <v xml:space="preserve"> </v>
      </c>
      <c r="O31" s="35" t="str">
        <f>IF(Inventory_List_Table34111510[[#This Row],[Q]]&lt;0.1, " ",Inventory_List_Table34111510[[#This Row],[H CM]]/2.54)</f>
        <v xml:space="preserve"> </v>
      </c>
      <c r="P31" s="35" t="str">
        <f>IF(Inventory_List_Table34111510[[#This Row],[Q]]&lt;0.1, " ",Inventory_List_Table34111510[[#This Row],[W CM]]/2.54)</f>
        <v xml:space="preserve"> </v>
      </c>
      <c r="Q31" s="35" t="str">
        <f>IF(Inventory_List_Table34111510[[#This Row],[Q]]&lt;0.1, " ",Inventory_List_Table34111510[[#This Row],[D CM ]]/2.54)</f>
        <v xml:space="preserve"> </v>
      </c>
      <c r="R31" s="30" t="str">
        <f>IF(Inventory_List_Table34111510[[#This Row],[Q]]&lt;0.1, " ",Inventory_List_Table34111510[[#This Row],[PRICE]]/$L$1)</f>
        <v xml:space="preserve"> </v>
      </c>
      <c r="S3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1" s="30" t="str">
        <f>IF(Inventory_List_Table34111510[[#This Row],[Q]]&lt;0.1, " ",Inventory_List_Table34111510[[#This Row],[AQ RND USD]]*1.4)</f>
        <v xml:space="preserve"> </v>
      </c>
      <c r="U3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1" s="30" t="str">
        <f>IF(Inventory_List_Table34111510[[#This Row],[Q]]&lt;0.1, " ",Inventory_List_Table34111510[[#This Row],[LND RND USD]]*12)</f>
        <v xml:space="preserve"> </v>
      </c>
      <c r="W31" s="30" t="str">
        <f>IF(Inventory_List_Table34111510[[#This Row],[Q]]&lt;0.1, " ",Inventory_List_Table34111510[[#This Row],[AQ USD]])</f>
        <v xml:space="preserve"> </v>
      </c>
      <c r="X3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1" s="30" t="str">
        <f>IF(Inventory_List_Table34111510[[#This Row],[Q]]&lt;0.1, " ",Inventory_List_Table34111510[[#This Row],[PRICE]]/Z31*10000)</f>
        <v xml:space="preserve"> </v>
      </c>
      <c r="AB31" s="27"/>
      <c r="AC31" s="1"/>
      <c r="AD31" s="1"/>
    </row>
    <row r="32" spans="1:30" ht="24" customHeight="1" x14ac:dyDescent="0.3">
      <c r="A32" s="547">
        <v>30</v>
      </c>
      <c r="B32" s="1"/>
      <c r="C32" s="558"/>
      <c r="D32" s="558"/>
      <c r="E32" s="558"/>
      <c r="F32" s="38" t="str">
        <f>IF(Inventory_List_Table34111510[[#This Row],[Q]]&lt;0.1, " ",$A$1&amp;$D$1&amp;Inventory_List_Table34111510[[#This Row],['#]]&amp;Inventory_List_Table34111510[[#This Row],[LC]])</f>
        <v xml:space="preserve"> </v>
      </c>
      <c r="G32" s="93"/>
      <c r="H32" s="93"/>
      <c r="I32" s="93"/>
      <c r="J32" s="93"/>
      <c r="K32" s="93"/>
      <c r="L32" s="95"/>
      <c r="M32" s="30" t="str">
        <f>IF(Inventory_List_Table34111510[[#This Row],[Q]]&lt;0.1, " ", Inventory_List_Table34111510[[#This Row],[Q]]*Inventory_List_Table34111510[[#This Row],[PRICE]])</f>
        <v xml:space="preserve"> </v>
      </c>
      <c r="N32" s="35" t="str">
        <f>IF(Inventory_List_Table34111510[[#This Row],[Q]]&lt;0.1, " ", Inventory_List_Table34111510[[#This Row],[KG]]*2.20462)</f>
        <v xml:space="preserve"> </v>
      </c>
      <c r="O32" s="35" t="str">
        <f>IF(Inventory_List_Table34111510[[#This Row],[Q]]&lt;0.1, " ",Inventory_List_Table34111510[[#This Row],[H CM]]/2.54)</f>
        <v xml:space="preserve"> </v>
      </c>
      <c r="P32" s="35" t="str">
        <f>IF(Inventory_List_Table34111510[[#This Row],[Q]]&lt;0.1, " ",Inventory_List_Table34111510[[#This Row],[W CM]]/2.54)</f>
        <v xml:space="preserve"> </v>
      </c>
      <c r="Q32" s="35" t="str">
        <f>IF(Inventory_List_Table34111510[[#This Row],[Q]]&lt;0.1, " ",Inventory_List_Table34111510[[#This Row],[D CM ]]/2.54)</f>
        <v xml:space="preserve"> </v>
      </c>
      <c r="R32" s="30" t="str">
        <f>IF(Inventory_List_Table34111510[[#This Row],[Q]]&lt;0.1, " ",Inventory_List_Table34111510[[#This Row],[PRICE]]/$L$1)</f>
        <v xml:space="preserve"> </v>
      </c>
      <c r="S3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2" s="30" t="str">
        <f>IF(Inventory_List_Table34111510[[#This Row],[Q]]&lt;0.1, " ",Inventory_List_Table34111510[[#This Row],[AQ RND USD]]*1.4)</f>
        <v xml:space="preserve"> </v>
      </c>
      <c r="U3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2" s="30" t="str">
        <f>IF(Inventory_List_Table34111510[[#This Row],[Q]]&lt;0.1, " ",Inventory_List_Table34111510[[#This Row],[LND RND USD]]*12)</f>
        <v xml:space="preserve"> </v>
      </c>
      <c r="W32" s="30" t="str">
        <f>IF(Inventory_List_Table34111510[[#This Row],[Q]]&lt;0.1, " ",Inventory_List_Table34111510[[#This Row],[AQ USD]])</f>
        <v xml:space="preserve"> </v>
      </c>
      <c r="X3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2" s="30" t="str">
        <f>IF(Inventory_List_Table34111510[[#This Row],[Q]]&lt;0.1, " ",Inventory_List_Table34111510[[#This Row],[PRICE]]/Z32*10000)</f>
        <v xml:space="preserve"> </v>
      </c>
      <c r="AB32" s="27"/>
      <c r="AC32" s="1"/>
      <c r="AD32" s="1"/>
    </row>
    <row r="33" spans="1:30" ht="24" customHeight="1" x14ac:dyDescent="0.3">
      <c r="A33" s="547">
        <v>31</v>
      </c>
      <c r="B33" s="1"/>
      <c r="C33" s="558"/>
      <c r="D33" s="558"/>
      <c r="E33" s="558"/>
      <c r="F33" s="38" t="str">
        <f>IF(Inventory_List_Table34111510[[#This Row],[Q]]&lt;0.1, " ",$A$1&amp;$D$1&amp;Inventory_List_Table34111510[[#This Row],['#]]&amp;Inventory_List_Table34111510[[#This Row],[LC]])</f>
        <v xml:space="preserve"> </v>
      </c>
      <c r="G33" s="93"/>
      <c r="H33" s="93"/>
      <c r="I33" s="93"/>
      <c r="J33" s="93"/>
      <c r="K33" s="93"/>
      <c r="L33" s="95"/>
      <c r="M33" s="30" t="str">
        <f>IF(Inventory_List_Table34111510[[#This Row],[Q]]&lt;0.1, " ", Inventory_List_Table34111510[[#This Row],[Q]]*Inventory_List_Table34111510[[#This Row],[PRICE]])</f>
        <v xml:space="preserve"> </v>
      </c>
      <c r="N33" s="35" t="str">
        <f>IF(Inventory_List_Table34111510[[#This Row],[Q]]&lt;0.1, " ", Inventory_List_Table34111510[[#This Row],[KG]]*2.20462)</f>
        <v xml:space="preserve"> </v>
      </c>
      <c r="O33" s="35" t="str">
        <f>IF(Inventory_List_Table34111510[[#This Row],[Q]]&lt;0.1, " ",Inventory_List_Table34111510[[#This Row],[H CM]]/2.54)</f>
        <v xml:space="preserve"> </v>
      </c>
      <c r="P33" s="35" t="str">
        <f>IF(Inventory_List_Table34111510[[#This Row],[Q]]&lt;0.1, " ",Inventory_List_Table34111510[[#This Row],[W CM]]/2.54)</f>
        <v xml:space="preserve"> </v>
      </c>
      <c r="Q33" s="35" t="str">
        <f>IF(Inventory_List_Table34111510[[#This Row],[Q]]&lt;0.1, " ",Inventory_List_Table34111510[[#This Row],[D CM ]]/2.54)</f>
        <v xml:space="preserve"> </v>
      </c>
      <c r="R33" s="30" t="str">
        <f>IF(Inventory_List_Table34111510[[#This Row],[Q]]&lt;0.1, " ",Inventory_List_Table34111510[[#This Row],[PRICE]]/$L$1)</f>
        <v xml:space="preserve"> </v>
      </c>
      <c r="S3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3" s="30" t="str">
        <f>IF(Inventory_List_Table34111510[[#This Row],[Q]]&lt;0.1, " ",Inventory_List_Table34111510[[#This Row],[AQ RND USD]]*1.4)</f>
        <v xml:space="preserve"> </v>
      </c>
      <c r="U3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3" s="30" t="str">
        <f>IF(Inventory_List_Table34111510[[#This Row],[Q]]&lt;0.1, " ",Inventory_List_Table34111510[[#This Row],[LND RND USD]]*12)</f>
        <v xml:space="preserve"> </v>
      </c>
      <c r="W33" s="30" t="str">
        <f>IF(Inventory_List_Table34111510[[#This Row],[Q]]&lt;0.1, " ",Inventory_List_Table34111510[[#This Row],[AQ USD]])</f>
        <v xml:space="preserve"> </v>
      </c>
      <c r="X3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3" s="30" t="str">
        <f>IF(Inventory_List_Table34111510[[#This Row],[Q]]&lt;0.1, " ",Inventory_List_Table34111510[[#This Row],[PRICE]]/Z33*10000)</f>
        <v xml:space="preserve"> </v>
      </c>
      <c r="AB33" s="27"/>
      <c r="AC33" s="1"/>
      <c r="AD33" s="1"/>
    </row>
    <row r="34" spans="1:30" ht="24" customHeight="1" x14ac:dyDescent="0.3">
      <c r="A34" s="547">
        <v>32</v>
      </c>
      <c r="B34" s="1"/>
      <c r="C34" s="558"/>
      <c r="D34" s="558"/>
      <c r="E34" s="558"/>
      <c r="F34" s="38" t="str">
        <f>IF(Inventory_List_Table34111510[[#This Row],[Q]]&lt;0.1, " ",$A$1&amp;$D$1&amp;Inventory_List_Table34111510[[#This Row],['#]]&amp;Inventory_List_Table34111510[[#This Row],[LC]])</f>
        <v xml:space="preserve"> </v>
      </c>
      <c r="G34" s="93"/>
      <c r="H34" s="93"/>
      <c r="I34" s="93"/>
      <c r="J34" s="93"/>
      <c r="K34" s="93"/>
      <c r="L34" s="95"/>
      <c r="M34" s="30" t="str">
        <f>IF(Inventory_List_Table34111510[[#This Row],[Q]]&lt;0.1, " ", Inventory_List_Table34111510[[#This Row],[Q]]*Inventory_List_Table34111510[[#This Row],[PRICE]])</f>
        <v xml:space="preserve"> </v>
      </c>
      <c r="N34" s="35" t="str">
        <f>IF(Inventory_List_Table34111510[[#This Row],[Q]]&lt;0.1, " ", Inventory_List_Table34111510[[#This Row],[KG]]*2.20462)</f>
        <v xml:space="preserve"> </v>
      </c>
      <c r="O34" s="35" t="str">
        <f>IF(Inventory_List_Table34111510[[#This Row],[Q]]&lt;0.1, " ",Inventory_List_Table34111510[[#This Row],[H CM]]/2.54)</f>
        <v xml:space="preserve"> </v>
      </c>
      <c r="P34" s="35" t="str">
        <f>IF(Inventory_List_Table34111510[[#This Row],[Q]]&lt;0.1, " ",Inventory_List_Table34111510[[#This Row],[W CM]]/2.54)</f>
        <v xml:space="preserve"> </v>
      </c>
      <c r="Q34" s="35" t="str">
        <f>IF(Inventory_List_Table34111510[[#This Row],[Q]]&lt;0.1, " ",Inventory_List_Table34111510[[#This Row],[D CM ]]/2.54)</f>
        <v xml:space="preserve"> </v>
      </c>
      <c r="R34" s="30" t="str">
        <f>IF(Inventory_List_Table34111510[[#This Row],[Q]]&lt;0.1, " ",Inventory_List_Table34111510[[#This Row],[PRICE]]/$L$1)</f>
        <v xml:space="preserve"> </v>
      </c>
      <c r="S3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4" s="30" t="str">
        <f>IF(Inventory_List_Table34111510[[#This Row],[Q]]&lt;0.1, " ",Inventory_List_Table34111510[[#This Row],[AQ RND USD]]*1.4)</f>
        <v xml:space="preserve"> </v>
      </c>
      <c r="U3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4" s="30" t="str">
        <f>IF(Inventory_List_Table34111510[[#This Row],[Q]]&lt;0.1, " ",Inventory_List_Table34111510[[#This Row],[LND RND USD]]*12)</f>
        <v xml:space="preserve"> </v>
      </c>
      <c r="W34" s="30" t="str">
        <f>IF(Inventory_List_Table34111510[[#This Row],[Q]]&lt;0.1, " ",Inventory_List_Table34111510[[#This Row],[AQ USD]])</f>
        <v xml:space="preserve"> </v>
      </c>
      <c r="X3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4" s="30" t="str">
        <f>IF(Inventory_List_Table34111510[[#This Row],[Q]]&lt;0.1, " ",Inventory_List_Table34111510[[#This Row],[PRICE]]/Z34*10000)</f>
        <v xml:space="preserve"> </v>
      </c>
      <c r="AB34" s="27"/>
      <c r="AC34" s="1"/>
      <c r="AD34" s="1"/>
    </row>
    <row r="35" spans="1:30" ht="24" customHeight="1" x14ac:dyDescent="0.3">
      <c r="A35" s="547">
        <v>33</v>
      </c>
      <c r="B35" s="1"/>
      <c r="C35" s="558"/>
      <c r="D35" s="558"/>
      <c r="E35" s="558"/>
      <c r="F35" s="38" t="str">
        <f>IF(Inventory_List_Table34111510[[#This Row],[Q]]&lt;0.1, " ",$A$1&amp;$D$1&amp;Inventory_List_Table34111510[[#This Row],['#]]&amp;Inventory_List_Table34111510[[#This Row],[LC]])</f>
        <v xml:space="preserve"> </v>
      </c>
      <c r="G35" s="93"/>
      <c r="H35" s="93"/>
      <c r="I35" s="93"/>
      <c r="J35" s="93"/>
      <c r="K35" s="93"/>
      <c r="L35" s="95"/>
      <c r="M35" s="30" t="str">
        <f>IF(Inventory_List_Table34111510[[#This Row],[Q]]&lt;0.1, " ", Inventory_List_Table34111510[[#This Row],[Q]]*Inventory_List_Table34111510[[#This Row],[PRICE]])</f>
        <v xml:space="preserve"> </v>
      </c>
      <c r="N35" s="35" t="str">
        <f>IF(Inventory_List_Table34111510[[#This Row],[Q]]&lt;0.1, " ", Inventory_List_Table34111510[[#This Row],[KG]]*2.20462)</f>
        <v xml:space="preserve"> </v>
      </c>
      <c r="O35" s="35" t="str">
        <f>IF(Inventory_List_Table34111510[[#This Row],[Q]]&lt;0.1, " ",Inventory_List_Table34111510[[#This Row],[H CM]]/2.54)</f>
        <v xml:space="preserve"> </v>
      </c>
      <c r="P35" s="35" t="str">
        <f>IF(Inventory_List_Table34111510[[#This Row],[Q]]&lt;0.1, " ",Inventory_List_Table34111510[[#This Row],[W CM]]/2.54)</f>
        <v xml:space="preserve"> </v>
      </c>
      <c r="Q35" s="35" t="str">
        <f>IF(Inventory_List_Table34111510[[#This Row],[Q]]&lt;0.1, " ",Inventory_List_Table34111510[[#This Row],[D CM ]]/2.54)</f>
        <v xml:space="preserve"> </v>
      </c>
      <c r="R35" s="30" t="str">
        <f>IF(Inventory_List_Table34111510[[#This Row],[Q]]&lt;0.1, " ",Inventory_List_Table34111510[[#This Row],[PRICE]]/$L$1)</f>
        <v xml:space="preserve"> </v>
      </c>
      <c r="S3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5" s="30" t="str">
        <f>IF(Inventory_List_Table34111510[[#This Row],[Q]]&lt;0.1, " ",Inventory_List_Table34111510[[#This Row],[AQ RND USD]]*1.4)</f>
        <v xml:space="preserve"> </v>
      </c>
      <c r="U3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5" s="30" t="str">
        <f>IF(Inventory_List_Table34111510[[#This Row],[Q]]&lt;0.1, " ",Inventory_List_Table34111510[[#This Row],[LND RND USD]]*12)</f>
        <v xml:space="preserve"> </v>
      </c>
      <c r="W35" s="30" t="str">
        <f>IF(Inventory_List_Table34111510[[#This Row],[Q]]&lt;0.1, " ",Inventory_List_Table34111510[[#This Row],[AQ USD]])</f>
        <v xml:space="preserve"> </v>
      </c>
      <c r="X3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5" s="30" t="str">
        <f>IF(Inventory_List_Table34111510[[#This Row],[Q]]&lt;0.1, " ",Inventory_List_Table34111510[[#This Row],[PRICE]]/Z35*10000)</f>
        <v xml:space="preserve"> </v>
      </c>
      <c r="AB35" s="27"/>
      <c r="AC35" s="1"/>
      <c r="AD35" s="1"/>
    </row>
    <row r="36" spans="1:30" ht="24" customHeight="1" x14ac:dyDescent="0.3">
      <c r="A36" s="547">
        <v>34</v>
      </c>
      <c r="B36" s="1"/>
      <c r="C36" s="558"/>
      <c r="D36" s="558"/>
      <c r="E36" s="558"/>
      <c r="F36" s="38" t="str">
        <f>IF(Inventory_List_Table34111510[[#This Row],[Q]]&lt;0.1, " ",$A$1&amp;$D$1&amp;Inventory_List_Table34111510[[#This Row],['#]]&amp;Inventory_List_Table34111510[[#This Row],[LC]])</f>
        <v xml:space="preserve"> </v>
      </c>
      <c r="G36" s="93"/>
      <c r="H36" s="93"/>
      <c r="I36" s="93"/>
      <c r="J36" s="93"/>
      <c r="K36" s="93"/>
      <c r="L36" s="95"/>
      <c r="M36" s="30" t="str">
        <f>IF(Inventory_List_Table34111510[[#This Row],[Q]]&lt;0.1, " ", Inventory_List_Table34111510[[#This Row],[Q]]*Inventory_List_Table34111510[[#This Row],[PRICE]])</f>
        <v xml:space="preserve"> </v>
      </c>
      <c r="N36" s="35" t="str">
        <f>IF(Inventory_List_Table34111510[[#This Row],[Q]]&lt;0.1, " ", Inventory_List_Table34111510[[#This Row],[KG]]*2.20462)</f>
        <v xml:space="preserve"> </v>
      </c>
      <c r="O36" s="35" t="str">
        <f>IF(Inventory_List_Table34111510[[#This Row],[Q]]&lt;0.1, " ",Inventory_List_Table34111510[[#This Row],[H CM]]/2.54)</f>
        <v xml:space="preserve"> </v>
      </c>
      <c r="P36" s="35" t="str">
        <f>IF(Inventory_List_Table34111510[[#This Row],[Q]]&lt;0.1, " ",Inventory_List_Table34111510[[#This Row],[W CM]]/2.54)</f>
        <v xml:space="preserve"> </v>
      </c>
      <c r="Q36" s="35" t="str">
        <f>IF(Inventory_List_Table34111510[[#This Row],[Q]]&lt;0.1, " ",Inventory_List_Table34111510[[#This Row],[D CM ]]/2.54)</f>
        <v xml:space="preserve"> </v>
      </c>
      <c r="R36" s="30" t="str">
        <f>IF(Inventory_List_Table34111510[[#This Row],[Q]]&lt;0.1, " ",Inventory_List_Table34111510[[#This Row],[PRICE]]/$L$1)</f>
        <v xml:space="preserve"> </v>
      </c>
      <c r="S3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6" s="30" t="str">
        <f>IF(Inventory_List_Table34111510[[#This Row],[Q]]&lt;0.1, " ",Inventory_List_Table34111510[[#This Row],[AQ RND USD]]*1.4)</f>
        <v xml:space="preserve"> </v>
      </c>
      <c r="U3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6" s="30" t="str">
        <f>IF(Inventory_List_Table34111510[[#This Row],[Q]]&lt;0.1, " ",Inventory_List_Table34111510[[#This Row],[LND RND USD]]*12)</f>
        <v xml:space="preserve"> </v>
      </c>
      <c r="W36" s="30" t="str">
        <f>IF(Inventory_List_Table34111510[[#This Row],[Q]]&lt;0.1, " ",Inventory_List_Table34111510[[#This Row],[AQ USD]])</f>
        <v xml:space="preserve"> </v>
      </c>
      <c r="X3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6" s="30" t="str">
        <f>IF(Inventory_List_Table34111510[[#This Row],[Q]]&lt;0.1, " ",Inventory_List_Table34111510[[#This Row],[PRICE]]/Z36*10000)</f>
        <v xml:space="preserve"> </v>
      </c>
      <c r="AB36" s="27"/>
      <c r="AC36" s="1"/>
      <c r="AD36" s="1"/>
    </row>
    <row r="37" spans="1:30" ht="24" customHeight="1" x14ac:dyDescent="0.3">
      <c r="A37" s="547">
        <v>35</v>
      </c>
      <c r="B37" s="1"/>
      <c r="C37" s="558"/>
      <c r="D37" s="558"/>
      <c r="E37" s="558"/>
      <c r="F37" s="38" t="str">
        <f>IF(Inventory_List_Table34111510[[#This Row],[Q]]&lt;0.1, " ",$A$1&amp;$D$1&amp;Inventory_List_Table34111510[[#This Row],['#]]&amp;Inventory_List_Table34111510[[#This Row],[LC]])</f>
        <v xml:space="preserve"> </v>
      </c>
      <c r="G37" s="93"/>
      <c r="H37" s="93"/>
      <c r="I37" s="93"/>
      <c r="J37" s="93"/>
      <c r="K37" s="93"/>
      <c r="L37" s="95"/>
      <c r="M37" s="30" t="str">
        <f>IF(Inventory_List_Table34111510[[#This Row],[Q]]&lt;0.1, " ", Inventory_List_Table34111510[[#This Row],[Q]]*Inventory_List_Table34111510[[#This Row],[PRICE]])</f>
        <v xml:space="preserve"> </v>
      </c>
      <c r="N37" s="35" t="str">
        <f>IF(Inventory_List_Table34111510[[#This Row],[Q]]&lt;0.1, " ", Inventory_List_Table34111510[[#This Row],[KG]]*2.20462)</f>
        <v xml:space="preserve"> </v>
      </c>
      <c r="O37" s="35" t="str">
        <f>IF(Inventory_List_Table34111510[[#This Row],[Q]]&lt;0.1, " ",Inventory_List_Table34111510[[#This Row],[H CM]]/2.54)</f>
        <v xml:space="preserve"> </v>
      </c>
      <c r="P37" s="35" t="str">
        <f>IF(Inventory_List_Table34111510[[#This Row],[Q]]&lt;0.1, " ",Inventory_List_Table34111510[[#This Row],[W CM]]/2.54)</f>
        <v xml:space="preserve"> </v>
      </c>
      <c r="Q37" s="35" t="str">
        <f>IF(Inventory_List_Table34111510[[#This Row],[Q]]&lt;0.1, " ",Inventory_List_Table34111510[[#This Row],[D CM ]]/2.54)</f>
        <v xml:space="preserve"> </v>
      </c>
      <c r="R37" s="30" t="str">
        <f>IF(Inventory_List_Table34111510[[#This Row],[Q]]&lt;0.1, " ",Inventory_List_Table34111510[[#This Row],[PRICE]]/$L$1)</f>
        <v xml:space="preserve"> </v>
      </c>
      <c r="S3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7" s="30" t="str">
        <f>IF(Inventory_List_Table34111510[[#This Row],[Q]]&lt;0.1, " ",Inventory_List_Table34111510[[#This Row],[AQ RND USD]]*1.4)</f>
        <v xml:space="preserve"> </v>
      </c>
      <c r="U3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7" s="30" t="str">
        <f>IF(Inventory_List_Table34111510[[#This Row],[Q]]&lt;0.1, " ",Inventory_List_Table34111510[[#This Row],[LND RND USD]]*12)</f>
        <v xml:space="preserve"> </v>
      </c>
      <c r="W37" s="30" t="str">
        <f>IF(Inventory_List_Table34111510[[#This Row],[Q]]&lt;0.1, " ",Inventory_List_Table34111510[[#This Row],[AQ USD]])</f>
        <v xml:space="preserve"> </v>
      </c>
      <c r="X3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7" s="30" t="str">
        <f>IF(Inventory_List_Table34111510[[#This Row],[Q]]&lt;0.1, " ",Inventory_List_Table34111510[[#This Row],[PRICE]]/Z37*10000)</f>
        <v xml:space="preserve"> </v>
      </c>
      <c r="AB37" s="27"/>
      <c r="AC37" s="1"/>
      <c r="AD37" s="1"/>
    </row>
    <row r="38" spans="1:30" ht="24" customHeight="1" x14ac:dyDescent="0.3">
      <c r="A38" s="547">
        <v>36</v>
      </c>
      <c r="B38" s="1"/>
      <c r="C38" s="558"/>
      <c r="D38" s="558"/>
      <c r="E38" s="558"/>
      <c r="F38" s="38" t="str">
        <f>IF(Inventory_List_Table34111510[[#This Row],[Q]]&lt;0.1, " ",$A$1&amp;$D$1&amp;Inventory_List_Table34111510[[#This Row],['#]]&amp;Inventory_List_Table34111510[[#This Row],[LC]])</f>
        <v xml:space="preserve"> </v>
      </c>
      <c r="G38" s="93"/>
      <c r="H38" s="93"/>
      <c r="I38" s="93"/>
      <c r="J38" s="93"/>
      <c r="K38" s="93"/>
      <c r="L38" s="95"/>
      <c r="M38" s="30" t="str">
        <f>IF(Inventory_List_Table34111510[[#This Row],[Q]]&lt;0.1, " ", Inventory_List_Table34111510[[#This Row],[Q]]*Inventory_List_Table34111510[[#This Row],[PRICE]])</f>
        <v xml:space="preserve"> </v>
      </c>
      <c r="N38" s="35" t="str">
        <f>IF(Inventory_List_Table34111510[[#This Row],[Q]]&lt;0.1, " ", Inventory_List_Table34111510[[#This Row],[KG]]*2.20462)</f>
        <v xml:space="preserve"> </v>
      </c>
      <c r="O38" s="35" t="str">
        <f>IF(Inventory_List_Table34111510[[#This Row],[Q]]&lt;0.1, " ",Inventory_List_Table34111510[[#This Row],[H CM]]/2.54)</f>
        <v xml:space="preserve"> </v>
      </c>
      <c r="P38" s="35" t="str">
        <f>IF(Inventory_List_Table34111510[[#This Row],[Q]]&lt;0.1, " ",Inventory_List_Table34111510[[#This Row],[W CM]]/2.54)</f>
        <v xml:space="preserve"> </v>
      </c>
      <c r="Q38" s="35" t="str">
        <f>IF(Inventory_List_Table34111510[[#This Row],[Q]]&lt;0.1, " ",Inventory_List_Table34111510[[#This Row],[D CM ]]/2.54)</f>
        <v xml:space="preserve"> </v>
      </c>
      <c r="R38" s="30" t="str">
        <f>IF(Inventory_List_Table34111510[[#This Row],[Q]]&lt;0.1, " ",Inventory_List_Table34111510[[#This Row],[PRICE]]/$L$1)</f>
        <v xml:space="preserve"> </v>
      </c>
      <c r="S3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8" s="30" t="str">
        <f>IF(Inventory_List_Table34111510[[#This Row],[Q]]&lt;0.1, " ",Inventory_List_Table34111510[[#This Row],[AQ RND USD]]*1.4)</f>
        <v xml:space="preserve"> </v>
      </c>
      <c r="U3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8" s="30" t="str">
        <f>IF(Inventory_List_Table34111510[[#This Row],[Q]]&lt;0.1, " ",Inventory_List_Table34111510[[#This Row],[LND RND USD]]*12)</f>
        <v xml:space="preserve"> </v>
      </c>
      <c r="W38" s="30" t="str">
        <f>IF(Inventory_List_Table34111510[[#This Row],[Q]]&lt;0.1, " ",Inventory_List_Table34111510[[#This Row],[AQ USD]])</f>
        <v xml:space="preserve"> </v>
      </c>
      <c r="X3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8" s="30" t="str">
        <f>IF(Inventory_List_Table34111510[[#This Row],[Q]]&lt;0.1, " ",Inventory_List_Table34111510[[#This Row],[PRICE]]/Z38*10000)</f>
        <v xml:space="preserve"> </v>
      </c>
      <c r="AB38" s="27"/>
      <c r="AC38" s="1"/>
      <c r="AD38" s="1"/>
    </row>
    <row r="39" spans="1:30" ht="24" customHeight="1" x14ac:dyDescent="0.3">
      <c r="A39" s="547">
        <v>37</v>
      </c>
      <c r="B39" s="1"/>
      <c r="C39" s="558"/>
      <c r="D39" s="558"/>
      <c r="E39" s="558"/>
      <c r="F39" s="38" t="str">
        <f>IF(Inventory_List_Table34111510[[#This Row],[Q]]&lt;0.1, " ",$A$1&amp;$D$1&amp;Inventory_List_Table34111510[[#This Row],['#]]&amp;Inventory_List_Table34111510[[#This Row],[LC]])</f>
        <v xml:space="preserve"> </v>
      </c>
      <c r="G39" s="93"/>
      <c r="H39" s="93"/>
      <c r="I39" s="93"/>
      <c r="J39" s="93"/>
      <c r="K39" s="93"/>
      <c r="L39" s="95"/>
      <c r="M39" s="30" t="str">
        <f>IF(Inventory_List_Table34111510[[#This Row],[Q]]&lt;0.1, " ", Inventory_List_Table34111510[[#This Row],[Q]]*Inventory_List_Table34111510[[#This Row],[PRICE]])</f>
        <v xml:space="preserve"> </v>
      </c>
      <c r="N39" s="35" t="str">
        <f>IF(Inventory_List_Table34111510[[#This Row],[Q]]&lt;0.1, " ", Inventory_List_Table34111510[[#This Row],[KG]]*2.20462)</f>
        <v xml:space="preserve"> </v>
      </c>
      <c r="O39" s="35" t="str">
        <f>IF(Inventory_List_Table34111510[[#This Row],[Q]]&lt;0.1, " ",Inventory_List_Table34111510[[#This Row],[H CM]]/2.54)</f>
        <v xml:space="preserve"> </v>
      </c>
      <c r="P39" s="35" t="str">
        <f>IF(Inventory_List_Table34111510[[#This Row],[Q]]&lt;0.1, " ",Inventory_List_Table34111510[[#This Row],[W CM]]/2.54)</f>
        <v xml:space="preserve"> </v>
      </c>
      <c r="Q39" s="35" t="str">
        <f>IF(Inventory_List_Table34111510[[#This Row],[Q]]&lt;0.1, " ",Inventory_List_Table34111510[[#This Row],[D CM ]]/2.54)</f>
        <v xml:space="preserve"> </v>
      </c>
      <c r="R39" s="30" t="str">
        <f>IF(Inventory_List_Table34111510[[#This Row],[Q]]&lt;0.1, " ",Inventory_List_Table34111510[[#This Row],[PRICE]]/$L$1)</f>
        <v xml:space="preserve"> </v>
      </c>
      <c r="S3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39" s="30" t="str">
        <f>IF(Inventory_List_Table34111510[[#This Row],[Q]]&lt;0.1, " ",Inventory_List_Table34111510[[#This Row],[AQ RND USD]]*1.4)</f>
        <v xml:space="preserve"> </v>
      </c>
      <c r="U3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39" s="30" t="str">
        <f>IF(Inventory_List_Table34111510[[#This Row],[Q]]&lt;0.1, " ",Inventory_List_Table34111510[[#This Row],[LND RND USD]]*12)</f>
        <v xml:space="preserve"> </v>
      </c>
      <c r="W39" s="30" t="str">
        <f>IF(Inventory_List_Table34111510[[#This Row],[Q]]&lt;0.1, " ",Inventory_List_Table34111510[[#This Row],[AQ USD]])</f>
        <v xml:space="preserve"> </v>
      </c>
      <c r="X3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3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3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39" s="30" t="str">
        <f>IF(Inventory_List_Table34111510[[#This Row],[Q]]&lt;0.1, " ",Inventory_List_Table34111510[[#This Row],[PRICE]]/Z39*10000)</f>
        <v xml:space="preserve"> </v>
      </c>
      <c r="AB39" s="27"/>
      <c r="AC39" s="1"/>
      <c r="AD39" s="1"/>
    </row>
    <row r="40" spans="1:30" ht="24" customHeight="1" x14ac:dyDescent="0.3">
      <c r="A40" s="547">
        <v>38</v>
      </c>
      <c r="B40" s="1"/>
      <c r="C40" s="558"/>
      <c r="D40" s="558"/>
      <c r="E40" s="558"/>
      <c r="F40" s="38" t="str">
        <f>IF(Inventory_List_Table34111510[[#This Row],[Q]]&lt;0.1, " ",$A$1&amp;$D$1&amp;Inventory_List_Table34111510[[#This Row],['#]]&amp;Inventory_List_Table34111510[[#This Row],[LC]])</f>
        <v xml:space="preserve"> </v>
      </c>
      <c r="G40" s="93"/>
      <c r="H40" s="93"/>
      <c r="I40" s="93"/>
      <c r="J40" s="93"/>
      <c r="K40" s="93"/>
      <c r="L40" s="95"/>
      <c r="M40" s="30" t="str">
        <f>IF(Inventory_List_Table34111510[[#This Row],[Q]]&lt;0.1, " ", Inventory_List_Table34111510[[#This Row],[Q]]*Inventory_List_Table34111510[[#This Row],[PRICE]])</f>
        <v xml:space="preserve"> </v>
      </c>
      <c r="N40" s="35" t="str">
        <f>IF(Inventory_List_Table34111510[[#This Row],[Q]]&lt;0.1, " ", Inventory_List_Table34111510[[#This Row],[KG]]*2.20462)</f>
        <v xml:space="preserve"> </v>
      </c>
      <c r="O40" s="35" t="str">
        <f>IF(Inventory_List_Table34111510[[#This Row],[Q]]&lt;0.1, " ",Inventory_List_Table34111510[[#This Row],[H CM]]/2.54)</f>
        <v xml:space="preserve"> </v>
      </c>
      <c r="P40" s="35" t="str">
        <f>IF(Inventory_List_Table34111510[[#This Row],[Q]]&lt;0.1, " ",Inventory_List_Table34111510[[#This Row],[W CM]]/2.54)</f>
        <v xml:space="preserve"> </v>
      </c>
      <c r="Q40" s="35" t="str">
        <f>IF(Inventory_List_Table34111510[[#This Row],[Q]]&lt;0.1, " ",Inventory_List_Table34111510[[#This Row],[D CM ]]/2.54)</f>
        <v xml:space="preserve"> </v>
      </c>
      <c r="R40" s="30" t="str">
        <f>IF(Inventory_List_Table34111510[[#This Row],[Q]]&lt;0.1, " ",Inventory_List_Table34111510[[#This Row],[PRICE]]/$L$1)</f>
        <v xml:space="preserve"> </v>
      </c>
      <c r="S4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0" s="30" t="str">
        <f>IF(Inventory_List_Table34111510[[#This Row],[Q]]&lt;0.1, " ",Inventory_List_Table34111510[[#This Row],[AQ RND USD]]*1.4)</f>
        <v xml:space="preserve"> </v>
      </c>
      <c r="U4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0" s="30" t="str">
        <f>IF(Inventory_List_Table34111510[[#This Row],[Q]]&lt;0.1, " ",Inventory_List_Table34111510[[#This Row],[LND RND USD]]*12)</f>
        <v xml:space="preserve"> </v>
      </c>
      <c r="W40" s="30" t="str">
        <f>IF(Inventory_List_Table34111510[[#This Row],[Q]]&lt;0.1, " ",Inventory_List_Table34111510[[#This Row],[AQ USD]])</f>
        <v xml:space="preserve"> </v>
      </c>
      <c r="X4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0" s="30" t="str">
        <f>IF(Inventory_List_Table34111510[[#This Row],[Q]]&lt;0.1, " ",Inventory_List_Table34111510[[#This Row],[PRICE]]/Z40*10000)</f>
        <v xml:space="preserve"> </v>
      </c>
      <c r="AB40" s="27"/>
      <c r="AC40" s="1"/>
      <c r="AD40" s="1"/>
    </row>
    <row r="41" spans="1:30" ht="24" customHeight="1" x14ac:dyDescent="0.3">
      <c r="A41" s="547">
        <v>39</v>
      </c>
      <c r="B41" s="1"/>
      <c r="C41" s="558"/>
      <c r="D41" s="558"/>
      <c r="E41" s="558"/>
      <c r="F41" s="38" t="str">
        <f>IF(Inventory_List_Table34111510[[#This Row],[Q]]&lt;0.1, " ",$A$1&amp;$D$1&amp;Inventory_List_Table34111510[[#This Row],['#]]&amp;Inventory_List_Table34111510[[#This Row],[LC]])</f>
        <v xml:space="preserve"> </v>
      </c>
      <c r="G41" s="93"/>
      <c r="H41" s="93"/>
      <c r="I41" s="93"/>
      <c r="J41" s="93"/>
      <c r="K41" s="93"/>
      <c r="L41" s="95"/>
      <c r="M41" s="30" t="str">
        <f>IF(Inventory_List_Table34111510[[#This Row],[Q]]&lt;0.1, " ", Inventory_List_Table34111510[[#This Row],[Q]]*Inventory_List_Table34111510[[#This Row],[PRICE]])</f>
        <v xml:space="preserve"> </v>
      </c>
      <c r="N41" s="35" t="str">
        <f>IF(Inventory_List_Table34111510[[#This Row],[Q]]&lt;0.1, " ", Inventory_List_Table34111510[[#This Row],[KG]]*2.20462)</f>
        <v xml:space="preserve"> </v>
      </c>
      <c r="O41" s="35" t="str">
        <f>IF(Inventory_List_Table34111510[[#This Row],[Q]]&lt;0.1, " ",Inventory_List_Table34111510[[#This Row],[H CM]]/2.54)</f>
        <v xml:space="preserve"> </v>
      </c>
      <c r="P41" s="35" t="str">
        <f>IF(Inventory_List_Table34111510[[#This Row],[Q]]&lt;0.1, " ",Inventory_List_Table34111510[[#This Row],[W CM]]/2.54)</f>
        <v xml:space="preserve"> </v>
      </c>
      <c r="Q41" s="35" t="str">
        <f>IF(Inventory_List_Table34111510[[#This Row],[Q]]&lt;0.1, " ",Inventory_List_Table34111510[[#This Row],[D CM ]]/2.54)</f>
        <v xml:space="preserve"> </v>
      </c>
      <c r="R41" s="30" t="str">
        <f>IF(Inventory_List_Table34111510[[#This Row],[Q]]&lt;0.1, " ",Inventory_List_Table34111510[[#This Row],[PRICE]]/$L$1)</f>
        <v xml:space="preserve"> </v>
      </c>
      <c r="S4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1" s="30" t="str">
        <f>IF(Inventory_List_Table34111510[[#This Row],[Q]]&lt;0.1, " ",Inventory_List_Table34111510[[#This Row],[AQ RND USD]]*1.4)</f>
        <v xml:space="preserve"> </v>
      </c>
      <c r="U4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1" s="30" t="str">
        <f>IF(Inventory_List_Table34111510[[#This Row],[Q]]&lt;0.1, " ",Inventory_List_Table34111510[[#This Row],[LND RND USD]]*12)</f>
        <v xml:space="preserve"> </v>
      </c>
      <c r="W41" s="30" t="str">
        <f>IF(Inventory_List_Table34111510[[#This Row],[Q]]&lt;0.1, " ",Inventory_List_Table34111510[[#This Row],[AQ USD]])</f>
        <v xml:space="preserve"> </v>
      </c>
      <c r="X4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1" s="30" t="str">
        <f>IF(Inventory_List_Table34111510[[#This Row],[Q]]&lt;0.1, " ",Inventory_List_Table34111510[[#This Row],[PRICE]]/Z41*10000)</f>
        <v xml:space="preserve"> </v>
      </c>
      <c r="AB41" s="27"/>
      <c r="AC41" s="1"/>
      <c r="AD41" s="1"/>
    </row>
    <row r="42" spans="1:30" ht="24" customHeight="1" x14ac:dyDescent="0.3">
      <c r="A42" s="547">
        <v>40</v>
      </c>
      <c r="B42" s="1"/>
      <c r="C42" s="558"/>
      <c r="D42" s="558"/>
      <c r="E42" s="558"/>
      <c r="F42" s="38" t="str">
        <f>IF(Inventory_List_Table34111510[[#This Row],[Q]]&lt;0.1, " ",$A$1&amp;$D$1&amp;Inventory_List_Table34111510[[#This Row],['#]]&amp;Inventory_List_Table34111510[[#This Row],[LC]])</f>
        <v xml:space="preserve"> </v>
      </c>
      <c r="G42" s="93"/>
      <c r="H42" s="93"/>
      <c r="I42" s="93"/>
      <c r="J42" s="93"/>
      <c r="K42" s="93"/>
      <c r="L42" s="95"/>
      <c r="M42" s="30" t="str">
        <f>IF(Inventory_List_Table34111510[[#This Row],[Q]]&lt;0.1, " ", Inventory_List_Table34111510[[#This Row],[Q]]*Inventory_List_Table34111510[[#This Row],[PRICE]])</f>
        <v xml:space="preserve"> </v>
      </c>
      <c r="N42" s="35" t="str">
        <f>IF(Inventory_List_Table34111510[[#This Row],[Q]]&lt;0.1, " ", Inventory_List_Table34111510[[#This Row],[KG]]*2.20462)</f>
        <v xml:space="preserve"> </v>
      </c>
      <c r="O42" s="35" t="str">
        <f>IF(Inventory_List_Table34111510[[#This Row],[Q]]&lt;0.1, " ",Inventory_List_Table34111510[[#This Row],[H CM]]/2.54)</f>
        <v xml:space="preserve"> </v>
      </c>
      <c r="P42" s="35" t="str">
        <f>IF(Inventory_List_Table34111510[[#This Row],[Q]]&lt;0.1, " ",Inventory_List_Table34111510[[#This Row],[W CM]]/2.54)</f>
        <v xml:space="preserve"> </v>
      </c>
      <c r="Q42" s="35" t="str">
        <f>IF(Inventory_List_Table34111510[[#This Row],[Q]]&lt;0.1, " ",Inventory_List_Table34111510[[#This Row],[D CM ]]/2.54)</f>
        <v xml:space="preserve"> </v>
      </c>
      <c r="R42" s="30" t="str">
        <f>IF(Inventory_List_Table34111510[[#This Row],[Q]]&lt;0.1, " ",Inventory_List_Table34111510[[#This Row],[PRICE]]/$L$1)</f>
        <v xml:space="preserve"> </v>
      </c>
      <c r="S4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2" s="30" t="str">
        <f>IF(Inventory_List_Table34111510[[#This Row],[Q]]&lt;0.1, " ",Inventory_List_Table34111510[[#This Row],[AQ RND USD]]*1.4)</f>
        <v xml:space="preserve"> </v>
      </c>
      <c r="U4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2" s="30" t="str">
        <f>IF(Inventory_List_Table34111510[[#This Row],[Q]]&lt;0.1, " ",Inventory_List_Table34111510[[#This Row],[LND RND USD]]*12)</f>
        <v xml:space="preserve"> </v>
      </c>
      <c r="W42" s="30" t="str">
        <f>IF(Inventory_List_Table34111510[[#This Row],[Q]]&lt;0.1, " ",Inventory_List_Table34111510[[#This Row],[AQ USD]])</f>
        <v xml:space="preserve"> </v>
      </c>
      <c r="X4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2" s="30" t="str">
        <f>IF(Inventory_List_Table34111510[[#This Row],[Q]]&lt;0.1, " ",Inventory_List_Table34111510[[#This Row],[PRICE]]/Z42*10000)</f>
        <v xml:space="preserve"> </v>
      </c>
      <c r="AB42" s="27"/>
      <c r="AC42" s="1"/>
      <c r="AD42" s="1"/>
    </row>
    <row r="43" spans="1:30" ht="24" customHeight="1" x14ac:dyDescent="0.3">
      <c r="A43" s="547">
        <v>41</v>
      </c>
      <c r="B43" s="1"/>
      <c r="C43" s="558"/>
      <c r="D43" s="558"/>
      <c r="E43" s="558"/>
      <c r="F43" s="38" t="str">
        <f>IF(Inventory_List_Table34111510[[#This Row],[Q]]&lt;0.1, " ",$A$1&amp;$D$1&amp;Inventory_List_Table34111510[[#This Row],['#]]&amp;Inventory_List_Table34111510[[#This Row],[LC]])</f>
        <v xml:space="preserve"> </v>
      </c>
      <c r="G43" s="93"/>
      <c r="H43" s="93"/>
      <c r="I43" s="93"/>
      <c r="J43" s="93"/>
      <c r="K43" s="93"/>
      <c r="L43" s="95"/>
      <c r="M43" s="30" t="str">
        <f>IF(Inventory_List_Table34111510[[#This Row],[Q]]&lt;0.1, " ", Inventory_List_Table34111510[[#This Row],[Q]]*Inventory_List_Table34111510[[#This Row],[PRICE]])</f>
        <v xml:space="preserve"> </v>
      </c>
      <c r="N43" s="35" t="str">
        <f>IF(Inventory_List_Table34111510[[#This Row],[Q]]&lt;0.1, " ", Inventory_List_Table34111510[[#This Row],[KG]]*2.20462)</f>
        <v xml:space="preserve"> </v>
      </c>
      <c r="O43" s="35" t="str">
        <f>IF(Inventory_List_Table34111510[[#This Row],[Q]]&lt;0.1, " ",Inventory_List_Table34111510[[#This Row],[H CM]]/2.54)</f>
        <v xml:space="preserve"> </v>
      </c>
      <c r="P43" s="35" t="str">
        <f>IF(Inventory_List_Table34111510[[#This Row],[Q]]&lt;0.1, " ",Inventory_List_Table34111510[[#This Row],[W CM]]/2.54)</f>
        <v xml:space="preserve"> </v>
      </c>
      <c r="Q43" s="35" t="str">
        <f>IF(Inventory_List_Table34111510[[#This Row],[Q]]&lt;0.1, " ",Inventory_List_Table34111510[[#This Row],[D CM ]]/2.54)</f>
        <v xml:space="preserve"> </v>
      </c>
      <c r="R43" s="30" t="str">
        <f>IF(Inventory_List_Table34111510[[#This Row],[Q]]&lt;0.1, " ",Inventory_List_Table34111510[[#This Row],[PRICE]]/$L$1)</f>
        <v xml:space="preserve"> </v>
      </c>
      <c r="S4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3" s="30" t="str">
        <f>IF(Inventory_List_Table34111510[[#This Row],[Q]]&lt;0.1, " ",Inventory_List_Table34111510[[#This Row],[AQ RND USD]]*1.4)</f>
        <v xml:space="preserve"> </v>
      </c>
      <c r="U4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3" s="30" t="str">
        <f>IF(Inventory_List_Table34111510[[#This Row],[Q]]&lt;0.1, " ",Inventory_List_Table34111510[[#This Row],[LND RND USD]]*12)</f>
        <v xml:space="preserve"> </v>
      </c>
      <c r="W43" s="30" t="str">
        <f>IF(Inventory_List_Table34111510[[#This Row],[Q]]&lt;0.1, " ",Inventory_List_Table34111510[[#This Row],[AQ USD]])</f>
        <v xml:space="preserve"> </v>
      </c>
      <c r="X4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3" s="30" t="str">
        <f>IF(Inventory_List_Table34111510[[#This Row],[Q]]&lt;0.1, " ",Inventory_List_Table34111510[[#This Row],[PRICE]]/Z43*10000)</f>
        <v xml:space="preserve"> </v>
      </c>
      <c r="AB43" s="27"/>
      <c r="AC43" s="1"/>
      <c r="AD43" s="1"/>
    </row>
    <row r="44" spans="1:30" ht="24" customHeight="1" x14ac:dyDescent="0.3">
      <c r="A44" s="547">
        <v>42</v>
      </c>
      <c r="B44" s="1"/>
      <c r="C44" s="558"/>
      <c r="D44" s="558"/>
      <c r="E44" s="558"/>
      <c r="F44" s="38" t="str">
        <f>IF(Inventory_List_Table34111510[[#This Row],[Q]]&lt;0.1, " ",$A$1&amp;$D$1&amp;Inventory_List_Table34111510[[#This Row],['#]]&amp;Inventory_List_Table34111510[[#This Row],[LC]])</f>
        <v xml:space="preserve"> </v>
      </c>
      <c r="G44" s="93"/>
      <c r="H44" s="93"/>
      <c r="I44" s="93"/>
      <c r="J44" s="93"/>
      <c r="K44" s="93"/>
      <c r="L44" s="95"/>
      <c r="M44" s="30" t="str">
        <f>IF(Inventory_List_Table34111510[[#This Row],[Q]]&lt;0.1, " ", Inventory_List_Table34111510[[#This Row],[Q]]*Inventory_List_Table34111510[[#This Row],[PRICE]])</f>
        <v xml:space="preserve"> </v>
      </c>
      <c r="N44" s="35" t="str">
        <f>IF(Inventory_List_Table34111510[[#This Row],[Q]]&lt;0.1, " ", Inventory_List_Table34111510[[#This Row],[KG]]*2.20462)</f>
        <v xml:space="preserve"> </v>
      </c>
      <c r="O44" s="35" t="str">
        <f>IF(Inventory_List_Table34111510[[#This Row],[Q]]&lt;0.1, " ",Inventory_List_Table34111510[[#This Row],[H CM]]/2.54)</f>
        <v xml:space="preserve"> </v>
      </c>
      <c r="P44" s="35" t="str">
        <f>IF(Inventory_List_Table34111510[[#This Row],[Q]]&lt;0.1, " ",Inventory_List_Table34111510[[#This Row],[W CM]]/2.54)</f>
        <v xml:space="preserve"> </v>
      </c>
      <c r="Q44" s="35" t="str">
        <f>IF(Inventory_List_Table34111510[[#This Row],[Q]]&lt;0.1, " ",Inventory_List_Table34111510[[#This Row],[D CM ]]/2.54)</f>
        <v xml:space="preserve"> </v>
      </c>
      <c r="R44" s="30" t="str">
        <f>IF(Inventory_List_Table34111510[[#This Row],[Q]]&lt;0.1, " ",Inventory_List_Table34111510[[#This Row],[PRICE]]/$L$1)</f>
        <v xml:space="preserve"> </v>
      </c>
      <c r="S4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4" s="30" t="str">
        <f>IF(Inventory_List_Table34111510[[#This Row],[Q]]&lt;0.1, " ",Inventory_List_Table34111510[[#This Row],[AQ RND USD]]*1.4)</f>
        <v xml:space="preserve"> </v>
      </c>
      <c r="U4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4" s="30" t="str">
        <f>IF(Inventory_List_Table34111510[[#This Row],[Q]]&lt;0.1, " ",Inventory_List_Table34111510[[#This Row],[LND RND USD]]*12)</f>
        <v xml:space="preserve"> </v>
      </c>
      <c r="W44" s="30" t="str">
        <f>IF(Inventory_List_Table34111510[[#This Row],[Q]]&lt;0.1, " ",Inventory_List_Table34111510[[#This Row],[AQ USD]])</f>
        <v xml:space="preserve"> </v>
      </c>
      <c r="X4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4" s="30" t="str">
        <f>IF(Inventory_List_Table34111510[[#This Row],[Q]]&lt;0.1, " ",Inventory_List_Table34111510[[#This Row],[PRICE]]/Z44*10000)</f>
        <v xml:space="preserve"> </v>
      </c>
      <c r="AB44" s="27"/>
      <c r="AC44" s="1"/>
      <c r="AD44" s="1"/>
    </row>
    <row r="45" spans="1:30" ht="24" customHeight="1" x14ac:dyDescent="0.3">
      <c r="A45" s="547">
        <v>43</v>
      </c>
      <c r="B45" s="1"/>
      <c r="C45" s="558"/>
      <c r="D45" s="558"/>
      <c r="E45" s="558"/>
      <c r="F45" s="38" t="str">
        <f>IF(Inventory_List_Table34111510[[#This Row],[Q]]&lt;0.1, " ",$A$1&amp;$D$1&amp;Inventory_List_Table34111510[[#This Row],['#]]&amp;Inventory_List_Table34111510[[#This Row],[LC]])</f>
        <v xml:space="preserve"> </v>
      </c>
      <c r="G45" s="93"/>
      <c r="H45" s="93"/>
      <c r="I45" s="93"/>
      <c r="J45" s="93"/>
      <c r="K45" s="93"/>
      <c r="L45" s="95"/>
      <c r="M45" s="30" t="str">
        <f>IF(Inventory_List_Table34111510[[#This Row],[Q]]&lt;0.1, " ", Inventory_List_Table34111510[[#This Row],[Q]]*Inventory_List_Table34111510[[#This Row],[PRICE]])</f>
        <v xml:space="preserve"> </v>
      </c>
      <c r="N45" s="35" t="str">
        <f>IF(Inventory_List_Table34111510[[#This Row],[Q]]&lt;0.1, " ", Inventory_List_Table34111510[[#This Row],[KG]]*2.20462)</f>
        <v xml:space="preserve"> </v>
      </c>
      <c r="O45" s="35" t="str">
        <f>IF(Inventory_List_Table34111510[[#This Row],[Q]]&lt;0.1, " ",Inventory_List_Table34111510[[#This Row],[H CM]]/2.54)</f>
        <v xml:space="preserve"> </v>
      </c>
      <c r="P45" s="35" t="str">
        <f>IF(Inventory_List_Table34111510[[#This Row],[Q]]&lt;0.1, " ",Inventory_List_Table34111510[[#This Row],[W CM]]/2.54)</f>
        <v xml:space="preserve"> </v>
      </c>
      <c r="Q45" s="35" t="str">
        <f>IF(Inventory_List_Table34111510[[#This Row],[Q]]&lt;0.1, " ",Inventory_List_Table34111510[[#This Row],[D CM ]]/2.54)</f>
        <v xml:space="preserve"> </v>
      </c>
      <c r="R45" s="30" t="str">
        <f>IF(Inventory_List_Table34111510[[#This Row],[Q]]&lt;0.1, " ",Inventory_List_Table34111510[[#This Row],[PRICE]]/$L$1)</f>
        <v xml:space="preserve"> </v>
      </c>
      <c r="S4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5" s="30" t="str">
        <f>IF(Inventory_List_Table34111510[[#This Row],[Q]]&lt;0.1, " ",Inventory_List_Table34111510[[#This Row],[AQ RND USD]]*1.4)</f>
        <v xml:space="preserve"> </v>
      </c>
      <c r="U4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5" s="30" t="str">
        <f>IF(Inventory_List_Table34111510[[#This Row],[Q]]&lt;0.1, " ",Inventory_List_Table34111510[[#This Row],[LND RND USD]]*12)</f>
        <v xml:space="preserve"> </v>
      </c>
      <c r="W45" s="30" t="str">
        <f>IF(Inventory_List_Table34111510[[#This Row],[Q]]&lt;0.1, " ",Inventory_List_Table34111510[[#This Row],[AQ USD]])</f>
        <v xml:space="preserve"> </v>
      </c>
      <c r="X4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5" s="30" t="str">
        <f>IF(Inventory_List_Table34111510[[#This Row],[Q]]&lt;0.1, " ",Inventory_List_Table34111510[[#This Row],[PRICE]]/Z45*10000)</f>
        <v xml:space="preserve"> </v>
      </c>
      <c r="AB45" s="27"/>
      <c r="AC45" s="1"/>
      <c r="AD45" s="1"/>
    </row>
    <row r="46" spans="1:30" ht="24" customHeight="1" x14ac:dyDescent="0.3">
      <c r="A46" s="547">
        <v>44</v>
      </c>
      <c r="B46" s="1"/>
      <c r="C46" s="558"/>
      <c r="D46" s="558"/>
      <c r="E46" s="558"/>
      <c r="F46" s="38" t="str">
        <f>IF(Inventory_List_Table34111510[[#This Row],[Q]]&lt;0.1, " ",$A$1&amp;$D$1&amp;Inventory_List_Table34111510[[#This Row],['#]]&amp;Inventory_List_Table34111510[[#This Row],[LC]])</f>
        <v xml:space="preserve"> </v>
      </c>
      <c r="G46" s="93"/>
      <c r="H46" s="93"/>
      <c r="I46" s="93"/>
      <c r="J46" s="93"/>
      <c r="K46" s="93"/>
      <c r="L46" s="95"/>
      <c r="M46" s="30" t="str">
        <f>IF(Inventory_List_Table34111510[[#This Row],[Q]]&lt;0.1, " ", Inventory_List_Table34111510[[#This Row],[Q]]*Inventory_List_Table34111510[[#This Row],[PRICE]])</f>
        <v xml:space="preserve"> </v>
      </c>
      <c r="N46" s="35" t="str">
        <f>IF(Inventory_List_Table34111510[[#This Row],[Q]]&lt;0.1, " ", Inventory_List_Table34111510[[#This Row],[KG]]*2.20462)</f>
        <v xml:space="preserve"> </v>
      </c>
      <c r="O46" s="35" t="str">
        <f>IF(Inventory_List_Table34111510[[#This Row],[Q]]&lt;0.1, " ",Inventory_List_Table34111510[[#This Row],[H CM]]/2.54)</f>
        <v xml:space="preserve"> </v>
      </c>
      <c r="P46" s="35" t="str">
        <f>IF(Inventory_List_Table34111510[[#This Row],[Q]]&lt;0.1, " ",Inventory_List_Table34111510[[#This Row],[W CM]]/2.54)</f>
        <v xml:space="preserve"> </v>
      </c>
      <c r="Q46" s="35" t="str">
        <f>IF(Inventory_List_Table34111510[[#This Row],[Q]]&lt;0.1, " ",Inventory_List_Table34111510[[#This Row],[D CM ]]/2.54)</f>
        <v xml:space="preserve"> </v>
      </c>
      <c r="R46" s="30" t="str">
        <f>IF(Inventory_List_Table34111510[[#This Row],[Q]]&lt;0.1, " ",Inventory_List_Table34111510[[#This Row],[PRICE]]/$L$1)</f>
        <v xml:space="preserve"> </v>
      </c>
      <c r="S4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6" s="30" t="str">
        <f>IF(Inventory_List_Table34111510[[#This Row],[Q]]&lt;0.1, " ",Inventory_List_Table34111510[[#This Row],[AQ RND USD]]*1.4)</f>
        <v xml:space="preserve"> </v>
      </c>
      <c r="U4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6" s="30" t="str">
        <f>IF(Inventory_List_Table34111510[[#This Row],[Q]]&lt;0.1, " ",Inventory_List_Table34111510[[#This Row],[LND RND USD]]*12)</f>
        <v xml:space="preserve"> </v>
      </c>
      <c r="W46" s="30" t="str">
        <f>IF(Inventory_List_Table34111510[[#This Row],[Q]]&lt;0.1, " ",Inventory_List_Table34111510[[#This Row],[AQ USD]])</f>
        <v xml:space="preserve"> </v>
      </c>
      <c r="X4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6" s="30" t="str">
        <f>IF(Inventory_List_Table34111510[[#This Row],[Q]]&lt;0.1, " ",Inventory_List_Table34111510[[#This Row],[PRICE]]/Z46*10000)</f>
        <v xml:space="preserve"> </v>
      </c>
      <c r="AB46" s="27"/>
      <c r="AC46" s="1"/>
      <c r="AD46" s="1"/>
    </row>
    <row r="47" spans="1:30" ht="24" customHeight="1" x14ac:dyDescent="0.3">
      <c r="A47" s="547">
        <v>45</v>
      </c>
      <c r="B47" s="1"/>
      <c r="C47" s="558"/>
      <c r="D47" s="558"/>
      <c r="E47" s="558"/>
      <c r="F47" s="38" t="str">
        <f>IF(Inventory_List_Table34111510[[#This Row],[Q]]&lt;0.1, " ",$A$1&amp;$D$1&amp;Inventory_List_Table34111510[[#This Row],['#]]&amp;Inventory_List_Table34111510[[#This Row],[LC]])</f>
        <v xml:space="preserve"> </v>
      </c>
      <c r="G47" s="93"/>
      <c r="H47" s="93"/>
      <c r="I47" s="93"/>
      <c r="J47" s="93"/>
      <c r="K47" s="93"/>
      <c r="L47" s="95"/>
      <c r="M47" s="30" t="str">
        <f>IF(Inventory_List_Table34111510[[#This Row],[Q]]&lt;0.1, " ", Inventory_List_Table34111510[[#This Row],[Q]]*Inventory_List_Table34111510[[#This Row],[PRICE]])</f>
        <v xml:space="preserve"> </v>
      </c>
      <c r="N47" s="35" t="str">
        <f>IF(Inventory_List_Table34111510[[#This Row],[Q]]&lt;0.1, " ", Inventory_List_Table34111510[[#This Row],[KG]]*2.20462)</f>
        <v xml:space="preserve"> </v>
      </c>
      <c r="O47" s="35" t="str">
        <f>IF(Inventory_List_Table34111510[[#This Row],[Q]]&lt;0.1, " ",Inventory_List_Table34111510[[#This Row],[H CM]]/2.54)</f>
        <v xml:space="preserve"> </v>
      </c>
      <c r="P47" s="35" t="str">
        <f>IF(Inventory_List_Table34111510[[#This Row],[Q]]&lt;0.1, " ",Inventory_List_Table34111510[[#This Row],[W CM]]/2.54)</f>
        <v xml:space="preserve"> </v>
      </c>
      <c r="Q47" s="35" t="str">
        <f>IF(Inventory_List_Table34111510[[#This Row],[Q]]&lt;0.1, " ",Inventory_List_Table34111510[[#This Row],[D CM ]]/2.54)</f>
        <v xml:space="preserve"> </v>
      </c>
      <c r="R47" s="30" t="str">
        <f>IF(Inventory_List_Table34111510[[#This Row],[Q]]&lt;0.1, " ",Inventory_List_Table34111510[[#This Row],[PRICE]]/$L$1)</f>
        <v xml:space="preserve"> </v>
      </c>
      <c r="S4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7" s="30" t="str">
        <f>IF(Inventory_List_Table34111510[[#This Row],[Q]]&lt;0.1, " ",Inventory_List_Table34111510[[#This Row],[AQ RND USD]]*1.4)</f>
        <v xml:space="preserve"> </v>
      </c>
      <c r="U4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7" s="30" t="str">
        <f>IF(Inventory_List_Table34111510[[#This Row],[Q]]&lt;0.1, " ",Inventory_List_Table34111510[[#This Row],[LND RND USD]]*12)</f>
        <v xml:space="preserve"> </v>
      </c>
      <c r="W47" s="30" t="str">
        <f>IF(Inventory_List_Table34111510[[#This Row],[Q]]&lt;0.1, " ",Inventory_List_Table34111510[[#This Row],[AQ USD]])</f>
        <v xml:space="preserve"> </v>
      </c>
      <c r="X4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7" s="30" t="str">
        <f>IF(Inventory_List_Table34111510[[#This Row],[Q]]&lt;0.1, " ",Inventory_List_Table34111510[[#This Row],[PRICE]]/Z47*10000)</f>
        <v xml:space="preserve"> </v>
      </c>
      <c r="AB47" s="27"/>
      <c r="AC47" s="1"/>
      <c r="AD47" s="1"/>
    </row>
    <row r="48" spans="1:30" ht="24" customHeight="1" x14ac:dyDescent="0.3">
      <c r="A48" s="547">
        <v>46</v>
      </c>
      <c r="B48" s="1"/>
      <c r="C48" s="558"/>
      <c r="D48" s="558"/>
      <c r="E48" s="558"/>
      <c r="F48" s="38" t="str">
        <f>IF(Inventory_List_Table34111510[[#This Row],[Q]]&lt;0.1, " ",$A$1&amp;$D$1&amp;Inventory_List_Table34111510[[#This Row],['#]]&amp;Inventory_List_Table34111510[[#This Row],[LC]])</f>
        <v xml:space="preserve"> </v>
      </c>
      <c r="G48" s="93"/>
      <c r="H48" s="93"/>
      <c r="I48" s="93"/>
      <c r="J48" s="93"/>
      <c r="K48" s="93"/>
      <c r="L48" s="95"/>
      <c r="M48" s="30" t="str">
        <f>IF(Inventory_List_Table34111510[[#This Row],[Q]]&lt;0.1, " ", Inventory_List_Table34111510[[#This Row],[Q]]*Inventory_List_Table34111510[[#This Row],[PRICE]])</f>
        <v xml:space="preserve"> </v>
      </c>
      <c r="N48" s="35" t="str">
        <f>IF(Inventory_List_Table34111510[[#This Row],[Q]]&lt;0.1, " ", Inventory_List_Table34111510[[#This Row],[KG]]*2.20462)</f>
        <v xml:space="preserve"> </v>
      </c>
      <c r="O48" s="35" t="str">
        <f>IF(Inventory_List_Table34111510[[#This Row],[Q]]&lt;0.1, " ",Inventory_List_Table34111510[[#This Row],[H CM]]/2.54)</f>
        <v xml:space="preserve"> </v>
      </c>
      <c r="P48" s="35" t="str">
        <f>IF(Inventory_List_Table34111510[[#This Row],[Q]]&lt;0.1, " ",Inventory_List_Table34111510[[#This Row],[W CM]]/2.54)</f>
        <v xml:space="preserve"> </v>
      </c>
      <c r="Q48" s="35" t="str">
        <f>IF(Inventory_List_Table34111510[[#This Row],[Q]]&lt;0.1, " ",Inventory_List_Table34111510[[#This Row],[D CM ]]/2.54)</f>
        <v xml:space="preserve"> </v>
      </c>
      <c r="R48" s="30" t="str">
        <f>IF(Inventory_List_Table34111510[[#This Row],[Q]]&lt;0.1, " ",Inventory_List_Table34111510[[#This Row],[PRICE]]/$L$1)</f>
        <v xml:space="preserve"> </v>
      </c>
      <c r="S4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8" s="30" t="str">
        <f>IF(Inventory_List_Table34111510[[#This Row],[Q]]&lt;0.1, " ",Inventory_List_Table34111510[[#This Row],[AQ RND USD]]*1.4)</f>
        <v xml:space="preserve"> </v>
      </c>
      <c r="U4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8" s="30" t="str">
        <f>IF(Inventory_List_Table34111510[[#This Row],[Q]]&lt;0.1, " ",Inventory_List_Table34111510[[#This Row],[LND RND USD]]*12)</f>
        <v xml:space="preserve"> </v>
      </c>
      <c r="W48" s="30" t="str">
        <f>IF(Inventory_List_Table34111510[[#This Row],[Q]]&lt;0.1, " ",Inventory_List_Table34111510[[#This Row],[AQ USD]])</f>
        <v xml:space="preserve"> </v>
      </c>
      <c r="X4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8" s="30" t="str">
        <f>IF(Inventory_List_Table34111510[[#This Row],[Q]]&lt;0.1, " ",Inventory_List_Table34111510[[#This Row],[PRICE]]/Z48*10000)</f>
        <v xml:space="preserve"> </v>
      </c>
      <c r="AB48" s="27"/>
      <c r="AC48" s="1"/>
      <c r="AD48" s="1"/>
    </row>
    <row r="49" spans="1:30" ht="24" customHeight="1" x14ac:dyDescent="0.3">
      <c r="A49" s="547">
        <v>47</v>
      </c>
      <c r="B49" s="1"/>
      <c r="C49" s="558"/>
      <c r="D49" s="558"/>
      <c r="E49" s="558"/>
      <c r="F49" s="38" t="str">
        <f>IF(Inventory_List_Table34111510[[#This Row],[Q]]&lt;0.1, " ",$A$1&amp;$D$1&amp;Inventory_List_Table34111510[[#This Row],['#]]&amp;Inventory_List_Table34111510[[#This Row],[LC]])</f>
        <v xml:space="preserve"> </v>
      </c>
      <c r="G49" s="93"/>
      <c r="H49" s="93"/>
      <c r="I49" s="93"/>
      <c r="J49" s="93"/>
      <c r="K49" s="93"/>
      <c r="L49" s="95"/>
      <c r="M49" s="30" t="str">
        <f>IF(Inventory_List_Table34111510[[#This Row],[Q]]&lt;0.1, " ", Inventory_List_Table34111510[[#This Row],[Q]]*Inventory_List_Table34111510[[#This Row],[PRICE]])</f>
        <v xml:space="preserve"> </v>
      </c>
      <c r="N49" s="35" t="str">
        <f>IF(Inventory_List_Table34111510[[#This Row],[Q]]&lt;0.1, " ", Inventory_List_Table34111510[[#This Row],[KG]]*2.20462)</f>
        <v xml:space="preserve"> </v>
      </c>
      <c r="O49" s="35" t="str">
        <f>IF(Inventory_List_Table34111510[[#This Row],[Q]]&lt;0.1, " ",Inventory_List_Table34111510[[#This Row],[H CM]]/2.54)</f>
        <v xml:space="preserve"> </v>
      </c>
      <c r="P49" s="35" t="str">
        <f>IF(Inventory_List_Table34111510[[#This Row],[Q]]&lt;0.1, " ",Inventory_List_Table34111510[[#This Row],[W CM]]/2.54)</f>
        <v xml:space="preserve"> </v>
      </c>
      <c r="Q49" s="35" t="str">
        <f>IF(Inventory_List_Table34111510[[#This Row],[Q]]&lt;0.1, " ",Inventory_List_Table34111510[[#This Row],[D CM ]]/2.54)</f>
        <v xml:space="preserve"> </v>
      </c>
      <c r="R49" s="30" t="str">
        <f>IF(Inventory_List_Table34111510[[#This Row],[Q]]&lt;0.1, " ",Inventory_List_Table34111510[[#This Row],[PRICE]]/$L$1)</f>
        <v xml:space="preserve"> </v>
      </c>
      <c r="S4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49" s="30" t="str">
        <f>IF(Inventory_List_Table34111510[[#This Row],[Q]]&lt;0.1, " ",Inventory_List_Table34111510[[#This Row],[AQ RND USD]]*1.4)</f>
        <v xml:space="preserve"> </v>
      </c>
      <c r="U4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49" s="30" t="str">
        <f>IF(Inventory_List_Table34111510[[#This Row],[Q]]&lt;0.1, " ",Inventory_List_Table34111510[[#This Row],[LND RND USD]]*12)</f>
        <v xml:space="preserve"> </v>
      </c>
      <c r="W49" s="30" t="str">
        <f>IF(Inventory_List_Table34111510[[#This Row],[Q]]&lt;0.1, " ",Inventory_List_Table34111510[[#This Row],[AQ USD]])</f>
        <v xml:space="preserve"> </v>
      </c>
      <c r="X4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4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4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49" s="30" t="str">
        <f>IF(Inventory_List_Table34111510[[#This Row],[Q]]&lt;0.1, " ",Inventory_List_Table34111510[[#This Row],[PRICE]]/Z49*10000)</f>
        <v xml:space="preserve"> </v>
      </c>
      <c r="AB49" s="27"/>
      <c r="AC49" s="1"/>
      <c r="AD49" s="1"/>
    </row>
    <row r="50" spans="1:30" ht="24" customHeight="1" x14ac:dyDescent="0.3">
      <c r="A50" s="547">
        <v>48</v>
      </c>
      <c r="B50" s="1"/>
      <c r="C50" s="558"/>
      <c r="D50" s="558"/>
      <c r="E50" s="558"/>
      <c r="F50" s="38" t="str">
        <f>IF(Inventory_List_Table34111510[[#This Row],[Q]]&lt;0.1, " ",$A$1&amp;$D$1&amp;Inventory_List_Table34111510[[#This Row],['#]]&amp;Inventory_List_Table34111510[[#This Row],[LC]])</f>
        <v xml:space="preserve"> </v>
      </c>
      <c r="G50" s="93"/>
      <c r="H50" s="93"/>
      <c r="I50" s="93"/>
      <c r="J50" s="93"/>
      <c r="K50" s="93"/>
      <c r="L50" s="95"/>
      <c r="M50" s="30" t="str">
        <f>IF(Inventory_List_Table34111510[[#This Row],[Q]]&lt;0.1, " ", Inventory_List_Table34111510[[#This Row],[Q]]*Inventory_List_Table34111510[[#This Row],[PRICE]])</f>
        <v xml:space="preserve"> </v>
      </c>
      <c r="N50" s="35" t="str">
        <f>IF(Inventory_List_Table34111510[[#This Row],[Q]]&lt;0.1, " ", Inventory_List_Table34111510[[#This Row],[KG]]*2.20462)</f>
        <v xml:space="preserve"> </v>
      </c>
      <c r="O50" s="35" t="str">
        <f>IF(Inventory_List_Table34111510[[#This Row],[Q]]&lt;0.1, " ",Inventory_List_Table34111510[[#This Row],[H CM]]/2.54)</f>
        <v xml:space="preserve"> </v>
      </c>
      <c r="P50" s="35" t="str">
        <f>IF(Inventory_List_Table34111510[[#This Row],[Q]]&lt;0.1, " ",Inventory_List_Table34111510[[#This Row],[W CM]]/2.54)</f>
        <v xml:space="preserve"> </v>
      </c>
      <c r="Q50" s="35" t="str">
        <f>IF(Inventory_List_Table34111510[[#This Row],[Q]]&lt;0.1, " ",Inventory_List_Table34111510[[#This Row],[D CM ]]/2.54)</f>
        <v xml:space="preserve"> </v>
      </c>
      <c r="R50" s="30" t="str">
        <f>IF(Inventory_List_Table34111510[[#This Row],[Q]]&lt;0.1, " ",Inventory_List_Table34111510[[#This Row],[PRICE]]/$L$1)</f>
        <v xml:space="preserve"> </v>
      </c>
      <c r="S5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0" s="30" t="str">
        <f>IF(Inventory_List_Table34111510[[#This Row],[Q]]&lt;0.1, " ",Inventory_List_Table34111510[[#This Row],[AQ RND USD]]*1.4)</f>
        <v xml:space="preserve"> </v>
      </c>
      <c r="U5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0" s="30" t="str">
        <f>IF(Inventory_List_Table34111510[[#This Row],[Q]]&lt;0.1, " ",Inventory_List_Table34111510[[#This Row],[LND RND USD]]*12)</f>
        <v xml:space="preserve"> </v>
      </c>
      <c r="W50" s="30" t="str">
        <f>IF(Inventory_List_Table34111510[[#This Row],[Q]]&lt;0.1, " ",Inventory_List_Table34111510[[#This Row],[AQ USD]])</f>
        <v xml:space="preserve"> </v>
      </c>
      <c r="X5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0" s="30" t="str">
        <f>IF(Inventory_List_Table34111510[[#This Row],[Q]]&lt;0.1, " ",Inventory_List_Table34111510[[#This Row],[PRICE]]/Z50*10000)</f>
        <v xml:space="preserve"> </v>
      </c>
      <c r="AB50" s="27"/>
      <c r="AC50" s="1"/>
      <c r="AD50" s="1"/>
    </row>
    <row r="51" spans="1:30" ht="24" customHeight="1" x14ac:dyDescent="0.3">
      <c r="A51" s="547">
        <v>49</v>
      </c>
      <c r="B51" s="1"/>
      <c r="C51" s="558"/>
      <c r="D51" s="558"/>
      <c r="E51" s="558"/>
      <c r="F51" s="38" t="str">
        <f>IF(Inventory_List_Table34111510[[#This Row],[Q]]&lt;0.1, " ",$A$1&amp;$D$1&amp;Inventory_List_Table34111510[[#This Row],['#]]&amp;Inventory_List_Table34111510[[#This Row],[LC]])</f>
        <v xml:space="preserve"> </v>
      </c>
      <c r="G51" s="93"/>
      <c r="H51" s="93"/>
      <c r="I51" s="93"/>
      <c r="J51" s="93"/>
      <c r="K51" s="93"/>
      <c r="L51" s="95"/>
      <c r="M51" s="30" t="str">
        <f>IF(Inventory_List_Table34111510[[#This Row],[Q]]&lt;0.1, " ", Inventory_List_Table34111510[[#This Row],[Q]]*Inventory_List_Table34111510[[#This Row],[PRICE]])</f>
        <v xml:space="preserve"> </v>
      </c>
      <c r="N51" s="35" t="str">
        <f>IF(Inventory_List_Table34111510[[#This Row],[Q]]&lt;0.1, " ", Inventory_List_Table34111510[[#This Row],[KG]]*2.20462)</f>
        <v xml:space="preserve"> </v>
      </c>
      <c r="O51" s="35" t="str">
        <f>IF(Inventory_List_Table34111510[[#This Row],[Q]]&lt;0.1, " ",Inventory_List_Table34111510[[#This Row],[H CM]]/2.54)</f>
        <v xml:space="preserve"> </v>
      </c>
      <c r="P51" s="35" t="str">
        <f>IF(Inventory_List_Table34111510[[#This Row],[Q]]&lt;0.1, " ",Inventory_List_Table34111510[[#This Row],[W CM]]/2.54)</f>
        <v xml:space="preserve"> </v>
      </c>
      <c r="Q51" s="35" t="str">
        <f>IF(Inventory_List_Table34111510[[#This Row],[Q]]&lt;0.1, " ",Inventory_List_Table34111510[[#This Row],[D CM ]]/2.54)</f>
        <v xml:space="preserve"> </v>
      </c>
      <c r="R51" s="30" t="str">
        <f>IF(Inventory_List_Table34111510[[#This Row],[Q]]&lt;0.1, " ",Inventory_List_Table34111510[[#This Row],[PRICE]]/$L$1)</f>
        <v xml:space="preserve"> </v>
      </c>
      <c r="S5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1" s="30" t="str">
        <f>IF(Inventory_List_Table34111510[[#This Row],[Q]]&lt;0.1, " ",Inventory_List_Table34111510[[#This Row],[AQ RND USD]]*1.4)</f>
        <v xml:space="preserve"> </v>
      </c>
      <c r="U5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1" s="30" t="str">
        <f>IF(Inventory_List_Table34111510[[#This Row],[Q]]&lt;0.1, " ",Inventory_List_Table34111510[[#This Row],[LND RND USD]]*12)</f>
        <v xml:space="preserve"> </v>
      </c>
      <c r="W51" s="30" t="str">
        <f>IF(Inventory_List_Table34111510[[#This Row],[Q]]&lt;0.1, " ",Inventory_List_Table34111510[[#This Row],[AQ USD]])</f>
        <v xml:space="preserve"> </v>
      </c>
      <c r="X5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1" s="30" t="str">
        <f>IF(Inventory_List_Table34111510[[#This Row],[Q]]&lt;0.1, " ",Inventory_List_Table34111510[[#This Row],[PRICE]]/Z51*10000)</f>
        <v xml:space="preserve"> </v>
      </c>
      <c r="AB51" s="27"/>
      <c r="AC51" s="1"/>
      <c r="AD51" s="1"/>
    </row>
    <row r="52" spans="1:30" ht="24" customHeight="1" x14ac:dyDescent="0.3">
      <c r="A52" s="547">
        <v>50</v>
      </c>
      <c r="B52" s="1"/>
      <c r="C52" s="558"/>
      <c r="D52" s="558"/>
      <c r="E52" s="558"/>
      <c r="F52" s="38" t="str">
        <f>IF(Inventory_List_Table34111510[[#This Row],[Q]]&lt;0.1, " ",$A$1&amp;$D$1&amp;Inventory_List_Table34111510[[#This Row],['#]]&amp;Inventory_List_Table34111510[[#This Row],[LC]])</f>
        <v xml:space="preserve"> </v>
      </c>
      <c r="G52" s="93"/>
      <c r="H52" s="93"/>
      <c r="I52" s="93"/>
      <c r="J52" s="93"/>
      <c r="K52" s="93"/>
      <c r="L52" s="95"/>
      <c r="M52" s="30" t="str">
        <f>IF(Inventory_List_Table34111510[[#This Row],[Q]]&lt;0.1, " ", Inventory_List_Table34111510[[#This Row],[Q]]*Inventory_List_Table34111510[[#This Row],[PRICE]])</f>
        <v xml:space="preserve"> </v>
      </c>
      <c r="N52" s="35" t="str">
        <f>IF(Inventory_List_Table34111510[[#This Row],[Q]]&lt;0.1, " ", Inventory_List_Table34111510[[#This Row],[KG]]*2.20462)</f>
        <v xml:space="preserve"> </v>
      </c>
      <c r="O52" s="35" t="str">
        <f>IF(Inventory_List_Table34111510[[#This Row],[Q]]&lt;0.1, " ",Inventory_List_Table34111510[[#This Row],[H CM]]/2.54)</f>
        <v xml:space="preserve"> </v>
      </c>
      <c r="P52" s="35" t="str">
        <f>IF(Inventory_List_Table34111510[[#This Row],[Q]]&lt;0.1, " ",Inventory_List_Table34111510[[#This Row],[W CM]]/2.54)</f>
        <v xml:space="preserve"> </v>
      </c>
      <c r="Q52" s="35" t="str">
        <f>IF(Inventory_List_Table34111510[[#This Row],[Q]]&lt;0.1, " ",Inventory_List_Table34111510[[#This Row],[D CM ]]/2.54)</f>
        <v xml:space="preserve"> </v>
      </c>
      <c r="R52" s="30" t="str">
        <f>IF(Inventory_List_Table34111510[[#This Row],[Q]]&lt;0.1, " ",Inventory_List_Table34111510[[#This Row],[PRICE]]/$L$1)</f>
        <v xml:space="preserve"> </v>
      </c>
      <c r="S5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2" s="30" t="str">
        <f>IF(Inventory_List_Table34111510[[#This Row],[Q]]&lt;0.1, " ",Inventory_List_Table34111510[[#This Row],[AQ RND USD]]*1.4)</f>
        <v xml:space="preserve"> </v>
      </c>
      <c r="U5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2" s="30" t="str">
        <f>IF(Inventory_List_Table34111510[[#This Row],[Q]]&lt;0.1, " ",Inventory_List_Table34111510[[#This Row],[LND RND USD]]*12)</f>
        <v xml:space="preserve"> </v>
      </c>
      <c r="W52" s="30" t="str">
        <f>IF(Inventory_List_Table34111510[[#This Row],[Q]]&lt;0.1, " ",Inventory_List_Table34111510[[#This Row],[AQ USD]])</f>
        <v xml:space="preserve"> </v>
      </c>
      <c r="X5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2" s="30" t="str">
        <f>IF(Inventory_List_Table34111510[[#This Row],[Q]]&lt;0.1, " ",Inventory_List_Table34111510[[#This Row],[PRICE]]/Z52*10000)</f>
        <v xml:space="preserve"> </v>
      </c>
      <c r="AB52" s="27"/>
      <c r="AC52" s="1"/>
      <c r="AD52" s="1"/>
    </row>
    <row r="53" spans="1:30" ht="24" customHeight="1" x14ac:dyDescent="0.3">
      <c r="A53" s="547">
        <v>51</v>
      </c>
      <c r="B53" s="1"/>
      <c r="C53" s="558"/>
      <c r="D53" s="558"/>
      <c r="E53" s="558"/>
      <c r="F53" s="38" t="str">
        <f>IF(Inventory_List_Table34111510[[#This Row],[Q]]&lt;0.1, " ",$A$1&amp;$D$1&amp;Inventory_List_Table34111510[[#This Row],['#]]&amp;Inventory_List_Table34111510[[#This Row],[LC]])</f>
        <v xml:space="preserve"> </v>
      </c>
      <c r="G53" s="93"/>
      <c r="H53" s="93"/>
      <c r="I53" s="93"/>
      <c r="J53" s="93"/>
      <c r="K53" s="93"/>
      <c r="L53" s="95"/>
      <c r="M53" s="30" t="str">
        <f>IF(Inventory_List_Table34111510[[#This Row],[Q]]&lt;0.1, " ", Inventory_List_Table34111510[[#This Row],[Q]]*Inventory_List_Table34111510[[#This Row],[PRICE]])</f>
        <v xml:space="preserve"> </v>
      </c>
      <c r="N53" s="35" t="str">
        <f>IF(Inventory_List_Table34111510[[#This Row],[Q]]&lt;0.1, " ", Inventory_List_Table34111510[[#This Row],[KG]]*2.20462)</f>
        <v xml:space="preserve"> </v>
      </c>
      <c r="O53" s="35" t="str">
        <f>IF(Inventory_List_Table34111510[[#This Row],[Q]]&lt;0.1, " ",Inventory_List_Table34111510[[#This Row],[H CM]]/2.54)</f>
        <v xml:space="preserve"> </v>
      </c>
      <c r="P53" s="35" t="str">
        <f>IF(Inventory_List_Table34111510[[#This Row],[Q]]&lt;0.1, " ",Inventory_List_Table34111510[[#This Row],[W CM]]/2.54)</f>
        <v xml:space="preserve"> </v>
      </c>
      <c r="Q53" s="35" t="str">
        <f>IF(Inventory_List_Table34111510[[#This Row],[Q]]&lt;0.1, " ",Inventory_List_Table34111510[[#This Row],[D CM ]]/2.54)</f>
        <v xml:space="preserve"> </v>
      </c>
      <c r="R53" s="30" t="str">
        <f>IF(Inventory_List_Table34111510[[#This Row],[Q]]&lt;0.1, " ",Inventory_List_Table34111510[[#This Row],[PRICE]]/$L$1)</f>
        <v xml:space="preserve"> </v>
      </c>
      <c r="S5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3" s="30" t="str">
        <f>IF(Inventory_List_Table34111510[[#This Row],[Q]]&lt;0.1, " ",Inventory_List_Table34111510[[#This Row],[AQ RND USD]]*1.4)</f>
        <v xml:space="preserve"> </v>
      </c>
      <c r="U5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3" s="30" t="str">
        <f>IF(Inventory_List_Table34111510[[#This Row],[Q]]&lt;0.1, " ",Inventory_List_Table34111510[[#This Row],[LND RND USD]]*12)</f>
        <v xml:space="preserve"> </v>
      </c>
      <c r="W53" s="30" t="str">
        <f>IF(Inventory_List_Table34111510[[#This Row],[Q]]&lt;0.1, " ",Inventory_List_Table34111510[[#This Row],[AQ USD]])</f>
        <v xml:space="preserve"> </v>
      </c>
      <c r="X5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3" s="30" t="str">
        <f>IF(Inventory_List_Table34111510[[#This Row],[Q]]&lt;0.1, " ",Inventory_List_Table34111510[[#This Row],[PRICE]]/Z53*10000)</f>
        <v xml:space="preserve"> </v>
      </c>
      <c r="AB53" s="27"/>
      <c r="AC53" s="1"/>
      <c r="AD53" s="1"/>
    </row>
    <row r="54" spans="1:30" ht="24" customHeight="1" x14ac:dyDescent="0.3">
      <c r="A54" s="547">
        <v>52</v>
      </c>
      <c r="B54" s="1"/>
      <c r="C54" s="558"/>
      <c r="D54" s="558"/>
      <c r="E54" s="558"/>
      <c r="F54" s="38" t="str">
        <f>IF(Inventory_List_Table34111510[[#This Row],[Q]]&lt;0.1, " ",$A$1&amp;$D$1&amp;Inventory_List_Table34111510[[#This Row],['#]]&amp;Inventory_List_Table34111510[[#This Row],[LC]])</f>
        <v xml:space="preserve"> </v>
      </c>
      <c r="G54" s="93"/>
      <c r="H54" s="93"/>
      <c r="I54" s="93"/>
      <c r="J54" s="93"/>
      <c r="K54" s="93"/>
      <c r="L54" s="95"/>
      <c r="M54" s="30" t="str">
        <f>IF(Inventory_List_Table34111510[[#This Row],[Q]]&lt;0.1, " ", Inventory_List_Table34111510[[#This Row],[Q]]*Inventory_List_Table34111510[[#This Row],[PRICE]])</f>
        <v xml:space="preserve"> </v>
      </c>
      <c r="N54" s="35" t="str">
        <f>IF(Inventory_List_Table34111510[[#This Row],[Q]]&lt;0.1, " ", Inventory_List_Table34111510[[#This Row],[KG]]*2.20462)</f>
        <v xml:space="preserve"> </v>
      </c>
      <c r="O54" s="35" t="str">
        <f>IF(Inventory_List_Table34111510[[#This Row],[Q]]&lt;0.1, " ",Inventory_List_Table34111510[[#This Row],[H CM]]/2.54)</f>
        <v xml:space="preserve"> </v>
      </c>
      <c r="P54" s="35" t="str">
        <f>IF(Inventory_List_Table34111510[[#This Row],[Q]]&lt;0.1, " ",Inventory_List_Table34111510[[#This Row],[W CM]]/2.54)</f>
        <v xml:space="preserve"> </v>
      </c>
      <c r="Q54" s="35" t="str">
        <f>IF(Inventory_List_Table34111510[[#This Row],[Q]]&lt;0.1, " ",Inventory_List_Table34111510[[#This Row],[D CM ]]/2.54)</f>
        <v xml:space="preserve"> </v>
      </c>
      <c r="R54" s="30" t="str">
        <f>IF(Inventory_List_Table34111510[[#This Row],[Q]]&lt;0.1, " ",Inventory_List_Table34111510[[#This Row],[PRICE]]/$L$1)</f>
        <v xml:space="preserve"> </v>
      </c>
      <c r="S5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4" s="30" t="str">
        <f>IF(Inventory_List_Table34111510[[#This Row],[Q]]&lt;0.1, " ",Inventory_List_Table34111510[[#This Row],[AQ RND USD]]*1.4)</f>
        <v xml:space="preserve"> </v>
      </c>
      <c r="U5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4" s="30" t="str">
        <f>IF(Inventory_List_Table34111510[[#This Row],[Q]]&lt;0.1, " ",Inventory_List_Table34111510[[#This Row],[LND RND USD]]*12)</f>
        <v xml:space="preserve"> </v>
      </c>
      <c r="W54" s="30" t="str">
        <f>IF(Inventory_List_Table34111510[[#This Row],[Q]]&lt;0.1, " ",Inventory_List_Table34111510[[#This Row],[AQ USD]])</f>
        <v xml:space="preserve"> </v>
      </c>
      <c r="X5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4" s="30" t="str">
        <f>IF(Inventory_List_Table34111510[[#This Row],[Q]]&lt;0.1, " ",Inventory_List_Table34111510[[#This Row],[PRICE]]/Z54*10000)</f>
        <v xml:space="preserve"> </v>
      </c>
      <c r="AB54" s="27"/>
      <c r="AC54" s="1"/>
      <c r="AD54" s="1"/>
    </row>
    <row r="55" spans="1:30" ht="24" customHeight="1" x14ac:dyDescent="0.3">
      <c r="A55" s="547">
        <v>53</v>
      </c>
      <c r="B55" s="1"/>
      <c r="C55" s="558"/>
      <c r="D55" s="558"/>
      <c r="E55" s="558"/>
      <c r="F55" s="38" t="str">
        <f>IF(Inventory_List_Table34111510[[#This Row],[Q]]&lt;0.1, " ",$A$1&amp;$D$1&amp;Inventory_List_Table34111510[[#This Row],['#]]&amp;Inventory_List_Table34111510[[#This Row],[LC]])</f>
        <v xml:space="preserve"> </v>
      </c>
      <c r="G55" s="93"/>
      <c r="H55" s="93"/>
      <c r="I55" s="93"/>
      <c r="J55" s="93"/>
      <c r="K55" s="93"/>
      <c r="L55" s="95"/>
      <c r="M55" s="30" t="str">
        <f>IF(Inventory_List_Table34111510[[#This Row],[Q]]&lt;0.1, " ", Inventory_List_Table34111510[[#This Row],[Q]]*Inventory_List_Table34111510[[#This Row],[PRICE]])</f>
        <v xml:space="preserve"> </v>
      </c>
      <c r="N55" s="35" t="str">
        <f>IF(Inventory_List_Table34111510[[#This Row],[Q]]&lt;0.1, " ", Inventory_List_Table34111510[[#This Row],[KG]]*2.20462)</f>
        <v xml:space="preserve"> </v>
      </c>
      <c r="O55" s="35" t="str">
        <f>IF(Inventory_List_Table34111510[[#This Row],[Q]]&lt;0.1, " ",Inventory_List_Table34111510[[#This Row],[H CM]]/2.54)</f>
        <v xml:space="preserve"> </v>
      </c>
      <c r="P55" s="35" t="str">
        <f>IF(Inventory_List_Table34111510[[#This Row],[Q]]&lt;0.1, " ",Inventory_List_Table34111510[[#This Row],[W CM]]/2.54)</f>
        <v xml:space="preserve"> </v>
      </c>
      <c r="Q55" s="35" t="str">
        <f>IF(Inventory_List_Table34111510[[#This Row],[Q]]&lt;0.1, " ",Inventory_List_Table34111510[[#This Row],[D CM ]]/2.54)</f>
        <v xml:space="preserve"> </v>
      </c>
      <c r="R55" s="30" t="str">
        <f>IF(Inventory_List_Table34111510[[#This Row],[Q]]&lt;0.1, " ",Inventory_List_Table34111510[[#This Row],[PRICE]]/$L$1)</f>
        <v xml:space="preserve"> </v>
      </c>
      <c r="S5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5" s="30" t="str">
        <f>IF(Inventory_List_Table34111510[[#This Row],[Q]]&lt;0.1, " ",Inventory_List_Table34111510[[#This Row],[AQ RND USD]]*1.4)</f>
        <v xml:space="preserve"> </v>
      </c>
      <c r="U5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5" s="30" t="str">
        <f>IF(Inventory_List_Table34111510[[#This Row],[Q]]&lt;0.1, " ",Inventory_List_Table34111510[[#This Row],[LND RND USD]]*12)</f>
        <v xml:space="preserve"> </v>
      </c>
      <c r="W55" s="30" t="str">
        <f>IF(Inventory_List_Table34111510[[#This Row],[Q]]&lt;0.1, " ",Inventory_List_Table34111510[[#This Row],[AQ USD]])</f>
        <v xml:space="preserve"> </v>
      </c>
      <c r="X5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5" s="30" t="str">
        <f>IF(Inventory_List_Table34111510[[#This Row],[Q]]&lt;0.1, " ",Inventory_List_Table34111510[[#This Row],[PRICE]]/Z55*10000)</f>
        <v xml:space="preserve"> </v>
      </c>
      <c r="AB55" s="27"/>
      <c r="AC55" s="1"/>
      <c r="AD55" s="1"/>
    </row>
    <row r="56" spans="1:30" ht="24" customHeight="1" x14ac:dyDescent="0.3">
      <c r="A56" s="547">
        <v>54</v>
      </c>
      <c r="B56" s="1"/>
      <c r="C56" s="558"/>
      <c r="D56" s="558"/>
      <c r="E56" s="558"/>
      <c r="F56" s="38" t="str">
        <f>IF(Inventory_List_Table34111510[[#This Row],[Q]]&lt;0.1, " ",$A$1&amp;$D$1&amp;Inventory_List_Table34111510[[#This Row],['#]]&amp;Inventory_List_Table34111510[[#This Row],[LC]])</f>
        <v xml:space="preserve"> </v>
      </c>
      <c r="G56" s="93"/>
      <c r="H56" s="93"/>
      <c r="I56" s="93"/>
      <c r="J56" s="93"/>
      <c r="K56" s="93"/>
      <c r="L56" s="95"/>
      <c r="M56" s="30" t="str">
        <f>IF(Inventory_List_Table34111510[[#This Row],[Q]]&lt;0.1, " ", Inventory_List_Table34111510[[#This Row],[Q]]*Inventory_List_Table34111510[[#This Row],[PRICE]])</f>
        <v xml:space="preserve"> </v>
      </c>
      <c r="N56" s="35" t="str">
        <f>IF(Inventory_List_Table34111510[[#This Row],[Q]]&lt;0.1, " ", Inventory_List_Table34111510[[#This Row],[KG]]*2.20462)</f>
        <v xml:space="preserve"> </v>
      </c>
      <c r="O56" s="35" t="str">
        <f>IF(Inventory_List_Table34111510[[#This Row],[Q]]&lt;0.1, " ",Inventory_List_Table34111510[[#This Row],[H CM]]/2.54)</f>
        <v xml:space="preserve"> </v>
      </c>
      <c r="P56" s="35" t="str">
        <f>IF(Inventory_List_Table34111510[[#This Row],[Q]]&lt;0.1, " ",Inventory_List_Table34111510[[#This Row],[W CM]]/2.54)</f>
        <v xml:space="preserve"> </v>
      </c>
      <c r="Q56" s="35" t="str">
        <f>IF(Inventory_List_Table34111510[[#This Row],[Q]]&lt;0.1, " ",Inventory_List_Table34111510[[#This Row],[D CM ]]/2.54)</f>
        <v xml:space="preserve"> </v>
      </c>
      <c r="R56" s="30" t="str">
        <f>IF(Inventory_List_Table34111510[[#This Row],[Q]]&lt;0.1, " ",Inventory_List_Table34111510[[#This Row],[PRICE]]/$L$1)</f>
        <v xml:space="preserve"> </v>
      </c>
      <c r="S5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6" s="30" t="str">
        <f>IF(Inventory_List_Table34111510[[#This Row],[Q]]&lt;0.1, " ",Inventory_List_Table34111510[[#This Row],[AQ RND USD]]*1.4)</f>
        <v xml:space="preserve"> </v>
      </c>
      <c r="U5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6" s="30" t="str">
        <f>IF(Inventory_List_Table34111510[[#This Row],[Q]]&lt;0.1, " ",Inventory_List_Table34111510[[#This Row],[LND RND USD]]*12)</f>
        <v xml:space="preserve"> </v>
      </c>
      <c r="W56" s="30" t="str">
        <f>IF(Inventory_List_Table34111510[[#This Row],[Q]]&lt;0.1, " ",Inventory_List_Table34111510[[#This Row],[AQ USD]])</f>
        <v xml:space="preserve"> </v>
      </c>
      <c r="X5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6" s="30" t="str">
        <f>IF(Inventory_List_Table34111510[[#This Row],[Q]]&lt;0.1, " ",Inventory_List_Table34111510[[#This Row],[PRICE]]/Z56*10000)</f>
        <v xml:space="preserve"> </v>
      </c>
      <c r="AB56" s="27"/>
      <c r="AC56" s="1"/>
      <c r="AD56" s="1"/>
    </row>
    <row r="57" spans="1:30" ht="24" customHeight="1" x14ac:dyDescent="0.3">
      <c r="A57" s="547">
        <v>55</v>
      </c>
      <c r="B57" s="1"/>
      <c r="C57" s="558"/>
      <c r="D57" s="558"/>
      <c r="E57" s="558"/>
      <c r="F57" s="38" t="str">
        <f>IF(Inventory_List_Table34111510[[#This Row],[Q]]&lt;0.1, " ",$A$1&amp;$D$1&amp;Inventory_List_Table34111510[[#This Row],['#]]&amp;Inventory_List_Table34111510[[#This Row],[LC]])</f>
        <v xml:space="preserve"> </v>
      </c>
      <c r="G57" s="93"/>
      <c r="H57" s="93"/>
      <c r="I57" s="93"/>
      <c r="J57" s="93"/>
      <c r="K57" s="93"/>
      <c r="L57" s="95"/>
      <c r="M57" s="30" t="str">
        <f>IF(Inventory_List_Table34111510[[#This Row],[Q]]&lt;0.1, " ", Inventory_List_Table34111510[[#This Row],[Q]]*Inventory_List_Table34111510[[#This Row],[PRICE]])</f>
        <v xml:space="preserve"> </v>
      </c>
      <c r="N57" s="35" t="str">
        <f>IF(Inventory_List_Table34111510[[#This Row],[Q]]&lt;0.1, " ", Inventory_List_Table34111510[[#This Row],[KG]]*2.20462)</f>
        <v xml:space="preserve"> </v>
      </c>
      <c r="O57" s="35" t="str">
        <f>IF(Inventory_List_Table34111510[[#This Row],[Q]]&lt;0.1, " ",Inventory_List_Table34111510[[#This Row],[H CM]]/2.54)</f>
        <v xml:space="preserve"> </v>
      </c>
      <c r="P57" s="35" t="str">
        <f>IF(Inventory_List_Table34111510[[#This Row],[Q]]&lt;0.1, " ",Inventory_List_Table34111510[[#This Row],[W CM]]/2.54)</f>
        <v xml:space="preserve"> </v>
      </c>
      <c r="Q57" s="35" t="str">
        <f>IF(Inventory_List_Table34111510[[#This Row],[Q]]&lt;0.1, " ",Inventory_List_Table34111510[[#This Row],[D CM ]]/2.54)</f>
        <v xml:space="preserve"> </v>
      </c>
      <c r="R57" s="30" t="str">
        <f>IF(Inventory_List_Table34111510[[#This Row],[Q]]&lt;0.1, " ",Inventory_List_Table34111510[[#This Row],[PRICE]]/$L$1)</f>
        <v xml:space="preserve"> </v>
      </c>
      <c r="S5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7" s="30" t="str">
        <f>IF(Inventory_List_Table34111510[[#This Row],[Q]]&lt;0.1, " ",Inventory_List_Table34111510[[#This Row],[AQ RND USD]]*1.4)</f>
        <v xml:space="preserve"> </v>
      </c>
      <c r="U5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7" s="30" t="str">
        <f>IF(Inventory_List_Table34111510[[#This Row],[Q]]&lt;0.1, " ",Inventory_List_Table34111510[[#This Row],[LND RND USD]]*12)</f>
        <v xml:space="preserve"> </v>
      </c>
      <c r="W57" s="30" t="str">
        <f>IF(Inventory_List_Table34111510[[#This Row],[Q]]&lt;0.1, " ",Inventory_List_Table34111510[[#This Row],[AQ USD]])</f>
        <v xml:space="preserve"> </v>
      </c>
      <c r="X5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7" s="30" t="str">
        <f>IF(Inventory_List_Table34111510[[#This Row],[Q]]&lt;0.1, " ",Inventory_List_Table34111510[[#This Row],[PRICE]]/Z57*10000)</f>
        <v xml:space="preserve"> </v>
      </c>
      <c r="AB57" s="27"/>
      <c r="AC57" s="1"/>
      <c r="AD57" s="1"/>
    </row>
    <row r="58" spans="1:30" ht="24" customHeight="1" x14ac:dyDescent="0.3">
      <c r="A58" s="547">
        <v>56</v>
      </c>
      <c r="B58" s="1"/>
      <c r="C58" s="558"/>
      <c r="D58" s="558"/>
      <c r="E58" s="558"/>
      <c r="F58" s="38" t="str">
        <f>IF(Inventory_List_Table34111510[[#This Row],[Q]]&lt;0.1, " ",$A$1&amp;$D$1&amp;Inventory_List_Table34111510[[#This Row],['#]]&amp;Inventory_List_Table34111510[[#This Row],[LC]])</f>
        <v xml:space="preserve"> </v>
      </c>
      <c r="G58" s="93"/>
      <c r="H58" s="93"/>
      <c r="I58" s="93"/>
      <c r="J58" s="93"/>
      <c r="K58" s="93"/>
      <c r="L58" s="95"/>
      <c r="M58" s="30" t="str">
        <f>IF(Inventory_List_Table34111510[[#This Row],[Q]]&lt;0.1, " ", Inventory_List_Table34111510[[#This Row],[Q]]*Inventory_List_Table34111510[[#This Row],[PRICE]])</f>
        <v xml:space="preserve"> </v>
      </c>
      <c r="N58" s="35" t="str">
        <f>IF(Inventory_List_Table34111510[[#This Row],[Q]]&lt;0.1, " ", Inventory_List_Table34111510[[#This Row],[KG]]*2.20462)</f>
        <v xml:space="preserve"> </v>
      </c>
      <c r="O58" s="35" t="str">
        <f>IF(Inventory_List_Table34111510[[#This Row],[Q]]&lt;0.1, " ",Inventory_List_Table34111510[[#This Row],[H CM]]/2.54)</f>
        <v xml:space="preserve"> </v>
      </c>
      <c r="P58" s="35" t="str">
        <f>IF(Inventory_List_Table34111510[[#This Row],[Q]]&lt;0.1, " ",Inventory_List_Table34111510[[#This Row],[W CM]]/2.54)</f>
        <v xml:space="preserve"> </v>
      </c>
      <c r="Q58" s="35" t="str">
        <f>IF(Inventory_List_Table34111510[[#This Row],[Q]]&lt;0.1, " ",Inventory_List_Table34111510[[#This Row],[D CM ]]/2.54)</f>
        <v xml:space="preserve"> </v>
      </c>
      <c r="R58" s="30" t="str">
        <f>IF(Inventory_List_Table34111510[[#This Row],[Q]]&lt;0.1, " ",Inventory_List_Table34111510[[#This Row],[PRICE]]/$L$1)</f>
        <v xml:space="preserve"> </v>
      </c>
      <c r="S5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8" s="30" t="str">
        <f>IF(Inventory_List_Table34111510[[#This Row],[Q]]&lt;0.1, " ",Inventory_List_Table34111510[[#This Row],[AQ RND USD]]*1.4)</f>
        <v xml:space="preserve"> </v>
      </c>
      <c r="U5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8" s="30" t="str">
        <f>IF(Inventory_List_Table34111510[[#This Row],[Q]]&lt;0.1, " ",Inventory_List_Table34111510[[#This Row],[LND RND USD]]*12)</f>
        <v xml:space="preserve"> </v>
      </c>
      <c r="W58" s="30" t="str">
        <f>IF(Inventory_List_Table34111510[[#This Row],[Q]]&lt;0.1, " ",Inventory_List_Table34111510[[#This Row],[AQ USD]])</f>
        <v xml:space="preserve"> </v>
      </c>
      <c r="X5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8" s="30" t="str">
        <f>IF(Inventory_List_Table34111510[[#This Row],[Q]]&lt;0.1, " ",Inventory_List_Table34111510[[#This Row],[PRICE]]/Z58*10000)</f>
        <v xml:space="preserve"> </v>
      </c>
      <c r="AB58" s="27"/>
      <c r="AC58" s="1"/>
      <c r="AD58" s="1"/>
    </row>
    <row r="59" spans="1:30" ht="24" customHeight="1" x14ac:dyDescent="0.3">
      <c r="A59" s="547">
        <v>57</v>
      </c>
      <c r="B59" s="1"/>
      <c r="C59" s="558"/>
      <c r="D59" s="558"/>
      <c r="E59" s="558"/>
      <c r="F59" s="38" t="str">
        <f>IF(Inventory_List_Table34111510[[#This Row],[Q]]&lt;0.1, " ",$A$1&amp;$D$1&amp;Inventory_List_Table34111510[[#This Row],['#]]&amp;Inventory_List_Table34111510[[#This Row],[LC]])</f>
        <v xml:space="preserve"> </v>
      </c>
      <c r="G59" s="93"/>
      <c r="H59" s="93"/>
      <c r="I59" s="93"/>
      <c r="J59" s="93"/>
      <c r="K59" s="93"/>
      <c r="L59" s="95"/>
      <c r="M59" s="30" t="str">
        <f>IF(Inventory_List_Table34111510[[#This Row],[Q]]&lt;0.1, " ", Inventory_List_Table34111510[[#This Row],[Q]]*Inventory_List_Table34111510[[#This Row],[PRICE]])</f>
        <v xml:space="preserve"> </v>
      </c>
      <c r="N59" s="35" t="str">
        <f>IF(Inventory_List_Table34111510[[#This Row],[Q]]&lt;0.1, " ", Inventory_List_Table34111510[[#This Row],[KG]]*2.20462)</f>
        <v xml:space="preserve"> </v>
      </c>
      <c r="O59" s="35" t="str">
        <f>IF(Inventory_List_Table34111510[[#This Row],[Q]]&lt;0.1, " ",Inventory_List_Table34111510[[#This Row],[H CM]]/2.54)</f>
        <v xml:space="preserve"> </v>
      </c>
      <c r="P59" s="35" t="str">
        <f>IF(Inventory_List_Table34111510[[#This Row],[Q]]&lt;0.1, " ",Inventory_List_Table34111510[[#This Row],[W CM]]/2.54)</f>
        <v xml:space="preserve"> </v>
      </c>
      <c r="Q59" s="35" t="str">
        <f>IF(Inventory_List_Table34111510[[#This Row],[Q]]&lt;0.1, " ",Inventory_List_Table34111510[[#This Row],[D CM ]]/2.54)</f>
        <v xml:space="preserve"> </v>
      </c>
      <c r="R59" s="30" t="str">
        <f>IF(Inventory_List_Table34111510[[#This Row],[Q]]&lt;0.1, " ",Inventory_List_Table34111510[[#This Row],[PRICE]]/$L$1)</f>
        <v xml:space="preserve"> </v>
      </c>
      <c r="S5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59" s="30" t="str">
        <f>IF(Inventory_List_Table34111510[[#This Row],[Q]]&lt;0.1, " ",Inventory_List_Table34111510[[#This Row],[AQ RND USD]]*1.4)</f>
        <v xml:space="preserve"> </v>
      </c>
      <c r="U5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59" s="30" t="str">
        <f>IF(Inventory_List_Table34111510[[#This Row],[Q]]&lt;0.1, " ",Inventory_List_Table34111510[[#This Row],[LND RND USD]]*12)</f>
        <v xml:space="preserve"> </v>
      </c>
      <c r="W59" s="30" t="str">
        <f>IF(Inventory_List_Table34111510[[#This Row],[Q]]&lt;0.1, " ",Inventory_List_Table34111510[[#This Row],[AQ USD]])</f>
        <v xml:space="preserve"> </v>
      </c>
      <c r="X5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5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5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59" s="30" t="str">
        <f>IF(Inventory_List_Table34111510[[#This Row],[Q]]&lt;0.1, " ",Inventory_List_Table34111510[[#This Row],[PRICE]]/Z59*10000)</f>
        <v xml:space="preserve"> </v>
      </c>
      <c r="AB59" s="27"/>
      <c r="AC59" s="1"/>
      <c r="AD59" s="1"/>
    </row>
    <row r="60" spans="1:30" ht="24" customHeight="1" x14ac:dyDescent="0.3">
      <c r="A60" s="547">
        <v>58</v>
      </c>
      <c r="B60" s="1"/>
      <c r="C60" s="558"/>
      <c r="D60" s="558"/>
      <c r="E60" s="558"/>
      <c r="F60" s="38" t="str">
        <f>IF(Inventory_List_Table34111510[[#This Row],[Q]]&lt;0.1, " ",$A$1&amp;$D$1&amp;Inventory_List_Table34111510[[#This Row],['#]]&amp;Inventory_List_Table34111510[[#This Row],[LC]])</f>
        <v xml:space="preserve"> </v>
      </c>
      <c r="G60" s="93"/>
      <c r="H60" s="93"/>
      <c r="I60" s="93"/>
      <c r="J60" s="93"/>
      <c r="K60" s="93"/>
      <c r="L60" s="95"/>
      <c r="M60" s="30" t="str">
        <f>IF(Inventory_List_Table34111510[[#This Row],[Q]]&lt;0.1, " ", Inventory_List_Table34111510[[#This Row],[Q]]*Inventory_List_Table34111510[[#This Row],[PRICE]])</f>
        <v xml:space="preserve"> </v>
      </c>
      <c r="N60" s="35" t="str">
        <f>IF(Inventory_List_Table34111510[[#This Row],[Q]]&lt;0.1, " ", Inventory_List_Table34111510[[#This Row],[KG]]*2.20462)</f>
        <v xml:space="preserve"> </v>
      </c>
      <c r="O60" s="35" t="str">
        <f>IF(Inventory_List_Table34111510[[#This Row],[Q]]&lt;0.1, " ",Inventory_List_Table34111510[[#This Row],[H CM]]/2.54)</f>
        <v xml:space="preserve"> </v>
      </c>
      <c r="P60" s="35" t="str">
        <f>IF(Inventory_List_Table34111510[[#This Row],[Q]]&lt;0.1, " ",Inventory_List_Table34111510[[#This Row],[W CM]]/2.54)</f>
        <v xml:space="preserve"> </v>
      </c>
      <c r="Q60" s="35" t="str">
        <f>IF(Inventory_List_Table34111510[[#This Row],[Q]]&lt;0.1, " ",Inventory_List_Table34111510[[#This Row],[D CM ]]/2.54)</f>
        <v xml:space="preserve"> </v>
      </c>
      <c r="R60" s="30" t="str">
        <f>IF(Inventory_List_Table34111510[[#This Row],[Q]]&lt;0.1, " ",Inventory_List_Table34111510[[#This Row],[PRICE]]/$L$1)</f>
        <v xml:space="preserve"> </v>
      </c>
      <c r="S6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0" s="30" t="str">
        <f>IF(Inventory_List_Table34111510[[#This Row],[Q]]&lt;0.1, " ",Inventory_List_Table34111510[[#This Row],[AQ RND USD]]*1.4)</f>
        <v xml:space="preserve"> </v>
      </c>
      <c r="U6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0" s="30" t="str">
        <f>IF(Inventory_List_Table34111510[[#This Row],[Q]]&lt;0.1, " ",Inventory_List_Table34111510[[#This Row],[LND RND USD]]*12)</f>
        <v xml:space="preserve"> </v>
      </c>
      <c r="W60" s="30" t="str">
        <f>IF(Inventory_List_Table34111510[[#This Row],[Q]]&lt;0.1, " ",Inventory_List_Table34111510[[#This Row],[AQ USD]])</f>
        <v xml:space="preserve"> </v>
      </c>
      <c r="X6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0" s="30" t="str">
        <f>IF(Inventory_List_Table34111510[[#This Row],[Q]]&lt;0.1, " ",Inventory_List_Table34111510[[#This Row],[PRICE]]/Z60*10000)</f>
        <v xml:space="preserve"> </v>
      </c>
      <c r="AB60" s="27"/>
      <c r="AC60" s="1"/>
      <c r="AD60" s="1"/>
    </row>
    <row r="61" spans="1:30" ht="24" customHeight="1" x14ac:dyDescent="0.3">
      <c r="A61" s="547">
        <v>59</v>
      </c>
      <c r="B61" s="1"/>
      <c r="C61" s="558"/>
      <c r="D61" s="558"/>
      <c r="E61" s="558"/>
      <c r="F61" s="38" t="str">
        <f>IF(Inventory_List_Table34111510[[#This Row],[Q]]&lt;0.1, " ",$A$1&amp;$D$1&amp;Inventory_List_Table34111510[[#This Row],['#]]&amp;Inventory_List_Table34111510[[#This Row],[LC]])</f>
        <v xml:space="preserve"> </v>
      </c>
      <c r="G61" s="93"/>
      <c r="H61" s="93"/>
      <c r="I61" s="93"/>
      <c r="J61" s="93"/>
      <c r="K61" s="93"/>
      <c r="L61" s="95"/>
      <c r="M61" s="30" t="str">
        <f>IF(Inventory_List_Table34111510[[#This Row],[Q]]&lt;0.1, " ", Inventory_List_Table34111510[[#This Row],[Q]]*Inventory_List_Table34111510[[#This Row],[PRICE]])</f>
        <v xml:space="preserve"> </v>
      </c>
      <c r="N61" s="35" t="str">
        <f>IF(Inventory_List_Table34111510[[#This Row],[Q]]&lt;0.1, " ", Inventory_List_Table34111510[[#This Row],[KG]]*2.20462)</f>
        <v xml:space="preserve"> </v>
      </c>
      <c r="O61" s="35" t="str">
        <f>IF(Inventory_List_Table34111510[[#This Row],[Q]]&lt;0.1, " ",Inventory_List_Table34111510[[#This Row],[H CM]]/2.54)</f>
        <v xml:space="preserve"> </v>
      </c>
      <c r="P61" s="35" t="str">
        <f>IF(Inventory_List_Table34111510[[#This Row],[Q]]&lt;0.1, " ",Inventory_List_Table34111510[[#This Row],[W CM]]/2.54)</f>
        <v xml:space="preserve"> </v>
      </c>
      <c r="Q61" s="35" t="str">
        <f>IF(Inventory_List_Table34111510[[#This Row],[Q]]&lt;0.1, " ",Inventory_List_Table34111510[[#This Row],[D CM ]]/2.54)</f>
        <v xml:space="preserve"> </v>
      </c>
      <c r="R61" s="30" t="str">
        <f>IF(Inventory_List_Table34111510[[#This Row],[Q]]&lt;0.1, " ",Inventory_List_Table34111510[[#This Row],[PRICE]]/$L$1)</f>
        <v xml:space="preserve"> </v>
      </c>
      <c r="S6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1" s="30" t="str">
        <f>IF(Inventory_List_Table34111510[[#This Row],[Q]]&lt;0.1, " ",Inventory_List_Table34111510[[#This Row],[AQ RND USD]]*1.4)</f>
        <v xml:space="preserve"> </v>
      </c>
      <c r="U6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1" s="30" t="str">
        <f>IF(Inventory_List_Table34111510[[#This Row],[Q]]&lt;0.1, " ",Inventory_List_Table34111510[[#This Row],[LND RND USD]]*12)</f>
        <v xml:space="preserve"> </v>
      </c>
      <c r="W61" s="30" t="str">
        <f>IF(Inventory_List_Table34111510[[#This Row],[Q]]&lt;0.1, " ",Inventory_List_Table34111510[[#This Row],[AQ USD]])</f>
        <v xml:space="preserve"> </v>
      </c>
      <c r="X6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1" s="30" t="str">
        <f>IF(Inventory_List_Table34111510[[#This Row],[Q]]&lt;0.1, " ",Inventory_List_Table34111510[[#This Row],[PRICE]]/Z61*10000)</f>
        <v xml:space="preserve"> </v>
      </c>
      <c r="AB61" s="27"/>
      <c r="AC61" s="1"/>
      <c r="AD61" s="1"/>
    </row>
    <row r="62" spans="1:30" ht="24" customHeight="1" x14ac:dyDescent="0.3">
      <c r="A62" s="547">
        <v>60</v>
      </c>
      <c r="B62" s="1"/>
      <c r="C62" s="558"/>
      <c r="D62" s="558"/>
      <c r="E62" s="558"/>
      <c r="F62" s="38" t="str">
        <f>IF(Inventory_List_Table34111510[[#This Row],[Q]]&lt;0.1, " ",$A$1&amp;$D$1&amp;Inventory_List_Table34111510[[#This Row],['#]]&amp;Inventory_List_Table34111510[[#This Row],[LC]])</f>
        <v xml:space="preserve"> </v>
      </c>
      <c r="G62" s="93"/>
      <c r="H62" s="93"/>
      <c r="I62" s="93"/>
      <c r="J62" s="93"/>
      <c r="K62" s="93"/>
      <c r="L62" s="95"/>
      <c r="M62" s="30" t="str">
        <f>IF(Inventory_List_Table34111510[[#This Row],[Q]]&lt;0.1, " ", Inventory_List_Table34111510[[#This Row],[Q]]*Inventory_List_Table34111510[[#This Row],[PRICE]])</f>
        <v xml:space="preserve"> </v>
      </c>
      <c r="N62" s="35" t="str">
        <f>IF(Inventory_List_Table34111510[[#This Row],[Q]]&lt;0.1, " ", Inventory_List_Table34111510[[#This Row],[KG]]*2.20462)</f>
        <v xml:space="preserve"> </v>
      </c>
      <c r="O62" s="35" t="str">
        <f>IF(Inventory_List_Table34111510[[#This Row],[Q]]&lt;0.1, " ",Inventory_List_Table34111510[[#This Row],[H CM]]/2.54)</f>
        <v xml:space="preserve"> </v>
      </c>
      <c r="P62" s="35" t="str">
        <f>IF(Inventory_List_Table34111510[[#This Row],[Q]]&lt;0.1, " ",Inventory_List_Table34111510[[#This Row],[W CM]]/2.54)</f>
        <v xml:space="preserve"> </v>
      </c>
      <c r="Q62" s="35" t="str">
        <f>IF(Inventory_List_Table34111510[[#This Row],[Q]]&lt;0.1, " ",Inventory_List_Table34111510[[#This Row],[D CM ]]/2.54)</f>
        <v xml:space="preserve"> </v>
      </c>
      <c r="R62" s="30" t="str">
        <f>IF(Inventory_List_Table34111510[[#This Row],[Q]]&lt;0.1, " ",Inventory_List_Table34111510[[#This Row],[PRICE]]/$L$1)</f>
        <v xml:space="preserve"> </v>
      </c>
      <c r="S6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2" s="30" t="str">
        <f>IF(Inventory_List_Table34111510[[#This Row],[Q]]&lt;0.1, " ",Inventory_List_Table34111510[[#This Row],[AQ RND USD]]*1.4)</f>
        <v xml:space="preserve"> </v>
      </c>
      <c r="U6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2" s="30" t="str">
        <f>IF(Inventory_List_Table34111510[[#This Row],[Q]]&lt;0.1, " ",Inventory_List_Table34111510[[#This Row],[LND RND USD]]*12)</f>
        <v xml:space="preserve"> </v>
      </c>
      <c r="W62" s="30" t="str">
        <f>IF(Inventory_List_Table34111510[[#This Row],[Q]]&lt;0.1, " ",Inventory_List_Table34111510[[#This Row],[AQ USD]])</f>
        <v xml:space="preserve"> </v>
      </c>
      <c r="X6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2" s="30" t="str">
        <f>IF(Inventory_List_Table34111510[[#This Row],[Q]]&lt;0.1, " ",Inventory_List_Table34111510[[#This Row],[PRICE]]/Z62*10000)</f>
        <v xml:space="preserve"> </v>
      </c>
      <c r="AB62" s="27"/>
      <c r="AC62" s="1"/>
      <c r="AD62" s="1"/>
    </row>
    <row r="63" spans="1:30" ht="24" customHeight="1" x14ac:dyDescent="0.3">
      <c r="A63" s="547">
        <v>61</v>
      </c>
      <c r="B63" s="1"/>
      <c r="C63" s="558"/>
      <c r="D63" s="558"/>
      <c r="E63" s="558"/>
      <c r="F63" s="38" t="str">
        <f>IF(Inventory_List_Table34111510[[#This Row],[Q]]&lt;0.1, " ",$A$1&amp;$D$1&amp;Inventory_List_Table34111510[[#This Row],['#]]&amp;Inventory_List_Table34111510[[#This Row],[LC]])</f>
        <v xml:space="preserve"> </v>
      </c>
      <c r="G63" s="93"/>
      <c r="H63" s="93"/>
      <c r="I63" s="93"/>
      <c r="J63" s="93"/>
      <c r="K63" s="93"/>
      <c r="L63" s="95"/>
      <c r="M63" s="30" t="str">
        <f>IF(Inventory_List_Table34111510[[#This Row],[Q]]&lt;0.1, " ", Inventory_List_Table34111510[[#This Row],[Q]]*Inventory_List_Table34111510[[#This Row],[PRICE]])</f>
        <v xml:space="preserve"> </v>
      </c>
      <c r="N63" s="35" t="str">
        <f>IF(Inventory_List_Table34111510[[#This Row],[Q]]&lt;0.1, " ", Inventory_List_Table34111510[[#This Row],[KG]]*2.20462)</f>
        <v xml:space="preserve"> </v>
      </c>
      <c r="O63" s="35" t="str">
        <f>IF(Inventory_List_Table34111510[[#This Row],[Q]]&lt;0.1, " ",Inventory_List_Table34111510[[#This Row],[H CM]]/2.54)</f>
        <v xml:space="preserve"> </v>
      </c>
      <c r="P63" s="35" t="str">
        <f>IF(Inventory_List_Table34111510[[#This Row],[Q]]&lt;0.1, " ",Inventory_List_Table34111510[[#This Row],[W CM]]/2.54)</f>
        <v xml:space="preserve"> </v>
      </c>
      <c r="Q63" s="35" t="str">
        <f>IF(Inventory_List_Table34111510[[#This Row],[Q]]&lt;0.1, " ",Inventory_List_Table34111510[[#This Row],[D CM ]]/2.54)</f>
        <v xml:space="preserve"> </v>
      </c>
      <c r="R63" s="30" t="str">
        <f>IF(Inventory_List_Table34111510[[#This Row],[Q]]&lt;0.1, " ",Inventory_List_Table34111510[[#This Row],[PRICE]]/$L$1)</f>
        <v xml:space="preserve"> </v>
      </c>
      <c r="S6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3" s="30" t="str">
        <f>IF(Inventory_List_Table34111510[[#This Row],[Q]]&lt;0.1, " ",Inventory_List_Table34111510[[#This Row],[AQ RND USD]]*1.4)</f>
        <v xml:space="preserve"> </v>
      </c>
      <c r="U6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3" s="30" t="str">
        <f>IF(Inventory_List_Table34111510[[#This Row],[Q]]&lt;0.1, " ",Inventory_List_Table34111510[[#This Row],[LND RND USD]]*12)</f>
        <v xml:space="preserve"> </v>
      </c>
      <c r="W63" s="30" t="str">
        <f>IF(Inventory_List_Table34111510[[#This Row],[Q]]&lt;0.1, " ",Inventory_List_Table34111510[[#This Row],[AQ USD]])</f>
        <v xml:space="preserve"> </v>
      </c>
      <c r="X6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3" s="30" t="str">
        <f>IF(Inventory_List_Table34111510[[#This Row],[Q]]&lt;0.1, " ",Inventory_List_Table34111510[[#This Row],[PRICE]]/Z63*10000)</f>
        <v xml:space="preserve"> </v>
      </c>
      <c r="AB63" s="27"/>
      <c r="AC63" s="1"/>
      <c r="AD63" s="1"/>
    </row>
    <row r="64" spans="1:30" ht="24" customHeight="1" x14ac:dyDescent="0.3">
      <c r="A64" s="547">
        <v>62</v>
      </c>
      <c r="B64" s="1"/>
      <c r="C64" s="558"/>
      <c r="D64" s="558"/>
      <c r="E64" s="558"/>
      <c r="F64" s="38" t="str">
        <f>IF(Inventory_List_Table34111510[[#This Row],[Q]]&lt;0.1, " ",$A$1&amp;$D$1&amp;Inventory_List_Table34111510[[#This Row],['#]]&amp;Inventory_List_Table34111510[[#This Row],[LC]])</f>
        <v xml:space="preserve"> </v>
      </c>
      <c r="G64" s="93"/>
      <c r="H64" s="93"/>
      <c r="I64" s="93"/>
      <c r="J64" s="93"/>
      <c r="K64" s="93"/>
      <c r="L64" s="95"/>
      <c r="M64" s="30" t="str">
        <f>IF(Inventory_List_Table34111510[[#This Row],[Q]]&lt;0.1, " ", Inventory_List_Table34111510[[#This Row],[Q]]*Inventory_List_Table34111510[[#This Row],[PRICE]])</f>
        <v xml:space="preserve"> </v>
      </c>
      <c r="N64" s="35" t="str">
        <f>IF(Inventory_List_Table34111510[[#This Row],[Q]]&lt;0.1, " ", Inventory_List_Table34111510[[#This Row],[KG]]*2.20462)</f>
        <v xml:space="preserve"> </v>
      </c>
      <c r="O64" s="35" t="str">
        <f>IF(Inventory_List_Table34111510[[#This Row],[Q]]&lt;0.1, " ",Inventory_List_Table34111510[[#This Row],[H CM]]/2.54)</f>
        <v xml:space="preserve"> </v>
      </c>
      <c r="P64" s="35" t="str">
        <f>IF(Inventory_List_Table34111510[[#This Row],[Q]]&lt;0.1, " ",Inventory_List_Table34111510[[#This Row],[W CM]]/2.54)</f>
        <v xml:space="preserve"> </v>
      </c>
      <c r="Q64" s="35" t="str">
        <f>IF(Inventory_List_Table34111510[[#This Row],[Q]]&lt;0.1, " ",Inventory_List_Table34111510[[#This Row],[D CM ]]/2.54)</f>
        <v xml:space="preserve"> </v>
      </c>
      <c r="R64" s="30" t="str">
        <f>IF(Inventory_List_Table34111510[[#This Row],[Q]]&lt;0.1, " ",Inventory_List_Table34111510[[#This Row],[PRICE]]/$L$1)</f>
        <v xml:space="preserve"> </v>
      </c>
      <c r="S6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4" s="30" t="str">
        <f>IF(Inventory_List_Table34111510[[#This Row],[Q]]&lt;0.1, " ",Inventory_List_Table34111510[[#This Row],[AQ RND USD]]*1.4)</f>
        <v xml:space="preserve"> </v>
      </c>
      <c r="U6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4" s="30" t="str">
        <f>IF(Inventory_List_Table34111510[[#This Row],[Q]]&lt;0.1, " ",Inventory_List_Table34111510[[#This Row],[LND RND USD]]*12)</f>
        <v xml:space="preserve"> </v>
      </c>
      <c r="W64" s="30" t="str">
        <f>IF(Inventory_List_Table34111510[[#This Row],[Q]]&lt;0.1, " ",Inventory_List_Table34111510[[#This Row],[AQ USD]])</f>
        <v xml:space="preserve"> </v>
      </c>
      <c r="X6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4" s="30" t="str">
        <f>IF(Inventory_List_Table34111510[[#This Row],[Q]]&lt;0.1, " ",Inventory_List_Table34111510[[#This Row],[PRICE]]/Z64*10000)</f>
        <v xml:space="preserve"> </v>
      </c>
      <c r="AB64" s="27"/>
      <c r="AC64" s="1"/>
      <c r="AD64" s="1"/>
    </row>
    <row r="65" spans="1:30" ht="24" customHeight="1" x14ac:dyDescent="0.3">
      <c r="A65" s="547">
        <v>63</v>
      </c>
      <c r="B65" s="1"/>
      <c r="C65" s="558"/>
      <c r="D65" s="558"/>
      <c r="E65" s="558"/>
      <c r="F65" s="38" t="str">
        <f>IF(Inventory_List_Table34111510[[#This Row],[Q]]&lt;0.1, " ",$A$1&amp;$D$1&amp;Inventory_List_Table34111510[[#This Row],['#]]&amp;Inventory_List_Table34111510[[#This Row],[LC]])</f>
        <v xml:space="preserve"> </v>
      </c>
      <c r="G65" s="93"/>
      <c r="H65" s="93"/>
      <c r="I65" s="93"/>
      <c r="J65" s="93"/>
      <c r="K65" s="93"/>
      <c r="L65" s="95"/>
      <c r="M65" s="30" t="str">
        <f>IF(Inventory_List_Table34111510[[#This Row],[Q]]&lt;0.1, " ", Inventory_List_Table34111510[[#This Row],[Q]]*Inventory_List_Table34111510[[#This Row],[PRICE]])</f>
        <v xml:space="preserve"> </v>
      </c>
      <c r="N65" s="35" t="str">
        <f>IF(Inventory_List_Table34111510[[#This Row],[Q]]&lt;0.1, " ", Inventory_List_Table34111510[[#This Row],[KG]]*2.20462)</f>
        <v xml:space="preserve"> </v>
      </c>
      <c r="O65" s="35" t="str">
        <f>IF(Inventory_List_Table34111510[[#This Row],[Q]]&lt;0.1, " ",Inventory_List_Table34111510[[#This Row],[H CM]]/2.54)</f>
        <v xml:space="preserve"> </v>
      </c>
      <c r="P65" s="35" t="str">
        <f>IF(Inventory_List_Table34111510[[#This Row],[Q]]&lt;0.1, " ",Inventory_List_Table34111510[[#This Row],[W CM]]/2.54)</f>
        <v xml:space="preserve"> </v>
      </c>
      <c r="Q65" s="35" t="str">
        <f>IF(Inventory_List_Table34111510[[#This Row],[Q]]&lt;0.1, " ",Inventory_List_Table34111510[[#This Row],[D CM ]]/2.54)</f>
        <v xml:space="preserve"> </v>
      </c>
      <c r="R65" s="30" t="str">
        <f>IF(Inventory_List_Table34111510[[#This Row],[Q]]&lt;0.1, " ",Inventory_List_Table34111510[[#This Row],[PRICE]]/$L$1)</f>
        <v xml:space="preserve"> </v>
      </c>
      <c r="S6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5" s="30" t="str">
        <f>IF(Inventory_List_Table34111510[[#This Row],[Q]]&lt;0.1, " ",Inventory_List_Table34111510[[#This Row],[AQ RND USD]]*1.4)</f>
        <v xml:space="preserve"> </v>
      </c>
      <c r="U6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5" s="30" t="str">
        <f>IF(Inventory_List_Table34111510[[#This Row],[Q]]&lt;0.1, " ",Inventory_List_Table34111510[[#This Row],[LND RND USD]]*12)</f>
        <v xml:space="preserve"> </v>
      </c>
      <c r="W65" s="30" t="str">
        <f>IF(Inventory_List_Table34111510[[#This Row],[Q]]&lt;0.1, " ",Inventory_List_Table34111510[[#This Row],[AQ USD]])</f>
        <v xml:space="preserve"> </v>
      </c>
      <c r="X6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5" s="30" t="str">
        <f>IF(Inventory_List_Table34111510[[#This Row],[Q]]&lt;0.1, " ",Inventory_List_Table34111510[[#This Row],[PRICE]]/Z65*10000)</f>
        <v xml:space="preserve"> </v>
      </c>
      <c r="AB65" s="27"/>
      <c r="AC65" s="1"/>
      <c r="AD65" s="1"/>
    </row>
    <row r="66" spans="1:30" ht="24" customHeight="1" x14ac:dyDescent="0.3">
      <c r="A66" s="547">
        <v>64</v>
      </c>
      <c r="B66" s="1"/>
      <c r="C66" s="558"/>
      <c r="D66" s="558"/>
      <c r="E66" s="558"/>
      <c r="F66" s="38" t="str">
        <f>IF(Inventory_List_Table34111510[[#This Row],[Q]]&lt;0.1, " ",$A$1&amp;$D$1&amp;Inventory_List_Table34111510[[#This Row],['#]]&amp;Inventory_List_Table34111510[[#This Row],[LC]])</f>
        <v xml:space="preserve"> </v>
      </c>
      <c r="G66" s="93"/>
      <c r="H66" s="93"/>
      <c r="I66" s="93"/>
      <c r="J66" s="93"/>
      <c r="K66" s="93"/>
      <c r="L66" s="95"/>
      <c r="M66" s="30" t="str">
        <f>IF(Inventory_List_Table34111510[[#This Row],[Q]]&lt;0.1, " ", Inventory_List_Table34111510[[#This Row],[Q]]*Inventory_List_Table34111510[[#This Row],[PRICE]])</f>
        <v xml:space="preserve"> </v>
      </c>
      <c r="N66" s="35" t="str">
        <f>IF(Inventory_List_Table34111510[[#This Row],[Q]]&lt;0.1, " ", Inventory_List_Table34111510[[#This Row],[KG]]*2.20462)</f>
        <v xml:space="preserve"> </v>
      </c>
      <c r="O66" s="35" t="str">
        <f>IF(Inventory_List_Table34111510[[#This Row],[Q]]&lt;0.1, " ",Inventory_List_Table34111510[[#This Row],[H CM]]/2.54)</f>
        <v xml:space="preserve"> </v>
      </c>
      <c r="P66" s="35" t="str">
        <f>IF(Inventory_List_Table34111510[[#This Row],[Q]]&lt;0.1, " ",Inventory_List_Table34111510[[#This Row],[W CM]]/2.54)</f>
        <v xml:space="preserve"> </v>
      </c>
      <c r="Q66" s="35" t="str">
        <f>IF(Inventory_List_Table34111510[[#This Row],[Q]]&lt;0.1, " ",Inventory_List_Table34111510[[#This Row],[D CM ]]/2.54)</f>
        <v xml:space="preserve"> </v>
      </c>
      <c r="R66" s="30" t="str">
        <f>IF(Inventory_List_Table34111510[[#This Row],[Q]]&lt;0.1, " ",Inventory_List_Table34111510[[#This Row],[PRICE]]/$L$1)</f>
        <v xml:space="preserve"> </v>
      </c>
      <c r="S6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6" s="30" t="str">
        <f>IF(Inventory_List_Table34111510[[#This Row],[Q]]&lt;0.1, " ",Inventory_List_Table34111510[[#This Row],[AQ RND USD]]*1.4)</f>
        <v xml:space="preserve"> </v>
      </c>
      <c r="U6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6" s="30" t="str">
        <f>IF(Inventory_List_Table34111510[[#This Row],[Q]]&lt;0.1, " ",Inventory_List_Table34111510[[#This Row],[LND RND USD]]*12)</f>
        <v xml:space="preserve"> </v>
      </c>
      <c r="W66" s="30" t="str">
        <f>IF(Inventory_List_Table34111510[[#This Row],[Q]]&lt;0.1, " ",Inventory_List_Table34111510[[#This Row],[AQ USD]])</f>
        <v xml:space="preserve"> </v>
      </c>
      <c r="X6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6" s="30" t="str">
        <f>IF(Inventory_List_Table34111510[[#This Row],[Q]]&lt;0.1, " ",Inventory_List_Table34111510[[#This Row],[PRICE]]/Z66*10000)</f>
        <v xml:space="preserve"> </v>
      </c>
      <c r="AB66" s="27"/>
      <c r="AC66" s="1"/>
      <c r="AD66" s="1"/>
    </row>
    <row r="67" spans="1:30" ht="24" customHeight="1" x14ac:dyDescent="0.3">
      <c r="A67" s="547">
        <v>65</v>
      </c>
      <c r="B67" s="1"/>
      <c r="C67" s="558"/>
      <c r="D67" s="558"/>
      <c r="E67" s="558"/>
      <c r="F67" s="38" t="str">
        <f>IF(Inventory_List_Table34111510[[#This Row],[Q]]&lt;0.1, " ",$A$1&amp;$D$1&amp;Inventory_List_Table34111510[[#This Row],['#]]&amp;Inventory_List_Table34111510[[#This Row],[LC]])</f>
        <v xml:space="preserve"> </v>
      </c>
      <c r="G67" s="93"/>
      <c r="H67" s="93"/>
      <c r="I67" s="93"/>
      <c r="J67" s="93"/>
      <c r="K67" s="93"/>
      <c r="L67" s="95"/>
      <c r="M67" s="30" t="str">
        <f>IF(Inventory_List_Table34111510[[#This Row],[Q]]&lt;0.1, " ", Inventory_List_Table34111510[[#This Row],[Q]]*Inventory_List_Table34111510[[#This Row],[PRICE]])</f>
        <v xml:space="preserve"> </v>
      </c>
      <c r="N67" s="35" t="str">
        <f>IF(Inventory_List_Table34111510[[#This Row],[Q]]&lt;0.1, " ", Inventory_List_Table34111510[[#This Row],[KG]]*2.20462)</f>
        <v xml:space="preserve"> </v>
      </c>
      <c r="O67" s="35" t="str">
        <f>IF(Inventory_List_Table34111510[[#This Row],[Q]]&lt;0.1, " ",Inventory_List_Table34111510[[#This Row],[H CM]]/2.54)</f>
        <v xml:space="preserve"> </v>
      </c>
      <c r="P67" s="35" t="str">
        <f>IF(Inventory_List_Table34111510[[#This Row],[Q]]&lt;0.1, " ",Inventory_List_Table34111510[[#This Row],[W CM]]/2.54)</f>
        <v xml:space="preserve"> </v>
      </c>
      <c r="Q67" s="35" t="str">
        <f>IF(Inventory_List_Table34111510[[#This Row],[Q]]&lt;0.1, " ",Inventory_List_Table34111510[[#This Row],[D CM ]]/2.54)</f>
        <v xml:space="preserve"> </v>
      </c>
      <c r="R67" s="30" t="str">
        <f>IF(Inventory_List_Table34111510[[#This Row],[Q]]&lt;0.1, " ",Inventory_List_Table34111510[[#This Row],[PRICE]]/$L$1)</f>
        <v xml:space="preserve"> </v>
      </c>
      <c r="S6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7" s="30" t="str">
        <f>IF(Inventory_List_Table34111510[[#This Row],[Q]]&lt;0.1, " ",Inventory_List_Table34111510[[#This Row],[AQ RND USD]]*1.4)</f>
        <v xml:space="preserve"> </v>
      </c>
      <c r="U6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7" s="30" t="str">
        <f>IF(Inventory_List_Table34111510[[#This Row],[Q]]&lt;0.1, " ",Inventory_List_Table34111510[[#This Row],[LND RND USD]]*12)</f>
        <v xml:space="preserve"> </v>
      </c>
      <c r="W67" s="30" t="str">
        <f>IF(Inventory_List_Table34111510[[#This Row],[Q]]&lt;0.1, " ",Inventory_List_Table34111510[[#This Row],[AQ USD]])</f>
        <v xml:space="preserve"> </v>
      </c>
      <c r="X6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7" s="30" t="str">
        <f>IF(Inventory_List_Table34111510[[#This Row],[Q]]&lt;0.1, " ",Inventory_List_Table34111510[[#This Row],[PRICE]]/Z67*10000)</f>
        <v xml:space="preserve"> </v>
      </c>
      <c r="AB67" s="27"/>
      <c r="AC67" s="1"/>
      <c r="AD67" s="1"/>
    </row>
    <row r="68" spans="1:30" ht="24" customHeight="1" x14ac:dyDescent="0.3">
      <c r="A68" s="547">
        <v>66</v>
      </c>
      <c r="B68" s="1"/>
      <c r="C68" s="558"/>
      <c r="D68" s="558"/>
      <c r="E68" s="558"/>
      <c r="F68" s="38" t="str">
        <f>IF(Inventory_List_Table34111510[[#This Row],[Q]]&lt;0.1, " ",$A$1&amp;$D$1&amp;Inventory_List_Table34111510[[#This Row],['#]]&amp;Inventory_List_Table34111510[[#This Row],[LC]])</f>
        <v xml:space="preserve"> </v>
      </c>
      <c r="G68" s="93"/>
      <c r="H68" s="93"/>
      <c r="I68" s="93"/>
      <c r="J68" s="93"/>
      <c r="K68" s="93"/>
      <c r="L68" s="95"/>
      <c r="M68" s="30" t="str">
        <f>IF(Inventory_List_Table34111510[[#This Row],[Q]]&lt;0.1, " ", Inventory_List_Table34111510[[#This Row],[Q]]*Inventory_List_Table34111510[[#This Row],[PRICE]])</f>
        <v xml:space="preserve"> </v>
      </c>
      <c r="N68" s="35" t="str">
        <f>IF(Inventory_List_Table34111510[[#This Row],[Q]]&lt;0.1, " ", Inventory_List_Table34111510[[#This Row],[KG]]*2.20462)</f>
        <v xml:space="preserve"> </v>
      </c>
      <c r="O68" s="35" t="str">
        <f>IF(Inventory_List_Table34111510[[#This Row],[Q]]&lt;0.1, " ",Inventory_List_Table34111510[[#This Row],[H CM]]/2.54)</f>
        <v xml:space="preserve"> </v>
      </c>
      <c r="P68" s="35" t="str">
        <f>IF(Inventory_List_Table34111510[[#This Row],[Q]]&lt;0.1, " ",Inventory_List_Table34111510[[#This Row],[W CM]]/2.54)</f>
        <v xml:space="preserve"> </v>
      </c>
      <c r="Q68" s="35" t="str">
        <f>IF(Inventory_List_Table34111510[[#This Row],[Q]]&lt;0.1, " ",Inventory_List_Table34111510[[#This Row],[D CM ]]/2.54)</f>
        <v xml:space="preserve"> </v>
      </c>
      <c r="R68" s="30" t="str">
        <f>IF(Inventory_List_Table34111510[[#This Row],[Q]]&lt;0.1, " ",Inventory_List_Table34111510[[#This Row],[PRICE]]/$L$1)</f>
        <v xml:space="preserve"> </v>
      </c>
      <c r="S6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8" s="30" t="str">
        <f>IF(Inventory_List_Table34111510[[#This Row],[Q]]&lt;0.1, " ",Inventory_List_Table34111510[[#This Row],[AQ RND USD]]*1.4)</f>
        <v xml:space="preserve"> </v>
      </c>
      <c r="U6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8" s="30" t="str">
        <f>IF(Inventory_List_Table34111510[[#This Row],[Q]]&lt;0.1, " ",Inventory_List_Table34111510[[#This Row],[LND RND USD]]*12)</f>
        <v xml:space="preserve"> </v>
      </c>
      <c r="W68" s="30" t="str">
        <f>IF(Inventory_List_Table34111510[[#This Row],[Q]]&lt;0.1, " ",Inventory_List_Table34111510[[#This Row],[AQ USD]])</f>
        <v xml:space="preserve"> </v>
      </c>
      <c r="X6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8" s="30" t="str">
        <f>IF(Inventory_List_Table34111510[[#This Row],[Q]]&lt;0.1, " ",Inventory_List_Table34111510[[#This Row],[PRICE]]/Z68*10000)</f>
        <v xml:space="preserve"> </v>
      </c>
      <c r="AB68" s="27"/>
      <c r="AC68" s="1"/>
      <c r="AD68" s="1"/>
    </row>
    <row r="69" spans="1:30" ht="24" customHeight="1" x14ac:dyDescent="0.3">
      <c r="A69" s="547">
        <v>67</v>
      </c>
      <c r="B69" s="1"/>
      <c r="C69" s="558"/>
      <c r="D69" s="558"/>
      <c r="E69" s="558"/>
      <c r="F69" s="38" t="str">
        <f>IF(Inventory_List_Table34111510[[#This Row],[Q]]&lt;0.1, " ",$A$1&amp;$D$1&amp;Inventory_List_Table34111510[[#This Row],['#]]&amp;Inventory_List_Table34111510[[#This Row],[LC]])</f>
        <v xml:space="preserve"> </v>
      </c>
      <c r="G69" s="93"/>
      <c r="H69" s="93"/>
      <c r="I69" s="93"/>
      <c r="J69" s="93"/>
      <c r="K69" s="93"/>
      <c r="L69" s="95"/>
      <c r="M69" s="30" t="str">
        <f>IF(Inventory_List_Table34111510[[#This Row],[Q]]&lt;0.1, " ", Inventory_List_Table34111510[[#This Row],[Q]]*Inventory_List_Table34111510[[#This Row],[PRICE]])</f>
        <v xml:space="preserve"> </v>
      </c>
      <c r="N69" s="35" t="str">
        <f>IF(Inventory_List_Table34111510[[#This Row],[Q]]&lt;0.1, " ", Inventory_List_Table34111510[[#This Row],[KG]]*2.20462)</f>
        <v xml:space="preserve"> </v>
      </c>
      <c r="O69" s="35" t="str">
        <f>IF(Inventory_List_Table34111510[[#This Row],[Q]]&lt;0.1, " ",Inventory_List_Table34111510[[#This Row],[H CM]]/2.54)</f>
        <v xml:space="preserve"> </v>
      </c>
      <c r="P69" s="35" t="str">
        <f>IF(Inventory_List_Table34111510[[#This Row],[Q]]&lt;0.1, " ",Inventory_List_Table34111510[[#This Row],[W CM]]/2.54)</f>
        <v xml:space="preserve"> </v>
      </c>
      <c r="Q69" s="35" t="str">
        <f>IF(Inventory_List_Table34111510[[#This Row],[Q]]&lt;0.1, " ",Inventory_List_Table34111510[[#This Row],[D CM ]]/2.54)</f>
        <v xml:space="preserve"> </v>
      </c>
      <c r="R69" s="30" t="str">
        <f>IF(Inventory_List_Table34111510[[#This Row],[Q]]&lt;0.1, " ",Inventory_List_Table34111510[[#This Row],[PRICE]]/$L$1)</f>
        <v xml:space="preserve"> </v>
      </c>
      <c r="S6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69" s="30" t="str">
        <f>IF(Inventory_List_Table34111510[[#This Row],[Q]]&lt;0.1, " ",Inventory_List_Table34111510[[#This Row],[AQ RND USD]]*1.4)</f>
        <v xml:space="preserve"> </v>
      </c>
      <c r="U6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69" s="30" t="str">
        <f>IF(Inventory_List_Table34111510[[#This Row],[Q]]&lt;0.1, " ",Inventory_List_Table34111510[[#This Row],[LND RND USD]]*12)</f>
        <v xml:space="preserve"> </v>
      </c>
      <c r="W69" s="30" t="str">
        <f>IF(Inventory_List_Table34111510[[#This Row],[Q]]&lt;0.1, " ",Inventory_List_Table34111510[[#This Row],[AQ USD]])</f>
        <v xml:space="preserve"> </v>
      </c>
      <c r="X6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6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6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69" s="30" t="str">
        <f>IF(Inventory_List_Table34111510[[#This Row],[Q]]&lt;0.1, " ",Inventory_List_Table34111510[[#This Row],[PRICE]]/Z69*10000)</f>
        <v xml:space="preserve"> </v>
      </c>
      <c r="AB69" s="27"/>
      <c r="AC69" s="1"/>
      <c r="AD69" s="1"/>
    </row>
    <row r="70" spans="1:30" ht="24" customHeight="1" x14ac:dyDescent="0.3">
      <c r="A70" s="547">
        <v>68</v>
      </c>
      <c r="B70" s="1"/>
      <c r="C70" s="558"/>
      <c r="D70" s="558"/>
      <c r="E70" s="558"/>
      <c r="F70" s="38" t="str">
        <f>IF(Inventory_List_Table34111510[[#This Row],[Q]]&lt;0.1, " ",$A$1&amp;$D$1&amp;Inventory_List_Table34111510[[#This Row],['#]]&amp;Inventory_List_Table34111510[[#This Row],[LC]])</f>
        <v xml:space="preserve"> </v>
      </c>
      <c r="G70" s="93"/>
      <c r="H70" s="93"/>
      <c r="I70" s="93"/>
      <c r="J70" s="93"/>
      <c r="K70" s="93"/>
      <c r="L70" s="95"/>
      <c r="M70" s="30" t="str">
        <f>IF(Inventory_List_Table34111510[[#This Row],[Q]]&lt;0.1, " ", Inventory_List_Table34111510[[#This Row],[Q]]*Inventory_List_Table34111510[[#This Row],[PRICE]])</f>
        <v xml:space="preserve"> </v>
      </c>
      <c r="N70" s="35" t="str">
        <f>IF(Inventory_List_Table34111510[[#This Row],[Q]]&lt;0.1, " ", Inventory_List_Table34111510[[#This Row],[KG]]*2.20462)</f>
        <v xml:space="preserve"> </v>
      </c>
      <c r="O70" s="35" t="str">
        <f>IF(Inventory_List_Table34111510[[#This Row],[Q]]&lt;0.1, " ",Inventory_List_Table34111510[[#This Row],[H CM]]/2.54)</f>
        <v xml:space="preserve"> </v>
      </c>
      <c r="P70" s="35" t="str">
        <f>IF(Inventory_List_Table34111510[[#This Row],[Q]]&lt;0.1, " ",Inventory_List_Table34111510[[#This Row],[W CM]]/2.54)</f>
        <v xml:space="preserve"> </v>
      </c>
      <c r="Q70" s="35" t="str">
        <f>IF(Inventory_List_Table34111510[[#This Row],[Q]]&lt;0.1, " ",Inventory_List_Table34111510[[#This Row],[D CM ]]/2.54)</f>
        <v xml:space="preserve"> </v>
      </c>
      <c r="R70" s="30" t="str">
        <f>IF(Inventory_List_Table34111510[[#This Row],[Q]]&lt;0.1, " ",Inventory_List_Table34111510[[#This Row],[PRICE]]/$L$1)</f>
        <v xml:space="preserve"> </v>
      </c>
      <c r="S7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0" s="30" t="str">
        <f>IF(Inventory_List_Table34111510[[#This Row],[Q]]&lt;0.1, " ",Inventory_List_Table34111510[[#This Row],[AQ RND USD]]*1.4)</f>
        <v xml:space="preserve"> </v>
      </c>
      <c r="U7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0" s="30" t="str">
        <f>IF(Inventory_List_Table34111510[[#This Row],[Q]]&lt;0.1, " ",Inventory_List_Table34111510[[#This Row],[LND RND USD]]*12)</f>
        <v xml:space="preserve"> </v>
      </c>
      <c r="W70" s="30" t="str">
        <f>IF(Inventory_List_Table34111510[[#This Row],[Q]]&lt;0.1, " ",Inventory_List_Table34111510[[#This Row],[AQ USD]])</f>
        <v xml:space="preserve"> </v>
      </c>
      <c r="X7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0" s="30" t="str">
        <f>IF(Inventory_List_Table34111510[[#This Row],[Q]]&lt;0.1, " ",Inventory_List_Table34111510[[#This Row],[PRICE]]/Z70*10000)</f>
        <v xml:space="preserve"> </v>
      </c>
      <c r="AB70" s="27"/>
      <c r="AC70" s="1"/>
      <c r="AD70" s="1"/>
    </row>
    <row r="71" spans="1:30" ht="24" customHeight="1" x14ac:dyDescent="0.3">
      <c r="A71" s="547">
        <v>69</v>
      </c>
      <c r="B71" s="1"/>
      <c r="C71" s="558"/>
      <c r="D71" s="558"/>
      <c r="E71" s="558"/>
      <c r="F71" s="38" t="str">
        <f>IF(Inventory_List_Table34111510[[#This Row],[Q]]&lt;0.1, " ",$A$1&amp;$D$1&amp;Inventory_List_Table34111510[[#This Row],['#]]&amp;Inventory_List_Table34111510[[#This Row],[LC]])</f>
        <v xml:space="preserve"> </v>
      </c>
      <c r="G71" s="93"/>
      <c r="H71" s="93"/>
      <c r="I71" s="93"/>
      <c r="J71" s="93"/>
      <c r="K71" s="93"/>
      <c r="L71" s="95"/>
      <c r="M71" s="30" t="str">
        <f>IF(Inventory_List_Table34111510[[#This Row],[Q]]&lt;0.1, " ", Inventory_List_Table34111510[[#This Row],[Q]]*Inventory_List_Table34111510[[#This Row],[PRICE]])</f>
        <v xml:space="preserve"> </v>
      </c>
      <c r="N71" s="35" t="str">
        <f>IF(Inventory_List_Table34111510[[#This Row],[Q]]&lt;0.1, " ", Inventory_List_Table34111510[[#This Row],[KG]]*2.20462)</f>
        <v xml:space="preserve"> </v>
      </c>
      <c r="O71" s="35" t="str">
        <f>IF(Inventory_List_Table34111510[[#This Row],[Q]]&lt;0.1, " ",Inventory_List_Table34111510[[#This Row],[H CM]]/2.54)</f>
        <v xml:space="preserve"> </v>
      </c>
      <c r="P71" s="35" t="str">
        <f>IF(Inventory_List_Table34111510[[#This Row],[Q]]&lt;0.1, " ",Inventory_List_Table34111510[[#This Row],[W CM]]/2.54)</f>
        <v xml:space="preserve"> </v>
      </c>
      <c r="Q71" s="35" t="str">
        <f>IF(Inventory_List_Table34111510[[#This Row],[Q]]&lt;0.1, " ",Inventory_List_Table34111510[[#This Row],[D CM ]]/2.54)</f>
        <v xml:space="preserve"> </v>
      </c>
      <c r="R71" s="30" t="str">
        <f>IF(Inventory_List_Table34111510[[#This Row],[Q]]&lt;0.1, " ",Inventory_List_Table34111510[[#This Row],[PRICE]]/$L$1)</f>
        <v xml:space="preserve"> </v>
      </c>
      <c r="S7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1" s="30" t="str">
        <f>IF(Inventory_List_Table34111510[[#This Row],[Q]]&lt;0.1, " ",Inventory_List_Table34111510[[#This Row],[AQ RND USD]]*1.4)</f>
        <v xml:space="preserve"> </v>
      </c>
      <c r="U7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1" s="30" t="str">
        <f>IF(Inventory_List_Table34111510[[#This Row],[Q]]&lt;0.1, " ",Inventory_List_Table34111510[[#This Row],[LND RND USD]]*12)</f>
        <v xml:space="preserve"> </v>
      </c>
      <c r="W71" s="30" t="str">
        <f>IF(Inventory_List_Table34111510[[#This Row],[Q]]&lt;0.1, " ",Inventory_List_Table34111510[[#This Row],[AQ USD]])</f>
        <v xml:space="preserve"> </v>
      </c>
      <c r="X7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1" s="30" t="str">
        <f>IF(Inventory_List_Table34111510[[#This Row],[Q]]&lt;0.1, " ",Inventory_List_Table34111510[[#This Row],[PRICE]]/Z71*10000)</f>
        <v xml:space="preserve"> </v>
      </c>
      <c r="AB71" s="27"/>
      <c r="AC71" s="1"/>
      <c r="AD71" s="1"/>
    </row>
    <row r="72" spans="1:30" ht="24" customHeight="1" x14ac:dyDescent="0.3">
      <c r="A72" s="547">
        <v>70</v>
      </c>
      <c r="B72" s="1"/>
      <c r="C72" s="558"/>
      <c r="D72" s="558"/>
      <c r="E72" s="558"/>
      <c r="F72" s="38" t="str">
        <f>IF(Inventory_List_Table34111510[[#This Row],[Q]]&lt;0.1, " ",$A$1&amp;$D$1&amp;Inventory_List_Table34111510[[#This Row],['#]]&amp;Inventory_List_Table34111510[[#This Row],[LC]])</f>
        <v xml:space="preserve"> </v>
      </c>
      <c r="G72" s="93"/>
      <c r="H72" s="93"/>
      <c r="I72" s="93"/>
      <c r="J72" s="93"/>
      <c r="K72" s="93"/>
      <c r="L72" s="95"/>
      <c r="M72" s="30" t="str">
        <f>IF(Inventory_List_Table34111510[[#This Row],[Q]]&lt;0.1, " ", Inventory_List_Table34111510[[#This Row],[Q]]*Inventory_List_Table34111510[[#This Row],[PRICE]])</f>
        <v xml:space="preserve"> </v>
      </c>
      <c r="N72" s="35" t="str">
        <f>IF(Inventory_List_Table34111510[[#This Row],[Q]]&lt;0.1, " ", Inventory_List_Table34111510[[#This Row],[KG]]*2.20462)</f>
        <v xml:space="preserve"> </v>
      </c>
      <c r="O72" s="35" t="str">
        <f>IF(Inventory_List_Table34111510[[#This Row],[Q]]&lt;0.1, " ",Inventory_List_Table34111510[[#This Row],[H CM]]/2.54)</f>
        <v xml:space="preserve"> </v>
      </c>
      <c r="P72" s="35" t="str">
        <f>IF(Inventory_List_Table34111510[[#This Row],[Q]]&lt;0.1, " ",Inventory_List_Table34111510[[#This Row],[W CM]]/2.54)</f>
        <v xml:space="preserve"> </v>
      </c>
      <c r="Q72" s="35" t="str">
        <f>IF(Inventory_List_Table34111510[[#This Row],[Q]]&lt;0.1, " ",Inventory_List_Table34111510[[#This Row],[D CM ]]/2.54)</f>
        <v xml:space="preserve"> </v>
      </c>
      <c r="R72" s="30" t="str">
        <f>IF(Inventory_List_Table34111510[[#This Row],[Q]]&lt;0.1, " ",Inventory_List_Table34111510[[#This Row],[PRICE]]/$L$1)</f>
        <v xml:space="preserve"> </v>
      </c>
      <c r="S7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2" s="30" t="str">
        <f>IF(Inventory_List_Table34111510[[#This Row],[Q]]&lt;0.1, " ",Inventory_List_Table34111510[[#This Row],[AQ RND USD]]*1.4)</f>
        <v xml:space="preserve"> </v>
      </c>
      <c r="U7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2" s="30" t="str">
        <f>IF(Inventory_List_Table34111510[[#This Row],[Q]]&lt;0.1, " ",Inventory_List_Table34111510[[#This Row],[LND RND USD]]*12)</f>
        <v xml:space="preserve"> </v>
      </c>
      <c r="W72" s="30" t="str">
        <f>IF(Inventory_List_Table34111510[[#This Row],[Q]]&lt;0.1, " ",Inventory_List_Table34111510[[#This Row],[AQ USD]])</f>
        <v xml:space="preserve"> </v>
      </c>
      <c r="X7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2" s="30" t="str">
        <f>IF(Inventory_List_Table34111510[[#This Row],[Q]]&lt;0.1, " ",Inventory_List_Table34111510[[#This Row],[PRICE]]/Z72*10000)</f>
        <v xml:space="preserve"> </v>
      </c>
      <c r="AB72" s="27"/>
      <c r="AC72" s="1"/>
      <c r="AD72" s="1"/>
    </row>
    <row r="73" spans="1:30" ht="24" customHeight="1" x14ac:dyDescent="0.3">
      <c r="A73" s="547">
        <v>71</v>
      </c>
      <c r="B73" s="1"/>
      <c r="C73" s="558"/>
      <c r="D73" s="558"/>
      <c r="E73" s="558"/>
      <c r="F73" s="38" t="str">
        <f>IF(Inventory_List_Table34111510[[#This Row],[Q]]&lt;0.1, " ",$A$1&amp;$D$1&amp;Inventory_List_Table34111510[[#This Row],['#]]&amp;Inventory_List_Table34111510[[#This Row],[LC]])</f>
        <v xml:space="preserve"> </v>
      </c>
      <c r="G73" s="93"/>
      <c r="H73" s="93"/>
      <c r="I73" s="93"/>
      <c r="J73" s="93"/>
      <c r="K73" s="93"/>
      <c r="L73" s="95"/>
      <c r="M73" s="30" t="str">
        <f>IF(Inventory_List_Table34111510[[#This Row],[Q]]&lt;0.1, " ", Inventory_List_Table34111510[[#This Row],[Q]]*Inventory_List_Table34111510[[#This Row],[PRICE]])</f>
        <v xml:space="preserve"> </v>
      </c>
      <c r="N73" s="35" t="str">
        <f>IF(Inventory_List_Table34111510[[#This Row],[Q]]&lt;0.1, " ", Inventory_List_Table34111510[[#This Row],[KG]]*2.20462)</f>
        <v xml:space="preserve"> </v>
      </c>
      <c r="O73" s="35" t="str">
        <f>IF(Inventory_List_Table34111510[[#This Row],[Q]]&lt;0.1, " ",Inventory_List_Table34111510[[#This Row],[H CM]]/2.54)</f>
        <v xml:space="preserve"> </v>
      </c>
      <c r="P73" s="35" t="str">
        <f>IF(Inventory_List_Table34111510[[#This Row],[Q]]&lt;0.1, " ",Inventory_List_Table34111510[[#This Row],[W CM]]/2.54)</f>
        <v xml:space="preserve"> </v>
      </c>
      <c r="Q73" s="35" t="str">
        <f>IF(Inventory_List_Table34111510[[#This Row],[Q]]&lt;0.1, " ",Inventory_List_Table34111510[[#This Row],[D CM ]]/2.54)</f>
        <v xml:space="preserve"> </v>
      </c>
      <c r="R73" s="30" t="str">
        <f>IF(Inventory_List_Table34111510[[#This Row],[Q]]&lt;0.1, " ",Inventory_List_Table34111510[[#This Row],[PRICE]]/$L$1)</f>
        <v xml:space="preserve"> </v>
      </c>
      <c r="S7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3" s="30" t="str">
        <f>IF(Inventory_List_Table34111510[[#This Row],[Q]]&lt;0.1, " ",Inventory_List_Table34111510[[#This Row],[AQ RND USD]]*1.4)</f>
        <v xml:space="preserve"> </v>
      </c>
      <c r="U7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3" s="30" t="str">
        <f>IF(Inventory_List_Table34111510[[#This Row],[Q]]&lt;0.1, " ",Inventory_List_Table34111510[[#This Row],[LND RND USD]]*12)</f>
        <v xml:space="preserve"> </v>
      </c>
      <c r="W73" s="30" t="str">
        <f>IF(Inventory_List_Table34111510[[#This Row],[Q]]&lt;0.1, " ",Inventory_List_Table34111510[[#This Row],[AQ USD]])</f>
        <v xml:space="preserve"> </v>
      </c>
      <c r="X7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3" s="30" t="str">
        <f>IF(Inventory_List_Table34111510[[#This Row],[Q]]&lt;0.1, " ",Inventory_List_Table34111510[[#This Row],[PRICE]]/Z73*10000)</f>
        <v xml:space="preserve"> </v>
      </c>
      <c r="AB73" s="27"/>
      <c r="AC73" s="1"/>
      <c r="AD73" s="1"/>
    </row>
    <row r="74" spans="1:30" ht="24" customHeight="1" x14ac:dyDescent="0.3">
      <c r="A74" s="547">
        <v>72</v>
      </c>
      <c r="B74" s="1"/>
      <c r="C74" s="558"/>
      <c r="D74" s="558"/>
      <c r="E74" s="558"/>
      <c r="F74" s="38" t="str">
        <f>IF(Inventory_List_Table34111510[[#This Row],[Q]]&lt;0.1, " ",$A$1&amp;$D$1&amp;Inventory_List_Table34111510[[#This Row],['#]]&amp;Inventory_List_Table34111510[[#This Row],[LC]])</f>
        <v xml:space="preserve"> </v>
      </c>
      <c r="G74" s="93"/>
      <c r="H74" s="93"/>
      <c r="I74" s="93"/>
      <c r="J74" s="93"/>
      <c r="K74" s="93"/>
      <c r="L74" s="95"/>
      <c r="M74" s="30" t="str">
        <f>IF(Inventory_List_Table34111510[[#This Row],[Q]]&lt;0.1, " ", Inventory_List_Table34111510[[#This Row],[Q]]*Inventory_List_Table34111510[[#This Row],[PRICE]])</f>
        <v xml:space="preserve"> </v>
      </c>
      <c r="N74" s="35" t="str">
        <f>IF(Inventory_List_Table34111510[[#This Row],[Q]]&lt;0.1, " ", Inventory_List_Table34111510[[#This Row],[KG]]*2.20462)</f>
        <v xml:space="preserve"> </v>
      </c>
      <c r="O74" s="35" t="str">
        <f>IF(Inventory_List_Table34111510[[#This Row],[Q]]&lt;0.1, " ",Inventory_List_Table34111510[[#This Row],[H CM]]/2.54)</f>
        <v xml:space="preserve"> </v>
      </c>
      <c r="P74" s="35" t="str">
        <f>IF(Inventory_List_Table34111510[[#This Row],[Q]]&lt;0.1, " ",Inventory_List_Table34111510[[#This Row],[W CM]]/2.54)</f>
        <v xml:space="preserve"> </v>
      </c>
      <c r="Q74" s="35" t="str">
        <f>IF(Inventory_List_Table34111510[[#This Row],[Q]]&lt;0.1, " ",Inventory_List_Table34111510[[#This Row],[D CM ]]/2.54)</f>
        <v xml:space="preserve"> </v>
      </c>
      <c r="R74" s="30" t="str">
        <f>IF(Inventory_List_Table34111510[[#This Row],[Q]]&lt;0.1, " ",Inventory_List_Table34111510[[#This Row],[PRICE]]/$L$1)</f>
        <v xml:space="preserve"> </v>
      </c>
      <c r="S7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4" s="30" t="str">
        <f>IF(Inventory_List_Table34111510[[#This Row],[Q]]&lt;0.1, " ",Inventory_List_Table34111510[[#This Row],[AQ RND USD]]*1.4)</f>
        <v xml:space="preserve"> </v>
      </c>
      <c r="U7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4" s="30" t="str">
        <f>IF(Inventory_List_Table34111510[[#This Row],[Q]]&lt;0.1, " ",Inventory_List_Table34111510[[#This Row],[LND RND USD]]*12)</f>
        <v xml:space="preserve"> </v>
      </c>
      <c r="W74" s="30" t="str">
        <f>IF(Inventory_List_Table34111510[[#This Row],[Q]]&lt;0.1, " ",Inventory_List_Table34111510[[#This Row],[AQ USD]])</f>
        <v xml:space="preserve"> </v>
      </c>
      <c r="X7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4" s="30" t="str">
        <f>IF(Inventory_List_Table34111510[[#This Row],[Q]]&lt;0.1, " ",Inventory_List_Table34111510[[#This Row],[PRICE]]/Z74*10000)</f>
        <v xml:space="preserve"> </v>
      </c>
      <c r="AB74" s="27"/>
      <c r="AC74" s="1"/>
      <c r="AD74" s="1"/>
    </row>
    <row r="75" spans="1:30" ht="24" customHeight="1" x14ac:dyDescent="0.3">
      <c r="A75" s="547">
        <v>73</v>
      </c>
      <c r="B75" s="1"/>
      <c r="C75" s="558"/>
      <c r="D75" s="558"/>
      <c r="E75" s="558"/>
      <c r="F75" s="38" t="str">
        <f>IF(Inventory_List_Table34111510[[#This Row],[Q]]&lt;0.1, " ",$A$1&amp;$D$1&amp;Inventory_List_Table34111510[[#This Row],['#]]&amp;Inventory_List_Table34111510[[#This Row],[LC]])</f>
        <v xml:space="preserve"> </v>
      </c>
      <c r="G75" s="93"/>
      <c r="H75" s="93"/>
      <c r="I75" s="93"/>
      <c r="J75" s="93"/>
      <c r="K75" s="93"/>
      <c r="L75" s="95"/>
      <c r="M75" s="30" t="str">
        <f>IF(Inventory_List_Table34111510[[#This Row],[Q]]&lt;0.1, " ", Inventory_List_Table34111510[[#This Row],[Q]]*Inventory_List_Table34111510[[#This Row],[PRICE]])</f>
        <v xml:space="preserve"> </v>
      </c>
      <c r="N75" s="35" t="str">
        <f>IF(Inventory_List_Table34111510[[#This Row],[Q]]&lt;0.1, " ", Inventory_List_Table34111510[[#This Row],[KG]]*2.20462)</f>
        <v xml:space="preserve"> </v>
      </c>
      <c r="O75" s="35" t="str">
        <f>IF(Inventory_List_Table34111510[[#This Row],[Q]]&lt;0.1, " ",Inventory_List_Table34111510[[#This Row],[H CM]]/2.54)</f>
        <v xml:space="preserve"> </v>
      </c>
      <c r="P75" s="35" t="str">
        <f>IF(Inventory_List_Table34111510[[#This Row],[Q]]&lt;0.1, " ",Inventory_List_Table34111510[[#This Row],[W CM]]/2.54)</f>
        <v xml:space="preserve"> </v>
      </c>
      <c r="Q75" s="35" t="str">
        <f>IF(Inventory_List_Table34111510[[#This Row],[Q]]&lt;0.1, " ",Inventory_List_Table34111510[[#This Row],[D CM ]]/2.54)</f>
        <v xml:space="preserve"> </v>
      </c>
      <c r="R75" s="30" t="str">
        <f>IF(Inventory_List_Table34111510[[#This Row],[Q]]&lt;0.1, " ",Inventory_List_Table34111510[[#This Row],[PRICE]]/$L$1)</f>
        <v xml:space="preserve"> </v>
      </c>
      <c r="S7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5" s="30" t="str">
        <f>IF(Inventory_List_Table34111510[[#This Row],[Q]]&lt;0.1, " ",Inventory_List_Table34111510[[#This Row],[AQ RND USD]]*1.4)</f>
        <v xml:space="preserve"> </v>
      </c>
      <c r="U7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5" s="30" t="str">
        <f>IF(Inventory_List_Table34111510[[#This Row],[Q]]&lt;0.1, " ",Inventory_List_Table34111510[[#This Row],[LND RND USD]]*12)</f>
        <v xml:space="preserve"> </v>
      </c>
      <c r="W75" s="30" t="str">
        <f>IF(Inventory_List_Table34111510[[#This Row],[Q]]&lt;0.1, " ",Inventory_List_Table34111510[[#This Row],[AQ USD]])</f>
        <v xml:space="preserve"> </v>
      </c>
      <c r="X7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5" s="30" t="str">
        <f>IF(Inventory_List_Table34111510[[#This Row],[Q]]&lt;0.1, " ",Inventory_List_Table34111510[[#This Row],[PRICE]]/Z75*10000)</f>
        <v xml:space="preserve"> </v>
      </c>
      <c r="AB75" s="27"/>
      <c r="AC75" s="1"/>
      <c r="AD75" s="1"/>
    </row>
    <row r="76" spans="1:30" ht="24" customHeight="1" x14ac:dyDescent="0.3">
      <c r="A76" s="547">
        <v>74</v>
      </c>
      <c r="B76" s="1"/>
      <c r="C76" s="558"/>
      <c r="D76" s="558"/>
      <c r="E76" s="558"/>
      <c r="F76" s="38" t="str">
        <f>IF(Inventory_List_Table34111510[[#This Row],[Q]]&lt;0.1, " ",$A$1&amp;$D$1&amp;Inventory_List_Table34111510[[#This Row],['#]]&amp;Inventory_List_Table34111510[[#This Row],[LC]])</f>
        <v xml:space="preserve"> </v>
      </c>
      <c r="G76" s="93"/>
      <c r="H76" s="93"/>
      <c r="I76" s="93"/>
      <c r="J76" s="93"/>
      <c r="K76" s="93"/>
      <c r="L76" s="95"/>
      <c r="M76" s="30" t="str">
        <f>IF(Inventory_List_Table34111510[[#This Row],[Q]]&lt;0.1, " ", Inventory_List_Table34111510[[#This Row],[Q]]*Inventory_List_Table34111510[[#This Row],[PRICE]])</f>
        <v xml:space="preserve"> </v>
      </c>
      <c r="N76" s="35" t="str">
        <f>IF(Inventory_List_Table34111510[[#This Row],[Q]]&lt;0.1, " ", Inventory_List_Table34111510[[#This Row],[KG]]*2.20462)</f>
        <v xml:space="preserve"> </v>
      </c>
      <c r="O76" s="35" t="str">
        <f>IF(Inventory_List_Table34111510[[#This Row],[Q]]&lt;0.1, " ",Inventory_List_Table34111510[[#This Row],[H CM]]/2.54)</f>
        <v xml:space="preserve"> </v>
      </c>
      <c r="P76" s="35" t="str">
        <f>IF(Inventory_List_Table34111510[[#This Row],[Q]]&lt;0.1, " ",Inventory_List_Table34111510[[#This Row],[W CM]]/2.54)</f>
        <v xml:space="preserve"> </v>
      </c>
      <c r="Q76" s="35" t="str">
        <f>IF(Inventory_List_Table34111510[[#This Row],[Q]]&lt;0.1, " ",Inventory_List_Table34111510[[#This Row],[D CM ]]/2.54)</f>
        <v xml:space="preserve"> </v>
      </c>
      <c r="R76" s="30" t="str">
        <f>IF(Inventory_List_Table34111510[[#This Row],[Q]]&lt;0.1, " ",Inventory_List_Table34111510[[#This Row],[PRICE]]/$L$1)</f>
        <v xml:space="preserve"> </v>
      </c>
      <c r="S7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6" s="30" t="str">
        <f>IF(Inventory_List_Table34111510[[#This Row],[Q]]&lt;0.1, " ",Inventory_List_Table34111510[[#This Row],[AQ RND USD]]*1.4)</f>
        <v xml:space="preserve"> </v>
      </c>
      <c r="U7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6" s="30" t="str">
        <f>IF(Inventory_List_Table34111510[[#This Row],[Q]]&lt;0.1, " ",Inventory_List_Table34111510[[#This Row],[LND RND USD]]*12)</f>
        <v xml:space="preserve"> </v>
      </c>
      <c r="W76" s="30" t="str">
        <f>IF(Inventory_List_Table34111510[[#This Row],[Q]]&lt;0.1, " ",Inventory_List_Table34111510[[#This Row],[AQ USD]])</f>
        <v xml:space="preserve"> </v>
      </c>
      <c r="X7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6" s="30" t="str">
        <f>IF(Inventory_List_Table34111510[[#This Row],[Q]]&lt;0.1, " ",Inventory_List_Table34111510[[#This Row],[PRICE]]/Z76*10000)</f>
        <v xml:space="preserve"> </v>
      </c>
      <c r="AB76" s="27"/>
      <c r="AC76" s="1"/>
      <c r="AD76" s="1"/>
    </row>
    <row r="77" spans="1:30" ht="24" customHeight="1" x14ac:dyDescent="0.3">
      <c r="A77" s="547">
        <v>75</v>
      </c>
      <c r="B77" s="1"/>
      <c r="C77" s="558"/>
      <c r="D77" s="558"/>
      <c r="E77" s="558"/>
      <c r="F77" s="38" t="str">
        <f>IF(Inventory_List_Table34111510[[#This Row],[Q]]&lt;0.1, " ",$A$1&amp;$D$1&amp;Inventory_List_Table34111510[[#This Row],['#]]&amp;Inventory_List_Table34111510[[#This Row],[LC]])</f>
        <v xml:space="preserve"> </v>
      </c>
      <c r="G77" s="93"/>
      <c r="H77" s="93"/>
      <c r="I77" s="93"/>
      <c r="J77" s="93"/>
      <c r="K77" s="93"/>
      <c r="L77" s="95"/>
      <c r="M77" s="30" t="str">
        <f>IF(Inventory_List_Table34111510[[#This Row],[Q]]&lt;0.1, " ", Inventory_List_Table34111510[[#This Row],[Q]]*Inventory_List_Table34111510[[#This Row],[PRICE]])</f>
        <v xml:space="preserve"> </v>
      </c>
      <c r="N77" s="35" t="str">
        <f>IF(Inventory_List_Table34111510[[#This Row],[Q]]&lt;0.1, " ", Inventory_List_Table34111510[[#This Row],[KG]]*2.20462)</f>
        <v xml:space="preserve"> </v>
      </c>
      <c r="O77" s="35" t="str">
        <f>IF(Inventory_List_Table34111510[[#This Row],[Q]]&lt;0.1, " ",Inventory_List_Table34111510[[#This Row],[H CM]]/2.54)</f>
        <v xml:space="preserve"> </v>
      </c>
      <c r="P77" s="35" t="str">
        <f>IF(Inventory_List_Table34111510[[#This Row],[Q]]&lt;0.1, " ",Inventory_List_Table34111510[[#This Row],[W CM]]/2.54)</f>
        <v xml:space="preserve"> </v>
      </c>
      <c r="Q77" s="35" t="str">
        <f>IF(Inventory_List_Table34111510[[#This Row],[Q]]&lt;0.1, " ",Inventory_List_Table34111510[[#This Row],[D CM ]]/2.54)</f>
        <v xml:space="preserve"> </v>
      </c>
      <c r="R77" s="30" t="str">
        <f>IF(Inventory_List_Table34111510[[#This Row],[Q]]&lt;0.1, " ",Inventory_List_Table34111510[[#This Row],[PRICE]]/$L$1)</f>
        <v xml:space="preserve"> </v>
      </c>
      <c r="S7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7" s="30" t="str">
        <f>IF(Inventory_List_Table34111510[[#This Row],[Q]]&lt;0.1, " ",Inventory_List_Table34111510[[#This Row],[AQ RND USD]]*1.4)</f>
        <v xml:space="preserve"> </v>
      </c>
      <c r="U7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7" s="30" t="str">
        <f>IF(Inventory_List_Table34111510[[#This Row],[Q]]&lt;0.1, " ",Inventory_List_Table34111510[[#This Row],[LND RND USD]]*12)</f>
        <v xml:space="preserve"> </v>
      </c>
      <c r="W77" s="30" t="str">
        <f>IF(Inventory_List_Table34111510[[#This Row],[Q]]&lt;0.1, " ",Inventory_List_Table34111510[[#This Row],[AQ USD]])</f>
        <v xml:space="preserve"> </v>
      </c>
      <c r="X7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7" s="30" t="str">
        <f>IF(Inventory_List_Table34111510[[#This Row],[Q]]&lt;0.1, " ",Inventory_List_Table34111510[[#This Row],[PRICE]]/Z77*10000)</f>
        <v xml:space="preserve"> </v>
      </c>
      <c r="AB77" s="27"/>
      <c r="AC77" s="1"/>
      <c r="AD77" s="1"/>
    </row>
    <row r="78" spans="1:30" ht="24" customHeight="1" x14ac:dyDescent="0.3">
      <c r="A78" s="547">
        <v>76</v>
      </c>
      <c r="B78" s="1"/>
      <c r="C78" s="558"/>
      <c r="D78" s="558"/>
      <c r="E78" s="558"/>
      <c r="F78" s="38" t="str">
        <f>IF(Inventory_List_Table34111510[[#This Row],[Q]]&lt;0.1, " ",$A$1&amp;$D$1&amp;Inventory_List_Table34111510[[#This Row],['#]]&amp;Inventory_List_Table34111510[[#This Row],[LC]])</f>
        <v xml:space="preserve"> </v>
      </c>
      <c r="G78" s="93"/>
      <c r="H78" s="93"/>
      <c r="I78" s="93"/>
      <c r="J78" s="93"/>
      <c r="K78" s="93"/>
      <c r="L78" s="95"/>
      <c r="M78" s="30" t="str">
        <f>IF(Inventory_List_Table34111510[[#This Row],[Q]]&lt;0.1, " ", Inventory_List_Table34111510[[#This Row],[Q]]*Inventory_List_Table34111510[[#This Row],[PRICE]])</f>
        <v xml:space="preserve"> </v>
      </c>
      <c r="N78" s="35" t="str">
        <f>IF(Inventory_List_Table34111510[[#This Row],[Q]]&lt;0.1, " ", Inventory_List_Table34111510[[#This Row],[KG]]*2.20462)</f>
        <v xml:space="preserve"> </v>
      </c>
      <c r="O78" s="35" t="str">
        <f>IF(Inventory_List_Table34111510[[#This Row],[Q]]&lt;0.1, " ",Inventory_List_Table34111510[[#This Row],[H CM]]/2.54)</f>
        <v xml:space="preserve"> </v>
      </c>
      <c r="P78" s="35" t="str">
        <f>IF(Inventory_List_Table34111510[[#This Row],[Q]]&lt;0.1, " ",Inventory_List_Table34111510[[#This Row],[W CM]]/2.54)</f>
        <v xml:space="preserve"> </v>
      </c>
      <c r="Q78" s="35" t="str">
        <f>IF(Inventory_List_Table34111510[[#This Row],[Q]]&lt;0.1, " ",Inventory_List_Table34111510[[#This Row],[D CM ]]/2.54)</f>
        <v xml:space="preserve"> </v>
      </c>
      <c r="R78" s="30" t="str">
        <f>IF(Inventory_List_Table34111510[[#This Row],[Q]]&lt;0.1, " ",Inventory_List_Table34111510[[#This Row],[PRICE]]/$L$1)</f>
        <v xml:space="preserve"> </v>
      </c>
      <c r="S7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8" s="30" t="str">
        <f>IF(Inventory_List_Table34111510[[#This Row],[Q]]&lt;0.1, " ",Inventory_List_Table34111510[[#This Row],[AQ RND USD]]*1.4)</f>
        <v xml:space="preserve"> </v>
      </c>
      <c r="U7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8" s="30" t="str">
        <f>IF(Inventory_List_Table34111510[[#This Row],[Q]]&lt;0.1, " ",Inventory_List_Table34111510[[#This Row],[LND RND USD]]*12)</f>
        <v xml:space="preserve"> </v>
      </c>
      <c r="W78" s="30" t="str">
        <f>IF(Inventory_List_Table34111510[[#This Row],[Q]]&lt;0.1, " ",Inventory_List_Table34111510[[#This Row],[AQ USD]])</f>
        <v xml:space="preserve"> </v>
      </c>
      <c r="X7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8" s="30" t="str">
        <f>IF(Inventory_List_Table34111510[[#This Row],[Q]]&lt;0.1, " ",Inventory_List_Table34111510[[#This Row],[PRICE]]/Z78*10000)</f>
        <v xml:space="preserve"> </v>
      </c>
      <c r="AB78" s="27"/>
      <c r="AC78" s="1"/>
      <c r="AD78" s="1"/>
    </row>
    <row r="79" spans="1:30" ht="24" customHeight="1" x14ac:dyDescent="0.3">
      <c r="A79" s="547">
        <v>77</v>
      </c>
      <c r="B79" s="1"/>
      <c r="C79" s="558"/>
      <c r="D79" s="558"/>
      <c r="E79" s="558"/>
      <c r="F79" s="38" t="str">
        <f>IF(Inventory_List_Table34111510[[#This Row],[Q]]&lt;0.1, " ",$A$1&amp;$D$1&amp;Inventory_List_Table34111510[[#This Row],['#]]&amp;Inventory_List_Table34111510[[#This Row],[LC]])</f>
        <v xml:space="preserve"> </v>
      </c>
      <c r="G79" s="93"/>
      <c r="H79" s="93"/>
      <c r="I79" s="93"/>
      <c r="J79" s="93"/>
      <c r="K79" s="93"/>
      <c r="L79" s="95"/>
      <c r="M79" s="30" t="str">
        <f>IF(Inventory_List_Table34111510[[#This Row],[Q]]&lt;0.1, " ", Inventory_List_Table34111510[[#This Row],[Q]]*Inventory_List_Table34111510[[#This Row],[PRICE]])</f>
        <v xml:space="preserve"> </v>
      </c>
      <c r="N79" s="35" t="str">
        <f>IF(Inventory_List_Table34111510[[#This Row],[Q]]&lt;0.1, " ", Inventory_List_Table34111510[[#This Row],[KG]]*2.20462)</f>
        <v xml:space="preserve"> </v>
      </c>
      <c r="O79" s="35" t="str">
        <f>IF(Inventory_List_Table34111510[[#This Row],[Q]]&lt;0.1, " ",Inventory_List_Table34111510[[#This Row],[H CM]]/2.54)</f>
        <v xml:space="preserve"> </v>
      </c>
      <c r="P79" s="35" t="str">
        <f>IF(Inventory_List_Table34111510[[#This Row],[Q]]&lt;0.1, " ",Inventory_List_Table34111510[[#This Row],[W CM]]/2.54)</f>
        <v xml:space="preserve"> </v>
      </c>
      <c r="Q79" s="35" t="str">
        <f>IF(Inventory_List_Table34111510[[#This Row],[Q]]&lt;0.1, " ",Inventory_List_Table34111510[[#This Row],[D CM ]]/2.54)</f>
        <v xml:space="preserve"> </v>
      </c>
      <c r="R79" s="30" t="str">
        <f>IF(Inventory_List_Table34111510[[#This Row],[Q]]&lt;0.1, " ",Inventory_List_Table34111510[[#This Row],[PRICE]]/$L$1)</f>
        <v xml:space="preserve"> </v>
      </c>
      <c r="S7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79" s="30" t="str">
        <f>IF(Inventory_List_Table34111510[[#This Row],[Q]]&lt;0.1, " ",Inventory_List_Table34111510[[#This Row],[AQ RND USD]]*1.4)</f>
        <v xml:space="preserve"> </v>
      </c>
      <c r="U7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79" s="30" t="str">
        <f>IF(Inventory_List_Table34111510[[#This Row],[Q]]&lt;0.1, " ",Inventory_List_Table34111510[[#This Row],[LND RND USD]]*12)</f>
        <v xml:space="preserve"> </v>
      </c>
      <c r="W79" s="30" t="str">
        <f>IF(Inventory_List_Table34111510[[#This Row],[Q]]&lt;0.1, " ",Inventory_List_Table34111510[[#This Row],[AQ USD]])</f>
        <v xml:space="preserve"> </v>
      </c>
      <c r="X7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7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7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79" s="30" t="str">
        <f>IF(Inventory_List_Table34111510[[#This Row],[Q]]&lt;0.1, " ",Inventory_List_Table34111510[[#This Row],[PRICE]]/Z79*10000)</f>
        <v xml:space="preserve"> </v>
      </c>
      <c r="AB79" s="27"/>
      <c r="AC79" s="1"/>
      <c r="AD79" s="1"/>
    </row>
    <row r="80" spans="1:30" ht="24" customHeight="1" x14ac:dyDescent="0.3">
      <c r="A80" s="547">
        <v>78</v>
      </c>
      <c r="B80" s="1"/>
      <c r="C80" s="558"/>
      <c r="D80" s="558"/>
      <c r="E80" s="558"/>
      <c r="F80" s="38" t="str">
        <f>IF(Inventory_List_Table34111510[[#This Row],[Q]]&lt;0.1, " ",$A$1&amp;$D$1&amp;Inventory_List_Table34111510[[#This Row],['#]]&amp;Inventory_List_Table34111510[[#This Row],[LC]])</f>
        <v xml:space="preserve"> </v>
      </c>
      <c r="G80" s="93"/>
      <c r="H80" s="93"/>
      <c r="I80" s="93"/>
      <c r="J80" s="93"/>
      <c r="K80" s="93"/>
      <c r="L80" s="95"/>
      <c r="M80" s="30" t="str">
        <f>IF(Inventory_List_Table34111510[[#This Row],[Q]]&lt;0.1, " ", Inventory_List_Table34111510[[#This Row],[Q]]*Inventory_List_Table34111510[[#This Row],[PRICE]])</f>
        <v xml:space="preserve"> </v>
      </c>
      <c r="N80" s="35" t="str">
        <f>IF(Inventory_List_Table34111510[[#This Row],[Q]]&lt;0.1, " ", Inventory_List_Table34111510[[#This Row],[KG]]*2.20462)</f>
        <v xml:space="preserve"> </v>
      </c>
      <c r="O80" s="35" t="str">
        <f>IF(Inventory_List_Table34111510[[#This Row],[Q]]&lt;0.1, " ",Inventory_List_Table34111510[[#This Row],[H CM]]/2.54)</f>
        <v xml:space="preserve"> </v>
      </c>
      <c r="P80" s="35" t="str">
        <f>IF(Inventory_List_Table34111510[[#This Row],[Q]]&lt;0.1, " ",Inventory_List_Table34111510[[#This Row],[W CM]]/2.54)</f>
        <v xml:space="preserve"> </v>
      </c>
      <c r="Q80" s="35" t="str">
        <f>IF(Inventory_List_Table34111510[[#This Row],[Q]]&lt;0.1, " ",Inventory_List_Table34111510[[#This Row],[D CM ]]/2.54)</f>
        <v xml:space="preserve"> </v>
      </c>
      <c r="R80" s="30" t="str">
        <f>IF(Inventory_List_Table34111510[[#This Row],[Q]]&lt;0.1, " ",Inventory_List_Table34111510[[#This Row],[PRICE]]/$L$1)</f>
        <v xml:space="preserve"> </v>
      </c>
      <c r="S8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0" s="30" t="str">
        <f>IF(Inventory_List_Table34111510[[#This Row],[Q]]&lt;0.1, " ",Inventory_List_Table34111510[[#This Row],[AQ RND USD]]*1.4)</f>
        <v xml:space="preserve"> </v>
      </c>
      <c r="U8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0" s="30" t="str">
        <f>IF(Inventory_List_Table34111510[[#This Row],[Q]]&lt;0.1, " ",Inventory_List_Table34111510[[#This Row],[LND RND USD]]*12)</f>
        <v xml:space="preserve"> </v>
      </c>
      <c r="W80" s="30" t="str">
        <f>IF(Inventory_List_Table34111510[[#This Row],[Q]]&lt;0.1, " ",Inventory_List_Table34111510[[#This Row],[AQ USD]])</f>
        <v xml:space="preserve"> </v>
      </c>
      <c r="X8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0" s="30" t="str">
        <f>IF(Inventory_List_Table34111510[[#This Row],[Q]]&lt;0.1, " ",Inventory_List_Table34111510[[#This Row],[PRICE]]/Z80*10000)</f>
        <v xml:space="preserve"> </v>
      </c>
      <c r="AB80" s="27"/>
      <c r="AC80" s="1"/>
      <c r="AD80" s="1"/>
    </row>
    <row r="81" spans="1:30" ht="24" customHeight="1" x14ac:dyDescent="0.3">
      <c r="A81" s="547">
        <v>79</v>
      </c>
      <c r="B81" s="1"/>
      <c r="C81" s="558"/>
      <c r="D81" s="558"/>
      <c r="E81" s="558"/>
      <c r="F81" s="38" t="str">
        <f>IF(Inventory_List_Table34111510[[#This Row],[Q]]&lt;0.1, " ",$A$1&amp;$D$1&amp;Inventory_List_Table34111510[[#This Row],['#]]&amp;Inventory_List_Table34111510[[#This Row],[LC]])</f>
        <v xml:space="preserve"> </v>
      </c>
      <c r="G81" s="93"/>
      <c r="H81" s="93"/>
      <c r="I81" s="93"/>
      <c r="J81" s="93"/>
      <c r="K81" s="93"/>
      <c r="L81" s="95"/>
      <c r="M81" s="30" t="str">
        <f>IF(Inventory_List_Table34111510[[#This Row],[Q]]&lt;0.1, " ", Inventory_List_Table34111510[[#This Row],[Q]]*Inventory_List_Table34111510[[#This Row],[PRICE]])</f>
        <v xml:space="preserve"> </v>
      </c>
      <c r="N81" s="35" t="str">
        <f>IF(Inventory_List_Table34111510[[#This Row],[Q]]&lt;0.1, " ", Inventory_List_Table34111510[[#This Row],[KG]]*2.20462)</f>
        <v xml:space="preserve"> </v>
      </c>
      <c r="O81" s="35" t="str">
        <f>IF(Inventory_List_Table34111510[[#This Row],[Q]]&lt;0.1, " ",Inventory_List_Table34111510[[#This Row],[H CM]]/2.54)</f>
        <v xml:space="preserve"> </v>
      </c>
      <c r="P81" s="35" t="str">
        <f>IF(Inventory_List_Table34111510[[#This Row],[Q]]&lt;0.1, " ",Inventory_List_Table34111510[[#This Row],[W CM]]/2.54)</f>
        <v xml:space="preserve"> </v>
      </c>
      <c r="Q81" s="35" t="str">
        <f>IF(Inventory_List_Table34111510[[#This Row],[Q]]&lt;0.1, " ",Inventory_List_Table34111510[[#This Row],[D CM ]]/2.54)</f>
        <v xml:space="preserve"> </v>
      </c>
      <c r="R81" s="30" t="str">
        <f>IF(Inventory_List_Table34111510[[#This Row],[Q]]&lt;0.1, " ",Inventory_List_Table34111510[[#This Row],[PRICE]]/$L$1)</f>
        <v xml:space="preserve"> </v>
      </c>
      <c r="S8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1" s="30" t="str">
        <f>IF(Inventory_List_Table34111510[[#This Row],[Q]]&lt;0.1, " ",Inventory_List_Table34111510[[#This Row],[AQ RND USD]]*1.4)</f>
        <v xml:space="preserve"> </v>
      </c>
      <c r="U8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1" s="30" t="str">
        <f>IF(Inventory_List_Table34111510[[#This Row],[Q]]&lt;0.1, " ",Inventory_List_Table34111510[[#This Row],[LND RND USD]]*12)</f>
        <v xml:space="preserve"> </v>
      </c>
      <c r="W81" s="30" t="str">
        <f>IF(Inventory_List_Table34111510[[#This Row],[Q]]&lt;0.1, " ",Inventory_List_Table34111510[[#This Row],[AQ USD]])</f>
        <v xml:space="preserve"> </v>
      </c>
      <c r="X8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1" s="30" t="str">
        <f>IF(Inventory_List_Table34111510[[#This Row],[Q]]&lt;0.1, " ",Inventory_List_Table34111510[[#This Row],[PRICE]]/Z81*10000)</f>
        <v xml:space="preserve"> </v>
      </c>
      <c r="AB81" s="27"/>
      <c r="AC81" s="1"/>
      <c r="AD81" s="1"/>
    </row>
    <row r="82" spans="1:30" ht="24" customHeight="1" x14ac:dyDescent="0.3">
      <c r="A82" s="547">
        <v>80</v>
      </c>
      <c r="B82" s="1"/>
      <c r="C82" s="558"/>
      <c r="D82" s="558"/>
      <c r="E82" s="558"/>
      <c r="F82" s="38" t="str">
        <f>IF(Inventory_List_Table34111510[[#This Row],[Q]]&lt;0.1, " ",$A$1&amp;$D$1&amp;Inventory_List_Table34111510[[#This Row],['#]]&amp;Inventory_List_Table34111510[[#This Row],[LC]])</f>
        <v xml:space="preserve"> </v>
      </c>
      <c r="G82" s="93"/>
      <c r="H82" s="93"/>
      <c r="I82" s="93"/>
      <c r="J82" s="93"/>
      <c r="K82" s="93"/>
      <c r="L82" s="95"/>
      <c r="M82" s="30" t="str">
        <f>IF(Inventory_List_Table34111510[[#This Row],[Q]]&lt;0.1, " ", Inventory_List_Table34111510[[#This Row],[Q]]*Inventory_List_Table34111510[[#This Row],[PRICE]])</f>
        <v xml:space="preserve"> </v>
      </c>
      <c r="N82" s="35" t="str">
        <f>IF(Inventory_List_Table34111510[[#This Row],[Q]]&lt;0.1, " ", Inventory_List_Table34111510[[#This Row],[KG]]*2.20462)</f>
        <v xml:space="preserve"> </v>
      </c>
      <c r="O82" s="35" t="str">
        <f>IF(Inventory_List_Table34111510[[#This Row],[Q]]&lt;0.1, " ",Inventory_List_Table34111510[[#This Row],[H CM]]/2.54)</f>
        <v xml:space="preserve"> </v>
      </c>
      <c r="P82" s="35" t="str">
        <f>IF(Inventory_List_Table34111510[[#This Row],[Q]]&lt;0.1, " ",Inventory_List_Table34111510[[#This Row],[W CM]]/2.54)</f>
        <v xml:space="preserve"> </v>
      </c>
      <c r="Q82" s="35" t="str">
        <f>IF(Inventory_List_Table34111510[[#This Row],[Q]]&lt;0.1, " ",Inventory_List_Table34111510[[#This Row],[D CM ]]/2.54)</f>
        <v xml:space="preserve"> </v>
      </c>
      <c r="R82" s="30" t="str">
        <f>IF(Inventory_List_Table34111510[[#This Row],[Q]]&lt;0.1, " ",Inventory_List_Table34111510[[#This Row],[PRICE]]/$L$1)</f>
        <v xml:space="preserve"> </v>
      </c>
      <c r="S8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2" s="30" t="str">
        <f>IF(Inventory_List_Table34111510[[#This Row],[Q]]&lt;0.1, " ",Inventory_List_Table34111510[[#This Row],[AQ RND USD]]*1.4)</f>
        <v xml:space="preserve"> </v>
      </c>
      <c r="U8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2" s="30" t="str">
        <f>IF(Inventory_List_Table34111510[[#This Row],[Q]]&lt;0.1, " ",Inventory_List_Table34111510[[#This Row],[LND RND USD]]*12)</f>
        <v xml:space="preserve"> </v>
      </c>
      <c r="W82" s="30" t="str">
        <f>IF(Inventory_List_Table34111510[[#This Row],[Q]]&lt;0.1, " ",Inventory_List_Table34111510[[#This Row],[AQ USD]])</f>
        <v xml:space="preserve"> </v>
      </c>
      <c r="X8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2" s="30" t="str">
        <f>IF(Inventory_List_Table34111510[[#This Row],[Q]]&lt;0.1, " ",Inventory_List_Table34111510[[#This Row],[PRICE]]/Z82*10000)</f>
        <v xml:space="preserve"> </v>
      </c>
      <c r="AB82" s="27"/>
      <c r="AC82" s="1"/>
      <c r="AD82" s="1"/>
    </row>
    <row r="83" spans="1:30" ht="24" customHeight="1" x14ac:dyDescent="0.3">
      <c r="A83" s="547">
        <v>81</v>
      </c>
      <c r="B83" s="1"/>
      <c r="C83" s="558"/>
      <c r="D83" s="558"/>
      <c r="E83" s="558"/>
      <c r="F83" s="38" t="str">
        <f>IF(Inventory_List_Table34111510[[#This Row],[Q]]&lt;0.1, " ",$A$1&amp;$D$1&amp;Inventory_List_Table34111510[[#This Row],['#]]&amp;Inventory_List_Table34111510[[#This Row],[LC]])</f>
        <v xml:space="preserve"> </v>
      </c>
      <c r="G83" s="93"/>
      <c r="H83" s="93"/>
      <c r="I83" s="93"/>
      <c r="J83" s="93"/>
      <c r="K83" s="93"/>
      <c r="L83" s="95"/>
      <c r="M83" s="30" t="str">
        <f>IF(Inventory_List_Table34111510[[#This Row],[Q]]&lt;0.1, " ", Inventory_List_Table34111510[[#This Row],[Q]]*Inventory_List_Table34111510[[#This Row],[PRICE]])</f>
        <v xml:space="preserve"> </v>
      </c>
      <c r="N83" s="35" t="str">
        <f>IF(Inventory_List_Table34111510[[#This Row],[Q]]&lt;0.1, " ", Inventory_List_Table34111510[[#This Row],[KG]]*2.20462)</f>
        <v xml:space="preserve"> </v>
      </c>
      <c r="O83" s="35" t="str">
        <f>IF(Inventory_List_Table34111510[[#This Row],[Q]]&lt;0.1, " ",Inventory_List_Table34111510[[#This Row],[H CM]]/2.54)</f>
        <v xml:space="preserve"> </v>
      </c>
      <c r="P83" s="35" t="str">
        <f>IF(Inventory_List_Table34111510[[#This Row],[Q]]&lt;0.1, " ",Inventory_List_Table34111510[[#This Row],[W CM]]/2.54)</f>
        <v xml:space="preserve"> </v>
      </c>
      <c r="Q83" s="35" t="str">
        <f>IF(Inventory_List_Table34111510[[#This Row],[Q]]&lt;0.1, " ",Inventory_List_Table34111510[[#This Row],[D CM ]]/2.54)</f>
        <v xml:space="preserve"> </v>
      </c>
      <c r="R83" s="30" t="str">
        <f>IF(Inventory_List_Table34111510[[#This Row],[Q]]&lt;0.1, " ",Inventory_List_Table34111510[[#This Row],[PRICE]]/$L$1)</f>
        <v xml:space="preserve"> </v>
      </c>
      <c r="S8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3" s="30" t="str">
        <f>IF(Inventory_List_Table34111510[[#This Row],[Q]]&lt;0.1, " ",Inventory_List_Table34111510[[#This Row],[AQ RND USD]]*1.4)</f>
        <v xml:space="preserve"> </v>
      </c>
      <c r="U8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3" s="30" t="str">
        <f>IF(Inventory_List_Table34111510[[#This Row],[Q]]&lt;0.1, " ",Inventory_List_Table34111510[[#This Row],[LND RND USD]]*12)</f>
        <v xml:space="preserve"> </v>
      </c>
      <c r="W83" s="30" t="str">
        <f>IF(Inventory_List_Table34111510[[#This Row],[Q]]&lt;0.1, " ",Inventory_List_Table34111510[[#This Row],[AQ USD]])</f>
        <v xml:space="preserve"> </v>
      </c>
      <c r="X8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3" s="30" t="str">
        <f>IF(Inventory_List_Table34111510[[#This Row],[Q]]&lt;0.1, " ",Inventory_List_Table34111510[[#This Row],[PRICE]]/Z83*10000)</f>
        <v xml:space="preserve"> </v>
      </c>
      <c r="AB83" s="27"/>
      <c r="AC83" s="1"/>
      <c r="AD83" s="1"/>
    </row>
    <row r="84" spans="1:30" ht="24" customHeight="1" x14ac:dyDescent="0.3">
      <c r="A84" s="547">
        <v>82</v>
      </c>
      <c r="B84" s="1"/>
      <c r="C84" s="558"/>
      <c r="D84" s="558"/>
      <c r="E84" s="558"/>
      <c r="F84" s="38" t="str">
        <f>IF(Inventory_List_Table34111510[[#This Row],[Q]]&lt;0.1, " ",$A$1&amp;$D$1&amp;Inventory_List_Table34111510[[#This Row],['#]]&amp;Inventory_List_Table34111510[[#This Row],[LC]])</f>
        <v xml:space="preserve"> </v>
      </c>
      <c r="G84" s="93"/>
      <c r="H84" s="93"/>
      <c r="I84" s="93"/>
      <c r="J84" s="93"/>
      <c r="K84" s="93"/>
      <c r="L84" s="95"/>
      <c r="M84" s="30" t="str">
        <f>IF(Inventory_List_Table34111510[[#This Row],[Q]]&lt;0.1, " ", Inventory_List_Table34111510[[#This Row],[Q]]*Inventory_List_Table34111510[[#This Row],[PRICE]])</f>
        <v xml:space="preserve"> </v>
      </c>
      <c r="N84" s="35" t="str">
        <f>IF(Inventory_List_Table34111510[[#This Row],[Q]]&lt;0.1, " ", Inventory_List_Table34111510[[#This Row],[KG]]*2.20462)</f>
        <v xml:space="preserve"> </v>
      </c>
      <c r="O84" s="35" t="str">
        <f>IF(Inventory_List_Table34111510[[#This Row],[Q]]&lt;0.1, " ",Inventory_List_Table34111510[[#This Row],[H CM]]/2.54)</f>
        <v xml:space="preserve"> </v>
      </c>
      <c r="P84" s="35" t="str">
        <f>IF(Inventory_List_Table34111510[[#This Row],[Q]]&lt;0.1, " ",Inventory_List_Table34111510[[#This Row],[W CM]]/2.54)</f>
        <v xml:space="preserve"> </v>
      </c>
      <c r="Q84" s="35" t="str">
        <f>IF(Inventory_List_Table34111510[[#This Row],[Q]]&lt;0.1, " ",Inventory_List_Table34111510[[#This Row],[D CM ]]/2.54)</f>
        <v xml:space="preserve"> </v>
      </c>
      <c r="R84" s="30" t="str">
        <f>IF(Inventory_List_Table34111510[[#This Row],[Q]]&lt;0.1, " ",Inventory_List_Table34111510[[#This Row],[PRICE]]/$L$1)</f>
        <v xml:space="preserve"> </v>
      </c>
      <c r="S8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4" s="30" t="str">
        <f>IF(Inventory_List_Table34111510[[#This Row],[Q]]&lt;0.1, " ",Inventory_List_Table34111510[[#This Row],[AQ RND USD]]*1.4)</f>
        <v xml:space="preserve"> </v>
      </c>
      <c r="U8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4" s="30" t="str">
        <f>IF(Inventory_List_Table34111510[[#This Row],[Q]]&lt;0.1, " ",Inventory_List_Table34111510[[#This Row],[LND RND USD]]*12)</f>
        <v xml:space="preserve"> </v>
      </c>
      <c r="W84" s="30" t="str">
        <f>IF(Inventory_List_Table34111510[[#This Row],[Q]]&lt;0.1, " ",Inventory_List_Table34111510[[#This Row],[AQ USD]])</f>
        <v xml:space="preserve"> </v>
      </c>
      <c r="X8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4" s="30" t="str">
        <f>IF(Inventory_List_Table34111510[[#This Row],[Q]]&lt;0.1, " ",Inventory_List_Table34111510[[#This Row],[PRICE]]/Z84*10000)</f>
        <v xml:space="preserve"> </v>
      </c>
      <c r="AB84" s="27"/>
      <c r="AC84" s="1"/>
      <c r="AD84" s="1"/>
    </row>
    <row r="85" spans="1:30" ht="24" customHeight="1" x14ac:dyDescent="0.3">
      <c r="A85" s="547">
        <v>83</v>
      </c>
      <c r="B85" s="1"/>
      <c r="C85" s="558"/>
      <c r="D85" s="558"/>
      <c r="E85" s="558"/>
      <c r="F85" s="38" t="str">
        <f>IF(Inventory_List_Table34111510[[#This Row],[Q]]&lt;0.1, " ",$A$1&amp;$D$1&amp;Inventory_List_Table34111510[[#This Row],['#]]&amp;Inventory_List_Table34111510[[#This Row],[LC]])</f>
        <v xml:space="preserve"> </v>
      </c>
      <c r="G85" s="93"/>
      <c r="H85" s="93"/>
      <c r="I85" s="93"/>
      <c r="J85" s="93"/>
      <c r="K85" s="93"/>
      <c r="L85" s="95"/>
      <c r="M85" s="30" t="str">
        <f>IF(Inventory_List_Table34111510[[#This Row],[Q]]&lt;0.1, " ", Inventory_List_Table34111510[[#This Row],[Q]]*Inventory_List_Table34111510[[#This Row],[PRICE]])</f>
        <v xml:space="preserve"> </v>
      </c>
      <c r="N85" s="35" t="str">
        <f>IF(Inventory_List_Table34111510[[#This Row],[Q]]&lt;0.1, " ", Inventory_List_Table34111510[[#This Row],[KG]]*2.20462)</f>
        <v xml:space="preserve"> </v>
      </c>
      <c r="O85" s="35" t="str">
        <f>IF(Inventory_List_Table34111510[[#This Row],[Q]]&lt;0.1, " ",Inventory_List_Table34111510[[#This Row],[H CM]]/2.54)</f>
        <v xml:space="preserve"> </v>
      </c>
      <c r="P85" s="35" t="str">
        <f>IF(Inventory_List_Table34111510[[#This Row],[Q]]&lt;0.1, " ",Inventory_List_Table34111510[[#This Row],[W CM]]/2.54)</f>
        <v xml:space="preserve"> </v>
      </c>
      <c r="Q85" s="35" t="str">
        <f>IF(Inventory_List_Table34111510[[#This Row],[Q]]&lt;0.1, " ",Inventory_List_Table34111510[[#This Row],[D CM ]]/2.54)</f>
        <v xml:space="preserve"> </v>
      </c>
      <c r="R85" s="30" t="str">
        <f>IF(Inventory_List_Table34111510[[#This Row],[Q]]&lt;0.1, " ",Inventory_List_Table34111510[[#This Row],[PRICE]]/$L$1)</f>
        <v xml:space="preserve"> </v>
      </c>
      <c r="S8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5" s="30" t="str">
        <f>IF(Inventory_List_Table34111510[[#This Row],[Q]]&lt;0.1, " ",Inventory_List_Table34111510[[#This Row],[AQ RND USD]]*1.4)</f>
        <v xml:space="preserve"> </v>
      </c>
      <c r="U8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5" s="30" t="str">
        <f>IF(Inventory_List_Table34111510[[#This Row],[Q]]&lt;0.1, " ",Inventory_List_Table34111510[[#This Row],[LND RND USD]]*12)</f>
        <v xml:space="preserve"> </v>
      </c>
      <c r="W85" s="30" t="str">
        <f>IF(Inventory_List_Table34111510[[#This Row],[Q]]&lt;0.1, " ",Inventory_List_Table34111510[[#This Row],[AQ USD]])</f>
        <v xml:space="preserve"> </v>
      </c>
      <c r="X8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5" s="30" t="str">
        <f>IF(Inventory_List_Table34111510[[#This Row],[Q]]&lt;0.1, " ",Inventory_List_Table34111510[[#This Row],[PRICE]]/Z85*10000)</f>
        <v xml:space="preserve"> </v>
      </c>
      <c r="AB85" s="27"/>
      <c r="AC85" s="1"/>
      <c r="AD85" s="1"/>
    </row>
    <row r="86" spans="1:30" ht="24" customHeight="1" x14ac:dyDescent="0.3">
      <c r="A86" s="547">
        <v>84</v>
      </c>
      <c r="B86" s="1"/>
      <c r="C86" s="558"/>
      <c r="D86" s="558"/>
      <c r="E86" s="558"/>
      <c r="F86" s="38" t="str">
        <f>IF(Inventory_List_Table34111510[[#This Row],[Q]]&lt;0.1, " ",$A$1&amp;$D$1&amp;Inventory_List_Table34111510[[#This Row],['#]]&amp;Inventory_List_Table34111510[[#This Row],[LC]])</f>
        <v xml:space="preserve"> </v>
      </c>
      <c r="G86" s="93"/>
      <c r="H86" s="93"/>
      <c r="I86" s="93"/>
      <c r="J86" s="93"/>
      <c r="K86" s="93"/>
      <c r="L86" s="95"/>
      <c r="M86" s="30" t="str">
        <f>IF(Inventory_List_Table34111510[[#This Row],[Q]]&lt;0.1, " ", Inventory_List_Table34111510[[#This Row],[Q]]*Inventory_List_Table34111510[[#This Row],[PRICE]])</f>
        <v xml:space="preserve"> </v>
      </c>
      <c r="N86" s="35" t="str">
        <f>IF(Inventory_List_Table34111510[[#This Row],[Q]]&lt;0.1, " ", Inventory_List_Table34111510[[#This Row],[KG]]*2.20462)</f>
        <v xml:space="preserve"> </v>
      </c>
      <c r="O86" s="35" t="str">
        <f>IF(Inventory_List_Table34111510[[#This Row],[Q]]&lt;0.1, " ",Inventory_List_Table34111510[[#This Row],[H CM]]/2.54)</f>
        <v xml:space="preserve"> </v>
      </c>
      <c r="P86" s="35" t="str">
        <f>IF(Inventory_List_Table34111510[[#This Row],[Q]]&lt;0.1, " ",Inventory_List_Table34111510[[#This Row],[W CM]]/2.54)</f>
        <v xml:space="preserve"> </v>
      </c>
      <c r="Q86" s="35" t="str">
        <f>IF(Inventory_List_Table34111510[[#This Row],[Q]]&lt;0.1, " ",Inventory_List_Table34111510[[#This Row],[D CM ]]/2.54)</f>
        <v xml:space="preserve"> </v>
      </c>
      <c r="R86" s="30" t="str">
        <f>IF(Inventory_List_Table34111510[[#This Row],[Q]]&lt;0.1, " ",Inventory_List_Table34111510[[#This Row],[PRICE]]/$L$1)</f>
        <v xml:space="preserve"> </v>
      </c>
      <c r="S8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6" s="30" t="str">
        <f>IF(Inventory_List_Table34111510[[#This Row],[Q]]&lt;0.1, " ",Inventory_List_Table34111510[[#This Row],[AQ RND USD]]*1.4)</f>
        <v xml:space="preserve"> </v>
      </c>
      <c r="U8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6" s="30" t="str">
        <f>IF(Inventory_List_Table34111510[[#This Row],[Q]]&lt;0.1, " ",Inventory_List_Table34111510[[#This Row],[LND RND USD]]*12)</f>
        <v xml:space="preserve"> </v>
      </c>
      <c r="W86" s="30" t="str">
        <f>IF(Inventory_List_Table34111510[[#This Row],[Q]]&lt;0.1, " ",Inventory_List_Table34111510[[#This Row],[AQ USD]])</f>
        <v xml:space="preserve"> </v>
      </c>
      <c r="X8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6" s="30" t="str">
        <f>IF(Inventory_List_Table34111510[[#This Row],[Q]]&lt;0.1, " ",Inventory_List_Table34111510[[#This Row],[PRICE]]/Z86*10000)</f>
        <v xml:space="preserve"> </v>
      </c>
      <c r="AB86" s="27"/>
      <c r="AC86" s="1"/>
      <c r="AD86" s="1"/>
    </row>
    <row r="87" spans="1:30" ht="24" customHeight="1" x14ac:dyDescent="0.3">
      <c r="A87" s="547">
        <v>85</v>
      </c>
      <c r="B87" s="1"/>
      <c r="C87" s="558"/>
      <c r="D87" s="558"/>
      <c r="E87" s="558"/>
      <c r="F87" s="38" t="str">
        <f>IF(Inventory_List_Table34111510[[#This Row],[Q]]&lt;0.1, " ",$A$1&amp;$D$1&amp;Inventory_List_Table34111510[[#This Row],['#]]&amp;Inventory_List_Table34111510[[#This Row],[LC]])</f>
        <v xml:space="preserve"> </v>
      </c>
      <c r="G87" s="93"/>
      <c r="H87" s="93"/>
      <c r="I87" s="93"/>
      <c r="J87" s="93"/>
      <c r="K87" s="93"/>
      <c r="L87" s="95"/>
      <c r="M87" s="30" t="str">
        <f>IF(Inventory_List_Table34111510[[#This Row],[Q]]&lt;0.1, " ", Inventory_List_Table34111510[[#This Row],[Q]]*Inventory_List_Table34111510[[#This Row],[PRICE]])</f>
        <v xml:space="preserve"> </v>
      </c>
      <c r="N87" s="35" t="str">
        <f>IF(Inventory_List_Table34111510[[#This Row],[Q]]&lt;0.1, " ", Inventory_List_Table34111510[[#This Row],[KG]]*2.20462)</f>
        <v xml:space="preserve"> </v>
      </c>
      <c r="O87" s="35" t="str">
        <f>IF(Inventory_List_Table34111510[[#This Row],[Q]]&lt;0.1, " ",Inventory_List_Table34111510[[#This Row],[H CM]]/2.54)</f>
        <v xml:space="preserve"> </v>
      </c>
      <c r="P87" s="35" t="str">
        <f>IF(Inventory_List_Table34111510[[#This Row],[Q]]&lt;0.1, " ",Inventory_List_Table34111510[[#This Row],[W CM]]/2.54)</f>
        <v xml:space="preserve"> </v>
      </c>
      <c r="Q87" s="35" t="str">
        <f>IF(Inventory_List_Table34111510[[#This Row],[Q]]&lt;0.1, " ",Inventory_List_Table34111510[[#This Row],[D CM ]]/2.54)</f>
        <v xml:space="preserve"> </v>
      </c>
      <c r="R87" s="30" t="str">
        <f>IF(Inventory_List_Table34111510[[#This Row],[Q]]&lt;0.1, " ",Inventory_List_Table34111510[[#This Row],[PRICE]]/$L$1)</f>
        <v xml:space="preserve"> </v>
      </c>
      <c r="S8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7" s="30" t="str">
        <f>IF(Inventory_List_Table34111510[[#This Row],[Q]]&lt;0.1, " ",Inventory_List_Table34111510[[#This Row],[AQ RND USD]]*1.4)</f>
        <v xml:space="preserve"> </v>
      </c>
      <c r="U8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7" s="30" t="str">
        <f>IF(Inventory_List_Table34111510[[#This Row],[Q]]&lt;0.1, " ",Inventory_List_Table34111510[[#This Row],[LND RND USD]]*12)</f>
        <v xml:space="preserve"> </v>
      </c>
      <c r="W87" s="30" t="str">
        <f>IF(Inventory_List_Table34111510[[#This Row],[Q]]&lt;0.1, " ",Inventory_List_Table34111510[[#This Row],[AQ USD]])</f>
        <v xml:space="preserve"> </v>
      </c>
      <c r="X8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7" s="30" t="str">
        <f>IF(Inventory_List_Table34111510[[#This Row],[Q]]&lt;0.1, " ",Inventory_List_Table34111510[[#This Row],[PRICE]]/Z87*10000)</f>
        <v xml:space="preserve"> </v>
      </c>
      <c r="AB87" s="27"/>
      <c r="AC87" s="1"/>
      <c r="AD87" s="1"/>
    </row>
    <row r="88" spans="1:30" ht="24" customHeight="1" x14ac:dyDescent="0.3">
      <c r="A88" s="547">
        <v>86</v>
      </c>
      <c r="B88" s="1"/>
      <c r="C88" s="558"/>
      <c r="D88" s="558"/>
      <c r="E88" s="558"/>
      <c r="F88" s="38" t="str">
        <f>IF(Inventory_List_Table34111510[[#This Row],[Q]]&lt;0.1, " ",$A$1&amp;$D$1&amp;Inventory_List_Table34111510[[#This Row],['#]]&amp;Inventory_List_Table34111510[[#This Row],[LC]])</f>
        <v xml:space="preserve"> </v>
      </c>
      <c r="G88" s="93"/>
      <c r="H88" s="93"/>
      <c r="I88" s="93"/>
      <c r="J88" s="93"/>
      <c r="K88" s="93"/>
      <c r="L88" s="95"/>
      <c r="M88" s="30" t="str">
        <f>IF(Inventory_List_Table34111510[[#This Row],[Q]]&lt;0.1, " ", Inventory_List_Table34111510[[#This Row],[Q]]*Inventory_List_Table34111510[[#This Row],[PRICE]])</f>
        <v xml:space="preserve"> </v>
      </c>
      <c r="N88" s="35" t="str">
        <f>IF(Inventory_List_Table34111510[[#This Row],[Q]]&lt;0.1, " ", Inventory_List_Table34111510[[#This Row],[KG]]*2.20462)</f>
        <v xml:space="preserve"> </v>
      </c>
      <c r="O88" s="35" t="str">
        <f>IF(Inventory_List_Table34111510[[#This Row],[Q]]&lt;0.1, " ",Inventory_List_Table34111510[[#This Row],[H CM]]/2.54)</f>
        <v xml:space="preserve"> </v>
      </c>
      <c r="P88" s="35" t="str">
        <f>IF(Inventory_List_Table34111510[[#This Row],[Q]]&lt;0.1, " ",Inventory_List_Table34111510[[#This Row],[W CM]]/2.54)</f>
        <v xml:space="preserve"> </v>
      </c>
      <c r="Q88" s="35" t="str">
        <f>IF(Inventory_List_Table34111510[[#This Row],[Q]]&lt;0.1, " ",Inventory_List_Table34111510[[#This Row],[D CM ]]/2.54)</f>
        <v xml:space="preserve"> </v>
      </c>
      <c r="R88" s="30" t="str">
        <f>IF(Inventory_List_Table34111510[[#This Row],[Q]]&lt;0.1, " ",Inventory_List_Table34111510[[#This Row],[PRICE]]/$L$1)</f>
        <v xml:space="preserve"> </v>
      </c>
      <c r="S8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8" s="30" t="str">
        <f>IF(Inventory_List_Table34111510[[#This Row],[Q]]&lt;0.1, " ",Inventory_List_Table34111510[[#This Row],[AQ RND USD]]*1.4)</f>
        <v xml:space="preserve"> </v>
      </c>
      <c r="U8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8" s="30" t="str">
        <f>IF(Inventory_List_Table34111510[[#This Row],[Q]]&lt;0.1, " ",Inventory_List_Table34111510[[#This Row],[LND RND USD]]*12)</f>
        <v xml:space="preserve"> </v>
      </c>
      <c r="W88" s="30" t="str">
        <f>IF(Inventory_List_Table34111510[[#This Row],[Q]]&lt;0.1, " ",Inventory_List_Table34111510[[#This Row],[AQ USD]])</f>
        <v xml:space="preserve"> </v>
      </c>
      <c r="X8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8" s="30" t="str">
        <f>IF(Inventory_List_Table34111510[[#This Row],[Q]]&lt;0.1, " ",Inventory_List_Table34111510[[#This Row],[PRICE]]/Z88*10000)</f>
        <v xml:space="preserve"> </v>
      </c>
      <c r="AB88" s="27"/>
      <c r="AC88" s="1"/>
      <c r="AD88" s="1"/>
    </row>
    <row r="89" spans="1:30" ht="24" customHeight="1" x14ac:dyDescent="0.3">
      <c r="A89" s="547">
        <v>87</v>
      </c>
      <c r="B89" s="1"/>
      <c r="C89" s="558"/>
      <c r="D89" s="558"/>
      <c r="E89" s="558"/>
      <c r="F89" s="38" t="str">
        <f>IF(Inventory_List_Table34111510[[#This Row],[Q]]&lt;0.1, " ",$A$1&amp;$D$1&amp;Inventory_List_Table34111510[[#This Row],['#]]&amp;Inventory_List_Table34111510[[#This Row],[LC]])</f>
        <v xml:space="preserve"> </v>
      </c>
      <c r="G89" s="93"/>
      <c r="H89" s="93"/>
      <c r="I89" s="93"/>
      <c r="J89" s="93"/>
      <c r="K89" s="93"/>
      <c r="L89" s="95"/>
      <c r="M89" s="30" t="str">
        <f>IF(Inventory_List_Table34111510[[#This Row],[Q]]&lt;0.1, " ", Inventory_List_Table34111510[[#This Row],[Q]]*Inventory_List_Table34111510[[#This Row],[PRICE]])</f>
        <v xml:space="preserve"> </v>
      </c>
      <c r="N89" s="35" t="str">
        <f>IF(Inventory_List_Table34111510[[#This Row],[Q]]&lt;0.1, " ", Inventory_List_Table34111510[[#This Row],[KG]]*2.20462)</f>
        <v xml:space="preserve"> </v>
      </c>
      <c r="O89" s="35" t="str">
        <f>IF(Inventory_List_Table34111510[[#This Row],[Q]]&lt;0.1, " ",Inventory_List_Table34111510[[#This Row],[H CM]]/2.54)</f>
        <v xml:space="preserve"> </v>
      </c>
      <c r="P89" s="35" t="str">
        <f>IF(Inventory_List_Table34111510[[#This Row],[Q]]&lt;0.1, " ",Inventory_List_Table34111510[[#This Row],[W CM]]/2.54)</f>
        <v xml:space="preserve"> </v>
      </c>
      <c r="Q89" s="35" t="str">
        <f>IF(Inventory_List_Table34111510[[#This Row],[Q]]&lt;0.1, " ",Inventory_List_Table34111510[[#This Row],[D CM ]]/2.54)</f>
        <v xml:space="preserve"> </v>
      </c>
      <c r="R89" s="30" t="str">
        <f>IF(Inventory_List_Table34111510[[#This Row],[Q]]&lt;0.1, " ",Inventory_List_Table34111510[[#This Row],[PRICE]]/$L$1)</f>
        <v xml:space="preserve"> </v>
      </c>
      <c r="S8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89" s="30" t="str">
        <f>IF(Inventory_List_Table34111510[[#This Row],[Q]]&lt;0.1, " ",Inventory_List_Table34111510[[#This Row],[AQ RND USD]]*1.4)</f>
        <v xml:space="preserve"> </v>
      </c>
      <c r="U8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89" s="30" t="str">
        <f>IF(Inventory_List_Table34111510[[#This Row],[Q]]&lt;0.1, " ",Inventory_List_Table34111510[[#This Row],[LND RND USD]]*12)</f>
        <v xml:space="preserve"> </v>
      </c>
      <c r="W89" s="30" t="str">
        <f>IF(Inventory_List_Table34111510[[#This Row],[Q]]&lt;0.1, " ",Inventory_List_Table34111510[[#This Row],[AQ USD]])</f>
        <v xml:space="preserve"> </v>
      </c>
      <c r="X8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8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8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89" s="30" t="str">
        <f>IF(Inventory_List_Table34111510[[#This Row],[Q]]&lt;0.1, " ",Inventory_List_Table34111510[[#This Row],[PRICE]]/Z89*10000)</f>
        <v xml:space="preserve"> </v>
      </c>
      <c r="AB89" s="27"/>
      <c r="AC89" s="1"/>
      <c r="AD89" s="1"/>
    </row>
    <row r="90" spans="1:30" ht="24" customHeight="1" x14ac:dyDescent="0.3">
      <c r="A90" s="547">
        <v>88</v>
      </c>
      <c r="B90" s="1"/>
      <c r="C90" s="558"/>
      <c r="D90" s="558"/>
      <c r="E90" s="558"/>
      <c r="F90" s="38" t="str">
        <f>IF(Inventory_List_Table34111510[[#This Row],[Q]]&lt;0.1, " ",$A$1&amp;$D$1&amp;Inventory_List_Table34111510[[#This Row],['#]]&amp;Inventory_List_Table34111510[[#This Row],[LC]])</f>
        <v xml:space="preserve"> </v>
      </c>
      <c r="G90" s="93"/>
      <c r="H90" s="93"/>
      <c r="I90" s="93"/>
      <c r="J90" s="93"/>
      <c r="K90" s="93"/>
      <c r="L90" s="95"/>
      <c r="M90" s="30" t="str">
        <f>IF(Inventory_List_Table34111510[[#This Row],[Q]]&lt;0.1, " ", Inventory_List_Table34111510[[#This Row],[Q]]*Inventory_List_Table34111510[[#This Row],[PRICE]])</f>
        <v xml:space="preserve"> </v>
      </c>
      <c r="N90" s="35" t="str">
        <f>IF(Inventory_List_Table34111510[[#This Row],[Q]]&lt;0.1, " ", Inventory_List_Table34111510[[#This Row],[KG]]*2.20462)</f>
        <v xml:space="preserve"> </v>
      </c>
      <c r="O90" s="35" t="str">
        <f>IF(Inventory_List_Table34111510[[#This Row],[Q]]&lt;0.1, " ",Inventory_List_Table34111510[[#This Row],[H CM]]/2.54)</f>
        <v xml:space="preserve"> </v>
      </c>
      <c r="P90" s="35" t="str">
        <f>IF(Inventory_List_Table34111510[[#This Row],[Q]]&lt;0.1, " ",Inventory_List_Table34111510[[#This Row],[W CM]]/2.54)</f>
        <v xml:space="preserve"> </v>
      </c>
      <c r="Q90" s="35" t="str">
        <f>IF(Inventory_List_Table34111510[[#This Row],[Q]]&lt;0.1, " ",Inventory_List_Table34111510[[#This Row],[D CM ]]/2.54)</f>
        <v xml:space="preserve"> </v>
      </c>
      <c r="R90" s="30" t="str">
        <f>IF(Inventory_List_Table34111510[[#This Row],[Q]]&lt;0.1, " ",Inventory_List_Table34111510[[#This Row],[PRICE]]/$L$1)</f>
        <v xml:space="preserve"> </v>
      </c>
      <c r="S9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0" s="30" t="str">
        <f>IF(Inventory_List_Table34111510[[#This Row],[Q]]&lt;0.1, " ",Inventory_List_Table34111510[[#This Row],[AQ RND USD]]*1.4)</f>
        <v xml:space="preserve"> </v>
      </c>
      <c r="U9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0" s="30" t="str">
        <f>IF(Inventory_List_Table34111510[[#This Row],[Q]]&lt;0.1, " ",Inventory_List_Table34111510[[#This Row],[LND RND USD]]*12)</f>
        <v xml:space="preserve"> </v>
      </c>
      <c r="W90" s="30" t="str">
        <f>IF(Inventory_List_Table34111510[[#This Row],[Q]]&lt;0.1, " ",Inventory_List_Table34111510[[#This Row],[AQ USD]])</f>
        <v xml:space="preserve"> </v>
      </c>
      <c r="X9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0" s="30" t="str">
        <f>IF(Inventory_List_Table34111510[[#This Row],[Q]]&lt;0.1, " ",Inventory_List_Table34111510[[#This Row],[PRICE]]/Z90*10000)</f>
        <v xml:space="preserve"> </v>
      </c>
      <c r="AB90" s="27"/>
      <c r="AC90" s="1"/>
      <c r="AD90" s="1"/>
    </row>
    <row r="91" spans="1:30" ht="24" customHeight="1" x14ac:dyDescent="0.3">
      <c r="A91" s="547">
        <v>89</v>
      </c>
      <c r="B91" s="1"/>
      <c r="C91" s="558"/>
      <c r="D91" s="558"/>
      <c r="E91" s="558"/>
      <c r="F91" s="38" t="str">
        <f>IF(Inventory_List_Table34111510[[#This Row],[Q]]&lt;0.1, " ",$A$1&amp;$D$1&amp;Inventory_List_Table34111510[[#This Row],['#]]&amp;Inventory_List_Table34111510[[#This Row],[LC]])</f>
        <v xml:space="preserve"> </v>
      </c>
      <c r="G91" s="93"/>
      <c r="H91" s="93"/>
      <c r="I91" s="93"/>
      <c r="J91" s="93"/>
      <c r="K91" s="93"/>
      <c r="L91" s="95"/>
      <c r="M91" s="30" t="str">
        <f>IF(Inventory_List_Table34111510[[#This Row],[Q]]&lt;0.1, " ", Inventory_List_Table34111510[[#This Row],[Q]]*Inventory_List_Table34111510[[#This Row],[PRICE]])</f>
        <v xml:space="preserve"> </v>
      </c>
      <c r="N91" s="35" t="str">
        <f>IF(Inventory_List_Table34111510[[#This Row],[Q]]&lt;0.1, " ", Inventory_List_Table34111510[[#This Row],[KG]]*2.20462)</f>
        <v xml:space="preserve"> </v>
      </c>
      <c r="O91" s="35" t="str">
        <f>IF(Inventory_List_Table34111510[[#This Row],[Q]]&lt;0.1, " ",Inventory_List_Table34111510[[#This Row],[H CM]]/2.54)</f>
        <v xml:space="preserve"> </v>
      </c>
      <c r="P91" s="35" t="str">
        <f>IF(Inventory_List_Table34111510[[#This Row],[Q]]&lt;0.1, " ",Inventory_List_Table34111510[[#This Row],[W CM]]/2.54)</f>
        <v xml:space="preserve"> </v>
      </c>
      <c r="Q91" s="35" t="str">
        <f>IF(Inventory_List_Table34111510[[#This Row],[Q]]&lt;0.1, " ",Inventory_List_Table34111510[[#This Row],[D CM ]]/2.54)</f>
        <v xml:space="preserve"> </v>
      </c>
      <c r="R91" s="30" t="str">
        <f>IF(Inventory_List_Table34111510[[#This Row],[Q]]&lt;0.1, " ",Inventory_List_Table34111510[[#This Row],[PRICE]]/$L$1)</f>
        <v xml:space="preserve"> </v>
      </c>
      <c r="S9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1" s="30" t="str">
        <f>IF(Inventory_List_Table34111510[[#This Row],[Q]]&lt;0.1, " ",Inventory_List_Table34111510[[#This Row],[AQ RND USD]]*1.4)</f>
        <v xml:space="preserve"> </v>
      </c>
      <c r="U9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1" s="30" t="str">
        <f>IF(Inventory_List_Table34111510[[#This Row],[Q]]&lt;0.1, " ",Inventory_List_Table34111510[[#This Row],[LND RND USD]]*12)</f>
        <v xml:space="preserve"> </v>
      </c>
      <c r="W91" s="30" t="str">
        <f>IF(Inventory_List_Table34111510[[#This Row],[Q]]&lt;0.1, " ",Inventory_List_Table34111510[[#This Row],[AQ USD]])</f>
        <v xml:space="preserve"> </v>
      </c>
      <c r="X9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1" s="30" t="str">
        <f>IF(Inventory_List_Table34111510[[#This Row],[Q]]&lt;0.1, " ",Inventory_List_Table34111510[[#This Row],[PRICE]]/Z91*10000)</f>
        <v xml:space="preserve"> </v>
      </c>
      <c r="AB91" s="27"/>
      <c r="AC91" s="1"/>
      <c r="AD91" s="1"/>
    </row>
    <row r="92" spans="1:30" ht="24" customHeight="1" x14ac:dyDescent="0.3">
      <c r="A92" s="547">
        <v>90</v>
      </c>
      <c r="B92" s="1"/>
      <c r="C92" s="558"/>
      <c r="D92" s="558"/>
      <c r="E92" s="558"/>
      <c r="F92" s="38" t="str">
        <f>IF(Inventory_List_Table34111510[[#This Row],[Q]]&lt;0.1, " ",$A$1&amp;$D$1&amp;Inventory_List_Table34111510[[#This Row],['#]]&amp;Inventory_List_Table34111510[[#This Row],[LC]])</f>
        <v xml:space="preserve"> </v>
      </c>
      <c r="G92" s="93"/>
      <c r="H92" s="93"/>
      <c r="I92" s="93"/>
      <c r="J92" s="93"/>
      <c r="K92" s="93"/>
      <c r="L92" s="95"/>
      <c r="M92" s="30" t="str">
        <f>IF(Inventory_List_Table34111510[[#This Row],[Q]]&lt;0.1, " ", Inventory_List_Table34111510[[#This Row],[Q]]*Inventory_List_Table34111510[[#This Row],[PRICE]])</f>
        <v xml:space="preserve"> </v>
      </c>
      <c r="N92" s="35" t="str">
        <f>IF(Inventory_List_Table34111510[[#This Row],[Q]]&lt;0.1, " ", Inventory_List_Table34111510[[#This Row],[KG]]*2.20462)</f>
        <v xml:space="preserve"> </v>
      </c>
      <c r="O92" s="35" t="str">
        <f>IF(Inventory_List_Table34111510[[#This Row],[Q]]&lt;0.1, " ",Inventory_List_Table34111510[[#This Row],[H CM]]/2.54)</f>
        <v xml:space="preserve"> </v>
      </c>
      <c r="P92" s="35" t="str">
        <f>IF(Inventory_List_Table34111510[[#This Row],[Q]]&lt;0.1, " ",Inventory_List_Table34111510[[#This Row],[W CM]]/2.54)</f>
        <v xml:space="preserve"> </v>
      </c>
      <c r="Q92" s="35" t="str">
        <f>IF(Inventory_List_Table34111510[[#This Row],[Q]]&lt;0.1, " ",Inventory_List_Table34111510[[#This Row],[D CM ]]/2.54)</f>
        <v xml:space="preserve"> </v>
      </c>
      <c r="R92" s="30" t="str">
        <f>IF(Inventory_List_Table34111510[[#This Row],[Q]]&lt;0.1, " ",Inventory_List_Table34111510[[#This Row],[PRICE]]/$L$1)</f>
        <v xml:space="preserve"> </v>
      </c>
      <c r="S9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2" s="30" t="str">
        <f>IF(Inventory_List_Table34111510[[#This Row],[Q]]&lt;0.1, " ",Inventory_List_Table34111510[[#This Row],[AQ RND USD]]*1.4)</f>
        <v xml:space="preserve"> </v>
      </c>
      <c r="U9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2" s="30" t="str">
        <f>IF(Inventory_List_Table34111510[[#This Row],[Q]]&lt;0.1, " ",Inventory_List_Table34111510[[#This Row],[LND RND USD]]*12)</f>
        <v xml:space="preserve"> </v>
      </c>
      <c r="W92" s="30" t="str">
        <f>IF(Inventory_List_Table34111510[[#This Row],[Q]]&lt;0.1, " ",Inventory_List_Table34111510[[#This Row],[AQ USD]])</f>
        <v xml:space="preserve"> </v>
      </c>
      <c r="X9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2" s="30" t="str">
        <f>IF(Inventory_List_Table34111510[[#This Row],[Q]]&lt;0.1, " ",Inventory_List_Table34111510[[#This Row],[PRICE]]/Z92*10000)</f>
        <v xml:space="preserve"> </v>
      </c>
      <c r="AB92" s="27"/>
      <c r="AC92" s="1"/>
      <c r="AD92" s="1"/>
    </row>
    <row r="93" spans="1:30" ht="24" customHeight="1" x14ac:dyDescent="0.3">
      <c r="A93" s="547">
        <v>91</v>
      </c>
      <c r="B93" s="1"/>
      <c r="C93" s="558"/>
      <c r="D93" s="558"/>
      <c r="E93" s="558"/>
      <c r="F93" s="38" t="str">
        <f>IF(Inventory_List_Table34111510[[#This Row],[Q]]&lt;0.1, " ",$A$1&amp;$D$1&amp;Inventory_List_Table34111510[[#This Row],['#]]&amp;Inventory_List_Table34111510[[#This Row],[LC]])</f>
        <v xml:space="preserve"> </v>
      </c>
      <c r="G93" s="93"/>
      <c r="H93" s="93"/>
      <c r="I93" s="93"/>
      <c r="J93" s="93"/>
      <c r="K93" s="93"/>
      <c r="L93" s="95"/>
      <c r="M93" s="30" t="str">
        <f>IF(Inventory_List_Table34111510[[#This Row],[Q]]&lt;0.1, " ", Inventory_List_Table34111510[[#This Row],[Q]]*Inventory_List_Table34111510[[#This Row],[PRICE]])</f>
        <v xml:space="preserve"> </v>
      </c>
      <c r="N93" s="35" t="str">
        <f>IF(Inventory_List_Table34111510[[#This Row],[Q]]&lt;0.1, " ", Inventory_List_Table34111510[[#This Row],[KG]]*2.20462)</f>
        <v xml:space="preserve"> </v>
      </c>
      <c r="O93" s="35" t="str">
        <f>IF(Inventory_List_Table34111510[[#This Row],[Q]]&lt;0.1, " ",Inventory_List_Table34111510[[#This Row],[H CM]]/2.54)</f>
        <v xml:space="preserve"> </v>
      </c>
      <c r="P93" s="35" t="str">
        <f>IF(Inventory_List_Table34111510[[#This Row],[Q]]&lt;0.1, " ",Inventory_List_Table34111510[[#This Row],[W CM]]/2.54)</f>
        <v xml:space="preserve"> </v>
      </c>
      <c r="Q93" s="35" t="str">
        <f>IF(Inventory_List_Table34111510[[#This Row],[Q]]&lt;0.1, " ",Inventory_List_Table34111510[[#This Row],[D CM ]]/2.54)</f>
        <v xml:space="preserve"> </v>
      </c>
      <c r="R93" s="30" t="str">
        <f>IF(Inventory_List_Table34111510[[#This Row],[Q]]&lt;0.1, " ",Inventory_List_Table34111510[[#This Row],[PRICE]]/$L$1)</f>
        <v xml:space="preserve"> </v>
      </c>
      <c r="S93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3" s="30" t="str">
        <f>IF(Inventory_List_Table34111510[[#This Row],[Q]]&lt;0.1, " ",Inventory_List_Table34111510[[#This Row],[AQ RND USD]]*1.4)</f>
        <v xml:space="preserve"> </v>
      </c>
      <c r="U93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3" s="30" t="str">
        <f>IF(Inventory_List_Table34111510[[#This Row],[Q]]&lt;0.1, " ",Inventory_List_Table34111510[[#This Row],[LND RND USD]]*12)</f>
        <v xml:space="preserve"> </v>
      </c>
      <c r="W93" s="30" t="str">
        <f>IF(Inventory_List_Table34111510[[#This Row],[Q]]&lt;0.1, " ",Inventory_List_Table34111510[[#This Row],[AQ USD]])</f>
        <v xml:space="preserve"> </v>
      </c>
      <c r="X93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3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3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3" s="30" t="str">
        <f>IF(Inventory_List_Table34111510[[#This Row],[Q]]&lt;0.1, " ",Inventory_List_Table34111510[[#This Row],[PRICE]]/Z93*10000)</f>
        <v xml:space="preserve"> </v>
      </c>
      <c r="AB93" s="27"/>
      <c r="AC93" s="1"/>
      <c r="AD93" s="1"/>
    </row>
    <row r="94" spans="1:30" ht="24" customHeight="1" x14ac:dyDescent="0.3">
      <c r="A94" s="547">
        <v>92</v>
      </c>
      <c r="B94" s="1"/>
      <c r="C94" s="558"/>
      <c r="D94" s="558"/>
      <c r="E94" s="558"/>
      <c r="F94" s="38" t="str">
        <f>IF(Inventory_List_Table34111510[[#This Row],[Q]]&lt;0.1, " ",$A$1&amp;$D$1&amp;Inventory_List_Table34111510[[#This Row],['#]]&amp;Inventory_List_Table34111510[[#This Row],[LC]])</f>
        <v xml:space="preserve"> </v>
      </c>
      <c r="G94" s="93"/>
      <c r="H94" s="93"/>
      <c r="I94" s="93"/>
      <c r="J94" s="93"/>
      <c r="K94" s="93"/>
      <c r="L94" s="95"/>
      <c r="M94" s="30" t="str">
        <f>IF(Inventory_List_Table34111510[[#This Row],[Q]]&lt;0.1, " ", Inventory_List_Table34111510[[#This Row],[Q]]*Inventory_List_Table34111510[[#This Row],[PRICE]])</f>
        <v xml:space="preserve"> </v>
      </c>
      <c r="N94" s="35" t="str">
        <f>IF(Inventory_List_Table34111510[[#This Row],[Q]]&lt;0.1, " ", Inventory_List_Table34111510[[#This Row],[KG]]*2.20462)</f>
        <v xml:space="preserve"> </v>
      </c>
      <c r="O94" s="35" t="str">
        <f>IF(Inventory_List_Table34111510[[#This Row],[Q]]&lt;0.1, " ",Inventory_List_Table34111510[[#This Row],[H CM]]/2.54)</f>
        <v xml:space="preserve"> </v>
      </c>
      <c r="P94" s="35" t="str">
        <f>IF(Inventory_List_Table34111510[[#This Row],[Q]]&lt;0.1, " ",Inventory_List_Table34111510[[#This Row],[W CM]]/2.54)</f>
        <v xml:space="preserve"> </v>
      </c>
      <c r="Q94" s="35" t="str">
        <f>IF(Inventory_List_Table34111510[[#This Row],[Q]]&lt;0.1, " ",Inventory_List_Table34111510[[#This Row],[D CM ]]/2.54)</f>
        <v xml:space="preserve"> </v>
      </c>
      <c r="R94" s="30" t="str">
        <f>IF(Inventory_List_Table34111510[[#This Row],[Q]]&lt;0.1, " ",Inventory_List_Table34111510[[#This Row],[PRICE]]/$L$1)</f>
        <v xml:space="preserve"> </v>
      </c>
      <c r="S94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4" s="30" t="str">
        <f>IF(Inventory_List_Table34111510[[#This Row],[Q]]&lt;0.1, " ",Inventory_List_Table34111510[[#This Row],[AQ RND USD]]*1.4)</f>
        <v xml:space="preserve"> </v>
      </c>
      <c r="U94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4" s="30" t="str">
        <f>IF(Inventory_List_Table34111510[[#This Row],[Q]]&lt;0.1, " ",Inventory_List_Table34111510[[#This Row],[LND RND USD]]*12)</f>
        <v xml:space="preserve"> </v>
      </c>
      <c r="W94" s="30" t="str">
        <f>IF(Inventory_List_Table34111510[[#This Row],[Q]]&lt;0.1, " ",Inventory_List_Table34111510[[#This Row],[AQ USD]])</f>
        <v xml:space="preserve"> </v>
      </c>
      <c r="X94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4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4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4" s="30" t="str">
        <f>IF(Inventory_List_Table34111510[[#This Row],[Q]]&lt;0.1, " ",Inventory_List_Table34111510[[#This Row],[PRICE]]/Z94*10000)</f>
        <v xml:space="preserve"> </v>
      </c>
      <c r="AB94" s="27"/>
      <c r="AC94" s="1"/>
      <c r="AD94" s="1"/>
    </row>
    <row r="95" spans="1:30" ht="24" customHeight="1" x14ac:dyDescent="0.3">
      <c r="A95" s="547">
        <v>93</v>
      </c>
      <c r="B95" s="1"/>
      <c r="C95" s="558"/>
      <c r="D95" s="558"/>
      <c r="E95" s="558"/>
      <c r="F95" s="38" t="str">
        <f>IF(Inventory_List_Table34111510[[#This Row],[Q]]&lt;0.1, " ",$A$1&amp;$D$1&amp;Inventory_List_Table34111510[[#This Row],['#]]&amp;Inventory_List_Table34111510[[#This Row],[LC]])</f>
        <v xml:space="preserve"> </v>
      </c>
      <c r="G95" s="93"/>
      <c r="H95" s="93"/>
      <c r="I95" s="93"/>
      <c r="J95" s="93"/>
      <c r="K95" s="93"/>
      <c r="L95" s="95"/>
      <c r="M95" s="30" t="str">
        <f>IF(Inventory_List_Table34111510[[#This Row],[Q]]&lt;0.1, " ", Inventory_List_Table34111510[[#This Row],[Q]]*Inventory_List_Table34111510[[#This Row],[PRICE]])</f>
        <v xml:space="preserve"> </v>
      </c>
      <c r="N95" s="35" t="str">
        <f>IF(Inventory_List_Table34111510[[#This Row],[Q]]&lt;0.1, " ", Inventory_List_Table34111510[[#This Row],[KG]]*2.20462)</f>
        <v xml:space="preserve"> </v>
      </c>
      <c r="O95" s="35" t="str">
        <f>IF(Inventory_List_Table34111510[[#This Row],[Q]]&lt;0.1, " ",Inventory_List_Table34111510[[#This Row],[H CM]]/2.54)</f>
        <v xml:space="preserve"> </v>
      </c>
      <c r="P95" s="35" t="str">
        <f>IF(Inventory_List_Table34111510[[#This Row],[Q]]&lt;0.1, " ",Inventory_List_Table34111510[[#This Row],[W CM]]/2.54)</f>
        <v xml:space="preserve"> </v>
      </c>
      <c r="Q95" s="35" t="str">
        <f>IF(Inventory_List_Table34111510[[#This Row],[Q]]&lt;0.1, " ",Inventory_List_Table34111510[[#This Row],[D CM ]]/2.54)</f>
        <v xml:space="preserve"> </v>
      </c>
      <c r="R95" s="30" t="str">
        <f>IF(Inventory_List_Table34111510[[#This Row],[Q]]&lt;0.1, " ",Inventory_List_Table34111510[[#This Row],[PRICE]]/$L$1)</f>
        <v xml:space="preserve"> </v>
      </c>
      <c r="S95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5" s="30" t="str">
        <f>IF(Inventory_List_Table34111510[[#This Row],[Q]]&lt;0.1, " ",Inventory_List_Table34111510[[#This Row],[AQ RND USD]]*1.4)</f>
        <v xml:space="preserve"> </v>
      </c>
      <c r="U95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5" s="30" t="str">
        <f>IF(Inventory_List_Table34111510[[#This Row],[Q]]&lt;0.1, " ",Inventory_List_Table34111510[[#This Row],[LND RND USD]]*12)</f>
        <v xml:space="preserve"> </v>
      </c>
      <c r="W95" s="30" t="str">
        <f>IF(Inventory_List_Table34111510[[#This Row],[Q]]&lt;0.1, " ",Inventory_List_Table34111510[[#This Row],[AQ USD]])</f>
        <v xml:space="preserve"> </v>
      </c>
      <c r="X95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5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5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5" s="30" t="str">
        <f>IF(Inventory_List_Table34111510[[#This Row],[Q]]&lt;0.1, " ",Inventory_List_Table34111510[[#This Row],[PRICE]]/Z95*10000)</f>
        <v xml:space="preserve"> </v>
      </c>
      <c r="AB95" s="27"/>
      <c r="AC95" s="1"/>
      <c r="AD95" s="1"/>
    </row>
    <row r="96" spans="1:30" ht="24" customHeight="1" x14ac:dyDescent="0.3">
      <c r="A96" s="547">
        <v>94</v>
      </c>
      <c r="B96" s="1"/>
      <c r="C96" s="558"/>
      <c r="D96" s="558"/>
      <c r="E96" s="558"/>
      <c r="F96" s="38" t="str">
        <f>IF(Inventory_List_Table34111510[[#This Row],[Q]]&lt;0.1, " ",$A$1&amp;$D$1&amp;Inventory_List_Table34111510[[#This Row],['#]]&amp;Inventory_List_Table34111510[[#This Row],[LC]])</f>
        <v xml:space="preserve"> </v>
      </c>
      <c r="G96" s="93"/>
      <c r="H96" s="93"/>
      <c r="I96" s="93"/>
      <c r="J96" s="93"/>
      <c r="K96" s="93"/>
      <c r="L96" s="95"/>
      <c r="M96" s="30" t="str">
        <f>IF(Inventory_List_Table34111510[[#This Row],[Q]]&lt;0.1, " ", Inventory_List_Table34111510[[#This Row],[Q]]*Inventory_List_Table34111510[[#This Row],[PRICE]])</f>
        <v xml:space="preserve"> </v>
      </c>
      <c r="N96" s="35" t="str">
        <f>IF(Inventory_List_Table34111510[[#This Row],[Q]]&lt;0.1, " ", Inventory_List_Table34111510[[#This Row],[KG]]*2.20462)</f>
        <v xml:space="preserve"> </v>
      </c>
      <c r="O96" s="35" t="str">
        <f>IF(Inventory_List_Table34111510[[#This Row],[Q]]&lt;0.1, " ",Inventory_List_Table34111510[[#This Row],[H CM]]/2.54)</f>
        <v xml:space="preserve"> </v>
      </c>
      <c r="P96" s="35" t="str">
        <f>IF(Inventory_List_Table34111510[[#This Row],[Q]]&lt;0.1, " ",Inventory_List_Table34111510[[#This Row],[W CM]]/2.54)</f>
        <v xml:space="preserve"> </v>
      </c>
      <c r="Q96" s="35" t="str">
        <f>IF(Inventory_List_Table34111510[[#This Row],[Q]]&lt;0.1, " ",Inventory_List_Table34111510[[#This Row],[D CM ]]/2.54)</f>
        <v xml:space="preserve"> </v>
      </c>
      <c r="R96" s="30" t="str">
        <f>IF(Inventory_List_Table34111510[[#This Row],[Q]]&lt;0.1, " ",Inventory_List_Table34111510[[#This Row],[PRICE]]/$L$1)</f>
        <v xml:space="preserve"> </v>
      </c>
      <c r="S96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6" s="30" t="str">
        <f>IF(Inventory_List_Table34111510[[#This Row],[Q]]&lt;0.1, " ",Inventory_List_Table34111510[[#This Row],[AQ RND USD]]*1.4)</f>
        <v xml:space="preserve"> </v>
      </c>
      <c r="U96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6" s="30" t="str">
        <f>IF(Inventory_List_Table34111510[[#This Row],[Q]]&lt;0.1, " ",Inventory_List_Table34111510[[#This Row],[LND RND USD]]*12)</f>
        <v xml:space="preserve"> </v>
      </c>
      <c r="W96" s="30" t="str">
        <f>IF(Inventory_List_Table34111510[[#This Row],[Q]]&lt;0.1, " ",Inventory_List_Table34111510[[#This Row],[AQ USD]])</f>
        <v xml:space="preserve"> </v>
      </c>
      <c r="X96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6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6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6" s="30" t="str">
        <f>IF(Inventory_List_Table34111510[[#This Row],[Q]]&lt;0.1, " ",Inventory_List_Table34111510[[#This Row],[PRICE]]/Z96*10000)</f>
        <v xml:space="preserve"> </v>
      </c>
      <c r="AB96" s="27"/>
      <c r="AC96" s="1"/>
      <c r="AD96" s="1"/>
    </row>
    <row r="97" spans="1:30" ht="24" customHeight="1" x14ac:dyDescent="0.3">
      <c r="A97" s="547">
        <v>95</v>
      </c>
      <c r="B97" s="1"/>
      <c r="C97" s="558"/>
      <c r="D97" s="558"/>
      <c r="E97" s="558"/>
      <c r="F97" s="38" t="str">
        <f>IF(Inventory_List_Table34111510[[#This Row],[Q]]&lt;0.1, " ",$A$1&amp;$D$1&amp;Inventory_List_Table34111510[[#This Row],['#]]&amp;Inventory_List_Table34111510[[#This Row],[LC]])</f>
        <v xml:space="preserve"> </v>
      </c>
      <c r="G97" s="93"/>
      <c r="H97" s="93"/>
      <c r="I97" s="93"/>
      <c r="J97" s="93"/>
      <c r="K97" s="93"/>
      <c r="L97" s="95"/>
      <c r="M97" s="30" t="str">
        <f>IF(Inventory_List_Table34111510[[#This Row],[Q]]&lt;0.1, " ", Inventory_List_Table34111510[[#This Row],[Q]]*Inventory_List_Table34111510[[#This Row],[PRICE]])</f>
        <v xml:space="preserve"> </v>
      </c>
      <c r="N97" s="35" t="str">
        <f>IF(Inventory_List_Table34111510[[#This Row],[Q]]&lt;0.1, " ", Inventory_List_Table34111510[[#This Row],[KG]]*2.20462)</f>
        <v xml:space="preserve"> </v>
      </c>
      <c r="O97" s="35" t="str">
        <f>IF(Inventory_List_Table34111510[[#This Row],[Q]]&lt;0.1, " ",Inventory_List_Table34111510[[#This Row],[H CM]]/2.54)</f>
        <v xml:space="preserve"> </v>
      </c>
      <c r="P97" s="35" t="str">
        <f>IF(Inventory_List_Table34111510[[#This Row],[Q]]&lt;0.1, " ",Inventory_List_Table34111510[[#This Row],[W CM]]/2.54)</f>
        <v xml:space="preserve"> </v>
      </c>
      <c r="Q97" s="35" t="str">
        <f>IF(Inventory_List_Table34111510[[#This Row],[Q]]&lt;0.1, " ",Inventory_List_Table34111510[[#This Row],[D CM ]]/2.54)</f>
        <v xml:space="preserve"> </v>
      </c>
      <c r="R97" s="30" t="str">
        <f>IF(Inventory_List_Table34111510[[#This Row],[Q]]&lt;0.1, " ",Inventory_List_Table34111510[[#This Row],[PRICE]]/$L$1)</f>
        <v xml:space="preserve"> </v>
      </c>
      <c r="S97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7" s="30" t="str">
        <f>IF(Inventory_List_Table34111510[[#This Row],[Q]]&lt;0.1, " ",Inventory_List_Table34111510[[#This Row],[AQ RND USD]]*1.4)</f>
        <v xml:space="preserve"> </v>
      </c>
      <c r="U97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7" s="30" t="str">
        <f>IF(Inventory_List_Table34111510[[#This Row],[Q]]&lt;0.1, " ",Inventory_List_Table34111510[[#This Row],[LND RND USD]]*12)</f>
        <v xml:space="preserve"> </v>
      </c>
      <c r="W97" s="30" t="str">
        <f>IF(Inventory_List_Table34111510[[#This Row],[Q]]&lt;0.1, " ",Inventory_List_Table34111510[[#This Row],[AQ USD]])</f>
        <v xml:space="preserve"> </v>
      </c>
      <c r="X97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7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7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7" s="30" t="str">
        <f>IF(Inventory_List_Table34111510[[#This Row],[Q]]&lt;0.1, " ",Inventory_List_Table34111510[[#This Row],[PRICE]]/Z97*10000)</f>
        <v xml:space="preserve"> </v>
      </c>
      <c r="AB97" s="27"/>
      <c r="AC97" s="1"/>
      <c r="AD97" s="1"/>
    </row>
    <row r="98" spans="1:30" ht="24" customHeight="1" x14ac:dyDescent="0.3">
      <c r="A98" s="547">
        <v>96</v>
      </c>
      <c r="B98" s="1"/>
      <c r="C98" s="558"/>
      <c r="D98" s="558"/>
      <c r="E98" s="558"/>
      <c r="F98" s="38" t="str">
        <f>IF(Inventory_List_Table34111510[[#This Row],[Q]]&lt;0.1, " ",$A$1&amp;$D$1&amp;Inventory_List_Table34111510[[#This Row],['#]]&amp;Inventory_List_Table34111510[[#This Row],[LC]])</f>
        <v xml:space="preserve"> </v>
      </c>
      <c r="G98" s="93"/>
      <c r="H98" s="93"/>
      <c r="I98" s="93"/>
      <c r="J98" s="93"/>
      <c r="K98" s="93"/>
      <c r="L98" s="95"/>
      <c r="M98" s="30" t="str">
        <f>IF(Inventory_List_Table34111510[[#This Row],[Q]]&lt;0.1, " ", Inventory_List_Table34111510[[#This Row],[Q]]*Inventory_List_Table34111510[[#This Row],[PRICE]])</f>
        <v xml:space="preserve"> </v>
      </c>
      <c r="N98" s="35" t="str">
        <f>IF(Inventory_List_Table34111510[[#This Row],[Q]]&lt;0.1, " ", Inventory_List_Table34111510[[#This Row],[KG]]*2.20462)</f>
        <v xml:space="preserve"> </v>
      </c>
      <c r="O98" s="35" t="str">
        <f>IF(Inventory_List_Table34111510[[#This Row],[Q]]&lt;0.1, " ",Inventory_List_Table34111510[[#This Row],[H CM]]/2.54)</f>
        <v xml:space="preserve"> </v>
      </c>
      <c r="P98" s="35" t="str">
        <f>IF(Inventory_List_Table34111510[[#This Row],[Q]]&lt;0.1, " ",Inventory_List_Table34111510[[#This Row],[W CM]]/2.54)</f>
        <v xml:space="preserve"> </v>
      </c>
      <c r="Q98" s="35" t="str">
        <f>IF(Inventory_List_Table34111510[[#This Row],[Q]]&lt;0.1, " ",Inventory_List_Table34111510[[#This Row],[D CM ]]/2.54)</f>
        <v xml:space="preserve"> </v>
      </c>
      <c r="R98" s="30" t="str">
        <f>IF(Inventory_List_Table34111510[[#This Row],[Q]]&lt;0.1, " ",Inventory_List_Table34111510[[#This Row],[PRICE]]/$L$1)</f>
        <v xml:space="preserve"> </v>
      </c>
      <c r="S98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8" s="30" t="str">
        <f>IF(Inventory_List_Table34111510[[#This Row],[Q]]&lt;0.1, " ",Inventory_List_Table34111510[[#This Row],[AQ RND USD]]*1.4)</f>
        <v xml:space="preserve"> </v>
      </c>
      <c r="U98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8" s="30" t="str">
        <f>IF(Inventory_List_Table34111510[[#This Row],[Q]]&lt;0.1, " ",Inventory_List_Table34111510[[#This Row],[LND RND USD]]*12)</f>
        <v xml:space="preserve"> </v>
      </c>
      <c r="W98" s="30" t="str">
        <f>IF(Inventory_List_Table34111510[[#This Row],[Q]]&lt;0.1, " ",Inventory_List_Table34111510[[#This Row],[AQ USD]])</f>
        <v xml:space="preserve"> </v>
      </c>
      <c r="X98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8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8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8" s="30" t="str">
        <f>IF(Inventory_List_Table34111510[[#This Row],[Q]]&lt;0.1, " ",Inventory_List_Table34111510[[#This Row],[PRICE]]/Z98*10000)</f>
        <v xml:space="preserve"> </v>
      </c>
      <c r="AB98" s="27"/>
      <c r="AC98" s="1"/>
      <c r="AD98" s="1"/>
    </row>
    <row r="99" spans="1:30" ht="24" customHeight="1" x14ac:dyDescent="0.3">
      <c r="A99" s="547">
        <v>97</v>
      </c>
      <c r="B99" s="1"/>
      <c r="C99" s="558"/>
      <c r="D99" s="558"/>
      <c r="E99" s="558"/>
      <c r="F99" s="38" t="str">
        <f>IF(Inventory_List_Table34111510[[#This Row],[Q]]&lt;0.1, " ",$A$1&amp;$D$1&amp;Inventory_List_Table34111510[[#This Row],['#]]&amp;Inventory_List_Table34111510[[#This Row],[LC]])</f>
        <v xml:space="preserve"> </v>
      </c>
      <c r="G99" s="93"/>
      <c r="H99" s="93"/>
      <c r="I99" s="93"/>
      <c r="J99" s="93"/>
      <c r="K99" s="93"/>
      <c r="L99" s="95"/>
      <c r="M99" s="30" t="str">
        <f>IF(Inventory_List_Table34111510[[#This Row],[Q]]&lt;0.1, " ", Inventory_List_Table34111510[[#This Row],[Q]]*Inventory_List_Table34111510[[#This Row],[PRICE]])</f>
        <v xml:space="preserve"> </v>
      </c>
      <c r="N99" s="35" t="str">
        <f>IF(Inventory_List_Table34111510[[#This Row],[Q]]&lt;0.1, " ", Inventory_List_Table34111510[[#This Row],[KG]]*2.20462)</f>
        <v xml:space="preserve"> </v>
      </c>
      <c r="O99" s="35" t="str">
        <f>IF(Inventory_List_Table34111510[[#This Row],[Q]]&lt;0.1, " ",Inventory_List_Table34111510[[#This Row],[H CM]]/2.54)</f>
        <v xml:space="preserve"> </v>
      </c>
      <c r="P99" s="35" t="str">
        <f>IF(Inventory_List_Table34111510[[#This Row],[Q]]&lt;0.1, " ",Inventory_List_Table34111510[[#This Row],[W CM]]/2.54)</f>
        <v xml:space="preserve"> </v>
      </c>
      <c r="Q99" s="35" t="str">
        <f>IF(Inventory_List_Table34111510[[#This Row],[Q]]&lt;0.1, " ",Inventory_List_Table34111510[[#This Row],[D CM ]]/2.54)</f>
        <v xml:space="preserve"> </v>
      </c>
      <c r="R99" s="30" t="str">
        <f>IF(Inventory_List_Table34111510[[#This Row],[Q]]&lt;0.1, " ",Inventory_List_Table34111510[[#This Row],[PRICE]]/$L$1)</f>
        <v xml:space="preserve"> </v>
      </c>
      <c r="S99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99" s="30" t="str">
        <f>IF(Inventory_List_Table34111510[[#This Row],[Q]]&lt;0.1, " ",Inventory_List_Table34111510[[#This Row],[AQ RND USD]]*1.4)</f>
        <v xml:space="preserve"> </v>
      </c>
      <c r="U99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99" s="30" t="str">
        <f>IF(Inventory_List_Table34111510[[#This Row],[Q]]&lt;0.1, " ",Inventory_List_Table34111510[[#This Row],[LND RND USD]]*12)</f>
        <v xml:space="preserve"> </v>
      </c>
      <c r="W99" s="30" t="str">
        <f>IF(Inventory_List_Table34111510[[#This Row],[Q]]&lt;0.1, " ",Inventory_List_Table34111510[[#This Row],[AQ USD]])</f>
        <v xml:space="preserve"> </v>
      </c>
      <c r="X99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99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99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99" s="30" t="str">
        <f>IF(Inventory_List_Table34111510[[#This Row],[Q]]&lt;0.1, " ",Inventory_List_Table34111510[[#This Row],[PRICE]]/Z99*10000)</f>
        <v xml:space="preserve"> </v>
      </c>
      <c r="AB99" s="27"/>
      <c r="AC99" s="1"/>
      <c r="AD99" s="1"/>
    </row>
    <row r="100" spans="1:30" ht="24" customHeight="1" x14ac:dyDescent="0.3">
      <c r="A100" s="547">
        <v>98</v>
      </c>
      <c r="B100" s="1"/>
      <c r="C100" s="558"/>
      <c r="D100" s="558"/>
      <c r="E100" s="558"/>
      <c r="F100" s="38" t="str">
        <f>IF(Inventory_List_Table34111510[[#This Row],[Q]]&lt;0.1, " ",$A$1&amp;$D$1&amp;Inventory_List_Table34111510[[#This Row],['#]]&amp;Inventory_List_Table34111510[[#This Row],[LC]])</f>
        <v xml:space="preserve"> </v>
      </c>
      <c r="G100" s="93"/>
      <c r="H100" s="93"/>
      <c r="I100" s="93"/>
      <c r="J100" s="93"/>
      <c r="K100" s="93"/>
      <c r="L100" s="95"/>
      <c r="M100" s="30" t="str">
        <f>IF(Inventory_List_Table34111510[[#This Row],[Q]]&lt;0.1, " ", Inventory_List_Table34111510[[#This Row],[Q]]*Inventory_List_Table34111510[[#This Row],[PRICE]])</f>
        <v xml:space="preserve"> </v>
      </c>
      <c r="N100" s="35" t="str">
        <f>IF(Inventory_List_Table34111510[[#This Row],[Q]]&lt;0.1, " ", Inventory_List_Table34111510[[#This Row],[KG]]*2.20462)</f>
        <v xml:space="preserve"> </v>
      </c>
      <c r="O100" s="35" t="str">
        <f>IF(Inventory_List_Table34111510[[#This Row],[Q]]&lt;0.1, " ",Inventory_List_Table34111510[[#This Row],[H CM]]/2.54)</f>
        <v xml:space="preserve"> </v>
      </c>
      <c r="P100" s="35" t="str">
        <f>IF(Inventory_List_Table34111510[[#This Row],[Q]]&lt;0.1, " ",Inventory_List_Table34111510[[#This Row],[W CM]]/2.54)</f>
        <v xml:space="preserve"> </v>
      </c>
      <c r="Q100" s="35" t="str">
        <f>IF(Inventory_List_Table34111510[[#This Row],[Q]]&lt;0.1, " ",Inventory_List_Table34111510[[#This Row],[D CM ]]/2.54)</f>
        <v xml:space="preserve"> </v>
      </c>
      <c r="R100" s="30" t="str">
        <f>IF(Inventory_List_Table34111510[[#This Row],[Q]]&lt;0.1, " ",Inventory_List_Table34111510[[#This Row],[PRICE]]/$L$1)</f>
        <v xml:space="preserve"> </v>
      </c>
      <c r="S100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00" s="30" t="str">
        <f>IF(Inventory_List_Table34111510[[#This Row],[Q]]&lt;0.1, " ",Inventory_List_Table34111510[[#This Row],[AQ RND USD]]*1.4)</f>
        <v xml:space="preserve"> </v>
      </c>
      <c r="U100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00" s="30" t="str">
        <f>IF(Inventory_List_Table34111510[[#This Row],[Q]]&lt;0.1, " ",Inventory_List_Table34111510[[#This Row],[LND RND USD]]*12)</f>
        <v xml:space="preserve"> </v>
      </c>
      <c r="W100" s="30" t="str">
        <f>IF(Inventory_List_Table34111510[[#This Row],[Q]]&lt;0.1, " ",Inventory_List_Table34111510[[#This Row],[AQ USD]])</f>
        <v xml:space="preserve"> </v>
      </c>
      <c r="X100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00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00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00" s="30" t="str">
        <f>IF(Inventory_List_Table34111510[[#This Row],[Q]]&lt;0.1, " ",Inventory_List_Table34111510[[#This Row],[PRICE]]/Z100*10000)</f>
        <v xml:space="preserve"> </v>
      </c>
      <c r="AB100" s="27"/>
      <c r="AC100" s="1"/>
      <c r="AD100" s="1"/>
    </row>
    <row r="101" spans="1:30" ht="24" customHeight="1" x14ac:dyDescent="0.3">
      <c r="A101" s="547">
        <v>99</v>
      </c>
      <c r="B101" s="1"/>
      <c r="C101" s="558"/>
      <c r="D101" s="558"/>
      <c r="E101" s="558"/>
      <c r="F101" s="38" t="str">
        <f>IF(Inventory_List_Table34111510[[#This Row],[Q]]&lt;0.1, " ",$A$1&amp;$D$1&amp;Inventory_List_Table34111510[[#This Row],['#]]&amp;Inventory_List_Table34111510[[#This Row],[LC]])</f>
        <v xml:space="preserve"> </v>
      </c>
      <c r="G101" s="93"/>
      <c r="H101" s="93"/>
      <c r="I101" s="93"/>
      <c r="J101" s="93"/>
      <c r="K101" s="93"/>
      <c r="L101" s="95"/>
      <c r="M101" s="30" t="str">
        <f>IF(Inventory_List_Table34111510[[#This Row],[Q]]&lt;0.1, " ", Inventory_List_Table34111510[[#This Row],[Q]]*Inventory_List_Table34111510[[#This Row],[PRICE]])</f>
        <v xml:space="preserve"> </v>
      </c>
      <c r="N101" s="35" t="str">
        <f>IF(Inventory_List_Table34111510[[#This Row],[Q]]&lt;0.1, " ", Inventory_List_Table34111510[[#This Row],[KG]]*2.20462)</f>
        <v xml:space="preserve"> </v>
      </c>
      <c r="O101" s="35" t="str">
        <f>IF(Inventory_List_Table34111510[[#This Row],[Q]]&lt;0.1, " ",Inventory_List_Table34111510[[#This Row],[H CM]]/2.54)</f>
        <v xml:space="preserve"> </v>
      </c>
      <c r="P101" s="35" t="str">
        <f>IF(Inventory_List_Table34111510[[#This Row],[Q]]&lt;0.1, " ",Inventory_List_Table34111510[[#This Row],[W CM]]/2.54)</f>
        <v xml:space="preserve"> </v>
      </c>
      <c r="Q101" s="35" t="str">
        <f>IF(Inventory_List_Table34111510[[#This Row],[Q]]&lt;0.1, " ",Inventory_List_Table34111510[[#This Row],[D CM ]]/2.54)</f>
        <v xml:space="preserve"> </v>
      </c>
      <c r="R101" s="30" t="str">
        <f>IF(Inventory_List_Table34111510[[#This Row],[Q]]&lt;0.1, " ",Inventory_List_Table34111510[[#This Row],[PRICE]]/$L$1)</f>
        <v xml:space="preserve"> </v>
      </c>
      <c r="S101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01" s="30" t="str">
        <f>IF(Inventory_List_Table34111510[[#This Row],[Q]]&lt;0.1, " ",Inventory_List_Table34111510[[#This Row],[AQ RND USD]]*1.4)</f>
        <v xml:space="preserve"> </v>
      </c>
      <c r="U101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01" s="30" t="str">
        <f>IF(Inventory_List_Table34111510[[#This Row],[Q]]&lt;0.1, " ",Inventory_List_Table34111510[[#This Row],[LND RND USD]]*12)</f>
        <v xml:space="preserve"> </v>
      </c>
      <c r="W101" s="30" t="str">
        <f>IF(Inventory_List_Table34111510[[#This Row],[Q]]&lt;0.1, " ",Inventory_List_Table34111510[[#This Row],[AQ USD]])</f>
        <v xml:space="preserve"> </v>
      </c>
      <c r="X101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01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01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01" s="30" t="str">
        <f>IF(Inventory_List_Table34111510[[#This Row],[Q]]&lt;0.1, " ",Inventory_List_Table34111510[[#This Row],[PRICE]]/Z101*10000)</f>
        <v xml:space="preserve"> </v>
      </c>
      <c r="AB101" s="27"/>
      <c r="AC101" s="1"/>
      <c r="AD101" s="1"/>
    </row>
    <row r="102" spans="1:30" ht="24" customHeight="1" x14ac:dyDescent="0.3">
      <c r="A102" s="547">
        <v>100</v>
      </c>
      <c r="B102" s="1"/>
      <c r="C102" s="558"/>
      <c r="D102" s="558"/>
      <c r="E102" s="558"/>
      <c r="F102" s="38" t="str">
        <f>IF(Inventory_List_Table34111510[[#This Row],[Q]]&lt;0.1, " ",$A$1&amp;$D$1&amp;Inventory_List_Table34111510[[#This Row],['#]]&amp;Inventory_List_Table34111510[[#This Row],[LC]])</f>
        <v xml:space="preserve"> </v>
      </c>
      <c r="G102" s="93"/>
      <c r="H102" s="93"/>
      <c r="I102" s="93"/>
      <c r="J102" s="93"/>
      <c r="K102" s="93"/>
      <c r="L102" s="95"/>
      <c r="M102" s="30" t="str">
        <f>IF(Inventory_List_Table34111510[[#This Row],[Q]]&lt;0.1, " ", Inventory_List_Table34111510[[#This Row],[Q]]*Inventory_List_Table34111510[[#This Row],[PRICE]])</f>
        <v xml:space="preserve"> </v>
      </c>
      <c r="N102" s="35" t="str">
        <f>IF(Inventory_List_Table34111510[[#This Row],[Q]]&lt;0.1, " ", Inventory_List_Table34111510[[#This Row],[KG]]*2.20462)</f>
        <v xml:space="preserve"> </v>
      </c>
      <c r="O102" s="35" t="str">
        <f>IF(Inventory_List_Table34111510[[#This Row],[Q]]&lt;0.1, " ",Inventory_List_Table34111510[[#This Row],[H CM]]/2.54)</f>
        <v xml:space="preserve"> </v>
      </c>
      <c r="P102" s="35" t="str">
        <f>IF(Inventory_List_Table34111510[[#This Row],[Q]]&lt;0.1, " ",Inventory_List_Table34111510[[#This Row],[W CM]]/2.54)</f>
        <v xml:space="preserve"> </v>
      </c>
      <c r="Q102" s="35" t="str">
        <f>IF(Inventory_List_Table34111510[[#This Row],[Q]]&lt;0.1, " ",Inventory_List_Table34111510[[#This Row],[D CM ]]/2.54)</f>
        <v xml:space="preserve"> </v>
      </c>
      <c r="R102" s="30" t="str">
        <f>IF(Inventory_List_Table34111510[[#This Row],[Q]]&lt;0.1, " ",Inventory_List_Table34111510[[#This Row],[PRICE]]/$L$1)</f>
        <v xml:space="preserve"> </v>
      </c>
      <c r="S102" s="30" t="str">
        <f>IF(Inventory_List_Table34111510[[#This Row],[Q]]&lt;0.1, " ",IF(MOD(Inventory_List_Table34111510[[#This Row],[AQ USD]],1)&gt;0.4,ROUNDUP(Inventory_List_Table34111510[[#This Row],[AQ USD]],0),ROUNDDOWN(Inventory_List_Table34111510[[#This Row],[AQ USD]],0)))</f>
        <v xml:space="preserve"> </v>
      </c>
      <c r="T102" s="30" t="str">
        <f>IF(Inventory_List_Table34111510[[#This Row],[Q]]&lt;0.1, " ",Inventory_List_Table34111510[[#This Row],[AQ RND USD]]*1.4)</f>
        <v xml:space="preserve"> </v>
      </c>
      <c r="U102" s="30" t="str">
        <f>IF(Inventory_List_Table34111510[[#This Row],[Q]]&lt;0.1, " ",IF(MOD(Inventory_List_Table34111510[[#This Row],[LND USD]],1)&gt;0.4,ROUNDUP(Inventory_List_Table34111510[[#This Row],[LND USD]],0),ROUNDDOWN(Inventory_List_Table34111510[[#This Row],[LND USD]],0)))</f>
        <v xml:space="preserve"> </v>
      </c>
      <c r="V102" s="30" t="str">
        <f>IF(Inventory_List_Table34111510[[#This Row],[Q]]&lt;0.1, " ",Inventory_List_Table34111510[[#This Row],[LND RND USD]]*12)</f>
        <v xml:space="preserve"> </v>
      </c>
      <c r="W102" s="30" t="str">
        <f>IF(Inventory_List_Table34111510[[#This Row],[Q]]&lt;0.1, " ",Inventory_List_Table34111510[[#This Row],[AQ USD]])</f>
        <v xml:space="preserve"> </v>
      </c>
      <c r="X102" s="1" t="str">
        <f>IF(Inventory_List_Table34111510[[#This Row],[Q]]&lt;0.1, " ",SUBSTITUTE(SUBSTITUTE(SUBSTITUTE(SUBSTITUTE(SUBSTITUTE(SUBSTITUTE(SUBSTITUTE(SUBSTITUTE(SUBSTITUTE(SUBSTITUTE(Inventory_List_Table34111510[[#This Row],[AQ RND USD]], "1", "M"), "2", "O"), "3", "X"), "4", "H"), "5", "E"), "6", "L"), "7", "F"), "8", "A"), "9", "N"), "0", "D"))</f>
        <v xml:space="preserve"> </v>
      </c>
      <c r="Y102" s="1" t="str">
        <f>IF(Inventory_List_Table34111510[[#This Row],[Q]]&lt;0.1, " ",SUBSTITUTE(SUBSTITUTE(SUBSTITUTE(SUBSTITUTE(SUBSTITUTE(SUBSTITUTE(SUBSTITUTE(SUBSTITUTE(SUBSTITUTE(SUBSTITUTE(Inventory_List_Table34111510[[#This Row],[LND RND USD]], "1", "M"), "2", "O"), "3", "X"), "4", "H"), "5", "E"), "6", "L"), "7", "F"), "8", "A"), "9", "N"), "0", "D"))</f>
        <v xml:space="preserve"> </v>
      </c>
      <c r="Z102" s="1" t="str">
        <f>IF(Inventory_List_Table34111510[[#This Row],[Q]]&lt;0.1, " ",Inventory_List_Table34111510[[#This Row],[H CM]]*Inventory_List_Table34111510[[#This Row],[D CM ]]*4+Inventory_List_Table34111510[[#This Row],[W CM]]*Inventory_List_Table34111510[[#This Row],[D CM ]]/10000)</f>
        <v xml:space="preserve"> </v>
      </c>
      <c r="AA102" s="30" t="str">
        <f>IF(Inventory_List_Table34111510[[#This Row],[Q]]&lt;0.1, " ",Inventory_List_Table34111510[[#This Row],[PRICE]]/Z102*10000)</f>
        <v xml:space="preserve"> </v>
      </c>
      <c r="AB102" s="27"/>
      <c r="AC102" s="1"/>
      <c r="AD102" s="1"/>
    </row>
  </sheetData>
  <dataValidations count="12">
    <dataValidation allowBlank="1" showInputMessage="1" showErrorMessage="1" prompt="Enter company name in this cell" sqref="B1" xr:uid="{3A6951D3-C278-4B53-9D69-089963F10FEF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12AEF71E-C6FB-4A42-BB6E-40A0B2942085}"/>
    <dataValidation allowBlank="1" showInputMessage="1" showErrorMessage="1" prompt="Enter the item inventory ID in this column" sqref="E2:E3" xr:uid="{5114EFC1-2F31-4877-B896-6F4D3C949494}"/>
    <dataValidation allowBlank="1" showInputMessage="1" showErrorMessage="1" prompt="Enter the name of the item in this column" sqref="F2:F102" xr:uid="{DA050381-5D00-4657-91A4-928F0EC71D05}"/>
    <dataValidation allowBlank="1" showInputMessage="1" showErrorMessage="1" prompt="Enter yes if the item has been discontinued. When a yes is entered, the corresponding row is highlighted a light grey and the font style changed to strikethrough" sqref="P2:P3" xr:uid="{AEE5F46A-AD40-4C2D-B107-4395E1331B76}"/>
    <dataValidation allowBlank="1" showInputMessage="1" showErrorMessage="1" prompt="Enter the quantity in reorder for each item in this column" sqref="O2:O3" xr:uid="{A4CB15E7-375C-499F-B2A0-B46FAC0B73F1}"/>
    <dataValidation allowBlank="1" showInputMessage="1" showErrorMessage="1" prompt="Enter the number of days it takes to reorder each item in this column" sqref="L2:N3" xr:uid="{E1AB37FA-FA6D-446C-B906-FF8BD47838C5}"/>
    <dataValidation allowBlank="1" showInputMessage="1" showErrorMessage="1" prompt="Enter the reorder level for each item in this column" sqref="K2:K3" xr:uid="{8AC8CDDD-F541-4503-A886-2008E2F5E691}"/>
    <dataValidation allowBlank="1" showInputMessage="1" showErrorMessage="1" prompt="This is an automated column._x000a__x000a_The inventory value for each item is automatically calculated in this column." sqref="J2:J3" xr:uid="{174BDFF2-B8D4-4B4E-9588-E02AF3A3D66D}"/>
    <dataValidation allowBlank="1" showInputMessage="1" showErrorMessage="1" prompt="Enter the quantity in stock for each item in this column" sqref="I2:I3" xr:uid="{2FA0C508-68D7-4601-97C1-96AB16EF50E7}"/>
    <dataValidation allowBlank="1" showInputMessage="1" showErrorMessage="1" prompt="Enter the unit price of each item in this column" sqref="H2:H3" xr:uid="{47CC16E8-ABDB-421B-BF80-96C2D9133DAA}"/>
    <dataValidation allowBlank="1" showInputMessage="1" showErrorMessage="1" prompt="Enter a description of the item in this column" sqref="G2:G3" xr:uid="{14653DCB-07FC-4080-A9DD-9ACE7832A042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BB13-081F-4A2B-9268-C75EA85BB4C4}">
  <sheetPr>
    <tabColor rgb="FF85C1E9"/>
    <pageSetUpPr fitToPage="1"/>
  </sheetPr>
  <dimension ref="A1:AD102"/>
  <sheetViews>
    <sheetView showGridLines="0" zoomScale="55" zoomScaleNormal="55" workbookViewId="0">
      <selection activeCell="N15" sqref="N15"/>
    </sheetView>
  </sheetViews>
  <sheetFormatPr defaultColWidth="8.625" defaultRowHeight="24" customHeight="1" x14ac:dyDescent="0.25"/>
  <cols>
    <col min="1" max="1" width="7.625" style="29" bestFit="1" customWidth="1"/>
    <col min="2" max="2" width="19.75" style="29" bestFit="1" customWidth="1"/>
    <col min="3" max="3" width="21" style="29" customWidth="1"/>
    <col min="4" max="4" width="17.125" style="29" customWidth="1"/>
    <col min="5" max="5" width="32.125" style="29" bestFit="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31.7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6.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111" t="s">
        <v>68</v>
      </c>
      <c r="B1" s="108" t="s">
        <v>76</v>
      </c>
      <c r="C1" s="108" t="s">
        <v>17</v>
      </c>
      <c r="D1" s="108">
        <v>326</v>
      </c>
      <c r="E1" s="108"/>
      <c r="F1" s="108"/>
      <c r="G1" s="108"/>
      <c r="H1" s="108"/>
      <c r="I1" s="108"/>
      <c r="J1" s="114"/>
      <c r="K1" s="108" t="s">
        <v>18</v>
      </c>
      <c r="L1" s="115">
        <v>18</v>
      </c>
      <c r="M1" s="554">
        <f>SUM(Inventory_List_Table341115109[TOTAL PESOS])</f>
        <v>40600</v>
      </c>
      <c r="N1" s="121"/>
      <c r="O1" s="121"/>
      <c r="P1" s="121"/>
      <c r="Q1" s="122"/>
      <c r="R1" s="119"/>
      <c r="S1" s="123"/>
      <c r="T1" s="124"/>
      <c r="U1" s="124"/>
      <c r="V1" s="124"/>
      <c r="W1" s="125">
        <f>SUM(Inventory_List_Table341115109[TOTAL USD])</f>
        <v>1488.8888888888887</v>
      </c>
      <c r="X1" s="126"/>
      <c r="Y1" s="126"/>
      <c r="Z1" s="126"/>
      <c r="AA1" s="127" t="e">
        <f>IF(G3&gt;0.1, AVERAGE(Inventory_List_Table341115109[NOTES]), " ")</f>
        <v>#DIV/0!</v>
      </c>
      <c r="AB1" s="119"/>
    </row>
    <row r="2" spans="1:30" s="39" customFormat="1" ht="40.9" customHeight="1" x14ac:dyDescent="0.25">
      <c r="A2" s="112" t="s">
        <v>19</v>
      </c>
      <c r="B2" s="109" t="s">
        <v>56</v>
      </c>
      <c r="C2" s="112" t="s">
        <v>146</v>
      </c>
      <c r="D2" s="112" t="s">
        <v>145</v>
      </c>
      <c r="E2" s="112" t="s">
        <v>55</v>
      </c>
      <c r="F2" s="112" t="s">
        <v>20</v>
      </c>
      <c r="G2" s="112" t="s">
        <v>9</v>
      </c>
      <c r="H2" s="112" t="s">
        <v>10</v>
      </c>
      <c r="I2" s="112" t="s">
        <v>15</v>
      </c>
      <c r="J2" s="112" t="s">
        <v>11</v>
      </c>
      <c r="K2" s="112" t="s">
        <v>12</v>
      </c>
      <c r="L2" s="109" t="s">
        <v>25</v>
      </c>
      <c r="M2" s="128" t="s">
        <v>21</v>
      </c>
      <c r="N2" s="129" t="s">
        <v>13</v>
      </c>
      <c r="O2" s="129" t="s">
        <v>22</v>
      </c>
      <c r="P2" s="129" t="s">
        <v>23</v>
      </c>
      <c r="Q2" s="129" t="s">
        <v>24</v>
      </c>
      <c r="R2" s="130" t="s">
        <v>57</v>
      </c>
      <c r="S2" s="109" t="s">
        <v>58</v>
      </c>
      <c r="T2" s="130" t="s">
        <v>59</v>
      </c>
      <c r="U2" s="130" t="s">
        <v>60</v>
      </c>
      <c r="V2" s="130" t="s">
        <v>61</v>
      </c>
      <c r="W2" s="131" t="s">
        <v>14</v>
      </c>
      <c r="X2" s="131" t="s">
        <v>16</v>
      </c>
      <c r="Y2" s="131" t="s">
        <v>1</v>
      </c>
      <c r="Z2" s="108" t="s">
        <v>62</v>
      </c>
      <c r="AA2" s="115" t="s">
        <v>63</v>
      </c>
      <c r="AB2" s="108" t="s">
        <v>64</v>
      </c>
    </row>
    <row r="3" spans="1:30" s="29" customFormat="1" ht="23.25" x14ac:dyDescent="0.35">
      <c r="A3" s="113">
        <v>1</v>
      </c>
      <c r="B3" s="1"/>
      <c r="C3" s="116" t="s">
        <v>144</v>
      </c>
      <c r="D3" s="116" t="s">
        <v>150</v>
      </c>
      <c r="E3" s="116" t="s">
        <v>152</v>
      </c>
      <c r="F3" s="38" t="str">
        <f>IF(Inventory_List_Table341115109[[#This Row],[Q]]&lt;0.1, " ",$A$1&amp;$D$1&amp;Inventory_List_Table341115109[[#This Row],['#]]&amp;Inventory_List_Table341115109[[#This Row],[LC]])</f>
        <v>CA3261MDFH</v>
      </c>
      <c r="G3" s="116">
        <v>2</v>
      </c>
      <c r="H3" s="116"/>
      <c r="I3" s="116"/>
      <c r="J3" s="116"/>
      <c r="K3" s="116"/>
      <c r="L3" s="117">
        <v>13800</v>
      </c>
      <c r="M3" s="30">
        <f>IF(Inventory_List_Table341115109[[#This Row],[Q]]&lt;0.1, " ", Inventory_List_Table341115109[[#This Row],[Q]]*Inventory_List_Table341115109[[#This Row],[PRICE]])</f>
        <v>27600</v>
      </c>
      <c r="N3" s="35">
        <f>IF(Inventory_List_Table341115109[[#This Row],[Q]]&lt;0.1, " ", Inventory_List_Table341115109[[#This Row],[KG]]*2.20462)</f>
        <v>0</v>
      </c>
      <c r="O3" s="35">
        <f>IF(Inventory_List_Table341115109[[#This Row],[Q]]&lt;0.1, " ",Inventory_List_Table341115109[[#This Row],[H CM]]/2.54)</f>
        <v>0</v>
      </c>
      <c r="P3" s="35">
        <f>IF(Inventory_List_Table341115109[[#This Row],[Q]]&lt;0.1, " ",Inventory_List_Table341115109[[#This Row],[W CM]]/2.54)</f>
        <v>0</v>
      </c>
      <c r="Q3" s="35">
        <f>IF(Inventory_List_Table341115109[[#This Row],[Q]]&lt;0.1, " ",Inventory_List_Table341115109[[#This Row],[D CM ]]/2.54)</f>
        <v>0</v>
      </c>
      <c r="R3" s="30">
        <f>IF(Inventory_List_Table341115109[[#This Row],[Q]]&lt;0.1, " ",Inventory_List_Table341115109[[#This Row],[PRICE]]/$L$1)</f>
        <v>766.66666666666663</v>
      </c>
      <c r="S3" s="30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>767</v>
      </c>
      <c r="T3" s="30">
        <f>IF(Inventory_List_Table341115109[[#This Row],[Q]]&lt;0.1, " ",Inventory_List_Table341115109[[#This Row],[AQ RND USD]]*1.4)</f>
        <v>1073.8</v>
      </c>
      <c r="U3" s="30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>1074</v>
      </c>
      <c r="V3" s="30">
        <f>IF(Inventory_List_Table341115109[[#This Row],[Q]]&lt;0.1, " ",Inventory_List_Table341115109[[#This Row],[LND RND USD]]*12)</f>
        <v>12888</v>
      </c>
      <c r="W3" s="30">
        <f>IF(Inventory_List_Table341115109[[#This Row],[Q]]&lt;0.1, " ",Inventory_List_Table341115109[[#This Row],[AQ USD]])</f>
        <v>766.66666666666663</v>
      </c>
      <c r="X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>FLF</v>
      </c>
      <c r="Y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>MDFH</v>
      </c>
      <c r="Z3" s="1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>0</v>
      </c>
      <c r="AA3" s="36" t="e">
        <f>IF(Inventory_List_Table341115109[[#This Row],[Q]]&lt;0.1, " ",Inventory_List_Table341115109[[#This Row],[PRICE]]/Z3*10000)</f>
        <v>#DIV/0!</v>
      </c>
      <c r="AB3" s="110"/>
      <c r="AC3" s="27"/>
      <c r="AD3" s="28"/>
    </row>
    <row r="4" spans="1:30" ht="21" x14ac:dyDescent="0.3">
      <c r="A4" s="113">
        <v>2</v>
      </c>
      <c r="B4" s="1"/>
      <c r="C4" s="116" t="s">
        <v>144</v>
      </c>
      <c r="D4" s="116" t="s">
        <v>150</v>
      </c>
      <c r="E4" s="116" t="s">
        <v>151</v>
      </c>
      <c r="F4" s="38" t="str">
        <f>IF(Inventory_List_Table341115109[[#This Row],[Q]]&lt;0.1, " ",$A$1&amp;$D$1&amp;Inventory_List_Table341115109[[#This Row],['#]]&amp;Inventory_List_Table341115109[[#This Row],[LC]])</f>
        <v>CA3262MDMM</v>
      </c>
      <c r="G4" s="116">
        <v>1</v>
      </c>
      <c r="H4" s="116"/>
      <c r="I4" s="116"/>
      <c r="J4" s="116"/>
      <c r="K4" s="116"/>
      <c r="L4" s="118">
        <v>13000</v>
      </c>
      <c r="M4" s="30">
        <f>IF(Inventory_List_Table341115109[[#This Row],[Q]]&lt;0.1, " ", Inventory_List_Table341115109[[#This Row],[Q]]*Inventory_List_Table341115109[[#This Row],[PRICE]])</f>
        <v>13000</v>
      </c>
      <c r="N4" s="35">
        <f>IF(Inventory_List_Table341115109[[#This Row],[Q]]&lt;0.1, " ", Inventory_List_Table341115109[[#This Row],[KG]]*2.20462)</f>
        <v>0</v>
      </c>
      <c r="O4" s="35">
        <f>IF(Inventory_List_Table341115109[[#This Row],[Q]]&lt;0.1, " ",Inventory_List_Table341115109[[#This Row],[H CM]]/2.54)</f>
        <v>0</v>
      </c>
      <c r="P4" s="35">
        <f>IF(Inventory_List_Table341115109[[#This Row],[Q]]&lt;0.1, " ",Inventory_List_Table341115109[[#This Row],[W CM]]/2.54)</f>
        <v>0</v>
      </c>
      <c r="Q4" s="35">
        <f>IF(Inventory_List_Table341115109[[#This Row],[Q]]&lt;0.1, " ",Inventory_List_Table341115109[[#This Row],[D CM ]]/2.54)</f>
        <v>0</v>
      </c>
      <c r="R4" s="30">
        <f>IF(Inventory_List_Table341115109[[#This Row],[Q]]&lt;0.1, " ",Inventory_List_Table341115109[[#This Row],[PRICE]]/$L$1)</f>
        <v>722.22222222222217</v>
      </c>
      <c r="S4" s="30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>722</v>
      </c>
      <c r="T4" s="30">
        <f>IF(Inventory_List_Table341115109[[#This Row],[Q]]&lt;0.1, " ",Inventory_List_Table341115109[[#This Row],[AQ RND USD]]*1.4)</f>
        <v>1010.8</v>
      </c>
      <c r="U4" s="30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>1011</v>
      </c>
      <c r="V4" s="30">
        <f>IF(Inventory_List_Table341115109[[#This Row],[Q]]&lt;0.1, " ",Inventory_List_Table341115109[[#This Row],[LND RND USD]]*12)</f>
        <v>12132</v>
      </c>
      <c r="W4" s="30">
        <f>IF(Inventory_List_Table341115109[[#This Row],[Q]]&lt;0.1, " ",Inventory_List_Table341115109[[#This Row],[AQ USD]])</f>
        <v>722.22222222222217</v>
      </c>
      <c r="X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>FOO</v>
      </c>
      <c r="Y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>MDMM</v>
      </c>
      <c r="Z4" s="1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>0</v>
      </c>
      <c r="AA4" s="30" t="e">
        <f>IF(Inventory_List_Table341115109[[#This Row],[Q]]&lt;0.1, " ",Inventory_List_Table341115109[[#This Row],[PRICE]]/Z4*10000)</f>
        <v>#DIV/0!</v>
      </c>
      <c r="AB4" s="120"/>
      <c r="AC4" s="1"/>
      <c r="AD4" s="1"/>
    </row>
    <row r="5" spans="1:30" ht="24" customHeight="1" x14ac:dyDescent="0.3">
      <c r="A5" s="113">
        <v>3</v>
      </c>
      <c r="B5" s="1"/>
      <c r="C5" s="116"/>
      <c r="D5" s="116"/>
      <c r="E5" s="116"/>
      <c r="F5" s="38" t="str">
        <f>IF(Inventory_List_Table341115109[[#This Row],[Q]]&lt;0.1, " ",$A$1&amp;$D$1&amp;Inventory_List_Table341115109[[#This Row],['#]]&amp;Inventory_List_Table341115109[[#This Row],[LC]])</f>
        <v xml:space="preserve"> </v>
      </c>
      <c r="G5" s="116"/>
      <c r="H5" s="116"/>
      <c r="I5" s="116"/>
      <c r="J5" s="116"/>
      <c r="K5" s="116"/>
      <c r="L5" s="118"/>
      <c r="M5" s="30" t="str">
        <f>IF(Inventory_List_Table341115109[[#This Row],[Q]]&lt;0.1, " ", Inventory_List_Table341115109[[#This Row],[Q]]*Inventory_List_Table341115109[[#This Row],[PRICE]])</f>
        <v xml:space="preserve"> </v>
      </c>
      <c r="N5" s="35" t="str">
        <f>IF(Inventory_List_Table341115109[[#This Row],[Q]]&lt;0.1, " ", Inventory_List_Table341115109[[#This Row],[KG]]*2.20462)</f>
        <v xml:space="preserve"> </v>
      </c>
      <c r="O5" s="35" t="str">
        <f>IF(Inventory_List_Table341115109[[#This Row],[Q]]&lt;0.1, " ",Inventory_List_Table341115109[[#This Row],[H CM]]/2.54)</f>
        <v xml:space="preserve"> </v>
      </c>
      <c r="P5" s="35" t="str">
        <f>IF(Inventory_List_Table341115109[[#This Row],[Q]]&lt;0.1, " ",Inventory_List_Table341115109[[#This Row],[W CM]]/2.54)</f>
        <v xml:space="preserve"> </v>
      </c>
      <c r="Q5" s="35" t="str">
        <f>IF(Inventory_List_Table341115109[[#This Row],[Q]]&lt;0.1, " ",Inventory_List_Table341115109[[#This Row],[D CM ]]/2.54)</f>
        <v xml:space="preserve"> </v>
      </c>
      <c r="R5" s="30" t="str">
        <f>IF(Inventory_List_Table341115109[[#This Row],[Q]]&lt;0.1, " ",Inventory_List_Table341115109[[#This Row],[PRICE]]/$L$1)</f>
        <v xml:space="preserve"> </v>
      </c>
      <c r="S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" s="30" t="str">
        <f>IF(Inventory_List_Table341115109[[#This Row],[Q]]&lt;0.1, " ",Inventory_List_Table341115109[[#This Row],[AQ RND USD]]*1.4)</f>
        <v xml:space="preserve"> </v>
      </c>
      <c r="U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" s="30" t="str">
        <f>IF(Inventory_List_Table341115109[[#This Row],[Q]]&lt;0.1, " ",Inventory_List_Table341115109[[#This Row],[LND RND USD]]*12)</f>
        <v xml:space="preserve"> </v>
      </c>
      <c r="W5" s="30" t="str">
        <f>IF(Inventory_List_Table341115109[[#This Row],[Q]]&lt;0.1, " ",Inventory_List_Table341115109[[#This Row],[AQ USD]])</f>
        <v xml:space="preserve"> </v>
      </c>
      <c r="X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" s="30" t="str">
        <f>IF(Inventory_List_Table341115109[[#This Row],[Q]]&lt;0.1, " ",Inventory_List_Table341115109[[#This Row],[PRICE]]/Z5*10000)</f>
        <v xml:space="preserve"> </v>
      </c>
      <c r="AB5" s="120"/>
      <c r="AC5" s="1"/>
      <c r="AD5" s="1"/>
    </row>
    <row r="6" spans="1:30" ht="24" customHeight="1" x14ac:dyDescent="0.3">
      <c r="A6" s="113">
        <v>4</v>
      </c>
      <c r="B6" s="1"/>
      <c r="C6" s="116"/>
      <c r="D6" s="116"/>
      <c r="E6" s="116"/>
      <c r="F6" s="38" t="str">
        <f>IF(Inventory_List_Table341115109[[#This Row],[Q]]&lt;0.1, " ",$A$1&amp;$D$1&amp;Inventory_List_Table341115109[[#This Row],['#]]&amp;Inventory_List_Table341115109[[#This Row],[LC]])</f>
        <v xml:space="preserve"> </v>
      </c>
      <c r="G6" s="116"/>
      <c r="H6" s="116"/>
      <c r="I6" s="116"/>
      <c r="J6" s="116"/>
      <c r="K6" s="116"/>
      <c r="L6" s="118"/>
      <c r="M6" s="30" t="str">
        <f>IF(Inventory_List_Table341115109[[#This Row],[Q]]&lt;0.1, " ", Inventory_List_Table341115109[[#This Row],[Q]]*Inventory_List_Table341115109[[#This Row],[PRICE]])</f>
        <v xml:space="preserve"> </v>
      </c>
      <c r="N6" s="35" t="str">
        <f>IF(Inventory_List_Table341115109[[#This Row],[Q]]&lt;0.1, " ", Inventory_List_Table341115109[[#This Row],[KG]]*2.20462)</f>
        <v xml:space="preserve"> </v>
      </c>
      <c r="O6" s="35" t="str">
        <f>IF(Inventory_List_Table341115109[[#This Row],[Q]]&lt;0.1, " ",Inventory_List_Table341115109[[#This Row],[H CM]]/2.54)</f>
        <v xml:space="preserve"> </v>
      </c>
      <c r="P6" s="35" t="str">
        <f>IF(Inventory_List_Table341115109[[#This Row],[Q]]&lt;0.1, " ",Inventory_List_Table341115109[[#This Row],[W CM]]/2.54)</f>
        <v xml:space="preserve"> </v>
      </c>
      <c r="Q6" s="35" t="str">
        <f>IF(Inventory_List_Table341115109[[#This Row],[Q]]&lt;0.1, " ",Inventory_List_Table341115109[[#This Row],[D CM ]]/2.54)</f>
        <v xml:space="preserve"> </v>
      </c>
      <c r="R6" s="30" t="str">
        <f>IF(Inventory_List_Table341115109[[#This Row],[Q]]&lt;0.1, " ",Inventory_List_Table341115109[[#This Row],[PRICE]]/$L$1)</f>
        <v xml:space="preserve"> </v>
      </c>
      <c r="S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" s="30" t="str">
        <f>IF(Inventory_List_Table341115109[[#This Row],[Q]]&lt;0.1, " ",Inventory_List_Table341115109[[#This Row],[AQ RND USD]]*1.4)</f>
        <v xml:space="preserve"> </v>
      </c>
      <c r="U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" s="30" t="str">
        <f>IF(Inventory_List_Table341115109[[#This Row],[Q]]&lt;0.1, " ",Inventory_List_Table341115109[[#This Row],[LND RND USD]]*12)</f>
        <v xml:space="preserve"> </v>
      </c>
      <c r="W6" s="30" t="str">
        <f>IF(Inventory_List_Table341115109[[#This Row],[Q]]&lt;0.1, " ",Inventory_List_Table341115109[[#This Row],[AQ USD]])</f>
        <v xml:space="preserve"> </v>
      </c>
      <c r="X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" s="30" t="str">
        <f>IF(Inventory_List_Table341115109[[#This Row],[Q]]&lt;0.1, " ",Inventory_List_Table341115109[[#This Row],[PRICE]]/Z6*10000)</f>
        <v xml:space="preserve"> </v>
      </c>
      <c r="AB6" s="120"/>
      <c r="AC6" s="1"/>
      <c r="AD6" s="1"/>
    </row>
    <row r="7" spans="1:30" ht="24" customHeight="1" x14ac:dyDescent="0.3">
      <c r="A7" s="113">
        <v>5</v>
      </c>
      <c r="B7" s="1"/>
      <c r="C7" s="116"/>
      <c r="D7" s="116"/>
      <c r="E7" s="116"/>
      <c r="F7" s="38" t="str">
        <f>IF(Inventory_List_Table341115109[[#This Row],[Q]]&lt;0.1, " ",$A$1&amp;$D$1&amp;Inventory_List_Table341115109[[#This Row],['#]]&amp;Inventory_List_Table341115109[[#This Row],[LC]])</f>
        <v xml:space="preserve"> </v>
      </c>
      <c r="G7" s="116"/>
      <c r="H7" s="116"/>
      <c r="I7" s="116"/>
      <c r="J7" s="116"/>
      <c r="K7" s="116"/>
      <c r="L7" s="118"/>
      <c r="M7" s="30" t="str">
        <f>IF(Inventory_List_Table341115109[[#This Row],[Q]]&lt;0.1, " ", Inventory_List_Table341115109[[#This Row],[Q]]*Inventory_List_Table341115109[[#This Row],[PRICE]])</f>
        <v xml:space="preserve"> </v>
      </c>
      <c r="N7" s="35" t="str">
        <f>IF(Inventory_List_Table341115109[[#This Row],[Q]]&lt;0.1, " ", Inventory_List_Table341115109[[#This Row],[KG]]*2.20462)</f>
        <v xml:space="preserve"> </v>
      </c>
      <c r="O7" s="35" t="str">
        <f>IF(Inventory_List_Table341115109[[#This Row],[Q]]&lt;0.1, " ",Inventory_List_Table341115109[[#This Row],[H CM]]/2.54)</f>
        <v xml:space="preserve"> </v>
      </c>
      <c r="P7" s="35" t="str">
        <f>IF(Inventory_List_Table341115109[[#This Row],[Q]]&lt;0.1, " ",Inventory_List_Table341115109[[#This Row],[W CM]]/2.54)</f>
        <v xml:space="preserve"> </v>
      </c>
      <c r="Q7" s="35" t="str">
        <f>IF(Inventory_List_Table341115109[[#This Row],[Q]]&lt;0.1, " ",Inventory_List_Table341115109[[#This Row],[D CM ]]/2.54)</f>
        <v xml:space="preserve"> </v>
      </c>
      <c r="R7" s="30" t="str">
        <f>IF(Inventory_List_Table341115109[[#This Row],[Q]]&lt;0.1, " ",Inventory_List_Table341115109[[#This Row],[PRICE]]/$L$1)</f>
        <v xml:space="preserve"> </v>
      </c>
      <c r="S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" s="30" t="str">
        <f>IF(Inventory_List_Table341115109[[#This Row],[Q]]&lt;0.1, " ",Inventory_List_Table341115109[[#This Row],[AQ RND USD]]*1.4)</f>
        <v xml:space="preserve"> </v>
      </c>
      <c r="U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" s="30" t="str">
        <f>IF(Inventory_List_Table341115109[[#This Row],[Q]]&lt;0.1, " ",Inventory_List_Table341115109[[#This Row],[LND RND USD]]*12)</f>
        <v xml:space="preserve"> </v>
      </c>
      <c r="W7" s="30" t="str">
        <f>IF(Inventory_List_Table341115109[[#This Row],[Q]]&lt;0.1, " ",Inventory_List_Table341115109[[#This Row],[AQ USD]])</f>
        <v xml:space="preserve"> </v>
      </c>
      <c r="X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" s="30" t="str">
        <f>IF(Inventory_List_Table341115109[[#This Row],[Q]]&lt;0.1, " ",Inventory_List_Table341115109[[#This Row],[PRICE]]/Z7*10000)</f>
        <v xml:space="preserve"> </v>
      </c>
      <c r="AB7" s="120"/>
      <c r="AC7" s="1"/>
      <c r="AD7" s="1"/>
    </row>
    <row r="8" spans="1:30" ht="24" customHeight="1" x14ac:dyDescent="0.3">
      <c r="A8" s="113">
        <v>6</v>
      </c>
      <c r="B8" s="1"/>
      <c r="C8" s="116"/>
      <c r="D8" s="116"/>
      <c r="E8" s="116"/>
      <c r="F8" s="38" t="str">
        <f>IF(Inventory_List_Table341115109[[#This Row],[Q]]&lt;0.1, " ",$A$1&amp;$D$1&amp;Inventory_List_Table341115109[[#This Row],['#]]&amp;Inventory_List_Table341115109[[#This Row],[LC]])</f>
        <v xml:space="preserve"> </v>
      </c>
      <c r="G8" s="116"/>
      <c r="H8" s="116"/>
      <c r="I8" s="116"/>
      <c r="J8" s="116"/>
      <c r="K8" s="116"/>
      <c r="L8" s="118"/>
      <c r="M8" s="30" t="str">
        <f>IF(Inventory_List_Table341115109[[#This Row],[Q]]&lt;0.1, " ", Inventory_List_Table341115109[[#This Row],[Q]]*Inventory_List_Table341115109[[#This Row],[PRICE]])</f>
        <v xml:space="preserve"> </v>
      </c>
      <c r="N8" s="35" t="str">
        <f>IF(Inventory_List_Table341115109[[#This Row],[Q]]&lt;0.1, " ", Inventory_List_Table341115109[[#This Row],[KG]]*2.20462)</f>
        <v xml:space="preserve"> </v>
      </c>
      <c r="O8" s="35" t="str">
        <f>IF(Inventory_List_Table341115109[[#This Row],[Q]]&lt;0.1, " ",Inventory_List_Table341115109[[#This Row],[H CM]]/2.54)</f>
        <v xml:space="preserve"> </v>
      </c>
      <c r="P8" s="35" t="str">
        <f>IF(Inventory_List_Table341115109[[#This Row],[Q]]&lt;0.1, " ",Inventory_List_Table341115109[[#This Row],[W CM]]/2.54)</f>
        <v xml:space="preserve"> </v>
      </c>
      <c r="Q8" s="35" t="str">
        <f>IF(Inventory_List_Table341115109[[#This Row],[Q]]&lt;0.1, " ",Inventory_List_Table341115109[[#This Row],[D CM ]]/2.54)</f>
        <v xml:space="preserve"> </v>
      </c>
      <c r="R8" s="30" t="str">
        <f>IF(Inventory_List_Table341115109[[#This Row],[Q]]&lt;0.1, " ",Inventory_List_Table341115109[[#This Row],[PRICE]]/$L$1)</f>
        <v xml:space="preserve"> </v>
      </c>
      <c r="S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" s="30" t="str">
        <f>IF(Inventory_List_Table341115109[[#This Row],[Q]]&lt;0.1, " ",Inventory_List_Table341115109[[#This Row],[AQ RND USD]]*1.4)</f>
        <v xml:space="preserve"> </v>
      </c>
      <c r="U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" s="30" t="str">
        <f>IF(Inventory_List_Table341115109[[#This Row],[Q]]&lt;0.1, " ",Inventory_List_Table341115109[[#This Row],[LND RND USD]]*12)</f>
        <v xml:space="preserve"> </v>
      </c>
      <c r="W8" s="30" t="str">
        <f>IF(Inventory_List_Table341115109[[#This Row],[Q]]&lt;0.1, " ",Inventory_List_Table341115109[[#This Row],[AQ USD]])</f>
        <v xml:space="preserve"> </v>
      </c>
      <c r="X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" s="30" t="str">
        <f>IF(Inventory_List_Table341115109[[#This Row],[Q]]&lt;0.1, " ",Inventory_List_Table341115109[[#This Row],[PRICE]]/Z8*10000)</f>
        <v xml:space="preserve"> </v>
      </c>
      <c r="AB8" s="120"/>
      <c r="AC8" s="1"/>
      <c r="AD8" s="1"/>
    </row>
    <row r="9" spans="1:30" ht="24" customHeight="1" x14ac:dyDescent="0.3">
      <c r="A9" s="113">
        <v>7</v>
      </c>
      <c r="B9" s="1"/>
      <c r="C9" s="116"/>
      <c r="D9" s="116"/>
      <c r="E9" s="116"/>
      <c r="F9" s="38" t="str">
        <f>IF(Inventory_List_Table341115109[[#This Row],[Q]]&lt;0.1, " ",$A$1&amp;$D$1&amp;Inventory_List_Table341115109[[#This Row],['#]]&amp;Inventory_List_Table341115109[[#This Row],[LC]])</f>
        <v xml:space="preserve"> </v>
      </c>
      <c r="G9" s="116"/>
      <c r="H9" s="116"/>
      <c r="I9" s="116"/>
      <c r="J9" s="116"/>
      <c r="K9" s="116"/>
      <c r="L9" s="118"/>
      <c r="M9" s="30" t="str">
        <f>IF(Inventory_List_Table341115109[[#This Row],[Q]]&lt;0.1, " ", Inventory_List_Table341115109[[#This Row],[Q]]*Inventory_List_Table341115109[[#This Row],[PRICE]])</f>
        <v xml:space="preserve"> </v>
      </c>
      <c r="N9" s="35" t="str">
        <f>IF(Inventory_List_Table341115109[[#This Row],[Q]]&lt;0.1, " ", Inventory_List_Table341115109[[#This Row],[KG]]*2.20462)</f>
        <v xml:space="preserve"> </v>
      </c>
      <c r="O9" s="35" t="str">
        <f>IF(Inventory_List_Table341115109[[#This Row],[Q]]&lt;0.1, " ",Inventory_List_Table341115109[[#This Row],[H CM]]/2.54)</f>
        <v xml:space="preserve"> </v>
      </c>
      <c r="P9" s="35" t="str">
        <f>IF(Inventory_List_Table341115109[[#This Row],[Q]]&lt;0.1, " ",Inventory_List_Table341115109[[#This Row],[W CM]]/2.54)</f>
        <v xml:space="preserve"> </v>
      </c>
      <c r="Q9" s="35" t="str">
        <f>IF(Inventory_List_Table341115109[[#This Row],[Q]]&lt;0.1, " ",Inventory_List_Table341115109[[#This Row],[D CM ]]/2.54)</f>
        <v xml:space="preserve"> </v>
      </c>
      <c r="R9" s="30" t="str">
        <f>IF(Inventory_List_Table341115109[[#This Row],[Q]]&lt;0.1, " ",Inventory_List_Table341115109[[#This Row],[PRICE]]/$L$1)</f>
        <v xml:space="preserve"> </v>
      </c>
      <c r="S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" s="30" t="str">
        <f>IF(Inventory_List_Table341115109[[#This Row],[Q]]&lt;0.1, " ",Inventory_List_Table341115109[[#This Row],[AQ RND USD]]*1.4)</f>
        <v xml:space="preserve"> </v>
      </c>
      <c r="U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" s="30" t="str">
        <f>IF(Inventory_List_Table341115109[[#This Row],[Q]]&lt;0.1, " ",Inventory_List_Table341115109[[#This Row],[LND RND USD]]*12)</f>
        <v xml:space="preserve"> </v>
      </c>
      <c r="W9" s="30" t="str">
        <f>IF(Inventory_List_Table341115109[[#This Row],[Q]]&lt;0.1, " ",Inventory_List_Table341115109[[#This Row],[AQ USD]])</f>
        <v xml:space="preserve"> </v>
      </c>
      <c r="X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" s="30" t="str">
        <f>IF(Inventory_List_Table341115109[[#This Row],[Q]]&lt;0.1, " ",Inventory_List_Table341115109[[#This Row],[PRICE]]/Z9*10000)</f>
        <v xml:space="preserve"> </v>
      </c>
      <c r="AB9" s="120"/>
      <c r="AC9" s="1"/>
      <c r="AD9" s="1"/>
    </row>
    <row r="10" spans="1:30" ht="24" customHeight="1" x14ac:dyDescent="0.3">
      <c r="A10" s="113">
        <v>8</v>
      </c>
      <c r="B10" s="1"/>
      <c r="C10" s="116"/>
      <c r="D10" s="116"/>
      <c r="E10" s="116"/>
      <c r="F10" s="38" t="str">
        <f>IF(Inventory_List_Table341115109[[#This Row],[Q]]&lt;0.1, " ",$A$1&amp;$D$1&amp;Inventory_List_Table341115109[[#This Row],['#]]&amp;Inventory_List_Table341115109[[#This Row],[LC]])</f>
        <v xml:space="preserve"> </v>
      </c>
      <c r="G10" s="116"/>
      <c r="H10" s="116"/>
      <c r="I10" s="116"/>
      <c r="J10" s="116"/>
      <c r="K10" s="116"/>
      <c r="L10" s="118"/>
      <c r="M10" s="30" t="str">
        <f>IF(Inventory_List_Table341115109[[#This Row],[Q]]&lt;0.1, " ", Inventory_List_Table341115109[[#This Row],[Q]]*Inventory_List_Table341115109[[#This Row],[PRICE]])</f>
        <v xml:space="preserve"> </v>
      </c>
      <c r="N10" s="35" t="str">
        <f>IF(Inventory_List_Table341115109[[#This Row],[Q]]&lt;0.1, " ", Inventory_List_Table341115109[[#This Row],[KG]]*2.20462)</f>
        <v xml:space="preserve"> </v>
      </c>
      <c r="O10" s="35" t="str">
        <f>IF(Inventory_List_Table341115109[[#This Row],[Q]]&lt;0.1, " ",Inventory_List_Table341115109[[#This Row],[H CM]]/2.54)</f>
        <v xml:space="preserve"> </v>
      </c>
      <c r="P10" s="35" t="str">
        <f>IF(Inventory_List_Table341115109[[#This Row],[Q]]&lt;0.1, " ",Inventory_List_Table341115109[[#This Row],[W CM]]/2.54)</f>
        <v xml:space="preserve"> </v>
      </c>
      <c r="Q10" s="35" t="str">
        <f>IF(Inventory_List_Table341115109[[#This Row],[Q]]&lt;0.1, " ",Inventory_List_Table341115109[[#This Row],[D CM ]]/2.54)</f>
        <v xml:space="preserve"> </v>
      </c>
      <c r="R10" s="30" t="str">
        <f>IF(Inventory_List_Table341115109[[#This Row],[Q]]&lt;0.1, " ",Inventory_List_Table341115109[[#This Row],[PRICE]]/$L$1)</f>
        <v xml:space="preserve"> </v>
      </c>
      <c r="S1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0" s="30" t="str">
        <f>IF(Inventory_List_Table341115109[[#This Row],[Q]]&lt;0.1, " ",Inventory_List_Table341115109[[#This Row],[AQ RND USD]]*1.4)</f>
        <v xml:space="preserve"> </v>
      </c>
      <c r="U1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0" s="30" t="str">
        <f>IF(Inventory_List_Table341115109[[#This Row],[Q]]&lt;0.1, " ",Inventory_List_Table341115109[[#This Row],[LND RND USD]]*12)</f>
        <v xml:space="preserve"> </v>
      </c>
      <c r="W10" s="30" t="str">
        <f>IF(Inventory_List_Table341115109[[#This Row],[Q]]&lt;0.1, " ",Inventory_List_Table341115109[[#This Row],[AQ USD]])</f>
        <v xml:space="preserve"> </v>
      </c>
      <c r="X1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0" s="30" t="str">
        <f>IF(Inventory_List_Table341115109[[#This Row],[Q]]&lt;0.1, " ",Inventory_List_Table341115109[[#This Row],[PRICE]]/Z10*10000)</f>
        <v xml:space="preserve"> </v>
      </c>
      <c r="AB10" s="120"/>
      <c r="AC10" s="1"/>
      <c r="AD10" s="1"/>
    </row>
    <row r="11" spans="1:30" ht="24" customHeight="1" x14ac:dyDescent="0.3">
      <c r="A11" s="113">
        <v>9</v>
      </c>
      <c r="B11" s="1"/>
      <c r="C11" s="116"/>
      <c r="D11" s="116"/>
      <c r="E11" s="116"/>
      <c r="F11" s="38" t="str">
        <f>IF(Inventory_List_Table341115109[[#This Row],[Q]]&lt;0.1, " ",$A$1&amp;$D$1&amp;Inventory_List_Table341115109[[#This Row],['#]]&amp;Inventory_List_Table341115109[[#This Row],[LC]])</f>
        <v xml:space="preserve"> </v>
      </c>
      <c r="G11" s="116"/>
      <c r="H11" s="116"/>
      <c r="I11" s="116"/>
      <c r="J11" s="116"/>
      <c r="K11" s="116"/>
      <c r="L11" s="118"/>
      <c r="M11" s="30" t="str">
        <f>IF(Inventory_List_Table341115109[[#This Row],[Q]]&lt;0.1, " ", Inventory_List_Table341115109[[#This Row],[Q]]*Inventory_List_Table341115109[[#This Row],[PRICE]])</f>
        <v xml:space="preserve"> </v>
      </c>
      <c r="N11" s="35" t="str">
        <f>IF(Inventory_List_Table341115109[[#This Row],[Q]]&lt;0.1, " ", Inventory_List_Table341115109[[#This Row],[KG]]*2.20462)</f>
        <v xml:space="preserve"> </v>
      </c>
      <c r="O11" s="35" t="str">
        <f>IF(Inventory_List_Table341115109[[#This Row],[Q]]&lt;0.1, " ",Inventory_List_Table341115109[[#This Row],[H CM]]/2.54)</f>
        <v xml:space="preserve"> </v>
      </c>
      <c r="P11" s="35" t="str">
        <f>IF(Inventory_List_Table341115109[[#This Row],[Q]]&lt;0.1, " ",Inventory_List_Table341115109[[#This Row],[W CM]]/2.54)</f>
        <v xml:space="preserve"> </v>
      </c>
      <c r="Q11" s="35" t="str">
        <f>IF(Inventory_List_Table341115109[[#This Row],[Q]]&lt;0.1, " ",Inventory_List_Table341115109[[#This Row],[D CM ]]/2.54)</f>
        <v xml:space="preserve"> </v>
      </c>
      <c r="R11" s="30" t="str">
        <f>IF(Inventory_List_Table341115109[[#This Row],[Q]]&lt;0.1, " ",Inventory_List_Table341115109[[#This Row],[PRICE]]/$L$1)</f>
        <v xml:space="preserve"> </v>
      </c>
      <c r="S1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1" s="30" t="str">
        <f>IF(Inventory_List_Table341115109[[#This Row],[Q]]&lt;0.1, " ",Inventory_List_Table341115109[[#This Row],[AQ RND USD]]*1.4)</f>
        <v xml:space="preserve"> </v>
      </c>
      <c r="U1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1" s="30" t="str">
        <f>IF(Inventory_List_Table341115109[[#This Row],[Q]]&lt;0.1, " ",Inventory_List_Table341115109[[#This Row],[LND RND USD]]*12)</f>
        <v xml:space="preserve"> </v>
      </c>
      <c r="W11" s="30" t="str">
        <f>IF(Inventory_List_Table341115109[[#This Row],[Q]]&lt;0.1, " ",Inventory_List_Table341115109[[#This Row],[AQ USD]])</f>
        <v xml:space="preserve"> </v>
      </c>
      <c r="X1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1" s="30" t="str">
        <f>IF(Inventory_List_Table341115109[[#This Row],[Q]]&lt;0.1, " ",Inventory_List_Table341115109[[#This Row],[PRICE]]/Z11*10000)</f>
        <v xml:space="preserve"> </v>
      </c>
      <c r="AB11" s="120"/>
      <c r="AC11" s="1"/>
      <c r="AD11" s="1"/>
    </row>
    <row r="12" spans="1:30" ht="24" customHeight="1" x14ac:dyDescent="0.3">
      <c r="A12" s="113">
        <v>10</v>
      </c>
      <c r="B12" s="1"/>
      <c r="C12" s="116"/>
      <c r="D12" s="116"/>
      <c r="E12" s="116"/>
      <c r="F12" s="38" t="str">
        <f>IF(Inventory_List_Table341115109[[#This Row],[Q]]&lt;0.1, " ",$A$1&amp;$D$1&amp;Inventory_List_Table341115109[[#This Row],['#]]&amp;Inventory_List_Table341115109[[#This Row],[LC]])</f>
        <v xml:space="preserve"> </v>
      </c>
      <c r="G12" s="116"/>
      <c r="H12" s="116"/>
      <c r="I12" s="116"/>
      <c r="J12" s="116"/>
      <c r="K12" s="116"/>
      <c r="L12" s="118"/>
      <c r="M12" s="30" t="str">
        <f>IF(Inventory_List_Table341115109[[#This Row],[Q]]&lt;0.1, " ", Inventory_List_Table341115109[[#This Row],[Q]]*Inventory_List_Table341115109[[#This Row],[PRICE]])</f>
        <v xml:space="preserve"> </v>
      </c>
      <c r="N12" s="35" t="str">
        <f>IF(Inventory_List_Table341115109[[#This Row],[Q]]&lt;0.1, " ", Inventory_List_Table341115109[[#This Row],[KG]]*2.20462)</f>
        <v xml:space="preserve"> </v>
      </c>
      <c r="O12" s="35" t="str">
        <f>IF(Inventory_List_Table341115109[[#This Row],[Q]]&lt;0.1, " ",Inventory_List_Table341115109[[#This Row],[H CM]]/2.54)</f>
        <v xml:space="preserve"> </v>
      </c>
      <c r="P12" s="35" t="str">
        <f>IF(Inventory_List_Table341115109[[#This Row],[Q]]&lt;0.1, " ",Inventory_List_Table341115109[[#This Row],[W CM]]/2.54)</f>
        <v xml:space="preserve"> </v>
      </c>
      <c r="Q12" s="35" t="str">
        <f>IF(Inventory_List_Table341115109[[#This Row],[Q]]&lt;0.1, " ",Inventory_List_Table341115109[[#This Row],[D CM ]]/2.54)</f>
        <v xml:space="preserve"> </v>
      </c>
      <c r="R12" s="30" t="str">
        <f>IF(Inventory_List_Table341115109[[#This Row],[Q]]&lt;0.1, " ",Inventory_List_Table341115109[[#This Row],[PRICE]]/$L$1)</f>
        <v xml:space="preserve"> </v>
      </c>
      <c r="S1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2" s="30" t="str">
        <f>IF(Inventory_List_Table341115109[[#This Row],[Q]]&lt;0.1, " ",Inventory_List_Table341115109[[#This Row],[AQ RND USD]]*1.4)</f>
        <v xml:space="preserve"> </v>
      </c>
      <c r="U1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2" s="30" t="str">
        <f>IF(Inventory_List_Table341115109[[#This Row],[Q]]&lt;0.1, " ",Inventory_List_Table341115109[[#This Row],[LND RND USD]]*12)</f>
        <v xml:space="preserve"> </v>
      </c>
      <c r="W12" s="30" t="str">
        <f>IF(Inventory_List_Table341115109[[#This Row],[Q]]&lt;0.1, " ",Inventory_List_Table341115109[[#This Row],[AQ USD]])</f>
        <v xml:space="preserve"> </v>
      </c>
      <c r="X1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2" s="30" t="str">
        <f>IF(Inventory_List_Table341115109[[#This Row],[Q]]&lt;0.1, " ",Inventory_List_Table341115109[[#This Row],[PRICE]]/Z12*10000)</f>
        <v xml:space="preserve"> </v>
      </c>
      <c r="AB12" s="120"/>
      <c r="AC12" s="1"/>
      <c r="AD12" s="1"/>
    </row>
    <row r="13" spans="1:30" ht="24" customHeight="1" x14ac:dyDescent="0.3">
      <c r="A13" s="113">
        <v>11</v>
      </c>
      <c r="B13" s="1"/>
      <c r="C13" s="116"/>
      <c r="D13" s="116"/>
      <c r="E13" s="116"/>
      <c r="F13" s="38" t="str">
        <f>IF(Inventory_List_Table341115109[[#This Row],[Q]]&lt;0.1, " ",$A$1&amp;$D$1&amp;Inventory_List_Table341115109[[#This Row],['#]]&amp;Inventory_List_Table341115109[[#This Row],[LC]])</f>
        <v xml:space="preserve"> </v>
      </c>
      <c r="G13" s="116"/>
      <c r="H13" s="116"/>
      <c r="I13" s="116"/>
      <c r="J13" s="116"/>
      <c r="K13" s="116"/>
      <c r="L13" s="118"/>
      <c r="M13" s="30" t="str">
        <f>IF(Inventory_List_Table341115109[[#This Row],[Q]]&lt;0.1, " ", Inventory_List_Table341115109[[#This Row],[Q]]*Inventory_List_Table341115109[[#This Row],[PRICE]])</f>
        <v xml:space="preserve"> </v>
      </c>
      <c r="N13" s="35" t="str">
        <f>IF(Inventory_List_Table341115109[[#This Row],[Q]]&lt;0.1, " ", Inventory_List_Table341115109[[#This Row],[KG]]*2.20462)</f>
        <v xml:space="preserve"> </v>
      </c>
      <c r="O13" s="35" t="str">
        <f>IF(Inventory_List_Table341115109[[#This Row],[Q]]&lt;0.1, " ",Inventory_List_Table341115109[[#This Row],[H CM]]/2.54)</f>
        <v xml:space="preserve"> </v>
      </c>
      <c r="P13" s="35" t="str">
        <f>IF(Inventory_List_Table341115109[[#This Row],[Q]]&lt;0.1, " ",Inventory_List_Table341115109[[#This Row],[W CM]]/2.54)</f>
        <v xml:space="preserve"> </v>
      </c>
      <c r="Q13" s="35" t="str">
        <f>IF(Inventory_List_Table341115109[[#This Row],[Q]]&lt;0.1, " ",Inventory_List_Table341115109[[#This Row],[D CM ]]/2.54)</f>
        <v xml:space="preserve"> </v>
      </c>
      <c r="R13" s="30" t="str">
        <f>IF(Inventory_List_Table341115109[[#This Row],[Q]]&lt;0.1, " ",Inventory_List_Table341115109[[#This Row],[PRICE]]/$L$1)</f>
        <v xml:space="preserve"> </v>
      </c>
      <c r="S1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3" s="30" t="str">
        <f>IF(Inventory_List_Table341115109[[#This Row],[Q]]&lt;0.1, " ",Inventory_List_Table341115109[[#This Row],[AQ RND USD]]*1.4)</f>
        <v xml:space="preserve"> </v>
      </c>
      <c r="U1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3" s="30" t="str">
        <f>IF(Inventory_List_Table341115109[[#This Row],[Q]]&lt;0.1, " ",Inventory_List_Table341115109[[#This Row],[LND RND USD]]*12)</f>
        <v xml:space="preserve"> </v>
      </c>
      <c r="W13" s="30" t="str">
        <f>IF(Inventory_List_Table341115109[[#This Row],[Q]]&lt;0.1, " ",Inventory_List_Table341115109[[#This Row],[AQ USD]])</f>
        <v xml:space="preserve"> </v>
      </c>
      <c r="X1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3" s="30" t="str">
        <f>IF(Inventory_List_Table341115109[[#This Row],[Q]]&lt;0.1, " ",Inventory_List_Table341115109[[#This Row],[PRICE]]/Z13*10000)</f>
        <v xml:space="preserve"> </v>
      </c>
      <c r="AB13" s="120"/>
      <c r="AC13" s="1"/>
      <c r="AD13" s="1"/>
    </row>
    <row r="14" spans="1:30" ht="24" customHeight="1" x14ac:dyDescent="0.3">
      <c r="A14" s="113">
        <v>12</v>
      </c>
      <c r="B14" s="1"/>
      <c r="C14" s="116"/>
      <c r="D14" s="116"/>
      <c r="E14" s="116"/>
      <c r="F14" s="38" t="str">
        <f>IF(Inventory_List_Table341115109[[#This Row],[Q]]&lt;0.1, " ",$A$1&amp;$D$1&amp;Inventory_List_Table341115109[[#This Row],['#]]&amp;Inventory_List_Table341115109[[#This Row],[LC]])</f>
        <v xml:space="preserve"> </v>
      </c>
      <c r="G14" s="116"/>
      <c r="H14" s="116"/>
      <c r="I14" s="116"/>
      <c r="J14" s="116"/>
      <c r="K14" s="116"/>
      <c r="L14" s="118"/>
      <c r="M14" s="30" t="str">
        <f>IF(Inventory_List_Table341115109[[#This Row],[Q]]&lt;0.1, " ", Inventory_List_Table341115109[[#This Row],[Q]]*Inventory_List_Table341115109[[#This Row],[PRICE]])</f>
        <v xml:space="preserve"> </v>
      </c>
      <c r="N14" s="35" t="str">
        <f>IF(Inventory_List_Table341115109[[#This Row],[Q]]&lt;0.1, " ", Inventory_List_Table341115109[[#This Row],[KG]]*2.20462)</f>
        <v xml:space="preserve"> </v>
      </c>
      <c r="O14" s="35" t="str">
        <f>IF(Inventory_List_Table341115109[[#This Row],[Q]]&lt;0.1, " ",Inventory_List_Table341115109[[#This Row],[H CM]]/2.54)</f>
        <v xml:space="preserve"> </v>
      </c>
      <c r="P14" s="35" t="str">
        <f>IF(Inventory_List_Table341115109[[#This Row],[Q]]&lt;0.1, " ",Inventory_List_Table341115109[[#This Row],[W CM]]/2.54)</f>
        <v xml:space="preserve"> </v>
      </c>
      <c r="Q14" s="35" t="str">
        <f>IF(Inventory_List_Table341115109[[#This Row],[Q]]&lt;0.1, " ",Inventory_List_Table341115109[[#This Row],[D CM ]]/2.54)</f>
        <v xml:space="preserve"> </v>
      </c>
      <c r="R14" s="30" t="str">
        <f>IF(Inventory_List_Table341115109[[#This Row],[Q]]&lt;0.1, " ",Inventory_List_Table341115109[[#This Row],[PRICE]]/$L$1)</f>
        <v xml:space="preserve"> </v>
      </c>
      <c r="S1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4" s="30" t="str">
        <f>IF(Inventory_List_Table341115109[[#This Row],[Q]]&lt;0.1, " ",Inventory_List_Table341115109[[#This Row],[AQ RND USD]]*1.4)</f>
        <v xml:space="preserve"> </v>
      </c>
      <c r="U1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4" s="30" t="str">
        <f>IF(Inventory_List_Table341115109[[#This Row],[Q]]&lt;0.1, " ",Inventory_List_Table341115109[[#This Row],[LND RND USD]]*12)</f>
        <v xml:space="preserve"> </v>
      </c>
      <c r="W14" s="30" t="str">
        <f>IF(Inventory_List_Table341115109[[#This Row],[Q]]&lt;0.1, " ",Inventory_List_Table341115109[[#This Row],[AQ USD]])</f>
        <v xml:space="preserve"> </v>
      </c>
      <c r="X1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4" s="30" t="str">
        <f>IF(Inventory_List_Table341115109[[#This Row],[Q]]&lt;0.1, " ",Inventory_List_Table341115109[[#This Row],[PRICE]]/Z14*10000)</f>
        <v xml:space="preserve"> </v>
      </c>
      <c r="AB14" s="120"/>
      <c r="AC14" s="1"/>
      <c r="AD14" s="1"/>
    </row>
    <row r="15" spans="1:30" ht="24" customHeight="1" x14ac:dyDescent="0.3">
      <c r="A15" s="113">
        <v>13</v>
      </c>
      <c r="B15" s="1"/>
      <c r="C15" s="116"/>
      <c r="D15" s="116"/>
      <c r="E15" s="116"/>
      <c r="F15" s="38" t="str">
        <f>IF(Inventory_List_Table341115109[[#This Row],[Q]]&lt;0.1, " ",$A$1&amp;$D$1&amp;Inventory_List_Table341115109[[#This Row],['#]]&amp;Inventory_List_Table341115109[[#This Row],[LC]])</f>
        <v xml:space="preserve"> </v>
      </c>
      <c r="G15" s="116"/>
      <c r="H15" s="116"/>
      <c r="I15" s="116"/>
      <c r="J15" s="116"/>
      <c r="K15" s="116"/>
      <c r="L15" s="118"/>
      <c r="M15" s="30" t="str">
        <f>IF(Inventory_List_Table341115109[[#This Row],[Q]]&lt;0.1, " ", Inventory_List_Table341115109[[#This Row],[Q]]*Inventory_List_Table341115109[[#This Row],[PRICE]])</f>
        <v xml:space="preserve"> </v>
      </c>
      <c r="N15" s="35" t="str">
        <f>IF(Inventory_List_Table341115109[[#This Row],[Q]]&lt;0.1, " ", Inventory_List_Table341115109[[#This Row],[KG]]*2.20462)</f>
        <v xml:space="preserve"> </v>
      </c>
      <c r="O15" s="35" t="str">
        <f>IF(Inventory_List_Table341115109[[#This Row],[Q]]&lt;0.1, " ",Inventory_List_Table341115109[[#This Row],[H CM]]/2.54)</f>
        <v xml:space="preserve"> </v>
      </c>
      <c r="P15" s="35" t="str">
        <f>IF(Inventory_List_Table341115109[[#This Row],[Q]]&lt;0.1, " ",Inventory_List_Table341115109[[#This Row],[W CM]]/2.54)</f>
        <v xml:space="preserve"> </v>
      </c>
      <c r="Q15" s="35" t="str">
        <f>IF(Inventory_List_Table341115109[[#This Row],[Q]]&lt;0.1, " ",Inventory_List_Table341115109[[#This Row],[D CM ]]/2.54)</f>
        <v xml:space="preserve"> </v>
      </c>
      <c r="R15" s="30" t="str">
        <f>IF(Inventory_List_Table341115109[[#This Row],[Q]]&lt;0.1, " ",Inventory_List_Table341115109[[#This Row],[PRICE]]/$L$1)</f>
        <v xml:space="preserve"> </v>
      </c>
      <c r="S1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5" s="30" t="str">
        <f>IF(Inventory_List_Table341115109[[#This Row],[Q]]&lt;0.1, " ",Inventory_List_Table341115109[[#This Row],[AQ RND USD]]*1.4)</f>
        <v xml:space="preserve"> </v>
      </c>
      <c r="U1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5" s="30" t="str">
        <f>IF(Inventory_List_Table341115109[[#This Row],[Q]]&lt;0.1, " ",Inventory_List_Table341115109[[#This Row],[LND RND USD]]*12)</f>
        <v xml:space="preserve"> </v>
      </c>
      <c r="W15" s="30" t="str">
        <f>IF(Inventory_List_Table341115109[[#This Row],[Q]]&lt;0.1, " ",Inventory_List_Table341115109[[#This Row],[AQ USD]])</f>
        <v xml:space="preserve"> </v>
      </c>
      <c r="X1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5" s="30" t="str">
        <f>IF(Inventory_List_Table341115109[[#This Row],[Q]]&lt;0.1, " ",Inventory_List_Table341115109[[#This Row],[PRICE]]/Z15*10000)</f>
        <v xml:space="preserve"> </v>
      </c>
      <c r="AB15" s="120"/>
      <c r="AC15" s="1"/>
      <c r="AD15" s="1"/>
    </row>
    <row r="16" spans="1:30" ht="24" customHeight="1" x14ac:dyDescent="0.3">
      <c r="A16" s="113">
        <v>14</v>
      </c>
      <c r="B16" s="1"/>
      <c r="C16" s="116"/>
      <c r="D16" s="116"/>
      <c r="E16" s="116"/>
      <c r="F16" s="38" t="str">
        <f>IF(Inventory_List_Table341115109[[#This Row],[Q]]&lt;0.1, " ",$A$1&amp;$D$1&amp;Inventory_List_Table341115109[[#This Row],['#]]&amp;Inventory_List_Table341115109[[#This Row],[LC]])</f>
        <v xml:space="preserve"> </v>
      </c>
      <c r="G16" s="116"/>
      <c r="H16" s="116"/>
      <c r="I16" s="116"/>
      <c r="J16" s="116"/>
      <c r="K16" s="116"/>
      <c r="L16" s="118"/>
      <c r="M16" s="30" t="str">
        <f>IF(Inventory_List_Table341115109[[#This Row],[Q]]&lt;0.1, " ", Inventory_List_Table341115109[[#This Row],[Q]]*Inventory_List_Table341115109[[#This Row],[PRICE]])</f>
        <v xml:space="preserve"> </v>
      </c>
      <c r="N16" s="35" t="str">
        <f>IF(Inventory_List_Table341115109[[#This Row],[Q]]&lt;0.1, " ", Inventory_List_Table341115109[[#This Row],[KG]]*2.20462)</f>
        <v xml:space="preserve"> </v>
      </c>
      <c r="O16" s="35" t="str">
        <f>IF(Inventory_List_Table341115109[[#This Row],[Q]]&lt;0.1, " ",Inventory_List_Table341115109[[#This Row],[H CM]]/2.54)</f>
        <v xml:space="preserve"> </v>
      </c>
      <c r="P16" s="35" t="str">
        <f>IF(Inventory_List_Table341115109[[#This Row],[Q]]&lt;0.1, " ",Inventory_List_Table341115109[[#This Row],[W CM]]/2.54)</f>
        <v xml:space="preserve"> </v>
      </c>
      <c r="Q16" s="35" t="str">
        <f>IF(Inventory_List_Table341115109[[#This Row],[Q]]&lt;0.1, " ",Inventory_List_Table341115109[[#This Row],[D CM ]]/2.54)</f>
        <v xml:space="preserve"> </v>
      </c>
      <c r="R16" s="30" t="str">
        <f>IF(Inventory_List_Table341115109[[#This Row],[Q]]&lt;0.1, " ",Inventory_List_Table341115109[[#This Row],[PRICE]]/$L$1)</f>
        <v xml:space="preserve"> </v>
      </c>
      <c r="S1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6" s="30" t="str">
        <f>IF(Inventory_List_Table341115109[[#This Row],[Q]]&lt;0.1, " ",Inventory_List_Table341115109[[#This Row],[AQ RND USD]]*1.4)</f>
        <v xml:space="preserve"> </v>
      </c>
      <c r="U1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6" s="30" t="str">
        <f>IF(Inventory_List_Table341115109[[#This Row],[Q]]&lt;0.1, " ",Inventory_List_Table341115109[[#This Row],[LND RND USD]]*12)</f>
        <v xml:space="preserve"> </v>
      </c>
      <c r="W16" s="30" t="str">
        <f>IF(Inventory_List_Table341115109[[#This Row],[Q]]&lt;0.1, " ",Inventory_List_Table341115109[[#This Row],[AQ USD]])</f>
        <v xml:space="preserve"> </v>
      </c>
      <c r="X1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6" s="30" t="str">
        <f>IF(Inventory_List_Table341115109[[#This Row],[Q]]&lt;0.1, " ",Inventory_List_Table341115109[[#This Row],[PRICE]]/Z16*10000)</f>
        <v xml:space="preserve"> </v>
      </c>
      <c r="AB16" s="120"/>
      <c r="AC16" s="1"/>
      <c r="AD16" s="1"/>
    </row>
    <row r="17" spans="1:30" ht="24" customHeight="1" x14ac:dyDescent="0.3">
      <c r="A17" s="113">
        <v>15</v>
      </c>
      <c r="B17" s="1"/>
      <c r="C17" s="116"/>
      <c r="D17" s="116"/>
      <c r="E17" s="116"/>
      <c r="F17" s="38" t="str">
        <f>IF(Inventory_List_Table341115109[[#This Row],[Q]]&lt;0.1, " ",$A$1&amp;$D$1&amp;Inventory_List_Table341115109[[#This Row],['#]]&amp;Inventory_List_Table341115109[[#This Row],[LC]])</f>
        <v xml:space="preserve"> </v>
      </c>
      <c r="G17" s="116"/>
      <c r="H17" s="116"/>
      <c r="I17" s="116"/>
      <c r="J17" s="116"/>
      <c r="K17" s="116"/>
      <c r="L17" s="118"/>
      <c r="M17" s="30" t="str">
        <f>IF(Inventory_List_Table341115109[[#This Row],[Q]]&lt;0.1, " ", Inventory_List_Table341115109[[#This Row],[Q]]*Inventory_List_Table341115109[[#This Row],[PRICE]])</f>
        <v xml:space="preserve"> </v>
      </c>
      <c r="N17" s="35" t="str">
        <f>IF(Inventory_List_Table341115109[[#This Row],[Q]]&lt;0.1, " ", Inventory_List_Table341115109[[#This Row],[KG]]*2.20462)</f>
        <v xml:space="preserve"> </v>
      </c>
      <c r="O17" s="35" t="str">
        <f>IF(Inventory_List_Table341115109[[#This Row],[Q]]&lt;0.1, " ",Inventory_List_Table341115109[[#This Row],[H CM]]/2.54)</f>
        <v xml:space="preserve"> </v>
      </c>
      <c r="P17" s="35" t="str">
        <f>IF(Inventory_List_Table341115109[[#This Row],[Q]]&lt;0.1, " ",Inventory_List_Table341115109[[#This Row],[W CM]]/2.54)</f>
        <v xml:space="preserve"> </v>
      </c>
      <c r="Q17" s="35" t="str">
        <f>IF(Inventory_List_Table341115109[[#This Row],[Q]]&lt;0.1, " ",Inventory_List_Table341115109[[#This Row],[D CM ]]/2.54)</f>
        <v xml:space="preserve"> </v>
      </c>
      <c r="R17" s="30" t="str">
        <f>IF(Inventory_List_Table341115109[[#This Row],[Q]]&lt;0.1, " ",Inventory_List_Table341115109[[#This Row],[PRICE]]/$L$1)</f>
        <v xml:space="preserve"> </v>
      </c>
      <c r="S1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7" s="30" t="str">
        <f>IF(Inventory_List_Table341115109[[#This Row],[Q]]&lt;0.1, " ",Inventory_List_Table341115109[[#This Row],[AQ RND USD]]*1.4)</f>
        <v xml:space="preserve"> </v>
      </c>
      <c r="U1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7" s="30" t="str">
        <f>IF(Inventory_List_Table341115109[[#This Row],[Q]]&lt;0.1, " ",Inventory_List_Table341115109[[#This Row],[LND RND USD]]*12)</f>
        <v xml:space="preserve"> </v>
      </c>
      <c r="W17" s="30" t="str">
        <f>IF(Inventory_List_Table341115109[[#This Row],[Q]]&lt;0.1, " ",Inventory_List_Table341115109[[#This Row],[AQ USD]])</f>
        <v xml:space="preserve"> </v>
      </c>
      <c r="X1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7" s="30" t="str">
        <f>IF(Inventory_List_Table341115109[[#This Row],[Q]]&lt;0.1, " ",Inventory_List_Table341115109[[#This Row],[PRICE]]/Z17*10000)</f>
        <v xml:space="preserve"> </v>
      </c>
      <c r="AB17" s="120"/>
      <c r="AC17" s="1"/>
      <c r="AD17" s="1"/>
    </row>
    <row r="18" spans="1:30" ht="24" customHeight="1" x14ac:dyDescent="0.3">
      <c r="A18" s="113">
        <v>16</v>
      </c>
      <c r="B18" s="1"/>
      <c r="C18" s="116"/>
      <c r="D18" s="116"/>
      <c r="E18" s="116"/>
      <c r="F18" s="38" t="str">
        <f>IF(Inventory_List_Table341115109[[#This Row],[Q]]&lt;0.1, " ",$A$1&amp;$D$1&amp;Inventory_List_Table341115109[[#This Row],['#]]&amp;Inventory_List_Table341115109[[#This Row],[LC]])</f>
        <v xml:space="preserve"> </v>
      </c>
      <c r="G18" s="116"/>
      <c r="H18" s="116"/>
      <c r="I18" s="116"/>
      <c r="J18" s="116"/>
      <c r="K18" s="116"/>
      <c r="L18" s="118"/>
      <c r="M18" s="30" t="str">
        <f>IF(Inventory_List_Table341115109[[#This Row],[Q]]&lt;0.1, " ", Inventory_List_Table341115109[[#This Row],[Q]]*Inventory_List_Table341115109[[#This Row],[PRICE]])</f>
        <v xml:space="preserve"> </v>
      </c>
      <c r="N18" s="35" t="str">
        <f>IF(Inventory_List_Table341115109[[#This Row],[Q]]&lt;0.1, " ", Inventory_List_Table341115109[[#This Row],[KG]]*2.20462)</f>
        <v xml:space="preserve"> </v>
      </c>
      <c r="O18" s="35" t="str">
        <f>IF(Inventory_List_Table341115109[[#This Row],[Q]]&lt;0.1, " ",Inventory_List_Table341115109[[#This Row],[H CM]]/2.54)</f>
        <v xml:space="preserve"> </v>
      </c>
      <c r="P18" s="35" t="str">
        <f>IF(Inventory_List_Table341115109[[#This Row],[Q]]&lt;0.1, " ",Inventory_List_Table341115109[[#This Row],[W CM]]/2.54)</f>
        <v xml:space="preserve"> </v>
      </c>
      <c r="Q18" s="35" t="str">
        <f>IF(Inventory_List_Table341115109[[#This Row],[Q]]&lt;0.1, " ",Inventory_List_Table341115109[[#This Row],[D CM ]]/2.54)</f>
        <v xml:space="preserve"> </v>
      </c>
      <c r="R18" s="30" t="str">
        <f>IF(Inventory_List_Table341115109[[#This Row],[Q]]&lt;0.1, " ",Inventory_List_Table341115109[[#This Row],[PRICE]]/$L$1)</f>
        <v xml:space="preserve"> </v>
      </c>
      <c r="S1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8" s="30" t="str">
        <f>IF(Inventory_List_Table341115109[[#This Row],[Q]]&lt;0.1, " ",Inventory_List_Table341115109[[#This Row],[AQ RND USD]]*1.4)</f>
        <v xml:space="preserve"> </v>
      </c>
      <c r="U1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8" s="30" t="str">
        <f>IF(Inventory_List_Table341115109[[#This Row],[Q]]&lt;0.1, " ",Inventory_List_Table341115109[[#This Row],[LND RND USD]]*12)</f>
        <v xml:space="preserve"> </v>
      </c>
      <c r="W18" s="30" t="str">
        <f>IF(Inventory_List_Table341115109[[#This Row],[Q]]&lt;0.1, " ",Inventory_List_Table341115109[[#This Row],[AQ USD]])</f>
        <v xml:space="preserve"> </v>
      </c>
      <c r="X1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8" s="30" t="str">
        <f>IF(Inventory_List_Table341115109[[#This Row],[Q]]&lt;0.1, " ",Inventory_List_Table341115109[[#This Row],[PRICE]]/Z18*10000)</f>
        <v xml:space="preserve"> </v>
      </c>
      <c r="AB18" s="120"/>
      <c r="AC18" s="1"/>
      <c r="AD18" s="1"/>
    </row>
    <row r="19" spans="1:30" ht="24" customHeight="1" x14ac:dyDescent="0.3">
      <c r="A19" s="113">
        <v>17</v>
      </c>
      <c r="B19" s="1"/>
      <c r="C19" s="116"/>
      <c r="D19" s="116"/>
      <c r="E19" s="116"/>
      <c r="F19" s="38" t="str">
        <f>IF(Inventory_List_Table341115109[[#This Row],[Q]]&lt;0.1, " ",$A$1&amp;$D$1&amp;Inventory_List_Table341115109[[#This Row],['#]]&amp;Inventory_List_Table341115109[[#This Row],[LC]])</f>
        <v xml:space="preserve"> </v>
      </c>
      <c r="G19" s="116"/>
      <c r="H19" s="116"/>
      <c r="I19" s="116"/>
      <c r="J19" s="116"/>
      <c r="K19" s="116"/>
      <c r="L19" s="118"/>
      <c r="M19" s="30" t="str">
        <f>IF(Inventory_List_Table341115109[[#This Row],[Q]]&lt;0.1, " ", Inventory_List_Table341115109[[#This Row],[Q]]*Inventory_List_Table341115109[[#This Row],[PRICE]])</f>
        <v xml:space="preserve"> </v>
      </c>
      <c r="N19" s="35" t="str">
        <f>IF(Inventory_List_Table341115109[[#This Row],[Q]]&lt;0.1, " ", Inventory_List_Table341115109[[#This Row],[KG]]*2.20462)</f>
        <v xml:space="preserve"> </v>
      </c>
      <c r="O19" s="35" t="str">
        <f>IF(Inventory_List_Table341115109[[#This Row],[Q]]&lt;0.1, " ",Inventory_List_Table341115109[[#This Row],[H CM]]/2.54)</f>
        <v xml:space="preserve"> </v>
      </c>
      <c r="P19" s="35" t="str">
        <f>IF(Inventory_List_Table341115109[[#This Row],[Q]]&lt;0.1, " ",Inventory_List_Table341115109[[#This Row],[W CM]]/2.54)</f>
        <v xml:space="preserve"> </v>
      </c>
      <c r="Q19" s="35" t="str">
        <f>IF(Inventory_List_Table341115109[[#This Row],[Q]]&lt;0.1, " ",Inventory_List_Table341115109[[#This Row],[D CM ]]/2.54)</f>
        <v xml:space="preserve"> </v>
      </c>
      <c r="R19" s="30" t="str">
        <f>IF(Inventory_List_Table341115109[[#This Row],[Q]]&lt;0.1, " ",Inventory_List_Table341115109[[#This Row],[PRICE]]/$L$1)</f>
        <v xml:space="preserve"> </v>
      </c>
      <c r="S1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9" s="30" t="str">
        <f>IF(Inventory_List_Table341115109[[#This Row],[Q]]&lt;0.1, " ",Inventory_List_Table341115109[[#This Row],[AQ RND USD]]*1.4)</f>
        <v xml:space="preserve"> </v>
      </c>
      <c r="U1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9" s="30" t="str">
        <f>IF(Inventory_List_Table341115109[[#This Row],[Q]]&lt;0.1, " ",Inventory_List_Table341115109[[#This Row],[LND RND USD]]*12)</f>
        <v xml:space="preserve"> </v>
      </c>
      <c r="W19" s="30" t="str">
        <f>IF(Inventory_List_Table341115109[[#This Row],[Q]]&lt;0.1, " ",Inventory_List_Table341115109[[#This Row],[AQ USD]])</f>
        <v xml:space="preserve"> </v>
      </c>
      <c r="X1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9" s="30" t="str">
        <f>IF(Inventory_List_Table341115109[[#This Row],[Q]]&lt;0.1, " ",Inventory_List_Table341115109[[#This Row],[PRICE]]/Z19*10000)</f>
        <v xml:space="preserve"> </v>
      </c>
      <c r="AB19" s="120"/>
      <c r="AC19" s="1"/>
      <c r="AD19" s="1"/>
    </row>
    <row r="20" spans="1:30" ht="24" customHeight="1" x14ac:dyDescent="0.3">
      <c r="A20" s="113">
        <v>18</v>
      </c>
      <c r="B20" s="1"/>
      <c r="C20" s="116"/>
      <c r="D20" s="116"/>
      <c r="E20" s="116"/>
      <c r="F20" s="38" t="str">
        <f>IF(Inventory_List_Table341115109[[#This Row],[Q]]&lt;0.1, " ",$A$1&amp;$D$1&amp;Inventory_List_Table341115109[[#This Row],['#]]&amp;Inventory_List_Table341115109[[#This Row],[LC]])</f>
        <v xml:space="preserve"> </v>
      </c>
      <c r="G20" s="116"/>
      <c r="H20" s="116"/>
      <c r="I20" s="116"/>
      <c r="J20" s="116"/>
      <c r="K20" s="116"/>
      <c r="L20" s="118"/>
      <c r="M20" s="30" t="str">
        <f>IF(Inventory_List_Table341115109[[#This Row],[Q]]&lt;0.1, " ", Inventory_List_Table341115109[[#This Row],[Q]]*Inventory_List_Table341115109[[#This Row],[PRICE]])</f>
        <v xml:space="preserve"> </v>
      </c>
      <c r="N20" s="35" t="str">
        <f>IF(Inventory_List_Table341115109[[#This Row],[Q]]&lt;0.1, " ", Inventory_List_Table341115109[[#This Row],[KG]]*2.20462)</f>
        <v xml:space="preserve"> </v>
      </c>
      <c r="O20" s="35" t="str">
        <f>IF(Inventory_List_Table341115109[[#This Row],[Q]]&lt;0.1, " ",Inventory_List_Table341115109[[#This Row],[H CM]]/2.54)</f>
        <v xml:space="preserve"> </v>
      </c>
      <c r="P20" s="35" t="str">
        <f>IF(Inventory_List_Table341115109[[#This Row],[Q]]&lt;0.1, " ",Inventory_List_Table341115109[[#This Row],[W CM]]/2.54)</f>
        <v xml:space="preserve"> </v>
      </c>
      <c r="Q20" s="35" t="str">
        <f>IF(Inventory_List_Table341115109[[#This Row],[Q]]&lt;0.1, " ",Inventory_List_Table341115109[[#This Row],[D CM ]]/2.54)</f>
        <v xml:space="preserve"> </v>
      </c>
      <c r="R20" s="30" t="str">
        <f>IF(Inventory_List_Table341115109[[#This Row],[Q]]&lt;0.1, " ",Inventory_List_Table341115109[[#This Row],[PRICE]]/$L$1)</f>
        <v xml:space="preserve"> </v>
      </c>
      <c r="S2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0" s="30" t="str">
        <f>IF(Inventory_List_Table341115109[[#This Row],[Q]]&lt;0.1, " ",Inventory_List_Table341115109[[#This Row],[AQ RND USD]]*1.4)</f>
        <v xml:space="preserve"> </v>
      </c>
      <c r="U2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0" s="30" t="str">
        <f>IF(Inventory_List_Table341115109[[#This Row],[Q]]&lt;0.1, " ",Inventory_List_Table341115109[[#This Row],[LND RND USD]]*12)</f>
        <v xml:space="preserve"> </v>
      </c>
      <c r="W20" s="30" t="str">
        <f>IF(Inventory_List_Table341115109[[#This Row],[Q]]&lt;0.1, " ",Inventory_List_Table341115109[[#This Row],[AQ USD]])</f>
        <v xml:space="preserve"> </v>
      </c>
      <c r="X2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0" s="30" t="str">
        <f>IF(Inventory_List_Table341115109[[#This Row],[Q]]&lt;0.1, " ",Inventory_List_Table341115109[[#This Row],[PRICE]]/Z20*10000)</f>
        <v xml:space="preserve"> </v>
      </c>
      <c r="AB20" s="120"/>
      <c r="AC20" s="1"/>
      <c r="AD20" s="1"/>
    </row>
    <row r="21" spans="1:30" ht="24" customHeight="1" x14ac:dyDescent="0.3">
      <c r="A21" s="113">
        <v>19</v>
      </c>
      <c r="B21" s="1"/>
      <c r="C21" s="116"/>
      <c r="D21" s="116"/>
      <c r="E21" s="116"/>
      <c r="F21" s="38" t="str">
        <f>IF(Inventory_List_Table341115109[[#This Row],[Q]]&lt;0.1, " ",$A$1&amp;$D$1&amp;Inventory_List_Table341115109[[#This Row],['#]]&amp;Inventory_List_Table341115109[[#This Row],[LC]])</f>
        <v xml:space="preserve"> </v>
      </c>
      <c r="G21" s="116"/>
      <c r="H21" s="116"/>
      <c r="I21" s="116"/>
      <c r="J21" s="116"/>
      <c r="K21" s="116"/>
      <c r="L21" s="118"/>
      <c r="M21" s="30" t="str">
        <f>IF(Inventory_List_Table341115109[[#This Row],[Q]]&lt;0.1, " ", Inventory_List_Table341115109[[#This Row],[Q]]*Inventory_List_Table341115109[[#This Row],[PRICE]])</f>
        <v xml:space="preserve"> </v>
      </c>
      <c r="N21" s="35" t="str">
        <f>IF(Inventory_List_Table341115109[[#This Row],[Q]]&lt;0.1, " ", Inventory_List_Table341115109[[#This Row],[KG]]*2.20462)</f>
        <v xml:space="preserve"> </v>
      </c>
      <c r="O21" s="35" t="str">
        <f>IF(Inventory_List_Table341115109[[#This Row],[Q]]&lt;0.1, " ",Inventory_List_Table341115109[[#This Row],[H CM]]/2.54)</f>
        <v xml:space="preserve"> </v>
      </c>
      <c r="P21" s="35" t="str">
        <f>IF(Inventory_List_Table341115109[[#This Row],[Q]]&lt;0.1, " ",Inventory_List_Table341115109[[#This Row],[W CM]]/2.54)</f>
        <v xml:space="preserve"> </v>
      </c>
      <c r="Q21" s="35" t="str">
        <f>IF(Inventory_List_Table341115109[[#This Row],[Q]]&lt;0.1, " ",Inventory_List_Table341115109[[#This Row],[D CM ]]/2.54)</f>
        <v xml:space="preserve"> </v>
      </c>
      <c r="R21" s="30" t="str">
        <f>IF(Inventory_List_Table341115109[[#This Row],[Q]]&lt;0.1, " ",Inventory_List_Table341115109[[#This Row],[PRICE]]/$L$1)</f>
        <v xml:space="preserve"> </v>
      </c>
      <c r="S2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1" s="30" t="str">
        <f>IF(Inventory_List_Table341115109[[#This Row],[Q]]&lt;0.1, " ",Inventory_List_Table341115109[[#This Row],[AQ RND USD]]*1.4)</f>
        <v xml:space="preserve"> </v>
      </c>
      <c r="U2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1" s="30" t="str">
        <f>IF(Inventory_List_Table341115109[[#This Row],[Q]]&lt;0.1, " ",Inventory_List_Table341115109[[#This Row],[LND RND USD]]*12)</f>
        <v xml:space="preserve"> </v>
      </c>
      <c r="W21" s="30" t="str">
        <f>IF(Inventory_List_Table341115109[[#This Row],[Q]]&lt;0.1, " ",Inventory_List_Table341115109[[#This Row],[AQ USD]])</f>
        <v xml:space="preserve"> </v>
      </c>
      <c r="X2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1" s="30" t="str">
        <f>IF(Inventory_List_Table341115109[[#This Row],[Q]]&lt;0.1, " ",Inventory_List_Table341115109[[#This Row],[PRICE]]/Z21*10000)</f>
        <v xml:space="preserve"> </v>
      </c>
      <c r="AB21" s="120"/>
      <c r="AC21" s="1"/>
      <c r="AD21" s="1"/>
    </row>
    <row r="22" spans="1:30" ht="24" customHeight="1" x14ac:dyDescent="0.3">
      <c r="A22" s="113">
        <v>20</v>
      </c>
      <c r="B22" s="1"/>
      <c r="C22" s="116"/>
      <c r="D22" s="116"/>
      <c r="E22" s="116"/>
      <c r="F22" s="38" t="str">
        <f>IF(Inventory_List_Table341115109[[#This Row],[Q]]&lt;0.1, " ",$A$1&amp;$D$1&amp;Inventory_List_Table341115109[[#This Row],['#]]&amp;Inventory_List_Table341115109[[#This Row],[LC]])</f>
        <v xml:space="preserve"> </v>
      </c>
      <c r="G22" s="116"/>
      <c r="H22" s="116"/>
      <c r="I22" s="116"/>
      <c r="J22" s="116"/>
      <c r="K22" s="116"/>
      <c r="L22" s="118"/>
      <c r="M22" s="30" t="str">
        <f>IF(Inventory_List_Table341115109[[#This Row],[Q]]&lt;0.1, " ", Inventory_List_Table341115109[[#This Row],[Q]]*Inventory_List_Table341115109[[#This Row],[PRICE]])</f>
        <v xml:space="preserve"> </v>
      </c>
      <c r="N22" s="35" t="str">
        <f>IF(Inventory_List_Table341115109[[#This Row],[Q]]&lt;0.1, " ", Inventory_List_Table341115109[[#This Row],[KG]]*2.20462)</f>
        <v xml:space="preserve"> </v>
      </c>
      <c r="O22" s="35" t="str">
        <f>IF(Inventory_List_Table341115109[[#This Row],[Q]]&lt;0.1, " ",Inventory_List_Table341115109[[#This Row],[H CM]]/2.54)</f>
        <v xml:space="preserve"> </v>
      </c>
      <c r="P22" s="35" t="str">
        <f>IF(Inventory_List_Table341115109[[#This Row],[Q]]&lt;0.1, " ",Inventory_List_Table341115109[[#This Row],[W CM]]/2.54)</f>
        <v xml:space="preserve"> </v>
      </c>
      <c r="Q22" s="35" t="str">
        <f>IF(Inventory_List_Table341115109[[#This Row],[Q]]&lt;0.1, " ",Inventory_List_Table341115109[[#This Row],[D CM ]]/2.54)</f>
        <v xml:space="preserve"> </v>
      </c>
      <c r="R22" s="30" t="str">
        <f>IF(Inventory_List_Table341115109[[#This Row],[Q]]&lt;0.1, " ",Inventory_List_Table341115109[[#This Row],[PRICE]]/$L$1)</f>
        <v xml:space="preserve"> </v>
      </c>
      <c r="S2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2" s="30" t="str">
        <f>IF(Inventory_List_Table341115109[[#This Row],[Q]]&lt;0.1, " ",Inventory_List_Table341115109[[#This Row],[AQ RND USD]]*1.4)</f>
        <v xml:space="preserve"> </v>
      </c>
      <c r="U2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2" s="30" t="str">
        <f>IF(Inventory_List_Table341115109[[#This Row],[Q]]&lt;0.1, " ",Inventory_List_Table341115109[[#This Row],[LND RND USD]]*12)</f>
        <v xml:space="preserve"> </v>
      </c>
      <c r="W22" s="30" t="str">
        <f>IF(Inventory_List_Table341115109[[#This Row],[Q]]&lt;0.1, " ",Inventory_List_Table341115109[[#This Row],[AQ USD]])</f>
        <v xml:space="preserve"> </v>
      </c>
      <c r="X2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2" s="30" t="str">
        <f>IF(Inventory_List_Table341115109[[#This Row],[Q]]&lt;0.1, " ",Inventory_List_Table341115109[[#This Row],[PRICE]]/Z22*10000)</f>
        <v xml:space="preserve"> </v>
      </c>
      <c r="AB22" s="120"/>
      <c r="AC22" s="1"/>
      <c r="AD22" s="1"/>
    </row>
    <row r="23" spans="1:30" ht="24" customHeight="1" x14ac:dyDescent="0.3">
      <c r="A23" s="113">
        <v>21</v>
      </c>
      <c r="B23" s="1"/>
      <c r="C23" s="116"/>
      <c r="D23" s="116"/>
      <c r="E23" s="116"/>
      <c r="F23" s="38" t="str">
        <f>IF(Inventory_List_Table341115109[[#This Row],[Q]]&lt;0.1, " ",$A$1&amp;$D$1&amp;Inventory_List_Table341115109[[#This Row],['#]]&amp;Inventory_List_Table341115109[[#This Row],[LC]])</f>
        <v xml:space="preserve"> </v>
      </c>
      <c r="G23" s="116"/>
      <c r="H23" s="116"/>
      <c r="I23" s="116"/>
      <c r="J23" s="116"/>
      <c r="K23" s="116"/>
      <c r="L23" s="118"/>
      <c r="M23" s="30" t="str">
        <f>IF(Inventory_List_Table341115109[[#This Row],[Q]]&lt;0.1, " ", Inventory_List_Table341115109[[#This Row],[Q]]*Inventory_List_Table341115109[[#This Row],[PRICE]])</f>
        <v xml:space="preserve"> </v>
      </c>
      <c r="N23" s="35" t="str">
        <f>IF(Inventory_List_Table341115109[[#This Row],[Q]]&lt;0.1, " ", Inventory_List_Table341115109[[#This Row],[KG]]*2.20462)</f>
        <v xml:space="preserve"> </v>
      </c>
      <c r="O23" s="35" t="str">
        <f>IF(Inventory_List_Table341115109[[#This Row],[Q]]&lt;0.1, " ",Inventory_List_Table341115109[[#This Row],[H CM]]/2.54)</f>
        <v xml:space="preserve"> </v>
      </c>
      <c r="P23" s="35" t="str">
        <f>IF(Inventory_List_Table341115109[[#This Row],[Q]]&lt;0.1, " ",Inventory_List_Table341115109[[#This Row],[W CM]]/2.54)</f>
        <v xml:space="preserve"> </v>
      </c>
      <c r="Q23" s="35" t="str">
        <f>IF(Inventory_List_Table341115109[[#This Row],[Q]]&lt;0.1, " ",Inventory_List_Table341115109[[#This Row],[D CM ]]/2.54)</f>
        <v xml:space="preserve"> </v>
      </c>
      <c r="R23" s="30" t="str">
        <f>IF(Inventory_List_Table341115109[[#This Row],[Q]]&lt;0.1, " ",Inventory_List_Table341115109[[#This Row],[PRICE]]/$L$1)</f>
        <v xml:space="preserve"> </v>
      </c>
      <c r="S2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3" s="30" t="str">
        <f>IF(Inventory_List_Table341115109[[#This Row],[Q]]&lt;0.1, " ",Inventory_List_Table341115109[[#This Row],[AQ RND USD]]*1.4)</f>
        <v xml:space="preserve"> </v>
      </c>
      <c r="U2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3" s="30" t="str">
        <f>IF(Inventory_List_Table341115109[[#This Row],[Q]]&lt;0.1, " ",Inventory_List_Table341115109[[#This Row],[LND RND USD]]*12)</f>
        <v xml:space="preserve"> </v>
      </c>
      <c r="W23" s="30" t="str">
        <f>IF(Inventory_List_Table341115109[[#This Row],[Q]]&lt;0.1, " ",Inventory_List_Table341115109[[#This Row],[AQ USD]])</f>
        <v xml:space="preserve"> </v>
      </c>
      <c r="X2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3" s="30" t="str">
        <f>IF(Inventory_List_Table341115109[[#This Row],[Q]]&lt;0.1, " ",Inventory_List_Table341115109[[#This Row],[PRICE]]/Z23*10000)</f>
        <v xml:space="preserve"> </v>
      </c>
      <c r="AB23" s="120"/>
      <c r="AC23" s="1"/>
      <c r="AD23" s="1"/>
    </row>
    <row r="24" spans="1:30" ht="24" customHeight="1" x14ac:dyDescent="0.3">
      <c r="A24" s="113">
        <v>22</v>
      </c>
      <c r="B24" s="1"/>
      <c r="C24" s="116"/>
      <c r="D24" s="116"/>
      <c r="E24" s="116"/>
      <c r="F24" s="38" t="str">
        <f>IF(Inventory_List_Table341115109[[#This Row],[Q]]&lt;0.1, " ",$A$1&amp;$D$1&amp;Inventory_List_Table341115109[[#This Row],['#]]&amp;Inventory_List_Table341115109[[#This Row],[LC]])</f>
        <v xml:space="preserve"> </v>
      </c>
      <c r="G24" s="116"/>
      <c r="H24" s="116"/>
      <c r="I24" s="116"/>
      <c r="J24" s="116"/>
      <c r="K24" s="116"/>
      <c r="L24" s="118"/>
      <c r="M24" s="30" t="str">
        <f>IF(Inventory_List_Table341115109[[#This Row],[Q]]&lt;0.1, " ", Inventory_List_Table341115109[[#This Row],[Q]]*Inventory_List_Table341115109[[#This Row],[PRICE]])</f>
        <v xml:space="preserve"> </v>
      </c>
      <c r="N24" s="35" t="str">
        <f>IF(Inventory_List_Table341115109[[#This Row],[Q]]&lt;0.1, " ", Inventory_List_Table341115109[[#This Row],[KG]]*2.20462)</f>
        <v xml:space="preserve"> </v>
      </c>
      <c r="O24" s="35" t="str">
        <f>IF(Inventory_List_Table341115109[[#This Row],[Q]]&lt;0.1, " ",Inventory_List_Table341115109[[#This Row],[H CM]]/2.54)</f>
        <v xml:space="preserve"> </v>
      </c>
      <c r="P24" s="35" t="str">
        <f>IF(Inventory_List_Table341115109[[#This Row],[Q]]&lt;0.1, " ",Inventory_List_Table341115109[[#This Row],[W CM]]/2.54)</f>
        <v xml:space="preserve"> </v>
      </c>
      <c r="Q24" s="35" t="str">
        <f>IF(Inventory_List_Table341115109[[#This Row],[Q]]&lt;0.1, " ",Inventory_List_Table341115109[[#This Row],[D CM ]]/2.54)</f>
        <v xml:space="preserve"> </v>
      </c>
      <c r="R24" s="30" t="str">
        <f>IF(Inventory_List_Table341115109[[#This Row],[Q]]&lt;0.1, " ",Inventory_List_Table341115109[[#This Row],[PRICE]]/$L$1)</f>
        <v xml:space="preserve"> </v>
      </c>
      <c r="S2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4" s="30" t="str">
        <f>IF(Inventory_List_Table341115109[[#This Row],[Q]]&lt;0.1, " ",Inventory_List_Table341115109[[#This Row],[AQ RND USD]]*1.4)</f>
        <v xml:space="preserve"> </v>
      </c>
      <c r="U2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4" s="30" t="str">
        <f>IF(Inventory_List_Table341115109[[#This Row],[Q]]&lt;0.1, " ",Inventory_List_Table341115109[[#This Row],[LND RND USD]]*12)</f>
        <v xml:space="preserve"> </v>
      </c>
      <c r="W24" s="30" t="str">
        <f>IF(Inventory_List_Table341115109[[#This Row],[Q]]&lt;0.1, " ",Inventory_List_Table341115109[[#This Row],[AQ USD]])</f>
        <v xml:space="preserve"> </v>
      </c>
      <c r="X2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4" s="30" t="str">
        <f>IF(Inventory_List_Table341115109[[#This Row],[Q]]&lt;0.1, " ",Inventory_List_Table341115109[[#This Row],[PRICE]]/Z24*10000)</f>
        <v xml:space="preserve"> </v>
      </c>
      <c r="AB24" s="120"/>
      <c r="AC24" s="1"/>
      <c r="AD24" s="1"/>
    </row>
    <row r="25" spans="1:30" ht="24" customHeight="1" x14ac:dyDescent="0.3">
      <c r="A25" s="113">
        <v>23</v>
      </c>
      <c r="B25" s="1"/>
      <c r="C25" s="116"/>
      <c r="D25" s="116"/>
      <c r="E25" s="116"/>
      <c r="F25" s="38" t="str">
        <f>IF(Inventory_List_Table341115109[[#This Row],[Q]]&lt;0.1, " ",$A$1&amp;$D$1&amp;Inventory_List_Table341115109[[#This Row],['#]]&amp;Inventory_List_Table341115109[[#This Row],[LC]])</f>
        <v xml:space="preserve"> </v>
      </c>
      <c r="G25" s="116"/>
      <c r="H25" s="116"/>
      <c r="I25" s="116"/>
      <c r="J25" s="116"/>
      <c r="K25" s="116"/>
      <c r="L25" s="118"/>
      <c r="M25" s="30" t="str">
        <f>IF(Inventory_List_Table341115109[[#This Row],[Q]]&lt;0.1, " ", Inventory_List_Table341115109[[#This Row],[Q]]*Inventory_List_Table341115109[[#This Row],[PRICE]])</f>
        <v xml:space="preserve"> </v>
      </c>
      <c r="N25" s="35" t="str">
        <f>IF(Inventory_List_Table341115109[[#This Row],[Q]]&lt;0.1, " ", Inventory_List_Table341115109[[#This Row],[KG]]*2.20462)</f>
        <v xml:space="preserve"> </v>
      </c>
      <c r="O25" s="35" t="str">
        <f>IF(Inventory_List_Table341115109[[#This Row],[Q]]&lt;0.1, " ",Inventory_List_Table341115109[[#This Row],[H CM]]/2.54)</f>
        <v xml:space="preserve"> </v>
      </c>
      <c r="P25" s="35" t="str">
        <f>IF(Inventory_List_Table341115109[[#This Row],[Q]]&lt;0.1, " ",Inventory_List_Table341115109[[#This Row],[W CM]]/2.54)</f>
        <v xml:space="preserve"> </v>
      </c>
      <c r="Q25" s="35" t="str">
        <f>IF(Inventory_List_Table341115109[[#This Row],[Q]]&lt;0.1, " ",Inventory_List_Table341115109[[#This Row],[D CM ]]/2.54)</f>
        <v xml:space="preserve"> </v>
      </c>
      <c r="R25" s="30" t="str">
        <f>IF(Inventory_List_Table341115109[[#This Row],[Q]]&lt;0.1, " ",Inventory_List_Table341115109[[#This Row],[PRICE]]/$L$1)</f>
        <v xml:space="preserve"> </v>
      </c>
      <c r="S2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5" s="30" t="str">
        <f>IF(Inventory_List_Table341115109[[#This Row],[Q]]&lt;0.1, " ",Inventory_List_Table341115109[[#This Row],[AQ RND USD]]*1.4)</f>
        <v xml:space="preserve"> </v>
      </c>
      <c r="U2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5" s="30" t="str">
        <f>IF(Inventory_List_Table341115109[[#This Row],[Q]]&lt;0.1, " ",Inventory_List_Table341115109[[#This Row],[LND RND USD]]*12)</f>
        <v xml:space="preserve"> </v>
      </c>
      <c r="W25" s="30" t="str">
        <f>IF(Inventory_List_Table341115109[[#This Row],[Q]]&lt;0.1, " ",Inventory_List_Table341115109[[#This Row],[AQ USD]])</f>
        <v xml:space="preserve"> </v>
      </c>
      <c r="X2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5" s="30" t="str">
        <f>IF(Inventory_List_Table341115109[[#This Row],[Q]]&lt;0.1, " ",Inventory_List_Table341115109[[#This Row],[PRICE]]/Z25*10000)</f>
        <v xml:space="preserve"> </v>
      </c>
      <c r="AB25" s="120"/>
      <c r="AC25" s="1"/>
      <c r="AD25" s="1"/>
    </row>
    <row r="26" spans="1:30" ht="24" customHeight="1" x14ac:dyDescent="0.3">
      <c r="A26" s="113">
        <v>24</v>
      </c>
      <c r="B26" s="1"/>
      <c r="C26" s="116"/>
      <c r="D26" s="116"/>
      <c r="E26" s="116"/>
      <c r="F26" s="38" t="str">
        <f>IF(Inventory_List_Table341115109[[#This Row],[Q]]&lt;0.1, " ",$A$1&amp;$D$1&amp;Inventory_List_Table341115109[[#This Row],['#]]&amp;Inventory_List_Table341115109[[#This Row],[LC]])</f>
        <v xml:space="preserve"> </v>
      </c>
      <c r="G26" s="116"/>
      <c r="H26" s="116"/>
      <c r="I26" s="116"/>
      <c r="J26" s="116"/>
      <c r="K26" s="116"/>
      <c r="L26" s="118"/>
      <c r="M26" s="30" t="str">
        <f>IF(Inventory_List_Table341115109[[#This Row],[Q]]&lt;0.1, " ", Inventory_List_Table341115109[[#This Row],[Q]]*Inventory_List_Table341115109[[#This Row],[PRICE]])</f>
        <v xml:space="preserve"> </v>
      </c>
      <c r="N26" s="35" t="str">
        <f>IF(Inventory_List_Table341115109[[#This Row],[Q]]&lt;0.1, " ", Inventory_List_Table341115109[[#This Row],[KG]]*2.20462)</f>
        <v xml:space="preserve"> </v>
      </c>
      <c r="O26" s="35" t="str">
        <f>IF(Inventory_List_Table341115109[[#This Row],[Q]]&lt;0.1, " ",Inventory_List_Table341115109[[#This Row],[H CM]]/2.54)</f>
        <v xml:space="preserve"> </v>
      </c>
      <c r="P26" s="35" t="str">
        <f>IF(Inventory_List_Table341115109[[#This Row],[Q]]&lt;0.1, " ",Inventory_List_Table341115109[[#This Row],[W CM]]/2.54)</f>
        <v xml:space="preserve"> </v>
      </c>
      <c r="Q26" s="35" t="str">
        <f>IF(Inventory_List_Table341115109[[#This Row],[Q]]&lt;0.1, " ",Inventory_List_Table341115109[[#This Row],[D CM ]]/2.54)</f>
        <v xml:space="preserve"> </v>
      </c>
      <c r="R26" s="30" t="str">
        <f>IF(Inventory_List_Table341115109[[#This Row],[Q]]&lt;0.1, " ",Inventory_List_Table341115109[[#This Row],[PRICE]]/$L$1)</f>
        <v xml:space="preserve"> </v>
      </c>
      <c r="S2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6" s="30" t="str">
        <f>IF(Inventory_List_Table341115109[[#This Row],[Q]]&lt;0.1, " ",Inventory_List_Table341115109[[#This Row],[AQ RND USD]]*1.4)</f>
        <v xml:space="preserve"> </v>
      </c>
      <c r="U2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6" s="30" t="str">
        <f>IF(Inventory_List_Table341115109[[#This Row],[Q]]&lt;0.1, " ",Inventory_List_Table341115109[[#This Row],[LND RND USD]]*12)</f>
        <v xml:space="preserve"> </v>
      </c>
      <c r="W26" s="30" t="str">
        <f>IF(Inventory_List_Table341115109[[#This Row],[Q]]&lt;0.1, " ",Inventory_List_Table341115109[[#This Row],[AQ USD]])</f>
        <v xml:space="preserve"> </v>
      </c>
      <c r="X2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6" s="30" t="str">
        <f>IF(Inventory_List_Table341115109[[#This Row],[Q]]&lt;0.1, " ",Inventory_List_Table341115109[[#This Row],[PRICE]]/Z26*10000)</f>
        <v xml:space="preserve"> </v>
      </c>
      <c r="AB26" s="120"/>
      <c r="AC26" s="1"/>
      <c r="AD26" s="1"/>
    </row>
    <row r="27" spans="1:30" ht="24" customHeight="1" x14ac:dyDescent="0.3">
      <c r="A27" s="113">
        <v>25</v>
      </c>
      <c r="B27" s="1"/>
      <c r="C27" s="116"/>
      <c r="D27" s="116"/>
      <c r="E27" s="116"/>
      <c r="F27" s="38" t="str">
        <f>IF(Inventory_List_Table341115109[[#This Row],[Q]]&lt;0.1, " ",$A$1&amp;$D$1&amp;Inventory_List_Table341115109[[#This Row],['#]]&amp;Inventory_List_Table341115109[[#This Row],[LC]])</f>
        <v xml:space="preserve"> </v>
      </c>
      <c r="G27" s="116"/>
      <c r="H27" s="116"/>
      <c r="I27" s="116"/>
      <c r="J27" s="116"/>
      <c r="K27" s="116"/>
      <c r="L27" s="118"/>
      <c r="M27" s="30" t="str">
        <f>IF(Inventory_List_Table341115109[[#This Row],[Q]]&lt;0.1, " ", Inventory_List_Table341115109[[#This Row],[Q]]*Inventory_List_Table341115109[[#This Row],[PRICE]])</f>
        <v xml:space="preserve"> </v>
      </c>
      <c r="N27" s="35" t="str">
        <f>IF(Inventory_List_Table341115109[[#This Row],[Q]]&lt;0.1, " ", Inventory_List_Table341115109[[#This Row],[KG]]*2.20462)</f>
        <v xml:space="preserve"> </v>
      </c>
      <c r="O27" s="35" t="str">
        <f>IF(Inventory_List_Table341115109[[#This Row],[Q]]&lt;0.1, " ",Inventory_List_Table341115109[[#This Row],[H CM]]/2.54)</f>
        <v xml:space="preserve"> </v>
      </c>
      <c r="P27" s="35" t="str">
        <f>IF(Inventory_List_Table341115109[[#This Row],[Q]]&lt;0.1, " ",Inventory_List_Table341115109[[#This Row],[W CM]]/2.54)</f>
        <v xml:space="preserve"> </v>
      </c>
      <c r="Q27" s="35" t="str">
        <f>IF(Inventory_List_Table341115109[[#This Row],[Q]]&lt;0.1, " ",Inventory_List_Table341115109[[#This Row],[D CM ]]/2.54)</f>
        <v xml:space="preserve"> </v>
      </c>
      <c r="R27" s="30" t="str">
        <f>IF(Inventory_List_Table341115109[[#This Row],[Q]]&lt;0.1, " ",Inventory_List_Table341115109[[#This Row],[PRICE]]/$L$1)</f>
        <v xml:space="preserve"> </v>
      </c>
      <c r="S2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7" s="30" t="str">
        <f>IF(Inventory_List_Table341115109[[#This Row],[Q]]&lt;0.1, " ",Inventory_List_Table341115109[[#This Row],[AQ RND USD]]*1.4)</f>
        <v xml:space="preserve"> </v>
      </c>
      <c r="U2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7" s="30" t="str">
        <f>IF(Inventory_List_Table341115109[[#This Row],[Q]]&lt;0.1, " ",Inventory_List_Table341115109[[#This Row],[LND RND USD]]*12)</f>
        <v xml:space="preserve"> </v>
      </c>
      <c r="W27" s="30" t="str">
        <f>IF(Inventory_List_Table341115109[[#This Row],[Q]]&lt;0.1, " ",Inventory_List_Table341115109[[#This Row],[AQ USD]])</f>
        <v xml:space="preserve"> </v>
      </c>
      <c r="X2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7" s="30" t="str">
        <f>IF(Inventory_List_Table341115109[[#This Row],[Q]]&lt;0.1, " ",Inventory_List_Table341115109[[#This Row],[PRICE]]/Z27*10000)</f>
        <v xml:space="preserve"> </v>
      </c>
      <c r="AB27" s="120"/>
      <c r="AC27" s="1"/>
      <c r="AD27" s="1"/>
    </row>
    <row r="28" spans="1:30" ht="24" customHeight="1" x14ac:dyDescent="0.3">
      <c r="A28" s="113">
        <v>26</v>
      </c>
      <c r="B28" s="1"/>
      <c r="C28" s="116"/>
      <c r="D28" s="116"/>
      <c r="E28" s="116"/>
      <c r="F28" s="38" t="str">
        <f>IF(Inventory_List_Table341115109[[#This Row],[Q]]&lt;0.1, " ",$A$1&amp;$D$1&amp;Inventory_List_Table341115109[[#This Row],['#]]&amp;Inventory_List_Table341115109[[#This Row],[LC]])</f>
        <v xml:space="preserve"> </v>
      </c>
      <c r="G28" s="116"/>
      <c r="H28" s="116"/>
      <c r="I28" s="116"/>
      <c r="J28" s="116"/>
      <c r="K28" s="116"/>
      <c r="L28" s="118"/>
      <c r="M28" s="30" t="str">
        <f>IF(Inventory_List_Table341115109[[#This Row],[Q]]&lt;0.1, " ", Inventory_List_Table341115109[[#This Row],[Q]]*Inventory_List_Table341115109[[#This Row],[PRICE]])</f>
        <v xml:space="preserve"> </v>
      </c>
      <c r="N28" s="35" t="str">
        <f>IF(Inventory_List_Table341115109[[#This Row],[Q]]&lt;0.1, " ", Inventory_List_Table341115109[[#This Row],[KG]]*2.20462)</f>
        <v xml:space="preserve"> </v>
      </c>
      <c r="O28" s="35" t="str">
        <f>IF(Inventory_List_Table341115109[[#This Row],[Q]]&lt;0.1, " ",Inventory_List_Table341115109[[#This Row],[H CM]]/2.54)</f>
        <v xml:space="preserve"> </v>
      </c>
      <c r="P28" s="35" t="str">
        <f>IF(Inventory_List_Table341115109[[#This Row],[Q]]&lt;0.1, " ",Inventory_List_Table341115109[[#This Row],[W CM]]/2.54)</f>
        <v xml:space="preserve"> </v>
      </c>
      <c r="Q28" s="35" t="str">
        <f>IF(Inventory_List_Table341115109[[#This Row],[Q]]&lt;0.1, " ",Inventory_List_Table341115109[[#This Row],[D CM ]]/2.54)</f>
        <v xml:space="preserve"> </v>
      </c>
      <c r="R28" s="30" t="str">
        <f>IF(Inventory_List_Table341115109[[#This Row],[Q]]&lt;0.1, " ",Inventory_List_Table341115109[[#This Row],[PRICE]]/$L$1)</f>
        <v xml:space="preserve"> </v>
      </c>
      <c r="S2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8" s="30" t="str">
        <f>IF(Inventory_List_Table341115109[[#This Row],[Q]]&lt;0.1, " ",Inventory_List_Table341115109[[#This Row],[AQ RND USD]]*1.4)</f>
        <v xml:space="preserve"> </v>
      </c>
      <c r="U2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8" s="30" t="str">
        <f>IF(Inventory_List_Table341115109[[#This Row],[Q]]&lt;0.1, " ",Inventory_List_Table341115109[[#This Row],[LND RND USD]]*12)</f>
        <v xml:space="preserve"> </v>
      </c>
      <c r="W28" s="30" t="str">
        <f>IF(Inventory_List_Table341115109[[#This Row],[Q]]&lt;0.1, " ",Inventory_List_Table341115109[[#This Row],[AQ USD]])</f>
        <v xml:space="preserve"> </v>
      </c>
      <c r="X2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8" s="30" t="str">
        <f>IF(Inventory_List_Table341115109[[#This Row],[Q]]&lt;0.1, " ",Inventory_List_Table341115109[[#This Row],[PRICE]]/Z28*10000)</f>
        <v xml:space="preserve"> </v>
      </c>
      <c r="AB28" s="120"/>
      <c r="AC28" s="1"/>
      <c r="AD28" s="1"/>
    </row>
    <row r="29" spans="1:30" ht="24" customHeight="1" x14ac:dyDescent="0.3">
      <c r="A29" s="113">
        <v>27</v>
      </c>
      <c r="B29" s="1"/>
      <c r="C29" s="116"/>
      <c r="D29" s="116"/>
      <c r="E29" s="116"/>
      <c r="F29" s="38" t="str">
        <f>IF(Inventory_List_Table341115109[[#This Row],[Q]]&lt;0.1, " ",$A$1&amp;$D$1&amp;Inventory_List_Table341115109[[#This Row],['#]]&amp;Inventory_List_Table341115109[[#This Row],[LC]])</f>
        <v xml:space="preserve"> </v>
      </c>
      <c r="G29" s="116"/>
      <c r="H29" s="116"/>
      <c r="I29" s="116"/>
      <c r="J29" s="116"/>
      <c r="K29" s="116"/>
      <c r="L29" s="118"/>
      <c r="M29" s="30" t="str">
        <f>IF(Inventory_List_Table341115109[[#This Row],[Q]]&lt;0.1, " ", Inventory_List_Table341115109[[#This Row],[Q]]*Inventory_List_Table341115109[[#This Row],[PRICE]])</f>
        <v xml:space="preserve"> </v>
      </c>
      <c r="N29" s="35" t="str">
        <f>IF(Inventory_List_Table341115109[[#This Row],[Q]]&lt;0.1, " ", Inventory_List_Table341115109[[#This Row],[KG]]*2.20462)</f>
        <v xml:space="preserve"> </v>
      </c>
      <c r="O29" s="35" t="str">
        <f>IF(Inventory_List_Table341115109[[#This Row],[Q]]&lt;0.1, " ",Inventory_List_Table341115109[[#This Row],[H CM]]/2.54)</f>
        <v xml:space="preserve"> </v>
      </c>
      <c r="P29" s="35" t="str">
        <f>IF(Inventory_List_Table341115109[[#This Row],[Q]]&lt;0.1, " ",Inventory_List_Table341115109[[#This Row],[W CM]]/2.54)</f>
        <v xml:space="preserve"> </v>
      </c>
      <c r="Q29" s="35" t="str">
        <f>IF(Inventory_List_Table341115109[[#This Row],[Q]]&lt;0.1, " ",Inventory_List_Table341115109[[#This Row],[D CM ]]/2.54)</f>
        <v xml:space="preserve"> </v>
      </c>
      <c r="R29" s="30" t="str">
        <f>IF(Inventory_List_Table341115109[[#This Row],[Q]]&lt;0.1, " ",Inventory_List_Table341115109[[#This Row],[PRICE]]/$L$1)</f>
        <v xml:space="preserve"> </v>
      </c>
      <c r="S2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29" s="30" t="str">
        <f>IF(Inventory_List_Table341115109[[#This Row],[Q]]&lt;0.1, " ",Inventory_List_Table341115109[[#This Row],[AQ RND USD]]*1.4)</f>
        <v xml:space="preserve"> </v>
      </c>
      <c r="U2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29" s="30" t="str">
        <f>IF(Inventory_List_Table341115109[[#This Row],[Q]]&lt;0.1, " ",Inventory_List_Table341115109[[#This Row],[LND RND USD]]*12)</f>
        <v xml:space="preserve"> </v>
      </c>
      <c r="W29" s="30" t="str">
        <f>IF(Inventory_List_Table341115109[[#This Row],[Q]]&lt;0.1, " ",Inventory_List_Table341115109[[#This Row],[AQ USD]])</f>
        <v xml:space="preserve"> </v>
      </c>
      <c r="X2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2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2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29" s="30" t="str">
        <f>IF(Inventory_List_Table341115109[[#This Row],[Q]]&lt;0.1, " ",Inventory_List_Table341115109[[#This Row],[PRICE]]/Z29*10000)</f>
        <v xml:space="preserve"> </v>
      </c>
      <c r="AB29" s="120"/>
      <c r="AC29" s="1"/>
      <c r="AD29" s="1"/>
    </row>
    <row r="30" spans="1:30" ht="24" customHeight="1" x14ac:dyDescent="0.3">
      <c r="A30" s="113">
        <v>28</v>
      </c>
      <c r="B30" s="1"/>
      <c r="C30" s="116"/>
      <c r="D30" s="116"/>
      <c r="E30" s="116"/>
      <c r="F30" s="38" t="str">
        <f>IF(Inventory_List_Table341115109[[#This Row],[Q]]&lt;0.1, " ",$A$1&amp;$D$1&amp;Inventory_List_Table341115109[[#This Row],['#]]&amp;Inventory_List_Table341115109[[#This Row],[LC]])</f>
        <v xml:space="preserve"> </v>
      </c>
      <c r="G30" s="116"/>
      <c r="H30" s="116"/>
      <c r="I30" s="116"/>
      <c r="J30" s="116"/>
      <c r="K30" s="116"/>
      <c r="L30" s="118"/>
      <c r="M30" s="30" t="str">
        <f>IF(Inventory_List_Table341115109[[#This Row],[Q]]&lt;0.1, " ", Inventory_List_Table341115109[[#This Row],[Q]]*Inventory_List_Table341115109[[#This Row],[PRICE]])</f>
        <v xml:space="preserve"> </v>
      </c>
      <c r="N30" s="35" t="str">
        <f>IF(Inventory_List_Table341115109[[#This Row],[Q]]&lt;0.1, " ", Inventory_List_Table341115109[[#This Row],[KG]]*2.20462)</f>
        <v xml:space="preserve"> </v>
      </c>
      <c r="O30" s="35" t="str">
        <f>IF(Inventory_List_Table341115109[[#This Row],[Q]]&lt;0.1, " ",Inventory_List_Table341115109[[#This Row],[H CM]]/2.54)</f>
        <v xml:space="preserve"> </v>
      </c>
      <c r="P30" s="35" t="str">
        <f>IF(Inventory_List_Table341115109[[#This Row],[Q]]&lt;0.1, " ",Inventory_List_Table341115109[[#This Row],[W CM]]/2.54)</f>
        <v xml:space="preserve"> </v>
      </c>
      <c r="Q30" s="35" t="str">
        <f>IF(Inventory_List_Table341115109[[#This Row],[Q]]&lt;0.1, " ",Inventory_List_Table341115109[[#This Row],[D CM ]]/2.54)</f>
        <v xml:space="preserve"> </v>
      </c>
      <c r="R30" s="30" t="str">
        <f>IF(Inventory_List_Table341115109[[#This Row],[Q]]&lt;0.1, " ",Inventory_List_Table341115109[[#This Row],[PRICE]]/$L$1)</f>
        <v xml:space="preserve"> </v>
      </c>
      <c r="S3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0" s="30" t="str">
        <f>IF(Inventory_List_Table341115109[[#This Row],[Q]]&lt;0.1, " ",Inventory_List_Table341115109[[#This Row],[AQ RND USD]]*1.4)</f>
        <v xml:space="preserve"> </v>
      </c>
      <c r="U3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0" s="30" t="str">
        <f>IF(Inventory_List_Table341115109[[#This Row],[Q]]&lt;0.1, " ",Inventory_List_Table341115109[[#This Row],[LND RND USD]]*12)</f>
        <v xml:space="preserve"> </v>
      </c>
      <c r="W30" s="30" t="str">
        <f>IF(Inventory_List_Table341115109[[#This Row],[Q]]&lt;0.1, " ",Inventory_List_Table341115109[[#This Row],[AQ USD]])</f>
        <v xml:space="preserve"> </v>
      </c>
      <c r="X3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0" s="30" t="str">
        <f>IF(Inventory_List_Table341115109[[#This Row],[Q]]&lt;0.1, " ",Inventory_List_Table341115109[[#This Row],[PRICE]]/Z30*10000)</f>
        <v xml:space="preserve"> </v>
      </c>
      <c r="AB30" s="120"/>
      <c r="AC30" s="1"/>
      <c r="AD30" s="1"/>
    </row>
    <row r="31" spans="1:30" ht="24" customHeight="1" x14ac:dyDescent="0.3">
      <c r="A31" s="113">
        <v>29</v>
      </c>
      <c r="B31" s="1"/>
      <c r="C31" s="116"/>
      <c r="D31" s="116"/>
      <c r="E31" s="116"/>
      <c r="F31" s="38" t="str">
        <f>IF(Inventory_List_Table341115109[[#This Row],[Q]]&lt;0.1, " ",$A$1&amp;$D$1&amp;Inventory_List_Table341115109[[#This Row],['#]]&amp;Inventory_List_Table341115109[[#This Row],[LC]])</f>
        <v xml:space="preserve"> </v>
      </c>
      <c r="G31" s="116"/>
      <c r="H31" s="116"/>
      <c r="I31" s="116"/>
      <c r="J31" s="116"/>
      <c r="K31" s="116"/>
      <c r="L31" s="118"/>
      <c r="M31" s="30" t="str">
        <f>IF(Inventory_List_Table341115109[[#This Row],[Q]]&lt;0.1, " ", Inventory_List_Table341115109[[#This Row],[Q]]*Inventory_List_Table341115109[[#This Row],[PRICE]])</f>
        <v xml:space="preserve"> </v>
      </c>
      <c r="N31" s="35" t="str">
        <f>IF(Inventory_List_Table341115109[[#This Row],[Q]]&lt;0.1, " ", Inventory_List_Table341115109[[#This Row],[KG]]*2.20462)</f>
        <v xml:space="preserve"> </v>
      </c>
      <c r="O31" s="35" t="str">
        <f>IF(Inventory_List_Table341115109[[#This Row],[Q]]&lt;0.1, " ",Inventory_List_Table341115109[[#This Row],[H CM]]/2.54)</f>
        <v xml:space="preserve"> </v>
      </c>
      <c r="P31" s="35" t="str">
        <f>IF(Inventory_List_Table341115109[[#This Row],[Q]]&lt;0.1, " ",Inventory_List_Table341115109[[#This Row],[W CM]]/2.54)</f>
        <v xml:space="preserve"> </v>
      </c>
      <c r="Q31" s="35" t="str">
        <f>IF(Inventory_List_Table341115109[[#This Row],[Q]]&lt;0.1, " ",Inventory_List_Table341115109[[#This Row],[D CM ]]/2.54)</f>
        <v xml:space="preserve"> </v>
      </c>
      <c r="R31" s="30" t="str">
        <f>IF(Inventory_List_Table341115109[[#This Row],[Q]]&lt;0.1, " ",Inventory_List_Table341115109[[#This Row],[PRICE]]/$L$1)</f>
        <v xml:space="preserve"> </v>
      </c>
      <c r="S3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1" s="30" t="str">
        <f>IF(Inventory_List_Table341115109[[#This Row],[Q]]&lt;0.1, " ",Inventory_List_Table341115109[[#This Row],[AQ RND USD]]*1.4)</f>
        <v xml:space="preserve"> </v>
      </c>
      <c r="U3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1" s="30" t="str">
        <f>IF(Inventory_List_Table341115109[[#This Row],[Q]]&lt;0.1, " ",Inventory_List_Table341115109[[#This Row],[LND RND USD]]*12)</f>
        <v xml:space="preserve"> </v>
      </c>
      <c r="W31" s="30" t="str">
        <f>IF(Inventory_List_Table341115109[[#This Row],[Q]]&lt;0.1, " ",Inventory_List_Table341115109[[#This Row],[AQ USD]])</f>
        <v xml:space="preserve"> </v>
      </c>
      <c r="X3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1" s="30" t="str">
        <f>IF(Inventory_List_Table341115109[[#This Row],[Q]]&lt;0.1, " ",Inventory_List_Table341115109[[#This Row],[PRICE]]/Z31*10000)</f>
        <v xml:space="preserve"> </v>
      </c>
      <c r="AB31" s="120"/>
      <c r="AC31" s="1"/>
      <c r="AD31" s="1"/>
    </row>
    <row r="32" spans="1:30" ht="24" customHeight="1" x14ac:dyDescent="0.3">
      <c r="A32" s="113">
        <v>30</v>
      </c>
      <c r="B32" s="1"/>
      <c r="C32" s="116"/>
      <c r="D32" s="116"/>
      <c r="E32" s="116"/>
      <c r="F32" s="38" t="str">
        <f>IF(Inventory_List_Table341115109[[#This Row],[Q]]&lt;0.1, " ",$A$1&amp;$D$1&amp;Inventory_List_Table341115109[[#This Row],['#]]&amp;Inventory_List_Table341115109[[#This Row],[LC]])</f>
        <v xml:space="preserve"> </v>
      </c>
      <c r="G32" s="116"/>
      <c r="H32" s="116"/>
      <c r="I32" s="116"/>
      <c r="J32" s="116"/>
      <c r="K32" s="116"/>
      <c r="L32" s="118"/>
      <c r="M32" s="30" t="str">
        <f>IF(Inventory_List_Table341115109[[#This Row],[Q]]&lt;0.1, " ", Inventory_List_Table341115109[[#This Row],[Q]]*Inventory_List_Table341115109[[#This Row],[PRICE]])</f>
        <v xml:space="preserve"> </v>
      </c>
      <c r="N32" s="35" t="str">
        <f>IF(Inventory_List_Table341115109[[#This Row],[Q]]&lt;0.1, " ", Inventory_List_Table341115109[[#This Row],[KG]]*2.20462)</f>
        <v xml:space="preserve"> </v>
      </c>
      <c r="O32" s="35" t="str">
        <f>IF(Inventory_List_Table341115109[[#This Row],[Q]]&lt;0.1, " ",Inventory_List_Table341115109[[#This Row],[H CM]]/2.54)</f>
        <v xml:space="preserve"> </v>
      </c>
      <c r="P32" s="35" t="str">
        <f>IF(Inventory_List_Table341115109[[#This Row],[Q]]&lt;0.1, " ",Inventory_List_Table341115109[[#This Row],[W CM]]/2.54)</f>
        <v xml:space="preserve"> </v>
      </c>
      <c r="Q32" s="35" t="str">
        <f>IF(Inventory_List_Table341115109[[#This Row],[Q]]&lt;0.1, " ",Inventory_List_Table341115109[[#This Row],[D CM ]]/2.54)</f>
        <v xml:space="preserve"> </v>
      </c>
      <c r="R32" s="30" t="str">
        <f>IF(Inventory_List_Table341115109[[#This Row],[Q]]&lt;0.1, " ",Inventory_List_Table341115109[[#This Row],[PRICE]]/$L$1)</f>
        <v xml:space="preserve"> </v>
      </c>
      <c r="S3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2" s="30" t="str">
        <f>IF(Inventory_List_Table341115109[[#This Row],[Q]]&lt;0.1, " ",Inventory_List_Table341115109[[#This Row],[AQ RND USD]]*1.4)</f>
        <v xml:space="preserve"> </v>
      </c>
      <c r="U3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2" s="30" t="str">
        <f>IF(Inventory_List_Table341115109[[#This Row],[Q]]&lt;0.1, " ",Inventory_List_Table341115109[[#This Row],[LND RND USD]]*12)</f>
        <v xml:space="preserve"> </v>
      </c>
      <c r="W32" s="30" t="str">
        <f>IF(Inventory_List_Table341115109[[#This Row],[Q]]&lt;0.1, " ",Inventory_List_Table341115109[[#This Row],[AQ USD]])</f>
        <v xml:space="preserve"> </v>
      </c>
      <c r="X3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2" s="30" t="str">
        <f>IF(Inventory_List_Table341115109[[#This Row],[Q]]&lt;0.1, " ",Inventory_List_Table341115109[[#This Row],[PRICE]]/Z32*10000)</f>
        <v xml:space="preserve"> </v>
      </c>
      <c r="AB32" s="120"/>
      <c r="AC32" s="1"/>
      <c r="AD32" s="1"/>
    </row>
    <row r="33" spans="1:30" ht="24" customHeight="1" x14ac:dyDescent="0.3">
      <c r="A33" s="113">
        <v>31</v>
      </c>
      <c r="B33" s="1"/>
      <c r="C33" s="116"/>
      <c r="D33" s="116"/>
      <c r="E33" s="116"/>
      <c r="F33" s="38" t="str">
        <f>IF(Inventory_List_Table341115109[[#This Row],[Q]]&lt;0.1, " ",$A$1&amp;$D$1&amp;Inventory_List_Table341115109[[#This Row],['#]]&amp;Inventory_List_Table341115109[[#This Row],[LC]])</f>
        <v xml:space="preserve"> </v>
      </c>
      <c r="G33" s="116"/>
      <c r="H33" s="116"/>
      <c r="I33" s="116"/>
      <c r="J33" s="116"/>
      <c r="K33" s="116"/>
      <c r="L33" s="118"/>
      <c r="M33" s="30" t="str">
        <f>IF(Inventory_List_Table341115109[[#This Row],[Q]]&lt;0.1, " ", Inventory_List_Table341115109[[#This Row],[Q]]*Inventory_List_Table341115109[[#This Row],[PRICE]])</f>
        <v xml:space="preserve"> </v>
      </c>
      <c r="N33" s="35" t="str">
        <f>IF(Inventory_List_Table341115109[[#This Row],[Q]]&lt;0.1, " ", Inventory_List_Table341115109[[#This Row],[KG]]*2.20462)</f>
        <v xml:space="preserve"> </v>
      </c>
      <c r="O33" s="35" t="str">
        <f>IF(Inventory_List_Table341115109[[#This Row],[Q]]&lt;0.1, " ",Inventory_List_Table341115109[[#This Row],[H CM]]/2.54)</f>
        <v xml:space="preserve"> </v>
      </c>
      <c r="P33" s="35" t="str">
        <f>IF(Inventory_List_Table341115109[[#This Row],[Q]]&lt;0.1, " ",Inventory_List_Table341115109[[#This Row],[W CM]]/2.54)</f>
        <v xml:space="preserve"> </v>
      </c>
      <c r="Q33" s="35" t="str">
        <f>IF(Inventory_List_Table341115109[[#This Row],[Q]]&lt;0.1, " ",Inventory_List_Table341115109[[#This Row],[D CM ]]/2.54)</f>
        <v xml:space="preserve"> </v>
      </c>
      <c r="R33" s="30" t="str">
        <f>IF(Inventory_List_Table341115109[[#This Row],[Q]]&lt;0.1, " ",Inventory_List_Table341115109[[#This Row],[PRICE]]/$L$1)</f>
        <v xml:space="preserve"> </v>
      </c>
      <c r="S3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3" s="30" t="str">
        <f>IF(Inventory_List_Table341115109[[#This Row],[Q]]&lt;0.1, " ",Inventory_List_Table341115109[[#This Row],[AQ RND USD]]*1.4)</f>
        <v xml:space="preserve"> </v>
      </c>
      <c r="U3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3" s="30" t="str">
        <f>IF(Inventory_List_Table341115109[[#This Row],[Q]]&lt;0.1, " ",Inventory_List_Table341115109[[#This Row],[LND RND USD]]*12)</f>
        <v xml:space="preserve"> </v>
      </c>
      <c r="W33" s="30" t="str">
        <f>IF(Inventory_List_Table341115109[[#This Row],[Q]]&lt;0.1, " ",Inventory_List_Table341115109[[#This Row],[AQ USD]])</f>
        <v xml:space="preserve"> </v>
      </c>
      <c r="X3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3" s="30" t="str">
        <f>IF(Inventory_List_Table341115109[[#This Row],[Q]]&lt;0.1, " ",Inventory_List_Table341115109[[#This Row],[PRICE]]/Z33*10000)</f>
        <v xml:space="preserve"> </v>
      </c>
      <c r="AB33" s="120"/>
      <c r="AC33" s="1"/>
      <c r="AD33" s="1"/>
    </row>
    <row r="34" spans="1:30" ht="24" customHeight="1" x14ac:dyDescent="0.3">
      <c r="A34" s="113">
        <v>32</v>
      </c>
      <c r="B34" s="1"/>
      <c r="C34" s="116"/>
      <c r="D34" s="116"/>
      <c r="E34" s="116"/>
      <c r="F34" s="38" t="str">
        <f>IF(Inventory_List_Table341115109[[#This Row],[Q]]&lt;0.1, " ",$A$1&amp;$D$1&amp;Inventory_List_Table341115109[[#This Row],['#]]&amp;Inventory_List_Table341115109[[#This Row],[LC]])</f>
        <v xml:space="preserve"> </v>
      </c>
      <c r="G34" s="116"/>
      <c r="H34" s="116"/>
      <c r="I34" s="116"/>
      <c r="J34" s="116"/>
      <c r="K34" s="116"/>
      <c r="L34" s="118"/>
      <c r="M34" s="30" t="str">
        <f>IF(Inventory_List_Table341115109[[#This Row],[Q]]&lt;0.1, " ", Inventory_List_Table341115109[[#This Row],[Q]]*Inventory_List_Table341115109[[#This Row],[PRICE]])</f>
        <v xml:space="preserve"> </v>
      </c>
      <c r="N34" s="35" t="str">
        <f>IF(Inventory_List_Table341115109[[#This Row],[Q]]&lt;0.1, " ", Inventory_List_Table341115109[[#This Row],[KG]]*2.20462)</f>
        <v xml:space="preserve"> </v>
      </c>
      <c r="O34" s="35" t="str">
        <f>IF(Inventory_List_Table341115109[[#This Row],[Q]]&lt;0.1, " ",Inventory_List_Table341115109[[#This Row],[H CM]]/2.54)</f>
        <v xml:space="preserve"> </v>
      </c>
      <c r="P34" s="35" t="str">
        <f>IF(Inventory_List_Table341115109[[#This Row],[Q]]&lt;0.1, " ",Inventory_List_Table341115109[[#This Row],[W CM]]/2.54)</f>
        <v xml:space="preserve"> </v>
      </c>
      <c r="Q34" s="35" t="str">
        <f>IF(Inventory_List_Table341115109[[#This Row],[Q]]&lt;0.1, " ",Inventory_List_Table341115109[[#This Row],[D CM ]]/2.54)</f>
        <v xml:space="preserve"> </v>
      </c>
      <c r="R34" s="30" t="str">
        <f>IF(Inventory_List_Table341115109[[#This Row],[Q]]&lt;0.1, " ",Inventory_List_Table341115109[[#This Row],[PRICE]]/$L$1)</f>
        <v xml:space="preserve"> </v>
      </c>
      <c r="S3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4" s="30" t="str">
        <f>IF(Inventory_List_Table341115109[[#This Row],[Q]]&lt;0.1, " ",Inventory_List_Table341115109[[#This Row],[AQ RND USD]]*1.4)</f>
        <v xml:space="preserve"> </v>
      </c>
      <c r="U3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4" s="30" t="str">
        <f>IF(Inventory_List_Table341115109[[#This Row],[Q]]&lt;0.1, " ",Inventory_List_Table341115109[[#This Row],[LND RND USD]]*12)</f>
        <v xml:space="preserve"> </v>
      </c>
      <c r="W34" s="30" t="str">
        <f>IF(Inventory_List_Table341115109[[#This Row],[Q]]&lt;0.1, " ",Inventory_List_Table341115109[[#This Row],[AQ USD]])</f>
        <v xml:space="preserve"> </v>
      </c>
      <c r="X3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4" s="30" t="str">
        <f>IF(Inventory_List_Table341115109[[#This Row],[Q]]&lt;0.1, " ",Inventory_List_Table341115109[[#This Row],[PRICE]]/Z34*10000)</f>
        <v xml:space="preserve"> </v>
      </c>
      <c r="AB34" s="120"/>
      <c r="AC34" s="1"/>
      <c r="AD34" s="1"/>
    </row>
    <row r="35" spans="1:30" ht="24" customHeight="1" x14ac:dyDescent="0.3">
      <c r="A35" s="113">
        <v>33</v>
      </c>
      <c r="B35" s="1"/>
      <c r="C35" s="116"/>
      <c r="D35" s="116"/>
      <c r="E35" s="116"/>
      <c r="F35" s="38" t="str">
        <f>IF(Inventory_List_Table341115109[[#This Row],[Q]]&lt;0.1, " ",$A$1&amp;$D$1&amp;Inventory_List_Table341115109[[#This Row],['#]]&amp;Inventory_List_Table341115109[[#This Row],[LC]])</f>
        <v xml:space="preserve"> </v>
      </c>
      <c r="G35" s="116"/>
      <c r="H35" s="116"/>
      <c r="I35" s="116"/>
      <c r="J35" s="116"/>
      <c r="K35" s="116"/>
      <c r="L35" s="118"/>
      <c r="M35" s="30" t="str">
        <f>IF(Inventory_List_Table341115109[[#This Row],[Q]]&lt;0.1, " ", Inventory_List_Table341115109[[#This Row],[Q]]*Inventory_List_Table341115109[[#This Row],[PRICE]])</f>
        <v xml:space="preserve"> </v>
      </c>
      <c r="N35" s="35" t="str">
        <f>IF(Inventory_List_Table341115109[[#This Row],[Q]]&lt;0.1, " ", Inventory_List_Table341115109[[#This Row],[KG]]*2.20462)</f>
        <v xml:space="preserve"> </v>
      </c>
      <c r="O35" s="35" t="str">
        <f>IF(Inventory_List_Table341115109[[#This Row],[Q]]&lt;0.1, " ",Inventory_List_Table341115109[[#This Row],[H CM]]/2.54)</f>
        <v xml:space="preserve"> </v>
      </c>
      <c r="P35" s="35" t="str">
        <f>IF(Inventory_List_Table341115109[[#This Row],[Q]]&lt;0.1, " ",Inventory_List_Table341115109[[#This Row],[W CM]]/2.54)</f>
        <v xml:space="preserve"> </v>
      </c>
      <c r="Q35" s="35" t="str">
        <f>IF(Inventory_List_Table341115109[[#This Row],[Q]]&lt;0.1, " ",Inventory_List_Table341115109[[#This Row],[D CM ]]/2.54)</f>
        <v xml:space="preserve"> </v>
      </c>
      <c r="R35" s="30" t="str">
        <f>IF(Inventory_List_Table341115109[[#This Row],[Q]]&lt;0.1, " ",Inventory_List_Table341115109[[#This Row],[PRICE]]/$L$1)</f>
        <v xml:space="preserve"> </v>
      </c>
      <c r="S3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5" s="30" t="str">
        <f>IF(Inventory_List_Table341115109[[#This Row],[Q]]&lt;0.1, " ",Inventory_List_Table341115109[[#This Row],[AQ RND USD]]*1.4)</f>
        <v xml:space="preserve"> </v>
      </c>
      <c r="U3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5" s="30" t="str">
        <f>IF(Inventory_List_Table341115109[[#This Row],[Q]]&lt;0.1, " ",Inventory_List_Table341115109[[#This Row],[LND RND USD]]*12)</f>
        <v xml:space="preserve"> </v>
      </c>
      <c r="W35" s="30" t="str">
        <f>IF(Inventory_List_Table341115109[[#This Row],[Q]]&lt;0.1, " ",Inventory_List_Table341115109[[#This Row],[AQ USD]])</f>
        <v xml:space="preserve"> </v>
      </c>
      <c r="X3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5" s="30" t="str">
        <f>IF(Inventory_List_Table341115109[[#This Row],[Q]]&lt;0.1, " ",Inventory_List_Table341115109[[#This Row],[PRICE]]/Z35*10000)</f>
        <v xml:space="preserve"> </v>
      </c>
      <c r="AB35" s="120"/>
      <c r="AC35" s="1"/>
      <c r="AD35" s="1"/>
    </row>
    <row r="36" spans="1:30" ht="24" customHeight="1" x14ac:dyDescent="0.3">
      <c r="A36" s="113">
        <v>34</v>
      </c>
      <c r="B36" s="1"/>
      <c r="C36" s="116"/>
      <c r="D36" s="116"/>
      <c r="E36" s="116"/>
      <c r="F36" s="38" t="str">
        <f>IF(Inventory_List_Table341115109[[#This Row],[Q]]&lt;0.1, " ",$A$1&amp;$D$1&amp;Inventory_List_Table341115109[[#This Row],['#]]&amp;Inventory_List_Table341115109[[#This Row],[LC]])</f>
        <v xml:space="preserve"> </v>
      </c>
      <c r="G36" s="116"/>
      <c r="H36" s="116"/>
      <c r="I36" s="116"/>
      <c r="J36" s="116"/>
      <c r="K36" s="116"/>
      <c r="L36" s="118"/>
      <c r="M36" s="30" t="str">
        <f>IF(Inventory_List_Table341115109[[#This Row],[Q]]&lt;0.1, " ", Inventory_List_Table341115109[[#This Row],[Q]]*Inventory_List_Table341115109[[#This Row],[PRICE]])</f>
        <v xml:space="preserve"> </v>
      </c>
      <c r="N36" s="35" t="str">
        <f>IF(Inventory_List_Table341115109[[#This Row],[Q]]&lt;0.1, " ", Inventory_List_Table341115109[[#This Row],[KG]]*2.20462)</f>
        <v xml:space="preserve"> </v>
      </c>
      <c r="O36" s="35" t="str">
        <f>IF(Inventory_List_Table341115109[[#This Row],[Q]]&lt;0.1, " ",Inventory_List_Table341115109[[#This Row],[H CM]]/2.54)</f>
        <v xml:space="preserve"> </v>
      </c>
      <c r="P36" s="35" t="str">
        <f>IF(Inventory_List_Table341115109[[#This Row],[Q]]&lt;0.1, " ",Inventory_List_Table341115109[[#This Row],[W CM]]/2.54)</f>
        <v xml:space="preserve"> </v>
      </c>
      <c r="Q36" s="35" t="str">
        <f>IF(Inventory_List_Table341115109[[#This Row],[Q]]&lt;0.1, " ",Inventory_List_Table341115109[[#This Row],[D CM ]]/2.54)</f>
        <v xml:space="preserve"> </v>
      </c>
      <c r="R36" s="30" t="str">
        <f>IF(Inventory_List_Table341115109[[#This Row],[Q]]&lt;0.1, " ",Inventory_List_Table341115109[[#This Row],[PRICE]]/$L$1)</f>
        <v xml:space="preserve"> </v>
      </c>
      <c r="S3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6" s="30" t="str">
        <f>IF(Inventory_List_Table341115109[[#This Row],[Q]]&lt;0.1, " ",Inventory_List_Table341115109[[#This Row],[AQ RND USD]]*1.4)</f>
        <v xml:space="preserve"> </v>
      </c>
      <c r="U3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6" s="30" t="str">
        <f>IF(Inventory_List_Table341115109[[#This Row],[Q]]&lt;0.1, " ",Inventory_List_Table341115109[[#This Row],[LND RND USD]]*12)</f>
        <v xml:space="preserve"> </v>
      </c>
      <c r="W36" s="30" t="str">
        <f>IF(Inventory_List_Table341115109[[#This Row],[Q]]&lt;0.1, " ",Inventory_List_Table341115109[[#This Row],[AQ USD]])</f>
        <v xml:space="preserve"> </v>
      </c>
      <c r="X3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6" s="30" t="str">
        <f>IF(Inventory_List_Table341115109[[#This Row],[Q]]&lt;0.1, " ",Inventory_List_Table341115109[[#This Row],[PRICE]]/Z36*10000)</f>
        <v xml:space="preserve"> </v>
      </c>
      <c r="AB36" s="120"/>
      <c r="AC36" s="1"/>
      <c r="AD36" s="1"/>
    </row>
    <row r="37" spans="1:30" ht="24" customHeight="1" x14ac:dyDescent="0.3">
      <c r="A37" s="113">
        <v>35</v>
      </c>
      <c r="B37" s="1"/>
      <c r="C37" s="116"/>
      <c r="D37" s="116"/>
      <c r="E37" s="116"/>
      <c r="F37" s="38" t="str">
        <f>IF(Inventory_List_Table341115109[[#This Row],[Q]]&lt;0.1, " ",$A$1&amp;$D$1&amp;Inventory_List_Table341115109[[#This Row],['#]]&amp;Inventory_List_Table341115109[[#This Row],[LC]])</f>
        <v xml:space="preserve"> </v>
      </c>
      <c r="G37" s="116"/>
      <c r="H37" s="116"/>
      <c r="I37" s="116"/>
      <c r="J37" s="116"/>
      <c r="K37" s="116"/>
      <c r="L37" s="118"/>
      <c r="M37" s="30" t="str">
        <f>IF(Inventory_List_Table341115109[[#This Row],[Q]]&lt;0.1, " ", Inventory_List_Table341115109[[#This Row],[Q]]*Inventory_List_Table341115109[[#This Row],[PRICE]])</f>
        <v xml:space="preserve"> </v>
      </c>
      <c r="N37" s="35" t="str">
        <f>IF(Inventory_List_Table341115109[[#This Row],[Q]]&lt;0.1, " ", Inventory_List_Table341115109[[#This Row],[KG]]*2.20462)</f>
        <v xml:space="preserve"> </v>
      </c>
      <c r="O37" s="35" t="str">
        <f>IF(Inventory_List_Table341115109[[#This Row],[Q]]&lt;0.1, " ",Inventory_List_Table341115109[[#This Row],[H CM]]/2.54)</f>
        <v xml:space="preserve"> </v>
      </c>
      <c r="P37" s="35" t="str">
        <f>IF(Inventory_List_Table341115109[[#This Row],[Q]]&lt;0.1, " ",Inventory_List_Table341115109[[#This Row],[W CM]]/2.54)</f>
        <v xml:space="preserve"> </v>
      </c>
      <c r="Q37" s="35" t="str">
        <f>IF(Inventory_List_Table341115109[[#This Row],[Q]]&lt;0.1, " ",Inventory_List_Table341115109[[#This Row],[D CM ]]/2.54)</f>
        <v xml:space="preserve"> </v>
      </c>
      <c r="R37" s="30" t="str">
        <f>IF(Inventory_List_Table341115109[[#This Row],[Q]]&lt;0.1, " ",Inventory_List_Table341115109[[#This Row],[PRICE]]/$L$1)</f>
        <v xml:space="preserve"> </v>
      </c>
      <c r="S3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7" s="30" t="str">
        <f>IF(Inventory_List_Table341115109[[#This Row],[Q]]&lt;0.1, " ",Inventory_List_Table341115109[[#This Row],[AQ RND USD]]*1.4)</f>
        <v xml:space="preserve"> </v>
      </c>
      <c r="U3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7" s="30" t="str">
        <f>IF(Inventory_List_Table341115109[[#This Row],[Q]]&lt;0.1, " ",Inventory_List_Table341115109[[#This Row],[LND RND USD]]*12)</f>
        <v xml:space="preserve"> </v>
      </c>
      <c r="W37" s="30" t="str">
        <f>IF(Inventory_List_Table341115109[[#This Row],[Q]]&lt;0.1, " ",Inventory_List_Table341115109[[#This Row],[AQ USD]])</f>
        <v xml:space="preserve"> </v>
      </c>
      <c r="X3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7" s="30" t="str">
        <f>IF(Inventory_List_Table341115109[[#This Row],[Q]]&lt;0.1, " ",Inventory_List_Table341115109[[#This Row],[PRICE]]/Z37*10000)</f>
        <v xml:space="preserve"> </v>
      </c>
      <c r="AB37" s="120"/>
      <c r="AC37" s="1"/>
      <c r="AD37" s="1"/>
    </row>
    <row r="38" spans="1:30" ht="24" customHeight="1" x14ac:dyDescent="0.3">
      <c r="A38" s="113">
        <v>36</v>
      </c>
      <c r="B38" s="1"/>
      <c r="C38" s="116"/>
      <c r="D38" s="116"/>
      <c r="E38" s="116"/>
      <c r="F38" s="38" t="str">
        <f>IF(Inventory_List_Table341115109[[#This Row],[Q]]&lt;0.1, " ",$A$1&amp;$D$1&amp;Inventory_List_Table341115109[[#This Row],['#]]&amp;Inventory_List_Table341115109[[#This Row],[LC]])</f>
        <v xml:space="preserve"> </v>
      </c>
      <c r="G38" s="116"/>
      <c r="H38" s="116"/>
      <c r="I38" s="116"/>
      <c r="J38" s="116"/>
      <c r="K38" s="116"/>
      <c r="L38" s="118"/>
      <c r="M38" s="30" t="str">
        <f>IF(Inventory_List_Table341115109[[#This Row],[Q]]&lt;0.1, " ", Inventory_List_Table341115109[[#This Row],[Q]]*Inventory_List_Table341115109[[#This Row],[PRICE]])</f>
        <v xml:space="preserve"> </v>
      </c>
      <c r="N38" s="35" t="str">
        <f>IF(Inventory_List_Table341115109[[#This Row],[Q]]&lt;0.1, " ", Inventory_List_Table341115109[[#This Row],[KG]]*2.20462)</f>
        <v xml:space="preserve"> </v>
      </c>
      <c r="O38" s="35" t="str">
        <f>IF(Inventory_List_Table341115109[[#This Row],[Q]]&lt;0.1, " ",Inventory_List_Table341115109[[#This Row],[H CM]]/2.54)</f>
        <v xml:space="preserve"> </v>
      </c>
      <c r="P38" s="35" t="str">
        <f>IF(Inventory_List_Table341115109[[#This Row],[Q]]&lt;0.1, " ",Inventory_List_Table341115109[[#This Row],[W CM]]/2.54)</f>
        <v xml:space="preserve"> </v>
      </c>
      <c r="Q38" s="35" t="str">
        <f>IF(Inventory_List_Table341115109[[#This Row],[Q]]&lt;0.1, " ",Inventory_List_Table341115109[[#This Row],[D CM ]]/2.54)</f>
        <v xml:space="preserve"> </v>
      </c>
      <c r="R38" s="30" t="str">
        <f>IF(Inventory_List_Table341115109[[#This Row],[Q]]&lt;0.1, " ",Inventory_List_Table341115109[[#This Row],[PRICE]]/$L$1)</f>
        <v xml:space="preserve"> </v>
      </c>
      <c r="S3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8" s="30" t="str">
        <f>IF(Inventory_List_Table341115109[[#This Row],[Q]]&lt;0.1, " ",Inventory_List_Table341115109[[#This Row],[AQ RND USD]]*1.4)</f>
        <v xml:space="preserve"> </v>
      </c>
      <c r="U3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8" s="30" t="str">
        <f>IF(Inventory_List_Table341115109[[#This Row],[Q]]&lt;0.1, " ",Inventory_List_Table341115109[[#This Row],[LND RND USD]]*12)</f>
        <v xml:space="preserve"> </v>
      </c>
      <c r="W38" s="30" t="str">
        <f>IF(Inventory_List_Table341115109[[#This Row],[Q]]&lt;0.1, " ",Inventory_List_Table341115109[[#This Row],[AQ USD]])</f>
        <v xml:space="preserve"> </v>
      </c>
      <c r="X3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8" s="30" t="str">
        <f>IF(Inventory_List_Table341115109[[#This Row],[Q]]&lt;0.1, " ",Inventory_List_Table341115109[[#This Row],[PRICE]]/Z38*10000)</f>
        <v xml:space="preserve"> </v>
      </c>
      <c r="AB38" s="120"/>
      <c r="AC38" s="1"/>
      <c r="AD38" s="1"/>
    </row>
    <row r="39" spans="1:30" ht="24" customHeight="1" x14ac:dyDescent="0.3">
      <c r="A39" s="113">
        <v>37</v>
      </c>
      <c r="B39" s="1"/>
      <c r="C39" s="116"/>
      <c r="D39" s="116"/>
      <c r="E39" s="116"/>
      <c r="F39" s="38" t="str">
        <f>IF(Inventory_List_Table341115109[[#This Row],[Q]]&lt;0.1, " ",$A$1&amp;$D$1&amp;Inventory_List_Table341115109[[#This Row],['#]]&amp;Inventory_List_Table341115109[[#This Row],[LC]])</f>
        <v xml:space="preserve"> </v>
      </c>
      <c r="G39" s="116"/>
      <c r="H39" s="116"/>
      <c r="I39" s="116"/>
      <c r="J39" s="116"/>
      <c r="K39" s="116"/>
      <c r="L39" s="118"/>
      <c r="M39" s="30" t="str">
        <f>IF(Inventory_List_Table341115109[[#This Row],[Q]]&lt;0.1, " ", Inventory_List_Table341115109[[#This Row],[Q]]*Inventory_List_Table341115109[[#This Row],[PRICE]])</f>
        <v xml:space="preserve"> </v>
      </c>
      <c r="N39" s="35" t="str">
        <f>IF(Inventory_List_Table341115109[[#This Row],[Q]]&lt;0.1, " ", Inventory_List_Table341115109[[#This Row],[KG]]*2.20462)</f>
        <v xml:space="preserve"> </v>
      </c>
      <c r="O39" s="35" t="str">
        <f>IF(Inventory_List_Table341115109[[#This Row],[Q]]&lt;0.1, " ",Inventory_List_Table341115109[[#This Row],[H CM]]/2.54)</f>
        <v xml:space="preserve"> </v>
      </c>
      <c r="P39" s="35" t="str">
        <f>IF(Inventory_List_Table341115109[[#This Row],[Q]]&lt;0.1, " ",Inventory_List_Table341115109[[#This Row],[W CM]]/2.54)</f>
        <v xml:space="preserve"> </v>
      </c>
      <c r="Q39" s="35" t="str">
        <f>IF(Inventory_List_Table341115109[[#This Row],[Q]]&lt;0.1, " ",Inventory_List_Table341115109[[#This Row],[D CM ]]/2.54)</f>
        <v xml:space="preserve"> </v>
      </c>
      <c r="R39" s="30" t="str">
        <f>IF(Inventory_List_Table341115109[[#This Row],[Q]]&lt;0.1, " ",Inventory_List_Table341115109[[#This Row],[PRICE]]/$L$1)</f>
        <v xml:space="preserve"> </v>
      </c>
      <c r="S3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39" s="30" t="str">
        <f>IF(Inventory_List_Table341115109[[#This Row],[Q]]&lt;0.1, " ",Inventory_List_Table341115109[[#This Row],[AQ RND USD]]*1.4)</f>
        <v xml:space="preserve"> </v>
      </c>
      <c r="U3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39" s="30" t="str">
        <f>IF(Inventory_List_Table341115109[[#This Row],[Q]]&lt;0.1, " ",Inventory_List_Table341115109[[#This Row],[LND RND USD]]*12)</f>
        <v xml:space="preserve"> </v>
      </c>
      <c r="W39" s="30" t="str">
        <f>IF(Inventory_List_Table341115109[[#This Row],[Q]]&lt;0.1, " ",Inventory_List_Table341115109[[#This Row],[AQ USD]])</f>
        <v xml:space="preserve"> </v>
      </c>
      <c r="X3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3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3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39" s="30" t="str">
        <f>IF(Inventory_List_Table341115109[[#This Row],[Q]]&lt;0.1, " ",Inventory_List_Table341115109[[#This Row],[PRICE]]/Z39*10000)</f>
        <v xml:space="preserve"> </v>
      </c>
      <c r="AB39" s="120"/>
      <c r="AC39" s="1"/>
      <c r="AD39" s="1"/>
    </row>
    <row r="40" spans="1:30" ht="24" customHeight="1" x14ac:dyDescent="0.3">
      <c r="A40" s="113">
        <v>38</v>
      </c>
      <c r="B40" s="1"/>
      <c r="C40" s="116"/>
      <c r="D40" s="116"/>
      <c r="E40" s="116"/>
      <c r="F40" s="38" t="str">
        <f>IF(Inventory_List_Table341115109[[#This Row],[Q]]&lt;0.1, " ",$A$1&amp;$D$1&amp;Inventory_List_Table341115109[[#This Row],['#]]&amp;Inventory_List_Table341115109[[#This Row],[LC]])</f>
        <v xml:space="preserve"> </v>
      </c>
      <c r="G40" s="116"/>
      <c r="H40" s="116"/>
      <c r="I40" s="116"/>
      <c r="J40" s="116"/>
      <c r="K40" s="116"/>
      <c r="L40" s="118"/>
      <c r="M40" s="30" t="str">
        <f>IF(Inventory_List_Table341115109[[#This Row],[Q]]&lt;0.1, " ", Inventory_List_Table341115109[[#This Row],[Q]]*Inventory_List_Table341115109[[#This Row],[PRICE]])</f>
        <v xml:space="preserve"> </v>
      </c>
      <c r="N40" s="35" t="str">
        <f>IF(Inventory_List_Table341115109[[#This Row],[Q]]&lt;0.1, " ", Inventory_List_Table341115109[[#This Row],[KG]]*2.20462)</f>
        <v xml:space="preserve"> </v>
      </c>
      <c r="O40" s="35" t="str">
        <f>IF(Inventory_List_Table341115109[[#This Row],[Q]]&lt;0.1, " ",Inventory_List_Table341115109[[#This Row],[H CM]]/2.54)</f>
        <v xml:space="preserve"> </v>
      </c>
      <c r="P40" s="35" t="str">
        <f>IF(Inventory_List_Table341115109[[#This Row],[Q]]&lt;0.1, " ",Inventory_List_Table341115109[[#This Row],[W CM]]/2.54)</f>
        <v xml:space="preserve"> </v>
      </c>
      <c r="Q40" s="35" t="str">
        <f>IF(Inventory_List_Table341115109[[#This Row],[Q]]&lt;0.1, " ",Inventory_List_Table341115109[[#This Row],[D CM ]]/2.54)</f>
        <v xml:space="preserve"> </v>
      </c>
      <c r="R40" s="30" t="str">
        <f>IF(Inventory_List_Table341115109[[#This Row],[Q]]&lt;0.1, " ",Inventory_List_Table341115109[[#This Row],[PRICE]]/$L$1)</f>
        <v xml:space="preserve"> </v>
      </c>
      <c r="S4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0" s="30" t="str">
        <f>IF(Inventory_List_Table341115109[[#This Row],[Q]]&lt;0.1, " ",Inventory_List_Table341115109[[#This Row],[AQ RND USD]]*1.4)</f>
        <v xml:space="preserve"> </v>
      </c>
      <c r="U4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0" s="30" t="str">
        <f>IF(Inventory_List_Table341115109[[#This Row],[Q]]&lt;0.1, " ",Inventory_List_Table341115109[[#This Row],[LND RND USD]]*12)</f>
        <v xml:space="preserve"> </v>
      </c>
      <c r="W40" s="30" t="str">
        <f>IF(Inventory_List_Table341115109[[#This Row],[Q]]&lt;0.1, " ",Inventory_List_Table341115109[[#This Row],[AQ USD]])</f>
        <v xml:space="preserve"> </v>
      </c>
      <c r="X4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0" s="30" t="str">
        <f>IF(Inventory_List_Table341115109[[#This Row],[Q]]&lt;0.1, " ",Inventory_List_Table341115109[[#This Row],[PRICE]]/Z40*10000)</f>
        <v xml:space="preserve"> </v>
      </c>
      <c r="AB40" s="120"/>
      <c r="AC40" s="1"/>
      <c r="AD40" s="1"/>
    </row>
    <row r="41" spans="1:30" ht="24" customHeight="1" x14ac:dyDescent="0.3">
      <c r="A41" s="113">
        <v>39</v>
      </c>
      <c r="B41" s="1"/>
      <c r="C41" s="116"/>
      <c r="D41" s="116"/>
      <c r="E41" s="116"/>
      <c r="F41" s="38" t="str">
        <f>IF(Inventory_List_Table341115109[[#This Row],[Q]]&lt;0.1, " ",$A$1&amp;$D$1&amp;Inventory_List_Table341115109[[#This Row],['#]]&amp;Inventory_List_Table341115109[[#This Row],[LC]])</f>
        <v xml:space="preserve"> </v>
      </c>
      <c r="G41" s="116"/>
      <c r="H41" s="116"/>
      <c r="I41" s="116"/>
      <c r="J41" s="116"/>
      <c r="K41" s="116"/>
      <c r="L41" s="118"/>
      <c r="M41" s="30" t="str">
        <f>IF(Inventory_List_Table341115109[[#This Row],[Q]]&lt;0.1, " ", Inventory_List_Table341115109[[#This Row],[Q]]*Inventory_List_Table341115109[[#This Row],[PRICE]])</f>
        <v xml:space="preserve"> </v>
      </c>
      <c r="N41" s="35" t="str">
        <f>IF(Inventory_List_Table341115109[[#This Row],[Q]]&lt;0.1, " ", Inventory_List_Table341115109[[#This Row],[KG]]*2.20462)</f>
        <v xml:space="preserve"> </v>
      </c>
      <c r="O41" s="35" t="str">
        <f>IF(Inventory_List_Table341115109[[#This Row],[Q]]&lt;0.1, " ",Inventory_List_Table341115109[[#This Row],[H CM]]/2.54)</f>
        <v xml:space="preserve"> </v>
      </c>
      <c r="P41" s="35" t="str">
        <f>IF(Inventory_List_Table341115109[[#This Row],[Q]]&lt;0.1, " ",Inventory_List_Table341115109[[#This Row],[W CM]]/2.54)</f>
        <v xml:space="preserve"> </v>
      </c>
      <c r="Q41" s="35" t="str">
        <f>IF(Inventory_List_Table341115109[[#This Row],[Q]]&lt;0.1, " ",Inventory_List_Table341115109[[#This Row],[D CM ]]/2.54)</f>
        <v xml:space="preserve"> </v>
      </c>
      <c r="R41" s="30" t="str">
        <f>IF(Inventory_List_Table341115109[[#This Row],[Q]]&lt;0.1, " ",Inventory_List_Table341115109[[#This Row],[PRICE]]/$L$1)</f>
        <v xml:space="preserve"> </v>
      </c>
      <c r="S4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1" s="30" t="str">
        <f>IF(Inventory_List_Table341115109[[#This Row],[Q]]&lt;0.1, " ",Inventory_List_Table341115109[[#This Row],[AQ RND USD]]*1.4)</f>
        <v xml:space="preserve"> </v>
      </c>
      <c r="U4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1" s="30" t="str">
        <f>IF(Inventory_List_Table341115109[[#This Row],[Q]]&lt;0.1, " ",Inventory_List_Table341115109[[#This Row],[LND RND USD]]*12)</f>
        <v xml:space="preserve"> </v>
      </c>
      <c r="W41" s="30" t="str">
        <f>IF(Inventory_List_Table341115109[[#This Row],[Q]]&lt;0.1, " ",Inventory_List_Table341115109[[#This Row],[AQ USD]])</f>
        <v xml:space="preserve"> </v>
      </c>
      <c r="X4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1" s="30" t="str">
        <f>IF(Inventory_List_Table341115109[[#This Row],[Q]]&lt;0.1, " ",Inventory_List_Table341115109[[#This Row],[PRICE]]/Z41*10000)</f>
        <v xml:space="preserve"> </v>
      </c>
      <c r="AB41" s="120"/>
      <c r="AC41" s="1"/>
      <c r="AD41" s="1"/>
    </row>
    <row r="42" spans="1:30" ht="24" customHeight="1" x14ac:dyDescent="0.3">
      <c r="A42" s="113">
        <v>40</v>
      </c>
      <c r="B42" s="1"/>
      <c r="C42" s="116"/>
      <c r="D42" s="116"/>
      <c r="E42" s="116"/>
      <c r="F42" s="38" t="str">
        <f>IF(Inventory_List_Table341115109[[#This Row],[Q]]&lt;0.1, " ",$A$1&amp;$D$1&amp;Inventory_List_Table341115109[[#This Row],['#]]&amp;Inventory_List_Table341115109[[#This Row],[LC]])</f>
        <v xml:space="preserve"> </v>
      </c>
      <c r="G42" s="116"/>
      <c r="H42" s="116"/>
      <c r="I42" s="116"/>
      <c r="J42" s="116"/>
      <c r="K42" s="116"/>
      <c r="L42" s="118"/>
      <c r="M42" s="30" t="str">
        <f>IF(Inventory_List_Table341115109[[#This Row],[Q]]&lt;0.1, " ", Inventory_List_Table341115109[[#This Row],[Q]]*Inventory_List_Table341115109[[#This Row],[PRICE]])</f>
        <v xml:space="preserve"> </v>
      </c>
      <c r="N42" s="35" t="str">
        <f>IF(Inventory_List_Table341115109[[#This Row],[Q]]&lt;0.1, " ", Inventory_List_Table341115109[[#This Row],[KG]]*2.20462)</f>
        <v xml:space="preserve"> </v>
      </c>
      <c r="O42" s="35" t="str">
        <f>IF(Inventory_List_Table341115109[[#This Row],[Q]]&lt;0.1, " ",Inventory_List_Table341115109[[#This Row],[H CM]]/2.54)</f>
        <v xml:space="preserve"> </v>
      </c>
      <c r="P42" s="35" t="str">
        <f>IF(Inventory_List_Table341115109[[#This Row],[Q]]&lt;0.1, " ",Inventory_List_Table341115109[[#This Row],[W CM]]/2.54)</f>
        <v xml:space="preserve"> </v>
      </c>
      <c r="Q42" s="35" t="str">
        <f>IF(Inventory_List_Table341115109[[#This Row],[Q]]&lt;0.1, " ",Inventory_List_Table341115109[[#This Row],[D CM ]]/2.54)</f>
        <v xml:space="preserve"> </v>
      </c>
      <c r="R42" s="30" t="str">
        <f>IF(Inventory_List_Table341115109[[#This Row],[Q]]&lt;0.1, " ",Inventory_List_Table341115109[[#This Row],[PRICE]]/$L$1)</f>
        <v xml:space="preserve"> </v>
      </c>
      <c r="S4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2" s="30" t="str">
        <f>IF(Inventory_List_Table341115109[[#This Row],[Q]]&lt;0.1, " ",Inventory_List_Table341115109[[#This Row],[AQ RND USD]]*1.4)</f>
        <v xml:space="preserve"> </v>
      </c>
      <c r="U4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2" s="30" t="str">
        <f>IF(Inventory_List_Table341115109[[#This Row],[Q]]&lt;0.1, " ",Inventory_List_Table341115109[[#This Row],[LND RND USD]]*12)</f>
        <v xml:space="preserve"> </v>
      </c>
      <c r="W42" s="30" t="str">
        <f>IF(Inventory_List_Table341115109[[#This Row],[Q]]&lt;0.1, " ",Inventory_List_Table341115109[[#This Row],[AQ USD]])</f>
        <v xml:space="preserve"> </v>
      </c>
      <c r="X4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2" s="30" t="str">
        <f>IF(Inventory_List_Table341115109[[#This Row],[Q]]&lt;0.1, " ",Inventory_List_Table341115109[[#This Row],[PRICE]]/Z42*10000)</f>
        <v xml:space="preserve"> </v>
      </c>
      <c r="AB42" s="120"/>
      <c r="AC42" s="1"/>
      <c r="AD42" s="1"/>
    </row>
    <row r="43" spans="1:30" ht="24" customHeight="1" x14ac:dyDescent="0.3">
      <c r="A43" s="113">
        <v>41</v>
      </c>
      <c r="B43" s="1"/>
      <c r="C43" s="116"/>
      <c r="D43" s="116"/>
      <c r="E43" s="116"/>
      <c r="F43" s="38" t="str">
        <f>IF(Inventory_List_Table341115109[[#This Row],[Q]]&lt;0.1, " ",$A$1&amp;$D$1&amp;Inventory_List_Table341115109[[#This Row],['#]]&amp;Inventory_List_Table341115109[[#This Row],[LC]])</f>
        <v xml:space="preserve"> </v>
      </c>
      <c r="G43" s="116"/>
      <c r="H43" s="116"/>
      <c r="I43" s="116"/>
      <c r="J43" s="116"/>
      <c r="K43" s="116"/>
      <c r="L43" s="118"/>
      <c r="M43" s="30" t="str">
        <f>IF(Inventory_List_Table341115109[[#This Row],[Q]]&lt;0.1, " ", Inventory_List_Table341115109[[#This Row],[Q]]*Inventory_List_Table341115109[[#This Row],[PRICE]])</f>
        <v xml:space="preserve"> </v>
      </c>
      <c r="N43" s="35" t="str">
        <f>IF(Inventory_List_Table341115109[[#This Row],[Q]]&lt;0.1, " ", Inventory_List_Table341115109[[#This Row],[KG]]*2.20462)</f>
        <v xml:space="preserve"> </v>
      </c>
      <c r="O43" s="35" t="str">
        <f>IF(Inventory_List_Table341115109[[#This Row],[Q]]&lt;0.1, " ",Inventory_List_Table341115109[[#This Row],[H CM]]/2.54)</f>
        <v xml:space="preserve"> </v>
      </c>
      <c r="P43" s="35" t="str">
        <f>IF(Inventory_List_Table341115109[[#This Row],[Q]]&lt;0.1, " ",Inventory_List_Table341115109[[#This Row],[W CM]]/2.54)</f>
        <v xml:space="preserve"> </v>
      </c>
      <c r="Q43" s="35" t="str">
        <f>IF(Inventory_List_Table341115109[[#This Row],[Q]]&lt;0.1, " ",Inventory_List_Table341115109[[#This Row],[D CM ]]/2.54)</f>
        <v xml:space="preserve"> </v>
      </c>
      <c r="R43" s="30" t="str">
        <f>IF(Inventory_List_Table341115109[[#This Row],[Q]]&lt;0.1, " ",Inventory_List_Table341115109[[#This Row],[PRICE]]/$L$1)</f>
        <v xml:space="preserve"> </v>
      </c>
      <c r="S4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3" s="30" t="str">
        <f>IF(Inventory_List_Table341115109[[#This Row],[Q]]&lt;0.1, " ",Inventory_List_Table341115109[[#This Row],[AQ RND USD]]*1.4)</f>
        <v xml:space="preserve"> </v>
      </c>
      <c r="U4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3" s="30" t="str">
        <f>IF(Inventory_List_Table341115109[[#This Row],[Q]]&lt;0.1, " ",Inventory_List_Table341115109[[#This Row],[LND RND USD]]*12)</f>
        <v xml:space="preserve"> </v>
      </c>
      <c r="W43" s="30" t="str">
        <f>IF(Inventory_List_Table341115109[[#This Row],[Q]]&lt;0.1, " ",Inventory_List_Table341115109[[#This Row],[AQ USD]])</f>
        <v xml:space="preserve"> </v>
      </c>
      <c r="X4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3" s="30" t="str">
        <f>IF(Inventory_List_Table341115109[[#This Row],[Q]]&lt;0.1, " ",Inventory_List_Table341115109[[#This Row],[PRICE]]/Z43*10000)</f>
        <v xml:space="preserve"> </v>
      </c>
      <c r="AB43" s="120"/>
      <c r="AC43" s="1"/>
      <c r="AD43" s="1"/>
    </row>
    <row r="44" spans="1:30" ht="24" customHeight="1" x14ac:dyDescent="0.3">
      <c r="A44" s="113">
        <v>42</v>
      </c>
      <c r="B44" s="1"/>
      <c r="C44" s="116"/>
      <c r="D44" s="116"/>
      <c r="E44" s="116"/>
      <c r="F44" s="38" t="str">
        <f>IF(Inventory_List_Table341115109[[#This Row],[Q]]&lt;0.1, " ",$A$1&amp;$D$1&amp;Inventory_List_Table341115109[[#This Row],['#]]&amp;Inventory_List_Table341115109[[#This Row],[LC]])</f>
        <v xml:space="preserve"> </v>
      </c>
      <c r="G44" s="116"/>
      <c r="H44" s="116"/>
      <c r="I44" s="116"/>
      <c r="J44" s="116"/>
      <c r="K44" s="116"/>
      <c r="L44" s="118"/>
      <c r="M44" s="30" t="str">
        <f>IF(Inventory_List_Table341115109[[#This Row],[Q]]&lt;0.1, " ", Inventory_List_Table341115109[[#This Row],[Q]]*Inventory_List_Table341115109[[#This Row],[PRICE]])</f>
        <v xml:space="preserve"> </v>
      </c>
      <c r="N44" s="35" t="str">
        <f>IF(Inventory_List_Table341115109[[#This Row],[Q]]&lt;0.1, " ", Inventory_List_Table341115109[[#This Row],[KG]]*2.20462)</f>
        <v xml:space="preserve"> </v>
      </c>
      <c r="O44" s="35" t="str">
        <f>IF(Inventory_List_Table341115109[[#This Row],[Q]]&lt;0.1, " ",Inventory_List_Table341115109[[#This Row],[H CM]]/2.54)</f>
        <v xml:space="preserve"> </v>
      </c>
      <c r="P44" s="35" t="str">
        <f>IF(Inventory_List_Table341115109[[#This Row],[Q]]&lt;0.1, " ",Inventory_List_Table341115109[[#This Row],[W CM]]/2.54)</f>
        <v xml:space="preserve"> </v>
      </c>
      <c r="Q44" s="35" t="str">
        <f>IF(Inventory_List_Table341115109[[#This Row],[Q]]&lt;0.1, " ",Inventory_List_Table341115109[[#This Row],[D CM ]]/2.54)</f>
        <v xml:space="preserve"> </v>
      </c>
      <c r="R44" s="30" t="str">
        <f>IF(Inventory_List_Table341115109[[#This Row],[Q]]&lt;0.1, " ",Inventory_List_Table341115109[[#This Row],[PRICE]]/$L$1)</f>
        <v xml:space="preserve"> </v>
      </c>
      <c r="S4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4" s="30" t="str">
        <f>IF(Inventory_List_Table341115109[[#This Row],[Q]]&lt;0.1, " ",Inventory_List_Table341115109[[#This Row],[AQ RND USD]]*1.4)</f>
        <v xml:space="preserve"> </v>
      </c>
      <c r="U4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4" s="30" t="str">
        <f>IF(Inventory_List_Table341115109[[#This Row],[Q]]&lt;0.1, " ",Inventory_List_Table341115109[[#This Row],[LND RND USD]]*12)</f>
        <v xml:space="preserve"> </v>
      </c>
      <c r="W44" s="30" t="str">
        <f>IF(Inventory_List_Table341115109[[#This Row],[Q]]&lt;0.1, " ",Inventory_List_Table341115109[[#This Row],[AQ USD]])</f>
        <v xml:space="preserve"> </v>
      </c>
      <c r="X4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4" s="30" t="str">
        <f>IF(Inventory_List_Table341115109[[#This Row],[Q]]&lt;0.1, " ",Inventory_List_Table341115109[[#This Row],[PRICE]]/Z44*10000)</f>
        <v xml:space="preserve"> </v>
      </c>
      <c r="AB44" s="120"/>
      <c r="AC44" s="1"/>
      <c r="AD44" s="1"/>
    </row>
    <row r="45" spans="1:30" ht="24" customHeight="1" x14ac:dyDescent="0.3">
      <c r="A45" s="113">
        <v>43</v>
      </c>
      <c r="B45" s="1"/>
      <c r="C45" s="116"/>
      <c r="D45" s="116"/>
      <c r="E45" s="116"/>
      <c r="F45" s="38" t="str">
        <f>IF(Inventory_List_Table341115109[[#This Row],[Q]]&lt;0.1, " ",$A$1&amp;$D$1&amp;Inventory_List_Table341115109[[#This Row],['#]]&amp;Inventory_List_Table341115109[[#This Row],[LC]])</f>
        <v xml:space="preserve"> </v>
      </c>
      <c r="G45" s="116"/>
      <c r="H45" s="116"/>
      <c r="I45" s="116"/>
      <c r="J45" s="116"/>
      <c r="K45" s="116"/>
      <c r="L45" s="118"/>
      <c r="M45" s="30" t="str">
        <f>IF(Inventory_List_Table341115109[[#This Row],[Q]]&lt;0.1, " ", Inventory_List_Table341115109[[#This Row],[Q]]*Inventory_List_Table341115109[[#This Row],[PRICE]])</f>
        <v xml:space="preserve"> </v>
      </c>
      <c r="N45" s="35" t="str">
        <f>IF(Inventory_List_Table341115109[[#This Row],[Q]]&lt;0.1, " ", Inventory_List_Table341115109[[#This Row],[KG]]*2.20462)</f>
        <v xml:space="preserve"> </v>
      </c>
      <c r="O45" s="35" t="str">
        <f>IF(Inventory_List_Table341115109[[#This Row],[Q]]&lt;0.1, " ",Inventory_List_Table341115109[[#This Row],[H CM]]/2.54)</f>
        <v xml:space="preserve"> </v>
      </c>
      <c r="P45" s="35" t="str">
        <f>IF(Inventory_List_Table341115109[[#This Row],[Q]]&lt;0.1, " ",Inventory_List_Table341115109[[#This Row],[W CM]]/2.54)</f>
        <v xml:space="preserve"> </v>
      </c>
      <c r="Q45" s="35" t="str">
        <f>IF(Inventory_List_Table341115109[[#This Row],[Q]]&lt;0.1, " ",Inventory_List_Table341115109[[#This Row],[D CM ]]/2.54)</f>
        <v xml:space="preserve"> </v>
      </c>
      <c r="R45" s="30" t="str">
        <f>IF(Inventory_List_Table341115109[[#This Row],[Q]]&lt;0.1, " ",Inventory_List_Table341115109[[#This Row],[PRICE]]/$L$1)</f>
        <v xml:space="preserve"> </v>
      </c>
      <c r="S4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5" s="30" t="str">
        <f>IF(Inventory_List_Table341115109[[#This Row],[Q]]&lt;0.1, " ",Inventory_List_Table341115109[[#This Row],[AQ RND USD]]*1.4)</f>
        <v xml:space="preserve"> </v>
      </c>
      <c r="U4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5" s="30" t="str">
        <f>IF(Inventory_List_Table341115109[[#This Row],[Q]]&lt;0.1, " ",Inventory_List_Table341115109[[#This Row],[LND RND USD]]*12)</f>
        <v xml:space="preserve"> </v>
      </c>
      <c r="W45" s="30" t="str">
        <f>IF(Inventory_List_Table341115109[[#This Row],[Q]]&lt;0.1, " ",Inventory_List_Table341115109[[#This Row],[AQ USD]])</f>
        <v xml:space="preserve"> </v>
      </c>
      <c r="X4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5" s="30" t="str">
        <f>IF(Inventory_List_Table341115109[[#This Row],[Q]]&lt;0.1, " ",Inventory_List_Table341115109[[#This Row],[PRICE]]/Z45*10000)</f>
        <v xml:space="preserve"> </v>
      </c>
      <c r="AB45" s="120"/>
      <c r="AC45" s="1"/>
      <c r="AD45" s="1"/>
    </row>
    <row r="46" spans="1:30" ht="24" customHeight="1" x14ac:dyDescent="0.3">
      <c r="A46" s="113">
        <v>44</v>
      </c>
      <c r="B46" s="1"/>
      <c r="C46" s="116"/>
      <c r="D46" s="116"/>
      <c r="E46" s="116"/>
      <c r="F46" s="38" t="str">
        <f>IF(Inventory_List_Table341115109[[#This Row],[Q]]&lt;0.1, " ",$A$1&amp;$D$1&amp;Inventory_List_Table341115109[[#This Row],['#]]&amp;Inventory_List_Table341115109[[#This Row],[LC]])</f>
        <v xml:space="preserve"> </v>
      </c>
      <c r="G46" s="116"/>
      <c r="H46" s="116"/>
      <c r="I46" s="116"/>
      <c r="J46" s="116"/>
      <c r="K46" s="116"/>
      <c r="L46" s="118"/>
      <c r="M46" s="30" t="str">
        <f>IF(Inventory_List_Table341115109[[#This Row],[Q]]&lt;0.1, " ", Inventory_List_Table341115109[[#This Row],[Q]]*Inventory_List_Table341115109[[#This Row],[PRICE]])</f>
        <v xml:space="preserve"> </v>
      </c>
      <c r="N46" s="35" t="str">
        <f>IF(Inventory_List_Table341115109[[#This Row],[Q]]&lt;0.1, " ", Inventory_List_Table341115109[[#This Row],[KG]]*2.20462)</f>
        <v xml:space="preserve"> </v>
      </c>
      <c r="O46" s="35" t="str">
        <f>IF(Inventory_List_Table341115109[[#This Row],[Q]]&lt;0.1, " ",Inventory_List_Table341115109[[#This Row],[H CM]]/2.54)</f>
        <v xml:space="preserve"> </v>
      </c>
      <c r="P46" s="35" t="str">
        <f>IF(Inventory_List_Table341115109[[#This Row],[Q]]&lt;0.1, " ",Inventory_List_Table341115109[[#This Row],[W CM]]/2.54)</f>
        <v xml:space="preserve"> </v>
      </c>
      <c r="Q46" s="35" t="str">
        <f>IF(Inventory_List_Table341115109[[#This Row],[Q]]&lt;0.1, " ",Inventory_List_Table341115109[[#This Row],[D CM ]]/2.54)</f>
        <v xml:space="preserve"> </v>
      </c>
      <c r="R46" s="30" t="str">
        <f>IF(Inventory_List_Table341115109[[#This Row],[Q]]&lt;0.1, " ",Inventory_List_Table341115109[[#This Row],[PRICE]]/$L$1)</f>
        <v xml:space="preserve"> </v>
      </c>
      <c r="S4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6" s="30" t="str">
        <f>IF(Inventory_List_Table341115109[[#This Row],[Q]]&lt;0.1, " ",Inventory_List_Table341115109[[#This Row],[AQ RND USD]]*1.4)</f>
        <v xml:space="preserve"> </v>
      </c>
      <c r="U4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6" s="30" t="str">
        <f>IF(Inventory_List_Table341115109[[#This Row],[Q]]&lt;0.1, " ",Inventory_List_Table341115109[[#This Row],[LND RND USD]]*12)</f>
        <v xml:space="preserve"> </v>
      </c>
      <c r="W46" s="30" t="str">
        <f>IF(Inventory_List_Table341115109[[#This Row],[Q]]&lt;0.1, " ",Inventory_List_Table341115109[[#This Row],[AQ USD]])</f>
        <v xml:space="preserve"> </v>
      </c>
      <c r="X4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6" s="30" t="str">
        <f>IF(Inventory_List_Table341115109[[#This Row],[Q]]&lt;0.1, " ",Inventory_List_Table341115109[[#This Row],[PRICE]]/Z46*10000)</f>
        <v xml:space="preserve"> </v>
      </c>
      <c r="AB46" s="120"/>
      <c r="AC46" s="1"/>
      <c r="AD46" s="1"/>
    </row>
    <row r="47" spans="1:30" ht="24" customHeight="1" x14ac:dyDescent="0.3">
      <c r="A47" s="113">
        <v>45</v>
      </c>
      <c r="B47" s="1"/>
      <c r="C47" s="116"/>
      <c r="D47" s="116"/>
      <c r="E47" s="116"/>
      <c r="F47" s="38" t="str">
        <f>IF(Inventory_List_Table341115109[[#This Row],[Q]]&lt;0.1, " ",$A$1&amp;$D$1&amp;Inventory_List_Table341115109[[#This Row],['#]]&amp;Inventory_List_Table341115109[[#This Row],[LC]])</f>
        <v xml:space="preserve"> </v>
      </c>
      <c r="G47" s="116"/>
      <c r="H47" s="116"/>
      <c r="I47" s="116"/>
      <c r="J47" s="116"/>
      <c r="K47" s="116"/>
      <c r="L47" s="118"/>
      <c r="M47" s="30" t="str">
        <f>IF(Inventory_List_Table341115109[[#This Row],[Q]]&lt;0.1, " ", Inventory_List_Table341115109[[#This Row],[Q]]*Inventory_List_Table341115109[[#This Row],[PRICE]])</f>
        <v xml:space="preserve"> </v>
      </c>
      <c r="N47" s="35" t="str">
        <f>IF(Inventory_List_Table341115109[[#This Row],[Q]]&lt;0.1, " ", Inventory_List_Table341115109[[#This Row],[KG]]*2.20462)</f>
        <v xml:space="preserve"> </v>
      </c>
      <c r="O47" s="35" t="str">
        <f>IF(Inventory_List_Table341115109[[#This Row],[Q]]&lt;0.1, " ",Inventory_List_Table341115109[[#This Row],[H CM]]/2.54)</f>
        <v xml:space="preserve"> </v>
      </c>
      <c r="P47" s="35" t="str">
        <f>IF(Inventory_List_Table341115109[[#This Row],[Q]]&lt;0.1, " ",Inventory_List_Table341115109[[#This Row],[W CM]]/2.54)</f>
        <v xml:space="preserve"> </v>
      </c>
      <c r="Q47" s="35" t="str">
        <f>IF(Inventory_List_Table341115109[[#This Row],[Q]]&lt;0.1, " ",Inventory_List_Table341115109[[#This Row],[D CM ]]/2.54)</f>
        <v xml:space="preserve"> </v>
      </c>
      <c r="R47" s="30" t="str">
        <f>IF(Inventory_List_Table341115109[[#This Row],[Q]]&lt;0.1, " ",Inventory_List_Table341115109[[#This Row],[PRICE]]/$L$1)</f>
        <v xml:space="preserve"> </v>
      </c>
      <c r="S4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7" s="30" t="str">
        <f>IF(Inventory_List_Table341115109[[#This Row],[Q]]&lt;0.1, " ",Inventory_List_Table341115109[[#This Row],[AQ RND USD]]*1.4)</f>
        <v xml:space="preserve"> </v>
      </c>
      <c r="U4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7" s="30" t="str">
        <f>IF(Inventory_List_Table341115109[[#This Row],[Q]]&lt;0.1, " ",Inventory_List_Table341115109[[#This Row],[LND RND USD]]*12)</f>
        <v xml:space="preserve"> </v>
      </c>
      <c r="W47" s="30" t="str">
        <f>IF(Inventory_List_Table341115109[[#This Row],[Q]]&lt;0.1, " ",Inventory_List_Table341115109[[#This Row],[AQ USD]])</f>
        <v xml:space="preserve"> </v>
      </c>
      <c r="X4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7" s="30" t="str">
        <f>IF(Inventory_List_Table341115109[[#This Row],[Q]]&lt;0.1, " ",Inventory_List_Table341115109[[#This Row],[PRICE]]/Z47*10000)</f>
        <v xml:space="preserve"> </v>
      </c>
      <c r="AB47" s="120"/>
      <c r="AC47" s="1"/>
      <c r="AD47" s="1"/>
    </row>
    <row r="48" spans="1:30" ht="24" customHeight="1" x14ac:dyDescent="0.3">
      <c r="A48" s="113">
        <v>46</v>
      </c>
      <c r="B48" s="1"/>
      <c r="C48" s="116"/>
      <c r="D48" s="116"/>
      <c r="E48" s="116"/>
      <c r="F48" s="38" t="str">
        <f>IF(Inventory_List_Table341115109[[#This Row],[Q]]&lt;0.1, " ",$A$1&amp;$D$1&amp;Inventory_List_Table341115109[[#This Row],['#]]&amp;Inventory_List_Table341115109[[#This Row],[LC]])</f>
        <v xml:space="preserve"> </v>
      </c>
      <c r="G48" s="116"/>
      <c r="H48" s="116"/>
      <c r="I48" s="116"/>
      <c r="J48" s="116"/>
      <c r="K48" s="116"/>
      <c r="L48" s="118"/>
      <c r="M48" s="30" t="str">
        <f>IF(Inventory_List_Table341115109[[#This Row],[Q]]&lt;0.1, " ", Inventory_List_Table341115109[[#This Row],[Q]]*Inventory_List_Table341115109[[#This Row],[PRICE]])</f>
        <v xml:space="preserve"> </v>
      </c>
      <c r="N48" s="35" t="str">
        <f>IF(Inventory_List_Table341115109[[#This Row],[Q]]&lt;0.1, " ", Inventory_List_Table341115109[[#This Row],[KG]]*2.20462)</f>
        <v xml:space="preserve"> </v>
      </c>
      <c r="O48" s="35" t="str">
        <f>IF(Inventory_List_Table341115109[[#This Row],[Q]]&lt;0.1, " ",Inventory_List_Table341115109[[#This Row],[H CM]]/2.54)</f>
        <v xml:space="preserve"> </v>
      </c>
      <c r="P48" s="35" t="str">
        <f>IF(Inventory_List_Table341115109[[#This Row],[Q]]&lt;0.1, " ",Inventory_List_Table341115109[[#This Row],[W CM]]/2.54)</f>
        <v xml:space="preserve"> </v>
      </c>
      <c r="Q48" s="35" t="str">
        <f>IF(Inventory_List_Table341115109[[#This Row],[Q]]&lt;0.1, " ",Inventory_List_Table341115109[[#This Row],[D CM ]]/2.54)</f>
        <v xml:space="preserve"> </v>
      </c>
      <c r="R48" s="30" t="str">
        <f>IF(Inventory_List_Table341115109[[#This Row],[Q]]&lt;0.1, " ",Inventory_List_Table341115109[[#This Row],[PRICE]]/$L$1)</f>
        <v xml:space="preserve"> </v>
      </c>
      <c r="S4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8" s="30" t="str">
        <f>IF(Inventory_List_Table341115109[[#This Row],[Q]]&lt;0.1, " ",Inventory_List_Table341115109[[#This Row],[AQ RND USD]]*1.4)</f>
        <v xml:space="preserve"> </v>
      </c>
      <c r="U4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8" s="30" t="str">
        <f>IF(Inventory_List_Table341115109[[#This Row],[Q]]&lt;0.1, " ",Inventory_List_Table341115109[[#This Row],[LND RND USD]]*12)</f>
        <v xml:space="preserve"> </v>
      </c>
      <c r="W48" s="30" t="str">
        <f>IF(Inventory_List_Table341115109[[#This Row],[Q]]&lt;0.1, " ",Inventory_List_Table341115109[[#This Row],[AQ USD]])</f>
        <v xml:space="preserve"> </v>
      </c>
      <c r="X4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8" s="30" t="str">
        <f>IF(Inventory_List_Table341115109[[#This Row],[Q]]&lt;0.1, " ",Inventory_List_Table341115109[[#This Row],[PRICE]]/Z48*10000)</f>
        <v xml:space="preserve"> </v>
      </c>
      <c r="AB48" s="120"/>
      <c r="AC48" s="1"/>
      <c r="AD48" s="1"/>
    </row>
    <row r="49" spans="1:30" ht="24" customHeight="1" x14ac:dyDescent="0.3">
      <c r="A49" s="113">
        <v>47</v>
      </c>
      <c r="B49" s="1"/>
      <c r="C49" s="116"/>
      <c r="D49" s="116"/>
      <c r="E49" s="116"/>
      <c r="F49" s="38" t="str">
        <f>IF(Inventory_List_Table341115109[[#This Row],[Q]]&lt;0.1, " ",$A$1&amp;$D$1&amp;Inventory_List_Table341115109[[#This Row],['#]]&amp;Inventory_List_Table341115109[[#This Row],[LC]])</f>
        <v xml:space="preserve"> </v>
      </c>
      <c r="G49" s="116"/>
      <c r="H49" s="116"/>
      <c r="I49" s="116"/>
      <c r="J49" s="116"/>
      <c r="K49" s="116"/>
      <c r="L49" s="118"/>
      <c r="M49" s="30" t="str">
        <f>IF(Inventory_List_Table341115109[[#This Row],[Q]]&lt;0.1, " ", Inventory_List_Table341115109[[#This Row],[Q]]*Inventory_List_Table341115109[[#This Row],[PRICE]])</f>
        <v xml:space="preserve"> </v>
      </c>
      <c r="N49" s="35" t="str">
        <f>IF(Inventory_List_Table341115109[[#This Row],[Q]]&lt;0.1, " ", Inventory_List_Table341115109[[#This Row],[KG]]*2.20462)</f>
        <v xml:space="preserve"> </v>
      </c>
      <c r="O49" s="35" t="str">
        <f>IF(Inventory_List_Table341115109[[#This Row],[Q]]&lt;0.1, " ",Inventory_List_Table341115109[[#This Row],[H CM]]/2.54)</f>
        <v xml:space="preserve"> </v>
      </c>
      <c r="P49" s="35" t="str">
        <f>IF(Inventory_List_Table341115109[[#This Row],[Q]]&lt;0.1, " ",Inventory_List_Table341115109[[#This Row],[W CM]]/2.54)</f>
        <v xml:space="preserve"> </v>
      </c>
      <c r="Q49" s="35" t="str">
        <f>IF(Inventory_List_Table341115109[[#This Row],[Q]]&lt;0.1, " ",Inventory_List_Table341115109[[#This Row],[D CM ]]/2.54)</f>
        <v xml:space="preserve"> </v>
      </c>
      <c r="R49" s="30" t="str">
        <f>IF(Inventory_List_Table341115109[[#This Row],[Q]]&lt;0.1, " ",Inventory_List_Table341115109[[#This Row],[PRICE]]/$L$1)</f>
        <v xml:space="preserve"> </v>
      </c>
      <c r="S4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49" s="30" t="str">
        <f>IF(Inventory_List_Table341115109[[#This Row],[Q]]&lt;0.1, " ",Inventory_List_Table341115109[[#This Row],[AQ RND USD]]*1.4)</f>
        <v xml:space="preserve"> </v>
      </c>
      <c r="U4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49" s="30" t="str">
        <f>IF(Inventory_List_Table341115109[[#This Row],[Q]]&lt;0.1, " ",Inventory_List_Table341115109[[#This Row],[LND RND USD]]*12)</f>
        <v xml:space="preserve"> </v>
      </c>
      <c r="W49" s="30" t="str">
        <f>IF(Inventory_List_Table341115109[[#This Row],[Q]]&lt;0.1, " ",Inventory_List_Table341115109[[#This Row],[AQ USD]])</f>
        <v xml:space="preserve"> </v>
      </c>
      <c r="X4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4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4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49" s="30" t="str">
        <f>IF(Inventory_List_Table341115109[[#This Row],[Q]]&lt;0.1, " ",Inventory_List_Table341115109[[#This Row],[PRICE]]/Z49*10000)</f>
        <v xml:space="preserve"> </v>
      </c>
      <c r="AB49" s="120"/>
      <c r="AC49" s="1"/>
      <c r="AD49" s="1"/>
    </row>
    <row r="50" spans="1:30" ht="24" customHeight="1" x14ac:dyDescent="0.3">
      <c r="A50" s="113">
        <v>48</v>
      </c>
      <c r="B50" s="1"/>
      <c r="C50" s="116"/>
      <c r="D50" s="116"/>
      <c r="E50" s="116"/>
      <c r="F50" s="38" t="str">
        <f>IF(Inventory_List_Table341115109[[#This Row],[Q]]&lt;0.1, " ",$A$1&amp;$D$1&amp;Inventory_List_Table341115109[[#This Row],['#]]&amp;Inventory_List_Table341115109[[#This Row],[LC]])</f>
        <v xml:space="preserve"> </v>
      </c>
      <c r="G50" s="116"/>
      <c r="H50" s="116"/>
      <c r="I50" s="116"/>
      <c r="J50" s="116"/>
      <c r="K50" s="116"/>
      <c r="L50" s="118"/>
      <c r="M50" s="30" t="str">
        <f>IF(Inventory_List_Table341115109[[#This Row],[Q]]&lt;0.1, " ", Inventory_List_Table341115109[[#This Row],[Q]]*Inventory_List_Table341115109[[#This Row],[PRICE]])</f>
        <v xml:space="preserve"> </v>
      </c>
      <c r="N50" s="35" t="str">
        <f>IF(Inventory_List_Table341115109[[#This Row],[Q]]&lt;0.1, " ", Inventory_List_Table341115109[[#This Row],[KG]]*2.20462)</f>
        <v xml:space="preserve"> </v>
      </c>
      <c r="O50" s="35" t="str">
        <f>IF(Inventory_List_Table341115109[[#This Row],[Q]]&lt;0.1, " ",Inventory_List_Table341115109[[#This Row],[H CM]]/2.54)</f>
        <v xml:space="preserve"> </v>
      </c>
      <c r="P50" s="35" t="str">
        <f>IF(Inventory_List_Table341115109[[#This Row],[Q]]&lt;0.1, " ",Inventory_List_Table341115109[[#This Row],[W CM]]/2.54)</f>
        <v xml:space="preserve"> </v>
      </c>
      <c r="Q50" s="35" t="str">
        <f>IF(Inventory_List_Table341115109[[#This Row],[Q]]&lt;0.1, " ",Inventory_List_Table341115109[[#This Row],[D CM ]]/2.54)</f>
        <v xml:space="preserve"> </v>
      </c>
      <c r="R50" s="30" t="str">
        <f>IF(Inventory_List_Table341115109[[#This Row],[Q]]&lt;0.1, " ",Inventory_List_Table341115109[[#This Row],[PRICE]]/$L$1)</f>
        <v xml:space="preserve"> </v>
      </c>
      <c r="S5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0" s="30" t="str">
        <f>IF(Inventory_List_Table341115109[[#This Row],[Q]]&lt;0.1, " ",Inventory_List_Table341115109[[#This Row],[AQ RND USD]]*1.4)</f>
        <v xml:space="preserve"> </v>
      </c>
      <c r="U5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0" s="30" t="str">
        <f>IF(Inventory_List_Table341115109[[#This Row],[Q]]&lt;0.1, " ",Inventory_List_Table341115109[[#This Row],[LND RND USD]]*12)</f>
        <v xml:space="preserve"> </v>
      </c>
      <c r="W50" s="30" t="str">
        <f>IF(Inventory_List_Table341115109[[#This Row],[Q]]&lt;0.1, " ",Inventory_List_Table341115109[[#This Row],[AQ USD]])</f>
        <v xml:space="preserve"> </v>
      </c>
      <c r="X5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0" s="30" t="str">
        <f>IF(Inventory_List_Table341115109[[#This Row],[Q]]&lt;0.1, " ",Inventory_List_Table341115109[[#This Row],[PRICE]]/Z50*10000)</f>
        <v xml:space="preserve"> </v>
      </c>
      <c r="AB50" s="120"/>
      <c r="AC50" s="1"/>
      <c r="AD50" s="1"/>
    </row>
    <row r="51" spans="1:30" ht="24" customHeight="1" x14ac:dyDescent="0.3">
      <c r="A51" s="113">
        <v>49</v>
      </c>
      <c r="B51" s="1"/>
      <c r="C51" s="116"/>
      <c r="D51" s="116"/>
      <c r="E51" s="116"/>
      <c r="F51" s="38" t="str">
        <f>IF(Inventory_List_Table341115109[[#This Row],[Q]]&lt;0.1, " ",$A$1&amp;$D$1&amp;Inventory_List_Table341115109[[#This Row],['#]]&amp;Inventory_List_Table341115109[[#This Row],[LC]])</f>
        <v xml:space="preserve"> </v>
      </c>
      <c r="G51" s="116"/>
      <c r="H51" s="116"/>
      <c r="I51" s="116"/>
      <c r="J51" s="116"/>
      <c r="K51" s="116"/>
      <c r="L51" s="118"/>
      <c r="M51" s="30" t="str">
        <f>IF(Inventory_List_Table341115109[[#This Row],[Q]]&lt;0.1, " ", Inventory_List_Table341115109[[#This Row],[Q]]*Inventory_List_Table341115109[[#This Row],[PRICE]])</f>
        <v xml:space="preserve"> </v>
      </c>
      <c r="N51" s="35" t="str">
        <f>IF(Inventory_List_Table341115109[[#This Row],[Q]]&lt;0.1, " ", Inventory_List_Table341115109[[#This Row],[KG]]*2.20462)</f>
        <v xml:space="preserve"> </v>
      </c>
      <c r="O51" s="35" t="str">
        <f>IF(Inventory_List_Table341115109[[#This Row],[Q]]&lt;0.1, " ",Inventory_List_Table341115109[[#This Row],[H CM]]/2.54)</f>
        <v xml:space="preserve"> </v>
      </c>
      <c r="P51" s="35" t="str">
        <f>IF(Inventory_List_Table341115109[[#This Row],[Q]]&lt;0.1, " ",Inventory_List_Table341115109[[#This Row],[W CM]]/2.54)</f>
        <v xml:space="preserve"> </v>
      </c>
      <c r="Q51" s="35" t="str">
        <f>IF(Inventory_List_Table341115109[[#This Row],[Q]]&lt;0.1, " ",Inventory_List_Table341115109[[#This Row],[D CM ]]/2.54)</f>
        <v xml:space="preserve"> </v>
      </c>
      <c r="R51" s="30" t="str">
        <f>IF(Inventory_List_Table341115109[[#This Row],[Q]]&lt;0.1, " ",Inventory_List_Table341115109[[#This Row],[PRICE]]/$L$1)</f>
        <v xml:space="preserve"> </v>
      </c>
      <c r="S5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1" s="30" t="str">
        <f>IF(Inventory_List_Table341115109[[#This Row],[Q]]&lt;0.1, " ",Inventory_List_Table341115109[[#This Row],[AQ RND USD]]*1.4)</f>
        <v xml:space="preserve"> </v>
      </c>
      <c r="U5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1" s="30" t="str">
        <f>IF(Inventory_List_Table341115109[[#This Row],[Q]]&lt;0.1, " ",Inventory_List_Table341115109[[#This Row],[LND RND USD]]*12)</f>
        <v xml:space="preserve"> </v>
      </c>
      <c r="W51" s="30" t="str">
        <f>IF(Inventory_List_Table341115109[[#This Row],[Q]]&lt;0.1, " ",Inventory_List_Table341115109[[#This Row],[AQ USD]])</f>
        <v xml:space="preserve"> </v>
      </c>
      <c r="X5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1" s="30" t="str">
        <f>IF(Inventory_List_Table341115109[[#This Row],[Q]]&lt;0.1, " ",Inventory_List_Table341115109[[#This Row],[PRICE]]/Z51*10000)</f>
        <v xml:space="preserve"> </v>
      </c>
      <c r="AB51" s="120"/>
      <c r="AC51" s="1"/>
      <c r="AD51" s="1"/>
    </row>
    <row r="52" spans="1:30" ht="24" customHeight="1" x14ac:dyDescent="0.3">
      <c r="A52" s="113">
        <v>50</v>
      </c>
      <c r="B52" s="1"/>
      <c r="C52" s="116"/>
      <c r="D52" s="116"/>
      <c r="E52" s="116"/>
      <c r="F52" s="38" t="str">
        <f>IF(Inventory_List_Table341115109[[#This Row],[Q]]&lt;0.1, " ",$A$1&amp;$D$1&amp;Inventory_List_Table341115109[[#This Row],['#]]&amp;Inventory_List_Table341115109[[#This Row],[LC]])</f>
        <v xml:space="preserve"> </v>
      </c>
      <c r="G52" s="116"/>
      <c r="H52" s="116"/>
      <c r="I52" s="116"/>
      <c r="J52" s="116"/>
      <c r="K52" s="116"/>
      <c r="L52" s="118"/>
      <c r="M52" s="30" t="str">
        <f>IF(Inventory_List_Table341115109[[#This Row],[Q]]&lt;0.1, " ", Inventory_List_Table341115109[[#This Row],[Q]]*Inventory_List_Table341115109[[#This Row],[PRICE]])</f>
        <v xml:space="preserve"> </v>
      </c>
      <c r="N52" s="35" t="str">
        <f>IF(Inventory_List_Table341115109[[#This Row],[Q]]&lt;0.1, " ", Inventory_List_Table341115109[[#This Row],[KG]]*2.20462)</f>
        <v xml:space="preserve"> </v>
      </c>
      <c r="O52" s="35" t="str">
        <f>IF(Inventory_List_Table341115109[[#This Row],[Q]]&lt;0.1, " ",Inventory_List_Table341115109[[#This Row],[H CM]]/2.54)</f>
        <v xml:space="preserve"> </v>
      </c>
      <c r="P52" s="35" t="str">
        <f>IF(Inventory_List_Table341115109[[#This Row],[Q]]&lt;0.1, " ",Inventory_List_Table341115109[[#This Row],[W CM]]/2.54)</f>
        <v xml:space="preserve"> </v>
      </c>
      <c r="Q52" s="35" t="str">
        <f>IF(Inventory_List_Table341115109[[#This Row],[Q]]&lt;0.1, " ",Inventory_List_Table341115109[[#This Row],[D CM ]]/2.54)</f>
        <v xml:space="preserve"> </v>
      </c>
      <c r="R52" s="30" t="str">
        <f>IF(Inventory_List_Table341115109[[#This Row],[Q]]&lt;0.1, " ",Inventory_List_Table341115109[[#This Row],[PRICE]]/$L$1)</f>
        <v xml:space="preserve"> </v>
      </c>
      <c r="S5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2" s="30" t="str">
        <f>IF(Inventory_List_Table341115109[[#This Row],[Q]]&lt;0.1, " ",Inventory_List_Table341115109[[#This Row],[AQ RND USD]]*1.4)</f>
        <v xml:space="preserve"> </v>
      </c>
      <c r="U5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2" s="30" t="str">
        <f>IF(Inventory_List_Table341115109[[#This Row],[Q]]&lt;0.1, " ",Inventory_List_Table341115109[[#This Row],[LND RND USD]]*12)</f>
        <v xml:space="preserve"> </v>
      </c>
      <c r="W52" s="30" t="str">
        <f>IF(Inventory_List_Table341115109[[#This Row],[Q]]&lt;0.1, " ",Inventory_List_Table341115109[[#This Row],[AQ USD]])</f>
        <v xml:space="preserve"> </v>
      </c>
      <c r="X5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2" s="30" t="str">
        <f>IF(Inventory_List_Table341115109[[#This Row],[Q]]&lt;0.1, " ",Inventory_List_Table341115109[[#This Row],[PRICE]]/Z52*10000)</f>
        <v xml:space="preserve"> </v>
      </c>
      <c r="AB52" s="120"/>
      <c r="AC52" s="1"/>
      <c r="AD52" s="1"/>
    </row>
    <row r="53" spans="1:30" ht="24" customHeight="1" x14ac:dyDescent="0.3">
      <c r="A53" s="113">
        <v>51</v>
      </c>
      <c r="B53" s="1"/>
      <c r="C53" s="116"/>
      <c r="D53" s="116"/>
      <c r="E53" s="116"/>
      <c r="F53" s="38" t="str">
        <f>IF(Inventory_List_Table341115109[[#This Row],[Q]]&lt;0.1, " ",$A$1&amp;$D$1&amp;Inventory_List_Table341115109[[#This Row],['#]]&amp;Inventory_List_Table341115109[[#This Row],[LC]])</f>
        <v xml:space="preserve"> </v>
      </c>
      <c r="G53" s="116"/>
      <c r="H53" s="116"/>
      <c r="I53" s="116"/>
      <c r="J53" s="116"/>
      <c r="K53" s="116"/>
      <c r="L53" s="118"/>
      <c r="M53" s="30" t="str">
        <f>IF(Inventory_List_Table341115109[[#This Row],[Q]]&lt;0.1, " ", Inventory_List_Table341115109[[#This Row],[Q]]*Inventory_List_Table341115109[[#This Row],[PRICE]])</f>
        <v xml:space="preserve"> </v>
      </c>
      <c r="N53" s="35" t="str">
        <f>IF(Inventory_List_Table341115109[[#This Row],[Q]]&lt;0.1, " ", Inventory_List_Table341115109[[#This Row],[KG]]*2.20462)</f>
        <v xml:space="preserve"> </v>
      </c>
      <c r="O53" s="35" t="str">
        <f>IF(Inventory_List_Table341115109[[#This Row],[Q]]&lt;0.1, " ",Inventory_List_Table341115109[[#This Row],[H CM]]/2.54)</f>
        <v xml:space="preserve"> </v>
      </c>
      <c r="P53" s="35" t="str">
        <f>IF(Inventory_List_Table341115109[[#This Row],[Q]]&lt;0.1, " ",Inventory_List_Table341115109[[#This Row],[W CM]]/2.54)</f>
        <v xml:space="preserve"> </v>
      </c>
      <c r="Q53" s="35" t="str">
        <f>IF(Inventory_List_Table341115109[[#This Row],[Q]]&lt;0.1, " ",Inventory_List_Table341115109[[#This Row],[D CM ]]/2.54)</f>
        <v xml:space="preserve"> </v>
      </c>
      <c r="R53" s="30" t="str">
        <f>IF(Inventory_List_Table341115109[[#This Row],[Q]]&lt;0.1, " ",Inventory_List_Table341115109[[#This Row],[PRICE]]/$L$1)</f>
        <v xml:space="preserve"> </v>
      </c>
      <c r="S5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3" s="30" t="str">
        <f>IF(Inventory_List_Table341115109[[#This Row],[Q]]&lt;0.1, " ",Inventory_List_Table341115109[[#This Row],[AQ RND USD]]*1.4)</f>
        <v xml:space="preserve"> </v>
      </c>
      <c r="U5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3" s="30" t="str">
        <f>IF(Inventory_List_Table341115109[[#This Row],[Q]]&lt;0.1, " ",Inventory_List_Table341115109[[#This Row],[LND RND USD]]*12)</f>
        <v xml:space="preserve"> </v>
      </c>
      <c r="W53" s="30" t="str">
        <f>IF(Inventory_List_Table341115109[[#This Row],[Q]]&lt;0.1, " ",Inventory_List_Table341115109[[#This Row],[AQ USD]])</f>
        <v xml:space="preserve"> </v>
      </c>
      <c r="X5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3" s="30" t="str">
        <f>IF(Inventory_List_Table341115109[[#This Row],[Q]]&lt;0.1, " ",Inventory_List_Table341115109[[#This Row],[PRICE]]/Z53*10000)</f>
        <v xml:space="preserve"> </v>
      </c>
      <c r="AB53" s="120"/>
      <c r="AC53" s="1"/>
      <c r="AD53" s="1"/>
    </row>
    <row r="54" spans="1:30" ht="24" customHeight="1" x14ac:dyDescent="0.3">
      <c r="A54" s="113">
        <v>52</v>
      </c>
      <c r="B54" s="1"/>
      <c r="C54" s="116"/>
      <c r="D54" s="116"/>
      <c r="E54" s="116"/>
      <c r="F54" s="38" t="str">
        <f>IF(Inventory_List_Table341115109[[#This Row],[Q]]&lt;0.1, " ",$A$1&amp;$D$1&amp;Inventory_List_Table341115109[[#This Row],['#]]&amp;Inventory_List_Table341115109[[#This Row],[LC]])</f>
        <v xml:space="preserve"> </v>
      </c>
      <c r="G54" s="116"/>
      <c r="H54" s="116"/>
      <c r="I54" s="116"/>
      <c r="J54" s="116"/>
      <c r="K54" s="116"/>
      <c r="L54" s="118"/>
      <c r="M54" s="30" t="str">
        <f>IF(Inventory_List_Table341115109[[#This Row],[Q]]&lt;0.1, " ", Inventory_List_Table341115109[[#This Row],[Q]]*Inventory_List_Table341115109[[#This Row],[PRICE]])</f>
        <v xml:space="preserve"> </v>
      </c>
      <c r="N54" s="35" t="str">
        <f>IF(Inventory_List_Table341115109[[#This Row],[Q]]&lt;0.1, " ", Inventory_List_Table341115109[[#This Row],[KG]]*2.20462)</f>
        <v xml:space="preserve"> </v>
      </c>
      <c r="O54" s="35" t="str">
        <f>IF(Inventory_List_Table341115109[[#This Row],[Q]]&lt;0.1, " ",Inventory_List_Table341115109[[#This Row],[H CM]]/2.54)</f>
        <v xml:space="preserve"> </v>
      </c>
      <c r="P54" s="35" t="str">
        <f>IF(Inventory_List_Table341115109[[#This Row],[Q]]&lt;0.1, " ",Inventory_List_Table341115109[[#This Row],[W CM]]/2.54)</f>
        <v xml:space="preserve"> </v>
      </c>
      <c r="Q54" s="35" t="str">
        <f>IF(Inventory_List_Table341115109[[#This Row],[Q]]&lt;0.1, " ",Inventory_List_Table341115109[[#This Row],[D CM ]]/2.54)</f>
        <v xml:space="preserve"> </v>
      </c>
      <c r="R54" s="30" t="str">
        <f>IF(Inventory_List_Table341115109[[#This Row],[Q]]&lt;0.1, " ",Inventory_List_Table341115109[[#This Row],[PRICE]]/$L$1)</f>
        <v xml:space="preserve"> </v>
      </c>
      <c r="S5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4" s="30" t="str">
        <f>IF(Inventory_List_Table341115109[[#This Row],[Q]]&lt;0.1, " ",Inventory_List_Table341115109[[#This Row],[AQ RND USD]]*1.4)</f>
        <v xml:space="preserve"> </v>
      </c>
      <c r="U5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4" s="30" t="str">
        <f>IF(Inventory_List_Table341115109[[#This Row],[Q]]&lt;0.1, " ",Inventory_List_Table341115109[[#This Row],[LND RND USD]]*12)</f>
        <v xml:space="preserve"> </v>
      </c>
      <c r="W54" s="30" t="str">
        <f>IF(Inventory_List_Table341115109[[#This Row],[Q]]&lt;0.1, " ",Inventory_List_Table341115109[[#This Row],[AQ USD]])</f>
        <v xml:space="preserve"> </v>
      </c>
      <c r="X5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4" s="30" t="str">
        <f>IF(Inventory_List_Table341115109[[#This Row],[Q]]&lt;0.1, " ",Inventory_List_Table341115109[[#This Row],[PRICE]]/Z54*10000)</f>
        <v xml:space="preserve"> </v>
      </c>
      <c r="AB54" s="120"/>
      <c r="AC54" s="1"/>
      <c r="AD54" s="1"/>
    </row>
    <row r="55" spans="1:30" ht="24" customHeight="1" x14ac:dyDescent="0.3">
      <c r="A55" s="113">
        <v>53</v>
      </c>
      <c r="B55" s="1"/>
      <c r="C55" s="116"/>
      <c r="D55" s="116"/>
      <c r="E55" s="116"/>
      <c r="F55" s="38" t="str">
        <f>IF(Inventory_List_Table341115109[[#This Row],[Q]]&lt;0.1, " ",$A$1&amp;$D$1&amp;Inventory_List_Table341115109[[#This Row],['#]]&amp;Inventory_List_Table341115109[[#This Row],[LC]])</f>
        <v xml:space="preserve"> </v>
      </c>
      <c r="G55" s="116"/>
      <c r="H55" s="116"/>
      <c r="I55" s="116"/>
      <c r="J55" s="116"/>
      <c r="K55" s="116"/>
      <c r="L55" s="118"/>
      <c r="M55" s="30" t="str">
        <f>IF(Inventory_List_Table341115109[[#This Row],[Q]]&lt;0.1, " ", Inventory_List_Table341115109[[#This Row],[Q]]*Inventory_List_Table341115109[[#This Row],[PRICE]])</f>
        <v xml:space="preserve"> </v>
      </c>
      <c r="N55" s="35" t="str">
        <f>IF(Inventory_List_Table341115109[[#This Row],[Q]]&lt;0.1, " ", Inventory_List_Table341115109[[#This Row],[KG]]*2.20462)</f>
        <v xml:space="preserve"> </v>
      </c>
      <c r="O55" s="35" t="str">
        <f>IF(Inventory_List_Table341115109[[#This Row],[Q]]&lt;0.1, " ",Inventory_List_Table341115109[[#This Row],[H CM]]/2.54)</f>
        <v xml:space="preserve"> </v>
      </c>
      <c r="P55" s="35" t="str">
        <f>IF(Inventory_List_Table341115109[[#This Row],[Q]]&lt;0.1, " ",Inventory_List_Table341115109[[#This Row],[W CM]]/2.54)</f>
        <v xml:space="preserve"> </v>
      </c>
      <c r="Q55" s="35" t="str">
        <f>IF(Inventory_List_Table341115109[[#This Row],[Q]]&lt;0.1, " ",Inventory_List_Table341115109[[#This Row],[D CM ]]/2.54)</f>
        <v xml:space="preserve"> </v>
      </c>
      <c r="R55" s="30" t="str">
        <f>IF(Inventory_List_Table341115109[[#This Row],[Q]]&lt;0.1, " ",Inventory_List_Table341115109[[#This Row],[PRICE]]/$L$1)</f>
        <v xml:space="preserve"> </v>
      </c>
      <c r="S5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5" s="30" t="str">
        <f>IF(Inventory_List_Table341115109[[#This Row],[Q]]&lt;0.1, " ",Inventory_List_Table341115109[[#This Row],[AQ RND USD]]*1.4)</f>
        <v xml:space="preserve"> </v>
      </c>
      <c r="U5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5" s="30" t="str">
        <f>IF(Inventory_List_Table341115109[[#This Row],[Q]]&lt;0.1, " ",Inventory_List_Table341115109[[#This Row],[LND RND USD]]*12)</f>
        <v xml:space="preserve"> </v>
      </c>
      <c r="W55" s="30" t="str">
        <f>IF(Inventory_List_Table341115109[[#This Row],[Q]]&lt;0.1, " ",Inventory_List_Table341115109[[#This Row],[AQ USD]])</f>
        <v xml:space="preserve"> </v>
      </c>
      <c r="X5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5" s="30" t="str">
        <f>IF(Inventory_List_Table341115109[[#This Row],[Q]]&lt;0.1, " ",Inventory_List_Table341115109[[#This Row],[PRICE]]/Z55*10000)</f>
        <v xml:space="preserve"> </v>
      </c>
      <c r="AB55" s="120"/>
      <c r="AC55" s="1"/>
      <c r="AD55" s="1"/>
    </row>
    <row r="56" spans="1:30" ht="24" customHeight="1" x14ac:dyDescent="0.3">
      <c r="A56" s="113">
        <v>54</v>
      </c>
      <c r="B56" s="1"/>
      <c r="C56" s="116"/>
      <c r="D56" s="116"/>
      <c r="E56" s="116"/>
      <c r="F56" s="38" t="str">
        <f>IF(Inventory_List_Table341115109[[#This Row],[Q]]&lt;0.1, " ",$A$1&amp;$D$1&amp;Inventory_List_Table341115109[[#This Row],['#]]&amp;Inventory_List_Table341115109[[#This Row],[LC]])</f>
        <v xml:space="preserve"> </v>
      </c>
      <c r="G56" s="116"/>
      <c r="H56" s="116"/>
      <c r="I56" s="116"/>
      <c r="J56" s="116"/>
      <c r="K56" s="116"/>
      <c r="L56" s="118"/>
      <c r="M56" s="30" t="str">
        <f>IF(Inventory_List_Table341115109[[#This Row],[Q]]&lt;0.1, " ", Inventory_List_Table341115109[[#This Row],[Q]]*Inventory_List_Table341115109[[#This Row],[PRICE]])</f>
        <v xml:space="preserve"> </v>
      </c>
      <c r="N56" s="35" t="str">
        <f>IF(Inventory_List_Table341115109[[#This Row],[Q]]&lt;0.1, " ", Inventory_List_Table341115109[[#This Row],[KG]]*2.20462)</f>
        <v xml:space="preserve"> </v>
      </c>
      <c r="O56" s="35" t="str">
        <f>IF(Inventory_List_Table341115109[[#This Row],[Q]]&lt;0.1, " ",Inventory_List_Table341115109[[#This Row],[H CM]]/2.54)</f>
        <v xml:space="preserve"> </v>
      </c>
      <c r="P56" s="35" t="str">
        <f>IF(Inventory_List_Table341115109[[#This Row],[Q]]&lt;0.1, " ",Inventory_List_Table341115109[[#This Row],[W CM]]/2.54)</f>
        <v xml:space="preserve"> </v>
      </c>
      <c r="Q56" s="35" t="str">
        <f>IF(Inventory_List_Table341115109[[#This Row],[Q]]&lt;0.1, " ",Inventory_List_Table341115109[[#This Row],[D CM ]]/2.54)</f>
        <v xml:space="preserve"> </v>
      </c>
      <c r="R56" s="30" t="str">
        <f>IF(Inventory_List_Table341115109[[#This Row],[Q]]&lt;0.1, " ",Inventory_List_Table341115109[[#This Row],[PRICE]]/$L$1)</f>
        <v xml:space="preserve"> </v>
      </c>
      <c r="S5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6" s="30" t="str">
        <f>IF(Inventory_List_Table341115109[[#This Row],[Q]]&lt;0.1, " ",Inventory_List_Table341115109[[#This Row],[AQ RND USD]]*1.4)</f>
        <v xml:space="preserve"> </v>
      </c>
      <c r="U5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6" s="30" t="str">
        <f>IF(Inventory_List_Table341115109[[#This Row],[Q]]&lt;0.1, " ",Inventory_List_Table341115109[[#This Row],[LND RND USD]]*12)</f>
        <v xml:space="preserve"> </v>
      </c>
      <c r="W56" s="30" t="str">
        <f>IF(Inventory_List_Table341115109[[#This Row],[Q]]&lt;0.1, " ",Inventory_List_Table341115109[[#This Row],[AQ USD]])</f>
        <v xml:space="preserve"> </v>
      </c>
      <c r="X5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6" s="30" t="str">
        <f>IF(Inventory_List_Table341115109[[#This Row],[Q]]&lt;0.1, " ",Inventory_List_Table341115109[[#This Row],[PRICE]]/Z56*10000)</f>
        <v xml:space="preserve"> </v>
      </c>
      <c r="AB56" s="120"/>
      <c r="AC56" s="1"/>
      <c r="AD56" s="1"/>
    </row>
    <row r="57" spans="1:30" ht="24" customHeight="1" x14ac:dyDescent="0.3">
      <c r="A57" s="113">
        <v>55</v>
      </c>
      <c r="B57" s="1"/>
      <c r="C57" s="116"/>
      <c r="D57" s="116"/>
      <c r="E57" s="116"/>
      <c r="F57" s="38" t="str">
        <f>IF(Inventory_List_Table341115109[[#This Row],[Q]]&lt;0.1, " ",$A$1&amp;$D$1&amp;Inventory_List_Table341115109[[#This Row],['#]]&amp;Inventory_List_Table341115109[[#This Row],[LC]])</f>
        <v xml:space="preserve"> </v>
      </c>
      <c r="G57" s="116"/>
      <c r="H57" s="116"/>
      <c r="I57" s="116"/>
      <c r="J57" s="116"/>
      <c r="K57" s="116"/>
      <c r="L57" s="118"/>
      <c r="M57" s="30" t="str">
        <f>IF(Inventory_List_Table341115109[[#This Row],[Q]]&lt;0.1, " ", Inventory_List_Table341115109[[#This Row],[Q]]*Inventory_List_Table341115109[[#This Row],[PRICE]])</f>
        <v xml:space="preserve"> </v>
      </c>
      <c r="N57" s="35" t="str">
        <f>IF(Inventory_List_Table341115109[[#This Row],[Q]]&lt;0.1, " ", Inventory_List_Table341115109[[#This Row],[KG]]*2.20462)</f>
        <v xml:space="preserve"> </v>
      </c>
      <c r="O57" s="35" t="str">
        <f>IF(Inventory_List_Table341115109[[#This Row],[Q]]&lt;0.1, " ",Inventory_List_Table341115109[[#This Row],[H CM]]/2.54)</f>
        <v xml:space="preserve"> </v>
      </c>
      <c r="P57" s="35" t="str">
        <f>IF(Inventory_List_Table341115109[[#This Row],[Q]]&lt;0.1, " ",Inventory_List_Table341115109[[#This Row],[W CM]]/2.54)</f>
        <v xml:space="preserve"> </v>
      </c>
      <c r="Q57" s="35" t="str">
        <f>IF(Inventory_List_Table341115109[[#This Row],[Q]]&lt;0.1, " ",Inventory_List_Table341115109[[#This Row],[D CM ]]/2.54)</f>
        <v xml:space="preserve"> </v>
      </c>
      <c r="R57" s="30" t="str">
        <f>IF(Inventory_List_Table341115109[[#This Row],[Q]]&lt;0.1, " ",Inventory_List_Table341115109[[#This Row],[PRICE]]/$L$1)</f>
        <v xml:space="preserve"> </v>
      </c>
      <c r="S5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7" s="30" t="str">
        <f>IF(Inventory_List_Table341115109[[#This Row],[Q]]&lt;0.1, " ",Inventory_List_Table341115109[[#This Row],[AQ RND USD]]*1.4)</f>
        <v xml:space="preserve"> </v>
      </c>
      <c r="U5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7" s="30" t="str">
        <f>IF(Inventory_List_Table341115109[[#This Row],[Q]]&lt;0.1, " ",Inventory_List_Table341115109[[#This Row],[LND RND USD]]*12)</f>
        <v xml:space="preserve"> </v>
      </c>
      <c r="W57" s="30" t="str">
        <f>IF(Inventory_List_Table341115109[[#This Row],[Q]]&lt;0.1, " ",Inventory_List_Table341115109[[#This Row],[AQ USD]])</f>
        <v xml:space="preserve"> </v>
      </c>
      <c r="X5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7" s="30" t="str">
        <f>IF(Inventory_List_Table341115109[[#This Row],[Q]]&lt;0.1, " ",Inventory_List_Table341115109[[#This Row],[PRICE]]/Z57*10000)</f>
        <v xml:space="preserve"> </v>
      </c>
      <c r="AB57" s="120"/>
      <c r="AC57" s="1"/>
      <c r="AD57" s="1"/>
    </row>
    <row r="58" spans="1:30" ht="24" customHeight="1" x14ac:dyDescent="0.3">
      <c r="A58" s="113">
        <v>56</v>
      </c>
      <c r="B58" s="1"/>
      <c r="C58" s="116"/>
      <c r="D58" s="116"/>
      <c r="E58" s="116"/>
      <c r="F58" s="38" t="str">
        <f>IF(Inventory_List_Table341115109[[#This Row],[Q]]&lt;0.1, " ",$A$1&amp;$D$1&amp;Inventory_List_Table341115109[[#This Row],['#]]&amp;Inventory_List_Table341115109[[#This Row],[LC]])</f>
        <v xml:space="preserve"> </v>
      </c>
      <c r="G58" s="116"/>
      <c r="H58" s="116"/>
      <c r="I58" s="116"/>
      <c r="J58" s="116"/>
      <c r="K58" s="116"/>
      <c r="L58" s="118"/>
      <c r="M58" s="30" t="str">
        <f>IF(Inventory_List_Table341115109[[#This Row],[Q]]&lt;0.1, " ", Inventory_List_Table341115109[[#This Row],[Q]]*Inventory_List_Table341115109[[#This Row],[PRICE]])</f>
        <v xml:space="preserve"> </v>
      </c>
      <c r="N58" s="35" t="str">
        <f>IF(Inventory_List_Table341115109[[#This Row],[Q]]&lt;0.1, " ", Inventory_List_Table341115109[[#This Row],[KG]]*2.20462)</f>
        <v xml:space="preserve"> </v>
      </c>
      <c r="O58" s="35" t="str">
        <f>IF(Inventory_List_Table341115109[[#This Row],[Q]]&lt;0.1, " ",Inventory_List_Table341115109[[#This Row],[H CM]]/2.54)</f>
        <v xml:space="preserve"> </v>
      </c>
      <c r="P58" s="35" t="str">
        <f>IF(Inventory_List_Table341115109[[#This Row],[Q]]&lt;0.1, " ",Inventory_List_Table341115109[[#This Row],[W CM]]/2.54)</f>
        <v xml:space="preserve"> </v>
      </c>
      <c r="Q58" s="35" t="str">
        <f>IF(Inventory_List_Table341115109[[#This Row],[Q]]&lt;0.1, " ",Inventory_List_Table341115109[[#This Row],[D CM ]]/2.54)</f>
        <v xml:space="preserve"> </v>
      </c>
      <c r="R58" s="30" t="str">
        <f>IF(Inventory_List_Table341115109[[#This Row],[Q]]&lt;0.1, " ",Inventory_List_Table341115109[[#This Row],[PRICE]]/$L$1)</f>
        <v xml:space="preserve"> </v>
      </c>
      <c r="S5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8" s="30" t="str">
        <f>IF(Inventory_List_Table341115109[[#This Row],[Q]]&lt;0.1, " ",Inventory_List_Table341115109[[#This Row],[AQ RND USD]]*1.4)</f>
        <v xml:space="preserve"> </v>
      </c>
      <c r="U5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8" s="30" t="str">
        <f>IF(Inventory_List_Table341115109[[#This Row],[Q]]&lt;0.1, " ",Inventory_List_Table341115109[[#This Row],[LND RND USD]]*12)</f>
        <v xml:space="preserve"> </v>
      </c>
      <c r="W58" s="30" t="str">
        <f>IF(Inventory_List_Table341115109[[#This Row],[Q]]&lt;0.1, " ",Inventory_List_Table341115109[[#This Row],[AQ USD]])</f>
        <v xml:space="preserve"> </v>
      </c>
      <c r="X5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8" s="30" t="str">
        <f>IF(Inventory_List_Table341115109[[#This Row],[Q]]&lt;0.1, " ",Inventory_List_Table341115109[[#This Row],[PRICE]]/Z58*10000)</f>
        <v xml:space="preserve"> </v>
      </c>
      <c r="AB58" s="120"/>
      <c r="AC58" s="1"/>
      <c r="AD58" s="1"/>
    </row>
    <row r="59" spans="1:30" ht="24" customHeight="1" x14ac:dyDescent="0.3">
      <c r="A59" s="113">
        <v>57</v>
      </c>
      <c r="B59" s="1"/>
      <c r="C59" s="116"/>
      <c r="D59" s="116"/>
      <c r="E59" s="116"/>
      <c r="F59" s="38" t="str">
        <f>IF(Inventory_List_Table341115109[[#This Row],[Q]]&lt;0.1, " ",$A$1&amp;$D$1&amp;Inventory_List_Table341115109[[#This Row],['#]]&amp;Inventory_List_Table341115109[[#This Row],[LC]])</f>
        <v xml:space="preserve"> </v>
      </c>
      <c r="G59" s="116"/>
      <c r="H59" s="116"/>
      <c r="I59" s="116"/>
      <c r="J59" s="116"/>
      <c r="K59" s="116"/>
      <c r="L59" s="118"/>
      <c r="M59" s="30" t="str">
        <f>IF(Inventory_List_Table341115109[[#This Row],[Q]]&lt;0.1, " ", Inventory_List_Table341115109[[#This Row],[Q]]*Inventory_List_Table341115109[[#This Row],[PRICE]])</f>
        <v xml:space="preserve"> </v>
      </c>
      <c r="N59" s="35" t="str">
        <f>IF(Inventory_List_Table341115109[[#This Row],[Q]]&lt;0.1, " ", Inventory_List_Table341115109[[#This Row],[KG]]*2.20462)</f>
        <v xml:space="preserve"> </v>
      </c>
      <c r="O59" s="35" t="str">
        <f>IF(Inventory_List_Table341115109[[#This Row],[Q]]&lt;0.1, " ",Inventory_List_Table341115109[[#This Row],[H CM]]/2.54)</f>
        <v xml:space="preserve"> </v>
      </c>
      <c r="P59" s="35" t="str">
        <f>IF(Inventory_List_Table341115109[[#This Row],[Q]]&lt;0.1, " ",Inventory_List_Table341115109[[#This Row],[W CM]]/2.54)</f>
        <v xml:space="preserve"> </v>
      </c>
      <c r="Q59" s="35" t="str">
        <f>IF(Inventory_List_Table341115109[[#This Row],[Q]]&lt;0.1, " ",Inventory_List_Table341115109[[#This Row],[D CM ]]/2.54)</f>
        <v xml:space="preserve"> </v>
      </c>
      <c r="R59" s="30" t="str">
        <f>IF(Inventory_List_Table341115109[[#This Row],[Q]]&lt;0.1, " ",Inventory_List_Table341115109[[#This Row],[PRICE]]/$L$1)</f>
        <v xml:space="preserve"> </v>
      </c>
      <c r="S5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59" s="30" t="str">
        <f>IF(Inventory_List_Table341115109[[#This Row],[Q]]&lt;0.1, " ",Inventory_List_Table341115109[[#This Row],[AQ RND USD]]*1.4)</f>
        <v xml:space="preserve"> </v>
      </c>
      <c r="U5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59" s="30" t="str">
        <f>IF(Inventory_List_Table341115109[[#This Row],[Q]]&lt;0.1, " ",Inventory_List_Table341115109[[#This Row],[LND RND USD]]*12)</f>
        <v xml:space="preserve"> </v>
      </c>
      <c r="W59" s="30" t="str">
        <f>IF(Inventory_List_Table341115109[[#This Row],[Q]]&lt;0.1, " ",Inventory_List_Table341115109[[#This Row],[AQ USD]])</f>
        <v xml:space="preserve"> </v>
      </c>
      <c r="X5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5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5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59" s="30" t="str">
        <f>IF(Inventory_List_Table341115109[[#This Row],[Q]]&lt;0.1, " ",Inventory_List_Table341115109[[#This Row],[PRICE]]/Z59*10000)</f>
        <v xml:space="preserve"> </v>
      </c>
      <c r="AB59" s="120"/>
      <c r="AC59" s="1"/>
      <c r="AD59" s="1"/>
    </row>
    <row r="60" spans="1:30" ht="24" customHeight="1" x14ac:dyDescent="0.3">
      <c r="A60" s="113">
        <v>58</v>
      </c>
      <c r="B60" s="1"/>
      <c r="C60" s="116"/>
      <c r="D60" s="116"/>
      <c r="E60" s="116"/>
      <c r="F60" s="38" t="str">
        <f>IF(Inventory_List_Table341115109[[#This Row],[Q]]&lt;0.1, " ",$A$1&amp;$D$1&amp;Inventory_List_Table341115109[[#This Row],['#]]&amp;Inventory_List_Table341115109[[#This Row],[LC]])</f>
        <v xml:space="preserve"> </v>
      </c>
      <c r="G60" s="116"/>
      <c r="H60" s="116"/>
      <c r="I60" s="116"/>
      <c r="J60" s="116"/>
      <c r="K60" s="116"/>
      <c r="L60" s="118"/>
      <c r="M60" s="30" t="str">
        <f>IF(Inventory_List_Table341115109[[#This Row],[Q]]&lt;0.1, " ", Inventory_List_Table341115109[[#This Row],[Q]]*Inventory_List_Table341115109[[#This Row],[PRICE]])</f>
        <v xml:space="preserve"> </v>
      </c>
      <c r="N60" s="35" t="str">
        <f>IF(Inventory_List_Table341115109[[#This Row],[Q]]&lt;0.1, " ", Inventory_List_Table341115109[[#This Row],[KG]]*2.20462)</f>
        <v xml:space="preserve"> </v>
      </c>
      <c r="O60" s="35" t="str">
        <f>IF(Inventory_List_Table341115109[[#This Row],[Q]]&lt;0.1, " ",Inventory_List_Table341115109[[#This Row],[H CM]]/2.54)</f>
        <v xml:space="preserve"> </v>
      </c>
      <c r="P60" s="35" t="str">
        <f>IF(Inventory_List_Table341115109[[#This Row],[Q]]&lt;0.1, " ",Inventory_List_Table341115109[[#This Row],[W CM]]/2.54)</f>
        <v xml:space="preserve"> </v>
      </c>
      <c r="Q60" s="35" t="str">
        <f>IF(Inventory_List_Table341115109[[#This Row],[Q]]&lt;0.1, " ",Inventory_List_Table341115109[[#This Row],[D CM ]]/2.54)</f>
        <v xml:space="preserve"> </v>
      </c>
      <c r="R60" s="30" t="str">
        <f>IF(Inventory_List_Table341115109[[#This Row],[Q]]&lt;0.1, " ",Inventory_List_Table341115109[[#This Row],[PRICE]]/$L$1)</f>
        <v xml:space="preserve"> </v>
      </c>
      <c r="S6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0" s="30" t="str">
        <f>IF(Inventory_List_Table341115109[[#This Row],[Q]]&lt;0.1, " ",Inventory_List_Table341115109[[#This Row],[AQ RND USD]]*1.4)</f>
        <v xml:space="preserve"> </v>
      </c>
      <c r="U6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0" s="30" t="str">
        <f>IF(Inventory_List_Table341115109[[#This Row],[Q]]&lt;0.1, " ",Inventory_List_Table341115109[[#This Row],[LND RND USD]]*12)</f>
        <v xml:space="preserve"> </v>
      </c>
      <c r="W60" s="30" t="str">
        <f>IF(Inventory_List_Table341115109[[#This Row],[Q]]&lt;0.1, " ",Inventory_List_Table341115109[[#This Row],[AQ USD]])</f>
        <v xml:space="preserve"> </v>
      </c>
      <c r="X6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0" s="30" t="str">
        <f>IF(Inventory_List_Table341115109[[#This Row],[Q]]&lt;0.1, " ",Inventory_List_Table341115109[[#This Row],[PRICE]]/Z60*10000)</f>
        <v xml:space="preserve"> </v>
      </c>
      <c r="AB60" s="120"/>
      <c r="AC60" s="1"/>
      <c r="AD60" s="1"/>
    </row>
    <row r="61" spans="1:30" ht="24" customHeight="1" x14ac:dyDescent="0.3">
      <c r="A61" s="113">
        <v>59</v>
      </c>
      <c r="B61" s="1"/>
      <c r="C61" s="116"/>
      <c r="D61" s="116"/>
      <c r="E61" s="116"/>
      <c r="F61" s="38" t="str">
        <f>IF(Inventory_List_Table341115109[[#This Row],[Q]]&lt;0.1, " ",$A$1&amp;$D$1&amp;Inventory_List_Table341115109[[#This Row],['#]]&amp;Inventory_List_Table341115109[[#This Row],[LC]])</f>
        <v xml:space="preserve"> </v>
      </c>
      <c r="G61" s="116"/>
      <c r="H61" s="116"/>
      <c r="I61" s="116"/>
      <c r="J61" s="116"/>
      <c r="K61" s="116"/>
      <c r="L61" s="118"/>
      <c r="M61" s="30" t="str">
        <f>IF(Inventory_List_Table341115109[[#This Row],[Q]]&lt;0.1, " ", Inventory_List_Table341115109[[#This Row],[Q]]*Inventory_List_Table341115109[[#This Row],[PRICE]])</f>
        <v xml:space="preserve"> </v>
      </c>
      <c r="N61" s="35" t="str">
        <f>IF(Inventory_List_Table341115109[[#This Row],[Q]]&lt;0.1, " ", Inventory_List_Table341115109[[#This Row],[KG]]*2.20462)</f>
        <v xml:space="preserve"> </v>
      </c>
      <c r="O61" s="35" t="str">
        <f>IF(Inventory_List_Table341115109[[#This Row],[Q]]&lt;0.1, " ",Inventory_List_Table341115109[[#This Row],[H CM]]/2.54)</f>
        <v xml:space="preserve"> </v>
      </c>
      <c r="P61" s="35" t="str">
        <f>IF(Inventory_List_Table341115109[[#This Row],[Q]]&lt;0.1, " ",Inventory_List_Table341115109[[#This Row],[W CM]]/2.54)</f>
        <v xml:space="preserve"> </v>
      </c>
      <c r="Q61" s="35" t="str">
        <f>IF(Inventory_List_Table341115109[[#This Row],[Q]]&lt;0.1, " ",Inventory_List_Table341115109[[#This Row],[D CM ]]/2.54)</f>
        <v xml:space="preserve"> </v>
      </c>
      <c r="R61" s="30" t="str">
        <f>IF(Inventory_List_Table341115109[[#This Row],[Q]]&lt;0.1, " ",Inventory_List_Table341115109[[#This Row],[PRICE]]/$L$1)</f>
        <v xml:space="preserve"> </v>
      </c>
      <c r="S6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1" s="30" t="str">
        <f>IF(Inventory_List_Table341115109[[#This Row],[Q]]&lt;0.1, " ",Inventory_List_Table341115109[[#This Row],[AQ RND USD]]*1.4)</f>
        <v xml:space="preserve"> </v>
      </c>
      <c r="U6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1" s="30" t="str">
        <f>IF(Inventory_List_Table341115109[[#This Row],[Q]]&lt;0.1, " ",Inventory_List_Table341115109[[#This Row],[LND RND USD]]*12)</f>
        <v xml:space="preserve"> </v>
      </c>
      <c r="W61" s="30" t="str">
        <f>IF(Inventory_List_Table341115109[[#This Row],[Q]]&lt;0.1, " ",Inventory_List_Table341115109[[#This Row],[AQ USD]])</f>
        <v xml:space="preserve"> </v>
      </c>
      <c r="X6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1" s="30" t="str">
        <f>IF(Inventory_List_Table341115109[[#This Row],[Q]]&lt;0.1, " ",Inventory_List_Table341115109[[#This Row],[PRICE]]/Z61*10000)</f>
        <v xml:space="preserve"> </v>
      </c>
      <c r="AB61" s="120"/>
      <c r="AC61" s="1"/>
      <c r="AD61" s="1"/>
    </row>
    <row r="62" spans="1:30" ht="24" customHeight="1" x14ac:dyDescent="0.3">
      <c r="A62" s="113">
        <v>60</v>
      </c>
      <c r="B62" s="1"/>
      <c r="C62" s="116"/>
      <c r="D62" s="116"/>
      <c r="E62" s="116"/>
      <c r="F62" s="38" t="str">
        <f>IF(Inventory_List_Table341115109[[#This Row],[Q]]&lt;0.1, " ",$A$1&amp;$D$1&amp;Inventory_List_Table341115109[[#This Row],['#]]&amp;Inventory_List_Table341115109[[#This Row],[LC]])</f>
        <v xml:space="preserve"> </v>
      </c>
      <c r="G62" s="116"/>
      <c r="H62" s="116"/>
      <c r="I62" s="116"/>
      <c r="J62" s="116"/>
      <c r="K62" s="116"/>
      <c r="L62" s="118"/>
      <c r="M62" s="30" t="str">
        <f>IF(Inventory_List_Table341115109[[#This Row],[Q]]&lt;0.1, " ", Inventory_List_Table341115109[[#This Row],[Q]]*Inventory_List_Table341115109[[#This Row],[PRICE]])</f>
        <v xml:space="preserve"> </v>
      </c>
      <c r="N62" s="35" t="str">
        <f>IF(Inventory_List_Table341115109[[#This Row],[Q]]&lt;0.1, " ", Inventory_List_Table341115109[[#This Row],[KG]]*2.20462)</f>
        <v xml:space="preserve"> </v>
      </c>
      <c r="O62" s="35" t="str">
        <f>IF(Inventory_List_Table341115109[[#This Row],[Q]]&lt;0.1, " ",Inventory_List_Table341115109[[#This Row],[H CM]]/2.54)</f>
        <v xml:space="preserve"> </v>
      </c>
      <c r="P62" s="35" t="str">
        <f>IF(Inventory_List_Table341115109[[#This Row],[Q]]&lt;0.1, " ",Inventory_List_Table341115109[[#This Row],[W CM]]/2.54)</f>
        <v xml:space="preserve"> </v>
      </c>
      <c r="Q62" s="35" t="str">
        <f>IF(Inventory_List_Table341115109[[#This Row],[Q]]&lt;0.1, " ",Inventory_List_Table341115109[[#This Row],[D CM ]]/2.54)</f>
        <v xml:space="preserve"> </v>
      </c>
      <c r="R62" s="30" t="str">
        <f>IF(Inventory_List_Table341115109[[#This Row],[Q]]&lt;0.1, " ",Inventory_List_Table341115109[[#This Row],[PRICE]]/$L$1)</f>
        <v xml:space="preserve"> </v>
      </c>
      <c r="S6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2" s="30" t="str">
        <f>IF(Inventory_List_Table341115109[[#This Row],[Q]]&lt;0.1, " ",Inventory_List_Table341115109[[#This Row],[AQ RND USD]]*1.4)</f>
        <v xml:space="preserve"> </v>
      </c>
      <c r="U6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2" s="30" t="str">
        <f>IF(Inventory_List_Table341115109[[#This Row],[Q]]&lt;0.1, " ",Inventory_List_Table341115109[[#This Row],[LND RND USD]]*12)</f>
        <v xml:space="preserve"> </v>
      </c>
      <c r="W62" s="30" t="str">
        <f>IF(Inventory_List_Table341115109[[#This Row],[Q]]&lt;0.1, " ",Inventory_List_Table341115109[[#This Row],[AQ USD]])</f>
        <v xml:space="preserve"> </v>
      </c>
      <c r="X6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2" s="30" t="str">
        <f>IF(Inventory_List_Table341115109[[#This Row],[Q]]&lt;0.1, " ",Inventory_List_Table341115109[[#This Row],[PRICE]]/Z62*10000)</f>
        <v xml:space="preserve"> </v>
      </c>
      <c r="AB62" s="120"/>
      <c r="AC62" s="1"/>
      <c r="AD62" s="1"/>
    </row>
    <row r="63" spans="1:30" ht="24" customHeight="1" x14ac:dyDescent="0.3">
      <c r="A63" s="113">
        <v>61</v>
      </c>
      <c r="B63" s="1"/>
      <c r="C63" s="116"/>
      <c r="D63" s="116"/>
      <c r="E63" s="116"/>
      <c r="F63" s="38" t="str">
        <f>IF(Inventory_List_Table341115109[[#This Row],[Q]]&lt;0.1, " ",$A$1&amp;$D$1&amp;Inventory_List_Table341115109[[#This Row],['#]]&amp;Inventory_List_Table341115109[[#This Row],[LC]])</f>
        <v xml:space="preserve"> </v>
      </c>
      <c r="G63" s="116"/>
      <c r="H63" s="116"/>
      <c r="I63" s="116"/>
      <c r="J63" s="116"/>
      <c r="K63" s="116"/>
      <c r="L63" s="118"/>
      <c r="M63" s="30" t="str">
        <f>IF(Inventory_List_Table341115109[[#This Row],[Q]]&lt;0.1, " ", Inventory_List_Table341115109[[#This Row],[Q]]*Inventory_List_Table341115109[[#This Row],[PRICE]])</f>
        <v xml:space="preserve"> </v>
      </c>
      <c r="N63" s="35" t="str">
        <f>IF(Inventory_List_Table341115109[[#This Row],[Q]]&lt;0.1, " ", Inventory_List_Table341115109[[#This Row],[KG]]*2.20462)</f>
        <v xml:space="preserve"> </v>
      </c>
      <c r="O63" s="35" t="str">
        <f>IF(Inventory_List_Table341115109[[#This Row],[Q]]&lt;0.1, " ",Inventory_List_Table341115109[[#This Row],[H CM]]/2.54)</f>
        <v xml:space="preserve"> </v>
      </c>
      <c r="P63" s="35" t="str">
        <f>IF(Inventory_List_Table341115109[[#This Row],[Q]]&lt;0.1, " ",Inventory_List_Table341115109[[#This Row],[W CM]]/2.54)</f>
        <v xml:space="preserve"> </v>
      </c>
      <c r="Q63" s="35" t="str">
        <f>IF(Inventory_List_Table341115109[[#This Row],[Q]]&lt;0.1, " ",Inventory_List_Table341115109[[#This Row],[D CM ]]/2.54)</f>
        <v xml:space="preserve"> </v>
      </c>
      <c r="R63" s="30" t="str">
        <f>IF(Inventory_List_Table341115109[[#This Row],[Q]]&lt;0.1, " ",Inventory_List_Table341115109[[#This Row],[PRICE]]/$L$1)</f>
        <v xml:space="preserve"> </v>
      </c>
      <c r="S6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3" s="30" t="str">
        <f>IF(Inventory_List_Table341115109[[#This Row],[Q]]&lt;0.1, " ",Inventory_List_Table341115109[[#This Row],[AQ RND USD]]*1.4)</f>
        <v xml:space="preserve"> </v>
      </c>
      <c r="U6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3" s="30" t="str">
        <f>IF(Inventory_List_Table341115109[[#This Row],[Q]]&lt;0.1, " ",Inventory_List_Table341115109[[#This Row],[LND RND USD]]*12)</f>
        <v xml:space="preserve"> </v>
      </c>
      <c r="W63" s="30" t="str">
        <f>IF(Inventory_List_Table341115109[[#This Row],[Q]]&lt;0.1, " ",Inventory_List_Table341115109[[#This Row],[AQ USD]])</f>
        <v xml:space="preserve"> </v>
      </c>
      <c r="X6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3" s="30" t="str">
        <f>IF(Inventory_List_Table341115109[[#This Row],[Q]]&lt;0.1, " ",Inventory_List_Table341115109[[#This Row],[PRICE]]/Z63*10000)</f>
        <v xml:space="preserve"> </v>
      </c>
      <c r="AB63" s="120"/>
      <c r="AC63" s="1"/>
      <c r="AD63" s="1"/>
    </row>
    <row r="64" spans="1:30" ht="24" customHeight="1" x14ac:dyDescent="0.3">
      <c r="A64" s="113">
        <v>62</v>
      </c>
      <c r="B64" s="1"/>
      <c r="C64" s="116"/>
      <c r="D64" s="116"/>
      <c r="E64" s="116"/>
      <c r="F64" s="38" t="str">
        <f>IF(Inventory_List_Table341115109[[#This Row],[Q]]&lt;0.1, " ",$A$1&amp;$D$1&amp;Inventory_List_Table341115109[[#This Row],['#]]&amp;Inventory_List_Table341115109[[#This Row],[LC]])</f>
        <v xml:space="preserve"> </v>
      </c>
      <c r="G64" s="116"/>
      <c r="H64" s="116"/>
      <c r="I64" s="116"/>
      <c r="J64" s="116"/>
      <c r="K64" s="116"/>
      <c r="L64" s="118"/>
      <c r="M64" s="30" t="str">
        <f>IF(Inventory_List_Table341115109[[#This Row],[Q]]&lt;0.1, " ", Inventory_List_Table341115109[[#This Row],[Q]]*Inventory_List_Table341115109[[#This Row],[PRICE]])</f>
        <v xml:space="preserve"> </v>
      </c>
      <c r="N64" s="35" t="str">
        <f>IF(Inventory_List_Table341115109[[#This Row],[Q]]&lt;0.1, " ", Inventory_List_Table341115109[[#This Row],[KG]]*2.20462)</f>
        <v xml:space="preserve"> </v>
      </c>
      <c r="O64" s="35" t="str">
        <f>IF(Inventory_List_Table341115109[[#This Row],[Q]]&lt;0.1, " ",Inventory_List_Table341115109[[#This Row],[H CM]]/2.54)</f>
        <v xml:space="preserve"> </v>
      </c>
      <c r="P64" s="35" t="str">
        <f>IF(Inventory_List_Table341115109[[#This Row],[Q]]&lt;0.1, " ",Inventory_List_Table341115109[[#This Row],[W CM]]/2.54)</f>
        <v xml:space="preserve"> </v>
      </c>
      <c r="Q64" s="35" t="str">
        <f>IF(Inventory_List_Table341115109[[#This Row],[Q]]&lt;0.1, " ",Inventory_List_Table341115109[[#This Row],[D CM ]]/2.54)</f>
        <v xml:space="preserve"> </v>
      </c>
      <c r="R64" s="30" t="str">
        <f>IF(Inventory_List_Table341115109[[#This Row],[Q]]&lt;0.1, " ",Inventory_List_Table341115109[[#This Row],[PRICE]]/$L$1)</f>
        <v xml:space="preserve"> </v>
      </c>
      <c r="S6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4" s="30" t="str">
        <f>IF(Inventory_List_Table341115109[[#This Row],[Q]]&lt;0.1, " ",Inventory_List_Table341115109[[#This Row],[AQ RND USD]]*1.4)</f>
        <v xml:space="preserve"> </v>
      </c>
      <c r="U6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4" s="30" t="str">
        <f>IF(Inventory_List_Table341115109[[#This Row],[Q]]&lt;0.1, " ",Inventory_List_Table341115109[[#This Row],[LND RND USD]]*12)</f>
        <v xml:space="preserve"> </v>
      </c>
      <c r="W64" s="30" t="str">
        <f>IF(Inventory_List_Table341115109[[#This Row],[Q]]&lt;0.1, " ",Inventory_List_Table341115109[[#This Row],[AQ USD]])</f>
        <v xml:space="preserve"> </v>
      </c>
      <c r="X6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4" s="30" t="str">
        <f>IF(Inventory_List_Table341115109[[#This Row],[Q]]&lt;0.1, " ",Inventory_List_Table341115109[[#This Row],[PRICE]]/Z64*10000)</f>
        <v xml:space="preserve"> </v>
      </c>
      <c r="AB64" s="120"/>
      <c r="AC64" s="1"/>
      <c r="AD64" s="1"/>
    </row>
    <row r="65" spans="1:30" ht="24" customHeight="1" x14ac:dyDescent="0.3">
      <c r="A65" s="113">
        <v>63</v>
      </c>
      <c r="B65" s="1"/>
      <c r="C65" s="116"/>
      <c r="D65" s="116"/>
      <c r="E65" s="116"/>
      <c r="F65" s="38" t="str">
        <f>IF(Inventory_List_Table341115109[[#This Row],[Q]]&lt;0.1, " ",$A$1&amp;$D$1&amp;Inventory_List_Table341115109[[#This Row],['#]]&amp;Inventory_List_Table341115109[[#This Row],[LC]])</f>
        <v xml:space="preserve"> </v>
      </c>
      <c r="G65" s="116"/>
      <c r="H65" s="116"/>
      <c r="I65" s="116"/>
      <c r="J65" s="116"/>
      <c r="K65" s="116"/>
      <c r="L65" s="118"/>
      <c r="M65" s="30" t="str">
        <f>IF(Inventory_List_Table341115109[[#This Row],[Q]]&lt;0.1, " ", Inventory_List_Table341115109[[#This Row],[Q]]*Inventory_List_Table341115109[[#This Row],[PRICE]])</f>
        <v xml:space="preserve"> </v>
      </c>
      <c r="N65" s="35" t="str">
        <f>IF(Inventory_List_Table341115109[[#This Row],[Q]]&lt;0.1, " ", Inventory_List_Table341115109[[#This Row],[KG]]*2.20462)</f>
        <v xml:space="preserve"> </v>
      </c>
      <c r="O65" s="35" t="str">
        <f>IF(Inventory_List_Table341115109[[#This Row],[Q]]&lt;0.1, " ",Inventory_List_Table341115109[[#This Row],[H CM]]/2.54)</f>
        <v xml:space="preserve"> </v>
      </c>
      <c r="P65" s="35" t="str">
        <f>IF(Inventory_List_Table341115109[[#This Row],[Q]]&lt;0.1, " ",Inventory_List_Table341115109[[#This Row],[W CM]]/2.54)</f>
        <v xml:space="preserve"> </v>
      </c>
      <c r="Q65" s="35" t="str">
        <f>IF(Inventory_List_Table341115109[[#This Row],[Q]]&lt;0.1, " ",Inventory_List_Table341115109[[#This Row],[D CM ]]/2.54)</f>
        <v xml:space="preserve"> </v>
      </c>
      <c r="R65" s="30" t="str">
        <f>IF(Inventory_List_Table341115109[[#This Row],[Q]]&lt;0.1, " ",Inventory_List_Table341115109[[#This Row],[PRICE]]/$L$1)</f>
        <v xml:space="preserve"> </v>
      </c>
      <c r="S6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5" s="30" t="str">
        <f>IF(Inventory_List_Table341115109[[#This Row],[Q]]&lt;0.1, " ",Inventory_List_Table341115109[[#This Row],[AQ RND USD]]*1.4)</f>
        <v xml:space="preserve"> </v>
      </c>
      <c r="U6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5" s="30" t="str">
        <f>IF(Inventory_List_Table341115109[[#This Row],[Q]]&lt;0.1, " ",Inventory_List_Table341115109[[#This Row],[LND RND USD]]*12)</f>
        <v xml:space="preserve"> </v>
      </c>
      <c r="W65" s="30" t="str">
        <f>IF(Inventory_List_Table341115109[[#This Row],[Q]]&lt;0.1, " ",Inventory_List_Table341115109[[#This Row],[AQ USD]])</f>
        <v xml:space="preserve"> </v>
      </c>
      <c r="X6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5" s="30" t="str">
        <f>IF(Inventory_List_Table341115109[[#This Row],[Q]]&lt;0.1, " ",Inventory_List_Table341115109[[#This Row],[PRICE]]/Z65*10000)</f>
        <v xml:space="preserve"> </v>
      </c>
      <c r="AB65" s="120"/>
      <c r="AC65" s="1"/>
      <c r="AD65" s="1"/>
    </row>
    <row r="66" spans="1:30" ht="24" customHeight="1" x14ac:dyDescent="0.3">
      <c r="A66" s="113">
        <v>64</v>
      </c>
      <c r="B66" s="1"/>
      <c r="C66" s="116"/>
      <c r="D66" s="116"/>
      <c r="E66" s="116"/>
      <c r="F66" s="38" t="str">
        <f>IF(Inventory_List_Table341115109[[#This Row],[Q]]&lt;0.1, " ",$A$1&amp;$D$1&amp;Inventory_List_Table341115109[[#This Row],['#]]&amp;Inventory_List_Table341115109[[#This Row],[LC]])</f>
        <v xml:space="preserve"> </v>
      </c>
      <c r="G66" s="116"/>
      <c r="H66" s="116"/>
      <c r="I66" s="116"/>
      <c r="J66" s="116"/>
      <c r="K66" s="116"/>
      <c r="L66" s="118"/>
      <c r="M66" s="30" t="str">
        <f>IF(Inventory_List_Table341115109[[#This Row],[Q]]&lt;0.1, " ", Inventory_List_Table341115109[[#This Row],[Q]]*Inventory_List_Table341115109[[#This Row],[PRICE]])</f>
        <v xml:space="preserve"> </v>
      </c>
      <c r="N66" s="35" t="str">
        <f>IF(Inventory_List_Table341115109[[#This Row],[Q]]&lt;0.1, " ", Inventory_List_Table341115109[[#This Row],[KG]]*2.20462)</f>
        <v xml:space="preserve"> </v>
      </c>
      <c r="O66" s="35" t="str">
        <f>IF(Inventory_List_Table341115109[[#This Row],[Q]]&lt;0.1, " ",Inventory_List_Table341115109[[#This Row],[H CM]]/2.54)</f>
        <v xml:space="preserve"> </v>
      </c>
      <c r="P66" s="35" t="str">
        <f>IF(Inventory_List_Table341115109[[#This Row],[Q]]&lt;0.1, " ",Inventory_List_Table341115109[[#This Row],[W CM]]/2.54)</f>
        <v xml:space="preserve"> </v>
      </c>
      <c r="Q66" s="35" t="str">
        <f>IF(Inventory_List_Table341115109[[#This Row],[Q]]&lt;0.1, " ",Inventory_List_Table341115109[[#This Row],[D CM ]]/2.54)</f>
        <v xml:space="preserve"> </v>
      </c>
      <c r="R66" s="30" t="str">
        <f>IF(Inventory_List_Table341115109[[#This Row],[Q]]&lt;0.1, " ",Inventory_List_Table341115109[[#This Row],[PRICE]]/$L$1)</f>
        <v xml:space="preserve"> </v>
      </c>
      <c r="S6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6" s="30" t="str">
        <f>IF(Inventory_List_Table341115109[[#This Row],[Q]]&lt;0.1, " ",Inventory_List_Table341115109[[#This Row],[AQ RND USD]]*1.4)</f>
        <v xml:space="preserve"> </v>
      </c>
      <c r="U6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6" s="30" t="str">
        <f>IF(Inventory_List_Table341115109[[#This Row],[Q]]&lt;0.1, " ",Inventory_List_Table341115109[[#This Row],[LND RND USD]]*12)</f>
        <v xml:space="preserve"> </v>
      </c>
      <c r="W66" s="30" t="str">
        <f>IF(Inventory_List_Table341115109[[#This Row],[Q]]&lt;0.1, " ",Inventory_List_Table341115109[[#This Row],[AQ USD]])</f>
        <v xml:space="preserve"> </v>
      </c>
      <c r="X6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6" s="30" t="str">
        <f>IF(Inventory_List_Table341115109[[#This Row],[Q]]&lt;0.1, " ",Inventory_List_Table341115109[[#This Row],[PRICE]]/Z66*10000)</f>
        <v xml:space="preserve"> </v>
      </c>
      <c r="AB66" s="120"/>
      <c r="AC66" s="1"/>
      <c r="AD66" s="1"/>
    </row>
    <row r="67" spans="1:30" ht="24" customHeight="1" x14ac:dyDescent="0.3">
      <c r="A67" s="113">
        <v>65</v>
      </c>
      <c r="B67" s="1"/>
      <c r="C67" s="116"/>
      <c r="D67" s="116"/>
      <c r="E67" s="116"/>
      <c r="F67" s="38" t="str">
        <f>IF(Inventory_List_Table341115109[[#This Row],[Q]]&lt;0.1, " ",$A$1&amp;$D$1&amp;Inventory_List_Table341115109[[#This Row],['#]]&amp;Inventory_List_Table341115109[[#This Row],[LC]])</f>
        <v xml:space="preserve"> </v>
      </c>
      <c r="G67" s="116"/>
      <c r="H67" s="116"/>
      <c r="I67" s="116"/>
      <c r="J67" s="116"/>
      <c r="K67" s="116"/>
      <c r="L67" s="118"/>
      <c r="M67" s="30" t="str">
        <f>IF(Inventory_List_Table341115109[[#This Row],[Q]]&lt;0.1, " ", Inventory_List_Table341115109[[#This Row],[Q]]*Inventory_List_Table341115109[[#This Row],[PRICE]])</f>
        <v xml:space="preserve"> </v>
      </c>
      <c r="N67" s="35" t="str">
        <f>IF(Inventory_List_Table341115109[[#This Row],[Q]]&lt;0.1, " ", Inventory_List_Table341115109[[#This Row],[KG]]*2.20462)</f>
        <v xml:space="preserve"> </v>
      </c>
      <c r="O67" s="35" t="str">
        <f>IF(Inventory_List_Table341115109[[#This Row],[Q]]&lt;0.1, " ",Inventory_List_Table341115109[[#This Row],[H CM]]/2.54)</f>
        <v xml:space="preserve"> </v>
      </c>
      <c r="P67" s="35" t="str">
        <f>IF(Inventory_List_Table341115109[[#This Row],[Q]]&lt;0.1, " ",Inventory_List_Table341115109[[#This Row],[W CM]]/2.54)</f>
        <v xml:space="preserve"> </v>
      </c>
      <c r="Q67" s="35" t="str">
        <f>IF(Inventory_List_Table341115109[[#This Row],[Q]]&lt;0.1, " ",Inventory_List_Table341115109[[#This Row],[D CM ]]/2.54)</f>
        <v xml:space="preserve"> </v>
      </c>
      <c r="R67" s="30" t="str">
        <f>IF(Inventory_List_Table341115109[[#This Row],[Q]]&lt;0.1, " ",Inventory_List_Table341115109[[#This Row],[PRICE]]/$L$1)</f>
        <v xml:space="preserve"> </v>
      </c>
      <c r="S6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7" s="30" t="str">
        <f>IF(Inventory_List_Table341115109[[#This Row],[Q]]&lt;0.1, " ",Inventory_List_Table341115109[[#This Row],[AQ RND USD]]*1.4)</f>
        <v xml:space="preserve"> </v>
      </c>
      <c r="U6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7" s="30" t="str">
        <f>IF(Inventory_List_Table341115109[[#This Row],[Q]]&lt;0.1, " ",Inventory_List_Table341115109[[#This Row],[LND RND USD]]*12)</f>
        <v xml:space="preserve"> </v>
      </c>
      <c r="W67" s="30" t="str">
        <f>IF(Inventory_List_Table341115109[[#This Row],[Q]]&lt;0.1, " ",Inventory_List_Table341115109[[#This Row],[AQ USD]])</f>
        <v xml:space="preserve"> </v>
      </c>
      <c r="X6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7" s="30" t="str">
        <f>IF(Inventory_List_Table341115109[[#This Row],[Q]]&lt;0.1, " ",Inventory_List_Table341115109[[#This Row],[PRICE]]/Z67*10000)</f>
        <v xml:space="preserve"> </v>
      </c>
      <c r="AB67" s="120"/>
      <c r="AC67" s="1"/>
      <c r="AD67" s="1"/>
    </row>
    <row r="68" spans="1:30" ht="24" customHeight="1" x14ac:dyDescent="0.3">
      <c r="A68" s="113">
        <v>66</v>
      </c>
      <c r="B68" s="1"/>
      <c r="C68" s="116"/>
      <c r="D68" s="116"/>
      <c r="E68" s="116"/>
      <c r="F68" s="38" t="str">
        <f>IF(Inventory_List_Table341115109[[#This Row],[Q]]&lt;0.1, " ",$A$1&amp;$D$1&amp;Inventory_List_Table341115109[[#This Row],['#]]&amp;Inventory_List_Table341115109[[#This Row],[LC]])</f>
        <v xml:space="preserve"> </v>
      </c>
      <c r="G68" s="116"/>
      <c r="H68" s="116"/>
      <c r="I68" s="116"/>
      <c r="J68" s="116"/>
      <c r="K68" s="116"/>
      <c r="L68" s="118"/>
      <c r="M68" s="30" t="str">
        <f>IF(Inventory_List_Table341115109[[#This Row],[Q]]&lt;0.1, " ", Inventory_List_Table341115109[[#This Row],[Q]]*Inventory_List_Table341115109[[#This Row],[PRICE]])</f>
        <v xml:space="preserve"> </v>
      </c>
      <c r="N68" s="35" t="str">
        <f>IF(Inventory_List_Table341115109[[#This Row],[Q]]&lt;0.1, " ", Inventory_List_Table341115109[[#This Row],[KG]]*2.20462)</f>
        <v xml:space="preserve"> </v>
      </c>
      <c r="O68" s="35" t="str">
        <f>IF(Inventory_List_Table341115109[[#This Row],[Q]]&lt;0.1, " ",Inventory_List_Table341115109[[#This Row],[H CM]]/2.54)</f>
        <v xml:space="preserve"> </v>
      </c>
      <c r="P68" s="35" t="str">
        <f>IF(Inventory_List_Table341115109[[#This Row],[Q]]&lt;0.1, " ",Inventory_List_Table341115109[[#This Row],[W CM]]/2.54)</f>
        <v xml:space="preserve"> </v>
      </c>
      <c r="Q68" s="35" t="str">
        <f>IF(Inventory_List_Table341115109[[#This Row],[Q]]&lt;0.1, " ",Inventory_List_Table341115109[[#This Row],[D CM ]]/2.54)</f>
        <v xml:space="preserve"> </v>
      </c>
      <c r="R68" s="30" t="str">
        <f>IF(Inventory_List_Table341115109[[#This Row],[Q]]&lt;0.1, " ",Inventory_List_Table341115109[[#This Row],[PRICE]]/$L$1)</f>
        <v xml:space="preserve"> </v>
      </c>
      <c r="S6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8" s="30" t="str">
        <f>IF(Inventory_List_Table341115109[[#This Row],[Q]]&lt;0.1, " ",Inventory_List_Table341115109[[#This Row],[AQ RND USD]]*1.4)</f>
        <v xml:space="preserve"> </v>
      </c>
      <c r="U6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8" s="30" t="str">
        <f>IF(Inventory_List_Table341115109[[#This Row],[Q]]&lt;0.1, " ",Inventory_List_Table341115109[[#This Row],[LND RND USD]]*12)</f>
        <v xml:space="preserve"> </v>
      </c>
      <c r="W68" s="30" t="str">
        <f>IF(Inventory_List_Table341115109[[#This Row],[Q]]&lt;0.1, " ",Inventory_List_Table341115109[[#This Row],[AQ USD]])</f>
        <v xml:space="preserve"> </v>
      </c>
      <c r="X6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8" s="30" t="str">
        <f>IF(Inventory_List_Table341115109[[#This Row],[Q]]&lt;0.1, " ",Inventory_List_Table341115109[[#This Row],[PRICE]]/Z68*10000)</f>
        <v xml:space="preserve"> </v>
      </c>
      <c r="AB68" s="120"/>
      <c r="AC68" s="1"/>
      <c r="AD68" s="1"/>
    </row>
    <row r="69" spans="1:30" ht="24" customHeight="1" x14ac:dyDescent="0.3">
      <c r="A69" s="113">
        <v>67</v>
      </c>
      <c r="B69" s="1"/>
      <c r="C69" s="116"/>
      <c r="D69" s="116"/>
      <c r="E69" s="116"/>
      <c r="F69" s="38" t="str">
        <f>IF(Inventory_List_Table341115109[[#This Row],[Q]]&lt;0.1, " ",$A$1&amp;$D$1&amp;Inventory_List_Table341115109[[#This Row],['#]]&amp;Inventory_List_Table341115109[[#This Row],[LC]])</f>
        <v xml:space="preserve"> </v>
      </c>
      <c r="G69" s="116"/>
      <c r="H69" s="116"/>
      <c r="I69" s="116"/>
      <c r="J69" s="116"/>
      <c r="K69" s="116"/>
      <c r="L69" s="118"/>
      <c r="M69" s="30" t="str">
        <f>IF(Inventory_List_Table341115109[[#This Row],[Q]]&lt;0.1, " ", Inventory_List_Table341115109[[#This Row],[Q]]*Inventory_List_Table341115109[[#This Row],[PRICE]])</f>
        <v xml:space="preserve"> </v>
      </c>
      <c r="N69" s="35" t="str">
        <f>IF(Inventory_List_Table341115109[[#This Row],[Q]]&lt;0.1, " ", Inventory_List_Table341115109[[#This Row],[KG]]*2.20462)</f>
        <v xml:space="preserve"> </v>
      </c>
      <c r="O69" s="35" t="str">
        <f>IF(Inventory_List_Table341115109[[#This Row],[Q]]&lt;0.1, " ",Inventory_List_Table341115109[[#This Row],[H CM]]/2.54)</f>
        <v xml:space="preserve"> </v>
      </c>
      <c r="P69" s="35" t="str">
        <f>IF(Inventory_List_Table341115109[[#This Row],[Q]]&lt;0.1, " ",Inventory_List_Table341115109[[#This Row],[W CM]]/2.54)</f>
        <v xml:space="preserve"> </v>
      </c>
      <c r="Q69" s="35" t="str">
        <f>IF(Inventory_List_Table341115109[[#This Row],[Q]]&lt;0.1, " ",Inventory_List_Table341115109[[#This Row],[D CM ]]/2.54)</f>
        <v xml:space="preserve"> </v>
      </c>
      <c r="R69" s="30" t="str">
        <f>IF(Inventory_List_Table341115109[[#This Row],[Q]]&lt;0.1, " ",Inventory_List_Table341115109[[#This Row],[PRICE]]/$L$1)</f>
        <v xml:space="preserve"> </v>
      </c>
      <c r="S6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69" s="30" t="str">
        <f>IF(Inventory_List_Table341115109[[#This Row],[Q]]&lt;0.1, " ",Inventory_List_Table341115109[[#This Row],[AQ RND USD]]*1.4)</f>
        <v xml:space="preserve"> </v>
      </c>
      <c r="U6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69" s="30" t="str">
        <f>IF(Inventory_List_Table341115109[[#This Row],[Q]]&lt;0.1, " ",Inventory_List_Table341115109[[#This Row],[LND RND USD]]*12)</f>
        <v xml:space="preserve"> </v>
      </c>
      <c r="W69" s="30" t="str">
        <f>IF(Inventory_List_Table341115109[[#This Row],[Q]]&lt;0.1, " ",Inventory_List_Table341115109[[#This Row],[AQ USD]])</f>
        <v xml:space="preserve"> </v>
      </c>
      <c r="X6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6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6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69" s="30" t="str">
        <f>IF(Inventory_List_Table341115109[[#This Row],[Q]]&lt;0.1, " ",Inventory_List_Table341115109[[#This Row],[PRICE]]/Z69*10000)</f>
        <v xml:space="preserve"> </v>
      </c>
      <c r="AB69" s="120"/>
      <c r="AC69" s="1"/>
      <c r="AD69" s="1"/>
    </row>
    <row r="70" spans="1:30" ht="24" customHeight="1" x14ac:dyDescent="0.3">
      <c r="A70" s="113">
        <v>68</v>
      </c>
      <c r="B70" s="1"/>
      <c r="C70" s="116"/>
      <c r="D70" s="116"/>
      <c r="E70" s="116"/>
      <c r="F70" s="38" t="str">
        <f>IF(Inventory_List_Table341115109[[#This Row],[Q]]&lt;0.1, " ",$A$1&amp;$D$1&amp;Inventory_List_Table341115109[[#This Row],['#]]&amp;Inventory_List_Table341115109[[#This Row],[LC]])</f>
        <v xml:space="preserve"> </v>
      </c>
      <c r="G70" s="116"/>
      <c r="H70" s="116"/>
      <c r="I70" s="116"/>
      <c r="J70" s="116"/>
      <c r="K70" s="116"/>
      <c r="L70" s="118"/>
      <c r="M70" s="30" t="str">
        <f>IF(Inventory_List_Table341115109[[#This Row],[Q]]&lt;0.1, " ", Inventory_List_Table341115109[[#This Row],[Q]]*Inventory_List_Table341115109[[#This Row],[PRICE]])</f>
        <v xml:space="preserve"> </v>
      </c>
      <c r="N70" s="35" t="str">
        <f>IF(Inventory_List_Table341115109[[#This Row],[Q]]&lt;0.1, " ", Inventory_List_Table341115109[[#This Row],[KG]]*2.20462)</f>
        <v xml:space="preserve"> </v>
      </c>
      <c r="O70" s="35" t="str">
        <f>IF(Inventory_List_Table341115109[[#This Row],[Q]]&lt;0.1, " ",Inventory_List_Table341115109[[#This Row],[H CM]]/2.54)</f>
        <v xml:space="preserve"> </v>
      </c>
      <c r="P70" s="35" t="str">
        <f>IF(Inventory_List_Table341115109[[#This Row],[Q]]&lt;0.1, " ",Inventory_List_Table341115109[[#This Row],[W CM]]/2.54)</f>
        <v xml:space="preserve"> </v>
      </c>
      <c r="Q70" s="35" t="str">
        <f>IF(Inventory_List_Table341115109[[#This Row],[Q]]&lt;0.1, " ",Inventory_List_Table341115109[[#This Row],[D CM ]]/2.54)</f>
        <v xml:space="preserve"> </v>
      </c>
      <c r="R70" s="30" t="str">
        <f>IF(Inventory_List_Table341115109[[#This Row],[Q]]&lt;0.1, " ",Inventory_List_Table341115109[[#This Row],[PRICE]]/$L$1)</f>
        <v xml:space="preserve"> </v>
      </c>
      <c r="S7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0" s="30" t="str">
        <f>IF(Inventory_List_Table341115109[[#This Row],[Q]]&lt;0.1, " ",Inventory_List_Table341115109[[#This Row],[AQ RND USD]]*1.4)</f>
        <v xml:space="preserve"> </v>
      </c>
      <c r="U7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0" s="30" t="str">
        <f>IF(Inventory_List_Table341115109[[#This Row],[Q]]&lt;0.1, " ",Inventory_List_Table341115109[[#This Row],[LND RND USD]]*12)</f>
        <v xml:space="preserve"> </v>
      </c>
      <c r="W70" s="30" t="str">
        <f>IF(Inventory_List_Table341115109[[#This Row],[Q]]&lt;0.1, " ",Inventory_List_Table341115109[[#This Row],[AQ USD]])</f>
        <v xml:space="preserve"> </v>
      </c>
      <c r="X7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0" s="30" t="str">
        <f>IF(Inventory_List_Table341115109[[#This Row],[Q]]&lt;0.1, " ",Inventory_List_Table341115109[[#This Row],[PRICE]]/Z70*10000)</f>
        <v xml:space="preserve"> </v>
      </c>
      <c r="AB70" s="120"/>
      <c r="AC70" s="1"/>
      <c r="AD70" s="1"/>
    </row>
    <row r="71" spans="1:30" ht="24" customHeight="1" x14ac:dyDescent="0.3">
      <c r="A71" s="113">
        <v>69</v>
      </c>
      <c r="B71" s="1"/>
      <c r="C71" s="116"/>
      <c r="D71" s="116"/>
      <c r="E71" s="116"/>
      <c r="F71" s="38" t="str">
        <f>IF(Inventory_List_Table341115109[[#This Row],[Q]]&lt;0.1, " ",$A$1&amp;$D$1&amp;Inventory_List_Table341115109[[#This Row],['#]]&amp;Inventory_List_Table341115109[[#This Row],[LC]])</f>
        <v xml:space="preserve"> </v>
      </c>
      <c r="G71" s="116"/>
      <c r="H71" s="116"/>
      <c r="I71" s="116"/>
      <c r="J71" s="116"/>
      <c r="K71" s="116"/>
      <c r="L71" s="118"/>
      <c r="M71" s="30" t="str">
        <f>IF(Inventory_List_Table341115109[[#This Row],[Q]]&lt;0.1, " ", Inventory_List_Table341115109[[#This Row],[Q]]*Inventory_List_Table341115109[[#This Row],[PRICE]])</f>
        <v xml:space="preserve"> </v>
      </c>
      <c r="N71" s="35" t="str">
        <f>IF(Inventory_List_Table341115109[[#This Row],[Q]]&lt;0.1, " ", Inventory_List_Table341115109[[#This Row],[KG]]*2.20462)</f>
        <v xml:space="preserve"> </v>
      </c>
      <c r="O71" s="35" t="str">
        <f>IF(Inventory_List_Table341115109[[#This Row],[Q]]&lt;0.1, " ",Inventory_List_Table341115109[[#This Row],[H CM]]/2.54)</f>
        <v xml:space="preserve"> </v>
      </c>
      <c r="P71" s="35" t="str">
        <f>IF(Inventory_List_Table341115109[[#This Row],[Q]]&lt;0.1, " ",Inventory_List_Table341115109[[#This Row],[W CM]]/2.54)</f>
        <v xml:space="preserve"> </v>
      </c>
      <c r="Q71" s="35" t="str">
        <f>IF(Inventory_List_Table341115109[[#This Row],[Q]]&lt;0.1, " ",Inventory_List_Table341115109[[#This Row],[D CM ]]/2.54)</f>
        <v xml:space="preserve"> </v>
      </c>
      <c r="R71" s="30" t="str">
        <f>IF(Inventory_List_Table341115109[[#This Row],[Q]]&lt;0.1, " ",Inventory_List_Table341115109[[#This Row],[PRICE]]/$L$1)</f>
        <v xml:space="preserve"> </v>
      </c>
      <c r="S7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1" s="30" t="str">
        <f>IF(Inventory_List_Table341115109[[#This Row],[Q]]&lt;0.1, " ",Inventory_List_Table341115109[[#This Row],[AQ RND USD]]*1.4)</f>
        <v xml:space="preserve"> </v>
      </c>
      <c r="U7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1" s="30" t="str">
        <f>IF(Inventory_List_Table341115109[[#This Row],[Q]]&lt;0.1, " ",Inventory_List_Table341115109[[#This Row],[LND RND USD]]*12)</f>
        <v xml:space="preserve"> </v>
      </c>
      <c r="W71" s="30" t="str">
        <f>IF(Inventory_List_Table341115109[[#This Row],[Q]]&lt;0.1, " ",Inventory_List_Table341115109[[#This Row],[AQ USD]])</f>
        <v xml:space="preserve"> </v>
      </c>
      <c r="X7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1" s="30" t="str">
        <f>IF(Inventory_List_Table341115109[[#This Row],[Q]]&lt;0.1, " ",Inventory_List_Table341115109[[#This Row],[PRICE]]/Z71*10000)</f>
        <v xml:space="preserve"> </v>
      </c>
      <c r="AB71" s="120"/>
      <c r="AC71" s="1"/>
      <c r="AD71" s="1"/>
    </row>
    <row r="72" spans="1:30" ht="24" customHeight="1" x14ac:dyDescent="0.3">
      <c r="A72" s="113">
        <v>70</v>
      </c>
      <c r="B72" s="1"/>
      <c r="C72" s="116"/>
      <c r="D72" s="116"/>
      <c r="E72" s="116"/>
      <c r="F72" s="38" t="str">
        <f>IF(Inventory_List_Table341115109[[#This Row],[Q]]&lt;0.1, " ",$A$1&amp;$D$1&amp;Inventory_List_Table341115109[[#This Row],['#]]&amp;Inventory_List_Table341115109[[#This Row],[LC]])</f>
        <v xml:space="preserve"> </v>
      </c>
      <c r="G72" s="116"/>
      <c r="H72" s="116"/>
      <c r="I72" s="116"/>
      <c r="J72" s="116"/>
      <c r="K72" s="116"/>
      <c r="L72" s="118"/>
      <c r="M72" s="30" t="str">
        <f>IF(Inventory_List_Table341115109[[#This Row],[Q]]&lt;0.1, " ", Inventory_List_Table341115109[[#This Row],[Q]]*Inventory_List_Table341115109[[#This Row],[PRICE]])</f>
        <v xml:space="preserve"> </v>
      </c>
      <c r="N72" s="35" t="str">
        <f>IF(Inventory_List_Table341115109[[#This Row],[Q]]&lt;0.1, " ", Inventory_List_Table341115109[[#This Row],[KG]]*2.20462)</f>
        <v xml:space="preserve"> </v>
      </c>
      <c r="O72" s="35" t="str">
        <f>IF(Inventory_List_Table341115109[[#This Row],[Q]]&lt;0.1, " ",Inventory_List_Table341115109[[#This Row],[H CM]]/2.54)</f>
        <v xml:space="preserve"> </v>
      </c>
      <c r="P72" s="35" t="str">
        <f>IF(Inventory_List_Table341115109[[#This Row],[Q]]&lt;0.1, " ",Inventory_List_Table341115109[[#This Row],[W CM]]/2.54)</f>
        <v xml:space="preserve"> </v>
      </c>
      <c r="Q72" s="35" t="str">
        <f>IF(Inventory_List_Table341115109[[#This Row],[Q]]&lt;0.1, " ",Inventory_List_Table341115109[[#This Row],[D CM ]]/2.54)</f>
        <v xml:space="preserve"> </v>
      </c>
      <c r="R72" s="30" t="str">
        <f>IF(Inventory_List_Table341115109[[#This Row],[Q]]&lt;0.1, " ",Inventory_List_Table341115109[[#This Row],[PRICE]]/$L$1)</f>
        <v xml:space="preserve"> </v>
      </c>
      <c r="S7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2" s="30" t="str">
        <f>IF(Inventory_List_Table341115109[[#This Row],[Q]]&lt;0.1, " ",Inventory_List_Table341115109[[#This Row],[AQ RND USD]]*1.4)</f>
        <v xml:space="preserve"> </v>
      </c>
      <c r="U7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2" s="30" t="str">
        <f>IF(Inventory_List_Table341115109[[#This Row],[Q]]&lt;0.1, " ",Inventory_List_Table341115109[[#This Row],[LND RND USD]]*12)</f>
        <v xml:space="preserve"> </v>
      </c>
      <c r="W72" s="30" t="str">
        <f>IF(Inventory_List_Table341115109[[#This Row],[Q]]&lt;0.1, " ",Inventory_List_Table341115109[[#This Row],[AQ USD]])</f>
        <v xml:space="preserve"> </v>
      </c>
      <c r="X7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2" s="30" t="str">
        <f>IF(Inventory_List_Table341115109[[#This Row],[Q]]&lt;0.1, " ",Inventory_List_Table341115109[[#This Row],[PRICE]]/Z72*10000)</f>
        <v xml:space="preserve"> </v>
      </c>
      <c r="AB72" s="120"/>
      <c r="AC72" s="1"/>
      <c r="AD72" s="1"/>
    </row>
    <row r="73" spans="1:30" ht="24" customHeight="1" x14ac:dyDescent="0.3">
      <c r="A73" s="113">
        <v>71</v>
      </c>
      <c r="B73" s="1"/>
      <c r="C73" s="116"/>
      <c r="D73" s="116"/>
      <c r="E73" s="116"/>
      <c r="F73" s="38" t="str">
        <f>IF(Inventory_List_Table341115109[[#This Row],[Q]]&lt;0.1, " ",$A$1&amp;$D$1&amp;Inventory_List_Table341115109[[#This Row],['#]]&amp;Inventory_List_Table341115109[[#This Row],[LC]])</f>
        <v xml:space="preserve"> </v>
      </c>
      <c r="G73" s="116"/>
      <c r="H73" s="116"/>
      <c r="I73" s="116"/>
      <c r="J73" s="116"/>
      <c r="K73" s="116"/>
      <c r="L73" s="118"/>
      <c r="M73" s="30" t="str">
        <f>IF(Inventory_List_Table341115109[[#This Row],[Q]]&lt;0.1, " ", Inventory_List_Table341115109[[#This Row],[Q]]*Inventory_List_Table341115109[[#This Row],[PRICE]])</f>
        <v xml:space="preserve"> </v>
      </c>
      <c r="N73" s="35" t="str">
        <f>IF(Inventory_List_Table341115109[[#This Row],[Q]]&lt;0.1, " ", Inventory_List_Table341115109[[#This Row],[KG]]*2.20462)</f>
        <v xml:space="preserve"> </v>
      </c>
      <c r="O73" s="35" t="str">
        <f>IF(Inventory_List_Table341115109[[#This Row],[Q]]&lt;0.1, " ",Inventory_List_Table341115109[[#This Row],[H CM]]/2.54)</f>
        <v xml:space="preserve"> </v>
      </c>
      <c r="P73" s="35" t="str">
        <f>IF(Inventory_List_Table341115109[[#This Row],[Q]]&lt;0.1, " ",Inventory_List_Table341115109[[#This Row],[W CM]]/2.54)</f>
        <v xml:space="preserve"> </v>
      </c>
      <c r="Q73" s="35" t="str">
        <f>IF(Inventory_List_Table341115109[[#This Row],[Q]]&lt;0.1, " ",Inventory_List_Table341115109[[#This Row],[D CM ]]/2.54)</f>
        <v xml:space="preserve"> </v>
      </c>
      <c r="R73" s="30" t="str">
        <f>IF(Inventory_List_Table341115109[[#This Row],[Q]]&lt;0.1, " ",Inventory_List_Table341115109[[#This Row],[PRICE]]/$L$1)</f>
        <v xml:space="preserve"> </v>
      </c>
      <c r="S7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3" s="30" t="str">
        <f>IF(Inventory_List_Table341115109[[#This Row],[Q]]&lt;0.1, " ",Inventory_List_Table341115109[[#This Row],[AQ RND USD]]*1.4)</f>
        <v xml:space="preserve"> </v>
      </c>
      <c r="U7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3" s="30" t="str">
        <f>IF(Inventory_List_Table341115109[[#This Row],[Q]]&lt;0.1, " ",Inventory_List_Table341115109[[#This Row],[LND RND USD]]*12)</f>
        <v xml:space="preserve"> </v>
      </c>
      <c r="W73" s="30" t="str">
        <f>IF(Inventory_List_Table341115109[[#This Row],[Q]]&lt;0.1, " ",Inventory_List_Table341115109[[#This Row],[AQ USD]])</f>
        <v xml:space="preserve"> </v>
      </c>
      <c r="X7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3" s="30" t="str">
        <f>IF(Inventory_List_Table341115109[[#This Row],[Q]]&lt;0.1, " ",Inventory_List_Table341115109[[#This Row],[PRICE]]/Z73*10000)</f>
        <v xml:space="preserve"> </v>
      </c>
      <c r="AB73" s="120"/>
      <c r="AC73" s="1"/>
      <c r="AD73" s="1"/>
    </row>
    <row r="74" spans="1:30" ht="24" customHeight="1" x14ac:dyDescent="0.3">
      <c r="A74" s="113">
        <v>72</v>
      </c>
      <c r="B74" s="1"/>
      <c r="C74" s="116"/>
      <c r="D74" s="116"/>
      <c r="E74" s="116"/>
      <c r="F74" s="38" t="str">
        <f>IF(Inventory_List_Table341115109[[#This Row],[Q]]&lt;0.1, " ",$A$1&amp;$D$1&amp;Inventory_List_Table341115109[[#This Row],['#]]&amp;Inventory_List_Table341115109[[#This Row],[LC]])</f>
        <v xml:space="preserve"> </v>
      </c>
      <c r="G74" s="116"/>
      <c r="H74" s="116"/>
      <c r="I74" s="116"/>
      <c r="J74" s="116"/>
      <c r="K74" s="116"/>
      <c r="L74" s="118"/>
      <c r="M74" s="30" t="str">
        <f>IF(Inventory_List_Table341115109[[#This Row],[Q]]&lt;0.1, " ", Inventory_List_Table341115109[[#This Row],[Q]]*Inventory_List_Table341115109[[#This Row],[PRICE]])</f>
        <v xml:space="preserve"> </v>
      </c>
      <c r="N74" s="35" t="str">
        <f>IF(Inventory_List_Table341115109[[#This Row],[Q]]&lt;0.1, " ", Inventory_List_Table341115109[[#This Row],[KG]]*2.20462)</f>
        <v xml:space="preserve"> </v>
      </c>
      <c r="O74" s="35" t="str">
        <f>IF(Inventory_List_Table341115109[[#This Row],[Q]]&lt;0.1, " ",Inventory_List_Table341115109[[#This Row],[H CM]]/2.54)</f>
        <v xml:space="preserve"> </v>
      </c>
      <c r="P74" s="35" t="str">
        <f>IF(Inventory_List_Table341115109[[#This Row],[Q]]&lt;0.1, " ",Inventory_List_Table341115109[[#This Row],[W CM]]/2.54)</f>
        <v xml:space="preserve"> </v>
      </c>
      <c r="Q74" s="35" t="str">
        <f>IF(Inventory_List_Table341115109[[#This Row],[Q]]&lt;0.1, " ",Inventory_List_Table341115109[[#This Row],[D CM ]]/2.54)</f>
        <v xml:space="preserve"> </v>
      </c>
      <c r="R74" s="30" t="str">
        <f>IF(Inventory_List_Table341115109[[#This Row],[Q]]&lt;0.1, " ",Inventory_List_Table341115109[[#This Row],[PRICE]]/$L$1)</f>
        <v xml:space="preserve"> </v>
      </c>
      <c r="S7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4" s="30" t="str">
        <f>IF(Inventory_List_Table341115109[[#This Row],[Q]]&lt;0.1, " ",Inventory_List_Table341115109[[#This Row],[AQ RND USD]]*1.4)</f>
        <v xml:space="preserve"> </v>
      </c>
      <c r="U7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4" s="30" t="str">
        <f>IF(Inventory_List_Table341115109[[#This Row],[Q]]&lt;0.1, " ",Inventory_List_Table341115109[[#This Row],[LND RND USD]]*12)</f>
        <v xml:space="preserve"> </v>
      </c>
      <c r="W74" s="30" t="str">
        <f>IF(Inventory_List_Table341115109[[#This Row],[Q]]&lt;0.1, " ",Inventory_List_Table341115109[[#This Row],[AQ USD]])</f>
        <v xml:space="preserve"> </v>
      </c>
      <c r="X7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4" s="30" t="str">
        <f>IF(Inventory_List_Table341115109[[#This Row],[Q]]&lt;0.1, " ",Inventory_List_Table341115109[[#This Row],[PRICE]]/Z74*10000)</f>
        <v xml:space="preserve"> </v>
      </c>
      <c r="AB74" s="120"/>
      <c r="AC74" s="1"/>
      <c r="AD74" s="1"/>
    </row>
    <row r="75" spans="1:30" ht="24" customHeight="1" x14ac:dyDescent="0.3">
      <c r="A75" s="113">
        <v>73</v>
      </c>
      <c r="B75" s="1"/>
      <c r="C75" s="116"/>
      <c r="D75" s="116"/>
      <c r="E75" s="116"/>
      <c r="F75" s="38" t="str">
        <f>IF(Inventory_List_Table341115109[[#This Row],[Q]]&lt;0.1, " ",$A$1&amp;$D$1&amp;Inventory_List_Table341115109[[#This Row],['#]]&amp;Inventory_List_Table341115109[[#This Row],[LC]])</f>
        <v xml:space="preserve"> </v>
      </c>
      <c r="G75" s="116"/>
      <c r="H75" s="116"/>
      <c r="I75" s="116"/>
      <c r="J75" s="116"/>
      <c r="K75" s="116"/>
      <c r="L75" s="118"/>
      <c r="M75" s="30" t="str">
        <f>IF(Inventory_List_Table341115109[[#This Row],[Q]]&lt;0.1, " ", Inventory_List_Table341115109[[#This Row],[Q]]*Inventory_List_Table341115109[[#This Row],[PRICE]])</f>
        <v xml:space="preserve"> </v>
      </c>
      <c r="N75" s="35" t="str">
        <f>IF(Inventory_List_Table341115109[[#This Row],[Q]]&lt;0.1, " ", Inventory_List_Table341115109[[#This Row],[KG]]*2.20462)</f>
        <v xml:space="preserve"> </v>
      </c>
      <c r="O75" s="35" t="str">
        <f>IF(Inventory_List_Table341115109[[#This Row],[Q]]&lt;0.1, " ",Inventory_List_Table341115109[[#This Row],[H CM]]/2.54)</f>
        <v xml:space="preserve"> </v>
      </c>
      <c r="P75" s="35" t="str">
        <f>IF(Inventory_List_Table341115109[[#This Row],[Q]]&lt;0.1, " ",Inventory_List_Table341115109[[#This Row],[W CM]]/2.54)</f>
        <v xml:space="preserve"> </v>
      </c>
      <c r="Q75" s="35" t="str">
        <f>IF(Inventory_List_Table341115109[[#This Row],[Q]]&lt;0.1, " ",Inventory_List_Table341115109[[#This Row],[D CM ]]/2.54)</f>
        <v xml:space="preserve"> </v>
      </c>
      <c r="R75" s="30" t="str">
        <f>IF(Inventory_List_Table341115109[[#This Row],[Q]]&lt;0.1, " ",Inventory_List_Table341115109[[#This Row],[PRICE]]/$L$1)</f>
        <v xml:space="preserve"> </v>
      </c>
      <c r="S7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5" s="30" t="str">
        <f>IF(Inventory_List_Table341115109[[#This Row],[Q]]&lt;0.1, " ",Inventory_List_Table341115109[[#This Row],[AQ RND USD]]*1.4)</f>
        <v xml:space="preserve"> </v>
      </c>
      <c r="U7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5" s="30" t="str">
        <f>IF(Inventory_List_Table341115109[[#This Row],[Q]]&lt;0.1, " ",Inventory_List_Table341115109[[#This Row],[LND RND USD]]*12)</f>
        <v xml:space="preserve"> </v>
      </c>
      <c r="W75" s="30" t="str">
        <f>IF(Inventory_List_Table341115109[[#This Row],[Q]]&lt;0.1, " ",Inventory_List_Table341115109[[#This Row],[AQ USD]])</f>
        <v xml:space="preserve"> </v>
      </c>
      <c r="X7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5" s="30" t="str">
        <f>IF(Inventory_List_Table341115109[[#This Row],[Q]]&lt;0.1, " ",Inventory_List_Table341115109[[#This Row],[PRICE]]/Z75*10000)</f>
        <v xml:space="preserve"> </v>
      </c>
      <c r="AB75" s="120"/>
      <c r="AC75" s="1"/>
      <c r="AD75" s="1"/>
    </row>
    <row r="76" spans="1:30" ht="24" customHeight="1" x14ac:dyDescent="0.3">
      <c r="A76" s="113">
        <v>74</v>
      </c>
      <c r="B76" s="1"/>
      <c r="C76" s="116"/>
      <c r="D76" s="116"/>
      <c r="E76" s="116"/>
      <c r="F76" s="38" t="str">
        <f>IF(Inventory_List_Table341115109[[#This Row],[Q]]&lt;0.1, " ",$A$1&amp;$D$1&amp;Inventory_List_Table341115109[[#This Row],['#]]&amp;Inventory_List_Table341115109[[#This Row],[LC]])</f>
        <v xml:space="preserve"> </v>
      </c>
      <c r="G76" s="116"/>
      <c r="H76" s="116"/>
      <c r="I76" s="116"/>
      <c r="J76" s="116"/>
      <c r="K76" s="116"/>
      <c r="L76" s="118"/>
      <c r="M76" s="30" t="str">
        <f>IF(Inventory_List_Table341115109[[#This Row],[Q]]&lt;0.1, " ", Inventory_List_Table341115109[[#This Row],[Q]]*Inventory_List_Table341115109[[#This Row],[PRICE]])</f>
        <v xml:space="preserve"> </v>
      </c>
      <c r="N76" s="35" t="str">
        <f>IF(Inventory_List_Table341115109[[#This Row],[Q]]&lt;0.1, " ", Inventory_List_Table341115109[[#This Row],[KG]]*2.20462)</f>
        <v xml:space="preserve"> </v>
      </c>
      <c r="O76" s="35" t="str">
        <f>IF(Inventory_List_Table341115109[[#This Row],[Q]]&lt;0.1, " ",Inventory_List_Table341115109[[#This Row],[H CM]]/2.54)</f>
        <v xml:space="preserve"> </v>
      </c>
      <c r="P76" s="35" t="str">
        <f>IF(Inventory_List_Table341115109[[#This Row],[Q]]&lt;0.1, " ",Inventory_List_Table341115109[[#This Row],[W CM]]/2.54)</f>
        <v xml:space="preserve"> </v>
      </c>
      <c r="Q76" s="35" t="str">
        <f>IF(Inventory_List_Table341115109[[#This Row],[Q]]&lt;0.1, " ",Inventory_List_Table341115109[[#This Row],[D CM ]]/2.54)</f>
        <v xml:space="preserve"> </v>
      </c>
      <c r="R76" s="30" t="str">
        <f>IF(Inventory_List_Table341115109[[#This Row],[Q]]&lt;0.1, " ",Inventory_List_Table341115109[[#This Row],[PRICE]]/$L$1)</f>
        <v xml:space="preserve"> </v>
      </c>
      <c r="S7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6" s="30" t="str">
        <f>IF(Inventory_List_Table341115109[[#This Row],[Q]]&lt;0.1, " ",Inventory_List_Table341115109[[#This Row],[AQ RND USD]]*1.4)</f>
        <v xml:space="preserve"> </v>
      </c>
      <c r="U7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6" s="30" t="str">
        <f>IF(Inventory_List_Table341115109[[#This Row],[Q]]&lt;0.1, " ",Inventory_List_Table341115109[[#This Row],[LND RND USD]]*12)</f>
        <v xml:space="preserve"> </v>
      </c>
      <c r="W76" s="30" t="str">
        <f>IF(Inventory_List_Table341115109[[#This Row],[Q]]&lt;0.1, " ",Inventory_List_Table341115109[[#This Row],[AQ USD]])</f>
        <v xml:space="preserve"> </v>
      </c>
      <c r="X7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6" s="30" t="str">
        <f>IF(Inventory_List_Table341115109[[#This Row],[Q]]&lt;0.1, " ",Inventory_List_Table341115109[[#This Row],[PRICE]]/Z76*10000)</f>
        <v xml:space="preserve"> </v>
      </c>
      <c r="AB76" s="120"/>
      <c r="AC76" s="1"/>
      <c r="AD76" s="1"/>
    </row>
    <row r="77" spans="1:30" ht="24" customHeight="1" x14ac:dyDescent="0.3">
      <c r="A77" s="113">
        <v>75</v>
      </c>
      <c r="B77" s="1"/>
      <c r="C77" s="116"/>
      <c r="D77" s="116"/>
      <c r="E77" s="116"/>
      <c r="F77" s="38" t="str">
        <f>IF(Inventory_List_Table341115109[[#This Row],[Q]]&lt;0.1, " ",$A$1&amp;$D$1&amp;Inventory_List_Table341115109[[#This Row],['#]]&amp;Inventory_List_Table341115109[[#This Row],[LC]])</f>
        <v xml:space="preserve"> </v>
      </c>
      <c r="G77" s="116"/>
      <c r="H77" s="116"/>
      <c r="I77" s="116"/>
      <c r="J77" s="116"/>
      <c r="K77" s="116"/>
      <c r="L77" s="118"/>
      <c r="M77" s="30" t="str">
        <f>IF(Inventory_List_Table341115109[[#This Row],[Q]]&lt;0.1, " ", Inventory_List_Table341115109[[#This Row],[Q]]*Inventory_List_Table341115109[[#This Row],[PRICE]])</f>
        <v xml:space="preserve"> </v>
      </c>
      <c r="N77" s="35" t="str">
        <f>IF(Inventory_List_Table341115109[[#This Row],[Q]]&lt;0.1, " ", Inventory_List_Table341115109[[#This Row],[KG]]*2.20462)</f>
        <v xml:space="preserve"> </v>
      </c>
      <c r="O77" s="35" t="str">
        <f>IF(Inventory_List_Table341115109[[#This Row],[Q]]&lt;0.1, " ",Inventory_List_Table341115109[[#This Row],[H CM]]/2.54)</f>
        <v xml:space="preserve"> </v>
      </c>
      <c r="P77" s="35" t="str">
        <f>IF(Inventory_List_Table341115109[[#This Row],[Q]]&lt;0.1, " ",Inventory_List_Table341115109[[#This Row],[W CM]]/2.54)</f>
        <v xml:space="preserve"> </v>
      </c>
      <c r="Q77" s="35" t="str">
        <f>IF(Inventory_List_Table341115109[[#This Row],[Q]]&lt;0.1, " ",Inventory_List_Table341115109[[#This Row],[D CM ]]/2.54)</f>
        <v xml:space="preserve"> </v>
      </c>
      <c r="R77" s="30" t="str">
        <f>IF(Inventory_List_Table341115109[[#This Row],[Q]]&lt;0.1, " ",Inventory_List_Table341115109[[#This Row],[PRICE]]/$L$1)</f>
        <v xml:space="preserve"> </v>
      </c>
      <c r="S7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7" s="30" t="str">
        <f>IF(Inventory_List_Table341115109[[#This Row],[Q]]&lt;0.1, " ",Inventory_List_Table341115109[[#This Row],[AQ RND USD]]*1.4)</f>
        <v xml:space="preserve"> </v>
      </c>
      <c r="U7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7" s="30" t="str">
        <f>IF(Inventory_List_Table341115109[[#This Row],[Q]]&lt;0.1, " ",Inventory_List_Table341115109[[#This Row],[LND RND USD]]*12)</f>
        <v xml:space="preserve"> </v>
      </c>
      <c r="W77" s="30" t="str">
        <f>IF(Inventory_List_Table341115109[[#This Row],[Q]]&lt;0.1, " ",Inventory_List_Table341115109[[#This Row],[AQ USD]])</f>
        <v xml:space="preserve"> </v>
      </c>
      <c r="X7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7" s="30" t="str">
        <f>IF(Inventory_List_Table341115109[[#This Row],[Q]]&lt;0.1, " ",Inventory_List_Table341115109[[#This Row],[PRICE]]/Z77*10000)</f>
        <v xml:space="preserve"> </v>
      </c>
      <c r="AB77" s="120"/>
      <c r="AC77" s="1"/>
      <c r="AD77" s="1"/>
    </row>
    <row r="78" spans="1:30" ht="24" customHeight="1" x14ac:dyDescent="0.3">
      <c r="A78" s="113">
        <v>76</v>
      </c>
      <c r="B78" s="1"/>
      <c r="C78" s="116"/>
      <c r="D78" s="116"/>
      <c r="E78" s="116"/>
      <c r="F78" s="38" t="str">
        <f>IF(Inventory_List_Table341115109[[#This Row],[Q]]&lt;0.1, " ",$A$1&amp;$D$1&amp;Inventory_List_Table341115109[[#This Row],['#]]&amp;Inventory_List_Table341115109[[#This Row],[LC]])</f>
        <v xml:space="preserve"> </v>
      </c>
      <c r="G78" s="116"/>
      <c r="H78" s="116"/>
      <c r="I78" s="116"/>
      <c r="J78" s="116"/>
      <c r="K78" s="116"/>
      <c r="L78" s="118"/>
      <c r="M78" s="30" t="str">
        <f>IF(Inventory_List_Table341115109[[#This Row],[Q]]&lt;0.1, " ", Inventory_List_Table341115109[[#This Row],[Q]]*Inventory_List_Table341115109[[#This Row],[PRICE]])</f>
        <v xml:space="preserve"> </v>
      </c>
      <c r="N78" s="35" t="str">
        <f>IF(Inventory_List_Table341115109[[#This Row],[Q]]&lt;0.1, " ", Inventory_List_Table341115109[[#This Row],[KG]]*2.20462)</f>
        <v xml:space="preserve"> </v>
      </c>
      <c r="O78" s="35" t="str">
        <f>IF(Inventory_List_Table341115109[[#This Row],[Q]]&lt;0.1, " ",Inventory_List_Table341115109[[#This Row],[H CM]]/2.54)</f>
        <v xml:space="preserve"> </v>
      </c>
      <c r="P78" s="35" t="str">
        <f>IF(Inventory_List_Table341115109[[#This Row],[Q]]&lt;0.1, " ",Inventory_List_Table341115109[[#This Row],[W CM]]/2.54)</f>
        <v xml:space="preserve"> </v>
      </c>
      <c r="Q78" s="35" t="str">
        <f>IF(Inventory_List_Table341115109[[#This Row],[Q]]&lt;0.1, " ",Inventory_List_Table341115109[[#This Row],[D CM ]]/2.54)</f>
        <v xml:space="preserve"> </v>
      </c>
      <c r="R78" s="30" t="str">
        <f>IF(Inventory_List_Table341115109[[#This Row],[Q]]&lt;0.1, " ",Inventory_List_Table341115109[[#This Row],[PRICE]]/$L$1)</f>
        <v xml:space="preserve"> </v>
      </c>
      <c r="S7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8" s="30" t="str">
        <f>IF(Inventory_List_Table341115109[[#This Row],[Q]]&lt;0.1, " ",Inventory_List_Table341115109[[#This Row],[AQ RND USD]]*1.4)</f>
        <v xml:space="preserve"> </v>
      </c>
      <c r="U7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8" s="30" t="str">
        <f>IF(Inventory_List_Table341115109[[#This Row],[Q]]&lt;0.1, " ",Inventory_List_Table341115109[[#This Row],[LND RND USD]]*12)</f>
        <v xml:space="preserve"> </v>
      </c>
      <c r="W78" s="30" t="str">
        <f>IF(Inventory_List_Table341115109[[#This Row],[Q]]&lt;0.1, " ",Inventory_List_Table341115109[[#This Row],[AQ USD]])</f>
        <v xml:space="preserve"> </v>
      </c>
      <c r="X7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8" s="30" t="str">
        <f>IF(Inventory_List_Table341115109[[#This Row],[Q]]&lt;0.1, " ",Inventory_List_Table341115109[[#This Row],[PRICE]]/Z78*10000)</f>
        <v xml:space="preserve"> </v>
      </c>
      <c r="AB78" s="120"/>
      <c r="AC78" s="1"/>
      <c r="AD78" s="1"/>
    </row>
    <row r="79" spans="1:30" ht="24" customHeight="1" x14ac:dyDescent="0.3">
      <c r="A79" s="113">
        <v>77</v>
      </c>
      <c r="B79" s="1"/>
      <c r="C79" s="116"/>
      <c r="D79" s="116"/>
      <c r="E79" s="116"/>
      <c r="F79" s="38" t="str">
        <f>IF(Inventory_List_Table341115109[[#This Row],[Q]]&lt;0.1, " ",$A$1&amp;$D$1&amp;Inventory_List_Table341115109[[#This Row],['#]]&amp;Inventory_List_Table341115109[[#This Row],[LC]])</f>
        <v xml:space="preserve"> </v>
      </c>
      <c r="G79" s="116"/>
      <c r="H79" s="116"/>
      <c r="I79" s="116"/>
      <c r="J79" s="116"/>
      <c r="K79" s="116"/>
      <c r="L79" s="118"/>
      <c r="M79" s="30" t="str">
        <f>IF(Inventory_List_Table341115109[[#This Row],[Q]]&lt;0.1, " ", Inventory_List_Table341115109[[#This Row],[Q]]*Inventory_List_Table341115109[[#This Row],[PRICE]])</f>
        <v xml:space="preserve"> </v>
      </c>
      <c r="N79" s="35" t="str">
        <f>IF(Inventory_List_Table341115109[[#This Row],[Q]]&lt;0.1, " ", Inventory_List_Table341115109[[#This Row],[KG]]*2.20462)</f>
        <v xml:space="preserve"> </v>
      </c>
      <c r="O79" s="35" t="str">
        <f>IF(Inventory_List_Table341115109[[#This Row],[Q]]&lt;0.1, " ",Inventory_List_Table341115109[[#This Row],[H CM]]/2.54)</f>
        <v xml:space="preserve"> </v>
      </c>
      <c r="P79" s="35" t="str">
        <f>IF(Inventory_List_Table341115109[[#This Row],[Q]]&lt;0.1, " ",Inventory_List_Table341115109[[#This Row],[W CM]]/2.54)</f>
        <v xml:space="preserve"> </v>
      </c>
      <c r="Q79" s="35" t="str">
        <f>IF(Inventory_List_Table341115109[[#This Row],[Q]]&lt;0.1, " ",Inventory_List_Table341115109[[#This Row],[D CM ]]/2.54)</f>
        <v xml:space="preserve"> </v>
      </c>
      <c r="R79" s="30" t="str">
        <f>IF(Inventory_List_Table341115109[[#This Row],[Q]]&lt;0.1, " ",Inventory_List_Table341115109[[#This Row],[PRICE]]/$L$1)</f>
        <v xml:space="preserve"> </v>
      </c>
      <c r="S7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79" s="30" t="str">
        <f>IF(Inventory_List_Table341115109[[#This Row],[Q]]&lt;0.1, " ",Inventory_List_Table341115109[[#This Row],[AQ RND USD]]*1.4)</f>
        <v xml:space="preserve"> </v>
      </c>
      <c r="U7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79" s="30" t="str">
        <f>IF(Inventory_List_Table341115109[[#This Row],[Q]]&lt;0.1, " ",Inventory_List_Table341115109[[#This Row],[LND RND USD]]*12)</f>
        <v xml:space="preserve"> </v>
      </c>
      <c r="W79" s="30" t="str">
        <f>IF(Inventory_List_Table341115109[[#This Row],[Q]]&lt;0.1, " ",Inventory_List_Table341115109[[#This Row],[AQ USD]])</f>
        <v xml:space="preserve"> </v>
      </c>
      <c r="X7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7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7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79" s="30" t="str">
        <f>IF(Inventory_List_Table341115109[[#This Row],[Q]]&lt;0.1, " ",Inventory_List_Table341115109[[#This Row],[PRICE]]/Z79*10000)</f>
        <v xml:space="preserve"> </v>
      </c>
      <c r="AB79" s="120"/>
      <c r="AC79" s="1"/>
      <c r="AD79" s="1"/>
    </row>
    <row r="80" spans="1:30" ht="24" customHeight="1" x14ac:dyDescent="0.3">
      <c r="A80" s="113">
        <v>78</v>
      </c>
      <c r="B80" s="1"/>
      <c r="C80" s="116"/>
      <c r="D80" s="116"/>
      <c r="E80" s="116"/>
      <c r="F80" s="38" t="str">
        <f>IF(Inventory_List_Table341115109[[#This Row],[Q]]&lt;0.1, " ",$A$1&amp;$D$1&amp;Inventory_List_Table341115109[[#This Row],['#]]&amp;Inventory_List_Table341115109[[#This Row],[LC]])</f>
        <v xml:space="preserve"> </v>
      </c>
      <c r="G80" s="116"/>
      <c r="H80" s="116"/>
      <c r="I80" s="116"/>
      <c r="J80" s="116"/>
      <c r="K80" s="116"/>
      <c r="L80" s="118"/>
      <c r="M80" s="30" t="str">
        <f>IF(Inventory_List_Table341115109[[#This Row],[Q]]&lt;0.1, " ", Inventory_List_Table341115109[[#This Row],[Q]]*Inventory_List_Table341115109[[#This Row],[PRICE]])</f>
        <v xml:space="preserve"> </v>
      </c>
      <c r="N80" s="35" t="str">
        <f>IF(Inventory_List_Table341115109[[#This Row],[Q]]&lt;0.1, " ", Inventory_List_Table341115109[[#This Row],[KG]]*2.20462)</f>
        <v xml:space="preserve"> </v>
      </c>
      <c r="O80" s="35" t="str">
        <f>IF(Inventory_List_Table341115109[[#This Row],[Q]]&lt;0.1, " ",Inventory_List_Table341115109[[#This Row],[H CM]]/2.54)</f>
        <v xml:space="preserve"> </v>
      </c>
      <c r="P80" s="35" t="str">
        <f>IF(Inventory_List_Table341115109[[#This Row],[Q]]&lt;0.1, " ",Inventory_List_Table341115109[[#This Row],[W CM]]/2.54)</f>
        <v xml:space="preserve"> </v>
      </c>
      <c r="Q80" s="35" t="str">
        <f>IF(Inventory_List_Table341115109[[#This Row],[Q]]&lt;0.1, " ",Inventory_List_Table341115109[[#This Row],[D CM ]]/2.54)</f>
        <v xml:space="preserve"> </v>
      </c>
      <c r="R80" s="30" t="str">
        <f>IF(Inventory_List_Table341115109[[#This Row],[Q]]&lt;0.1, " ",Inventory_List_Table341115109[[#This Row],[PRICE]]/$L$1)</f>
        <v xml:space="preserve"> </v>
      </c>
      <c r="S8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0" s="30" t="str">
        <f>IF(Inventory_List_Table341115109[[#This Row],[Q]]&lt;0.1, " ",Inventory_List_Table341115109[[#This Row],[AQ RND USD]]*1.4)</f>
        <v xml:space="preserve"> </v>
      </c>
      <c r="U8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0" s="30" t="str">
        <f>IF(Inventory_List_Table341115109[[#This Row],[Q]]&lt;0.1, " ",Inventory_List_Table341115109[[#This Row],[LND RND USD]]*12)</f>
        <v xml:space="preserve"> </v>
      </c>
      <c r="W80" s="30" t="str">
        <f>IF(Inventory_List_Table341115109[[#This Row],[Q]]&lt;0.1, " ",Inventory_List_Table341115109[[#This Row],[AQ USD]])</f>
        <v xml:space="preserve"> </v>
      </c>
      <c r="X8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0" s="30" t="str">
        <f>IF(Inventory_List_Table341115109[[#This Row],[Q]]&lt;0.1, " ",Inventory_List_Table341115109[[#This Row],[PRICE]]/Z80*10000)</f>
        <v xml:space="preserve"> </v>
      </c>
      <c r="AB80" s="120"/>
      <c r="AC80" s="1"/>
      <c r="AD80" s="1"/>
    </row>
    <row r="81" spans="1:30" ht="24" customHeight="1" x14ac:dyDescent="0.3">
      <c r="A81" s="113">
        <v>79</v>
      </c>
      <c r="B81" s="1"/>
      <c r="C81" s="116"/>
      <c r="D81" s="116"/>
      <c r="E81" s="116"/>
      <c r="F81" s="38" t="str">
        <f>IF(Inventory_List_Table341115109[[#This Row],[Q]]&lt;0.1, " ",$A$1&amp;$D$1&amp;Inventory_List_Table341115109[[#This Row],['#]]&amp;Inventory_List_Table341115109[[#This Row],[LC]])</f>
        <v xml:space="preserve"> </v>
      </c>
      <c r="G81" s="116"/>
      <c r="H81" s="116"/>
      <c r="I81" s="116"/>
      <c r="J81" s="116"/>
      <c r="K81" s="116"/>
      <c r="L81" s="118"/>
      <c r="M81" s="30" t="str">
        <f>IF(Inventory_List_Table341115109[[#This Row],[Q]]&lt;0.1, " ", Inventory_List_Table341115109[[#This Row],[Q]]*Inventory_List_Table341115109[[#This Row],[PRICE]])</f>
        <v xml:space="preserve"> </v>
      </c>
      <c r="N81" s="35" t="str">
        <f>IF(Inventory_List_Table341115109[[#This Row],[Q]]&lt;0.1, " ", Inventory_List_Table341115109[[#This Row],[KG]]*2.20462)</f>
        <v xml:space="preserve"> </v>
      </c>
      <c r="O81" s="35" t="str">
        <f>IF(Inventory_List_Table341115109[[#This Row],[Q]]&lt;0.1, " ",Inventory_List_Table341115109[[#This Row],[H CM]]/2.54)</f>
        <v xml:space="preserve"> </v>
      </c>
      <c r="P81" s="35" t="str">
        <f>IF(Inventory_List_Table341115109[[#This Row],[Q]]&lt;0.1, " ",Inventory_List_Table341115109[[#This Row],[W CM]]/2.54)</f>
        <v xml:space="preserve"> </v>
      </c>
      <c r="Q81" s="35" t="str">
        <f>IF(Inventory_List_Table341115109[[#This Row],[Q]]&lt;0.1, " ",Inventory_List_Table341115109[[#This Row],[D CM ]]/2.54)</f>
        <v xml:space="preserve"> </v>
      </c>
      <c r="R81" s="30" t="str">
        <f>IF(Inventory_List_Table341115109[[#This Row],[Q]]&lt;0.1, " ",Inventory_List_Table341115109[[#This Row],[PRICE]]/$L$1)</f>
        <v xml:space="preserve"> </v>
      </c>
      <c r="S8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1" s="30" t="str">
        <f>IF(Inventory_List_Table341115109[[#This Row],[Q]]&lt;0.1, " ",Inventory_List_Table341115109[[#This Row],[AQ RND USD]]*1.4)</f>
        <v xml:space="preserve"> </v>
      </c>
      <c r="U8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1" s="30" t="str">
        <f>IF(Inventory_List_Table341115109[[#This Row],[Q]]&lt;0.1, " ",Inventory_List_Table341115109[[#This Row],[LND RND USD]]*12)</f>
        <v xml:space="preserve"> </v>
      </c>
      <c r="W81" s="30" t="str">
        <f>IF(Inventory_List_Table341115109[[#This Row],[Q]]&lt;0.1, " ",Inventory_List_Table341115109[[#This Row],[AQ USD]])</f>
        <v xml:space="preserve"> </v>
      </c>
      <c r="X8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1" s="30" t="str">
        <f>IF(Inventory_List_Table341115109[[#This Row],[Q]]&lt;0.1, " ",Inventory_List_Table341115109[[#This Row],[PRICE]]/Z81*10000)</f>
        <v xml:space="preserve"> </v>
      </c>
      <c r="AB81" s="120"/>
      <c r="AC81" s="1"/>
      <c r="AD81" s="1"/>
    </row>
    <row r="82" spans="1:30" ht="24" customHeight="1" x14ac:dyDescent="0.3">
      <c r="A82" s="113">
        <v>80</v>
      </c>
      <c r="B82" s="1"/>
      <c r="C82" s="116"/>
      <c r="D82" s="116"/>
      <c r="E82" s="116"/>
      <c r="F82" s="38" t="str">
        <f>IF(Inventory_List_Table341115109[[#This Row],[Q]]&lt;0.1, " ",$A$1&amp;$D$1&amp;Inventory_List_Table341115109[[#This Row],['#]]&amp;Inventory_List_Table341115109[[#This Row],[LC]])</f>
        <v xml:space="preserve"> </v>
      </c>
      <c r="G82" s="116"/>
      <c r="H82" s="116"/>
      <c r="I82" s="116"/>
      <c r="J82" s="116"/>
      <c r="K82" s="116"/>
      <c r="L82" s="118"/>
      <c r="M82" s="30" t="str">
        <f>IF(Inventory_List_Table341115109[[#This Row],[Q]]&lt;0.1, " ", Inventory_List_Table341115109[[#This Row],[Q]]*Inventory_List_Table341115109[[#This Row],[PRICE]])</f>
        <v xml:space="preserve"> </v>
      </c>
      <c r="N82" s="35" t="str">
        <f>IF(Inventory_List_Table341115109[[#This Row],[Q]]&lt;0.1, " ", Inventory_List_Table341115109[[#This Row],[KG]]*2.20462)</f>
        <v xml:space="preserve"> </v>
      </c>
      <c r="O82" s="35" t="str">
        <f>IF(Inventory_List_Table341115109[[#This Row],[Q]]&lt;0.1, " ",Inventory_List_Table341115109[[#This Row],[H CM]]/2.54)</f>
        <v xml:space="preserve"> </v>
      </c>
      <c r="P82" s="35" t="str">
        <f>IF(Inventory_List_Table341115109[[#This Row],[Q]]&lt;0.1, " ",Inventory_List_Table341115109[[#This Row],[W CM]]/2.54)</f>
        <v xml:space="preserve"> </v>
      </c>
      <c r="Q82" s="35" t="str">
        <f>IF(Inventory_List_Table341115109[[#This Row],[Q]]&lt;0.1, " ",Inventory_List_Table341115109[[#This Row],[D CM ]]/2.54)</f>
        <v xml:space="preserve"> </v>
      </c>
      <c r="R82" s="30" t="str">
        <f>IF(Inventory_List_Table341115109[[#This Row],[Q]]&lt;0.1, " ",Inventory_List_Table341115109[[#This Row],[PRICE]]/$L$1)</f>
        <v xml:space="preserve"> </v>
      </c>
      <c r="S8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2" s="30" t="str">
        <f>IF(Inventory_List_Table341115109[[#This Row],[Q]]&lt;0.1, " ",Inventory_List_Table341115109[[#This Row],[AQ RND USD]]*1.4)</f>
        <v xml:space="preserve"> </v>
      </c>
      <c r="U8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2" s="30" t="str">
        <f>IF(Inventory_List_Table341115109[[#This Row],[Q]]&lt;0.1, " ",Inventory_List_Table341115109[[#This Row],[LND RND USD]]*12)</f>
        <v xml:space="preserve"> </v>
      </c>
      <c r="W82" s="30" t="str">
        <f>IF(Inventory_List_Table341115109[[#This Row],[Q]]&lt;0.1, " ",Inventory_List_Table341115109[[#This Row],[AQ USD]])</f>
        <v xml:space="preserve"> </v>
      </c>
      <c r="X8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2" s="30" t="str">
        <f>IF(Inventory_List_Table341115109[[#This Row],[Q]]&lt;0.1, " ",Inventory_List_Table341115109[[#This Row],[PRICE]]/Z82*10000)</f>
        <v xml:space="preserve"> </v>
      </c>
      <c r="AB82" s="120"/>
      <c r="AC82" s="1"/>
      <c r="AD82" s="1"/>
    </row>
    <row r="83" spans="1:30" ht="24" customHeight="1" x14ac:dyDescent="0.3">
      <c r="A83" s="113">
        <v>81</v>
      </c>
      <c r="B83" s="1"/>
      <c r="C83" s="116"/>
      <c r="D83" s="116"/>
      <c r="E83" s="116"/>
      <c r="F83" s="38" t="str">
        <f>IF(Inventory_List_Table341115109[[#This Row],[Q]]&lt;0.1, " ",$A$1&amp;$D$1&amp;Inventory_List_Table341115109[[#This Row],['#]]&amp;Inventory_List_Table341115109[[#This Row],[LC]])</f>
        <v xml:space="preserve"> </v>
      </c>
      <c r="G83" s="116"/>
      <c r="H83" s="116"/>
      <c r="I83" s="116"/>
      <c r="J83" s="116"/>
      <c r="K83" s="116"/>
      <c r="L83" s="118"/>
      <c r="M83" s="30" t="str">
        <f>IF(Inventory_List_Table341115109[[#This Row],[Q]]&lt;0.1, " ", Inventory_List_Table341115109[[#This Row],[Q]]*Inventory_List_Table341115109[[#This Row],[PRICE]])</f>
        <v xml:space="preserve"> </v>
      </c>
      <c r="N83" s="35" t="str">
        <f>IF(Inventory_List_Table341115109[[#This Row],[Q]]&lt;0.1, " ", Inventory_List_Table341115109[[#This Row],[KG]]*2.20462)</f>
        <v xml:space="preserve"> </v>
      </c>
      <c r="O83" s="35" t="str">
        <f>IF(Inventory_List_Table341115109[[#This Row],[Q]]&lt;0.1, " ",Inventory_List_Table341115109[[#This Row],[H CM]]/2.54)</f>
        <v xml:space="preserve"> </v>
      </c>
      <c r="P83" s="35" t="str">
        <f>IF(Inventory_List_Table341115109[[#This Row],[Q]]&lt;0.1, " ",Inventory_List_Table341115109[[#This Row],[W CM]]/2.54)</f>
        <v xml:space="preserve"> </v>
      </c>
      <c r="Q83" s="35" t="str">
        <f>IF(Inventory_List_Table341115109[[#This Row],[Q]]&lt;0.1, " ",Inventory_List_Table341115109[[#This Row],[D CM ]]/2.54)</f>
        <v xml:space="preserve"> </v>
      </c>
      <c r="R83" s="30" t="str">
        <f>IF(Inventory_List_Table341115109[[#This Row],[Q]]&lt;0.1, " ",Inventory_List_Table341115109[[#This Row],[PRICE]]/$L$1)</f>
        <v xml:space="preserve"> </v>
      </c>
      <c r="S8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3" s="30" t="str">
        <f>IF(Inventory_List_Table341115109[[#This Row],[Q]]&lt;0.1, " ",Inventory_List_Table341115109[[#This Row],[AQ RND USD]]*1.4)</f>
        <v xml:space="preserve"> </v>
      </c>
      <c r="U8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3" s="30" t="str">
        <f>IF(Inventory_List_Table341115109[[#This Row],[Q]]&lt;0.1, " ",Inventory_List_Table341115109[[#This Row],[LND RND USD]]*12)</f>
        <v xml:space="preserve"> </v>
      </c>
      <c r="W83" s="30" t="str">
        <f>IF(Inventory_List_Table341115109[[#This Row],[Q]]&lt;0.1, " ",Inventory_List_Table341115109[[#This Row],[AQ USD]])</f>
        <v xml:space="preserve"> </v>
      </c>
      <c r="X8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3" s="30" t="str">
        <f>IF(Inventory_List_Table341115109[[#This Row],[Q]]&lt;0.1, " ",Inventory_List_Table341115109[[#This Row],[PRICE]]/Z83*10000)</f>
        <v xml:space="preserve"> </v>
      </c>
      <c r="AB83" s="120"/>
      <c r="AC83" s="1"/>
      <c r="AD83" s="1"/>
    </row>
    <row r="84" spans="1:30" ht="24" customHeight="1" x14ac:dyDescent="0.3">
      <c r="A84" s="113">
        <v>82</v>
      </c>
      <c r="B84" s="1"/>
      <c r="C84" s="116"/>
      <c r="D84" s="116"/>
      <c r="E84" s="116"/>
      <c r="F84" s="38" t="str">
        <f>IF(Inventory_List_Table341115109[[#This Row],[Q]]&lt;0.1, " ",$A$1&amp;$D$1&amp;Inventory_List_Table341115109[[#This Row],['#]]&amp;Inventory_List_Table341115109[[#This Row],[LC]])</f>
        <v xml:space="preserve"> </v>
      </c>
      <c r="G84" s="116"/>
      <c r="H84" s="116"/>
      <c r="I84" s="116"/>
      <c r="J84" s="116"/>
      <c r="K84" s="116"/>
      <c r="L84" s="118"/>
      <c r="M84" s="30" t="str">
        <f>IF(Inventory_List_Table341115109[[#This Row],[Q]]&lt;0.1, " ", Inventory_List_Table341115109[[#This Row],[Q]]*Inventory_List_Table341115109[[#This Row],[PRICE]])</f>
        <v xml:space="preserve"> </v>
      </c>
      <c r="N84" s="35" t="str">
        <f>IF(Inventory_List_Table341115109[[#This Row],[Q]]&lt;0.1, " ", Inventory_List_Table341115109[[#This Row],[KG]]*2.20462)</f>
        <v xml:space="preserve"> </v>
      </c>
      <c r="O84" s="35" t="str">
        <f>IF(Inventory_List_Table341115109[[#This Row],[Q]]&lt;0.1, " ",Inventory_List_Table341115109[[#This Row],[H CM]]/2.54)</f>
        <v xml:space="preserve"> </v>
      </c>
      <c r="P84" s="35" t="str">
        <f>IF(Inventory_List_Table341115109[[#This Row],[Q]]&lt;0.1, " ",Inventory_List_Table341115109[[#This Row],[W CM]]/2.54)</f>
        <v xml:space="preserve"> </v>
      </c>
      <c r="Q84" s="35" t="str">
        <f>IF(Inventory_List_Table341115109[[#This Row],[Q]]&lt;0.1, " ",Inventory_List_Table341115109[[#This Row],[D CM ]]/2.54)</f>
        <v xml:space="preserve"> </v>
      </c>
      <c r="R84" s="30" t="str">
        <f>IF(Inventory_List_Table341115109[[#This Row],[Q]]&lt;0.1, " ",Inventory_List_Table341115109[[#This Row],[PRICE]]/$L$1)</f>
        <v xml:space="preserve"> </v>
      </c>
      <c r="S8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4" s="30" t="str">
        <f>IF(Inventory_List_Table341115109[[#This Row],[Q]]&lt;0.1, " ",Inventory_List_Table341115109[[#This Row],[AQ RND USD]]*1.4)</f>
        <v xml:space="preserve"> </v>
      </c>
      <c r="U8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4" s="30" t="str">
        <f>IF(Inventory_List_Table341115109[[#This Row],[Q]]&lt;0.1, " ",Inventory_List_Table341115109[[#This Row],[LND RND USD]]*12)</f>
        <v xml:space="preserve"> </v>
      </c>
      <c r="W84" s="30" t="str">
        <f>IF(Inventory_List_Table341115109[[#This Row],[Q]]&lt;0.1, " ",Inventory_List_Table341115109[[#This Row],[AQ USD]])</f>
        <v xml:space="preserve"> </v>
      </c>
      <c r="X8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4" s="30" t="str">
        <f>IF(Inventory_List_Table341115109[[#This Row],[Q]]&lt;0.1, " ",Inventory_List_Table341115109[[#This Row],[PRICE]]/Z84*10000)</f>
        <v xml:space="preserve"> </v>
      </c>
      <c r="AB84" s="120"/>
      <c r="AC84" s="1"/>
      <c r="AD84" s="1"/>
    </row>
    <row r="85" spans="1:30" ht="24" customHeight="1" x14ac:dyDescent="0.3">
      <c r="A85" s="113">
        <v>83</v>
      </c>
      <c r="B85" s="1"/>
      <c r="C85" s="116"/>
      <c r="D85" s="116"/>
      <c r="E85" s="116"/>
      <c r="F85" s="38" t="str">
        <f>IF(Inventory_List_Table341115109[[#This Row],[Q]]&lt;0.1, " ",$A$1&amp;$D$1&amp;Inventory_List_Table341115109[[#This Row],['#]]&amp;Inventory_List_Table341115109[[#This Row],[LC]])</f>
        <v xml:space="preserve"> </v>
      </c>
      <c r="G85" s="116"/>
      <c r="H85" s="116"/>
      <c r="I85" s="116"/>
      <c r="J85" s="116"/>
      <c r="K85" s="116"/>
      <c r="L85" s="118"/>
      <c r="M85" s="30" t="str">
        <f>IF(Inventory_List_Table341115109[[#This Row],[Q]]&lt;0.1, " ", Inventory_List_Table341115109[[#This Row],[Q]]*Inventory_List_Table341115109[[#This Row],[PRICE]])</f>
        <v xml:space="preserve"> </v>
      </c>
      <c r="N85" s="35" t="str">
        <f>IF(Inventory_List_Table341115109[[#This Row],[Q]]&lt;0.1, " ", Inventory_List_Table341115109[[#This Row],[KG]]*2.20462)</f>
        <v xml:space="preserve"> </v>
      </c>
      <c r="O85" s="35" t="str">
        <f>IF(Inventory_List_Table341115109[[#This Row],[Q]]&lt;0.1, " ",Inventory_List_Table341115109[[#This Row],[H CM]]/2.54)</f>
        <v xml:space="preserve"> </v>
      </c>
      <c r="P85" s="35" t="str">
        <f>IF(Inventory_List_Table341115109[[#This Row],[Q]]&lt;0.1, " ",Inventory_List_Table341115109[[#This Row],[W CM]]/2.54)</f>
        <v xml:space="preserve"> </v>
      </c>
      <c r="Q85" s="35" t="str">
        <f>IF(Inventory_List_Table341115109[[#This Row],[Q]]&lt;0.1, " ",Inventory_List_Table341115109[[#This Row],[D CM ]]/2.54)</f>
        <v xml:space="preserve"> </v>
      </c>
      <c r="R85" s="30" t="str">
        <f>IF(Inventory_List_Table341115109[[#This Row],[Q]]&lt;0.1, " ",Inventory_List_Table341115109[[#This Row],[PRICE]]/$L$1)</f>
        <v xml:space="preserve"> </v>
      </c>
      <c r="S8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5" s="30" t="str">
        <f>IF(Inventory_List_Table341115109[[#This Row],[Q]]&lt;0.1, " ",Inventory_List_Table341115109[[#This Row],[AQ RND USD]]*1.4)</f>
        <v xml:space="preserve"> </v>
      </c>
      <c r="U8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5" s="30" t="str">
        <f>IF(Inventory_List_Table341115109[[#This Row],[Q]]&lt;0.1, " ",Inventory_List_Table341115109[[#This Row],[LND RND USD]]*12)</f>
        <v xml:space="preserve"> </v>
      </c>
      <c r="W85" s="30" t="str">
        <f>IF(Inventory_List_Table341115109[[#This Row],[Q]]&lt;0.1, " ",Inventory_List_Table341115109[[#This Row],[AQ USD]])</f>
        <v xml:space="preserve"> </v>
      </c>
      <c r="X8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5" s="30" t="str">
        <f>IF(Inventory_List_Table341115109[[#This Row],[Q]]&lt;0.1, " ",Inventory_List_Table341115109[[#This Row],[PRICE]]/Z85*10000)</f>
        <v xml:space="preserve"> </v>
      </c>
      <c r="AB85" s="120"/>
      <c r="AC85" s="1"/>
      <c r="AD85" s="1"/>
    </row>
    <row r="86" spans="1:30" ht="24" customHeight="1" x14ac:dyDescent="0.3">
      <c r="A86" s="113">
        <v>84</v>
      </c>
      <c r="B86" s="1"/>
      <c r="C86" s="116"/>
      <c r="D86" s="116"/>
      <c r="E86" s="116"/>
      <c r="F86" s="38" t="str">
        <f>IF(Inventory_List_Table341115109[[#This Row],[Q]]&lt;0.1, " ",$A$1&amp;$D$1&amp;Inventory_List_Table341115109[[#This Row],['#]]&amp;Inventory_List_Table341115109[[#This Row],[LC]])</f>
        <v xml:space="preserve"> </v>
      </c>
      <c r="G86" s="116"/>
      <c r="H86" s="116"/>
      <c r="I86" s="116"/>
      <c r="J86" s="116"/>
      <c r="K86" s="116"/>
      <c r="L86" s="118"/>
      <c r="M86" s="30" t="str">
        <f>IF(Inventory_List_Table341115109[[#This Row],[Q]]&lt;0.1, " ", Inventory_List_Table341115109[[#This Row],[Q]]*Inventory_List_Table341115109[[#This Row],[PRICE]])</f>
        <v xml:space="preserve"> </v>
      </c>
      <c r="N86" s="35" t="str">
        <f>IF(Inventory_List_Table341115109[[#This Row],[Q]]&lt;0.1, " ", Inventory_List_Table341115109[[#This Row],[KG]]*2.20462)</f>
        <v xml:space="preserve"> </v>
      </c>
      <c r="O86" s="35" t="str">
        <f>IF(Inventory_List_Table341115109[[#This Row],[Q]]&lt;0.1, " ",Inventory_List_Table341115109[[#This Row],[H CM]]/2.54)</f>
        <v xml:space="preserve"> </v>
      </c>
      <c r="P86" s="35" t="str">
        <f>IF(Inventory_List_Table341115109[[#This Row],[Q]]&lt;0.1, " ",Inventory_List_Table341115109[[#This Row],[W CM]]/2.54)</f>
        <v xml:space="preserve"> </v>
      </c>
      <c r="Q86" s="35" t="str">
        <f>IF(Inventory_List_Table341115109[[#This Row],[Q]]&lt;0.1, " ",Inventory_List_Table341115109[[#This Row],[D CM ]]/2.54)</f>
        <v xml:space="preserve"> </v>
      </c>
      <c r="R86" s="30" t="str">
        <f>IF(Inventory_List_Table341115109[[#This Row],[Q]]&lt;0.1, " ",Inventory_List_Table341115109[[#This Row],[PRICE]]/$L$1)</f>
        <v xml:space="preserve"> </v>
      </c>
      <c r="S8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6" s="30" t="str">
        <f>IF(Inventory_List_Table341115109[[#This Row],[Q]]&lt;0.1, " ",Inventory_List_Table341115109[[#This Row],[AQ RND USD]]*1.4)</f>
        <v xml:space="preserve"> </v>
      </c>
      <c r="U8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6" s="30" t="str">
        <f>IF(Inventory_List_Table341115109[[#This Row],[Q]]&lt;0.1, " ",Inventory_List_Table341115109[[#This Row],[LND RND USD]]*12)</f>
        <v xml:space="preserve"> </v>
      </c>
      <c r="W86" s="30" t="str">
        <f>IF(Inventory_List_Table341115109[[#This Row],[Q]]&lt;0.1, " ",Inventory_List_Table341115109[[#This Row],[AQ USD]])</f>
        <v xml:space="preserve"> </v>
      </c>
      <c r="X8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6" s="30" t="str">
        <f>IF(Inventory_List_Table341115109[[#This Row],[Q]]&lt;0.1, " ",Inventory_List_Table341115109[[#This Row],[PRICE]]/Z86*10000)</f>
        <v xml:space="preserve"> </v>
      </c>
      <c r="AB86" s="120"/>
      <c r="AC86" s="1"/>
      <c r="AD86" s="1"/>
    </row>
    <row r="87" spans="1:30" ht="24" customHeight="1" x14ac:dyDescent="0.3">
      <c r="A87" s="113">
        <v>85</v>
      </c>
      <c r="B87" s="1"/>
      <c r="C87" s="116"/>
      <c r="D87" s="116"/>
      <c r="E87" s="116"/>
      <c r="F87" s="38" t="str">
        <f>IF(Inventory_List_Table341115109[[#This Row],[Q]]&lt;0.1, " ",$A$1&amp;$D$1&amp;Inventory_List_Table341115109[[#This Row],['#]]&amp;Inventory_List_Table341115109[[#This Row],[LC]])</f>
        <v xml:space="preserve"> </v>
      </c>
      <c r="G87" s="116"/>
      <c r="H87" s="116"/>
      <c r="I87" s="116"/>
      <c r="J87" s="116"/>
      <c r="K87" s="116"/>
      <c r="L87" s="118"/>
      <c r="M87" s="30" t="str">
        <f>IF(Inventory_List_Table341115109[[#This Row],[Q]]&lt;0.1, " ", Inventory_List_Table341115109[[#This Row],[Q]]*Inventory_List_Table341115109[[#This Row],[PRICE]])</f>
        <v xml:space="preserve"> </v>
      </c>
      <c r="N87" s="35" t="str">
        <f>IF(Inventory_List_Table341115109[[#This Row],[Q]]&lt;0.1, " ", Inventory_List_Table341115109[[#This Row],[KG]]*2.20462)</f>
        <v xml:space="preserve"> </v>
      </c>
      <c r="O87" s="35" t="str">
        <f>IF(Inventory_List_Table341115109[[#This Row],[Q]]&lt;0.1, " ",Inventory_List_Table341115109[[#This Row],[H CM]]/2.54)</f>
        <v xml:space="preserve"> </v>
      </c>
      <c r="P87" s="35" t="str">
        <f>IF(Inventory_List_Table341115109[[#This Row],[Q]]&lt;0.1, " ",Inventory_List_Table341115109[[#This Row],[W CM]]/2.54)</f>
        <v xml:space="preserve"> </v>
      </c>
      <c r="Q87" s="35" t="str">
        <f>IF(Inventory_List_Table341115109[[#This Row],[Q]]&lt;0.1, " ",Inventory_List_Table341115109[[#This Row],[D CM ]]/2.54)</f>
        <v xml:space="preserve"> </v>
      </c>
      <c r="R87" s="30" t="str">
        <f>IF(Inventory_List_Table341115109[[#This Row],[Q]]&lt;0.1, " ",Inventory_List_Table341115109[[#This Row],[PRICE]]/$L$1)</f>
        <v xml:space="preserve"> </v>
      </c>
      <c r="S8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7" s="30" t="str">
        <f>IF(Inventory_List_Table341115109[[#This Row],[Q]]&lt;0.1, " ",Inventory_List_Table341115109[[#This Row],[AQ RND USD]]*1.4)</f>
        <v xml:space="preserve"> </v>
      </c>
      <c r="U8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7" s="30" t="str">
        <f>IF(Inventory_List_Table341115109[[#This Row],[Q]]&lt;0.1, " ",Inventory_List_Table341115109[[#This Row],[LND RND USD]]*12)</f>
        <v xml:space="preserve"> </v>
      </c>
      <c r="W87" s="30" t="str">
        <f>IF(Inventory_List_Table341115109[[#This Row],[Q]]&lt;0.1, " ",Inventory_List_Table341115109[[#This Row],[AQ USD]])</f>
        <v xml:space="preserve"> </v>
      </c>
      <c r="X8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7" s="30" t="str">
        <f>IF(Inventory_List_Table341115109[[#This Row],[Q]]&lt;0.1, " ",Inventory_List_Table341115109[[#This Row],[PRICE]]/Z87*10000)</f>
        <v xml:space="preserve"> </v>
      </c>
      <c r="AB87" s="120"/>
      <c r="AC87" s="1"/>
      <c r="AD87" s="1"/>
    </row>
    <row r="88" spans="1:30" ht="24" customHeight="1" x14ac:dyDescent="0.3">
      <c r="A88" s="113">
        <v>86</v>
      </c>
      <c r="B88" s="1"/>
      <c r="C88" s="116"/>
      <c r="D88" s="116"/>
      <c r="E88" s="116"/>
      <c r="F88" s="38" t="str">
        <f>IF(Inventory_List_Table341115109[[#This Row],[Q]]&lt;0.1, " ",$A$1&amp;$D$1&amp;Inventory_List_Table341115109[[#This Row],['#]]&amp;Inventory_List_Table341115109[[#This Row],[LC]])</f>
        <v xml:space="preserve"> </v>
      </c>
      <c r="G88" s="116"/>
      <c r="H88" s="116"/>
      <c r="I88" s="116"/>
      <c r="J88" s="116"/>
      <c r="K88" s="116"/>
      <c r="L88" s="118"/>
      <c r="M88" s="30" t="str">
        <f>IF(Inventory_List_Table341115109[[#This Row],[Q]]&lt;0.1, " ", Inventory_List_Table341115109[[#This Row],[Q]]*Inventory_List_Table341115109[[#This Row],[PRICE]])</f>
        <v xml:space="preserve"> </v>
      </c>
      <c r="N88" s="35" t="str">
        <f>IF(Inventory_List_Table341115109[[#This Row],[Q]]&lt;0.1, " ", Inventory_List_Table341115109[[#This Row],[KG]]*2.20462)</f>
        <v xml:space="preserve"> </v>
      </c>
      <c r="O88" s="35" t="str">
        <f>IF(Inventory_List_Table341115109[[#This Row],[Q]]&lt;0.1, " ",Inventory_List_Table341115109[[#This Row],[H CM]]/2.54)</f>
        <v xml:space="preserve"> </v>
      </c>
      <c r="P88" s="35" t="str">
        <f>IF(Inventory_List_Table341115109[[#This Row],[Q]]&lt;0.1, " ",Inventory_List_Table341115109[[#This Row],[W CM]]/2.54)</f>
        <v xml:space="preserve"> </v>
      </c>
      <c r="Q88" s="35" t="str">
        <f>IF(Inventory_List_Table341115109[[#This Row],[Q]]&lt;0.1, " ",Inventory_List_Table341115109[[#This Row],[D CM ]]/2.54)</f>
        <v xml:space="preserve"> </v>
      </c>
      <c r="R88" s="30" t="str">
        <f>IF(Inventory_List_Table341115109[[#This Row],[Q]]&lt;0.1, " ",Inventory_List_Table341115109[[#This Row],[PRICE]]/$L$1)</f>
        <v xml:space="preserve"> </v>
      </c>
      <c r="S8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8" s="30" t="str">
        <f>IF(Inventory_List_Table341115109[[#This Row],[Q]]&lt;0.1, " ",Inventory_List_Table341115109[[#This Row],[AQ RND USD]]*1.4)</f>
        <v xml:space="preserve"> </v>
      </c>
      <c r="U8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8" s="30" t="str">
        <f>IF(Inventory_List_Table341115109[[#This Row],[Q]]&lt;0.1, " ",Inventory_List_Table341115109[[#This Row],[LND RND USD]]*12)</f>
        <v xml:space="preserve"> </v>
      </c>
      <c r="W88" s="30" t="str">
        <f>IF(Inventory_List_Table341115109[[#This Row],[Q]]&lt;0.1, " ",Inventory_List_Table341115109[[#This Row],[AQ USD]])</f>
        <v xml:space="preserve"> </v>
      </c>
      <c r="X8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8" s="30" t="str">
        <f>IF(Inventory_List_Table341115109[[#This Row],[Q]]&lt;0.1, " ",Inventory_List_Table341115109[[#This Row],[PRICE]]/Z88*10000)</f>
        <v xml:space="preserve"> </v>
      </c>
      <c r="AB88" s="120"/>
      <c r="AC88" s="1"/>
      <c r="AD88" s="1"/>
    </row>
    <row r="89" spans="1:30" ht="24" customHeight="1" x14ac:dyDescent="0.3">
      <c r="A89" s="113">
        <v>87</v>
      </c>
      <c r="B89" s="1"/>
      <c r="C89" s="116"/>
      <c r="D89" s="116"/>
      <c r="E89" s="116"/>
      <c r="F89" s="38" t="str">
        <f>IF(Inventory_List_Table341115109[[#This Row],[Q]]&lt;0.1, " ",$A$1&amp;$D$1&amp;Inventory_List_Table341115109[[#This Row],['#]]&amp;Inventory_List_Table341115109[[#This Row],[LC]])</f>
        <v xml:space="preserve"> </v>
      </c>
      <c r="G89" s="116"/>
      <c r="H89" s="116"/>
      <c r="I89" s="116"/>
      <c r="J89" s="116"/>
      <c r="K89" s="116"/>
      <c r="L89" s="118"/>
      <c r="M89" s="30" t="str">
        <f>IF(Inventory_List_Table341115109[[#This Row],[Q]]&lt;0.1, " ", Inventory_List_Table341115109[[#This Row],[Q]]*Inventory_List_Table341115109[[#This Row],[PRICE]])</f>
        <v xml:space="preserve"> </v>
      </c>
      <c r="N89" s="35" t="str">
        <f>IF(Inventory_List_Table341115109[[#This Row],[Q]]&lt;0.1, " ", Inventory_List_Table341115109[[#This Row],[KG]]*2.20462)</f>
        <v xml:space="preserve"> </v>
      </c>
      <c r="O89" s="35" t="str">
        <f>IF(Inventory_List_Table341115109[[#This Row],[Q]]&lt;0.1, " ",Inventory_List_Table341115109[[#This Row],[H CM]]/2.54)</f>
        <v xml:space="preserve"> </v>
      </c>
      <c r="P89" s="35" t="str">
        <f>IF(Inventory_List_Table341115109[[#This Row],[Q]]&lt;0.1, " ",Inventory_List_Table341115109[[#This Row],[W CM]]/2.54)</f>
        <v xml:space="preserve"> </v>
      </c>
      <c r="Q89" s="35" t="str">
        <f>IF(Inventory_List_Table341115109[[#This Row],[Q]]&lt;0.1, " ",Inventory_List_Table341115109[[#This Row],[D CM ]]/2.54)</f>
        <v xml:space="preserve"> </v>
      </c>
      <c r="R89" s="30" t="str">
        <f>IF(Inventory_List_Table341115109[[#This Row],[Q]]&lt;0.1, " ",Inventory_List_Table341115109[[#This Row],[PRICE]]/$L$1)</f>
        <v xml:space="preserve"> </v>
      </c>
      <c r="S8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89" s="30" t="str">
        <f>IF(Inventory_List_Table341115109[[#This Row],[Q]]&lt;0.1, " ",Inventory_List_Table341115109[[#This Row],[AQ RND USD]]*1.4)</f>
        <v xml:space="preserve"> </v>
      </c>
      <c r="U8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89" s="30" t="str">
        <f>IF(Inventory_List_Table341115109[[#This Row],[Q]]&lt;0.1, " ",Inventory_List_Table341115109[[#This Row],[LND RND USD]]*12)</f>
        <v xml:space="preserve"> </v>
      </c>
      <c r="W89" s="30" t="str">
        <f>IF(Inventory_List_Table341115109[[#This Row],[Q]]&lt;0.1, " ",Inventory_List_Table341115109[[#This Row],[AQ USD]])</f>
        <v xml:space="preserve"> </v>
      </c>
      <c r="X8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8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8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89" s="30" t="str">
        <f>IF(Inventory_List_Table341115109[[#This Row],[Q]]&lt;0.1, " ",Inventory_List_Table341115109[[#This Row],[PRICE]]/Z89*10000)</f>
        <v xml:space="preserve"> </v>
      </c>
      <c r="AB89" s="120"/>
      <c r="AC89" s="1"/>
      <c r="AD89" s="1"/>
    </row>
    <row r="90" spans="1:30" ht="24" customHeight="1" x14ac:dyDescent="0.3">
      <c r="A90" s="113">
        <v>88</v>
      </c>
      <c r="B90" s="1"/>
      <c r="C90" s="116"/>
      <c r="D90" s="116"/>
      <c r="E90" s="116"/>
      <c r="F90" s="38" t="str">
        <f>IF(Inventory_List_Table341115109[[#This Row],[Q]]&lt;0.1, " ",$A$1&amp;$D$1&amp;Inventory_List_Table341115109[[#This Row],['#]]&amp;Inventory_List_Table341115109[[#This Row],[LC]])</f>
        <v xml:space="preserve"> </v>
      </c>
      <c r="G90" s="116"/>
      <c r="H90" s="116"/>
      <c r="I90" s="116"/>
      <c r="J90" s="116"/>
      <c r="K90" s="116"/>
      <c r="L90" s="118"/>
      <c r="M90" s="30" t="str">
        <f>IF(Inventory_List_Table341115109[[#This Row],[Q]]&lt;0.1, " ", Inventory_List_Table341115109[[#This Row],[Q]]*Inventory_List_Table341115109[[#This Row],[PRICE]])</f>
        <v xml:space="preserve"> </v>
      </c>
      <c r="N90" s="35" t="str">
        <f>IF(Inventory_List_Table341115109[[#This Row],[Q]]&lt;0.1, " ", Inventory_List_Table341115109[[#This Row],[KG]]*2.20462)</f>
        <v xml:space="preserve"> </v>
      </c>
      <c r="O90" s="35" t="str">
        <f>IF(Inventory_List_Table341115109[[#This Row],[Q]]&lt;0.1, " ",Inventory_List_Table341115109[[#This Row],[H CM]]/2.54)</f>
        <v xml:space="preserve"> </v>
      </c>
      <c r="P90" s="35" t="str">
        <f>IF(Inventory_List_Table341115109[[#This Row],[Q]]&lt;0.1, " ",Inventory_List_Table341115109[[#This Row],[W CM]]/2.54)</f>
        <v xml:space="preserve"> </v>
      </c>
      <c r="Q90" s="35" t="str">
        <f>IF(Inventory_List_Table341115109[[#This Row],[Q]]&lt;0.1, " ",Inventory_List_Table341115109[[#This Row],[D CM ]]/2.54)</f>
        <v xml:space="preserve"> </v>
      </c>
      <c r="R90" s="30" t="str">
        <f>IF(Inventory_List_Table341115109[[#This Row],[Q]]&lt;0.1, " ",Inventory_List_Table341115109[[#This Row],[PRICE]]/$L$1)</f>
        <v xml:space="preserve"> </v>
      </c>
      <c r="S9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0" s="30" t="str">
        <f>IF(Inventory_List_Table341115109[[#This Row],[Q]]&lt;0.1, " ",Inventory_List_Table341115109[[#This Row],[AQ RND USD]]*1.4)</f>
        <v xml:space="preserve"> </v>
      </c>
      <c r="U9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0" s="30" t="str">
        <f>IF(Inventory_List_Table341115109[[#This Row],[Q]]&lt;0.1, " ",Inventory_List_Table341115109[[#This Row],[LND RND USD]]*12)</f>
        <v xml:space="preserve"> </v>
      </c>
      <c r="W90" s="30" t="str">
        <f>IF(Inventory_List_Table341115109[[#This Row],[Q]]&lt;0.1, " ",Inventory_List_Table341115109[[#This Row],[AQ USD]])</f>
        <v xml:space="preserve"> </v>
      </c>
      <c r="X9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0" s="30" t="str">
        <f>IF(Inventory_List_Table341115109[[#This Row],[Q]]&lt;0.1, " ",Inventory_List_Table341115109[[#This Row],[PRICE]]/Z90*10000)</f>
        <v xml:space="preserve"> </v>
      </c>
      <c r="AB90" s="120"/>
      <c r="AC90" s="1"/>
      <c r="AD90" s="1"/>
    </row>
    <row r="91" spans="1:30" ht="24" customHeight="1" x14ac:dyDescent="0.3">
      <c r="A91" s="113">
        <v>89</v>
      </c>
      <c r="B91" s="1"/>
      <c r="C91" s="116"/>
      <c r="D91" s="116"/>
      <c r="E91" s="116"/>
      <c r="F91" s="38" t="str">
        <f>IF(Inventory_List_Table341115109[[#This Row],[Q]]&lt;0.1, " ",$A$1&amp;$D$1&amp;Inventory_List_Table341115109[[#This Row],['#]]&amp;Inventory_List_Table341115109[[#This Row],[LC]])</f>
        <v xml:space="preserve"> </v>
      </c>
      <c r="G91" s="116"/>
      <c r="H91" s="116"/>
      <c r="I91" s="116"/>
      <c r="J91" s="116"/>
      <c r="K91" s="116"/>
      <c r="L91" s="118"/>
      <c r="M91" s="30" t="str">
        <f>IF(Inventory_List_Table341115109[[#This Row],[Q]]&lt;0.1, " ", Inventory_List_Table341115109[[#This Row],[Q]]*Inventory_List_Table341115109[[#This Row],[PRICE]])</f>
        <v xml:space="preserve"> </v>
      </c>
      <c r="N91" s="35" t="str">
        <f>IF(Inventory_List_Table341115109[[#This Row],[Q]]&lt;0.1, " ", Inventory_List_Table341115109[[#This Row],[KG]]*2.20462)</f>
        <v xml:space="preserve"> </v>
      </c>
      <c r="O91" s="35" t="str">
        <f>IF(Inventory_List_Table341115109[[#This Row],[Q]]&lt;0.1, " ",Inventory_List_Table341115109[[#This Row],[H CM]]/2.54)</f>
        <v xml:space="preserve"> </v>
      </c>
      <c r="P91" s="35" t="str">
        <f>IF(Inventory_List_Table341115109[[#This Row],[Q]]&lt;0.1, " ",Inventory_List_Table341115109[[#This Row],[W CM]]/2.54)</f>
        <v xml:space="preserve"> </v>
      </c>
      <c r="Q91" s="35" t="str">
        <f>IF(Inventory_List_Table341115109[[#This Row],[Q]]&lt;0.1, " ",Inventory_List_Table341115109[[#This Row],[D CM ]]/2.54)</f>
        <v xml:space="preserve"> </v>
      </c>
      <c r="R91" s="30" t="str">
        <f>IF(Inventory_List_Table341115109[[#This Row],[Q]]&lt;0.1, " ",Inventory_List_Table341115109[[#This Row],[PRICE]]/$L$1)</f>
        <v xml:space="preserve"> </v>
      </c>
      <c r="S9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1" s="30" t="str">
        <f>IF(Inventory_List_Table341115109[[#This Row],[Q]]&lt;0.1, " ",Inventory_List_Table341115109[[#This Row],[AQ RND USD]]*1.4)</f>
        <v xml:space="preserve"> </v>
      </c>
      <c r="U9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1" s="30" t="str">
        <f>IF(Inventory_List_Table341115109[[#This Row],[Q]]&lt;0.1, " ",Inventory_List_Table341115109[[#This Row],[LND RND USD]]*12)</f>
        <v xml:space="preserve"> </v>
      </c>
      <c r="W91" s="30" t="str">
        <f>IF(Inventory_List_Table341115109[[#This Row],[Q]]&lt;0.1, " ",Inventory_List_Table341115109[[#This Row],[AQ USD]])</f>
        <v xml:space="preserve"> </v>
      </c>
      <c r="X9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1" s="30" t="str">
        <f>IF(Inventory_List_Table341115109[[#This Row],[Q]]&lt;0.1, " ",Inventory_List_Table341115109[[#This Row],[PRICE]]/Z91*10000)</f>
        <v xml:space="preserve"> </v>
      </c>
      <c r="AB91" s="120"/>
      <c r="AC91" s="1"/>
      <c r="AD91" s="1"/>
    </row>
    <row r="92" spans="1:30" ht="24" customHeight="1" x14ac:dyDescent="0.3">
      <c r="A92" s="113">
        <v>90</v>
      </c>
      <c r="B92" s="1"/>
      <c r="C92" s="116"/>
      <c r="D92" s="116"/>
      <c r="E92" s="116"/>
      <c r="F92" s="38" t="str">
        <f>IF(Inventory_List_Table341115109[[#This Row],[Q]]&lt;0.1, " ",$A$1&amp;$D$1&amp;Inventory_List_Table341115109[[#This Row],['#]]&amp;Inventory_List_Table341115109[[#This Row],[LC]])</f>
        <v xml:space="preserve"> </v>
      </c>
      <c r="G92" s="116"/>
      <c r="H92" s="116"/>
      <c r="I92" s="116"/>
      <c r="J92" s="116"/>
      <c r="K92" s="116"/>
      <c r="L92" s="118"/>
      <c r="M92" s="30" t="str">
        <f>IF(Inventory_List_Table341115109[[#This Row],[Q]]&lt;0.1, " ", Inventory_List_Table341115109[[#This Row],[Q]]*Inventory_List_Table341115109[[#This Row],[PRICE]])</f>
        <v xml:space="preserve"> </v>
      </c>
      <c r="N92" s="35" t="str">
        <f>IF(Inventory_List_Table341115109[[#This Row],[Q]]&lt;0.1, " ", Inventory_List_Table341115109[[#This Row],[KG]]*2.20462)</f>
        <v xml:space="preserve"> </v>
      </c>
      <c r="O92" s="35" t="str">
        <f>IF(Inventory_List_Table341115109[[#This Row],[Q]]&lt;0.1, " ",Inventory_List_Table341115109[[#This Row],[H CM]]/2.54)</f>
        <v xml:space="preserve"> </v>
      </c>
      <c r="P92" s="35" t="str">
        <f>IF(Inventory_List_Table341115109[[#This Row],[Q]]&lt;0.1, " ",Inventory_List_Table341115109[[#This Row],[W CM]]/2.54)</f>
        <v xml:space="preserve"> </v>
      </c>
      <c r="Q92" s="35" t="str">
        <f>IF(Inventory_List_Table341115109[[#This Row],[Q]]&lt;0.1, " ",Inventory_List_Table341115109[[#This Row],[D CM ]]/2.54)</f>
        <v xml:space="preserve"> </v>
      </c>
      <c r="R92" s="30" t="str">
        <f>IF(Inventory_List_Table341115109[[#This Row],[Q]]&lt;0.1, " ",Inventory_List_Table341115109[[#This Row],[PRICE]]/$L$1)</f>
        <v xml:space="preserve"> </v>
      </c>
      <c r="S9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2" s="30" t="str">
        <f>IF(Inventory_List_Table341115109[[#This Row],[Q]]&lt;0.1, " ",Inventory_List_Table341115109[[#This Row],[AQ RND USD]]*1.4)</f>
        <v xml:space="preserve"> </v>
      </c>
      <c r="U9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2" s="30" t="str">
        <f>IF(Inventory_List_Table341115109[[#This Row],[Q]]&lt;0.1, " ",Inventory_List_Table341115109[[#This Row],[LND RND USD]]*12)</f>
        <v xml:space="preserve"> </v>
      </c>
      <c r="W92" s="30" t="str">
        <f>IF(Inventory_List_Table341115109[[#This Row],[Q]]&lt;0.1, " ",Inventory_List_Table341115109[[#This Row],[AQ USD]])</f>
        <v xml:space="preserve"> </v>
      </c>
      <c r="X9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2" s="30" t="str">
        <f>IF(Inventory_List_Table341115109[[#This Row],[Q]]&lt;0.1, " ",Inventory_List_Table341115109[[#This Row],[PRICE]]/Z92*10000)</f>
        <v xml:space="preserve"> </v>
      </c>
      <c r="AB92" s="120"/>
      <c r="AC92" s="1"/>
      <c r="AD92" s="1"/>
    </row>
    <row r="93" spans="1:30" ht="24" customHeight="1" x14ac:dyDescent="0.3">
      <c r="A93" s="113">
        <v>91</v>
      </c>
      <c r="B93" s="1"/>
      <c r="C93" s="116"/>
      <c r="D93" s="116"/>
      <c r="E93" s="116"/>
      <c r="F93" s="38" t="str">
        <f>IF(Inventory_List_Table341115109[[#This Row],[Q]]&lt;0.1, " ",$A$1&amp;$D$1&amp;Inventory_List_Table341115109[[#This Row],['#]]&amp;Inventory_List_Table341115109[[#This Row],[LC]])</f>
        <v xml:space="preserve"> </v>
      </c>
      <c r="G93" s="116"/>
      <c r="H93" s="116"/>
      <c r="I93" s="116"/>
      <c r="J93" s="116"/>
      <c r="K93" s="116"/>
      <c r="L93" s="118"/>
      <c r="M93" s="30" t="str">
        <f>IF(Inventory_List_Table341115109[[#This Row],[Q]]&lt;0.1, " ", Inventory_List_Table341115109[[#This Row],[Q]]*Inventory_List_Table341115109[[#This Row],[PRICE]])</f>
        <v xml:space="preserve"> </v>
      </c>
      <c r="N93" s="35" t="str">
        <f>IF(Inventory_List_Table341115109[[#This Row],[Q]]&lt;0.1, " ", Inventory_List_Table341115109[[#This Row],[KG]]*2.20462)</f>
        <v xml:space="preserve"> </v>
      </c>
      <c r="O93" s="35" t="str">
        <f>IF(Inventory_List_Table341115109[[#This Row],[Q]]&lt;0.1, " ",Inventory_List_Table341115109[[#This Row],[H CM]]/2.54)</f>
        <v xml:space="preserve"> </v>
      </c>
      <c r="P93" s="35" t="str">
        <f>IF(Inventory_List_Table341115109[[#This Row],[Q]]&lt;0.1, " ",Inventory_List_Table341115109[[#This Row],[W CM]]/2.54)</f>
        <v xml:space="preserve"> </v>
      </c>
      <c r="Q93" s="35" t="str">
        <f>IF(Inventory_List_Table341115109[[#This Row],[Q]]&lt;0.1, " ",Inventory_List_Table341115109[[#This Row],[D CM ]]/2.54)</f>
        <v xml:space="preserve"> </v>
      </c>
      <c r="R93" s="30" t="str">
        <f>IF(Inventory_List_Table341115109[[#This Row],[Q]]&lt;0.1, " ",Inventory_List_Table341115109[[#This Row],[PRICE]]/$L$1)</f>
        <v xml:space="preserve"> </v>
      </c>
      <c r="S93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3" s="30" t="str">
        <f>IF(Inventory_List_Table341115109[[#This Row],[Q]]&lt;0.1, " ",Inventory_List_Table341115109[[#This Row],[AQ RND USD]]*1.4)</f>
        <v xml:space="preserve"> </v>
      </c>
      <c r="U93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3" s="30" t="str">
        <f>IF(Inventory_List_Table341115109[[#This Row],[Q]]&lt;0.1, " ",Inventory_List_Table341115109[[#This Row],[LND RND USD]]*12)</f>
        <v xml:space="preserve"> </v>
      </c>
      <c r="W93" s="30" t="str">
        <f>IF(Inventory_List_Table341115109[[#This Row],[Q]]&lt;0.1, " ",Inventory_List_Table341115109[[#This Row],[AQ USD]])</f>
        <v xml:space="preserve"> </v>
      </c>
      <c r="X93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3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3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3" s="30" t="str">
        <f>IF(Inventory_List_Table341115109[[#This Row],[Q]]&lt;0.1, " ",Inventory_List_Table341115109[[#This Row],[PRICE]]/Z93*10000)</f>
        <v xml:space="preserve"> </v>
      </c>
      <c r="AB93" s="120"/>
      <c r="AC93" s="1"/>
      <c r="AD93" s="1"/>
    </row>
    <row r="94" spans="1:30" ht="24" customHeight="1" x14ac:dyDescent="0.3">
      <c r="A94" s="113">
        <v>92</v>
      </c>
      <c r="B94" s="1"/>
      <c r="C94" s="116"/>
      <c r="D94" s="116"/>
      <c r="E94" s="116"/>
      <c r="F94" s="38" t="str">
        <f>IF(Inventory_List_Table341115109[[#This Row],[Q]]&lt;0.1, " ",$A$1&amp;$D$1&amp;Inventory_List_Table341115109[[#This Row],['#]]&amp;Inventory_List_Table341115109[[#This Row],[LC]])</f>
        <v xml:space="preserve"> </v>
      </c>
      <c r="G94" s="116"/>
      <c r="H94" s="116"/>
      <c r="I94" s="116"/>
      <c r="J94" s="116"/>
      <c r="K94" s="116"/>
      <c r="L94" s="118"/>
      <c r="M94" s="30" t="str">
        <f>IF(Inventory_List_Table341115109[[#This Row],[Q]]&lt;0.1, " ", Inventory_List_Table341115109[[#This Row],[Q]]*Inventory_List_Table341115109[[#This Row],[PRICE]])</f>
        <v xml:space="preserve"> </v>
      </c>
      <c r="N94" s="35" t="str">
        <f>IF(Inventory_List_Table341115109[[#This Row],[Q]]&lt;0.1, " ", Inventory_List_Table341115109[[#This Row],[KG]]*2.20462)</f>
        <v xml:space="preserve"> </v>
      </c>
      <c r="O94" s="35" t="str">
        <f>IF(Inventory_List_Table341115109[[#This Row],[Q]]&lt;0.1, " ",Inventory_List_Table341115109[[#This Row],[H CM]]/2.54)</f>
        <v xml:space="preserve"> </v>
      </c>
      <c r="P94" s="35" t="str">
        <f>IF(Inventory_List_Table341115109[[#This Row],[Q]]&lt;0.1, " ",Inventory_List_Table341115109[[#This Row],[W CM]]/2.54)</f>
        <v xml:space="preserve"> </v>
      </c>
      <c r="Q94" s="35" t="str">
        <f>IF(Inventory_List_Table341115109[[#This Row],[Q]]&lt;0.1, " ",Inventory_List_Table341115109[[#This Row],[D CM ]]/2.54)</f>
        <v xml:space="preserve"> </v>
      </c>
      <c r="R94" s="30" t="str">
        <f>IF(Inventory_List_Table341115109[[#This Row],[Q]]&lt;0.1, " ",Inventory_List_Table341115109[[#This Row],[PRICE]]/$L$1)</f>
        <v xml:space="preserve"> </v>
      </c>
      <c r="S94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4" s="30" t="str">
        <f>IF(Inventory_List_Table341115109[[#This Row],[Q]]&lt;0.1, " ",Inventory_List_Table341115109[[#This Row],[AQ RND USD]]*1.4)</f>
        <v xml:space="preserve"> </v>
      </c>
      <c r="U94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4" s="30" t="str">
        <f>IF(Inventory_List_Table341115109[[#This Row],[Q]]&lt;0.1, " ",Inventory_List_Table341115109[[#This Row],[LND RND USD]]*12)</f>
        <v xml:space="preserve"> </v>
      </c>
      <c r="W94" s="30" t="str">
        <f>IF(Inventory_List_Table341115109[[#This Row],[Q]]&lt;0.1, " ",Inventory_List_Table341115109[[#This Row],[AQ USD]])</f>
        <v xml:space="preserve"> </v>
      </c>
      <c r="X94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4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4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4" s="30" t="str">
        <f>IF(Inventory_List_Table341115109[[#This Row],[Q]]&lt;0.1, " ",Inventory_List_Table341115109[[#This Row],[PRICE]]/Z94*10000)</f>
        <v xml:space="preserve"> </v>
      </c>
      <c r="AB94" s="120"/>
      <c r="AC94" s="1"/>
      <c r="AD94" s="1"/>
    </row>
    <row r="95" spans="1:30" ht="24" customHeight="1" x14ac:dyDescent="0.3">
      <c r="A95" s="113">
        <v>93</v>
      </c>
      <c r="B95" s="1"/>
      <c r="C95" s="116"/>
      <c r="D95" s="116"/>
      <c r="E95" s="116"/>
      <c r="F95" s="38" t="str">
        <f>IF(Inventory_List_Table341115109[[#This Row],[Q]]&lt;0.1, " ",$A$1&amp;$D$1&amp;Inventory_List_Table341115109[[#This Row],['#]]&amp;Inventory_List_Table341115109[[#This Row],[LC]])</f>
        <v xml:space="preserve"> </v>
      </c>
      <c r="G95" s="116"/>
      <c r="H95" s="116"/>
      <c r="I95" s="116"/>
      <c r="J95" s="116"/>
      <c r="K95" s="116"/>
      <c r="L95" s="118"/>
      <c r="M95" s="30" t="str">
        <f>IF(Inventory_List_Table341115109[[#This Row],[Q]]&lt;0.1, " ", Inventory_List_Table341115109[[#This Row],[Q]]*Inventory_List_Table341115109[[#This Row],[PRICE]])</f>
        <v xml:space="preserve"> </v>
      </c>
      <c r="N95" s="35" t="str">
        <f>IF(Inventory_List_Table341115109[[#This Row],[Q]]&lt;0.1, " ", Inventory_List_Table341115109[[#This Row],[KG]]*2.20462)</f>
        <v xml:space="preserve"> </v>
      </c>
      <c r="O95" s="35" t="str">
        <f>IF(Inventory_List_Table341115109[[#This Row],[Q]]&lt;0.1, " ",Inventory_List_Table341115109[[#This Row],[H CM]]/2.54)</f>
        <v xml:space="preserve"> </v>
      </c>
      <c r="P95" s="35" t="str">
        <f>IF(Inventory_List_Table341115109[[#This Row],[Q]]&lt;0.1, " ",Inventory_List_Table341115109[[#This Row],[W CM]]/2.54)</f>
        <v xml:space="preserve"> </v>
      </c>
      <c r="Q95" s="35" t="str">
        <f>IF(Inventory_List_Table341115109[[#This Row],[Q]]&lt;0.1, " ",Inventory_List_Table341115109[[#This Row],[D CM ]]/2.54)</f>
        <v xml:space="preserve"> </v>
      </c>
      <c r="R95" s="30" t="str">
        <f>IF(Inventory_List_Table341115109[[#This Row],[Q]]&lt;0.1, " ",Inventory_List_Table341115109[[#This Row],[PRICE]]/$L$1)</f>
        <v xml:space="preserve"> </v>
      </c>
      <c r="S95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5" s="30" t="str">
        <f>IF(Inventory_List_Table341115109[[#This Row],[Q]]&lt;0.1, " ",Inventory_List_Table341115109[[#This Row],[AQ RND USD]]*1.4)</f>
        <v xml:space="preserve"> </v>
      </c>
      <c r="U95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5" s="30" t="str">
        <f>IF(Inventory_List_Table341115109[[#This Row],[Q]]&lt;0.1, " ",Inventory_List_Table341115109[[#This Row],[LND RND USD]]*12)</f>
        <v xml:space="preserve"> </v>
      </c>
      <c r="W95" s="30" t="str">
        <f>IF(Inventory_List_Table341115109[[#This Row],[Q]]&lt;0.1, " ",Inventory_List_Table341115109[[#This Row],[AQ USD]])</f>
        <v xml:space="preserve"> </v>
      </c>
      <c r="X95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5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5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5" s="30" t="str">
        <f>IF(Inventory_List_Table341115109[[#This Row],[Q]]&lt;0.1, " ",Inventory_List_Table341115109[[#This Row],[PRICE]]/Z95*10000)</f>
        <v xml:space="preserve"> </v>
      </c>
      <c r="AB95" s="120"/>
      <c r="AC95" s="1"/>
      <c r="AD95" s="1"/>
    </row>
    <row r="96" spans="1:30" ht="24" customHeight="1" x14ac:dyDescent="0.3">
      <c r="A96" s="113">
        <v>94</v>
      </c>
      <c r="B96" s="1"/>
      <c r="C96" s="116"/>
      <c r="D96" s="116"/>
      <c r="E96" s="116"/>
      <c r="F96" s="38" t="str">
        <f>IF(Inventory_List_Table341115109[[#This Row],[Q]]&lt;0.1, " ",$A$1&amp;$D$1&amp;Inventory_List_Table341115109[[#This Row],['#]]&amp;Inventory_List_Table341115109[[#This Row],[LC]])</f>
        <v xml:space="preserve"> </v>
      </c>
      <c r="G96" s="116"/>
      <c r="H96" s="116"/>
      <c r="I96" s="116"/>
      <c r="J96" s="116"/>
      <c r="K96" s="116"/>
      <c r="L96" s="118"/>
      <c r="M96" s="30" t="str">
        <f>IF(Inventory_List_Table341115109[[#This Row],[Q]]&lt;0.1, " ", Inventory_List_Table341115109[[#This Row],[Q]]*Inventory_List_Table341115109[[#This Row],[PRICE]])</f>
        <v xml:space="preserve"> </v>
      </c>
      <c r="N96" s="35" t="str">
        <f>IF(Inventory_List_Table341115109[[#This Row],[Q]]&lt;0.1, " ", Inventory_List_Table341115109[[#This Row],[KG]]*2.20462)</f>
        <v xml:space="preserve"> </v>
      </c>
      <c r="O96" s="35" t="str">
        <f>IF(Inventory_List_Table341115109[[#This Row],[Q]]&lt;0.1, " ",Inventory_List_Table341115109[[#This Row],[H CM]]/2.54)</f>
        <v xml:space="preserve"> </v>
      </c>
      <c r="P96" s="35" t="str">
        <f>IF(Inventory_List_Table341115109[[#This Row],[Q]]&lt;0.1, " ",Inventory_List_Table341115109[[#This Row],[W CM]]/2.54)</f>
        <v xml:space="preserve"> </v>
      </c>
      <c r="Q96" s="35" t="str">
        <f>IF(Inventory_List_Table341115109[[#This Row],[Q]]&lt;0.1, " ",Inventory_List_Table341115109[[#This Row],[D CM ]]/2.54)</f>
        <v xml:space="preserve"> </v>
      </c>
      <c r="R96" s="30" t="str">
        <f>IF(Inventory_List_Table341115109[[#This Row],[Q]]&lt;0.1, " ",Inventory_List_Table341115109[[#This Row],[PRICE]]/$L$1)</f>
        <v xml:space="preserve"> </v>
      </c>
      <c r="S96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6" s="30" t="str">
        <f>IF(Inventory_List_Table341115109[[#This Row],[Q]]&lt;0.1, " ",Inventory_List_Table341115109[[#This Row],[AQ RND USD]]*1.4)</f>
        <v xml:space="preserve"> </v>
      </c>
      <c r="U96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6" s="30" t="str">
        <f>IF(Inventory_List_Table341115109[[#This Row],[Q]]&lt;0.1, " ",Inventory_List_Table341115109[[#This Row],[LND RND USD]]*12)</f>
        <v xml:space="preserve"> </v>
      </c>
      <c r="W96" s="30" t="str">
        <f>IF(Inventory_List_Table341115109[[#This Row],[Q]]&lt;0.1, " ",Inventory_List_Table341115109[[#This Row],[AQ USD]])</f>
        <v xml:space="preserve"> </v>
      </c>
      <c r="X96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6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6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6" s="30" t="str">
        <f>IF(Inventory_List_Table341115109[[#This Row],[Q]]&lt;0.1, " ",Inventory_List_Table341115109[[#This Row],[PRICE]]/Z96*10000)</f>
        <v xml:space="preserve"> </v>
      </c>
      <c r="AB96" s="120"/>
      <c r="AC96" s="1"/>
      <c r="AD96" s="1"/>
    </row>
    <row r="97" spans="1:30" ht="24" customHeight="1" x14ac:dyDescent="0.3">
      <c r="A97" s="113">
        <v>95</v>
      </c>
      <c r="B97" s="1"/>
      <c r="C97" s="116"/>
      <c r="D97" s="116"/>
      <c r="E97" s="116"/>
      <c r="F97" s="38" t="str">
        <f>IF(Inventory_List_Table341115109[[#This Row],[Q]]&lt;0.1, " ",$A$1&amp;$D$1&amp;Inventory_List_Table341115109[[#This Row],['#]]&amp;Inventory_List_Table341115109[[#This Row],[LC]])</f>
        <v xml:space="preserve"> </v>
      </c>
      <c r="G97" s="116"/>
      <c r="H97" s="116"/>
      <c r="I97" s="116"/>
      <c r="J97" s="116"/>
      <c r="K97" s="116"/>
      <c r="L97" s="118"/>
      <c r="M97" s="30" t="str">
        <f>IF(Inventory_List_Table341115109[[#This Row],[Q]]&lt;0.1, " ", Inventory_List_Table341115109[[#This Row],[Q]]*Inventory_List_Table341115109[[#This Row],[PRICE]])</f>
        <v xml:space="preserve"> </v>
      </c>
      <c r="N97" s="35" t="str">
        <f>IF(Inventory_List_Table341115109[[#This Row],[Q]]&lt;0.1, " ", Inventory_List_Table341115109[[#This Row],[KG]]*2.20462)</f>
        <v xml:space="preserve"> </v>
      </c>
      <c r="O97" s="35" t="str">
        <f>IF(Inventory_List_Table341115109[[#This Row],[Q]]&lt;0.1, " ",Inventory_List_Table341115109[[#This Row],[H CM]]/2.54)</f>
        <v xml:space="preserve"> </v>
      </c>
      <c r="P97" s="35" t="str">
        <f>IF(Inventory_List_Table341115109[[#This Row],[Q]]&lt;0.1, " ",Inventory_List_Table341115109[[#This Row],[W CM]]/2.54)</f>
        <v xml:space="preserve"> </v>
      </c>
      <c r="Q97" s="35" t="str">
        <f>IF(Inventory_List_Table341115109[[#This Row],[Q]]&lt;0.1, " ",Inventory_List_Table341115109[[#This Row],[D CM ]]/2.54)</f>
        <v xml:space="preserve"> </v>
      </c>
      <c r="R97" s="30" t="str">
        <f>IF(Inventory_List_Table341115109[[#This Row],[Q]]&lt;0.1, " ",Inventory_List_Table341115109[[#This Row],[PRICE]]/$L$1)</f>
        <v xml:space="preserve"> </v>
      </c>
      <c r="S97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7" s="30" t="str">
        <f>IF(Inventory_List_Table341115109[[#This Row],[Q]]&lt;0.1, " ",Inventory_List_Table341115109[[#This Row],[AQ RND USD]]*1.4)</f>
        <v xml:space="preserve"> </v>
      </c>
      <c r="U97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7" s="30" t="str">
        <f>IF(Inventory_List_Table341115109[[#This Row],[Q]]&lt;0.1, " ",Inventory_List_Table341115109[[#This Row],[LND RND USD]]*12)</f>
        <v xml:space="preserve"> </v>
      </c>
      <c r="W97" s="30" t="str">
        <f>IF(Inventory_List_Table341115109[[#This Row],[Q]]&lt;0.1, " ",Inventory_List_Table341115109[[#This Row],[AQ USD]])</f>
        <v xml:space="preserve"> </v>
      </c>
      <c r="X97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7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7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7" s="30" t="str">
        <f>IF(Inventory_List_Table341115109[[#This Row],[Q]]&lt;0.1, " ",Inventory_List_Table341115109[[#This Row],[PRICE]]/Z97*10000)</f>
        <v xml:space="preserve"> </v>
      </c>
      <c r="AB97" s="120"/>
      <c r="AC97" s="1"/>
      <c r="AD97" s="1"/>
    </row>
    <row r="98" spans="1:30" ht="24" customHeight="1" x14ac:dyDescent="0.3">
      <c r="A98" s="113">
        <v>96</v>
      </c>
      <c r="B98" s="1"/>
      <c r="C98" s="116"/>
      <c r="D98" s="116"/>
      <c r="E98" s="116"/>
      <c r="F98" s="38" t="str">
        <f>IF(Inventory_List_Table341115109[[#This Row],[Q]]&lt;0.1, " ",$A$1&amp;$D$1&amp;Inventory_List_Table341115109[[#This Row],['#]]&amp;Inventory_List_Table341115109[[#This Row],[LC]])</f>
        <v xml:space="preserve"> </v>
      </c>
      <c r="G98" s="116"/>
      <c r="H98" s="116"/>
      <c r="I98" s="116"/>
      <c r="J98" s="116"/>
      <c r="K98" s="116"/>
      <c r="L98" s="118"/>
      <c r="M98" s="30" t="str">
        <f>IF(Inventory_List_Table341115109[[#This Row],[Q]]&lt;0.1, " ", Inventory_List_Table341115109[[#This Row],[Q]]*Inventory_List_Table341115109[[#This Row],[PRICE]])</f>
        <v xml:space="preserve"> </v>
      </c>
      <c r="N98" s="35" t="str">
        <f>IF(Inventory_List_Table341115109[[#This Row],[Q]]&lt;0.1, " ", Inventory_List_Table341115109[[#This Row],[KG]]*2.20462)</f>
        <v xml:space="preserve"> </v>
      </c>
      <c r="O98" s="35" t="str">
        <f>IF(Inventory_List_Table341115109[[#This Row],[Q]]&lt;0.1, " ",Inventory_List_Table341115109[[#This Row],[H CM]]/2.54)</f>
        <v xml:space="preserve"> </v>
      </c>
      <c r="P98" s="35" t="str">
        <f>IF(Inventory_List_Table341115109[[#This Row],[Q]]&lt;0.1, " ",Inventory_List_Table341115109[[#This Row],[W CM]]/2.54)</f>
        <v xml:space="preserve"> </v>
      </c>
      <c r="Q98" s="35" t="str">
        <f>IF(Inventory_List_Table341115109[[#This Row],[Q]]&lt;0.1, " ",Inventory_List_Table341115109[[#This Row],[D CM ]]/2.54)</f>
        <v xml:space="preserve"> </v>
      </c>
      <c r="R98" s="30" t="str">
        <f>IF(Inventory_List_Table341115109[[#This Row],[Q]]&lt;0.1, " ",Inventory_List_Table341115109[[#This Row],[PRICE]]/$L$1)</f>
        <v xml:space="preserve"> </v>
      </c>
      <c r="S98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8" s="30" t="str">
        <f>IF(Inventory_List_Table341115109[[#This Row],[Q]]&lt;0.1, " ",Inventory_List_Table341115109[[#This Row],[AQ RND USD]]*1.4)</f>
        <v xml:space="preserve"> </v>
      </c>
      <c r="U98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8" s="30" t="str">
        <f>IF(Inventory_List_Table341115109[[#This Row],[Q]]&lt;0.1, " ",Inventory_List_Table341115109[[#This Row],[LND RND USD]]*12)</f>
        <v xml:space="preserve"> </v>
      </c>
      <c r="W98" s="30" t="str">
        <f>IF(Inventory_List_Table341115109[[#This Row],[Q]]&lt;0.1, " ",Inventory_List_Table341115109[[#This Row],[AQ USD]])</f>
        <v xml:space="preserve"> </v>
      </c>
      <c r="X98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8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8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8" s="30" t="str">
        <f>IF(Inventory_List_Table341115109[[#This Row],[Q]]&lt;0.1, " ",Inventory_List_Table341115109[[#This Row],[PRICE]]/Z98*10000)</f>
        <v xml:space="preserve"> </v>
      </c>
      <c r="AB98" s="120"/>
      <c r="AC98" s="1"/>
      <c r="AD98" s="1"/>
    </row>
    <row r="99" spans="1:30" ht="24" customHeight="1" x14ac:dyDescent="0.3">
      <c r="A99" s="113">
        <v>97</v>
      </c>
      <c r="B99" s="1"/>
      <c r="C99" s="116"/>
      <c r="D99" s="116"/>
      <c r="E99" s="116"/>
      <c r="F99" s="38" t="str">
        <f>IF(Inventory_List_Table341115109[[#This Row],[Q]]&lt;0.1, " ",$A$1&amp;$D$1&amp;Inventory_List_Table341115109[[#This Row],['#]]&amp;Inventory_List_Table341115109[[#This Row],[LC]])</f>
        <v xml:space="preserve"> </v>
      </c>
      <c r="G99" s="116"/>
      <c r="H99" s="116"/>
      <c r="I99" s="116"/>
      <c r="J99" s="116"/>
      <c r="K99" s="116"/>
      <c r="L99" s="118"/>
      <c r="M99" s="30" t="str">
        <f>IF(Inventory_List_Table341115109[[#This Row],[Q]]&lt;0.1, " ", Inventory_List_Table341115109[[#This Row],[Q]]*Inventory_List_Table341115109[[#This Row],[PRICE]])</f>
        <v xml:space="preserve"> </v>
      </c>
      <c r="N99" s="35" t="str">
        <f>IF(Inventory_List_Table341115109[[#This Row],[Q]]&lt;0.1, " ", Inventory_List_Table341115109[[#This Row],[KG]]*2.20462)</f>
        <v xml:space="preserve"> </v>
      </c>
      <c r="O99" s="35" t="str">
        <f>IF(Inventory_List_Table341115109[[#This Row],[Q]]&lt;0.1, " ",Inventory_List_Table341115109[[#This Row],[H CM]]/2.54)</f>
        <v xml:space="preserve"> </v>
      </c>
      <c r="P99" s="35" t="str">
        <f>IF(Inventory_List_Table341115109[[#This Row],[Q]]&lt;0.1, " ",Inventory_List_Table341115109[[#This Row],[W CM]]/2.54)</f>
        <v xml:space="preserve"> </v>
      </c>
      <c r="Q99" s="35" t="str">
        <f>IF(Inventory_List_Table341115109[[#This Row],[Q]]&lt;0.1, " ",Inventory_List_Table341115109[[#This Row],[D CM ]]/2.54)</f>
        <v xml:space="preserve"> </v>
      </c>
      <c r="R99" s="30" t="str">
        <f>IF(Inventory_List_Table341115109[[#This Row],[Q]]&lt;0.1, " ",Inventory_List_Table341115109[[#This Row],[PRICE]]/$L$1)</f>
        <v xml:space="preserve"> </v>
      </c>
      <c r="S99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99" s="30" t="str">
        <f>IF(Inventory_List_Table341115109[[#This Row],[Q]]&lt;0.1, " ",Inventory_List_Table341115109[[#This Row],[AQ RND USD]]*1.4)</f>
        <v xml:space="preserve"> </v>
      </c>
      <c r="U99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99" s="30" t="str">
        <f>IF(Inventory_List_Table341115109[[#This Row],[Q]]&lt;0.1, " ",Inventory_List_Table341115109[[#This Row],[LND RND USD]]*12)</f>
        <v xml:space="preserve"> </v>
      </c>
      <c r="W99" s="30" t="str">
        <f>IF(Inventory_List_Table341115109[[#This Row],[Q]]&lt;0.1, " ",Inventory_List_Table341115109[[#This Row],[AQ USD]])</f>
        <v xml:space="preserve"> </v>
      </c>
      <c r="X99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99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99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99" s="30" t="str">
        <f>IF(Inventory_List_Table341115109[[#This Row],[Q]]&lt;0.1, " ",Inventory_List_Table341115109[[#This Row],[PRICE]]/Z99*10000)</f>
        <v xml:space="preserve"> </v>
      </c>
      <c r="AB99" s="120"/>
      <c r="AC99" s="1"/>
      <c r="AD99" s="1"/>
    </row>
    <row r="100" spans="1:30" ht="24" customHeight="1" x14ac:dyDescent="0.3">
      <c r="A100" s="113">
        <v>98</v>
      </c>
      <c r="B100" s="1"/>
      <c r="C100" s="116"/>
      <c r="D100" s="116"/>
      <c r="E100" s="116"/>
      <c r="F100" s="38" t="str">
        <f>IF(Inventory_List_Table341115109[[#This Row],[Q]]&lt;0.1, " ",$A$1&amp;$D$1&amp;Inventory_List_Table341115109[[#This Row],['#]]&amp;Inventory_List_Table341115109[[#This Row],[LC]])</f>
        <v xml:space="preserve"> </v>
      </c>
      <c r="G100" s="116"/>
      <c r="H100" s="116"/>
      <c r="I100" s="116"/>
      <c r="J100" s="116"/>
      <c r="K100" s="116"/>
      <c r="L100" s="118"/>
      <c r="M100" s="30" t="str">
        <f>IF(Inventory_List_Table341115109[[#This Row],[Q]]&lt;0.1, " ", Inventory_List_Table341115109[[#This Row],[Q]]*Inventory_List_Table341115109[[#This Row],[PRICE]])</f>
        <v xml:space="preserve"> </v>
      </c>
      <c r="N100" s="35" t="str">
        <f>IF(Inventory_List_Table341115109[[#This Row],[Q]]&lt;0.1, " ", Inventory_List_Table341115109[[#This Row],[KG]]*2.20462)</f>
        <v xml:space="preserve"> </v>
      </c>
      <c r="O100" s="35" t="str">
        <f>IF(Inventory_List_Table341115109[[#This Row],[Q]]&lt;0.1, " ",Inventory_List_Table341115109[[#This Row],[H CM]]/2.54)</f>
        <v xml:space="preserve"> </v>
      </c>
      <c r="P100" s="35" t="str">
        <f>IF(Inventory_List_Table341115109[[#This Row],[Q]]&lt;0.1, " ",Inventory_List_Table341115109[[#This Row],[W CM]]/2.54)</f>
        <v xml:space="preserve"> </v>
      </c>
      <c r="Q100" s="35" t="str">
        <f>IF(Inventory_List_Table341115109[[#This Row],[Q]]&lt;0.1, " ",Inventory_List_Table341115109[[#This Row],[D CM ]]/2.54)</f>
        <v xml:space="preserve"> </v>
      </c>
      <c r="R100" s="30" t="str">
        <f>IF(Inventory_List_Table341115109[[#This Row],[Q]]&lt;0.1, " ",Inventory_List_Table341115109[[#This Row],[PRICE]]/$L$1)</f>
        <v xml:space="preserve"> </v>
      </c>
      <c r="S100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00" s="30" t="str">
        <f>IF(Inventory_List_Table341115109[[#This Row],[Q]]&lt;0.1, " ",Inventory_List_Table341115109[[#This Row],[AQ RND USD]]*1.4)</f>
        <v xml:space="preserve"> </v>
      </c>
      <c r="U100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00" s="30" t="str">
        <f>IF(Inventory_List_Table341115109[[#This Row],[Q]]&lt;0.1, " ",Inventory_List_Table341115109[[#This Row],[LND RND USD]]*12)</f>
        <v xml:space="preserve"> </v>
      </c>
      <c r="W100" s="30" t="str">
        <f>IF(Inventory_List_Table341115109[[#This Row],[Q]]&lt;0.1, " ",Inventory_List_Table341115109[[#This Row],[AQ USD]])</f>
        <v xml:space="preserve"> </v>
      </c>
      <c r="X100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00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00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00" s="30" t="str">
        <f>IF(Inventory_List_Table341115109[[#This Row],[Q]]&lt;0.1, " ",Inventory_List_Table341115109[[#This Row],[PRICE]]/Z100*10000)</f>
        <v xml:space="preserve"> </v>
      </c>
      <c r="AB100" s="120"/>
      <c r="AC100" s="1"/>
      <c r="AD100" s="1"/>
    </row>
    <row r="101" spans="1:30" ht="24" customHeight="1" x14ac:dyDescent="0.3">
      <c r="A101" s="113">
        <v>99</v>
      </c>
      <c r="B101" s="1"/>
      <c r="C101" s="116"/>
      <c r="D101" s="116"/>
      <c r="E101" s="116"/>
      <c r="F101" s="38" t="str">
        <f>IF(Inventory_List_Table341115109[[#This Row],[Q]]&lt;0.1, " ",$A$1&amp;$D$1&amp;Inventory_List_Table341115109[[#This Row],['#]]&amp;Inventory_List_Table341115109[[#This Row],[LC]])</f>
        <v xml:space="preserve"> </v>
      </c>
      <c r="G101" s="116"/>
      <c r="H101" s="116"/>
      <c r="I101" s="116"/>
      <c r="J101" s="116"/>
      <c r="K101" s="116"/>
      <c r="L101" s="118"/>
      <c r="M101" s="30" t="str">
        <f>IF(Inventory_List_Table341115109[[#This Row],[Q]]&lt;0.1, " ", Inventory_List_Table341115109[[#This Row],[Q]]*Inventory_List_Table341115109[[#This Row],[PRICE]])</f>
        <v xml:space="preserve"> </v>
      </c>
      <c r="N101" s="35" t="str">
        <f>IF(Inventory_List_Table341115109[[#This Row],[Q]]&lt;0.1, " ", Inventory_List_Table341115109[[#This Row],[KG]]*2.20462)</f>
        <v xml:space="preserve"> </v>
      </c>
      <c r="O101" s="35" t="str">
        <f>IF(Inventory_List_Table341115109[[#This Row],[Q]]&lt;0.1, " ",Inventory_List_Table341115109[[#This Row],[H CM]]/2.54)</f>
        <v xml:space="preserve"> </v>
      </c>
      <c r="P101" s="35" t="str">
        <f>IF(Inventory_List_Table341115109[[#This Row],[Q]]&lt;0.1, " ",Inventory_List_Table341115109[[#This Row],[W CM]]/2.54)</f>
        <v xml:space="preserve"> </v>
      </c>
      <c r="Q101" s="35" t="str">
        <f>IF(Inventory_List_Table341115109[[#This Row],[Q]]&lt;0.1, " ",Inventory_List_Table341115109[[#This Row],[D CM ]]/2.54)</f>
        <v xml:space="preserve"> </v>
      </c>
      <c r="R101" s="30" t="str">
        <f>IF(Inventory_List_Table341115109[[#This Row],[Q]]&lt;0.1, " ",Inventory_List_Table341115109[[#This Row],[PRICE]]/$L$1)</f>
        <v xml:space="preserve"> </v>
      </c>
      <c r="S101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01" s="30" t="str">
        <f>IF(Inventory_List_Table341115109[[#This Row],[Q]]&lt;0.1, " ",Inventory_List_Table341115109[[#This Row],[AQ RND USD]]*1.4)</f>
        <v xml:space="preserve"> </v>
      </c>
      <c r="U101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01" s="30" t="str">
        <f>IF(Inventory_List_Table341115109[[#This Row],[Q]]&lt;0.1, " ",Inventory_List_Table341115109[[#This Row],[LND RND USD]]*12)</f>
        <v xml:space="preserve"> </v>
      </c>
      <c r="W101" s="30" t="str">
        <f>IF(Inventory_List_Table341115109[[#This Row],[Q]]&lt;0.1, " ",Inventory_List_Table341115109[[#This Row],[AQ USD]])</f>
        <v xml:space="preserve"> </v>
      </c>
      <c r="X101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01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01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01" s="30" t="str">
        <f>IF(Inventory_List_Table341115109[[#This Row],[Q]]&lt;0.1, " ",Inventory_List_Table341115109[[#This Row],[PRICE]]/Z101*10000)</f>
        <v xml:space="preserve"> </v>
      </c>
      <c r="AB101" s="120"/>
      <c r="AC101" s="1"/>
      <c r="AD101" s="1"/>
    </row>
    <row r="102" spans="1:30" ht="24" customHeight="1" x14ac:dyDescent="0.3">
      <c r="A102" s="113">
        <v>100</v>
      </c>
      <c r="B102" s="1"/>
      <c r="C102" s="116"/>
      <c r="D102" s="116"/>
      <c r="E102" s="116"/>
      <c r="F102" s="38" t="str">
        <f>IF(Inventory_List_Table341115109[[#This Row],[Q]]&lt;0.1, " ",$A$1&amp;$D$1&amp;Inventory_List_Table341115109[[#This Row],['#]]&amp;Inventory_List_Table341115109[[#This Row],[LC]])</f>
        <v xml:space="preserve"> </v>
      </c>
      <c r="G102" s="116"/>
      <c r="H102" s="116"/>
      <c r="I102" s="116"/>
      <c r="J102" s="116"/>
      <c r="K102" s="116"/>
      <c r="L102" s="118"/>
      <c r="M102" s="30" t="str">
        <f>IF(Inventory_List_Table341115109[[#This Row],[Q]]&lt;0.1, " ", Inventory_List_Table341115109[[#This Row],[Q]]*Inventory_List_Table341115109[[#This Row],[PRICE]])</f>
        <v xml:space="preserve"> </v>
      </c>
      <c r="N102" s="35" t="str">
        <f>IF(Inventory_List_Table341115109[[#This Row],[Q]]&lt;0.1, " ", Inventory_List_Table341115109[[#This Row],[KG]]*2.20462)</f>
        <v xml:space="preserve"> </v>
      </c>
      <c r="O102" s="35" t="str">
        <f>IF(Inventory_List_Table341115109[[#This Row],[Q]]&lt;0.1, " ",Inventory_List_Table341115109[[#This Row],[H CM]]/2.54)</f>
        <v xml:space="preserve"> </v>
      </c>
      <c r="P102" s="35" t="str">
        <f>IF(Inventory_List_Table341115109[[#This Row],[Q]]&lt;0.1, " ",Inventory_List_Table341115109[[#This Row],[W CM]]/2.54)</f>
        <v xml:space="preserve"> </v>
      </c>
      <c r="Q102" s="35" t="str">
        <f>IF(Inventory_List_Table341115109[[#This Row],[Q]]&lt;0.1, " ",Inventory_List_Table341115109[[#This Row],[D CM ]]/2.54)</f>
        <v xml:space="preserve"> </v>
      </c>
      <c r="R102" s="30" t="str">
        <f>IF(Inventory_List_Table341115109[[#This Row],[Q]]&lt;0.1, " ",Inventory_List_Table341115109[[#This Row],[PRICE]]/$L$1)</f>
        <v xml:space="preserve"> </v>
      </c>
      <c r="S102" s="30" t="str">
        <f>IF(Inventory_List_Table341115109[[#This Row],[Q]]&lt;0.1, " ",IF(MOD(Inventory_List_Table341115109[[#This Row],[AQ USD]],1)&gt;0.4,ROUNDUP(Inventory_List_Table341115109[[#This Row],[AQ USD]],0),ROUNDDOWN(Inventory_List_Table341115109[[#This Row],[AQ USD]],0)))</f>
        <v xml:space="preserve"> </v>
      </c>
      <c r="T102" s="30" t="str">
        <f>IF(Inventory_List_Table341115109[[#This Row],[Q]]&lt;0.1, " ",Inventory_List_Table341115109[[#This Row],[AQ RND USD]]*1.4)</f>
        <v xml:space="preserve"> </v>
      </c>
      <c r="U102" s="30" t="str">
        <f>IF(Inventory_List_Table341115109[[#This Row],[Q]]&lt;0.1, " ",IF(MOD(Inventory_List_Table341115109[[#This Row],[LND USD]],1)&gt;0.4,ROUNDUP(Inventory_List_Table341115109[[#This Row],[LND USD]],0),ROUNDDOWN(Inventory_List_Table341115109[[#This Row],[LND USD]],0)))</f>
        <v xml:space="preserve"> </v>
      </c>
      <c r="V102" s="30" t="str">
        <f>IF(Inventory_List_Table341115109[[#This Row],[Q]]&lt;0.1, " ",Inventory_List_Table341115109[[#This Row],[LND RND USD]]*12)</f>
        <v xml:space="preserve"> </v>
      </c>
      <c r="W102" s="30" t="str">
        <f>IF(Inventory_List_Table341115109[[#This Row],[Q]]&lt;0.1, " ",Inventory_List_Table341115109[[#This Row],[AQ USD]])</f>
        <v xml:space="preserve"> </v>
      </c>
      <c r="X102" s="1" t="str">
        <f>IF(Inventory_List_Table341115109[[#This Row],[Q]]&lt;0.1, " ",SUBSTITUTE(SUBSTITUTE(SUBSTITUTE(SUBSTITUTE(SUBSTITUTE(SUBSTITUTE(SUBSTITUTE(SUBSTITUTE(SUBSTITUTE(SUBSTITUTE(Inventory_List_Table341115109[[#This Row],[AQ RND USD]], "1", "M"), "2", "O"), "3", "X"), "4", "H"), "5", "E"), "6", "L"), "7", "F"), "8", "A"), "9", "N"), "0", "D"))</f>
        <v xml:space="preserve"> </v>
      </c>
      <c r="Y102" s="1" t="str">
        <f>IF(Inventory_List_Table341115109[[#This Row],[Q]]&lt;0.1, " ",SUBSTITUTE(SUBSTITUTE(SUBSTITUTE(SUBSTITUTE(SUBSTITUTE(SUBSTITUTE(SUBSTITUTE(SUBSTITUTE(SUBSTITUTE(SUBSTITUTE(Inventory_List_Table341115109[[#This Row],[LND RND USD]], "1", "M"), "2", "O"), "3", "X"), "4", "H"), "5", "E"), "6", "L"), "7", "F"), "8", "A"), "9", "N"), "0", "D"))</f>
        <v xml:space="preserve"> </v>
      </c>
      <c r="Z102" s="1" t="str">
        <f>IF(Inventory_List_Table341115109[[#This Row],[Q]]&lt;0.1, " ",Inventory_List_Table341115109[[#This Row],[H CM]]*Inventory_List_Table341115109[[#This Row],[D CM ]]*4+Inventory_List_Table341115109[[#This Row],[W CM]]*Inventory_List_Table341115109[[#This Row],[D CM ]]/10000)</f>
        <v xml:space="preserve"> </v>
      </c>
      <c r="AA102" s="30" t="str">
        <f>IF(Inventory_List_Table341115109[[#This Row],[Q]]&lt;0.1, " ",Inventory_List_Table341115109[[#This Row],[PRICE]]/Z102*10000)</f>
        <v xml:space="preserve"> </v>
      </c>
      <c r="AB102" s="120"/>
      <c r="AC102" s="1"/>
      <c r="AD102" s="1"/>
    </row>
  </sheetData>
  <dataValidations count="12">
    <dataValidation allowBlank="1" showInputMessage="1" showErrorMessage="1" prompt="Enter a description of the item in this column" sqref="G2:G3" xr:uid="{8F3E9A3D-708E-45CC-8785-A62CEF0775C9}"/>
    <dataValidation allowBlank="1" showInputMessage="1" showErrorMessage="1" prompt="Enter the unit price of each item in this column" sqref="H2:H3" xr:uid="{E8C1F9EF-5809-4CA3-9944-2DDCD61AAF31}"/>
    <dataValidation allowBlank="1" showInputMessage="1" showErrorMessage="1" prompt="Enter the quantity in stock for each item in this column" sqref="I2:I3" xr:uid="{E16D2939-2472-4A97-A036-7F0CFC1F2E2E}"/>
    <dataValidation allowBlank="1" showInputMessage="1" showErrorMessage="1" prompt="This is an automated column._x000a__x000a_The inventory value for each item is automatically calculated in this column." sqref="J2:J3" xr:uid="{ADF26DC6-F5B8-40F2-AE63-F30B6A0B8F8E}"/>
    <dataValidation allowBlank="1" showInputMessage="1" showErrorMessage="1" prompt="Enter the reorder level for each item in this column" sqref="K2:K3" xr:uid="{1A8EE97E-8679-42CE-9941-E2E6F493F8FE}"/>
    <dataValidation allowBlank="1" showInputMessage="1" showErrorMessage="1" prompt="Enter the number of days it takes to reorder each item in this column" sqref="L2:N3" xr:uid="{BF8D5716-9707-4810-99FC-4CE2DCBA4C1B}"/>
    <dataValidation allowBlank="1" showInputMessage="1" showErrorMessage="1" prompt="Enter the quantity in reorder for each item in this column" sqref="O2:O3" xr:uid="{07A96418-73EA-418D-A02D-74B1C1EBF445}"/>
    <dataValidation allowBlank="1" showInputMessage="1" showErrorMessage="1" prompt="Enter yes if the item has been discontinued. When a yes is entered, the corresponding row is highlighted a light grey and the font style changed to strikethrough" sqref="P2:P3" xr:uid="{8920F1D4-7B89-47C6-8050-917E4C591B05}"/>
    <dataValidation allowBlank="1" showInputMessage="1" showErrorMessage="1" prompt="Enter the name of the item in this column" sqref="F2:F102" xr:uid="{A1B707F5-BC2A-4BB0-82F3-850F1C7ED799}"/>
    <dataValidation allowBlank="1" showInputMessage="1" showErrorMessage="1" prompt="Enter the item inventory ID in this column" sqref="E2:E4" xr:uid="{DED5B206-77FE-4015-99BC-B29BE4D64AE5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 C4:D4" xr:uid="{1713DC9E-D8D3-4225-B94E-BCFCFF11D47B}"/>
    <dataValidation allowBlank="1" showInputMessage="1" showErrorMessage="1" prompt="Enter company name in this cell" sqref="B1" xr:uid="{B2217C9A-374F-41B1-8282-C231B5C0407F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2518-6F00-4D90-9A6C-2C3AA65C8192}">
  <sheetPr>
    <tabColor rgb="FFFFED00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1.75" style="29" customWidth="1"/>
    <col min="3" max="3" width="31" style="29" bestFit="1" customWidth="1"/>
    <col min="4" max="4" width="13.125" style="29" bestFit="1" customWidth="1"/>
    <col min="5" max="5" width="15.75" style="29" bestFit="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31.6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5.37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133" t="s">
        <v>26</v>
      </c>
      <c r="B1" s="132" t="s">
        <v>27</v>
      </c>
      <c r="C1" s="132" t="s">
        <v>17</v>
      </c>
      <c r="D1" s="132">
        <v>326</v>
      </c>
      <c r="E1" s="132"/>
      <c r="F1" s="132"/>
      <c r="G1" s="132"/>
      <c r="H1" s="132"/>
      <c r="I1" s="132"/>
      <c r="J1" s="134"/>
      <c r="K1" s="132" t="s">
        <v>18</v>
      </c>
      <c r="L1" s="135">
        <v>18</v>
      </c>
      <c r="M1" s="555">
        <f>SUM(Inventory_List_Table34111510911[TOTAL PESOS])</f>
        <v>27000</v>
      </c>
      <c r="N1" s="136"/>
      <c r="O1" s="136"/>
      <c r="P1" s="136"/>
      <c r="Q1" s="137"/>
      <c r="R1" s="138"/>
      <c r="S1" s="139"/>
      <c r="T1" s="140"/>
      <c r="U1" s="140"/>
      <c r="V1" s="140"/>
      <c r="W1" s="556">
        <f>SUM(Inventory_List_Table34111510911[TOTAL USD])</f>
        <v>1500</v>
      </c>
      <c r="X1" s="141"/>
      <c r="Y1" s="141"/>
      <c r="Z1" s="141"/>
      <c r="AA1" s="142" t="e">
        <f>IF(G3&gt;0.1, AVERAGE(Inventory_List_Table34111510911[NOTES]), " ")</f>
        <v>#DIV/0!</v>
      </c>
      <c r="AB1" s="138"/>
    </row>
    <row r="2" spans="1:30" s="39" customFormat="1" ht="40.9" customHeight="1" x14ac:dyDescent="0.25">
      <c r="A2" s="143" t="s">
        <v>19</v>
      </c>
      <c r="B2" s="144" t="s">
        <v>56</v>
      </c>
      <c r="C2" s="143" t="s">
        <v>146</v>
      </c>
      <c r="D2" s="143" t="s">
        <v>145</v>
      </c>
      <c r="E2" s="143" t="s">
        <v>55</v>
      </c>
      <c r="F2" s="143" t="s">
        <v>20</v>
      </c>
      <c r="G2" s="143" t="s">
        <v>9</v>
      </c>
      <c r="H2" s="143" t="s">
        <v>10</v>
      </c>
      <c r="I2" s="143" t="s">
        <v>15</v>
      </c>
      <c r="J2" s="143" t="s">
        <v>11</v>
      </c>
      <c r="K2" s="143" t="s">
        <v>12</v>
      </c>
      <c r="L2" s="144" t="s">
        <v>25</v>
      </c>
      <c r="M2" s="145" t="s">
        <v>21</v>
      </c>
      <c r="N2" s="146" t="s">
        <v>13</v>
      </c>
      <c r="O2" s="146" t="s">
        <v>22</v>
      </c>
      <c r="P2" s="146" t="s">
        <v>23</v>
      </c>
      <c r="Q2" s="146" t="s">
        <v>24</v>
      </c>
      <c r="R2" s="147" t="s">
        <v>57</v>
      </c>
      <c r="S2" s="144" t="s">
        <v>58</v>
      </c>
      <c r="T2" s="147" t="s">
        <v>59</v>
      </c>
      <c r="U2" s="147" t="s">
        <v>60</v>
      </c>
      <c r="V2" s="147" t="s">
        <v>61</v>
      </c>
      <c r="W2" s="148" t="s">
        <v>14</v>
      </c>
      <c r="X2" s="148" t="s">
        <v>16</v>
      </c>
      <c r="Y2" s="148" t="s">
        <v>1</v>
      </c>
      <c r="Z2" s="132" t="s">
        <v>62</v>
      </c>
      <c r="AA2" s="135" t="s">
        <v>63</v>
      </c>
      <c r="AB2" s="132" t="s">
        <v>64</v>
      </c>
    </row>
    <row r="3" spans="1:30" s="29" customFormat="1" ht="23.25" x14ac:dyDescent="0.35">
      <c r="A3" s="154">
        <v>1</v>
      </c>
      <c r="B3" s="1"/>
      <c r="C3" s="151" t="s">
        <v>147</v>
      </c>
      <c r="D3" s="151" t="s">
        <v>148</v>
      </c>
      <c r="E3" s="151" t="s">
        <v>149</v>
      </c>
      <c r="F3" s="38" t="str">
        <f>IF(Inventory_List_Table34111510911[[#This Row],[Q]]&lt;0.1, " ",$A$1&amp;$D$1&amp;Inventory_List_Table34111510911[[#This Row],['#]]&amp;Inventory_List_Table34111510911[[#This Row],[LC]])</f>
        <v>AN3261OMDD</v>
      </c>
      <c r="G3" s="151">
        <v>1</v>
      </c>
      <c r="H3" s="151"/>
      <c r="I3" s="151"/>
      <c r="J3" s="151"/>
      <c r="K3" s="151"/>
      <c r="L3" s="152">
        <v>27000</v>
      </c>
      <c r="M3" s="30">
        <f>IF(Inventory_List_Table34111510911[[#This Row],[Q]]&lt;0.1, " ", Inventory_List_Table34111510911[[#This Row],[Q]]*Inventory_List_Table34111510911[[#This Row],[PRICE]])</f>
        <v>27000</v>
      </c>
      <c r="N3" s="35">
        <f>IF(Inventory_List_Table34111510911[[#This Row],[Q]]&lt;0.1, " ", Inventory_List_Table34111510911[[#This Row],[KG]]*2.20462)</f>
        <v>0</v>
      </c>
      <c r="O3" s="35">
        <f>IF(Inventory_List_Table34111510911[[#This Row],[Q]]&lt;0.1, " ",Inventory_List_Table34111510911[[#This Row],[H CM]]/2.54)</f>
        <v>0</v>
      </c>
      <c r="P3" s="35">
        <f>IF(Inventory_List_Table34111510911[[#This Row],[Q]]&lt;0.1, " ",Inventory_List_Table34111510911[[#This Row],[W CM]]/2.54)</f>
        <v>0</v>
      </c>
      <c r="Q3" s="35">
        <f>IF(Inventory_List_Table34111510911[[#This Row],[Q]]&lt;0.1, " ",Inventory_List_Table34111510911[[#This Row],[D CM ]]/2.54)</f>
        <v>0</v>
      </c>
      <c r="R3" s="30">
        <f>IF(Inventory_List_Table34111510911[[#This Row],[Q]]&lt;0.1, " ",Inventory_List_Table34111510911[[#This Row],[PRICE]]/$L$1)</f>
        <v>1500</v>
      </c>
      <c r="S3" s="30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>1500</v>
      </c>
      <c r="T3" s="30">
        <f>IF(Inventory_List_Table34111510911[[#This Row],[Q]]&lt;0.1, " ",Inventory_List_Table34111510911[[#This Row],[AQ RND USD]]*1.4)</f>
        <v>2100</v>
      </c>
      <c r="U3" s="30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>2100</v>
      </c>
      <c r="V3" s="30">
        <f>IF(Inventory_List_Table34111510911[[#This Row],[Q]]&lt;0.1, " ",Inventory_List_Table34111510911[[#This Row],[LND RND USD]]*12)</f>
        <v>25200</v>
      </c>
      <c r="W3" s="30">
        <f>IF(Inventory_List_Table34111510911[[#This Row],[Q]]&lt;0.1, " ",Inventory_List_Table34111510911[[#This Row],[AQ USD]])</f>
        <v>1500</v>
      </c>
      <c r="X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>MEDD</v>
      </c>
      <c r="Y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>OMDD</v>
      </c>
      <c r="Z3" s="1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>0</v>
      </c>
      <c r="AA3" s="36" t="e">
        <f>IF(Inventory_List_Table34111510911[[#This Row],[Q]]&lt;0.1, " ",Inventory_List_Table34111510911[[#This Row],[PRICE]]/Z3*10000)</f>
        <v>#DIV/0!</v>
      </c>
      <c r="AB3" s="149"/>
      <c r="AC3" s="27"/>
      <c r="AD3" s="28"/>
    </row>
    <row r="4" spans="1:30" ht="21" x14ac:dyDescent="0.3">
      <c r="A4" s="154">
        <v>2</v>
      </c>
      <c r="B4" s="1"/>
      <c r="C4" s="151"/>
      <c r="D4" s="151"/>
      <c r="E4" s="151"/>
      <c r="F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" s="151"/>
      <c r="H4" s="151"/>
      <c r="I4" s="151"/>
      <c r="J4" s="151"/>
      <c r="K4" s="151"/>
      <c r="L4" s="153"/>
      <c r="M4" s="30" t="str">
        <f>IF(Inventory_List_Table34111510911[[#This Row],[Q]]&lt;0.1, " ", Inventory_List_Table34111510911[[#This Row],[Q]]*Inventory_List_Table34111510911[[#This Row],[PRICE]])</f>
        <v xml:space="preserve"> </v>
      </c>
      <c r="N4" s="35" t="str">
        <f>IF(Inventory_List_Table34111510911[[#This Row],[Q]]&lt;0.1, " ", Inventory_List_Table34111510911[[#This Row],[KG]]*2.20462)</f>
        <v xml:space="preserve"> </v>
      </c>
      <c r="O4" s="35" t="str">
        <f>IF(Inventory_List_Table34111510911[[#This Row],[Q]]&lt;0.1, " ",Inventory_List_Table34111510911[[#This Row],[H CM]]/2.54)</f>
        <v xml:space="preserve"> </v>
      </c>
      <c r="P4" s="35" t="str">
        <f>IF(Inventory_List_Table34111510911[[#This Row],[Q]]&lt;0.1, " ",Inventory_List_Table34111510911[[#This Row],[W CM]]/2.54)</f>
        <v xml:space="preserve"> </v>
      </c>
      <c r="Q4" s="35" t="str">
        <f>IF(Inventory_List_Table34111510911[[#This Row],[Q]]&lt;0.1, " ",Inventory_List_Table34111510911[[#This Row],[D CM ]]/2.54)</f>
        <v xml:space="preserve"> </v>
      </c>
      <c r="R4" s="30" t="str">
        <f>IF(Inventory_List_Table34111510911[[#This Row],[Q]]&lt;0.1, " ",Inventory_List_Table34111510911[[#This Row],[PRICE]]/$L$1)</f>
        <v xml:space="preserve"> </v>
      </c>
      <c r="S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" s="30" t="str">
        <f>IF(Inventory_List_Table34111510911[[#This Row],[Q]]&lt;0.1, " ",Inventory_List_Table34111510911[[#This Row],[AQ RND USD]]*1.4)</f>
        <v xml:space="preserve"> </v>
      </c>
      <c r="U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" s="30" t="str">
        <f>IF(Inventory_List_Table34111510911[[#This Row],[Q]]&lt;0.1, " ",Inventory_List_Table34111510911[[#This Row],[LND RND USD]]*12)</f>
        <v xml:space="preserve"> </v>
      </c>
      <c r="W4" s="30" t="str">
        <f>IF(Inventory_List_Table34111510911[[#This Row],[Q]]&lt;0.1, " ",Inventory_List_Table34111510911[[#This Row],[AQ USD]])</f>
        <v xml:space="preserve"> </v>
      </c>
      <c r="X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" s="30" t="str">
        <f>IF(Inventory_List_Table34111510911[[#This Row],[Q]]&lt;0.1, " ",Inventory_List_Table34111510911[[#This Row],[PRICE]]/Z4*10000)</f>
        <v xml:space="preserve"> </v>
      </c>
      <c r="AB4" s="150"/>
      <c r="AC4" s="1"/>
      <c r="AD4" s="1"/>
    </row>
    <row r="5" spans="1:30" ht="24" customHeight="1" x14ac:dyDescent="0.3">
      <c r="A5" s="154">
        <v>3</v>
      </c>
      <c r="B5" s="1"/>
      <c r="C5" s="151"/>
      <c r="D5" s="151"/>
      <c r="E5" s="151"/>
      <c r="F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" s="151"/>
      <c r="H5" s="151"/>
      <c r="I5" s="151"/>
      <c r="J5" s="151"/>
      <c r="K5" s="151"/>
      <c r="L5" s="153"/>
      <c r="M5" s="30" t="str">
        <f>IF(Inventory_List_Table34111510911[[#This Row],[Q]]&lt;0.1, " ", Inventory_List_Table34111510911[[#This Row],[Q]]*Inventory_List_Table34111510911[[#This Row],[PRICE]])</f>
        <v xml:space="preserve"> </v>
      </c>
      <c r="N5" s="35" t="str">
        <f>IF(Inventory_List_Table34111510911[[#This Row],[Q]]&lt;0.1, " ", Inventory_List_Table34111510911[[#This Row],[KG]]*2.20462)</f>
        <v xml:space="preserve"> </v>
      </c>
      <c r="O5" s="35" t="str">
        <f>IF(Inventory_List_Table34111510911[[#This Row],[Q]]&lt;0.1, " ",Inventory_List_Table34111510911[[#This Row],[H CM]]/2.54)</f>
        <v xml:space="preserve"> </v>
      </c>
      <c r="P5" s="35" t="str">
        <f>IF(Inventory_List_Table34111510911[[#This Row],[Q]]&lt;0.1, " ",Inventory_List_Table34111510911[[#This Row],[W CM]]/2.54)</f>
        <v xml:space="preserve"> </v>
      </c>
      <c r="Q5" s="35" t="str">
        <f>IF(Inventory_List_Table34111510911[[#This Row],[Q]]&lt;0.1, " ",Inventory_List_Table34111510911[[#This Row],[D CM ]]/2.54)</f>
        <v xml:space="preserve"> </v>
      </c>
      <c r="R5" s="30" t="str">
        <f>IF(Inventory_List_Table34111510911[[#This Row],[Q]]&lt;0.1, " ",Inventory_List_Table34111510911[[#This Row],[PRICE]]/$L$1)</f>
        <v xml:space="preserve"> </v>
      </c>
      <c r="S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" s="30" t="str">
        <f>IF(Inventory_List_Table34111510911[[#This Row],[Q]]&lt;0.1, " ",Inventory_List_Table34111510911[[#This Row],[AQ RND USD]]*1.4)</f>
        <v xml:space="preserve"> </v>
      </c>
      <c r="U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" s="30" t="str">
        <f>IF(Inventory_List_Table34111510911[[#This Row],[Q]]&lt;0.1, " ",Inventory_List_Table34111510911[[#This Row],[LND RND USD]]*12)</f>
        <v xml:space="preserve"> </v>
      </c>
      <c r="W5" s="30" t="str">
        <f>IF(Inventory_List_Table34111510911[[#This Row],[Q]]&lt;0.1, " ",Inventory_List_Table34111510911[[#This Row],[AQ USD]])</f>
        <v xml:space="preserve"> </v>
      </c>
      <c r="X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" s="30" t="str">
        <f>IF(Inventory_List_Table34111510911[[#This Row],[Q]]&lt;0.1, " ",Inventory_List_Table34111510911[[#This Row],[PRICE]]/Z5*10000)</f>
        <v xml:space="preserve"> </v>
      </c>
      <c r="AB5" s="150"/>
      <c r="AC5" s="1"/>
      <c r="AD5" s="1"/>
    </row>
    <row r="6" spans="1:30" ht="24" customHeight="1" x14ac:dyDescent="0.3">
      <c r="A6" s="154">
        <v>4</v>
      </c>
      <c r="B6" s="1"/>
      <c r="C6" s="151"/>
      <c r="D6" s="151"/>
      <c r="E6" s="151"/>
      <c r="F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" s="151"/>
      <c r="H6" s="151"/>
      <c r="I6" s="151"/>
      <c r="J6" s="151"/>
      <c r="K6" s="151"/>
      <c r="L6" s="153"/>
      <c r="M6" s="30" t="str">
        <f>IF(Inventory_List_Table34111510911[[#This Row],[Q]]&lt;0.1, " ", Inventory_List_Table34111510911[[#This Row],[Q]]*Inventory_List_Table34111510911[[#This Row],[PRICE]])</f>
        <v xml:space="preserve"> </v>
      </c>
      <c r="N6" s="35" t="str">
        <f>IF(Inventory_List_Table34111510911[[#This Row],[Q]]&lt;0.1, " ", Inventory_List_Table34111510911[[#This Row],[KG]]*2.20462)</f>
        <v xml:space="preserve"> </v>
      </c>
      <c r="O6" s="35" t="str">
        <f>IF(Inventory_List_Table34111510911[[#This Row],[Q]]&lt;0.1, " ",Inventory_List_Table34111510911[[#This Row],[H CM]]/2.54)</f>
        <v xml:space="preserve"> </v>
      </c>
      <c r="P6" s="35" t="str">
        <f>IF(Inventory_List_Table34111510911[[#This Row],[Q]]&lt;0.1, " ",Inventory_List_Table34111510911[[#This Row],[W CM]]/2.54)</f>
        <v xml:space="preserve"> </v>
      </c>
      <c r="Q6" s="35" t="str">
        <f>IF(Inventory_List_Table34111510911[[#This Row],[Q]]&lt;0.1, " ",Inventory_List_Table34111510911[[#This Row],[D CM ]]/2.54)</f>
        <v xml:space="preserve"> </v>
      </c>
      <c r="R6" s="30" t="str">
        <f>IF(Inventory_List_Table34111510911[[#This Row],[Q]]&lt;0.1, " ",Inventory_List_Table34111510911[[#This Row],[PRICE]]/$L$1)</f>
        <v xml:space="preserve"> </v>
      </c>
      <c r="S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" s="30" t="str">
        <f>IF(Inventory_List_Table34111510911[[#This Row],[Q]]&lt;0.1, " ",Inventory_List_Table34111510911[[#This Row],[AQ RND USD]]*1.4)</f>
        <v xml:space="preserve"> </v>
      </c>
      <c r="U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" s="30" t="str">
        <f>IF(Inventory_List_Table34111510911[[#This Row],[Q]]&lt;0.1, " ",Inventory_List_Table34111510911[[#This Row],[LND RND USD]]*12)</f>
        <v xml:space="preserve"> </v>
      </c>
      <c r="W6" s="30" t="str">
        <f>IF(Inventory_List_Table34111510911[[#This Row],[Q]]&lt;0.1, " ",Inventory_List_Table34111510911[[#This Row],[AQ USD]])</f>
        <v xml:space="preserve"> </v>
      </c>
      <c r="X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" s="30" t="str">
        <f>IF(Inventory_List_Table34111510911[[#This Row],[Q]]&lt;0.1, " ",Inventory_List_Table34111510911[[#This Row],[PRICE]]/Z6*10000)</f>
        <v xml:space="preserve"> </v>
      </c>
      <c r="AB6" s="150"/>
      <c r="AC6" s="1"/>
      <c r="AD6" s="1"/>
    </row>
    <row r="7" spans="1:30" ht="24" customHeight="1" x14ac:dyDescent="0.3">
      <c r="A7" s="154">
        <v>5</v>
      </c>
      <c r="B7" s="1"/>
      <c r="C7" s="151"/>
      <c r="D7" s="151"/>
      <c r="E7" s="151"/>
      <c r="F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" s="151"/>
      <c r="H7" s="151"/>
      <c r="I7" s="151"/>
      <c r="J7" s="151"/>
      <c r="K7" s="151"/>
      <c r="L7" s="153"/>
      <c r="M7" s="30" t="str">
        <f>IF(Inventory_List_Table34111510911[[#This Row],[Q]]&lt;0.1, " ", Inventory_List_Table34111510911[[#This Row],[Q]]*Inventory_List_Table34111510911[[#This Row],[PRICE]])</f>
        <v xml:space="preserve"> </v>
      </c>
      <c r="N7" s="35" t="str">
        <f>IF(Inventory_List_Table34111510911[[#This Row],[Q]]&lt;0.1, " ", Inventory_List_Table34111510911[[#This Row],[KG]]*2.20462)</f>
        <v xml:space="preserve"> </v>
      </c>
      <c r="O7" s="35" t="str">
        <f>IF(Inventory_List_Table34111510911[[#This Row],[Q]]&lt;0.1, " ",Inventory_List_Table34111510911[[#This Row],[H CM]]/2.54)</f>
        <v xml:space="preserve"> </v>
      </c>
      <c r="P7" s="35" t="str">
        <f>IF(Inventory_List_Table34111510911[[#This Row],[Q]]&lt;0.1, " ",Inventory_List_Table34111510911[[#This Row],[W CM]]/2.54)</f>
        <v xml:space="preserve"> </v>
      </c>
      <c r="Q7" s="35" t="str">
        <f>IF(Inventory_List_Table34111510911[[#This Row],[Q]]&lt;0.1, " ",Inventory_List_Table34111510911[[#This Row],[D CM ]]/2.54)</f>
        <v xml:space="preserve"> </v>
      </c>
      <c r="R7" s="30" t="str">
        <f>IF(Inventory_List_Table34111510911[[#This Row],[Q]]&lt;0.1, " ",Inventory_List_Table34111510911[[#This Row],[PRICE]]/$L$1)</f>
        <v xml:space="preserve"> </v>
      </c>
      <c r="S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" s="30" t="str">
        <f>IF(Inventory_List_Table34111510911[[#This Row],[Q]]&lt;0.1, " ",Inventory_List_Table34111510911[[#This Row],[AQ RND USD]]*1.4)</f>
        <v xml:space="preserve"> </v>
      </c>
      <c r="U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" s="30" t="str">
        <f>IF(Inventory_List_Table34111510911[[#This Row],[Q]]&lt;0.1, " ",Inventory_List_Table34111510911[[#This Row],[LND RND USD]]*12)</f>
        <v xml:space="preserve"> </v>
      </c>
      <c r="W7" s="30" t="str">
        <f>IF(Inventory_List_Table34111510911[[#This Row],[Q]]&lt;0.1, " ",Inventory_List_Table34111510911[[#This Row],[AQ USD]])</f>
        <v xml:space="preserve"> </v>
      </c>
      <c r="X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" s="30" t="str">
        <f>IF(Inventory_List_Table34111510911[[#This Row],[Q]]&lt;0.1, " ",Inventory_List_Table34111510911[[#This Row],[PRICE]]/Z7*10000)</f>
        <v xml:space="preserve"> </v>
      </c>
      <c r="AB7" s="150"/>
      <c r="AC7" s="1"/>
      <c r="AD7" s="1"/>
    </row>
    <row r="8" spans="1:30" ht="24" customHeight="1" x14ac:dyDescent="0.3">
      <c r="A8" s="154">
        <v>6</v>
      </c>
      <c r="B8" s="1"/>
      <c r="C8" s="151"/>
      <c r="D8" s="151"/>
      <c r="E8" s="151"/>
      <c r="F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" s="151"/>
      <c r="H8" s="151"/>
      <c r="I8" s="151"/>
      <c r="J8" s="151"/>
      <c r="K8" s="151"/>
      <c r="L8" s="153"/>
      <c r="M8" s="30" t="str">
        <f>IF(Inventory_List_Table34111510911[[#This Row],[Q]]&lt;0.1, " ", Inventory_List_Table34111510911[[#This Row],[Q]]*Inventory_List_Table34111510911[[#This Row],[PRICE]])</f>
        <v xml:space="preserve"> </v>
      </c>
      <c r="N8" s="35" t="str">
        <f>IF(Inventory_List_Table34111510911[[#This Row],[Q]]&lt;0.1, " ", Inventory_List_Table34111510911[[#This Row],[KG]]*2.20462)</f>
        <v xml:space="preserve"> </v>
      </c>
      <c r="O8" s="35" t="str">
        <f>IF(Inventory_List_Table34111510911[[#This Row],[Q]]&lt;0.1, " ",Inventory_List_Table34111510911[[#This Row],[H CM]]/2.54)</f>
        <v xml:space="preserve"> </v>
      </c>
      <c r="P8" s="35" t="str">
        <f>IF(Inventory_List_Table34111510911[[#This Row],[Q]]&lt;0.1, " ",Inventory_List_Table34111510911[[#This Row],[W CM]]/2.54)</f>
        <v xml:space="preserve"> </v>
      </c>
      <c r="Q8" s="35" t="str">
        <f>IF(Inventory_List_Table34111510911[[#This Row],[Q]]&lt;0.1, " ",Inventory_List_Table34111510911[[#This Row],[D CM ]]/2.54)</f>
        <v xml:space="preserve"> </v>
      </c>
      <c r="R8" s="30" t="str">
        <f>IF(Inventory_List_Table34111510911[[#This Row],[Q]]&lt;0.1, " ",Inventory_List_Table34111510911[[#This Row],[PRICE]]/$L$1)</f>
        <v xml:space="preserve"> </v>
      </c>
      <c r="S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" s="30" t="str">
        <f>IF(Inventory_List_Table34111510911[[#This Row],[Q]]&lt;0.1, " ",Inventory_List_Table34111510911[[#This Row],[AQ RND USD]]*1.4)</f>
        <v xml:space="preserve"> </v>
      </c>
      <c r="U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" s="30" t="str">
        <f>IF(Inventory_List_Table34111510911[[#This Row],[Q]]&lt;0.1, " ",Inventory_List_Table34111510911[[#This Row],[LND RND USD]]*12)</f>
        <v xml:space="preserve"> </v>
      </c>
      <c r="W8" s="30" t="str">
        <f>IF(Inventory_List_Table34111510911[[#This Row],[Q]]&lt;0.1, " ",Inventory_List_Table34111510911[[#This Row],[AQ USD]])</f>
        <v xml:space="preserve"> </v>
      </c>
      <c r="X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" s="30" t="str">
        <f>IF(Inventory_List_Table34111510911[[#This Row],[Q]]&lt;0.1, " ",Inventory_List_Table34111510911[[#This Row],[PRICE]]/Z8*10000)</f>
        <v xml:space="preserve"> </v>
      </c>
      <c r="AB8" s="150"/>
      <c r="AC8" s="1"/>
      <c r="AD8" s="1"/>
    </row>
    <row r="9" spans="1:30" ht="24" customHeight="1" x14ac:dyDescent="0.3">
      <c r="A9" s="154">
        <v>7</v>
      </c>
      <c r="B9" s="1"/>
      <c r="C9" s="151"/>
      <c r="D9" s="151"/>
      <c r="E9" s="151"/>
      <c r="F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" s="151"/>
      <c r="H9" s="151"/>
      <c r="I9" s="151"/>
      <c r="J9" s="151"/>
      <c r="K9" s="151"/>
      <c r="L9" s="153"/>
      <c r="M9" s="30" t="str">
        <f>IF(Inventory_List_Table34111510911[[#This Row],[Q]]&lt;0.1, " ", Inventory_List_Table34111510911[[#This Row],[Q]]*Inventory_List_Table34111510911[[#This Row],[PRICE]])</f>
        <v xml:space="preserve"> </v>
      </c>
      <c r="N9" s="35" t="str">
        <f>IF(Inventory_List_Table34111510911[[#This Row],[Q]]&lt;0.1, " ", Inventory_List_Table34111510911[[#This Row],[KG]]*2.20462)</f>
        <v xml:space="preserve"> </v>
      </c>
      <c r="O9" s="35" t="str">
        <f>IF(Inventory_List_Table34111510911[[#This Row],[Q]]&lt;0.1, " ",Inventory_List_Table34111510911[[#This Row],[H CM]]/2.54)</f>
        <v xml:space="preserve"> </v>
      </c>
      <c r="P9" s="35" t="str">
        <f>IF(Inventory_List_Table34111510911[[#This Row],[Q]]&lt;0.1, " ",Inventory_List_Table34111510911[[#This Row],[W CM]]/2.54)</f>
        <v xml:space="preserve"> </v>
      </c>
      <c r="Q9" s="35" t="str">
        <f>IF(Inventory_List_Table34111510911[[#This Row],[Q]]&lt;0.1, " ",Inventory_List_Table34111510911[[#This Row],[D CM ]]/2.54)</f>
        <v xml:space="preserve"> </v>
      </c>
      <c r="R9" s="30" t="str">
        <f>IF(Inventory_List_Table34111510911[[#This Row],[Q]]&lt;0.1, " ",Inventory_List_Table34111510911[[#This Row],[PRICE]]/$L$1)</f>
        <v xml:space="preserve"> </v>
      </c>
      <c r="S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" s="30" t="str">
        <f>IF(Inventory_List_Table34111510911[[#This Row],[Q]]&lt;0.1, " ",Inventory_List_Table34111510911[[#This Row],[AQ RND USD]]*1.4)</f>
        <v xml:space="preserve"> </v>
      </c>
      <c r="U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" s="30" t="str">
        <f>IF(Inventory_List_Table34111510911[[#This Row],[Q]]&lt;0.1, " ",Inventory_List_Table34111510911[[#This Row],[LND RND USD]]*12)</f>
        <v xml:space="preserve"> </v>
      </c>
      <c r="W9" s="30" t="str">
        <f>IF(Inventory_List_Table34111510911[[#This Row],[Q]]&lt;0.1, " ",Inventory_List_Table34111510911[[#This Row],[AQ USD]])</f>
        <v xml:space="preserve"> </v>
      </c>
      <c r="X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" s="30" t="str">
        <f>IF(Inventory_List_Table34111510911[[#This Row],[Q]]&lt;0.1, " ",Inventory_List_Table34111510911[[#This Row],[PRICE]]/Z9*10000)</f>
        <v xml:space="preserve"> </v>
      </c>
      <c r="AB9" s="150"/>
      <c r="AC9" s="1"/>
      <c r="AD9" s="1"/>
    </row>
    <row r="10" spans="1:30" ht="24" customHeight="1" x14ac:dyDescent="0.3">
      <c r="A10" s="154">
        <v>8</v>
      </c>
      <c r="B10" s="1"/>
      <c r="C10" s="151"/>
      <c r="D10" s="151"/>
      <c r="E10" s="151"/>
      <c r="F1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0" s="151"/>
      <c r="H10" s="151"/>
      <c r="I10" s="151"/>
      <c r="J10" s="151"/>
      <c r="K10" s="151"/>
      <c r="L10" s="153"/>
      <c r="M10" s="30" t="str">
        <f>IF(Inventory_List_Table34111510911[[#This Row],[Q]]&lt;0.1, " ", Inventory_List_Table34111510911[[#This Row],[Q]]*Inventory_List_Table34111510911[[#This Row],[PRICE]])</f>
        <v xml:space="preserve"> </v>
      </c>
      <c r="N10" s="35" t="str">
        <f>IF(Inventory_List_Table34111510911[[#This Row],[Q]]&lt;0.1, " ", Inventory_List_Table34111510911[[#This Row],[KG]]*2.20462)</f>
        <v xml:space="preserve"> </v>
      </c>
      <c r="O10" s="35" t="str">
        <f>IF(Inventory_List_Table34111510911[[#This Row],[Q]]&lt;0.1, " ",Inventory_List_Table34111510911[[#This Row],[H CM]]/2.54)</f>
        <v xml:space="preserve"> </v>
      </c>
      <c r="P10" s="35" t="str">
        <f>IF(Inventory_List_Table34111510911[[#This Row],[Q]]&lt;0.1, " ",Inventory_List_Table34111510911[[#This Row],[W CM]]/2.54)</f>
        <v xml:space="preserve"> </v>
      </c>
      <c r="Q10" s="35" t="str">
        <f>IF(Inventory_List_Table34111510911[[#This Row],[Q]]&lt;0.1, " ",Inventory_List_Table34111510911[[#This Row],[D CM ]]/2.54)</f>
        <v xml:space="preserve"> </v>
      </c>
      <c r="R10" s="30" t="str">
        <f>IF(Inventory_List_Table34111510911[[#This Row],[Q]]&lt;0.1, " ",Inventory_List_Table34111510911[[#This Row],[PRICE]]/$L$1)</f>
        <v xml:space="preserve"> </v>
      </c>
      <c r="S1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0" s="30" t="str">
        <f>IF(Inventory_List_Table34111510911[[#This Row],[Q]]&lt;0.1, " ",Inventory_List_Table34111510911[[#This Row],[AQ RND USD]]*1.4)</f>
        <v xml:space="preserve"> </v>
      </c>
      <c r="U1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0" s="30" t="str">
        <f>IF(Inventory_List_Table34111510911[[#This Row],[Q]]&lt;0.1, " ",Inventory_List_Table34111510911[[#This Row],[LND RND USD]]*12)</f>
        <v xml:space="preserve"> </v>
      </c>
      <c r="W10" s="30" t="str">
        <f>IF(Inventory_List_Table34111510911[[#This Row],[Q]]&lt;0.1, " ",Inventory_List_Table34111510911[[#This Row],[AQ USD]])</f>
        <v xml:space="preserve"> </v>
      </c>
      <c r="X1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0" s="30" t="str">
        <f>IF(Inventory_List_Table34111510911[[#This Row],[Q]]&lt;0.1, " ",Inventory_List_Table34111510911[[#This Row],[PRICE]]/Z10*10000)</f>
        <v xml:space="preserve"> </v>
      </c>
      <c r="AB10" s="150"/>
      <c r="AC10" s="1"/>
      <c r="AD10" s="1"/>
    </row>
    <row r="11" spans="1:30" ht="24" customHeight="1" x14ac:dyDescent="0.3">
      <c r="A11" s="154">
        <v>9</v>
      </c>
      <c r="B11" s="1"/>
      <c r="C11" s="151"/>
      <c r="D11" s="151"/>
      <c r="E11" s="151"/>
      <c r="F1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1" s="151"/>
      <c r="H11" s="151"/>
      <c r="I11" s="151"/>
      <c r="J11" s="151"/>
      <c r="K11" s="151"/>
      <c r="L11" s="153"/>
      <c r="M11" s="30" t="str">
        <f>IF(Inventory_List_Table34111510911[[#This Row],[Q]]&lt;0.1, " ", Inventory_List_Table34111510911[[#This Row],[Q]]*Inventory_List_Table34111510911[[#This Row],[PRICE]])</f>
        <v xml:space="preserve"> </v>
      </c>
      <c r="N11" s="35" t="str">
        <f>IF(Inventory_List_Table34111510911[[#This Row],[Q]]&lt;0.1, " ", Inventory_List_Table34111510911[[#This Row],[KG]]*2.20462)</f>
        <v xml:space="preserve"> </v>
      </c>
      <c r="O11" s="35" t="str">
        <f>IF(Inventory_List_Table34111510911[[#This Row],[Q]]&lt;0.1, " ",Inventory_List_Table34111510911[[#This Row],[H CM]]/2.54)</f>
        <v xml:space="preserve"> </v>
      </c>
      <c r="P11" s="35" t="str">
        <f>IF(Inventory_List_Table34111510911[[#This Row],[Q]]&lt;0.1, " ",Inventory_List_Table34111510911[[#This Row],[W CM]]/2.54)</f>
        <v xml:space="preserve"> </v>
      </c>
      <c r="Q11" s="35" t="str">
        <f>IF(Inventory_List_Table34111510911[[#This Row],[Q]]&lt;0.1, " ",Inventory_List_Table34111510911[[#This Row],[D CM ]]/2.54)</f>
        <v xml:space="preserve"> </v>
      </c>
      <c r="R11" s="30" t="str">
        <f>IF(Inventory_List_Table34111510911[[#This Row],[Q]]&lt;0.1, " ",Inventory_List_Table34111510911[[#This Row],[PRICE]]/$L$1)</f>
        <v xml:space="preserve"> </v>
      </c>
      <c r="S1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1" s="30" t="str">
        <f>IF(Inventory_List_Table34111510911[[#This Row],[Q]]&lt;0.1, " ",Inventory_List_Table34111510911[[#This Row],[AQ RND USD]]*1.4)</f>
        <v xml:space="preserve"> </v>
      </c>
      <c r="U1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1" s="30" t="str">
        <f>IF(Inventory_List_Table34111510911[[#This Row],[Q]]&lt;0.1, " ",Inventory_List_Table34111510911[[#This Row],[LND RND USD]]*12)</f>
        <v xml:space="preserve"> </v>
      </c>
      <c r="W11" s="30" t="str">
        <f>IF(Inventory_List_Table34111510911[[#This Row],[Q]]&lt;0.1, " ",Inventory_List_Table34111510911[[#This Row],[AQ USD]])</f>
        <v xml:space="preserve"> </v>
      </c>
      <c r="X1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1" s="30" t="str">
        <f>IF(Inventory_List_Table34111510911[[#This Row],[Q]]&lt;0.1, " ",Inventory_List_Table34111510911[[#This Row],[PRICE]]/Z11*10000)</f>
        <v xml:space="preserve"> </v>
      </c>
      <c r="AB11" s="150"/>
      <c r="AC11" s="1"/>
      <c r="AD11" s="1"/>
    </row>
    <row r="12" spans="1:30" ht="24" customHeight="1" x14ac:dyDescent="0.3">
      <c r="A12" s="154">
        <v>10</v>
      </c>
      <c r="B12" s="1"/>
      <c r="C12" s="151"/>
      <c r="D12" s="151"/>
      <c r="E12" s="151"/>
      <c r="F1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2" s="151"/>
      <c r="H12" s="151"/>
      <c r="I12" s="151"/>
      <c r="J12" s="151"/>
      <c r="K12" s="151"/>
      <c r="L12" s="153"/>
      <c r="M12" s="30" t="str">
        <f>IF(Inventory_List_Table34111510911[[#This Row],[Q]]&lt;0.1, " ", Inventory_List_Table34111510911[[#This Row],[Q]]*Inventory_List_Table34111510911[[#This Row],[PRICE]])</f>
        <v xml:space="preserve"> </v>
      </c>
      <c r="N12" s="35" t="str">
        <f>IF(Inventory_List_Table34111510911[[#This Row],[Q]]&lt;0.1, " ", Inventory_List_Table34111510911[[#This Row],[KG]]*2.20462)</f>
        <v xml:space="preserve"> </v>
      </c>
      <c r="O12" s="35" t="str">
        <f>IF(Inventory_List_Table34111510911[[#This Row],[Q]]&lt;0.1, " ",Inventory_List_Table34111510911[[#This Row],[H CM]]/2.54)</f>
        <v xml:space="preserve"> </v>
      </c>
      <c r="P12" s="35" t="str">
        <f>IF(Inventory_List_Table34111510911[[#This Row],[Q]]&lt;0.1, " ",Inventory_List_Table34111510911[[#This Row],[W CM]]/2.54)</f>
        <v xml:space="preserve"> </v>
      </c>
      <c r="Q12" s="35" t="str">
        <f>IF(Inventory_List_Table34111510911[[#This Row],[Q]]&lt;0.1, " ",Inventory_List_Table34111510911[[#This Row],[D CM ]]/2.54)</f>
        <v xml:space="preserve"> </v>
      </c>
      <c r="R12" s="30" t="str">
        <f>IF(Inventory_List_Table34111510911[[#This Row],[Q]]&lt;0.1, " ",Inventory_List_Table34111510911[[#This Row],[PRICE]]/$L$1)</f>
        <v xml:space="preserve"> </v>
      </c>
      <c r="S1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2" s="30" t="str">
        <f>IF(Inventory_List_Table34111510911[[#This Row],[Q]]&lt;0.1, " ",Inventory_List_Table34111510911[[#This Row],[AQ RND USD]]*1.4)</f>
        <v xml:space="preserve"> </v>
      </c>
      <c r="U1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2" s="30" t="str">
        <f>IF(Inventory_List_Table34111510911[[#This Row],[Q]]&lt;0.1, " ",Inventory_List_Table34111510911[[#This Row],[LND RND USD]]*12)</f>
        <v xml:space="preserve"> </v>
      </c>
      <c r="W12" s="30" t="str">
        <f>IF(Inventory_List_Table34111510911[[#This Row],[Q]]&lt;0.1, " ",Inventory_List_Table34111510911[[#This Row],[AQ USD]])</f>
        <v xml:space="preserve"> </v>
      </c>
      <c r="X1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2" s="30" t="str">
        <f>IF(Inventory_List_Table34111510911[[#This Row],[Q]]&lt;0.1, " ",Inventory_List_Table34111510911[[#This Row],[PRICE]]/Z12*10000)</f>
        <v xml:space="preserve"> </v>
      </c>
      <c r="AB12" s="150"/>
      <c r="AC12" s="1"/>
      <c r="AD12" s="1"/>
    </row>
    <row r="13" spans="1:30" ht="24" customHeight="1" x14ac:dyDescent="0.3">
      <c r="A13" s="154">
        <v>11</v>
      </c>
      <c r="B13" s="1"/>
      <c r="C13" s="151"/>
      <c r="D13" s="151"/>
      <c r="E13" s="151"/>
      <c r="F1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3" s="151"/>
      <c r="H13" s="151"/>
      <c r="I13" s="151"/>
      <c r="J13" s="151"/>
      <c r="K13" s="151"/>
      <c r="L13" s="153"/>
      <c r="M13" s="30" t="str">
        <f>IF(Inventory_List_Table34111510911[[#This Row],[Q]]&lt;0.1, " ", Inventory_List_Table34111510911[[#This Row],[Q]]*Inventory_List_Table34111510911[[#This Row],[PRICE]])</f>
        <v xml:space="preserve"> </v>
      </c>
      <c r="N13" s="35" t="str">
        <f>IF(Inventory_List_Table34111510911[[#This Row],[Q]]&lt;0.1, " ", Inventory_List_Table34111510911[[#This Row],[KG]]*2.20462)</f>
        <v xml:space="preserve"> </v>
      </c>
      <c r="O13" s="35" t="str">
        <f>IF(Inventory_List_Table34111510911[[#This Row],[Q]]&lt;0.1, " ",Inventory_List_Table34111510911[[#This Row],[H CM]]/2.54)</f>
        <v xml:space="preserve"> </v>
      </c>
      <c r="P13" s="35" t="str">
        <f>IF(Inventory_List_Table34111510911[[#This Row],[Q]]&lt;0.1, " ",Inventory_List_Table34111510911[[#This Row],[W CM]]/2.54)</f>
        <v xml:space="preserve"> </v>
      </c>
      <c r="Q13" s="35" t="str">
        <f>IF(Inventory_List_Table34111510911[[#This Row],[Q]]&lt;0.1, " ",Inventory_List_Table34111510911[[#This Row],[D CM ]]/2.54)</f>
        <v xml:space="preserve"> </v>
      </c>
      <c r="R13" s="30" t="str">
        <f>IF(Inventory_List_Table34111510911[[#This Row],[Q]]&lt;0.1, " ",Inventory_List_Table34111510911[[#This Row],[PRICE]]/$L$1)</f>
        <v xml:space="preserve"> </v>
      </c>
      <c r="S1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3" s="30" t="str">
        <f>IF(Inventory_List_Table34111510911[[#This Row],[Q]]&lt;0.1, " ",Inventory_List_Table34111510911[[#This Row],[AQ RND USD]]*1.4)</f>
        <v xml:space="preserve"> </v>
      </c>
      <c r="U1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3" s="30" t="str">
        <f>IF(Inventory_List_Table34111510911[[#This Row],[Q]]&lt;0.1, " ",Inventory_List_Table34111510911[[#This Row],[LND RND USD]]*12)</f>
        <v xml:space="preserve"> </v>
      </c>
      <c r="W13" s="30" t="str">
        <f>IF(Inventory_List_Table34111510911[[#This Row],[Q]]&lt;0.1, " ",Inventory_List_Table34111510911[[#This Row],[AQ USD]])</f>
        <v xml:space="preserve"> </v>
      </c>
      <c r="X1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3" s="30" t="str">
        <f>IF(Inventory_List_Table34111510911[[#This Row],[Q]]&lt;0.1, " ",Inventory_List_Table34111510911[[#This Row],[PRICE]]/Z13*10000)</f>
        <v xml:space="preserve"> </v>
      </c>
      <c r="AB13" s="150"/>
      <c r="AC13" s="1"/>
      <c r="AD13" s="1"/>
    </row>
    <row r="14" spans="1:30" ht="24" customHeight="1" x14ac:dyDescent="0.3">
      <c r="A14" s="154">
        <v>12</v>
      </c>
      <c r="B14" s="1"/>
      <c r="C14" s="151"/>
      <c r="D14" s="151"/>
      <c r="E14" s="151"/>
      <c r="F1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4" s="151"/>
      <c r="H14" s="151"/>
      <c r="I14" s="151"/>
      <c r="J14" s="151"/>
      <c r="K14" s="151"/>
      <c r="L14" s="153"/>
      <c r="M14" s="30" t="str">
        <f>IF(Inventory_List_Table34111510911[[#This Row],[Q]]&lt;0.1, " ", Inventory_List_Table34111510911[[#This Row],[Q]]*Inventory_List_Table34111510911[[#This Row],[PRICE]])</f>
        <v xml:space="preserve"> </v>
      </c>
      <c r="N14" s="35" t="str">
        <f>IF(Inventory_List_Table34111510911[[#This Row],[Q]]&lt;0.1, " ", Inventory_List_Table34111510911[[#This Row],[KG]]*2.20462)</f>
        <v xml:space="preserve"> </v>
      </c>
      <c r="O14" s="35" t="str">
        <f>IF(Inventory_List_Table34111510911[[#This Row],[Q]]&lt;0.1, " ",Inventory_List_Table34111510911[[#This Row],[H CM]]/2.54)</f>
        <v xml:space="preserve"> </v>
      </c>
      <c r="P14" s="35" t="str">
        <f>IF(Inventory_List_Table34111510911[[#This Row],[Q]]&lt;0.1, " ",Inventory_List_Table34111510911[[#This Row],[W CM]]/2.54)</f>
        <v xml:space="preserve"> </v>
      </c>
      <c r="Q14" s="35" t="str">
        <f>IF(Inventory_List_Table34111510911[[#This Row],[Q]]&lt;0.1, " ",Inventory_List_Table34111510911[[#This Row],[D CM ]]/2.54)</f>
        <v xml:space="preserve"> </v>
      </c>
      <c r="R14" s="30" t="str">
        <f>IF(Inventory_List_Table34111510911[[#This Row],[Q]]&lt;0.1, " ",Inventory_List_Table34111510911[[#This Row],[PRICE]]/$L$1)</f>
        <v xml:space="preserve"> </v>
      </c>
      <c r="S1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4" s="30" t="str">
        <f>IF(Inventory_List_Table34111510911[[#This Row],[Q]]&lt;0.1, " ",Inventory_List_Table34111510911[[#This Row],[AQ RND USD]]*1.4)</f>
        <v xml:space="preserve"> </v>
      </c>
      <c r="U1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4" s="30" t="str">
        <f>IF(Inventory_List_Table34111510911[[#This Row],[Q]]&lt;0.1, " ",Inventory_List_Table34111510911[[#This Row],[LND RND USD]]*12)</f>
        <v xml:space="preserve"> </v>
      </c>
      <c r="W14" s="30" t="str">
        <f>IF(Inventory_List_Table34111510911[[#This Row],[Q]]&lt;0.1, " ",Inventory_List_Table34111510911[[#This Row],[AQ USD]])</f>
        <v xml:space="preserve"> </v>
      </c>
      <c r="X1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4" s="30" t="str">
        <f>IF(Inventory_List_Table34111510911[[#This Row],[Q]]&lt;0.1, " ",Inventory_List_Table34111510911[[#This Row],[PRICE]]/Z14*10000)</f>
        <v xml:space="preserve"> </v>
      </c>
      <c r="AB14" s="150"/>
      <c r="AC14" s="1"/>
      <c r="AD14" s="1"/>
    </row>
    <row r="15" spans="1:30" ht="24" customHeight="1" x14ac:dyDescent="0.3">
      <c r="A15" s="154">
        <v>13</v>
      </c>
      <c r="B15" s="1"/>
      <c r="C15" s="151"/>
      <c r="D15" s="151"/>
      <c r="E15" s="151"/>
      <c r="F1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5" s="151"/>
      <c r="H15" s="151"/>
      <c r="I15" s="151"/>
      <c r="J15" s="151"/>
      <c r="K15" s="151"/>
      <c r="L15" s="153"/>
      <c r="M15" s="30" t="str">
        <f>IF(Inventory_List_Table34111510911[[#This Row],[Q]]&lt;0.1, " ", Inventory_List_Table34111510911[[#This Row],[Q]]*Inventory_List_Table34111510911[[#This Row],[PRICE]])</f>
        <v xml:space="preserve"> </v>
      </c>
      <c r="N15" s="35" t="str">
        <f>IF(Inventory_List_Table34111510911[[#This Row],[Q]]&lt;0.1, " ", Inventory_List_Table34111510911[[#This Row],[KG]]*2.20462)</f>
        <v xml:space="preserve"> </v>
      </c>
      <c r="O15" s="35" t="str">
        <f>IF(Inventory_List_Table34111510911[[#This Row],[Q]]&lt;0.1, " ",Inventory_List_Table34111510911[[#This Row],[H CM]]/2.54)</f>
        <v xml:space="preserve"> </v>
      </c>
      <c r="P15" s="35" t="str">
        <f>IF(Inventory_List_Table34111510911[[#This Row],[Q]]&lt;0.1, " ",Inventory_List_Table34111510911[[#This Row],[W CM]]/2.54)</f>
        <v xml:space="preserve"> </v>
      </c>
      <c r="Q15" s="35" t="str">
        <f>IF(Inventory_List_Table34111510911[[#This Row],[Q]]&lt;0.1, " ",Inventory_List_Table34111510911[[#This Row],[D CM ]]/2.54)</f>
        <v xml:space="preserve"> </v>
      </c>
      <c r="R15" s="30" t="str">
        <f>IF(Inventory_List_Table34111510911[[#This Row],[Q]]&lt;0.1, " ",Inventory_List_Table34111510911[[#This Row],[PRICE]]/$L$1)</f>
        <v xml:space="preserve"> </v>
      </c>
      <c r="S1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5" s="30" t="str">
        <f>IF(Inventory_List_Table34111510911[[#This Row],[Q]]&lt;0.1, " ",Inventory_List_Table34111510911[[#This Row],[AQ RND USD]]*1.4)</f>
        <v xml:space="preserve"> </v>
      </c>
      <c r="U1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5" s="30" t="str">
        <f>IF(Inventory_List_Table34111510911[[#This Row],[Q]]&lt;0.1, " ",Inventory_List_Table34111510911[[#This Row],[LND RND USD]]*12)</f>
        <v xml:space="preserve"> </v>
      </c>
      <c r="W15" s="30" t="str">
        <f>IF(Inventory_List_Table34111510911[[#This Row],[Q]]&lt;0.1, " ",Inventory_List_Table34111510911[[#This Row],[AQ USD]])</f>
        <v xml:space="preserve"> </v>
      </c>
      <c r="X1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5" s="30" t="str">
        <f>IF(Inventory_List_Table34111510911[[#This Row],[Q]]&lt;0.1, " ",Inventory_List_Table34111510911[[#This Row],[PRICE]]/Z15*10000)</f>
        <v xml:space="preserve"> </v>
      </c>
      <c r="AB15" s="150"/>
      <c r="AC15" s="1"/>
      <c r="AD15" s="1"/>
    </row>
    <row r="16" spans="1:30" ht="24" customHeight="1" x14ac:dyDescent="0.3">
      <c r="A16" s="154">
        <v>14</v>
      </c>
      <c r="B16" s="1"/>
      <c r="C16" s="151"/>
      <c r="D16" s="151"/>
      <c r="E16" s="151"/>
      <c r="F1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6" s="151"/>
      <c r="H16" s="151"/>
      <c r="I16" s="151"/>
      <c r="J16" s="151"/>
      <c r="K16" s="151"/>
      <c r="L16" s="153"/>
      <c r="M16" s="30" t="str">
        <f>IF(Inventory_List_Table34111510911[[#This Row],[Q]]&lt;0.1, " ", Inventory_List_Table34111510911[[#This Row],[Q]]*Inventory_List_Table34111510911[[#This Row],[PRICE]])</f>
        <v xml:space="preserve"> </v>
      </c>
      <c r="N16" s="35" t="str">
        <f>IF(Inventory_List_Table34111510911[[#This Row],[Q]]&lt;0.1, " ", Inventory_List_Table34111510911[[#This Row],[KG]]*2.20462)</f>
        <v xml:space="preserve"> </v>
      </c>
      <c r="O16" s="35" t="str">
        <f>IF(Inventory_List_Table34111510911[[#This Row],[Q]]&lt;0.1, " ",Inventory_List_Table34111510911[[#This Row],[H CM]]/2.54)</f>
        <v xml:space="preserve"> </v>
      </c>
      <c r="P16" s="35" t="str">
        <f>IF(Inventory_List_Table34111510911[[#This Row],[Q]]&lt;0.1, " ",Inventory_List_Table34111510911[[#This Row],[W CM]]/2.54)</f>
        <v xml:space="preserve"> </v>
      </c>
      <c r="Q16" s="35" t="str">
        <f>IF(Inventory_List_Table34111510911[[#This Row],[Q]]&lt;0.1, " ",Inventory_List_Table34111510911[[#This Row],[D CM ]]/2.54)</f>
        <v xml:space="preserve"> </v>
      </c>
      <c r="R16" s="30" t="str">
        <f>IF(Inventory_List_Table34111510911[[#This Row],[Q]]&lt;0.1, " ",Inventory_List_Table34111510911[[#This Row],[PRICE]]/$L$1)</f>
        <v xml:space="preserve"> </v>
      </c>
      <c r="S1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6" s="30" t="str">
        <f>IF(Inventory_List_Table34111510911[[#This Row],[Q]]&lt;0.1, " ",Inventory_List_Table34111510911[[#This Row],[AQ RND USD]]*1.4)</f>
        <v xml:space="preserve"> </v>
      </c>
      <c r="U1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6" s="30" t="str">
        <f>IF(Inventory_List_Table34111510911[[#This Row],[Q]]&lt;0.1, " ",Inventory_List_Table34111510911[[#This Row],[LND RND USD]]*12)</f>
        <v xml:space="preserve"> </v>
      </c>
      <c r="W16" s="30" t="str">
        <f>IF(Inventory_List_Table34111510911[[#This Row],[Q]]&lt;0.1, " ",Inventory_List_Table34111510911[[#This Row],[AQ USD]])</f>
        <v xml:space="preserve"> </v>
      </c>
      <c r="X1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6" s="30" t="str">
        <f>IF(Inventory_List_Table34111510911[[#This Row],[Q]]&lt;0.1, " ",Inventory_List_Table34111510911[[#This Row],[PRICE]]/Z16*10000)</f>
        <v xml:space="preserve"> </v>
      </c>
      <c r="AB16" s="150"/>
      <c r="AC16" s="1"/>
      <c r="AD16" s="1"/>
    </row>
    <row r="17" spans="1:30" ht="24" customHeight="1" x14ac:dyDescent="0.3">
      <c r="A17" s="154">
        <v>15</v>
      </c>
      <c r="B17" s="1"/>
      <c r="C17" s="151"/>
      <c r="D17" s="151"/>
      <c r="E17" s="151"/>
      <c r="F1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7" s="151"/>
      <c r="H17" s="151"/>
      <c r="I17" s="151"/>
      <c r="J17" s="151"/>
      <c r="K17" s="151"/>
      <c r="L17" s="153"/>
      <c r="M17" s="30" t="str">
        <f>IF(Inventory_List_Table34111510911[[#This Row],[Q]]&lt;0.1, " ", Inventory_List_Table34111510911[[#This Row],[Q]]*Inventory_List_Table34111510911[[#This Row],[PRICE]])</f>
        <v xml:space="preserve"> </v>
      </c>
      <c r="N17" s="35" t="str">
        <f>IF(Inventory_List_Table34111510911[[#This Row],[Q]]&lt;0.1, " ", Inventory_List_Table34111510911[[#This Row],[KG]]*2.20462)</f>
        <v xml:space="preserve"> </v>
      </c>
      <c r="O17" s="35" t="str">
        <f>IF(Inventory_List_Table34111510911[[#This Row],[Q]]&lt;0.1, " ",Inventory_List_Table34111510911[[#This Row],[H CM]]/2.54)</f>
        <v xml:space="preserve"> </v>
      </c>
      <c r="P17" s="35" t="str">
        <f>IF(Inventory_List_Table34111510911[[#This Row],[Q]]&lt;0.1, " ",Inventory_List_Table34111510911[[#This Row],[W CM]]/2.54)</f>
        <v xml:space="preserve"> </v>
      </c>
      <c r="Q17" s="35" t="str">
        <f>IF(Inventory_List_Table34111510911[[#This Row],[Q]]&lt;0.1, " ",Inventory_List_Table34111510911[[#This Row],[D CM ]]/2.54)</f>
        <v xml:space="preserve"> </v>
      </c>
      <c r="R17" s="30" t="str">
        <f>IF(Inventory_List_Table34111510911[[#This Row],[Q]]&lt;0.1, " ",Inventory_List_Table34111510911[[#This Row],[PRICE]]/$L$1)</f>
        <v xml:space="preserve"> </v>
      </c>
      <c r="S1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7" s="30" t="str">
        <f>IF(Inventory_List_Table34111510911[[#This Row],[Q]]&lt;0.1, " ",Inventory_List_Table34111510911[[#This Row],[AQ RND USD]]*1.4)</f>
        <v xml:space="preserve"> </v>
      </c>
      <c r="U1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7" s="30" t="str">
        <f>IF(Inventory_List_Table34111510911[[#This Row],[Q]]&lt;0.1, " ",Inventory_List_Table34111510911[[#This Row],[LND RND USD]]*12)</f>
        <v xml:space="preserve"> </v>
      </c>
      <c r="W17" s="30" t="str">
        <f>IF(Inventory_List_Table34111510911[[#This Row],[Q]]&lt;0.1, " ",Inventory_List_Table34111510911[[#This Row],[AQ USD]])</f>
        <v xml:space="preserve"> </v>
      </c>
      <c r="X1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7" s="30" t="str">
        <f>IF(Inventory_List_Table34111510911[[#This Row],[Q]]&lt;0.1, " ",Inventory_List_Table34111510911[[#This Row],[PRICE]]/Z17*10000)</f>
        <v xml:space="preserve"> </v>
      </c>
      <c r="AB17" s="150"/>
      <c r="AC17" s="1"/>
      <c r="AD17" s="1"/>
    </row>
    <row r="18" spans="1:30" ht="24" customHeight="1" x14ac:dyDescent="0.3">
      <c r="A18" s="154">
        <v>16</v>
      </c>
      <c r="B18" s="1"/>
      <c r="C18" s="151"/>
      <c r="D18" s="151"/>
      <c r="E18" s="151"/>
      <c r="F1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8" s="151"/>
      <c r="H18" s="151"/>
      <c r="I18" s="151"/>
      <c r="J18" s="151"/>
      <c r="K18" s="151"/>
      <c r="L18" s="153"/>
      <c r="M18" s="30" t="str">
        <f>IF(Inventory_List_Table34111510911[[#This Row],[Q]]&lt;0.1, " ", Inventory_List_Table34111510911[[#This Row],[Q]]*Inventory_List_Table34111510911[[#This Row],[PRICE]])</f>
        <v xml:space="preserve"> </v>
      </c>
      <c r="N18" s="35" t="str">
        <f>IF(Inventory_List_Table34111510911[[#This Row],[Q]]&lt;0.1, " ", Inventory_List_Table34111510911[[#This Row],[KG]]*2.20462)</f>
        <v xml:space="preserve"> </v>
      </c>
      <c r="O18" s="35" t="str">
        <f>IF(Inventory_List_Table34111510911[[#This Row],[Q]]&lt;0.1, " ",Inventory_List_Table34111510911[[#This Row],[H CM]]/2.54)</f>
        <v xml:space="preserve"> </v>
      </c>
      <c r="P18" s="35" t="str">
        <f>IF(Inventory_List_Table34111510911[[#This Row],[Q]]&lt;0.1, " ",Inventory_List_Table34111510911[[#This Row],[W CM]]/2.54)</f>
        <v xml:space="preserve"> </v>
      </c>
      <c r="Q18" s="35" t="str">
        <f>IF(Inventory_List_Table34111510911[[#This Row],[Q]]&lt;0.1, " ",Inventory_List_Table34111510911[[#This Row],[D CM ]]/2.54)</f>
        <v xml:space="preserve"> </v>
      </c>
      <c r="R18" s="30" t="str">
        <f>IF(Inventory_List_Table34111510911[[#This Row],[Q]]&lt;0.1, " ",Inventory_List_Table34111510911[[#This Row],[PRICE]]/$L$1)</f>
        <v xml:space="preserve"> </v>
      </c>
      <c r="S1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8" s="30" t="str">
        <f>IF(Inventory_List_Table34111510911[[#This Row],[Q]]&lt;0.1, " ",Inventory_List_Table34111510911[[#This Row],[AQ RND USD]]*1.4)</f>
        <v xml:space="preserve"> </v>
      </c>
      <c r="U1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8" s="30" t="str">
        <f>IF(Inventory_List_Table34111510911[[#This Row],[Q]]&lt;0.1, " ",Inventory_List_Table34111510911[[#This Row],[LND RND USD]]*12)</f>
        <v xml:space="preserve"> </v>
      </c>
      <c r="W18" s="30" t="str">
        <f>IF(Inventory_List_Table34111510911[[#This Row],[Q]]&lt;0.1, " ",Inventory_List_Table34111510911[[#This Row],[AQ USD]])</f>
        <v xml:space="preserve"> </v>
      </c>
      <c r="X1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8" s="30" t="str">
        <f>IF(Inventory_List_Table34111510911[[#This Row],[Q]]&lt;0.1, " ",Inventory_List_Table34111510911[[#This Row],[PRICE]]/Z18*10000)</f>
        <v xml:space="preserve"> </v>
      </c>
      <c r="AB18" s="150"/>
      <c r="AC18" s="1"/>
      <c r="AD18" s="1"/>
    </row>
    <row r="19" spans="1:30" ht="24" customHeight="1" x14ac:dyDescent="0.3">
      <c r="A19" s="154">
        <v>17</v>
      </c>
      <c r="B19" s="1"/>
      <c r="C19" s="151"/>
      <c r="D19" s="151"/>
      <c r="E19" s="151"/>
      <c r="F1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9" s="151"/>
      <c r="H19" s="151"/>
      <c r="I19" s="151"/>
      <c r="J19" s="151"/>
      <c r="K19" s="151"/>
      <c r="L19" s="153"/>
      <c r="M19" s="30" t="str">
        <f>IF(Inventory_List_Table34111510911[[#This Row],[Q]]&lt;0.1, " ", Inventory_List_Table34111510911[[#This Row],[Q]]*Inventory_List_Table34111510911[[#This Row],[PRICE]])</f>
        <v xml:space="preserve"> </v>
      </c>
      <c r="N19" s="35" t="str">
        <f>IF(Inventory_List_Table34111510911[[#This Row],[Q]]&lt;0.1, " ", Inventory_List_Table34111510911[[#This Row],[KG]]*2.20462)</f>
        <v xml:space="preserve"> </v>
      </c>
      <c r="O19" s="35" t="str">
        <f>IF(Inventory_List_Table34111510911[[#This Row],[Q]]&lt;0.1, " ",Inventory_List_Table34111510911[[#This Row],[H CM]]/2.54)</f>
        <v xml:space="preserve"> </v>
      </c>
      <c r="P19" s="35" t="str">
        <f>IF(Inventory_List_Table34111510911[[#This Row],[Q]]&lt;0.1, " ",Inventory_List_Table34111510911[[#This Row],[W CM]]/2.54)</f>
        <v xml:space="preserve"> </v>
      </c>
      <c r="Q19" s="35" t="str">
        <f>IF(Inventory_List_Table34111510911[[#This Row],[Q]]&lt;0.1, " ",Inventory_List_Table34111510911[[#This Row],[D CM ]]/2.54)</f>
        <v xml:space="preserve"> </v>
      </c>
      <c r="R19" s="30" t="str">
        <f>IF(Inventory_List_Table34111510911[[#This Row],[Q]]&lt;0.1, " ",Inventory_List_Table34111510911[[#This Row],[PRICE]]/$L$1)</f>
        <v xml:space="preserve"> </v>
      </c>
      <c r="S1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9" s="30" t="str">
        <f>IF(Inventory_List_Table34111510911[[#This Row],[Q]]&lt;0.1, " ",Inventory_List_Table34111510911[[#This Row],[AQ RND USD]]*1.4)</f>
        <v xml:space="preserve"> </v>
      </c>
      <c r="U1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9" s="30" t="str">
        <f>IF(Inventory_List_Table34111510911[[#This Row],[Q]]&lt;0.1, " ",Inventory_List_Table34111510911[[#This Row],[LND RND USD]]*12)</f>
        <v xml:space="preserve"> </v>
      </c>
      <c r="W19" s="30" t="str">
        <f>IF(Inventory_List_Table34111510911[[#This Row],[Q]]&lt;0.1, " ",Inventory_List_Table34111510911[[#This Row],[AQ USD]])</f>
        <v xml:space="preserve"> </v>
      </c>
      <c r="X1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9" s="30" t="str">
        <f>IF(Inventory_List_Table34111510911[[#This Row],[Q]]&lt;0.1, " ",Inventory_List_Table34111510911[[#This Row],[PRICE]]/Z19*10000)</f>
        <v xml:space="preserve"> </v>
      </c>
      <c r="AB19" s="150"/>
      <c r="AC19" s="1"/>
      <c r="AD19" s="1"/>
    </row>
    <row r="20" spans="1:30" ht="24" customHeight="1" x14ac:dyDescent="0.3">
      <c r="A20" s="154">
        <v>18</v>
      </c>
      <c r="B20" s="1"/>
      <c r="C20" s="151"/>
      <c r="D20" s="151"/>
      <c r="E20" s="151"/>
      <c r="F2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0" s="151"/>
      <c r="H20" s="151"/>
      <c r="I20" s="151"/>
      <c r="J20" s="151"/>
      <c r="K20" s="151"/>
      <c r="L20" s="153"/>
      <c r="M20" s="30" t="str">
        <f>IF(Inventory_List_Table34111510911[[#This Row],[Q]]&lt;0.1, " ", Inventory_List_Table34111510911[[#This Row],[Q]]*Inventory_List_Table34111510911[[#This Row],[PRICE]])</f>
        <v xml:space="preserve"> </v>
      </c>
      <c r="N20" s="35" t="str">
        <f>IF(Inventory_List_Table34111510911[[#This Row],[Q]]&lt;0.1, " ", Inventory_List_Table34111510911[[#This Row],[KG]]*2.20462)</f>
        <v xml:space="preserve"> </v>
      </c>
      <c r="O20" s="35" t="str">
        <f>IF(Inventory_List_Table34111510911[[#This Row],[Q]]&lt;0.1, " ",Inventory_List_Table34111510911[[#This Row],[H CM]]/2.54)</f>
        <v xml:space="preserve"> </v>
      </c>
      <c r="P20" s="35" t="str">
        <f>IF(Inventory_List_Table34111510911[[#This Row],[Q]]&lt;0.1, " ",Inventory_List_Table34111510911[[#This Row],[W CM]]/2.54)</f>
        <v xml:space="preserve"> </v>
      </c>
      <c r="Q20" s="35" t="str">
        <f>IF(Inventory_List_Table34111510911[[#This Row],[Q]]&lt;0.1, " ",Inventory_List_Table34111510911[[#This Row],[D CM ]]/2.54)</f>
        <v xml:space="preserve"> </v>
      </c>
      <c r="R20" s="30" t="str">
        <f>IF(Inventory_List_Table34111510911[[#This Row],[Q]]&lt;0.1, " ",Inventory_List_Table34111510911[[#This Row],[PRICE]]/$L$1)</f>
        <v xml:space="preserve"> </v>
      </c>
      <c r="S2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0" s="30" t="str">
        <f>IF(Inventory_List_Table34111510911[[#This Row],[Q]]&lt;0.1, " ",Inventory_List_Table34111510911[[#This Row],[AQ RND USD]]*1.4)</f>
        <v xml:space="preserve"> </v>
      </c>
      <c r="U2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0" s="30" t="str">
        <f>IF(Inventory_List_Table34111510911[[#This Row],[Q]]&lt;0.1, " ",Inventory_List_Table34111510911[[#This Row],[LND RND USD]]*12)</f>
        <v xml:space="preserve"> </v>
      </c>
      <c r="W20" s="30" t="str">
        <f>IF(Inventory_List_Table34111510911[[#This Row],[Q]]&lt;0.1, " ",Inventory_List_Table34111510911[[#This Row],[AQ USD]])</f>
        <v xml:space="preserve"> </v>
      </c>
      <c r="X2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0" s="30" t="str">
        <f>IF(Inventory_List_Table34111510911[[#This Row],[Q]]&lt;0.1, " ",Inventory_List_Table34111510911[[#This Row],[PRICE]]/Z20*10000)</f>
        <v xml:space="preserve"> </v>
      </c>
      <c r="AB20" s="150"/>
      <c r="AC20" s="1"/>
      <c r="AD20" s="1"/>
    </row>
    <row r="21" spans="1:30" ht="24" customHeight="1" x14ac:dyDescent="0.3">
      <c r="A21" s="154">
        <v>19</v>
      </c>
      <c r="B21" s="1"/>
      <c r="C21" s="151"/>
      <c r="D21" s="151"/>
      <c r="E21" s="151"/>
      <c r="F2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1" s="151"/>
      <c r="H21" s="151"/>
      <c r="I21" s="151"/>
      <c r="J21" s="151"/>
      <c r="K21" s="151"/>
      <c r="L21" s="153"/>
      <c r="M21" s="30" t="str">
        <f>IF(Inventory_List_Table34111510911[[#This Row],[Q]]&lt;0.1, " ", Inventory_List_Table34111510911[[#This Row],[Q]]*Inventory_List_Table34111510911[[#This Row],[PRICE]])</f>
        <v xml:space="preserve"> </v>
      </c>
      <c r="N21" s="35" t="str">
        <f>IF(Inventory_List_Table34111510911[[#This Row],[Q]]&lt;0.1, " ", Inventory_List_Table34111510911[[#This Row],[KG]]*2.20462)</f>
        <v xml:space="preserve"> </v>
      </c>
      <c r="O21" s="35" t="str">
        <f>IF(Inventory_List_Table34111510911[[#This Row],[Q]]&lt;0.1, " ",Inventory_List_Table34111510911[[#This Row],[H CM]]/2.54)</f>
        <v xml:space="preserve"> </v>
      </c>
      <c r="P21" s="35" t="str">
        <f>IF(Inventory_List_Table34111510911[[#This Row],[Q]]&lt;0.1, " ",Inventory_List_Table34111510911[[#This Row],[W CM]]/2.54)</f>
        <v xml:space="preserve"> </v>
      </c>
      <c r="Q21" s="35" t="str">
        <f>IF(Inventory_List_Table34111510911[[#This Row],[Q]]&lt;0.1, " ",Inventory_List_Table34111510911[[#This Row],[D CM ]]/2.54)</f>
        <v xml:space="preserve"> </v>
      </c>
      <c r="R21" s="30" t="str">
        <f>IF(Inventory_List_Table34111510911[[#This Row],[Q]]&lt;0.1, " ",Inventory_List_Table34111510911[[#This Row],[PRICE]]/$L$1)</f>
        <v xml:space="preserve"> </v>
      </c>
      <c r="S2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1" s="30" t="str">
        <f>IF(Inventory_List_Table34111510911[[#This Row],[Q]]&lt;0.1, " ",Inventory_List_Table34111510911[[#This Row],[AQ RND USD]]*1.4)</f>
        <v xml:space="preserve"> </v>
      </c>
      <c r="U2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1" s="30" t="str">
        <f>IF(Inventory_List_Table34111510911[[#This Row],[Q]]&lt;0.1, " ",Inventory_List_Table34111510911[[#This Row],[LND RND USD]]*12)</f>
        <v xml:space="preserve"> </v>
      </c>
      <c r="W21" s="30" t="str">
        <f>IF(Inventory_List_Table34111510911[[#This Row],[Q]]&lt;0.1, " ",Inventory_List_Table34111510911[[#This Row],[AQ USD]])</f>
        <v xml:space="preserve"> </v>
      </c>
      <c r="X2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1" s="30" t="str">
        <f>IF(Inventory_List_Table34111510911[[#This Row],[Q]]&lt;0.1, " ",Inventory_List_Table34111510911[[#This Row],[PRICE]]/Z21*10000)</f>
        <v xml:space="preserve"> </v>
      </c>
      <c r="AB21" s="150"/>
      <c r="AC21" s="1"/>
      <c r="AD21" s="1"/>
    </row>
    <row r="22" spans="1:30" ht="24" customHeight="1" x14ac:dyDescent="0.3">
      <c r="A22" s="154">
        <v>20</v>
      </c>
      <c r="B22" s="1"/>
      <c r="C22" s="151"/>
      <c r="D22" s="151"/>
      <c r="E22" s="151"/>
      <c r="F2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2" s="151"/>
      <c r="H22" s="151"/>
      <c r="I22" s="151"/>
      <c r="J22" s="151"/>
      <c r="K22" s="151"/>
      <c r="L22" s="153"/>
      <c r="M22" s="30" t="str">
        <f>IF(Inventory_List_Table34111510911[[#This Row],[Q]]&lt;0.1, " ", Inventory_List_Table34111510911[[#This Row],[Q]]*Inventory_List_Table34111510911[[#This Row],[PRICE]])</f>
        <v xml:space="preserve"> </v>
      </c>
      <c r="N22" s="35" t="str">
        <f>IF(Inventory_List_Table34111510911[[#This Row],[Q]]&lt;0.1, " ", Inventory_List_Table34111510911[[#This Row],[KG]]*2.20462)</f>
        <v xml:space="preserve"> </v>
      </c>
      <c r="O22" s="35" t="str">
        <f>IF(Inventory_List_Table34111510911[[#This Row],[Q]]&lt;0.1, " ",Inventory_List_Table34111510911[[#This Row],[H CM]]/2.54)</f>
        <v xml:space="preserve"> </v>
      </c>
      <c r="P22" s="35" t="str">
        <f>IF(Inventory_List_Table34111510911[[#This Row],[Q]]&lt;0.1, " ",Inventory_List_Table34111510911[[#This Row],[W CM]]/2.54)</f>
        <v xml:space="preserve"> </v>
      </c>
      <c r="Q22" s="35" t="str">
        <f>IF(Inventory_List_Table34111510911[[#This Row],[Q]]&lt;0.1, " ",Inventory_List_Table34111510911[[#This Row],[D CM ]]/2.54)</f>
        <v xml:space="preserve"> </v>
      </c>
      <c r="R22" s="30" t="str">
        <f>IF(Inventory_List_Table34111510911[[#This Row],[Q]]&lt;0.1, " ",Inventory_List_Table34111510911[[#This Row],[PRICE]]/$L$1)</f>
        <v xml:space="preserve"> </v>
      </c>
      <c r="S2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2" s="30" t="str">
        <f>IF(Inventory_List_Table34111510911[[#This Row],[Q]]&lt;0.1, " ",Inventory_List_Table34111510911[[#This Row],[AQ RND USD]]*1.4)</f>
        <v xml:space="preserve"> </v>
      </c>
      <c r="U2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2" s="30" t="str">
        <f>IF(Inventory_List_Table34111510911[[#This Row],[Q]]&lt;0.1, " ",Inventory_List_Table34111510911[[#This Row],[LND RND USD]]*12)</f>
        <v xml:space="preserve"> </v>
      </c>
      <c r="W22" s="30" t="str">
        <f>IF(Inventory_List_Table34111510911[[#This Row],[Q]]&lt;0.1, " ",Inventory_List_Table34111510911[[#This Row],[AQ USD]])</f>
        <v xml:space="preserve"> </v>
      </c>
      <c r="X2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2" s="30" t="str">
        <f>IF(Inventory_List_Table34111510911[[#This Row],[Q]]&lt;0.1, " ",Inventory_List_Table34111510911[[#This Row],[PRICE]]/Z22*10000)</f>
        <v xml:space="preserve"> </v>
      </c>
      <c r="AB22" s="150"/>
      <c r="AC22" s="1"/>
      <c r="AD22" s="1"/>
    </row>
    <row r="23" spans="1:30" ht="24" customHeight="1" x14ac:dyDescent="0.3">
      <c r="A23" s="154">
        <v>21</v>
      </c>
      <c r="B23" s="1"/>
      <c r="C23" s="151"/>
      <c r="D23" s="151"/>
      <c r="E23" s="151"/>
      <c r="F2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3" s="151"/>
      <c r="H23" s="151"/>
      <c r="I23" s="151"/>
      <c r="J23" s="151"/>
      <c r="K23" s="151"/>
      <c r="L23" s="153"/>
      <c r="M23" s="30" t="str">
        <f>IF(Inventory_List_Table34111510911[[#This Row],[Q]]&lt;0.1, " ", Inventory_List_Table34111510911[[#This Row],[Q]]*Inventory_List_Table34111510911[[#This Row],[PRICE]])</f>
        <v xml:space="preserve"> </v>
      </c>
      <c r="N23" s="35" t="str">
        <f>IF(Inventory_List_Table34111510911[[#This Row],[Q]]&lt;0.1, " ", Inventory_List_Table34111510911[[#This Row],[KG]]*2.20462)</f>
        <v xml:space="preserve"> </v>
      </c>
      <c r="O23" s="35" t="str">
        <f>IF(Inventory_List_Table34111510911[[#This Row],[Q]]&lt;0.1, " ",Inventory_List_Table34111510911[[#This Row],[H CM]]/2.54)</f>
        <v xml:space="preserve"> </v>
      </c>
      <c r="P23" s="35" t="str">
        <f>IF(Inventory_List_Table34111510911[[#This Row],[Q]]&lt;0.1, " ",Inventory_List_Table34111510911[[#This Row],[W CM]]/2.54)</f>
        <v xml:space="preserve"> </v>
      </c>
      <c r="Q23" s="35" t="str">
        <f>IF(Inventory_List_Table34111510911[[#This Row],[Q]]&lt;0.1, " ",Inventory_List_Table34111510911[[#This Row],[D CM ]]/2.54)</f>
        <v xml:space="preserve"> </v>
      </c>
      <c r="R23" s="30" t="str">
        <f>IF(Inventory_List_Table34111510911[[#This Row],[Q]]&lt;0.1, " ",Inventory_List_Table34111510911[[#This Row],[PRICE]]/$L$1)</f>
        <v xml:space="preserve"> </v>
      </c>
      <c r="S2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3" s="30" t="str">
        <f>IF(Inventory_List_Table34111510911[[#This Row],[Q]]&lt;0.1, " ",Inventory_List_Table34111510911[[#This Row],[AQ RND USD]]*1.4)</f>
        <v xml:space="preserve"> </v>
      </c>
      <c r="U2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3" s="30" t="str">
        <f>IF(Inventory_List_Table34111510911[[#This Row],[Q]]&lt;0.1, " ",Inventory_List_Table34111510911[[#This Row],[LND RND USD]]*12)</f>
        <v xml:space="preserve"> </v>
      </c>
      <c r="W23" s="30" t="str">
        <f>IF(Inventory_List_Table34111510911[[#This Row],[Q]]&lt;0.1, " ",Inventory_List_Table34111510911[[#This Row],[AQ USD]])</f>
        <v xml:space="preserve"> </v>
      </c>
      <c r="X2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3" s="30" t="str">
        <f>IF(Inventory_List_Table34111510911[[#This Row],[Q]]&lt;0.1, " ",Inventory_List_Table34111510911[[#This Row],[PRICE]]/Z23*10000)</f>
        <v xml:space="preserve"> </v>
      </c>
      <c r="AB23" s="150"/>
      <c r="AC23" s="1"/>
      <c r="AD23" s="1"/>
    </row>
    <row r="24" spans="1:30" ht="24" customHeight="1" x14ac:dyDescent="0.3">
      <c r="A24" s="154">
        <v>22</v>
      </c>
      <c r="B24" s="1"/>
      <c r="C24" s="151"/>
      <c r="D24" s="151"/>
      <c r="E24" s="151"/>
      <c r="F2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4" s="151"/>
      <c r="H24" s="151"/>
      <c r="I24" s="151"/>
      <c r="J24" s="151"/>
      <c r="K24" s="151"/>
      <c r="L24" s="153"/>
      <c r="M24" s="30" t="str">
        <f>IF(Inventory_List_Table34111510911[[#This Row],[Q]]&lt;0.1, " ", Inventory_List_Table34111510911[[#This Row],[Q]]*Inventory_List_Table34111510911[[#This Row],[PRICE]])</f>
        <v xml:space="preserve"> </v>
      </c>
      <c r="N24" s="35" t="str">
        <f>IF(Inventory_List_Table34111510911[[#This Row],[Q]]&lt;0.1, " ", Inventory_List_Table34111510911[[#This Row],[KG]]*2.20462)</f>
        <v xml:space="preserve"> </v>
      </c>
      <c r="O24" s="35" t="str">
        <f>IF(Inventory_List_Table34111510911[[#This Row],[Q]]&lt;0.1, " ",Inventory_List_Table34111510911[[#This Row],[H CM]]/2.54)</f>
        <v xml:space="preserve"> </v>
      </c>
      <c r="P24" s="35" t="str">
        <f>IF(Inventory_List_Table34111510911[[#This Row],[Q]]&lt;0.1, " ",Inventory_List_Table34111510911[[#This Row],[W CM]]/2.54)</f>
        <v xml:space="preserve"> </v>
      </c>
      <c r="Q24" s="35" t="str">
        <f>IF(Inventory_List_Table34111510911[[#This Row],[Q]]&lt;0.1, " ",Inventory_List_Table34111510911[[#This Row],[D CM ]]/2.54)</f>
        <v xml:space="preserve"> </v>
      </c>
      <c r="R24" s="30" t="str">
        <f>IF(Inventory_List_Table34111510911[[#This Row],[Q]]&lt;0.1, " ",Inventory_List_Table34111510911[[#This Row],[PRICE]]/$L$1)</f>
        <v xml:space="preserve"> </v>
      </c>
      <c r="S2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4" s="30" t="str">
        <f>IF(Inventory_List_Table34111510911[[#This Row],[Q]]&lt;0.1, " ",Inventory_List_Table34111510911[[#This Row],[AQ RND USD]]*1.4)</f>
        <v xml:space="preserve"> </v>
      </c>
      <c r="U2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4" s="30" t="str">
        <f>IF(Inventory_List_Table34111510911[[#This Row],[Q]]&lt;0.1, " ",Inventory_List_Table34111510911[[#This Row],[LND RND USD]]*12)</f>
        <v xml:space="preserve"> </v>
      </c>
      <c r="W24" s="30" t="str">
        <f>IF(Inventory_List_Table34111510911[[#This Row],[Q]]&lt;0.1, " ",Inventory_List_Table34111510911[[#This Row],[AQ USD]])</f>
        <v xml:space="preserve"> </v>
      </c>
      <c r="X2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4" s="30" t="str">
        <f>IF(Inventory_List_Table34111510911[[#This Row],[Q]]&lt;0.1, " ",Inventory_List_Table34111510911[[#This Row],[PRICE]]/Z24*10000)</f>
        <v xml:space="preserve"> </v>
      </c>
      <c r="AB24" s="150"/>
      <c r="AC24" s="1"/>
      <c r="AD24" s="1"/>
    </row>
    <row r="25" spans="1:30" ht="24" customHeight="1" x14ac:dyDescent="0.3">
      <c r="A25" s="154">
        <v>23</v>
      </c>
      <c r="B25" s="1"/>
      <c r="C25" s="151"/>
      <c r="D25" s="151"/>
      <c r="E25" s="151"/>
      <c r="F2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5" s="151"/>
      <c r="H25" s="151"/>
      <c r="I25" s="151"/>
      <c r="J25" s="151"/>
      <c r="K25" s="151"/>
      <c r="L25" s="153"/>
      <c r="M25" s="30" t="str">
        <f>IF(Inventory_List_Table34111510911[[#This Row],[Q]]&lt;0.1, " ", Inventory_List_Table34111510911[[#This Row],[Q]]*Inventory_List_Table34111510911[[#This Row],[PRICE]])</f>
        <v xml:space="preserve"> </v>
      </c>
      <c r="N25" s="35" t="str">
        <f>IF(Inventory_List_Table34111510911[[#This Row],[Q]]&lt;0.1, " ", Inventory_List_Table34111510911[[#This Row],[KG]]*2.20462)</f>
        <v xml:space="preserve"> </v>
      </c>
      <c r="O25" s="35" t="str">
        <f>IF(Inventory_List_Table34111510911[[#This Row],[Q]]&lt;0.1, " ",Inventory_List_Table34111510911[[#This Row],[H CM]]/2.54)</f>
        <v xml:space="preserve"> </v>
      </c>
      <c r="P25" s="35" t="str">
        <f>IF(Inventory_List_Table34111510911[[#This Row],[Q]]&lt;0.1, " ",Inventory_List_Table34111510911[[#This Row],[W CM]]/2.54)</f>
        <v xml:space="preserve"> </v>
      </c>
      <c r="Q25" s="35" t="str">
        <f>IF(Inventory_List_Table34111510911[[#This Row],[Q]]&lt;0.1, " ",Inventory_List_Table34111510911[[#This Row],[D CM ]]/2.54)</f>
        <v xml:space="preserve"> </v>
      </c>
      <c r="R25" s="30" t="str">
        <f>IF(Inventory_List_Table34111510911[[#This Row],[Q]]&lt;0.1, " ",Inventory_List_Table34111510911[[#This Row],[PRICE]]/$L$1)</f>
        <v xml:space="preserve"> </v>
      </c>
      <c r="S2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5" s="30" t="str">
        <f>IF(Inventory_List_Table34111510911[[#This Row],[Q]]&lt;0.1, " ",Inventory_List_Table34111510911[[#This Row],[AQ RND USD]]*1.4)</f>
        <v xml:space="preserve"> </v>
      </c>
      <c r="U2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5" s="30" t="str">
        <f>IF(Inventory_List_Table34111510911[[#This Row],[Q]]&lt;0.1, " ",Inventory_List_Table34111510911[[#This Row],[LND RND USD]]*12)</f>
        <v xml:space="preserve"> </v>
      </c>
      <c r="W25" s="30" t="str">
        <f>IF(Inventory_List_Table34111510911[[#This Row],[Q]]&lt;0.1, " ",Inventory_List_Table34111510911[[#This Row],[AQ USD]])</f>
        <v xml:space="preserve"> </v>
      </c>
      <c r="X2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5" s="30" t="str">
        <f>IF(Inventory_List_Table34111510911[[#This Row],[Q]]&lt;0.1, " ",Inventory_List_Table34111510911[[#This Row],[PRICE]]/Z25*10000)</f>
        <v xml:space="preserve"> </v>
      </c>
      <c r="AB25" s="150"/>
      <c r="AC25" s="1"/>
      <c r="AD25" s="1"/>
    </row>
    <row r="26" spans="1:30" ht="24" customHeight="1" x14ac:dyDescent="0.3">
      <c r="A26" s="154">
        <v>24</v>
      </c>
      <c r="B26" s="1"/>
      <c r="C26" s="151"/>
      <c r="D26" s="151"/>
      <c r="E26" s="151"/>
      <c r="F2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6" s="151"/>
      <c r="H26" s="151"/>
      <c r="I26" s="151"/>
      <c r="J26" s="151"/>
      <c r="K26" s="151"/>
      <c r="L26" s="153"/>
      <c r="M26" s="30" t="str">
        <f>IF(Inventory_List_Table34111510911[[#This Row],[Q]]&lt;0.1, " ", Inventory_List_Table34111510911[[#This Row],[Q]]*Inventory_List_Table34111510911[[#This Row],[PRICE]])</f>
        <v xml:space="preserve"> </v>
      </c>
      <c r="N26" s="35" t="str">
        <f>IF(Inventory_List_Table34111510911[[#This Row],[Q]]&lt;0.1, " ", Inventory_List_Table34111510911[[#This Row],[KG]]*2.20462)</f>
        <v xml:space="preserve"> </v>
      </c>
      <c r="O26" s="35" t="str">
        <f>IF(Inventory_List_Table34111510911[[#This Row],[Q]]&lt;0.1, " ",Inventory_List_Table34111510911[[#This Row],[H CM]]/2.54)</f>
        <v xml:space="preserve"> </v>
      </c>
      <c r="P26" s="35" t="str">
        <f>IF(Inventory_List_Table34111510911[[#This Row],[Q]]&lt;0.1, " ",Inventory_List_Table34111510911[[#This Row],[W CM]]/2.54)</f>
        <v xml:space="preserve"> </v>
      </c>
      <c r="Q26" s="35" t="str">
        <f>IF(Inventory_List_Table34111510911[[#This Row],[Q]]&lt;0.1, " ",Inventory_List_Table34111510911[[#This Row],[D CM ]]/2.54)</f>
        <v xml:space="preserve"> </v>
      </c>
      <c r="R26" s="30" t="str">
        <f>IF(Inventory_List_Table34111510911[[#This Row],[Q]]&lt;0.1, " ",Inventory_List_Table34111510911[[#This Row],[PRICE]]/$L$1)</f>
        <v xml:space="preserve"> </v>
      </c>
      <c r="S2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6" s="30" t="str">
        <f>IF(Inventory_List_Table34111510911[[#This Row],[Q]]&lt;0.1, " ",Inventory_List_Table34111510911[[#This Row],[AQ RND USD]]*1.4)</f>
        <v xml:space="preserve"> </v>
      </c>
      <c r="U2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6" s="30" t="str">
        <f>IF(Inventory_List_Table34111510911[[#This Row],[Q]]&lt;0.1, " ",Inventory_List_Table34111510911[[#This Row],[LND RND USD]]*12)</f>
        <v xml:space="preserve"> </v>
      </c>
      <c r="W26" s="30" t="str">
        <f>IF(Inventory_List_Table34111510911[[#This Row],[Q]]&lt;0.1, " ",Inventory_List_Table34111510911[[#This Row],[AQ USD]])</f>
        <v xml:space="preserve"> </v>
      </c>
      <c r="X2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6" s="30" t="str">
        <f>IF(Inventory_List_Table34111510911[[#This Row],[Q]]&lt;0.1, " ",Inventory_List_Table34111510911[[#This Row],[PRICE]]/Z26*10000)</f>
        <v xml:space="preserve"> </v>
      </c>
      <c r="AB26" s="150"/>
      <c r="AC26" s="1"/>
      <c r="AD26" s="1"/>
    </row>
    <row r="27" spans="1:30" ht="24" customHeight="1" x14ac:dyDescent="0.3">
      <c r="A27" s="154">
        <v>25</v>
      </c>
      <c r="B27" s="1"/>
      <c r="C27" s="151"/>
      <c r="D27" s="151"/>
      <c r="E27" s="151"/>
      <c r="F2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7" s="151"/>
      <c r="H27" s="151"/>
      <c r="I27" s="151"/>
      <c r="J27" s="151"/>
      <c r="K27" s="151"/>
      <c r="L27" s="153"/>
      <c r="M27" s="30" t="str">
        <f>IF(Inventory_List_Table34111510911[[#This Row],[Q]]&lt;0.1, " ", Inventory_List_Table34111510911[[#This Row],[Q]]*Inventory_List_Table34111510911[[#This Row],[PRICE]])</f>
        <v xml:space="preserve"> </v>
      </c>
      <c r="N27" s="35" t="str">
        <f>IF(Inventory_List_Table34111510911[[#This Row],[Q]]&lt;0.1, " ", Inventory_List_Table34111510911[[#This Row],[KG]]*2.20462)</f>
        <v xml:space="preserve"> </v>
      </c>
      <c r="O27" s="35" t="str">
        <f>IF(Inventory_List_Table34111510911[[#This Row],[Q]]&lt;0.1, " ",Inventory_List_Table34111510911[[#This Row],[H CM]]/2.54)</f>
        <v xml:space="preserve"> </v>
      </c>
      <c r="P27" s="35" t="str">
        <f>IF(Inventory_List_Table34111510911[[#This Row],[Q]]&lt;0.1, " ",Inventory_List_Table34111510911[[#This Row],[W CM]]/2.54)</f>
        <v xml:space="preserve"> </v>
      </c>
      <c r="Q27" s="35" t="str">
        <f>IF(Inventory_List_Table34111510911[[#This Row],[Q]]&lt;0.1, " ",Inventory_List_Table34111510911[[#This Row],[D CM ]]/2.54)</f>
        <v xml:space="preserve"> </v>
      </c>
      <c r="R27" s="30" t="str">
        <f>IF(Inventory_List_Table34111510911[[#This Row],[Q]]&lt;0.1, " ",Inventory_List_Table34111510911[[#This Row],[PRICE]]/$L$1)</f>
        <v xml:space="preserve"> </v>
      </c>
      <c r="S2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7" s="30" t="str">
        <f>IF(Inventory_List_Table34111510911[[#This Row],[Q]]&lt;0.1, " ",Inventory_List_Table34111510911[[#This Row],[AQ RND USD]]*1.4)</f>
        <v xml:space="preserve"> </v>
      </c>
      <c r="U2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7" s="30" t="str">
        <f>IF(Inventory_List_Table34111510911[[#This Row],[Q]]&lt;0.1, " ",Inventory_List_Table34111510911[[#This Row],[LND RND USD]]*12)</f>
        <v xml:space="preserve"> </v>
      </c>
      <c r="W27" s="30" t="str">
        <f>IF(Inventory_List_Table34111510911[[#This Row],[Q]]&lt;0.1, " ",Inventory_List_Table34111510911[[#This Row],[AQ USD]])</f>
        <v xml:space="preserve"> </v>
      </c>
      <c r="X2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7" s="30" t="str">
        <f>IF(Inventory_List_Table34111510911[[#This Row],[Q]]&lt;0.1, " ",Inventory_List_Table34111510911[[#This Row],[PRICE]]/Z27*10000)</f>
        <v xml:space="preserve"> </v>
      </c>
      <c r="AB27" s="150"/>
      <c r="AC27" s="1"/>
      <c r="AD27" s="1"/>
    </row>
    <row r="28" spans="1:30" ht="24" customHeight="1" x14ac:dyDescent="0.3">
      <c r="A28" s="154">
        <v>26</v>
      </c>
      <c r="B28" s="1"/>
      <c r="C28" s="151"/>
      <c r="D28" s="151"/>
      <c r="E28" s="151"/>
      <c r="F2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8" s="151"/>
      <c r="H28" s="151"/>
      <c r="I28" s="151"/>
      <c r="J28" s="151"/>
      <c r="K28" s="151"/>
      <c r="L28" s="153"/>
      <c r="M28" s="30" t="str">
        <f>IF(Inventory_List_Table34111510911[[#This Row],[Q]]&lt;0.1, " ", Inventory_List_Table34111510911[[#This Row],[Q]]*Inventory_List_Table34111510911[[#This Row],[PRICE]])</f>
        <v xml:space="preserve"> </v>
      </c>
      <c r="N28" s="35" t="str">
        <f>IF(Inventory_List_Table34111510911[[#This Row],[Q]]&lt;0.1, " ", Inventory_List_Table34111510911[[#This Row],[KG]]*2.20462)</f>
        <v xml:space="preserve"> </v>
      </c>
      <c r="O28" s="35" t="str">
        <f>IF(Inventory_List_Table34111510911[[#This Row],[Q]]&lt;0.1, " ",Inventory_List_Table34111510911[[#This Row],[H CM]]/2.54)</f>
        <v xml:space="preserve"> </v>
      </c>
      <c r="P28" s="35" t="str">
        <f>IF(Inventory_List_Table34111510911[[#This Row],[Q]]&lt;0.1, " ",Inventory_List_Table34111510911[[#This Row],[W CM]]/2.54)</f>
        <v xml:space="preserve"> </v>
      </c>
      <c r="Q28" s="35" t="str">
        <f>IF(Inventory_List_Table34111510911[[#This Row],[Q]]&lt;0.1, " ",Inventory_List_Table34111510911[[#This Row],[D CM ]]/2.54)</f>
        <v xml:space="preserve"> </v>
      </c>
      <c r="R28" s="30" t="str">
        <f>IF(Inventory_List_Table34111510911[[#This Row],[Q]]&lt;0.1, " ",Inventory_List_Table34111510911[[#This Row],[PRICE]]/$L$1)</f>
        <v xml:space="preserve"> </v>
      </c>
      <c r="S2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8" s="30" t="str">
        <f>IF(Inventory_List_Table34111510911[[#This Row],[Q]]&lt;0.1, " ",Inventory_List_Table34111510911[[#This Row],[AQ RND USD]]*1.4)</f>
        <v xml:space="preserve"> </v>
      </c>
      <c r="U2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8" s="30" t="str">
        <f>IF(Inventory_List_Table34111510911[[#This Row],[Q]]&lt;0.1, " ",Inventory_List_Table34111510911[[#This Row],[LND RND USD]]*12)</f>
        <v xml:space="preserve"> </v>
      </c>
      <c r="W28" s="30" t="str">
        <f>IF(Inventory_List_Table34111510911[[#This Row],[Q]]&lt;0.1, " ",Inventory_List_Table34111510911[[#This Row],[AQ USD]])</f>
        <v xml:space="preserve"> </v>
      </c>
      <c r="X2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8" s="30" t="str">
        <f>IF(Inventory_List_Table34111510911[[#This Row],[Q]]&lt;0.1, " ",Inventory_List_Table34111510911[[#This Row],[PRICE]]/Z28*10000)</f>
        <v xml:space="preserve"> </v>
      </c>
      <c r="AB28" s="150"/>
      <c r="AC28" s="1"/>
      <c r="AD28" s="1"/>
    </row>
    <row r="29" spans="1:30" ht="24" customHeight="1" x14ac:dyDescent="0.3">
      <c r="A29" s="154">
        <v>27</v>
      </c>
      <c r="B29" s="1"/>
      <c r="C29" s="151"/>
      <c r="D29" s="151"/>
      <c r="E29" s="151"/>
      <c r="F2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29" s="151"/>
      <c r="H29" s="151"/>
      <c r="I29" s="151"/>
      <c r="J29" s="151"/>
      <c r="K29" s="151"/>
      <c r="L29" s="153"/>
      <c r="M29" s="30" t="str">
        <f>IF(Inventory_List_Table34111510911[[#This Row],[Q]]&lt;0.1, " ", Inventory_List_Table34111510911[[#This Row],[Q]]*Inventory_List_Table34111510911[[#This Row],[PRICE]])</f>
        <v xml:space="preserve"> </v>
      </c>
      <c r="N29" s="35" t="str">
        <f>IF(Inventory_List_Table34111510911[[#This Row],[Q]]&lt;0.1, " ", Inventory_List_Table34111510911[[#This Row],[KG]]*2.20462)</f>
        <v xml:space="preserve"> </v>
      </c>
      <c r="O29" s="35" t="str">
        <f>IF(Inventory_List_Table34111510911[[#This Row],[Q]]&lt;0.1, " ",Inventory_List_Table34111510911[[#This Row],[H CM]]/2.54)</f>
        <v xml:space="preserve"> </v>
      </c>
      <c r="P29" s="35" t="str">
        <f>IF(Inventory_List_Table34111510911[[#This Row],[Q]]&lt;0.1, " ",Inventory_List_Table34111510911[[#This Row],[W CM]]/2.54)</f>
        <v xml:space="preserve"> </v>
      </c>
      <c r="Q29" s="35" t="str">
        <f>IF(Inventory_List_Table34111510911[[#This Row],[Q]]&lt;0.1, " ",Inventory_List_Table34111510911[[#This Row],[D CM ]]/2.54)</f>
        <v xml:space="preserve"> </v>
      </c>
      <c r="R29" s="30" t="str">
        <f>IF(Inventory_List_Table34111510911[[#This Row],[Q]]&lt;0.1, " ",Inventory_List_Table34111510911[[#This Row],[PRICE]]/$L$1)</f>
        <v xml:space="preserve"> </v>
      </c>
      <c r="S2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29" s="30" t="str">
        <f>IF(Inventory_List_Table34111510911[[#This Row],[Q]]&lt;0.1, " ",Inventory_List_Table34111510911[[#This Row],[AQ RND USD]]*1.4)</f>
        <v xml:space="preserve"> </v>
      </c>
      <c r="U2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29" s="30" t="str">
        <f>IF(Inventory_List_Table34111510911[[#This Row],[Q]]&lt;0.1, " ",Inventory_List_Table34111510911[[#This Row],[LND RND USD]]*12)</f>
        <v xml:space="preserve"> </v>
      </c>
      <c r="W29" s="30" t="str">
        <f>IF(Inventory_List_Table34111510911[[#This Row],[Q]]&lt;0.1, " ",Inventory_List_Table34111510911[[#This Row],[AQ USD]])</f>
        <v xml:space="preserve"> </v>
      </c>
      <c r="X2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2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2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29" s="30" t="str">
        <f>IF(Inventory_List_Table34111510911[[#This Row],[Q]]&lt;0.1, " ",Inventory_List_Table34111510911[[#This Row],[PRICE]]/Z29*10000)</f>
        <v xml:space="preserve"> </v>
      </c>
      <c r="AB29" s="150"/>
      <c r="AC29" s="1"/>
      <c r="AD29" s="1"/>
    </row>
    <row r="30" spans="1:30" ht="24" customHeight="1" x14ac:dyDescent="0.3">
      <c r="A30" s="154">
        <v>28</v>
      </c>
      <c r="B30" s="1"/>
      <c r="C30" s="151"/>
      <c r="D30" s="151"/>
      <c r="E30" s="151"/>
      <c r="F3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0" s="151"/>
      <c r="H30" s="151"/>
      <c r="I30" s="151"/>
      <c r="J30" s="151"/>
      <c r="K30" s="151"/>
      <c r="L30" s="153"/>
      <c r="M30" s="30" t="str">
        <f>IF(Inventory_List_Table34111510911[[#This Row],[Q]]&lt;0.1, " ", Inventory_List_Table34111510911[[#This Row],[Q]]*Inventory_List_Table34111510911[[#This Row],[PRICE]])</f>
        <v xml:space="preserve"> </v>
      </c>
      <c r="N30" s="35" t="str">
        <f>IF(Inventory_List_Table34111510911[[#This Row],[Q]]&lt;0.1, " ", Inventory_List_Table34111510911[[#This Row],[KG]]*2.20462)</f>
        <v xml:space="preserve"> </v>
      </c>
      <c r="O30" s="35" t="str">
        <f>IF(Inventory_List_Table34111510911[[#This Row],[Q]]&lt;0.1, " ",Inventory_List_Table34111510911[[#This Row],[H CM]]/2.54)</f>
        <v xml:space="preserve"> </v>
      </c>
      <c r="P30" s="35" t="str">
        <f>IF(Inventory_List_Table34111510911[[#This Row],[Q]]&lt;0.1, " ",Inventory_List_Table34111510911[[#This Row],[W CM]]/2.54)</f>
        <v xml:space="preserve"> </v>
      </c>
      <c r="Q30" s="35" t="str">
        <f>IF(Inventory_List_Table34111510911[[#This Row],[Q]]&lt;0.1, " ",Inventory_List_Table34111510911[[#This Row],[D CM ]]/2.54)</f>
        <v xml:space="preserve"> </v>
      </c>
      <c r="R30" s="30" t="str">
        <f>IF(Inventory_List_Table34111510911[[#This Row],[Q]]&lt;0.1, " ",Inventory_List_Table34111510911[[#This Row],[PRICE]]/$L$1)</f>
        <v xml:space="preserve"> </v>
      </c>
      <c r="S3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0" s="30" t="str">
        <f>IF(Inventory_List_Table34111510911[[#This Row],[Q]]&lt;0.1, " ",Inventory_List_Table34111510911[[#This Row],[AQ RND USD]]*1.4)</f>
        <v xml:space="preserve"> </v>
      </c>
      <c r="U3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0" s="30" t="str">
        <f>IF(Inventory_List_Table34111510911[[#This Row],[Q]]&lt;0.1, " ",Inventory_List_Table34111510911[[#This Row],[LND RND USD]]*12)</f>
        <v xml:space="preserve"> </v>
      </c>
      <c r="W30" s="30" t="str">
        <f>IF(Inventory_List_Table34111510911[[#This Row],[Q]]&lt;0.1, " ",Inventory_List_Table34111510911[[#This Row],[AQ USD]])</f>
        <v xml:space="preserve"> </v>
      </c>
      <c r="X3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0" s="30" t="str">
        <f>IF(Inventory_List_Table34111510911[[#This Row],[Q]]&lt;0.1, " ",Inventory_List_Table34111510911[[#This Row],[PRICE]]/Z30*10000)</f>
        <v xml:space="preserve"> </v>
      </c>
      <c r="AB30" s="150"/>
      <c r="AC30" s="1"/>
      <c r="AD30" s="1"/>
    </row>
    <row r="31" spans="1:30" ht="24" customHeight="1" x14ac:dyDescent="0.3">
      <c r="A31" s="154">
        <v>29</v>
      </c>
      <c r="B31" s="1"/>
      <c r="C31" s="151"/>
      <c r="D31" s="151"/>
      <c r="E31" s="151"/>
      <c r="F3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1" s="151"/>
      <c r="H31" s="151"/>
      <c r="I31" s="151"/>
      <c r="J31" s="151"/>
      <c r="K31" s="151"/>
      <c r="L31" s="153"/>
      <c r="M31" s="30" t="str">
        <f>IF(Inventory_List_Table34111510911[[#This Row],[Q]]&lt;0.1, " ", Inventory_List_Table34111510911[[#This Row],[Q]]*Inventory_List_Table34111510911[[#This Row],[PRICE]])</f>
        <v xml:space="preserve"> </v>
      </c>
      <c r="N31" s="35" t="str">
        <f>IF(Inventory_List_Table34111510911[[#This Row],[Q]]&lt;0.1, " ", Inventory_List_Table34111510911[[#This Row],[KG]]*2.20462)</f>
        <v xml:space="preserve"> </v>
      </c>
      <c r="O31" s="35" t="str">
        <f>IF(Inventory_List_Table34111510911[[#This Row],[Q]]&lt;0.1, " ",Inventory_List_Table34111510911[[#This Row],[H CM]]/2.54)</f>
        <v xml:space="preserve"> </v>
      </c>
      <c r="P31" s="35" t="str">
        <f>IF(Inventory_List_Table34111510911[[#This Row],[Q]]&lt;0.1, " ",Inventory_List_Table34111510911[[#This Row],[W CM]]/2.54)</f>
        <v xml:space="preserve"> </v>
      </c>
      <c r="Q31" s="35" t="str">
        <f>IF(Inventory_List_Table34111510911[[#This Row],[Q]]&lt;0.1, " ",Inventory_List_Table34111510911[[#This Row],[D CM ]]/2.54)</f>
        <v xml:space="preserve"> </v>
      </c>
      <c r="R31" s="30" t="str">
        <f>IF(Inventory_List_Table34111510911[[#This Row],[Q]]&lt;0.1, " ",Inventory_List_Table34111510911[[#This Row],[PRICE]]/$L$1)</f>
        <v xml:space="preserve"> </v>
      </c>
      <c r="S3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1" s="30" t="str">
        <f>IF(Inventory_List_Table34111510911[[#This Row],[Q]]&lt;0.1, " ",Inventory_List_Table34111510911[[#This Row],[AQ RND USD]]*1.4)</f>
        <v xml:space="preserve"> </v>
      </c>
      <c r="U3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1" s="30" t="str">
        <f>IF(Inventory_List_Table34111510911[[#This Row],[Q]]&lt;0.1, " ",Inventory_List_Table34111510911[[#This Row],[LND RND USD]]*12)</f>
        <v xml:space="preserve"> </v>
      </c>
      <c r="W31" s="30" t="str">
        <f>IF(Inventory_List_Table34111510911[[#This Row],[Q]]&lt;0.1, " ",Inventory_List_Table34111510911[[#This Row],[AQ USD]])</f>
        <v xml:space="preserve"> </v>
      </c>
      <c r="X3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1" s="30" t="str">
        <f>IF(Inventory_List_Table34111510911[[#This Row],[Q]]&lt;0.1, " ",Inventory_List_Table34111510911[[#This Row],[PRICE]]/Z31*10000)</f>
        <v xml:space="preserve"> </v>
      </c>
      <c r="AB31" s="150"/>
      <c r="AC31" s="1"/>
      <c r="AD31" s="1"/>
    </row>
    <row r="32" spans="1:30" ht="24" customHeight="1" x14ac:dyDescent="0.3">
      <c r="A32" s="154">
        <v>30</v>
      </c>
      <c r="B32" s="1"/>
      <c r="C32" s="151"/>
      <c r="D32" s="151"/>
      <c r="E32" s="151"/>
      <c r="F3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2" s="151"/>
      <c r="H32" s="151"/>
      <c r="I32" s="151"/>
      <c r="J32" s="151"/>
      <c r="K32" s="151"/>
      <c r="L32" s="153"/>
      <c r="M32" s="30" t="str">
        <f>IF(Inventory_List_Table34111510911[[#This Row],[Q]]&lt;0.1, " ", Inventory_List_Table34111510911[[#This Row],[Q]]*Inventory_List_Table34111510911[[#This Row],[PRICE]])</f>
        <v xml:space="preserve"> </v>
      </c>
      <c r="N32" s="35" t="str">
        <f>IF(Inventory_List_Table34111510911[[#This Row],[Q]]&lt;0.1, " ", Inventory_List_Table34111510911[[#This Row],[KG]]*2.20462)</f>
        <v xml:space="preserve"> </v>
      </c>
      <c r="O32" s="35" t="str">
        <f>IF(Inventory_List_Table34111510911[[#This Row],[Q]]&lt;0.1, " ",Inventory_List_Table34111510911[[#This Row],[H CM]]/2.54)</f>
        <v xml:space="preserve"> </v>
      </c>
      <c r="P32" s="35" t="str">
        <f>IF(Inventory_List_Table34111510911[[#This Row],[Q]]&lt;0.1, " ",Inventory_List_Table34111510911[[#This Row],[W CM]]/2.54)</f>
        <v xml:space="preserve"> </v>
      </c>
      <c r="Q32" s="35" t="str">
        <f>IF(Inventory_List_Table34111510911[[#This Row],[Q]]&lt;0.1, " ",Inventory_List_Table34111510911[[#This Row],[D CM ]]/2.54)</f>
        <v xml:space="preserve"> </v>
      </c>
      <c r="R32" s="30" t="str">
        <f>IF(Inventory_List_Table34111510911[[#This Row],[Q]]&lt;0.1, " ",Inventory_List_Table34111510911[[#This Row],[PRICE]]/$L$1)</f>
        <v xml:space="preserve"> </v>
      </c>
      <c r="S3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2" s="30" t="str">
        <f>IF(Inventory_List_Table34111510911[[#This Row],[Q]]&lt;0.1, " ",Inventory_List_Table34111510911[[#This Row],[AQ RND USD]]*1.4)</f>
        <v xml:space="preserve"> </v>
      </c>
      <c r="U3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2" s="30" t="str">
        <f>IF(Inventory_List_Table34111510911[[#This Row],[Q]]&lt;0.1, " ",Inventory_List_Table34111510911[[#This Row],[LND RND USD]]*12)</f>
        <v xml:space="preserve"> </v>
      </c>
      <c r="W32" s="30" t="str">
        <f>IF(Inventory_List_Table34111510911[[#This Row],[Q]]&lt;0.1, " ",Inventory_List_Table34111510911[[#This Row],[AQ USD]])</f>
        <v xml:space="preserve"> </v>
      </c>
      <c r="X3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2" s="30" t="str">
        <f>IF(Inventory_List_Table34111510911[[#This Row],[Q]]&lt;0.1, " ",Inventory_List_Table34111510911[[#This Row],[PRICE]]/Z32*10000)</f>
        <v xml:space="preserve"> </v>
      </c>
      <c r="AB32" s="150"/>
      <c r="AC32" s="1"/>
      <c r="AD32" s="1"/>
    </row>
    <row r="33" spans="1:30" ht="24" customHeight="1" x14ac:dyDescent="0.3">
      <c r="A33" s="154">
        <v>31</v>
      </c>
      <c r="B33" s="1"/>
      <c r="C33" s="151"/>
      <c r="D33" s="151"/>
      <c r="E33" s="151"/>
      <c r="F3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3" s="151"/>
      <c r="H33" s="151"/>
      <c r="I33" s="151"/>
      <c r="J33" s="151"/>
      <c r="K33" s="151"/>
      <c r="L33" s="153"/>
      <c r="M33" s="30" t="str">
        <f>IF(Inventory_List_Table34111510911[[#This Row],[Q]]&lt;0.1, " ", Inventory_List_Table34111510911[[#This Row],[Q]]*Inventory_List_Table34111510911[[#This Row],[PRICE]])</f>
        <v xml:space="preserve"> </v>
      </c>
      <c r="N33" s="35" t="str">
        <f>IF(Inventory_List_Table34111510911[[#This Row],[Q]]&lt;0.1, " ", Inventory_List_Table34111510911[[#This Row],[KG]]*2.20462)</f>
        <v xml:space="preserve"> </v>
      </c>
      <c r="O33" s="35" t="str">
        <f>IF(Inventory_List_Table34111510911[[#This Row],[Q]]&lt;0.1, " ",Inventory_List_Table34111510911[[#This Row],[H CM]]/2.54)</f>
        <v xml:space="preserve"> </v>
      </c>
      <c r="P33" s="35" t="str">
        <f>IF(Inventory_List_Table34111510911[[#This Row],[Q]]&lt;0.1, " ",Inventory_List_Table34111510911[[#This Row],[W CM]]/2.54)</f>
        <v xml:space="preserve"> </v>
      </c>
      <c r="Q33" s="35" t="str">
        <f>IF(Inventory_List_Table34111510911[[#This Row],[Q]]&lt;0.1, " ",Inventory_List_Table34111510911[[#This Row],[D CM ]]/2.54)</f>
        <v xml:space="preserve"> </v>
      </c>
      <c r="R33" s="30" t="str">
        <f>IF(Inventory_List_Table34111510911[[#This Row],[Q]]&lt;0.1, " ",Inventory_List_Table34111510911[[#This Row],[PRICE]]/$L$1)</f>
        <v xml:space="preserve"> </v>
      </c>
      <c r="S3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3" s="30" t="str">
        <f>IF(Inventory_List_Table34111510911[[#This Row],[Q]]&lt;0.1, " ",Inventory_List_Table34111510911[[#This Row],[AQ RND USD]]*1.4)</f>
        <v xml:space="preserve"> </v>
      </c>
      <c r="U3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3" s="30" t="str">
        <f>IF(Inventory_List_Table34111510911[[#This Row],[Q]]&lt;0.1, " ",Inventory_List_Table34111510911[[#This Row],[LND RND USD]]*12)</f>
        <v xml:space="preserve"> </v>
      </c>
      <c r="W33" s="30" t="str">
        <f>IF(Inventory_List_Table34111510911[[#This Row],[Q]]&lt;0.1, " ",Inventory_List_Table34111510911[[#This Row],[AQ USD]])</f>
        <v xml:space="preserve"> </v>
      </c>
      <c r="X3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3" s="30" t="str">
        <f>IF(Inventory_List_Table34111510911[[#This Row],[Q]]&lt;0.1, " ",Inventory_List_Table34111510911[[#This Row],[PRICE]]/Z33*10000)</f>
        <v xml:space="preserve"> </v>
      </c>
      <c r="AB33" s="150"/>
      <c r="AC33" s="1"/>
      <c r="AD33" s="1"/>
    </row>
    <row r="34" spans="1:30" ht="24" customHeight="1" x14ac:dyDescent="0.3">
      <c r="A34" s="154">
        <v>32</v>
      </c>
      <c r="B34" s="1"/>
      <c r="C34" s="151"/>
      <c r="D34" s="151"/>
      <c r="E34" s="151"/>
      <c r="F3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4" s="151"/>
      <c r="H34" s="151"/>
      <c r="I34" s="151"/>
      <c r="J34" s="151"/>
      <c r="K34" s="151"/>
      <c r="L34" s="153"/>
      <c r="M34" s="30" t="str">
        <f>IF(Inventory_List_Table34111510911[[#This Row],[Q]]&lt;0.1, " ", Inventory_List_Table34111510911[[#This Row],[Q]]*Inventory_List_Table34111510911[[#This Row],[PRICE]])</f>
        <v xml:space="preserve"> </v>
      </c>
      <c r="N34" s="35" t="str">
        <f>IF(Inventory_List_Table34111510911[[#This Row],[Q]]&lt;0.1, " ", Inventory_List_Table34111510911[[#This Row],[KG]]*2.20462)</f>
        <v xml:space="preserve"> </v>
      </c>
      <c r="O34" s="35" t="str">
        <f>IF(Inventory_List_Table34111510911[[#This Row],[Q]]&lt;0.1, " ",Inventory_List_Table34111510911[[#This Row],[H CM]]/2.54)</f>
        <v xml:space="preserve"> </v>
      </c>
      <c r="P34" s="35" t="str">
        <f>IF(Inventory_List_Table34111510911[[#This Row],[Q]]&lt;0.1, " ",Inventory_List_Table34111510911[[#This Row],[W CM]]/2.54)</f>
        <v xml:space="preserve"> </v>
      </c>
      <c r="Q34" s="35" t="str">
        <f>IF(Inventory_List_Table34111510911[[#This Row],[Q]]&lt;0.1, " ",Inventory_List_Table34111510911[[#This Row],[D CM ]]/2.54)</f>
        <v xml:space="preserve"> </v>
      </c>
      <c r="R34" s="30" t="str">
        <f>IF(Inventory_List_Table34111510911[[#This Row],[Q]]&lt;0.1, " ",Inventory_List_Table34111510911[[#This Row],[PRICE]]/$L$1)</f>
        <v xml:space="preserve"> </v>
      </c>
      <c r="S3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4" s="30" t="str">
        <f>IF(Inventory_List_Table34111510911[[#This Row],[Q]]&lt;0.1, " ",Inventory_List_Table34111510911[[#This Row],[AQ RND USD]]*1.4)</f>
        <v xml:space="preserve"> </v>
      </c>
      <c r="U3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4" s="30" t="str">
        <f>IF(Inventory_List_Table34111510911[[#This Row],[Q]]&lt;0.1, " ",Inventory_List_Table34111510911[[#This Row],[LND RND USD]]*12)</f>
        <v xml:space="preserve"> </v>
      </c>
      <c r="W34" s="30" t="str">
        <f>IF(Inventory_List_Table34111510911[[#This Row],[Q]]&lt;0.1, " ",Inventory_List_Table34111510911[[#This Row],[AQ USD]])</f>
        <v xml:space="preserve"> </v>
      </c>
      <c r="X3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4" s="30" t="str">
        <f>IF(Inventory_List_Table34111510911[[#This Row],[Q]]&lt;0.1, " ",Inventory_List_Table34111510911[[#This Row],[PRICE]]/Z34*10000)</f>
        <v xml:space="preserve"> </v>
      </c>
      <c r="AB34" s="150"/>
      <c r="AC34" s="1"/>
      <c r="AD34" s="1"/>
    </row>
    <row r="35" spans="1:30" ht="24" customHeight="1" x14ac:dyDescent="0.3">
      <c r="A35" s="154">
        <v>33</v>
      </c>
      <c r="B35" s="1"/>
      <c r="C35" s="151"/>
      <c r="D35" s="151"/>
      <c r="E35" s="151"/>
      <c r="F3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5" s="151"/>
      <c r="H35" s="151"/>
      <c r="I35" s="151"/>
      <c r="J35" s="151"/>
      <c r="K35" s="151"/>
      <c r="L35" s="153"/>
      <c r="M35" s="30" t="str">
        <f>IF(Inventory_List_Table34111510911[[#This Row],[Q]]&lt;0.1, " ", Inventory_List_Table34111510911[[#This Row],[Q]]*Inventory_List_Table34111510911[[#This Row],[PRICE]])</f>
        <v xml:space="preserve"> </v>
      </c>
      <c r="N35" s="35" t="str">
        <f>IF(Inventory_List_Table34111510911[[#This Row],[Q]]&lt;0.1, " ", Inventory_List_Table34111510911[[#This Row],[KG]]*2.20462)</f>
        <v xml:space="preserve"> </v>
      </c>
      <c r="O35" s="35" t="str">
        <f>IF(Inventory_List_Table34111510911[[#This Row],[Q]]&lt;0.1, " ",Inventory_List_Table34111510911[[#This Row],[H CM]]/2.54)</f>
        <v xml:space="preserve"> </v>
      </c>
      <c r="P35" s="35" t="str">
        <f>IF(Inventory_List_Table34111510911[[#This Row],[Q]]&lt;0.1, " ",Inventory_List_Table34111510911[[#This Row],[W CM]]/2.54)</f>
        <v xml:space="preserve"> </v>
      </c>
      <c r="Q35" s="35" t="str">
        <f>IF(Inventory_List_Table34111510911[[#This Row],[Q]]&lt;0.1, " ",Inventory_List_Table34111510911[[#This Row],[D CM ]]/2.54)</f>
        <v xml:space="preserve"> </v>
      </c>
      <c r="R35" s="30" t="str">
        <f>IF(Inventory_List_Table34111510911[[#This Row],[Q]]&lt;0.1, " ",Inventory_List_Table34111510911[[#This Row],[PRICE]]/$L$1)</f>
        <v xml:space="preserve"> </v>
      </c>
      <c r="S3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5" s="30" t="str">
        <f>IF(Inventory_List_Table34111510911[[#This Row],[Q]]&lt;0.1, " ",Inventory_List_Table34111510911[[#This Row],[AQ RND USD]]*1.4)</f>
        <v xml:space="preserve"> </v>
      </c>
      <c r="U3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5" s="30" t="str">
        <f>IF(Inventory_List_Table34111510911[[#This Row],[Q]]&lt;0.1, " ",Inventory_List_Table34111510911[[#This Row],[LND RND USD]]*12)</f>
        <v xml:space="preserve"> </v>
      </c>
      <c r="W35" s="30" t="str">
        <f>IF(Inventory_List_Table34111510911[[#This Row],[Q]]&lt;0.1, " ",Inventory_List_Table34111510911[[#This Row],[AQ USD]])</f>
        <v xml:space="preserve"> </v>
      </c>
      <c r="X3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5" s="30" t="str">
        <f>IF(Inventory_List_Table34111510911[[#This Row],[Q]]&lt;0.1, " ",Inventory_List_Table34111510911[[#This Row],[PRICE]]/Z35*10000)</f>
        <v xml:space="preserve"> </v>
      </c>
      <c r="AB35" s="150"/>
      <c r="AC35" s="1"/>
      <c r="AD35" s="1"/>
    </row>
    <row r="36" spans="1:30" ht="24" customHeight="1" x14ac:dyDescent="0.3">
      <c r="A36" s="154">
        <v>34</v>
      </c>
      <c r="B36" s="1"/>
      <c r="C36" s="151"/>
      <c r="D36" s="151"/>
      <c r="E36" s="151"/>
      <c r="F3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6" s="151"/>
      <c r="H36" s="151"/>
      <c r="I36" s="151"/>
      <c r="J36" s="151"/>
      <c r="K36" s="151"/>
      <c r="L36" s="153"/>
      <c r="M36" s="30" t="str">
        <f>IF(Inventory_List_Table34111510911[[#This Row],[Q]]&lt;0.1, " ", Inventory_List_Table34111510911[[#This Row],[Q]]*Inventory_List_Table34111510911[[#This Row],[PRICE]])</f>
        <v xml:space="preserve"> </v>
      </c>
      <c r="N36" s="35" t="str">
        <f>IF(Inventory_List_Table34111510911[[#This Row],[Q]]&lt;0.1, " ", Inventory_List_Table34111510911[[#This Row],[KG]]*2.20462)</f>
        <v xml:space="preserve"> </v>
      </c>
      <c r="O36" s="35" t="str">
        <f>IF(Inventory_List_Table34111510911[[#This Row],[Q]]&lt;0.1, " ",Inventory_List_Table34111510911[[#This Row],[H CM]]/2.54)</f>
        <v xml:space="preserve"> </v>
      </c>
      <c r="P36" s="35" t="str">
        <f>IF(Inventory_List_Table34111510911[[#This Row],[Q]]&lt;0.1, " ",Inventory_List_Table34111510911[[#This Row],[W CM]]/2.54)</f>
        <v xml:space="preserve"> </v>
      </c>
      <c r="Q36" s="35" t="str">
        <f>IF(Inventory_List_Table34111510911[[#This Row],[Q]]&lt;0.1, " ",Inventory_List_Table34111510911[[#This Row],[D CM ]]/2.54)</f>
        <v xml:space="preserve"> </v>
      </c>
      <c r="R36" s="30" t="str">
        <f>IF(Inventory_List_Table34111510911[[#This Row],[Q]]&lt;0.1, " ",Inventory_List_Table34111510911[[#This Row],[PRICE]]/$L$1)</f>
        <v xml:space="preserve"> </v>
      </c>
      <c r="S3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6" s="30" t="str">
        <f>IF(Inventory_List_Table34111510911[[#This Row],[Q]]&lt;0.1, " ",Inventory_List_Table34111510911[[#This Row],[AQ RND USD]]*1.4)</f>
        <v xml:space="preserve"> </v>
      </c>
      <c r="U3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6" s="30" t="str">
        <f>IF(Inventory_List_Table34111510911[[#This Row],[Q]]&lt;0.1, " ",Inventory_List_Table34111510911[[#This Row],[LND RND USD]]*12)</f>
        <v xml:space="preserve"> </v>
      </c>
      <c r="W36" s="30" t="str">
        <f>IF(Inventory_List_Table34111510911[[#This Row],[Q]]&lt;0.1, " ",Inventory_List_Table34111510911[[#This Row],[AQ USD]])</f>
        <v xml:space="preserve"> </v>
      </c>
      <c r="X3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6" s="30" t="str">
        <f>IF(Inventory_List_Table34111510911[[#This Row],[Q]]&lt;0.1, " ",Inventory_List_Table34111510911[[#This Row],[PRICE]]/Z36*10000)</f>
        <v xml:space="preserve"> </v>
      </c>
      <c r="AB36" s="150"/>
      <c r="AC36" s="1"/>
      <c r="AD36" s="1"/>
    </row>
    <row r="37" spans="1:30" ht="24" customHeight="1" x14ac:dyDescent="0.3">
      <c r="A37" s="154">
        <v>35</v>
      </c>
      <c r="B37" s="1"/>
      <c r="C37" s="151"/>
      <c r="D37" s="151"/>
      <c r="E37" s="151"/>
      <c r="F3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7" s="151"/>
      <c r="H37" s="151"/>
      <c r="I37" s="151"/>
      <c r="J37" s="151"/>
      <c r="K37" s="151"/>
      <c r="L37" s="153"/>
      <c r="M37" s="30" t="str">
        <f>IF(Inventory_List_Table34111510911[[#This Row],[Q]]&lt;0.1, " ", Inventory_List_Table34111510911[[#This Row],[Q]]*Inventory_List_Table34111510911[[#This Row],[PRICE]])</f>
        <v xml:space="preserve"> </v>
      </c>
      <c r="N37" s="35" t="str">
        <f>IF(Inventory_List_Table34111510911[[#This Row],[Q]]&lt;0.1, " ", Inventory_List_Table34111510911[[#This Row],[KG]]*2.20462)</f>
        <v xml:space="preserve"> </v>
      </c>
      <c r="O37" s="35" t="str">
        <f>IF(Inventory_List_Table34111510911[[#This Row],[Q]]&lt;0.1, " ",Inventory_List_Table34111510911[[#This Row],[H CM]]/2.54)</f>
        <v xml:space="preserve"> </v>
      </c>
      <c r="P37" s="35" t="str">
        <f>IF(Inventory_List_Table34111510911[[#This Row],[Q]]&lt;0.1, " ",Inventory_List_Table34111510911[[#This Row],[W CM]]/2.54)</f>
        <v xml:space="preserve"> </v>
      </c>
      <c r="Q37" s="35" t="str">
        <f>IF(Inventory_List_Table34111510911[[#This Row],[Q]]&lt;0.1, " ",Inventory_List_Table34111510911[[#This Row],[D CM ]]/2.54)</f>
        <v xml:space="preserve"> </v>
      </c>
      <c r="R37" s="30" t="str">
        <f>IF(Inventory_List_Table34111510911[[#This Row],[Q]]&lt;0.1, " ",Inventory_List_Table34111510911[[#This Row],[PRICE]]/$L$1)</f>
        <v xml:space="preserve"> </v>
      </c>
      <c r="S3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7" s="30" t="str">
        <f>IF(Inventory_List_Table34111510911[[#This Row],[Q]]&lt;0.1, " ",Inventory_List_Table34111510911[[#This Row],[AQ RND USD]]*1.4)</f>
        <v xml:space="preserve"> </v>
      </c>
      <c r="U3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7" s="30" t="str">
        <f>IF(Inventory_List_Table34111510911[[#This Row],[Q]]&lt;0.1, " ",Inventory_List_Table34111510911[[#This Row],[LND RND USD]]*12)</f>
        <v xml:space="preserve"> </v>
      </c>
      <c r="W37" s="30" t="str">
        <f>IF(Inventory_List_Table34111510911[[#This Row],[Q]]&lt;0.1, " ",Inventory_List_Table34111510911[[#This Row],[AQ USD]])</f>
        <v xml:space="preserve"> </v>
      </c>
      <c r="X3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7" s="30" t="str">
        <f>IF(Inventory_List_Table34111510911[[#This Row],[Q]]&lt;0.1, " ",Inventory_List_Table34111510911[[#This Row],[PRICE]]/Z37*10000)</f>
        <v xml:space="preserve"> </v>
      </c>
      <c r="AB37" s="150"/>
      <c r="AC37" s="1"/>
      <c r="AD37" s="1"/>
    </row>
    <row r="38" spans="1:30" ht="24" customHeight="1" x14ac:dyDescent="0.3">
      <c r="A38" s="154">
        <v>36</v>
      </c>
      <c r="B38" s="1"/>
      <c r="C38" s="151"/>
      <c r="D38" s="151"/>
      <c r="E38" s="151"/>
      <c r="F3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8" s="151"/>
      <c r="H38" s="151"/>
      <c r="I38" s="151"/>
      <c r="J38" s="151"/>
      <c r="K38" s="151"/>
      <c r="L38" s="153"/>
      <c r="M38" s="30" t="str">
        <f>IF(Inventory_List_Table34111510911[[#This Row],[Q]]&lt;0.1, " ", Inventory_List_Table34111510911[[#This Row],[Q]]*Inventory_List_Table34111510911[[#This Row],[PRICE]])</f>
        <v xml:space="preserve"> </v>
      </c>
      <c r="N38" s="35" t="str">
        <f>IF(Inventory_List_Table34111510911[[#This Row],[Q]]&lt;0.1, " ", Inventory_List_Table34111510911[[#This Row],[KG]]*2.20462)</f>
        <v xml:space="preserve"> </v>
      </c>
      <c r="O38" s="35" t="str">
        <f>IF(Inventory_List_Table34111510911[[#This Row],[Q]]&lt;0.1, " ",Inventory_List_Table34111510911[[#This Row],[H CM]]/2.54)</f>
        <v xml:space="preserve"> </v>
      </c>
      <c r="P38" s="35" t="str">
        <f>IF(Inventory_List_Table34111510911[[#This Row],[Q]]&lt;0.1, " ",Inventory_List_Table34111510911[[#This Row],[W CM]]/2.54)</f>
        <v xml:space="preserve"> </v>
      </c>
      <c r="Q38" s="35" t="str">
        <f>IF(Inventory_List_Table34111510911[[#This Row],[Q]]&lt;0.1, " ",Inventory_List_Table34111510911[[#This Row],[D CM ]]/2.54)</f>
        <v xml:space="preserve"> </v>
      </c>
      <c r="R38" s="30" t="str">
        <f>IF(Inventory_List_Table34111510911[[#This Row],[Q]]&lt;0.1, " ",Inventory_List_Table34111510911[[#This Row],[PRICE]]/$L$1)</f>
        <v xml:space="preserve"> </v>
      </c>
      <c r="S3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8" s="30" t="str">
        <f>IF(Inventory_List_Table34111510911[[#This Row],[Q]]&lt;0.1, " ",Inventory_List_Table34111510911[[#This Row],[AQ RND USD]]*1.4)</f>
        <v xml:space="preserve"> </v>
      </c>
      <c r="U3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8" s="30" t="str">
        <f>IF(Inventory_List_Table34111510911[[#This Row],[Q]]&lt;0.1, " ",Inventory_List_Table34111510911[[#This Row],[LND RND USD]]*12)</f>
        <v xml:space="preserve"> </v>
      </c>
      <c r="W38" s="30" t="str">
        <f>IF(Inventory_List_Table34111510911[[#This Row],[Q]]&lt;0.1, " ",Inventory_List_Table34111510911[[#This Row],[AQ USD]])</f>
        <v xml:space="preserve"> </v>
      </c>
      <c r="X3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8" s="30" t="str">
        <f>IF(Inventory_List_Table34111510911[[#This Row],[Q]]&lt;0.1, " ",Inventory_List_Table34111510911[[#This Row],[PRICE]]/Z38*10000)</f>
        <v xml:space="preserve"> </v>
      </c>
      <c r="AB38" s="150"/>
      <c r="AC38" s="1"/>
      <c r="AD38" s="1"/>
    </row>
    <row r="39" spans="1:30" ht="24" customHeight="1" x14ac:dyDescent="0.3">
      <c r="A39" s="154">
        <v>37</v>
      </c>
      <c r="B39" s="1"/>
      <c r="C39" s="151"/>
      <c r="D39" s="151"/>
      <c r="E39" s="151"/>
      <c r="F3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39" s="151"/>
      <c r="H39" s="151"/>
      <c r="I39" s="151"/>
      <c r="J39" s="151"/>
      <c r="K39" s="151"/>
      <c r="L39" s="153"/>
      <c r="M39" s="30" t="str">
        <f>IF(Inventory_List_Table34111510911[[#This Row],[Q]]&lt;0.1, " ", Inventory_List_Table34111510911[[#This Row],[Q]]*Inventory_List_Table34111510911[[#This Row],[PRICE]])</f>
        <v xml:space="preserve"> </v>
      </c>
      <c r="N39" s="35" t="str">
        <f>IF(Inventory_List_Table34111510911[[#This Row],[Q]]&lt;0.1, " ", Inventory_List_Table34111510911[[#This Row],[KG]]*2.20462)</f>
        <v xml:space="preserve"> </v>
      </c>
      <c r="O39" s="35" t="str">
        <f>IF(Inventory_List_Table34111510911[[#This Row],[Q]]&lt;0.1, " ",Inventory_List_Table34111510911[[#This Row],[H CM]]/2.54)</f>
        <v xml:space="preserve"> </v>
      </c>
      <c r="P39" s="35" t="str">
        <f>IF(Inventory_List_Table34111510911[[#This Row],[Q]]&lt;0.1, " ",Inventory_List_Table34111510911[[#This Row],[W CM]]/2.54)</f>
        <v xml:space="preserve"> </v>
      </c>
      <c r="Q39" s="35" t="str">
        <f>IF(Inventory_List_Table34111510911[[#This Row],[Q]]&lt;0.1, " ",Inventory_List_Table34111510911[[#This Row],[D CM ]]/2.54)</f>
        <v xml:space="preserve"> </v>
      </c>
      <c r="R39" s="30" t="str">
        <f>IF(Inventory_List_Table34111510911[[#This Row],[Q]]&lt;0.1, " ",Inventory_List_Table34111510911[[#This Row],[PRICE]]/$L$1)</f>
        <v xml:space="preserve"> </v>
      </c>
      <c r="S3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39" s="30" t="str">
        <f>IF(Inventory_List_Table34111510911[[#This Row],[Q]]&lt;0.1, " ",Inventory_List_Table34111510911[[#This Row],[AQ RND USD]]*1.4)</f>
        <v xml:space="preserve"> </v>
      </c>
      <c r="U3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39" s="30" t="str">
        <f>IF(Inventory_List_Table34111510911[[#This Row],[Q]]&lt;0.1, " ",Inventory_List_Table34111510911[[#This Row],[LND RND USD]]*12)</f>
        <v xml:space="preserve"> </v>
      </c>
      <c r="W39" s="30" t="str">
        <f>IF(Inventory_List_Table34111510911[[#This Row],[Q]]&lt;0.1, " ",Inventory_List_Table34111510911[[#This Row],[AQ USD]])</f>
        <v xml:space="preserve"> </v>
      </c>
      <c r="X3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3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3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39" s="30" t="str">
        <f>IF(Inventory_List_Table34111510911[[#This Row],[Q]]&lt;0.1, " ",Inventory_List_Table34111510911[[#This Row],[PRICE]]/Z39*10000)</f>
        <v xml:space="preserve"> </v>
      </c>
      <c r="AB39" s="150"/>
      <c r="AC39" s="1"/>
      <c r="AD39" s="1"/>
    </row>
    <row r="40" spans="1:30" ht="24" customHeight="1" x14ac:dyDescent="0.3">
      <c r="A40" s="154">
        <v>38</v>
      </c>
      <c r="B40" s="1"/>
      <c r="C40" s="151"/>
      <c r="D40" s="151"/>
      <c r="E40" s="151"/>
      <c r="F4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0" s="151"/>
      <c r="H40" s="151"/>
      <c r="I40" s="151"/>
      <c r="J40" s="151"/>
      <c r="K40" s="151"/>
      <c r="L40" s="153"/>
      <c r="M40" s="30" t="str">
        <f>IF(Inventory_List_Table34111510911[[#This Row],[Q]]&lt;0.1, " ", Inventory_List_Table34111510911[[#This Row],[Q]]*Inventory_List_Table34111510911[[#This Row],[PRICE]])</f>
        <v xml:space="preserve"> </v>
      </c>
      <c r="N40" s="35" t="str">
        <f>IF(Inventory_List_Table34111510911[[#This Row],[Q]]&lt;0.1, " ", Inventory_List_Table34111510911[[#This Row],[KG]]*2.20462)</f>
        <v xml:space="preserve"> </v>
      </c>
      <c r="O40" s="35" t="str">
        <f>IF(Inventory_List_Table34111510911[[#This Row],[Q]]&lt;0.1, " ",Inventory_List_Table34111510911[[#This Row],[H CM]]/2.54)</f>
        <v xml:space="preserve"> </v>
      </c>
      <c r="P40" s="35" t="str">
        <f>IF(Inventory_List_Table34111510911[[#This Row],[Q]]&lt;0.1, " ",Inventory_List_Table34111510911[[#This Row],[W CM]]/2.54)</f>
        <v xml:space="preserve"> </v>
      </c>
      <c r="Q40" s="35" t="str">
        <f>IF(Inventory_List_Table34111510911[[#This Row],[Q]]&lt;0.1, " ",Inventory_List_Table34111510911[[#This Row],[D CM ]]/2.54)</f>
        <v xml:space="preserve"> </v>
      </c>
      <c r="R40" s="30" t="str">
        <f>IF(Inventory_List_Table34111510911[[#This Row],[Q]]&lt;0.1, " ",Inventory_List_Table34111510911[[#This Row],[PRICE]]/$L$1)</f>
        <v xml:space="preserve"> </v>
      </c>
      <c r="S4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0" s="30" t="str">
        <f>IF(Inventory_List_Table34111510911[[#This Row],[Q]]&lt;0.1, " ",Inventory_List_Table34111510911[[#This Row],[AQ RND USD]]*1.4)</f>
        <v xml:space="preserve"> </v>
      </c>
      <c r="U4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0" s="30" t="str">
        <f>IF(Inventory_List_Table34111510911[[#This Row],[Q]]&lt;0.1, " ",Inventory_List_Table34111510911[[#This Row],[LND RND USD]]*12)</f>
        <v xml:space="preserve"> </v>
      </c>
      <c r="W40" s="30" t="str">
        <f>IF(Inventory_List_Table34111510911[[#This Row],[Q]]&lt;0.1, " ",Inventory_List_Table34111510911[[#This Row],[AQ USD]])</f>
        <v xml:space="preserve"> </v>
      </c>
      <c r="X4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0" s="30" t="str">
        <f>IF(Inventory_List_Table34111510911[[#This Row],[Q]]&lt;0.1, " ",Inventory_List_Table34111510911[[#This Row],[PRICE]]/Z40*10000)</f>
        <v xml:space="preserve"> </v>
      </c>
      <c r="AB40" s="150"/>
      <c r="AC40" s="1"/>
      <c r="AD40" s="1"/>
    </row>
    <row r="41" spans="1:30" ht="24" customHeight="1" x14ac:dyDescent="0.3">
      <c r="A41" s="154">
        <v>39</v>
      </c>
      <c r="B41" s="1"/>
      <c r="C41" s="151"/>
      <c r="D41" s="151"/>
      <c r="E41" s="151"/>
      <c r="F4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1" s="151"/>
      <c r="H41" s="151"/>
      <c r="I41" s="151"/>
      <c r="J41" s="151"/>
      <c r="K41" s="151"/>
      <c r="L41" s="153"/>
      <c r="M41" s="30" t="str">
        <f>IF(Inventory_List_Table34111510911[[#This Row],[Q]]&lt;0.1, " ", Inventory_List_Table34111510911[[#This Row],[Q]]*Inventory_List_Table34111510911[[#This Row],[PRICE]])</f>
        <v xml:space="preserve"> </v>
      </c>
      <c r="N41" s="35" t="str">
        <f>IF(Inventory_List_Table34111510911[[#This Row],[Q]]&lt;0.1, " ", Inventory_List_Table34111510911[[#This Row],[KG]]*2.20462)</f>
        <v xml:space="preserve"> </v>
      </c>
      <c r="O41" s="35" t="str">
        <f>IF(Inventory_List_Table34111510911[[#This Row],[Q]]&lt;0.1, " ",Inventory_List_Table34111510911[[#This Row],[H CM]]/2.54)</f>
        <v xml:space="preserve"> </v>
      </c>
      <c r="P41" s="35" t="str">
        <f>IF(Inventory_List_Table34111510911[[#This Row],[Q]]&lt;0.1, " ",Inventory_List_Table34111510911[[#This Row],[W CM]]/2.54)</f>
        <v xml:space="preserve"> </v>
      </c>
      <c r="Q41" s="35" t="str">
        <f>IF(Inventory_List_Table34111510911[[#This Row],[Q]]&lt;0.1, " ",Inventory_List_Table34111510911[[#This Row],[D CM ]]/2.54)</f>
        <v xml:space="preserve"> </v>
      </c>
      <c r="R41" s="30" t="str">
        <f>IF(Inventory_List_Table34111510911[[#This Row],[Q]]&lt;0.1, " ",Inventory_List_Table34111510911[[#This Row],[PRICE]]/$L$1)</f>
        <v xml:space="preserve"> </v>
      </c>
      <c r="S4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1" s="30" t="str">
        <f>IF(Inventory_List_Table34111510911[[#This Row],[Q]]&lt;0.1, " ",Inventory_List_Table34111510911[[#This Row],[AQ RND USD]]*1.4)</f>
        <v xml:space="preserve"> </v>
      </c>
      <c r="U4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1" s="30" t="str">
        <f>IF(Inventory_List_Table34111510911[[#This Row],[Q]]&lt;0.1, " ",Inventory_List_Table34111510911[[#This Row],[LND RND USD]]*12)</f>
        <v xml:space="preserve"> </v>
      </c>
      <c r="W41" s="30" t="str">
        <f>IF(Inventory_List_Table34111510911[[#This Row],[Q]]&lt;0.1, " ",Inventory_List_Table34111510911[[#This Row],[AQ USD]])</f>
        <v xml:space="preserve"> </v>
      </c>
      <c r="X4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1" s="30" t="str">
        <f>IF(Inventory_List_Table34111510911[[#This Row],[Q]]&lt;0.1, " ",Inventory_List_Table34111510911[[#This Row],[PRICE]]/Z41*10000)</f>
        <v xml:space="preserve"> </v>
      </c>
      <c r="AB41" s="150"/>
      <c r="AC41" s="1"/>
      <c r="AD41" s="1"/>
    </row>
    <row r="42" spans="1:30" ht="24" customHeight="1" x14ac:dyDescent="0.3">
      <c r="A42" s="154">
        <v>40</v>
      </c>
      <c r="B42" s="1"/>
      <c r="C42" s="151"/>
      <c r="D42" s="151"/>
      <c r="E42" s="151"/>
      <c r="F4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2" s="151"/>
      <c r="H42" s="151"/>
      <c r="I42" s="151"/>
      <c r="J42" s="151"/>
      <c r="K42" s="151"/>
      <c r="L42" s="153"/>
      <c r="M42" s="30" t="str">
        <f>IF(Inventory_List_Table34111510911[[#This Row],[Q]]&lt;0.1, " ", Inventory_List_Table34111510911[[#This Row],[Q]]*Inventory_List_Table34111510911[[#This Row],[PRICE]])</f>
        <v xml:space="preserve"> </v>
      </c>
      <c r="N42" s="35" t="str">
        <f>IF(Inventory_List_Table34111510911[[#This Row],[Q]]&lt;0.1, " ", Inventory_List_Table34111510911[[#This Row],[KG]]*2.20462)</f>
        <v xml:space="preserve"> </v>
      </c>
      <c r="O42" s="35" t="str">
        <f>IF(Inventory_List_Table34111510911[[#This Row],[Q]]&lt;0.1, " ",Inventory_List_Table34111510911[[#This Row],[H CM]]/2.54)</f>
        <v xml:space="preserve"> </v>
      </c>
      <c r="P42" s="35" t="str">
        <f>IF(Inventory_List_Table34111510911[[#This Row],[Q]]&lt;0.1, " ",Inventory_List_Table34111510911[[#This Row],[W CM]]/2.54)</f>
        <v xml:space="preserve"> </v>
      </c>
      <c r="Q42" s="35" t="str">
        <f>IF(Inventory_List_Table34111510911[[#This Row],[Q]]&lt;0.1, " ",Inventory_List_Table34111510911[[#This Row],[D CM ]]/2.54)</f>
        <v xml:space="preserve"> </v>
      </c>
      <c r="R42" s="30" t="str">
        <f>IF(Inventory_List_Table34111510911[[#This Row],[Q]]&lt;0.1, " ",Inventory_List_Table34111510911[[#This Row],[PRICE]]/$L$1)</f>
        <v xml:space="preserve"> </v>
      </c>
      <c r="S4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2" s="30" t="str">
        <f>IF(Inventory_List_Table34111510911[[#This Row],[Q]]&lt;0.1, " ",Inventory_List_Table34111510911[[#This Row],[AQ RND USD]]*1.4)</f>
        <v xml:space="preserve"> </v>
      </c>
      <c r="U4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2" s="30" t="str">
        <f>IF(Inventory_List_Table34111510911[[#This Row],[Q]]&lt;0.1, " ",Inventory_List_Table34111510911[[#This Row],[LND RND USD]]*12)</f>
        <v xml:space="preserve"> </v>
      </c>
      <c r="W42" s="30" t="str">
        <f>IF(Inventory_List_Table34111510911[[#This Row],[Q]]&lt;0.1, " ",Inventory_List_Table34111510911[[#This Row],[AQ USD]])</f>
        <v xml:space="preserve"> </v>
      </c>
      <c r="X4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2" s="30" t="str">
        <f>IF(Inventory_List_Table34111510911[[#This Row],[Q]]&lt;0.1, " ",Inventory_List_Table34111510911[[#This Row],[PRICE]]/Z42*10000)</f>
        <v xml:space="preserve"> </v>
      </c>
      <c r="AB42" s="150"/>
      <c r="AC42" s="1"/>
      <c r="AD42" s="1"/>
    </row>
    <row r="43" spans="1:30" ht="24" customHeight="1" x14ac:dyDescent="0.3">
      <c r="A43" s="154">
        <v>41</v>
      </c>
      <c r="B43" s="1"/>
      <c r="C43" s="151"/>
      <c r="D43" s="151"/>
      <c r="E43" s="151"/>
      <c r="F4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3" s="151"/>
      <c r="H43" s="151"/>
      <c r="I43" s="151"/>
      <c r="J43" s="151"/>
      <c r="K43" s="151"/>
      <c r="L43" s="153"/>
      <c r="M43" s="30" t="str">
        <f>IF(Inventory_List_Table34111510911[[#This Row],[Q]]&lt;0.1, " ", Inventory_List_Table34111510911[[#This Row],[Q]]*Inventory_List_Table34111510911[[#This Row],[PRICE]])</f>
        <v xml:space="preserve"> </v>
      </c>
      <c r="N43" s="35" t="str">
        <f>IF(Inventory_List_Table34111510911[[#This Row],[Q]]&lt;0.1, " ", Inventory_List_Table34111510911[[#This Row],[KG]]*2.20462)</f>
        <v xml:space="preserve"> </v>
      </c>
      <c r="O43" s="35" t="str">
        <f>IF(Inventory_List_Table34111510911[[#This Row],[Q]]&lt;0.1, " ",Inventory_List_Table34111510911[[#This Row],[H CM]]/2.54)</f>
        <v xml:space="preserve"> </v>
      </c>
      <c r="P43" s="35" t="str">
        <f>IF(Inventory_List_Table34111510911[[#This Row],[Q]]&lt;0.1, " ",Inventory_List_Table34111510911[[#This Row],[W CM]]/2.54)</f>
        <v xml:space="preserve"> </v>
      </c>
      <c r="Q43" s="35" t="str">
        <f>IF(Inventory_List_Table34111510911[[#This Row],[Q]]&lt;0.1, " ",Inventory_List_Table34111510911[[#This Row],[D CM ]]/2.54)</f>
        <v xml:space="preserve"> </v>
      </c>
      <c r="R43" s="30" t="str">
        <f>IF(Inventory_List_Table34111510911[[#This Row],[Q]]&lt;0.1, " ",Inventory_List_Table34111510911[[#This Row],[PRICE]]/$L$1)</f>
        <v xml:space="preserve"> </v>
      </c>
      <c r="S4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3" s="30" t="str">
        <f>IF(Inventory_List_Table34111510911[[#This Row],[Q]]&lt;0.1, " ",Inventory_List_Table34111510911[[#This Row],[AQ RND USD]]*1.4)</f>
        <v xml:space="preserve"> </v>
      </c>
      <c r="U4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3" s="30" t="str">
        <f>IF(Inventory_List_Table34111510911[[#This Row],[Q]]&lt;0.1, " ",Inventory_List_Table34111510911[[#This Row],[LND RND USD]]*12)</f>
        <v xml:space="preserve"> </v>
      </c>
      <c r="W43" s="30" t="str">
        <f>IF(Inventory_List_Table34111510911[[#This Row],[Q]]&lt;0.1, " ",Inventory_List_Table34111510911[[#This Row],[AQ USD]])</f>
        <v xml:space="preserve"> </v>
      </c>
      <c r="X4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3" s="30" t="str">
        <f>IF(Inventory_List_Table34111510911[[#This Row],[Q]]&lt;0.1, " ",Inventory_List_Table34111510911[[#This Row],[PRICE]]/Z43*10000)</f>
        <v xml:space="preserve"> </v>
      </c>
      <c r="AB43" s="150"/>
      <c r="AC43" s="1"/>
      <c r="AD43" s="1"/>
    </row>
    <row r="44" spans="1:30" ht="24" customHeight="1" x14ac:dyDescent="0.3">
      <c r="A44" s="154">
        <v>42</v>
      </c>
      <c r="B44" s="1"/>
      <c r="C44" s="151"/>
      <c r="D44" s="151"/>
      <c r="E44" s="151"/>
      <c r="F4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4" s="151"/>
      <c r="H44" s="151"/>
      <c r="I44" s="151"/>
      <c r="J44" s="151"/>
      <c r="K44" s="151"/>
      <c r="L44" s="153"/>
      <c r="M44" s="30" t="str">
        <f>IF(Inventory_List_Table34111510911[[#This Row],[Q]]&lt;0.1, " ", Inventory_List_Table34111510911[[#This Row],[Q]]*Inventory_List_Table34111510911[[#This Row],[PRICE]])</f>
        <v xml:space="preserve"> </v>
      </c>
      <c r="N44" s="35" t="str">
        <f>IF(Inventory_List_Table34111510911[[#This Row],[Q]]&lt;0.1, " ", Inventory_List_Table34111510911[[#This Row],[KG]]*2.20462)</f>
        <v xml:space="preserve"> </v>
      </c>
      <c r="O44" s="35" t="str">
        <f>IF(Inventory_List_Table34111510911[[#This Row],[Q]]&lt;0.1, " ",Inventory_List_Table34111510911[[#This Row],[H CM]]/2.54)</f>
        <v xml:space="preserve"> </v>
      </c>
      <c r="P44" s="35" t="str">
        <f>IF(Inventory_List_Table34111510911[[#This Row],[Q]]&lt;0.1, " ",Inventory_List_Table34111510911[[#This Row],[W CM]]/2.54)</f>
        <v xml:space="preserve"> </v>
      </c>
      <c r="Q44" s="35" t="str">
        <f>IF(Inventory_List_Table34111510911[[#This Row],[Q]]&lt;0.1, " ",Inventory_List_Table34111510911[[#This Row],[D CM ]]/2.54)</f>
        <v xml:space="preserve"> </v>
      </c>
      <c r="R44" s="30" t="str">
        <f>IF(Inventory_List_Table34111510911[[#This Row],[Q]]&lt;0.1, " ",Inventory_List_Table34111510911[[#This Row],[PRICE]]/$L$1)</f>
        <v xml:space="preserve"> </v>
      </c>
      <c r="S4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4" s="30" t="str">
        <f>IF(Inventory_List_Table34111510911[[#This Row],[Q]]&lt;0.1, " ",Inventory_List_Table34111510911[[#This Row],[AQ RND USD]]*1.4)</f>
        <v xml:space="preserve"> </v>
      </c>
      <c r="U4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4" s="30" t="str">
        <f>IF(Inventory_List_Table34111510911[[#This Row],[Q]]&lt;0.1, " ",Inventory_List_Table34111510911[[#This Row],[LND RND USD]]*12)</f>
        <v xml:space="preserve"> </v>
      </c>
      <c r="W44" s="30" t="str">
        <f>IF(Inventory_List_Table34111510911[[#This Row],[Q]]&lt;0.1, " ",Inventory_List_Table34111510911[[#This Row],[AQ USD]])</f>
        <v xml:space="preserve"> </v>
      </c>
      <c r="X4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4" s="30" t="str">
        <f>IF(Inventory_List_Table34111510911[[#This Row],[Q]]&lt;0.1, " ",Inventory_List_Table34111510911[[#This Row],[PRICE]]/Z44*10000)</f>
        <v xml:space="preserve"> </v>
      </c>
      <c r="AB44" s="150"/>
      <c r="AC44" s="1"/>
      <c r="AD44" s="1"/>
    </row>
    <row r="45" spans="1:30" ht="24" customHeight="1" x14ac:dyDescent="0.3">
      <c r="A45" s="154">
        <v>43</v>
      </c>
      <c r="B45" s="1"/>
      <c r="C45" s="151"/>
      <c r="D45" s="151"/>
      <c r="E45" s="151"/>
      <c r="F4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5" s="151"/>
      <c r="H45" s="151"/>
      <c r="I45" s="151"/>
      <c r="J45" s="151"/>
      <c r="K45" s="151"/>
      <c r="L45" s="153"/>
      <c r="M45" s="30" t="str">
        <f>IF(Inventory_List_Table34111510911[[#This Row],[Q]]&lt;0.1, " ", Inventory_List_Table34111510911[[#This Row],[Q]]*Inventory_List_Table34111510911[[#This Row],[PRICE]])</f>
        <v xml:space="preserve"> </v>
      </c>
      <c r="N45" s="35" t="str">
        <f>IF(Inventory_List_Table34111510911[[#This Row],[Q]]&lt;0.1, " ", Inventory_List_Table34111510911[[#This Row],[KG]]*2.20462)</f>
        <v xml:space="preserve"> </v>
      </c>
      <c r="O45" s="35" t="str">
        <f>IF(Inventory_List_Table34111510911[[#This Row],[Q]]&lt;0.1, " ",Inventory_List_Table34111510911[[#This Row],[H CM]]/2.54)</f>
        <v xml:space="preserve"> </v>
      </c>
      <c r="P45" s="35" t="str">
        <f>IF(Inventory_List_Table34111510911[[#This Row],[Q]]&lt;0.1, " ",Inventory_List_Table34111510911[[#This Row],[W CM]]/2.54)</f>
        <v xml:space="preserve"> </v>
      </c>
      <c r="Q45" s="35" t="str">
        <f>IF(Inventory_List_Table34111510911[[#This Row],[Q]]&lt;0.1, " ",Inventory_List_Table34111510911[[#This Row],[D CM ]]/2.54)</f>
        <v xml:space="preserve"> </v>
      </c>
      <c r="R45" s="30" t="str">
        <f>IF(Inventory_List_Table34111510911[[#This Row],[Q]]&lt;0.1, " ",Inventory_List_Table34111510911[[#This Row],[PRICE]]/$L$1)</f>
        <v xml:space="preserve"> </v>
      </c>
      <c r="S4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5" s="30" t="str">
        <f>IF(Inventory_List_Table34111510911[[#This Row],[Q]]&lt;0.1, " ",Inventory_List_Table34111510911[[#This Row],[AQ RND USD]]*1.4)</f>
        <v xml:space="preserve"> </v>
      </c>
      <c r="U4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5" s="30" t="str">
        <f>IF(Inventory_List_Table34111510911[[#This Row],[Q]]&lt;0.1, " ",Inventory_List_Table34111510911[[#This Row],[LND RND USD]]*12)</f>
        <v xml:space="preserve"> </v>
      </c>
      <c r="W45" s="30" t="str">
        <f>IF(Inventory_List_Table34111510911[[#This Row],[Q]]&lt;0.1, " ",Inventory_List_Table34111510911[[#This Row],[AQ USD]])</f>
        <v xml:space="preserve"> </v>
      </c>
      <c r="X4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5" s="30" t="str">
        <f>IF(Inventory_List_Table34111510911[[#This Row],[Q]]&lt;0.1, " ",Inventory_List_Table34111510911[[#This Row],[PRICE]]/Z45*10000)</f>
        <v xml:space="preserve"> </v>
      </c>
      <c r="AB45" s="150"/>
      <c r="AC45" s="1"/>
      <c r="AD45" s="1"/>
    </row>
    <row r="46" spans="1:30" ht="24" customHeight="1" x14ac:dyDescent="0.3">
      <c r="A46" s="154">
        <v>44</v>
      </c>
      <c r="B46" s="1"/>
      <c r="C46" s="151"/>
      <c r="D46" s="151"/>
      <c r="E46" s="151"/>
      <c r="F4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6" s="151"/>
      <c r="H46" s="151"/>
      <c r="I46" s="151"/>
      <c r="J46" s="151"/>
      <c r="K46" s="151"/>
      <c r="L46" s="153"/>
      <c r="M46" s="30" t="str">
        <f>IF(Inventory_List_Table34111510911[[#This Row],[Q]]&lt;0.1, " ", Inventory_List_Table34111510911[[#This Row],[Q]]*Inventory_List_Table34111510911[[#This Row],[PRICE]])</f>
        <v xml:space="preserve"> </v>
      </c>
      <c r="N46" s="35" t="str">
        <f>IF(Inventory_List_Table34111510911[[#This Row],[Q]]&lt;0.1, " ", Inventory_List_Table34111510911[[#This Row],[KG]]*2.20462)</f>
        <v xml:space="preserve"> </v>
      </c>
      <c r="O46" s="35" t="str">
        <f>IF(Inventory_List_Table34111510911[[#This Row],[Q]]&lt;0.1, " ",Inventory_List_Table34111510911[[#This Row],[H CM]]/2.54)</f>
        <v xml:space="preserve"> </v>
      </c>
      <c r="P46" s="35" t="str">
        <f>IF(Inventory_List_Table34111510911[[#This Row],[Q]]&lt;0.1, " ",Inventory_List_Table34111510911[[#This Row],[W CM]]/2.54)</f>
        <v xml:space="preserve"> </v>
      </c>
      <c r="Q46" s="35" t="str">
        <f>IF(Inventory_List_Table34111510911[[#This Row],[Q]]&lt;0.1, " ",Inventory_List_Table34111510911[[#This Row],[D CM ]]/2.54)</f>
        <v xml:space="preserve"> </v>
      </c>
      <c r="R46" s="30" t="str">
        <f>IF(Inventory_List_Table34111510911[[#This Row],[Q]]&lt;0.1, " ",Inventory_List_Table34111510911[[#This Row],[PRICE]]/$L$1)</f>
        <v xml:space="preserve"> </v>
      </c>
      <c r="S4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6" s="30" t="str">
        <f>IF(Inventory_List_Table34111510911[[#This Row],[Q]]&lt;0.1, " ",Inventory_List_Table34111510911[[#This Row],[AQ RND USD]]*1.4)</f>
        <v xml:space="preserve"> </v>
      </c>
      <c r="U4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6" s="30" t="str">
        <f>IF(Inventory_List_Table34111510911[[#This Row],[Q]]&lt;0.1, " ",Inventory_List_Table34111510911[[#This Row],[LND RND USD]]*12)</f>
        <v xml:space="preserve"> </v>
      </c>
      <c r="W46" s="30" t="str">
        <f>IF(Inventory_List_Table34111510911[[#This Row],[Q]]&lt;0.1, " ",Inventory_List_Table34111510911[[#This Row],[AQ USD]])</f>
        <v xml:space="preserve"> </v>
      </c>
      <c r="X4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6" s="30" t="str">
        <f>IF(Inventory_List_Table34111510911[[#This Row],[Q]]&lt;0.1, " ",Inventory_List_Table34111510911[[#This Row],[PRICE]]/Z46*10000)</f>
        <v xml:space="preserve"> </v>
      </c>
      <c r="AB46" s="150"/>
      <c r="AC46" s="1"/>
      <c r="AD46" s="1"/>
    </row>
    <row r="47" spans="1:30" ht="24" customHeight="1" x14ac:dyDescent="0.3">
      <c r="A47" s="154">
        <v>45</v>
      </c>
      <c r="B47" s="1"/>
      <c r="C47" s="151"/>
      <c r="D47" s="151"/>
      <c r="E47" s="151"/>
      <c r="F4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7" s="151"/>
      <c r="H47" s="151"/>
      <c r="I47" s="151"/>
      <c r="J47" s="151"/>
      <c r="K47" s="151"/>
      <c r="L47" s="153"/>
      <c r="M47" s="30" t="str">
        <f>IF(Inventory_List_Table34111510911[[#This Row],[Q]]&lt;0.1, " ", Inventory_List_Table34111510911[[#This Row],[Q]]*Inventory_List_Table34111510911[[#This Row],[PRICE]])</f>
        <v xml:space="preserve"> </v>
      </c>
      <c r="N47" s="35" t="str">
        <f>IF(Inventory_List_Table34111510911[[#This Row],[Q]]&lt;0.1, " ", Inventory_List_Table34111510911[[#This Row],[KG]]*2.20462)</f>
        <v xml:space="preserve"> </v>
      </c>
      <c r="O47" s="35" t="str">
        <f>IF(Inventory_List_Table34111510911[[#This Row],[Q]]&lt;0.1, " ",Inventory_List_Table34111510911[[#This Row],[H CM]]/2.54)</f>
        <v xml:space="preserve"> </v>
      </c>
      <c r="P47" s="35" t="str">
        <f>IF(Inventory_List_Table34111510911[[#This Row],[Q]]&lt;0.1, " ",Inventory_List_Table34111510911[[#This Row],[W CM]]/2.54)</f>
        <v xml:space="preserve"> </v>
      </c>
      <c r="Q47" s="35" t="str">
        <f>IF(Inventory_List_Table34111510911[[#This Row],[Q]]&lt;0.1, " ",Inventory_List_Table34111510911[[#This Row],[D CM ]]/2.54)</f>
        <v xml:space="preserve"> </v>
      </c>
      <c r="R47" s="30" t="str">
        <f>IF(Inventory_List_Table34111510911[[#This Row],[Q]]&lt;0.1, " ",Inventory_List_Table34111510911[[#This Row],[PRICE]]/$L$1)</f>
        <v xml:space="preserve"> </v>
      </c>
      <c r="S4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7" s="30" t="str">
        <f>IF(Inventory_List_Table34111510911[[#This Row],[Q]]&lt;0.1, " ",Inventory_List_Table34111510911[[#This Row],[AQ RND USD]]*1.4)</f>
        <v xml:space="preserve"> </v>
      </c>
      <c r="U4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7" s="30" t="str">
        <f>IF(Inventory_List_Table34111510911[[#This Row],[Q]]&lt;0.1, " ",Inventory_List_Table34111510911[[#This Row],[LND RND USD]]*12)</f>
        <v xml:space="preserve"> </v>
      </c>
      <c r="W47" s="30" t="str">
        <f>IF(Inventory_List_Table34111510911[[#This Row],[Q]]&lt;0.1, " ",Inventory_List_Table34111510911[[#This Row],[AQ USD]])</f>
        <v xml:space="preserve"> </v>
      </c>
      <c r="X4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7" s="30" t="str">
        <f>IF(Inventory_List_Table34111510911[[#This Row],[Q]]&lt;0.1, " ",Inventory_List_Table34111510911[[#This Row],[PRICE]]/Z47*10000)</f>
        <v xml:space="preserve"> </v>
      </c>
      <c r="AB47" s="150"/>
      <c r="AC47" s="1"/>
      <c r="AD47" s="1"/>
    </row>
    <row r="48" spans="1:30" ht="24" customHeight="1" x14ac:dyDescent="0.3">
      <c r="A48" s="154">
        <v>46</v>
      </c>
      <c r="B48" s="1"/>
      <c r="C48" s="151"/>
      <c r="D48" s="151"/>
      <c r="E48" s="151"/>
      <c r="F4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8" s="151"/>
      <c r="H48" s="151"/>
      <c r="I48" s="151"/>
      <c r="J48" s="151"/>
      <c r="K48" s="151"/>
      <c r="L48" s="153"/>
      <c r="M48" s="30" t="str">
        <f>IF(Inventory_List_Table34111510911[[#This Row],[Q]]&lt;0.1, " ", Inventory_List_Table34111510911[[#This Row],[Q]]*Inventory_List_Table34111510911[[#This Row],[PRICE]])</f>
        <v xml:space="preserve"> </v>
      </c>
      <c r="N48" s="35" t="str">
        <f>IF(Inventory_List_Table34111510911[[#This Row],[Q]]&lt;0.1, " ", Inventory_List_Table34111510911[[#This Row],[KG]]*2.20462)</f>
        <v xml:space="preserve"> </v>
      </c>
      <c r="O48" s="35" t="str">
        <f>IF(Inventory_List_Table34111510911[[#This Row],[Q]]&lt;0.1, " ",Inventory_List_Table34111510911[[#This Row],[H CM]]/2.54)</f>
        <v xml:space="preserve"> </v>
      </c>
      <c r="P48" s="35" t="str">
        <f>IF(Inventory_List_Table34111510911[[#This Row],[Q]]&lt;0.1, " ",Inventory_List_Table34111510911[[#This Row],[W CM]]/2.54)</f>
        <v xml:space="preserve"> </v>
      </c>
      <c r="Q48" s="35" t="str">
        <f>IF(Inventory_List_Table34111510911[[#This Row],[Q]]&lt;0.1, " ",Inventory_List_Table34111510911[[#This Row],[D CM ]]/2.54)</f>
        <v xml:space="preserve"> </v>
      </c>
      <c r="R48" s="30" t="str">
        <f>IF(Inventory_List_Table34111510911[[#This Row],[Q]]&lt;0.1, " ",Inventory_List_Table34111510911[[#This Row],[PRICE]]/$L$1)</f>
        <v xml:space="preserve"> </v>
      </c>
      <c r="S4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8" s="30" t="str">
        <f>IF(Inventory_List_Table34111510911[[#This Row],[Q]]&lt;0.1, " ",Inventory_List_Table34111510911[[#This Row],[AQ RND USD]]*1.4)</f>
        <v xml:space="preserve"> </v>
      </c>
      <c r="U4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8" s="30" t="str">
        <f>IF(Inventory_List_Table34111510911[[#This Row],[Q]]&lt;0.1, " ",Inventory_List_Table34111510911[[#This Row],[LND RND USD]]*12)</f>
        <v xml:space="preserve"> </v>
      </c>
      <c r="W48" s="30" t="str">
        <f>IF(Inventory_List_Table34111510911[[#This Row],[Q]]&lt;0.1, " ",Inventory_List_Table34111510911[[#This Row],[AQ USD]])</f>
        <v xml:space="preserve"> </v>
      </c>
      <c r="X4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8" s="30" t="str">
        <f>IF(Inventory_List_Table34111510911[[#This Row],[Q]]&lt;0.1, " ",Inventory_List_Table34111510911[[#This Row],[PRICE]]/Z48*10000)</f>
        <v xml:space="preserve"> </v>
      </c>
      <c r="AB48" s="150"/>
      <c r="AC48" s="1"/>
      <c r="AD48" s="1"/>
    </row>
    <row r="49" spans="1:30" ht="24" customHeight="1" x14ac:dyDescent="0.3">
      <c r="A49" s="154">
        <v>47</v>
      </c>
      <c r="B49" s="1"/>
      <c r="C49" s="151"/>
      <c r="D49" s="151"/>
      <c r="E49" s="151"/>
      <c r="F4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49" s="151"/>
      <c r="H49" s="151"/>
      <c r="I49" s="151"/>
      <c r="J49" s="151"/>
      <c r="K49" s="151"/>
      <c r="L49" s="153"/>
      <c r="M49" s="30" t="str">
        <f>IF(Inventory_List_Table34111510911[[#This Row],[Q]]&lt;0.1, " ", Inventory_List_Table34111510911[[#This Row],[Q]]*Inventory_List_Table34111510911[[#This Row],[PRICE]])</f>
        <v xml:space="preserve"> </v>
      </c>
      <c r="N49" s="35" t="str">
        <f>IF(Inventory_List_Table34111510911[[#This Row],[Q]]&lt;0.1, " ", Inventory_List_Table34111510911[[#This Row],[KG]]*2.20462)</f>
        <v xml:space="preserve"> </v>
      </c>
      <c r="O49" s="35" t="str">
        <f>IF(Inventory_List_Table34111510911[[#This Row],[Q]]&lt;0.1, " ",Inventory_List_Table34111510911[[#This Row],[H CM]]/2.54)</f>
        <v xml:space="preserve"> </v>
      </c>
      <c r="P49" s="35" t="str">
        <f>IF(Inventory_List_Table34111510911[[#This Row],[Q]]&lt;0.1, " ",Inventory_List_Table34111510911[[#This Row],[W CM]]/2.54)</f>
        <v xml:space="preserve"> </v>
      </c>
      <c r="Q49" s="35" t="str">
        <f>IF(Inventory_List_Table34111510911[[#This Row],[Q]]&lt;0.1, " ",Inventory_List_Table34111510911[[#This Row],[D CM ]]/2.54)</f>
        <v xml:space="preserve"> </v>
      </c>
      <c r="R49" s="30" t="str">
        <f>IF(Inventory_List_Table34111510911[[#This Row],[Q]]&lt;0.1, " ",Inventory_List_Table34111510911[[#This Row],[PRICE]]/$L$1)</f>
        <v xml:space="preserve"> </v>
      </c>
      <c r="S4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49" s="30" t="str">
        <f>IF(Inventory_List_Table34111510911[[#This Row],[Q]]&lt;0.1, " ",Inventory_List_Table34111510911[[#This Row],[AQ RND USD]]*1.4)</f>
        <v xml:space="preserve"> </v>
      </c>
      <c r="U4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49" s="30" t="str">
        <f>IF(Inventory_List_Table34111510911[[#This Row],[Q]]&lt;0.1, " ",Inventory_List_Table34111510911[[#This Row],[LND RND USD]]*12)</f>
        <v xml:space="preserve"> </v>
      </c>
      <c r="W49" s="30" t="str">
        <f>IF(Inventory_List_Table34111510911[[#This Row],[Q]]&lt;0.1, " ",Inventory_List_Table34111510911[[#This Row],[AQ USD]])</f>
        <v xml:space="preserve"> </v>
      </c>
      <c r="X4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4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4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49" s="30" t="str">
        <f>IF(Inventory_List_Table34111510911[[#This Row],[Q]]&lt;0.1, " ",Inventory_List_Table34111510911[[#This Row],[PRICE]]/Z49*10000)</f>
        <v xml:space="preserve"> </v>
      </c>
      <c r="AB49" s="150"/>
      <c r="AC49" s="1"/>
      <c r="AD49" s="1"/>
    </row>
    <row r="50" spans="1:30" ht="24" customHeight="1" x14ac:dyDescent="0.3">
      <c r="A50" s="154">
        <v>48</v>
      </c>
      <c r="B50" s="1"/>
      <c r="C50" s="151"/>
      <c r="D50" s="151"/>
      <c r="E50" s="151"/>
      <c r="F5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0" s="151"/>
      <c r="H50" s="151"/>
      <c r="I50" s="151"/>
      <c r="J50" s="151"/>
      <c r="K50" s="151"/>
      <c r="L50" s="153"/>
      <c r="M50" s="30" t="str">
        <f>IF(Inventory_List_Table34111510911[[#This Row],[Q]]&lt;0.1, " ", Inventory_List_Table34111510911[[#This Row],[Q]]*Inventory_List_Table34111510911[[#This Row],[PRICE]])</f>
        <v xml:space="preserve"> </v>
      </c>
      <c r="N50" s="35" t="str">
        <f>IF(Inventory_List_Table34111510911[[#This Row],[Q]]&lt;0.1, " ", Inventory_List_Table34111510911[[#This Row],[KG]]*2.20462)</f>
        <v xml:space="preserve"> </v>
      </c>
      <c r="O50" s="35" t="str">
        <f>IF(Inventory_List_Table34111510911[[#This Row],[Q]]&lt;0.1, " ",Inventory_List_Table34111510911[[#This Row],[H CM]]/2.54)</f>
        <v xml:space="preserve"> </v>
      </c>
      <c r="P50" s="35" t="str">
        <f>IF(Inventory_List_Table34111510911[[#This Row],[Q]]&lt;0.1, " ",Inventory_List_Table34111510911[[#This Row],[W CM]]/2.54)</f>
        <v xml:space="preserve"> </v>
      </c>
      <c r="Q50" s="35" t="str">
        <f>IF(Inventory_List_Table34111510911[[#This Row],[Q]]&lt;0.1, " ",Inventory_List_Table34111510911[[#This Row],[D CM ]]/2.54)</f>
        <v xml:space="preserve"> </v>
      </c>
      <c r="R50" s="30" t="str">
        <f>IF(Inventory_List_Table34111510911[[#This Row],[Q]]&lt;0.1, " ",Inventory_List_Table34111510911[[#This Row],[PRICE]]/$L$1)</f>
        <v xml:space="preserve"> </v>
      </c>
      <c r="S5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0" s="30" t="str">
        <f>IF(Inventory_List_Table34111510911[[#This Row],[Q]]&lt;0.1, " ",Inventory_List_Table34111510911[[#This Row],[AQ RND USD]]*1.4)</f>
        <v xml:space="preserve"> </v>
      </c>
      <c r="U5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0" s="30" t="str">
        <f>IF(Inventory_List_Table34111510911[[#This Row],[Q]]&lt;0.1, " ",Inventory_List_Table34111510911[[#This Row],[LND RND USD]]*12)</f>
        <v xml:space="preserve"> </v>
      </c>
      <c r="W50" s="30" t="str">
        <f>IF(Inventory_List_Table34111510911[[#This Row],[Q]]&lt;0.1, " ",Inventory_List_Table34111510911[[#This Row],[AQ USD]])</f>
        <v xml:space="preserve"> </v>
      </c>
      <c r="X5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0" s="30" t="str">
        <f>IF(Inventory_List_Table34111510911[[#This Row],[Q]]&lt;0.1, " ",Inventory_List_Table34111510911[[#This Row],[PRICE]]/Z50*10000)</f>
        <v xml:space="preserve"> </v>
      </c>
      <c r="AB50" s="150"/>
      <c r="AC50" s="1"/>
      <c r="AD50" s="1"/>
    </row>
    <row r="51" spans="1:30" ht="24" customHeight="1" x14ac:dyDescent="0.3">
      <c r="A51" s="154">
        <v>49</v>
      </c>
      <c r="B51" s="1"/>
      <c r="C51" s="151"/>
      <c r="D51" s="151"/>
      <c r="E51" s="151"/>
      <c r="F5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1" s="151"/>
      <c r="H51" s="151"/>
      <c r="I51" s="151"/>
      <c r="J51" s="151"/>
      <c r="K51" s="151"/>
      <c r="L51" s="153"/>
      <c r="M51" s="30" t="str">
        <f>IF(Inventory_List_Table34111510911[[#This Row],[Q]]&lt;0.1, " ", Inventory_List_Table34111510911[[#This Row],[Q]]*Inventory_List_Table34111510911[[#This Row],[PRICE]])</f>
        <v xml:space="preserve"> </v>
      </c>
      <c r="N51" s="35" t="str">
        <f>IF(Inventory_List_Table34111510911[[#This Row],[Q]]&lt;0.1, " ", Inventory_List_Table34111510911[[#This Row],[KG]]*2.20462)</f>
        <v xml:space="preserve"> </v>
      </c>
      <c r="O51" s="35" t="str">
        <f>IF(Inventory_List_Table34111510911[[#This Row],[Q]]&lt;0.1, " ",Inventory_List_Table34111510911[[#This Row],[H CM]]/2.54)</f>
        <v xml:space="preserve"> </v>
      </c>
      <c r="P51" s="35" t="str">
        <f>IF(Inventory_List_Table34111510911[[#This Row],[Q]]&lt;0.1, " ",Inventory_List_Table34111510911[[#This Row],[W CM]]/2.54)</f>
        <v xml:space="preserve"> </v>
      </c>
      <c r="Q51" s="35" t="str">
        <f>IF(Inventory_List_Table34111510911[[#This Row],[Q]]&lt;0.1, " ",Inventory_List_Table34111510911[[#This Row],[D CM ]]/2.54)</f>
        <v xml:space="preserve"> </v>
      </c>
      <c r="R51" s="30" t="str">
        <f>IF(Inventory_List_Table34111510911[[#This Row],[Q]]&lt;0.1, " ",Inventory_List_Table34111510911[[#This Row],[PRICE]]/$L$1)</f>
        <v xml:space="preserve"> </v>
      </c>
      <c r="S5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1" s="30" t="str">
        <f>IF(Inventory_List_Table34111510911[[#This Row],[Q]]&lt;0.1, " ",Inventory_List_Table34111510911[[#This Row],[AQ RND USD]]*1.4)</f>
        <v xml:space="preserve"> </v>
      </c>
      <c r="U5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1" s="30" t="str">
        <f>IF(Inventory_List_Table34111510911[[#This Row],[Q]]&lt;0.1, " ",Inventory_List_Table34111510911[[#This Row],[LND RND USD]]*12)</f>
        <v xml:space="preserve"> </v>
      </c>
      <c r="W51" s="30" t="str">
        <f>IF(Inventory_List_Table34111510911[[#This Row],[Q]]&lt;0.1, " ",Inventory_List_Table34111510911[[#This Row],[AQ USD]])</f>
        <v xml:space="preserve"> </v>
      </c>
      <c r="X5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1" s="30" t="str">
        <f>IF(Inventory_List_Table34111510911[[#This Row],[Q]]&lt;0.1, " ",Inventory_List_Table34111510911[[#This Row],[PRICE]]/Z51*10000)</f>
        <v xml:space="preserve"> </v>
      </c>
      <c r="AB51" s="150"/>
      <c r="AC51" s="1"/>
      <c r="AD51" s="1"/>
    </row>
    <row r="52" spans="1:30" ht="24" customHeight="1" x14ac:dyDescent="0.3">
      <c r="A52" s="154">
        <v>50</v>
      </c>
      <c r="B52" s="1"/>
      <c r="C52" s="151"/>
      <c r="D52" s="151"/>
      <c r="E52" s="151"/>
      <c r="F5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2" s="151"/>
      <c r="H52" s="151"/>
      <c r="I52" s="151"/>
      <c r="J52" s="151"/>
      <c r="K52" s="151"/>
      <c r="L52" s="153"/>
      <c r="M52" s="30" t="str">
        <f>IF(Inventory_List_Table34111510911[[#This Row],[Q]]&lt;0.1, " ", Inventory_List_Table34111510911[[#This Row],[Q]]*Inventory_List_Table34111510911[[#This Row],[PRICE]])</f>
        <v xml:space="preserve"> </v>
      </c>
      <c r="N52" s="35" t="str">
        <f>IF(Inventory_List_Table34111510911[[#This Row],[Q]]&lt;0.1, " ", Inventory_List_Table34111510911[[#This Row],[KG]]*2.20462)</f>
        <v xml:space="preserve"> </v>
      </c>
      <c r="O52" s="35" t="str">
        <f>IF(Inventory_List_Table34111510911[[#This Row],[Q]]&lt;0.1, " ",Inventory_List_Table34111510911[[#This Row],[H CM]]/2.54)</f>
        <v xml:space="preserve"> </v>
      </c>
      <c r="P52" s="35" t="str">
        <f>IF(Inventory_List_Table34111510911[[#This Row],[Q]]&lt;0.1, " ",Inventory_List_Table34111510911[[#This Row],[W CM]]/2.54)</f>
        <v xml:space="preserve"> </v>
      </c>
      <c r="Q52" s="35" t="str">
        <f>IF(Inventory_List_Table34111510911[[#This Row],[Q]]&lt;0.1, " ",Inventory_List_Table34111510911[[#This Row],[D CM ]]/2.54)</f>
        <v xml:space="preserve"> </v>
      </c>
      <c r="R52" s="30" t="str">
        <f>IF(Inventory_List_Table34111510911[[#This Row],[Q]]&lt;0.1, " ",Inventory_List_Table34111510911[[#This Row],[PRICE]]/$L$1)</f>
        <v xml:space="preserve"> </v>
      </c>
      <c r="S5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2" s="30" t="str">
        <f>IF(Inventory_List_Table34111510911[[#This Row],[Q]]&lt;0.1, " ",Inventory_List_Table34111510911[[#This Row],[AQ RND USD]]*1.4)</f>
        <v xml:space="preserve"> </v>
      </c>
      <c r="U5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2" s="30" t="str">
        <f>IF(Inventory_List_Table34111510911[[#This Row],[Q]]&lt;0.1, " ",Inventory_List_Table34111510911[[#This Row],[LND RND USD]]*12)</f>
        <v xml:space="preserve"> </v>
      </c>
      <c r="W52" s="30" t="str">
        <f>IF(Inventory_List_Table34111510911[[#This Row],[Q]]&lt;0.1, " ",Inventory_List_Table34111510911[[#This Row],[AQ USD]])</f>
        <v xml:space="preserve"> </v>
      </c>
      <c r="X5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2" s="30" t="str">
        <f>IF(Inventory_List_Table34111510911[[#This Row],[Q]]&lt;0.1, " ",Inventory_List_Table34111510911[[#This Row],[PRICE]]/Z52*10000)</f>
        <v xml:space="preserve"> </v>
      </c>
      <c r="AB52" s="150"/>
      <c r="AC52" s="1"/>
      <c r="AD52" s="1"/>
    </row>
    <row r="53" spans="1:30" ht="24" customHeight="1" x14ac:dyDescent="0.3">
      <c r="A53" s="154">
        <v>51</v>
      </c>
      <c r="B53" s="1"/>
      <c r="C53" s="151"/>
      <c r="D53" s="151"/>
      <c r="E53" s="151"/>
      <c r="F5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3" s="151"/>
      <c r="H53" s="151"/>
      <c r="I53" s="151"/>
      <c r="J53" s="151"/>
      <c r="K53" s="151"/>
      <c r="L53" s="153"/>
      <c r="M53" s="30" t="str">
        <f>IF(Inventory_List_Table34111510911[[#This Row],[Q]]&lt;0.1, " ", Inventory_List_Table34111510911[[#This Row],[Q]]*Inventory_List_Table34111510911[[#This Row],[PRICE]])</f>
        <v xml:space="preserve"> </v>
      </c>
      <c r="N53" s="35" t="str">
        <f>IF(Inventory_List_Table34111510911[[#This Row],[Q]]&lt;0.1, " ", Inventory_List_Table34111510911[[#This Row],[KG]]*2.20462)</f>
        <v xml:space="preserve"> </v>
      </c>
      <c r="O53" s="35" t="str">
        <f>IF(Inventory_List_Table34111510911[[#This Row],[Q]]&lt;0.1, " ",Inventory_List_Table34111510911[[#This Row],[H CM]]/2.54)</f>
        <v xml:space="preserve"> </v>
      </c>
      <c r="P53" s="35" t="str">
        <f>IF(Inventory_List_Table34111510911[[#This Row],[Q]]&lt;0.1, " ",Inventory_List_Table34111510911[[#This Row],[W CM]]/2.54)</f>
        <v xml:space="preserve"> </v>
      </c>
      <c r="Q53" s="35" t="str">
        <f>IF(Inventory_List_Table34111510911[[#This Row],[Q]]&lt;0.1, " ",Inventory_List_Table34111510911[[#This Row],[D CM ]]/2.54)</f>
        <v xml:space="preserve"> </v>
      </c>
      <c r="R53" s="30" t="str">
        <f>IF(Inventory_List_Table34111510911[[#This Row],[Q]]&lt;0.1, " ",Inventory_List_Table34111510911[[#This Row],[PRICE]]/$L$1)</f>
        <v xml:space="preserve"> </v>
      </c>
      <c r="S5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3" s="30" t="str">
        <f>IF(Inventory_List_Table34111510911[[#This Row],[Q]]&lt;0.1, " ",Inventory_List_Table34111510911[[#This Row],[AQ RND USD]]*1.4)</f>
        <v xml:space="preserve"> </v>
      </c>
      <c r="U5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3" s="30" t="str">
        <f>IF(Inventory_List_Table34111510911[[#This Row],[Q]]&lt;0.1, " ",Inventory_List_Table34111510911[[#This Row],[LND RND USD]]*12)</f>
        <v xml:space="preserve"> </v>
      </c>
      <c r="W53" s="30" t="str">
        <f>IF(Inventory_List_Table34111510911[[#This Row],[Q]]&lt;0.1, " ",Inventory_List_Table34111510911[[#This Row],[AQ USD]])</f>
        <v xml:space="preserve"> </v>
      </c>
      <c r="X5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3" s="30" t="str">
        <f>IF(Inventory_List_Table34111510911[[#This Row],[Q]]&lt;0.1, " ",Inventory_List_Table34111510911[[#This Row],[PRICE]]/Z53*10000)</f>
        <v xml:space="preserve"> </v>
      </c>
      <c r="AB53" s="150"/>
      <c r="AC53" s="1"/>
      <c r="AD53" s="1"/>
    </row>
    <row r="54" spans="1:30" ht="24" customHeight="1" x14ac:dyDescent="0.3">
      <c r="A54" s="154">
        <v>52</v>
      </c>
      <c r="B54" s="1"/>
      <c r="C54" s="151"/>
      <c r="D54" s="151"/>
      <c r="E54" s="151"/>
      <c r="F5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4" s="151"/>
      <c r="H54" s="151"/>
      <c r="I54" s="151"/>
      <c r="J54" s="151"/>
      <c r="K54" s="151"/>
      <c r="L54" s="153"/>
      <c r="M54" s="30" t="str">
        <f>IF(Inventory_List_Table34111510911[[#This Row],[Q]]&lt;0.1, " ", Inventory_List_Table34111510911[[#This Row],[Q]]*Inventory_List_Table34111510911[[#This Row],[PRICE]])</f>
        <v xml:space="preserve"> </v>
      </c>
      <c r="N54" s="35" t="str">
        <f>IF(Inventory_List_Table34111510911[[#This Row],[Q]]&lt;0.1, " ", Inventory_List_Table34111510911[[#This Row],[KG]]*2.20462)</f>
        <v xml:space="preserve"> </v>
      </c>
      <c r="O54" s="35" t="str">
        <f>IF(Inventory_List_Table34111510911[[#This Row],[Q]]&lt;0.1, " ",Inventory_List_Table34111510911[[#This Row],[H CM]]/2.54)</f>
        <v xml:space="preserve"> </v>
      </c>
      <c r="P54" s="35" t="str">
        <f>IF(Inventory_List_Table34111510911[[#This Row],[Q]]&lt;0.1, " ",Inventory_List_Table34111510911[[#This Row],[W CM]]/2.54)</f>
        <v xml:space="preserve"> </v>
      </c>
      <c r="Q54" s="35" t="str">
        <f>IF(Inventory_List_Table34111510911[[#This Row],[Q]]&lt;0.1, " ",Inventory_List_Table34111510911[[#This Row],[D CM ]]/2.54)</f>
        <v xml:space="preserve"> </v>
      </c>
      <c r="R54" s="30" t="str">
        <f>IF(Inventory_List_Table34111510911[[#This Row],[Q]]&lt;0.1, " ",Inventory_List_Table34111510911[[#This Row],[PRICE]]/$L$1)</f>
        <v xml:space="preserve"> </v>
      </c>
      <c r="S5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4" s="30" t="str">
        <f>IF(Inventory_List_Table34111510911[[#This Row],[Q]]&lt;0.1, " ",Inventory_List_Table34111510911[[#This Row],[AQ RND USD]]*1.4)</f>
        <v xml:space="preserve"> </v>
      </c>
      <c r="U5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4" s="30" t="str">
        <f>IF(Inventory_List_Table34111510911[[#This Row],[Q]]&lt;0.1, " ",Inventory_List_Table34111510911[[#This Row],[LND RND USD]]*12)</f>
        <v xml:space="preserve"> </v>
      </c>
      <c r="W54" s="30" t="str">
        <f>IF(Inventory_List_Table34111510911[[#This Row],[Q]]&lt;0.1, " ",Inventory_List_Table34111510911[[#This Row],[AQ USD]])</f>
        <v xml:space="preserve"> </v>
      </c>
      <c r="X5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4" s="30" t="str">
        <f>IF(Inventory_List_Table34111510911[[#This Row],[Q]]&lt;0.1, " ",Inventory_List_Table34111510911[[#This Row],[PRICE]]/Z54*10000)</f>
        <v xml:space="preserve"> </v>
      </c>
      <c r="AB54" s="150"/>
      <c r="AC54" s="1"/>
      <c r="AD54" s="1"/>
    </row>
    <row r="55" spans="1:30" ht="24" customHeight="1" x14ac:dyDescent="0.3">
      <c r="A55" s="154">
        <v>53</v>
      </c>
      <c r="B55" s="1"/>
      <c r="C55" s="151"/>
      <c r="D55" s="151"/>
      <c r="E55" s="151"/>
      <c r="F5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5" s="151"/>
      <c r="H55" s="151"/>
      <c r="I55" s="151"/>
      <c r="J55" s="151"/>
      <c r="K55" s="151"/>
      <c r="L55" s="153"/>
      <c r="M55" s="30" t="str">
        <f>IF(Inventory_List_Table34111510911[[#This Row],[Q]]&lt;0.1, " ", Inventory_List_Table34111510911[[#This Row],[Q]]*Inventory_List_Table34111510911[[#This Row],[PRICE]])</f>
        <v xml:space="preserve"> </v>
      </c>
      <c r="N55" s="35" t="str">
        <f>IF(Inventory_List_Table34111510911[[#This Row],[Q]]&lt;0.1, " ", Inventory_List_Table34111510911[[#This Row],[KG]]*2.20462)</f>
        <v xml:space="preserve"> </v>
      </c>
      <c r="O55" s="35" t="str">
        <f>IF(Inventory_List_Table34111510911[[#This Row],[Q]]&lt;0.1, " ",Inventory_List_Table34111510911[[#This Row],[H CM]]/2.54)</f>
        <v xml:space="preserve"> </v>
      </c>
      <c r="P55" s="35" t="str">
        <f>IF(Inventory_List_Table34111510911[[#This Row],[Q]]&lt;0.1, " ",Inventory_List_Table34111510911[[#This Row],[W CM]]/2.54)</f>
        <v xml:space="preserve"> </v>
      </c>
      <c r="Q55" s="35" t="str">
        <f>IF(Inventory_List_Table34111510911[[#This Row],[Q]]&lt;0.1, " ",Inventory_List_Table34111510911[[#This Row],[D CM ]]/2.54)</f>
        <v xml:space="preserve"> </v>
      </c>
      <c r="R55" s="30" t="str">
        <f>IF(Inventory_List_Table34111510911[[#This Row],[Q]]&lt;0.1, " ",Inventory_List_Table34111510911[[#This Row],[PRICE]]/$L$1)</f>
        <v xml:space="preserve"> </v>
      </c>
      <c r="S5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5" s="30" t="str">
        <f>IF(Inventory_List_Table34111510911[[#This Row],[Q]]&lt;0.1, " ",Inventory_List_Table34111510911[[#This Row],[AQ RND USD]]*1.4)</f>
        <v xml:space="preserve"> </v>
      </c>
      <c r="U5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5" s="30" t="str">
        <f>IF(Inventory_List_Table34111510911[[#This Row],[Q]]&lt;0.1, " ",Inventory_List_Table34111510911[[#This Row],[LND RND USD]]*12)</f>
        <v xml:space="preserve"> </v>
      </c>
      <c r="W55" s="30" t="str">
        <f>IF(Inventory_List_Table34111510911[[#This Row],[Q]]&lt;0.1, " ",Inventory_List_Table34111510911[[#This Row],[AQ USD]])</f>
        <v xml:space="preserve"> </v>
      </c>
      <c r="X5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5" s="30" t="str">
        <f>IF(Inventory_List_Table34111510911[[#This Row],[Q]]&lt;0.1, " ",Inventory_List_Table34111510911[[#This Row],[PRICE]]/Z55*10000)</f>
        <v xml:space="preserve"> </v>
      </c>
      <c r="AB55" s="150"/>
      <c r="AC55" s="1"/>
      <c r="AD55" s="1"/>
    </row>
    <row r="56" spans="1:30" ht="24" customHeight="1" x14ac:dyDescent="0.3">
      <c r="A56" s="154">
        <v>54</v>
      </c>
      <c r="B56" s="1"/>
      <c r="C56" s="151"/>
      <c r="D56" s="151"/>
      <c r="E56" s="151"/>
      <c r="F5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6" s="151"/>
      <c r="H56" s="151"/>
      <c r="I56" s="151"/>
      <c r="J56" s="151"/>
      <c r="K56" s="151"/>
      <c r="L56" s="153"/>
      <c r="M56" s="30" t="str">
        <f>IF(Inventory_List_Table34111510911[[#This Row],[Q]]&lt;0.1, " ", Inventory_List_Table34111510911[[#This Row],[Q]]*Inventory_List_Table34111510911[[#This Row],[PRICE]])</f>
        <v xml:space="preserve"> </v>
      </c>
      <c r="N56" s="35" t="str">
        <f>IF(Inventory_List_Table34111510911[[#This Row],[Q]]&lt;0.1, " ", Inventory_List_Table34111510911[[#This Row],[KG]]*2.20462)</f>
        <v xml:space="preserve"> </v>
      </c>
      <c r="O56" s="35" t="str">
        <f>IF(Inventory_List_Table34111510911[[#This Row],[Q]]&lt;0.1, " ",Inventory_List_Table34111510911[[#This Row],[H CM]]/2.54)</f>
        <v xml:space="preserve"> </v>
      </c>
      <c r="P56" s="35" t="str">
        <f>IF(Inventory_List_Table34111510911[[#This Row],[Q]]&lt;0.1, " ",Inventory_List_Table34111510911[[#This Row],[W CM]]/2.54)</f>
        <v xml:space="preserve"> </v>
      </c>
      <c r="Q56" s="35" t="str">
        <f>IF(Inventory_List_Table34111510911[[#This Row],[Q]]&lt;0.1, " ",Inventory_List_Table34111510911[[#This Row],[D CM ]]/2.54)</f>
        <v xml:space="preserve"> </v>
      </c>
      <c r="R56" s="30" t="str">
        <f>IF(Inventory_List_Table34111510911[[#This Row],[Q]]&lt;0.1, " ",Inventory_List_Table34111510911[[#This Row],[PRICE]]/$L$1)</f>
        <v xml:space="preserve"> </v>
      </c>
      <c r="S5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6" s="30" t="str">
        <f>IF(Inventory_List_Table34111510911[[#This Row],[Q]]&lt;0.1, " ",Inventory_List_Table34111510911[[#This Row],[AQ RND USD]]*1.4)</f>
        <v xml:space="preserve"> </v>
      </c>
      <c r="U5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6" s="30" t="str">
        <f>IF(Inventory_List_Table34111510911[[#This Row],[Q]]&lt;0.1, " ",Inventory_List_Table34111510911[[#This Row],[LND RND USD]]*12)</f>
        <v xml:space="preserve"> </v>
      </c>
      <c r="W56" s="30" t="str">
        <f>IF(Inventory_List_Table34111510911[[#This Row],[Q]]&lt;0.1, " ",Inventory_List_Table34111510911[[#This Row],[AQ USD]])</f>
        <v xml:space="preserve"> </v>
      </c>
      <c r="X5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6" s="30" t="str">
        <f>IF(Inventory_List_Table34111510911[[#This Row],[Q]]&lt;0.1, " ",Inventory_List_Table34111510911[[#This Row],[PRICE]]/Z56*10000)</f>
        <v xml:space="preserve"> </v>
      </c>
      <c r="AB56" s="150"/>
      <c r="AC56" s="1"/>
      <c r="AD56" s="1"/>
    </row>
    <row r="57" spans="1:30" ht="24" customHeight="1" x14ac:dyDescent="0.3">
      <c r="A57" s="154">
        <v>55</v>
      </c>
      <c r="B57" s="1"/>
      <c r="C57" s="151"/>
      <c r="D57" s="151"/>
      <c r="E57" s="151"/>
      <c r="F5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7" s="151"/>
      <c r="H57" s="151"/>
      <c r="I57" s="151"/>
      <c r="J57" s="151"/>
      <c r="K57" s="151"/>
      <c r="L57" s="153"/>
      <c r="M57" s="30" t="str">
        <f>IF(Inventory_List_Table34111510911[[#This Row],[Q]]&lt;0.1, " ", Inventory_List_Table34111510911[[#This Row],[Q]]*Inventory_List_Table34111510911[[#This Row],[PRICE]])</f>
        <v xml:space="preserve"> </v>
      </c>
      <c r="N57" s="35" t="str">
        <f>IF(Inventory_List_Table34111510911[[#This Row],[Q]]&lt;0.1, " ", Inventory_List_Table34111510911[[#This Row],[KG]]*2.20462)</f>
        <v xml:space="preserve"> </v>
      </c>
      <c r="O57" s="35" t="str">
        <f>IF(Inventory_List_Table34111510911[[#This Row],[Q]]&lt;0.1, " ",Inventory_List_Table34111510911[[#This Row],[H CM]]/2.54)</f>
        <v xml:space="preserve"> </v>
      </c>
      <c r="P57" s="35" t="str">
        <f>IF(Inventory_List_Table34111510911[[#This Row],[Q]]&lt;0.1, " ",Inventory_List_Table34111510911[[#This Row],[W CM]]/2.54)</f>
        <v xml:space="preserve"> </v>
      </c>
      <c r="Q57" s="35" t="str">
        <f>IF(Inventory_List_Table34111510911[[#This Row],[Q]]&lt;0.1, " ",Inventory_List_Table34111510911[[#This Row],[D CM ]]/2.54)</f>
        <v xml:space="preserve"> </v>
      </c>
      <c r="R57" s="30" t="str">
        <f>IF(Inventory_List_Table34111510911[[#This Row],[Q]]&lt;0.1, " ",Inventory_List_Table34111510911[[#This Row],[PRICE]]/$L$1)</f>
        <v xml:space="preserve"> </v>
      </c>
      <c r="S5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7" s="30" t="str">
        <f>IF(Inventory_List_Table34111510911[[#This Row],[Q]]&lt;0.1, " ",Inventory_List_Table34111510911[[#This Row],[AQ RND USD]]*1.4)</f>
        <v xml:space="preserve"> </v>
      </c>
      <c r="U5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7" s="30" t="str">
        <f>IF(Inventory_List_Table34111510911[[#This Row],[Q]]&lt;0.1, " ",Inventory_List_Table34111510911[[#This Row],[LND RND USD]]*12)</f>
        <v xml:space="preserve"> </v>
      </c>
      <c r="W57" s="30" t="str">
        <f>IF(Inventory_List_Table34111510911[[#This Row],[Q]]&lt;0.1, " ",Inventory_List_Table34111510911[[#This Row],[AQ USD]])</f>
        <v xml:space="preserve"> </v>
      </c>
      <c r="X5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7" s="30" t="str">
        <f>IF(Inventory_List_Table34111510911[[#This Row],[Q]]&lt;0.1, " ",Inventory_List_Table34111510911[[#This Row],[PRICE]]/Z57*10000)</f>
        <v xml:space="preserve"> </v>
      </c>
      <c r="AB57" s="150"/>
      <c r="AC57" s="1"/>
      <c r="AD57" s="1"/>
    </row>
    <row r="58" spans="1:30" ht="24" customHeight="1" x14ac:dyDescent="0.3">
      <c r="A58" s="154">
        <v>56</v>
      </c>
      <c r="B58" s="1"/>
      <c r="C58" s="151"/>
      <c r="D58" s="151"/>
      <c r="E58" s="151"/>
      <c r="F5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8" s="151"/>
      <c r="H58" s="151"/>
      <c r="I58" s="151"/>
      <c r="J58" s="151"/>
      <c r="K58" s="151"/>
      <c r="L58" s="153"/>
      <c r="M58" s="30" t="str">
        <f>IF(Inventory_List_Table34111510911[[#This Row],[Q]]&lt;0.1, " ", Inventory_List_Table34111510911[[#This Row],[Q]]*Inventory_List_Table34111510911[[#This Row],[PRICE]])</f>
        <v xml:space="preserve"> </v>
      </c>
      <c r="N58" s="35" t="str">
        <f>IF(Inventory_List_Table34111510911[[#This Row],[Q]]&lt;0.1, " ", Inventory_List_Table34111510911[[#This Row],[KG]]*2.20462)</f>
        <v xml:space="preserve"> </v>
      </c>
      <c r="O58" s="35" t="str">
        <f>IF(Inventory_List_Table34111510911[[#This Row],[Q]]&lt;0.1, " ",Inventory_List_Table34111510911[[#This Row],[H CM]]/2.54)</f>
        <v xml:space="preserve"> </v>
      </c>
      <c r="P58" s="35" t="str">
        <f>IF(Inventory_List_Table34111510911[[#This Row],[Q]]&lt;0.1, " ",Inventory_List_Table34111510911[[#This Row],[W CM]]/2.54)</f>
        <v xml:space="preserve"> </v>
      </c>
      <c r="Q58" s="35" t="str">
        <f>IF(Inventory_List_Table34111510911[[#This Row],[Q]]&lt;0.1, " ",Inventory_List_Table34111510911[[#This Row],[D CM ]]/2.54)</f>
        <v xml:space="preserve"> </v>
      </c>
      <c r="R58" s="30" t="str">
        <f>IF(Inventory_List_Table34111510911[[#This Row],[Q]]&lt;0.1, " ",Inventory_List_Table34111510911[[#This Row],[PRICE]]/$L$1)</f>
        <v xml:space="preserve"> </v>
      </c>
      <c r="S5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8" s="30" t="str">
        <f>IF(Inventory_List_Table34111510911[[#This Row],[Q]]&lt;0.1, " ",Inventory_List_Table34111510911[[#This Row],[AQ RND USD]]*1.4)</f>
        <v xml:space="preserve"> </v>
      </c>
      <c r="U5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8" s="30" t="str">
        <f>IF(Inventory_List_Table34111510911[[#This Row],[Q]]&lt;0.1, " ",Inventory_List_Table34111510911[[#This Row],[LND RND USD]]*12)</f>
        <v xml:space="preserve"> </v>
      </c>
      <c r="W58" s="30" t="str">
        <f>IF(Inventory_List_Table34111510911[[#This Row],[Q]]&lt;0.1, " ",Inventory_List_Table34111510911[[#This Row],[AQ USD]])</f>
        <v xml:space="preserve"> </v>
      </c>
      <c r="X5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8" s="30" t="str">
        <f>IF(Inventory_List_Table34111510911[[#This Row],[Q]]&lt;0.1, " ",Inventory_List_Table34111510911[[#This Row],[PRICE]]/Z58*10000)</f>
        <v xml:space="preserve"> </v>
      </c>
      <c r="AB58" s="150"/>
      <c r="AC58" s="1"/>
      <c r="AD58" s="1"/>
    </row>
    <row r="59" spans="1:30" ht="24" customHeight="1" x14ac:dyDescent="0.3">
      <c r="A59" s="154">
        <v>57</v>
      </c>
      <c r="B59" s="1"/>
      <c r="C59" s="151"/>
      <c r="D59" s="151"/>
      <c r="E59" s="151"/>
      <c r="F5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59" s="151"/>
      <c r="H59" s="151"/>
      <c r="I59" s="151"/>
      <c r="J59" s="151"/>
      <c r="K59" s="151"/>
      <c r="L59" s="153"/>
      <c r="M59" s="30" t="str">
        <f>IF(Inventory_List_Table34111510911[[#This Row],[Q]]&lt;0.1, " ", Inventory_List_Table34111510911[[#This Row],[Q]]*Inventory_List_Table34111510911[[#This Row],[PRICE]])</f>
        <v xml:space="preserve"> </v>
      </c>
      <c r="N59" s="35" t="str">
        <f>IF(Inventory_List_Table34111510911[[#This Row],[Q]]&lt;0.1, " ", Inventory_List_Table34111510911[[#This Row],[KG]]*2.20462)</f>
        <v xml:space="preserve"> </v>
      </c>
      <c r="O59" s="35" t="str">
        <f>IF(Inventory_List_Table34111510911[[#This Row],[Q]]&lt;0.1, " ",Inventory_List_Table34111510911[[#This Row],[H CM]]/2.54)</f>
        <v xml:space="preserve"> </v>
      </c>
      <c r="P59" s="35" t="str">
        <f>IF(Inventory_List_Table34111510911[[#This Row],[Q]]&lt;0.1, " ",Inventory_List_Table34111510911[[#This Row],[W CM]]/2.54)</f>
        <v xml:space="preserve"> </v>
      </c>
      <c r="Q59" s="35" t="str">
        <f>IF(Inventory_List_Table34111510911[[#This Row],[Q]]&lt;0.1, " ",Inventory_List_Table34111510911[[#This Row],[D CM ]]/2.54)</f>
        <v xml:space="preserve"> </v>
      </c>
      <c r="R59" s="30" t="str">
        <f>IF(Inventory_List_Table34111510911[[#This Row],[Q]]&lt;0.1, " ",Inventory_List_Table34111510911[[#This Row],[PRICE]]/$L$1)</f>
        <v xml:space="preserve"> </v>
      </c>
      <c r="S5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59" s="30" t="str">
        <f>IF(Inventory_List_Table34111510911[[#This Row],[Q]]&lt;0.1, " ",Inventory_List_Table34111510911[[#This Row],[AQ RND USD]]*1.4)</f>
        <v xml:space="preserve"> </v>
      </c>
      <c r="U5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59" s="30" t="str">
        <f>IF(Inventory_List_Table34111510911[[#This Row],[Q]]&lt;0.1, " ",Inventory_List_Table34111510911[[#This Row],[LND RND USD]]*12)</f>
        <v xml:space="preserve"> </v>
      </c>
      <c r="W59" s="30" t="str">
        <f>IF(Inventory_List_Table34111510911[[#This Row],[Q]]&lt;0.1, " ",Inventory_List_Table34111510911[[#This Row],[AQ USD]])</f>
        <v xml:space="preserve"> </v>
      </c>
      <c r="X5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5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5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59" s="30" t="str">
        <f>IF(Inventory_List_Table34111510911[[#This Row],[Q]]&lt;0.1, " ",Inventory_List_Table34111510911[[#This Row],[PRICE]]/Z59*10000)</f>
        <v xml:space="preserve"> </v>
      </c>
      <c r="AB59" s="150"/>
      <c r="AC59" s="1"/>
      <c r="AD59" s="1"/>
    </row>
    <row r="60" spans="1:30" ht="24" customHeight="1" x14ac:dyDescent="0.3">
      <c r="A60" s="154">
        <v>58</v>
      </c>
      <c r="B60" s="1"/>
      <c r="C60" s="151"/>
      <c r="D60" s="151"/>
      <c r="E60" s="151"/>
      <c r="F6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0" s="151"/>
      <c r="H60" s="151"/>
      <c r="I60" s="151"/>
      <c r="J60" s="151"/>
      <c r="K60" s="151"/>
      <c r="L60" s="153"/>
      <c r="M60" s="30" t="str">
        <f>IF(Inventory_List_Table34111510911[[#This Row],[Q]]&lt;0.1, " ", Inventory_List_Table34111510911[[#This Row],[Q]]*Inventory_List_Table34111510911[[#This Row],[PRICE]])</f>
        <v xml:space="preserve"> </v>
      </c>
      <c r="N60" s="35" t="str">
        <f>IF(Inventory_List_Table34111510911[[#This Row],[Q]]&lt;0.1, " ", Inventory_List_Table34111510911[[#This Row],[KG]]*2.20462)</f>
        <v xml:space="preserve"> </v>
      </c>
      <c r="O60" s="35" t="str">
        <f>IF(Inventory_List_Table34111510911[[#This Row],[Q]]&lt;0.1, " ",Inventory_List_Table34111510911[[#This Row],[H CM]]/2.54)</f>
        <v xml:space="preserve"> </v>
      </c>
      <c r="P60" s="35" t="str">
        <f>IF(Inventory_List_Table34111510911[[#This Row],[Q]]&lt;0.1, " ",Inventory_List_Table34111510911[[#This Row],[W CM]]/2.54)</f>
        <v xml:space="preserve"> </v>
      </c>
      <c r="Q60" s="35" t="str">
        <f>IF(Inventory_List_Table34111510911[[#This Row],[Q]]&lt;0.1, " ",Inventory_List_Table34111510911[[#This Row],[D CM ]]/2.54)</f>
        <v xml:space="preserve"> </v>
      </c>
      <c r="R60" s="30" t="str">
        <f>IF(Inventory_List_Table34111510911[[#This Row],[Q]]&lt;0.1, " ",Inventory_List_Table34111510911[[#This Row],[PRICE]]/$L$1)</f>
        <v xml:space="preserve"> </v>
      </c>
      <c r="S6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0" s="30" t="str">
        <f>IF(Inventory_List_Table34111510911[[#This Row],[Q]]&lt;0.1, " ",Inventory_List_Table34111510911[[#This Row],[AQ RND USD]]*1.4)</f>
        <v xml:space="preserve"> </v>
      </c>
      <c r="U6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0" s="30" t="str">
        <f>IF(Inventory_List_Table34111510911[[#This Row],[Q]]&lt;0.1, " ",Inventory_List_Table34111510911[[#This Row],[LND RND USD]]*12)</f>
        <v xml:space="preserve"> </v>
      </c>
      <c r="W60" s="30" t="str">
        <f>IF(Inventory_List_Table34111510911[[#This Row],[Q]]&lt;0.1, " ",Inventory_List_Table34111510911[[#This Row],[AQ USD]])</f>
        <v xml:space="preserve"> </v>
      </c>
      <c r="X6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0" s="30" t="str">
        <f>IF(Inventory_List_Table34111510911[[#This Row],[Q]]&lt;0.1, " ",Inventory_List_Table34111510911[[#This Row],[PRICE]]/Z60*10000)</f>
        <v xml:space="preserve"> </v>
      </c>
      <c r="AB60" s="150"/>
      <c r="AC60" s="1"/>
      <c r="AD60" s="1"/>
    </row>
    <row r="61" spans="1:30" ht="24" customHeight="1" x14ac:dyDescent="0.3">
      <c r="A61" s="154">
        <v>59</v>
      </c>
      <c r="B61" s="1"/>
      <c r="C61" s="151"/>
      <c r="D61" s="151"/>
      <c r="E61" s="151"/>
      <c r="F6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1" s="151"/>
      <c r="H61" s="151"/>
      <c r="I61" s="151"/>
      <c r="J61" s="151"/>
      <c r="K61" s="151"/>
      <c r="L61" s="153"/>
      <c r="M61" s="30" t="str">
        <f>IF(Inventory_List_Table34111510911[[#This Row],[Q]]&lt;0.1, " ", Inventory_List_Table34111510911[[#This Row],[Q]]*Inventory_List_Table34111510911[[#This Row],[PRICE]])</f>
        <v xml:space="preserve"> </v>
      </c>
      <c r="N61" s="35" t="str">
        <f>IF(Inventory_List_Table34111510911[[#This Row],[Q]]&lt;0.1, " ", Inventory_List_Table34111510911[[#This Row],[KG]]*2.20462)</f>
        <v xml:space="preserve"> </v>
      </c>
      <c r="O61" s="35" t="str">
        <f>IF(Inventory_List_Table34111510911[[#This Row],[Q]]&lt;0.1, " ",Inventory_List_Table34111510911[[#This Row],[H CM]]/2.54)</f>
        <v xml:space="preserve"> </v>
      </c>
      <c r="P61" s="35" t="str">
        <f>IF(Inventory_List_Table34111510911[[#This Row],[Q]]&lt;0.1, " ",Inventory_List_Table34111510911[[#This Row],[W CM]]/2.54)</f>
        <v xml:space="preserve"> </v>
      </c>
      <c r="Q61" s="35" t="str">
        <f>IF(Inventory_List_Table34111510911[[#This Row],[Q]]&lt;0.1, " ",Inventory_List_Table34111510911[[#This Row],[D CM ]]/2.54)</f>
        <v xml:space="preserve"> </v>
      </c>
      <c r="R61" s="30" t="str">
        <f>IF(Inventory_List_Table34111510911[[#This Row],[Q]]&lt;0.1, " ",Inventory_List_Table34111510911[[#This Row],[PRICE]]/$L$1)</f>
        <v xml:space="preserve"> </v>
      </c>
      <c r="S6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1" s="30" t="str">
        <f>IF(Inventory_List_Table34111510911[[#This Row],[Q]]&lt;0.1, " ",Inventory_List_Table34111510911[[#This Row],[AQ RND USD]]*1.4)</f>
        <v xml:space="preserve"> </v>
      </c>
      <c r="U6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1" s="30" t="str">
        <f>IF(Inventory_List_Table34111510911[[#This Row],[Q]]&lt;0.1, " ",Inventory_List_Table34111510911[[#This Row],[LND RND USD]]*12)</f>
        <v xml:space="preserve"> </v>
      </c>
      <c r="W61" s="30" t="str">
        <f>IF(Inventory_List_Table34111510911[[#This Row],[Q]]&lt;0.1, " ",Inventory_List_Table34111510911[[#This Row],[AQ USD]])</f>
        <v xml:space="preserve"> </v>
      </c>
      <c r="X6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1" s="30" t="str">
        <f>IF(Inventory_List_Table34111510911[[#This Row],[Q]]&lt;0.1, " ",Inventory_List_Table34111510911[[#This Row],[PRICE]]/Z61*10000)</f>
        <v xml:space="preserve"> </v>
      </c>
      <c r="AB61" s="150"/>
      <c r="AC61" s="1"/>
      <c r="AD61" s="1"/>
    </row>
    <row r="62" spans="1:30" ht="24" customHeight="1" x14ac:dyDescent="0.3">
      <c r="A62" s="154">
        <v>60</v>
      </c>
      <c r="B62" s="1"/>
      <c r="C62" s="151"/>
      <c r="D62" s="151"/>
      <c r="E62" s="151"/>
      <c r="F6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2" s="151"/>
      <c r="H62" s="151"/>
      <c r="I62" s="151"/>
      <c r="J62" s="151"/>
      <c r="K62" s="151"/>
      <c r="L62" s="153"/>
      <c r="M62" s="30" t="str">
        <f>IF(Inventory_List_Table34111510911[[#This Row],[Q]]&lt;0.1, " ", Inventory_List_Table34111510911[[#This Row],[Q]]*Inventory_List_Table34111510911[[#This Row],[PRICE]])</f>
        <v xml:space="preserve"> </v>
      </c>
      <c r="N62" s="35" t="str">
        <f>IF(Inventory_List_Table34111510911[[#This Row],[Q]]&lt;0.1, " ", Inventory_List_Table34111510911[[#This Row],[KG]]*2.20462)</f>
        <v xml:space="preserve"> </v>
      </c>
      <c r="O62" s="35" t="str">
        <f>IF(Inventory_List_Table34111510911[[#This Row],[Q]]&lt;0.1, " ",Inventory_List_Table34111510911[[#This Row],[H CM]]/2.54)</f>
        <v xml:space="preserve"> </v>
      </c>
      <c r="P62" s="35" t="str">
        <f>IF(Inventory_List_Table34111510911[[#This Row],[Q]]&lt;0.1, " ",Inventory_List_Table34111510911[[#This Row],[W CM]]/2.54)</f>
        <v xml:space="preserve"> </v>
      </c>
      <c r="Q62" s="35" t="str">
        <f>IF(Inventory_List_Table34111510911[[#This Row],[Q]]&lt;0.1, " ",Inventory_List_Table34111510911[[#This Row],[D CM ]]/2.54)</f>
        <v xml:space="preserve"> </v>
      </c>
      <c r="R62" s="30" t="str">
        <f>IF(Inventory_List_Table34111510911[[#This Row],[Q]]&lt;0.1, " ",Inventory_List_Table34111510911[[#This Row],[PRICE]]/$L$1)</f>
        <v xml:space="preserve"> </v>
      </c>
      <c r="S6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2" s="30" t="str">
        <f>IF(Inventory_List_Table34111510911[[#This Row],[Q]]&lt;0.1, " ",Inventory_List_Table34111510911[[#This Row],[AQ RND USD]]*1.4)</f>
        <v xml:space="preserve"> </v>
      </c>
      <c r="U6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2" s="30" t="str">
        <f>IF(Inventory_List_Table34111510911[[#This Row],[Q]]&lt;0.1, " ",Inventory_List_Table34111510911[[#This Row],[LND RND USD]]*12)</f>
        <v xml:space="preserve"> </v>
      </c>
      <c r="W62" s="30" t="str">
        <f>IF(Inventory_List_Table34111510911[[#This Row],[Q]]&lt;0.1, " ",Inventory_List_Table34111510911[[#This Row],[AQ USD]])</f>
        <v xml:space="preserve"> </v>
      </c>
      <c r="X6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2" s="30" t="str">
        <f>IF(Inventory_List_Table34111510911[[#This Row],[Q]]&lt;0.1, " ",Inventory_List_Table34111510911[[#This Row],[PRICE]]/Z62*10000)</f>
        <v xml:space="preserve"> </v>
      </c>
      <c r="AB62" s="150"/>
      <c r="AC62" s="1"/>
      <c r="AD62" s="1"/>
    </row>
    <row r="63" spans="1:30" ht="24" customHeight="1" x14ac:dyDescent="0.3">
      <c r="A63" s="154">
        <v>61</v>
      </c>
      <c r="B63" s="1"/>
      <c r="C63" s="151"/>
      <c r="D63" s="151"/>
      <c r="E63" s="151"/>
      <c r="F6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3" s="151"/>
      <c r="H63" s="151"/>
      <c r="I63" s="151"/>
      <c r="J63" s="151"/>
      <c r="K63" s="151"/>
      <c r="L63" s="153"/>
      <c r="M63" s="30" t="str">
        <f>IF(Inventory_List_Table34111510911[[#This Row],[Q]]&lt;0.1, " ", Inventory_List_Table34111510911[[#This Row],[Q]]*Inventory_List_Table34111510911[[#This Row],[PRICE]])</f>
        <v xml:space="preserve"> </v>
      </c>
      <c r="N63" s="35" t="str">
        <f>IF(Inventory_List_Table34111510911[[#This Row],[Q]]&lt;0.1, " ", Inventory_List_Table34111510911[[#This Row],[KG]]*2.20462)</f>
        <v xml:space="preserve"> </v>
      </c>
      <c r="O63" s="35" t="str">
        <f>IF(Inventory_List_Table34111510911[[#This Row],[Q]]&lt;0.1, " ",Inventory_List_Table34111510911[[#This Row],[H CM]]/2.54)</f>
        <v xml:space="preserve"> </v>
      </c>
      <c r="P63" s="35" t="str">
        <f>IF(Inventory_List_Table34111510911[[#This Row],[Q]]&lt;0.1, " ",Inventory_List_Table34111510911[[#This Row],[W CM]]/2.54)</f>
        <v xml:space="preserve"> </v>
      </c>
      <c r="Q63" s="35" t="str">
        <f>IF(Inventory_List_Table34111510911[[#This Row],[Q]]&lt;0.1, " ",Inventory_List_Table34111510911[[#This Row],[D CM ]]/2.54)</f>
        <v xml:space="preserve"> </v>
      </c>
      <c r="R63" s="30" t="str">
        <f>IF(Inventory_List_Table34111510911[[#This Row],[Q]]&lt;0.1, " ",Inventory_List_Table34111510911[[#This Row],[PRICE]]/$L$1)</f>
        <v xml:space="preserve"> </v>
      </c>
      <c r="S6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3" s="30" t="str">
        <f>IF(Inventory_List_Table34111510911[[#This Row],[Q]]&lt;0.1, " ",Inventory_List_Table34111510911[[#This Row],[AQ RND USD]]*1.4)</f>
        <v xml:space="preserve"> </v>
      </c>
      <c r="U6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3" s="30" t="str">
        <f>IF(Inventory_List_Table34111510911[[#This Row],[Q]]&lt;0.1, " ",Inventory_List_Table34111510911[[#This Row],[LND RND USD]]*12)</f>
        <v xml:space="preserve"> </v>
      </c>
      <c r="W63" s="30" t="str">
        <f>IF(Inventory_List_Table34111510911[[#This Row],[Q]]&lt;0.1, " ",Inventory_List_Table34111510911[[#This Row],[AQ USD]])</f>
        <v xml:space="preserve"> </v>
      </c>
      <c r="X6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3" s="30" t="str">
        <f>IF(Inventory_List_Table34111510911[[#This Row],[Q]]&lt;0.1, " ",Inventory_List_Table34111510911[[#This Row],[PRICE]]/Z63*10000)</f>
        <v xml:space="preserve"> </v>
      </c>
      <c r="AB63" s="150"/>
      <c r="AC63" s="1"/>
      <c r="AD63" s="1"/>
    </row>
    <row r="64" spans="1:30" ht="24" customHeight="1" x14ac:dyDescent="0.3">
      <c r="A64" s="154">
        <v>62</v>
      </c>
      <c r="B64" s="1"/>
      <c r="C64" s="151"/>
      <c r="D64" s="151"/>
      <c r="E64" s="151"/>
      <c r="F6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4" s="151"/>
      <c r="H64" s="151"/>
      <c r="I64" s="151"/>
      <c r="J64" s="151"/>
      <c r="K64" s="151"/>
      <c r="L64" s="153"/>
      <c r="M64" s="30" t="str">
        <f>IF(Inventory_List_Table34111510911[[#This Row],[Q]]&lt;0.1, " ", Inventory_List_Table34111510911[[#This Row],[Q]]*Inventory_List_Table34111510911[[#This Row],[PRICE]])</f>
        <v xml:space="preserve"> </v>
      </c>
      <c r="N64" s="35" t="str">
        <f>IF(Inventory_List_Table34111510911[[#This Row],[Q]]&lt;0.1, " ", Inventory_List_Table34111510911[[#This Row],[KG]]*2.20462)</f>
        <v xml:space="preserve"> </v>
      </c>
      <c r="O64" s="35" t="str">
        <f>IF(Inventory_List_Table34111510911[[#This Row],[Q]]&lt;0.1, " ",Inventory_List_Table34111510911[[#This Row],[H CM]]/2.54)</f>
        <v xml:space="preserve"> </v>
      </c>
      <c r="P64" s="35" t="str">
        <f>IF(Inventory_List_Table34111510911[[#This Row],[Q]]&lt;0.1, " ",Inventory_List_Table34111510911[[#This Row],[W CM]]/2.54)</f>
        <v xml:space="preserve"> </v>
      </c>
      <c r="Q64" s="35" t="str">
        <f>IF(Inventory_List_Table34111510911[[#This Row],[Q]]&lt;0.1, " ",Inventory_List_Table34111510911[[#This Row],[D CM ]]/2.54)</f>
        <v xml:space="preserve"> </v>
      </c>
      <c r="R64" s="30" t="str">
        <f>IF(Inventory_List_Table34111510911[[#This Row],[Q]]&lt;0.1, " ",Inventory_List_Table34111510911[[#This Row],[PRICE]]/$L$1)</f>
        <v xml:space="preserve"> </v>
      </c>
      <c r="S6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4" s="30" t="str">
        <f>IF(Inventory_List_Table34111510911[[#This Row],[Q]]&lt;0.1, " ",Inventory_List_Table34111510911[[#This Row],[AQ RND USD]]*1.4)</f>
        <v xml:space="preserve"> </v>
      </c>
      <c r="U6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4" s="30" t="str">
        <f>IF(Inventory_List_Table34111510911[[#This Row],[Q]]&lt;0.1, " ",Inventory_List_Table34111510911[[#This Row],[LND RND USD]]*12)</f>
        <v xml:space="preserve"> </v>
      </c>
      <c r="W64" s="30" t="str">
        <f>IF(Inventory_List_Table34111510911[[#This Row],[Q]]&lt;0.1, " ",Inventory_List_Table34111510911[[#This Row],[AQ USD]])</f>
        <v xml:space="preserve"> </v>
      </c>
      <c r="X6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4" s="30" t="str">
        <f>IF(Inventory_List_Table34111510911[[#This Row],[Q]]&lt;0.1, " ",Inventory_List_Table34111510911[[#This Row],[PRICE]]/Z64*10000)</f>
        <v xml:space="preserve"> </v>
      </c>
      <c r="AB64" s="150"/>
      <c r="AC64" s="1"/>
      <c r="AD64" s="1"/>
    </row>
    <row r="65" spans="1:30" ht="24" customHeight="1" x14ac:dyDescent="0.3">
      <c r="A65" s="154">
        <v>63</v>
      </c>
      <c r="B65" s="1"/>
      <c r="C65" s="151"/>
      <c r="D65" s="151"/>
      <c r="E65" s="151"/>
      <c r="F6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5" s="151"/>
      <c r="H65" s="151"/>
      <c r="I65" s="151"/>
      <c r="J65" s="151"/>
      <c r="K65" s="151"/>
      <c r="L65" s="153"/>
      <c r="M65" s="30" t="str">
        <f>IF(Inventory_List_Table34111510911[[#This Row],[Q]]&lt;0.1, " ", Inventory_List_Table34111510911[[#This Row],[Q]]*Inventory_List_Table34111510911[[#This Row],[PRICE]])</f>
        <v xml:space="preserve"> </v>
      </c>
      <c r="N65" s="35" t="str">
        <f>IF(Inventory_List_Table34111510911[[#This Row],[Q]]&lt;0.1, " ", Inventory_List_Table34111510911[[#This Row],[KG]]*2.20462)</f>
        <v xml:space="preserve"> </v>
      </c>
      <c r="O65" s="35" t="str">
        <f>IF(Inventory_List_Table34111510911[[#This Row],[Q]]&lt;0.1, " ",Inventory_List_Table34111510911[[#This Row],[H CM]]/2.54)</f>
        <v xml:space="preserve"> </v>
      </c>
      <c r="P65" s="35" t="str">
        <f>IF(Inventory_List_Table34111510911[[#This Row],[Q]]&lt;0.1, " ",Inventory_List_Table34111510911[[#This Row],[W CM]]/2.54)</f>
        <v xml:space="preserve"> </v>
      </c>
      <c r="Q65" s="35" t="str">
        <f>IF(Inventory_List_Table34111510911[[#This Row],[Q]]&lt;0.1, " ",Inventory_List_Table34111510911[[#This Row],[D CM ]]/2.54)</f>
        <v xml:space="preserve"> </v>
      </c>
      <c r="R65" s="30" t="str">
        <f>IF(Inventory_List_Table34111510911[[#This Row],[Q]]&lt;0.1, " ",Inventory_List_Table34111510911[[#This Row],[PRICE]]/$L$1)</f>
        <v xml:space="preserve"> </v>
      </c>
      <c r="S6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5" s="30" t="str">
        <f>IF(Inventory_List_Table34111510911[[#This Row],[Q]]&lt;0.1, " ",Inventory_List_Table34111510911[[#This Row],[AQ RND USD]]*1.4)</f>
        <v xml:space="preserve"> </v>
      </c>
      <c r="U6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5" s="30" t="str">
        <f>IF(Inventory_List_Table34111510911[[#This Row],[Q]]&lt;0.1, " ",Inventory_List_Table34111510911[[#This Row],[LND RND USD]]*12)</f>
        <v xml:space="preserve"> </v>
      </c>
      <c r="W65" s="30" t="str">
        <f>IF(Inventory_List_Table34111510911[[#This Row],[Q]]&lt;0.1, " ",Inventory_List_Table34111510911[[#This Row],[AQ USD]])</f>
        <v xml:space="preserve"> </v>
      </c>
      <c r="X6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5" s="30" t="str">
        <f>IF(Inventory_List_Table34111510911[[#This Row],[Q]]&lt;0.1, " ",Inventory_List_Table34111510911[[#This Row],[PRICE]]/Z65*10000)</f>
        <v xml:space="preserve"> </v>
      </c>
      <c r="AB65" s="150"/>
      <c r="AC65" s="1"/>
      <c r="AD65" s="1"/>
    </row>
    <row r="66" spans="1:30" ht="24" customHeight="1" x14ac:dyDescent="0.3">
      <c r="A66" s="154">
        <v>64</v>
      </c>
      <c r="B66" s="1"/>
      <c r="C66" s="151"/>
      <c r="D66" s="151"/>
      <c r="E66" s="151"/>
      <c r="F6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6" s="151"/>
      <c r="H66" s="151"/>
      <c r="I66" s="151"/>
      <c r="J66" s="151"/>
      <c r="K66" s="151"/>
      <c r="L66" s="153"/>
      <c r="M66" s="30" t="str">
        <f>IF(Inventory_List_Table34111510911[[#This Row],[Q]]&lt;0.1, " ", Inventory_List_Table34111510911[[#This Row],[Q]]*Inventory_List_Table34111510911[[#This Row],[PRICE]])</f>
        <v xml:space="preserve"> </v>
      </c>
      <c r="N66" s="35" t="str">
        <f>IF(Inventory_List_Table34111510911[[#This Row],[Q]]&lt;0.1, " ", Inventory_List_Table34111510911[[#This Row],[KG]]*2.20462)</f>
        <v xml:space="preserve"> </v>
      </c>
      <c r="O66" s="35" t="str">
        <f>IF(Inventory_List_Table34111510911[[#This Row],[Q]]&lt;0.1, " ",Inventory_List_Table34111510911[[#This Row],[H CM]]/2.54)</f>
        <v xml:space="preserve"> </v>
      </c>
      <c r="P66" s="35" t="str">
        <f>IF(Inventory_List_Table34111510911[[#This Row],[Q]]&lt;0.1, " ",Inventory_List_Table34111510911[[#This Row],[W CM]]/2.54)</f>
        <v xml:space="preserve"> </v>
      </c>
      <c r="Q66" s="35" t="str">
        <f>IF(Inventory_List_Table34111510911[[#This Row],[Q]]&lt;0.1, " ",Inventory_List_Table34111510911[[#This Row],[D CM ]]/2.54)</f>
        <v xml:space="preserve"> </v>
      </c>
      <c r="R66" s="30" t="str">
        <f>IF(Inventory_List_Table34111510911[[#This Row],[Q]]&lt;0.1, " ",Inventory_List_Table34111510911[[#This Row],[PRICE]]/$L$1)</f>
        <v xml:space="preserve"> </v>
      </c>
      <c r="S6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6" s="30" t="str">
        <f>IF(Inventory_List_Table34111510911[[#This Row],[Q]]&lt;0.1, " ",Inventory_List_Table34111510911[[#This Row],[AQ RND USD]]*1.4)</f>
        <v xml:space="preserve"> </v>
      </c>
      <c r="U6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6" s="30" t="str">
        <f>IF(Inventory_List_Table34111510911[[#This Row],[Q]]&lt;0.1, " ",Inventory_List_Table34111510911[[#This Row],[LND RND USD]]*12)</f>
        <v xml:space="preserve"> </v>
      </c>
      <c r="W66" s="30" t="str">
        <f>IF(Inventory_List_Table34111510911[[#This Row],[Q]]&lt;0.1, " ",Inventory_List_Table34111510911[[#This Row],[AQ USD]])</f>
        <v xml:space="preserve"> </v>
      </c>
      <c r="X6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6" s="30" t="str">
        <f>IF(Inventory_List_Table34111510911[[#This Row],[Q]]&lt;0.1, " ",Inventory_List_Table34111510911[[#This Row],[PRICE]]/Z66*10000)</f>
        <v xml:space="preserve"> </v>
      </c>
      <c r="AB66" s="150"/>
      <c r="AC66" s="1"/>
      <c r="AD66" s="1"/>
    </row>
    <row r="67" spans="1:30" ht="24" customHeight="1" x14ac:dyDescent="0.3">
      <c r="A67" s="154">
        <v>65</v>
      </c>
      <c r="B67" s="1"/>
      <c r="C67" s="151"/>
      <c r="D67" s="151"/>
      <c r="E67" s="151"/>
      <c r="F6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7" s="151"/>
      <c r="H67" s="151"/>
      <c r="I67" s="151"/>
      <c r="J67" s="151"/>
      <c r="K67" s="151"/>
      <c r="L67" s="153"/>
      <c r="M67" s="30" t="str">
        <f>IF(Inventory_List_Table34111510911[[#This Row],[Q]]&lt;0.1, " ", Inventory_List_Table34111510911[[#This Row],[Q]]*Inventory_List_Table34111510911[[#This Row],[PRICE]])</f>
        <v xml:space="preserve"> </v>
      </c>
      <c r="N67" s="35" t="str">
        <f>IF(Inventory_List_Table34111510911[[#This Row],[Q]]&lt;0.1, " ", Inventory_List_Table34111510911[[#This Row],[KG]]*2.20462)</f>
        <v xml:space="preserve"> </v>
      </c>
      <c r="O67" s="35" t="str">
        <f>IF(Inventory_List_Table34111510911[[#This Row],[Q]]&lt;0.1, " ",Inventory_List_Table34111510911[[#This Row],[H CM]]/2.54)</f>
        <v xml:space="preserve"> </v>
      </c>
      <c r="P67" s="35" t="str">
        <f>IF(Inventory_List_Table34111510911[[#This Row],[Q]]&lt;0.1, " ",Inventory_List_Table34111510911[[#This Row],[W CM]]/2.54)</f>
        <v xml:space="preserve"> </v>
      </c>
      <c r="Q67" s="35" t="str">
        <f>IF(Inventory_List_Table34111510911[[#This Row],[Q]]&lt;0.1, " ",Inventory_List_Table34111510911[[#This Row],[D CM ]]/2.54)</f>
        <v xml:space="preserve"> </v>
      </c>
      <c r="R67" s="30" t="str">
        <f>IF(Inventory_List_Table34111510911[[#This Row],[Q]]&lt;0.1, " ",Inventory_List_Table34111510911[[#This Row],[PRICE]]/$L$1)</f>
        <v xml:space="preserve"> </v>
      </c>
      <c r="S6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7" s="30" t="str">
        <f>IF(Inventory_List_Table34111510911[[#This Row],[Q]]&lt;0.1, " ",Inventory_List_Table34111510911[[#This Row],[AQ RND USD]]*1.4)</f>
        <v xml:space="preserve"> </v>
      </c>
      <c r="U6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7" s="30" t="str">
        <f>IF(Inventory_List_Table34111510911[[#This Row],[Q]]&lt;0.1, " ",Inventory_List_Table34111510911[[#This Row],[LND RND USD]]*12)</f>
        <v xml:space="preserve"> </v>
      </c>
      <c r="W67" s="30" t="str">
        <f>IF(Inventory_List_Table34111510911[[#This Row],[Q]]&lt;0.1, " ",Inventory_List_Table34111510911[[#This Row],[AQ USD]])</f>
        <v xml:space="preserve"> </v>
      </c>
      <c r="X6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7" s="30" t="str">
        <f>IF(Inventory_List_Table34111510911[[#This Row],[Q]]&lt;0.1, " ",Inventory_List_Table34111510911[[#This Row],[PRICE]]/Z67*10000)</f>
        <v xml:space="preserve"> </v>
      </c>
      <c r="AB67" s="150"/>
      <c r="AC67" s="1"/>
      <c r="AD67" s="1"/>
    </row>
    <row r="68" spans="1:30" ht="24" customHeight="1" x14ac:dyDescent="0.3">
      <c r="A68" s="154">
        <v>66</v>
      </c>
      <c r="B68" s="1"/>
      <c r="C68" s="151"/>
      <c r="D68" s="151"/>
      <c r="E68" s="151"/>
      <c r="F6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8" s="151"/>
      <c r="H68" s="151"/>
      <c r="I68" s="151"/>
      <c r="J68" s="151"/>
      <c r="K68" s="151"/>
      <c r="L68" s="153"/>
      <c r="M68" s="30" t="str">
        <f>IF(Inventory_List_Table34111510911[[#This Row],[Q]]&lt;0.1, " ", Inventory_List_Table34111510911[[#This Row],[Q]]*Inventory_List_Table34111510911[[#This Row],[PRICE]])</f>
        <v xml:space="preserve"> </v>
      </c>
      <c r="N68" s="35" t="str">
        <f>IF(Inventory_List_Table34111510911[[#This Row],[Q]]&lt;0.1, " ", Inventory_List_Table34111510911[[#This Row],[KG]]*2.20462)</f>
        <v xml:space="preserve"> </v>
      </c>
      <c r="O68" s="35" t="str">
        <f>IF(Inventory_List_Table34111510911[[#This Row],[Q]]&lt;0.1, " ",Inventory_List_Table34111510911[[#This Row],[H CM]]/2.54)</f>
        <v xml:space="preserve"> </v>
      </c>
      <c r="P68" s="35" t="str">
        <f>IF(Inventory_List_Table34111510911[[#This Row],[Q]]&lt;0.1, " ",Inventory_List_Table34111510911[[#This Row],[W CM]]/2.54)</f>
        <v xml:space="preserve"> </v>
      </c>
      <c r="Q68" s="35" t="str">
        <f>IF(Inventory_List_Table34111510911[[#This Row],[Q]]&lt;0.1, " ",Inventory_List_Table34111510911[[#This Row],[D CM ]]/2.54)</f>
        <v xml:space="preserve"> </v>
      </c>
      <c r="R68" s="30" t="str">
        <f>IF(Inventory_List_Table34111510911[[#This Row],[Q]]&lt;0.1, " ",Inventory_List_Table34111510911[[#This Row],[PRICE]]/$L$1)</f>
        <v xml:space="preserve"> </v>
      </c>
      <c r="S6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8" s="30" t="str">
        <f>IF(Inventory_List_Table34111510911[[#This Row],[Q]]&lt;0.1, " ",Inventory_List_Table34111510911[[#This Row],[AQ RND USD]]*1.4)</f>
        <v xml:space="preserve"> </v>
      </c>
      <c r="U6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8" s="30" t="str">
        <f>IF(Inventory_List_Table34111510911[[#This Row],[Q]]&lt;0.1, " ",Inventory_List_Table34111510911[[#This Row],[LND RND USD]]*12)</f>
        <v xml:space="preserve"> </v>
      </c>
      <c r="W68" s="30" t="str">
        <f>IF(Inventory_List_Table34111510911[[#This Row],[Q]]&lt;0.1, " ",Inventory_List_Table34111510911[[#This Row],[AQ USD]])</f>
        <v xml:space="preserve"> </v>
      </c>
      <c r="X6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8" s="30" t="str">
        <f>IF(Inventory_List_Table34111510911[[#This Row],[Q]]&lt;0.1, " ",Inventory_List_Table34111510911[[#This Row],[PRICE]]/Z68*10000)</f>
        <v xml:space="preserve"> </v>
      </c>
      <c r="AB68" s="150"/>
      <c r="AC68" s="1"/>
      <c r="AD68" s="1"/>
    </row>
    <row r="69" spans="1:30" ht="24" customHeight="1" x14ac:dyDescent="0.3">
      <c r="A69" s="154">
        <v>67</v>
      </c>
      <c r="B69" s="1"/>
      <c r="C69" s="151"/>
      <c r="D69" s="151"/>
      <c r="E69" s="151"/>
      <c r="F6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69" s="151"/>
      <c r="H69" s="151"/>
      <c r="I69" s="151"/>
      <c r="J69" s="151"/>
      <c r="K69" s="151"/>
      <c r="L69" s="153"/>
      <c r="M69" s="30" t="str">
        <f>IF(Inventory_List_Table34111510911[[#This Row],[Q]]&lt;0.1, " ", Inventory_List_Table34111510911[[#This Row],[Q]]*Inventory_List_Table34111510911[[#This Row],[PRICE]])</f>
        <v xml:space="preserve"> </v>
      </c>
      <c r="N69" s="35" t="str">
        <f>IF(Inventory_List_Table34111510911[[#This Row],[Q]]&lt;0.1, " ", Inventory_List_Table34111510911[[#This Row],[KG]]*2.20462)</f>
        <v xml:space="preserve"> </v>
      </c>
      <c r="O69" s="35" t="str">
        <f>IF(Inventory_List_Table34111510911[[#This Row],[Q]]&lt;0.1, " ",Inventory_List_Table34111510911[[#This Row],[H CM]]/2.54)</f>
        <v xml:space="preserve"> </v>
      </c>
      <c r="P69" s="35" t="str">
        <f>IF(Inventory_List_Table34111510911[[#This Row],[Q]]&lt;0.1, " ",Inventory_List_Table34111510911[[#This Row],[W CM]]/2.54)</f>
        <v xml:space="preserve"> </v>
      </c>
      <c r="Q69" s="35" t="str">
        <f>IF(Inventory_List_Table34111510911[[#This Row],[Q]]&lt;0.1, " ",Inventory_List_Table34111510911[[#This Row],[D CM ]]/2.54)</f>
        <v xml:space="preserve"> </v>
      </c>
      <c r="R69" s="30" t="str">
        <f>IF(Inventory_List_Table34111510911[[#This Row],[Q]]&lt;0.1, " ",Inventory_List_Table34111510911[[#This Row],[PRICE]]/$L$1)</f>
        <v xml:space="preserve"> </v>
      </c>
      <c r="S6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69" s="30" t="str">
        <f>IF(Inventory_List_Table34111510911[[#This Row],[Q]]&lt;0.1, " ",Inventory_List_Table34111510911[[#This Row],[AQ RND USD]]*1.4)</f>
        <v xml:space="preserve"> </v>
      </c>
      <c r="U6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69" s="30" t="str">
        <f>IF(Inventory_List_Table34111510911[[#This Row],[Q]]&lt;0.1, " ",Inventory_List_Table34111510911[[#This Row],[LND RND USD]]*12)</f>
        <v xml:space="preserve"> </v>
      </c>
      <c r="W69" s="30" t="str">
        <f>IF(Inventory_List_Table34111510911[[#This Row],[Q]]&lt;0.1, " ",Inventory_List_Table34111510911[[#This Row],[AQ USD]])</f>
        <v xml:space="preserve"> </v>
      </c>
      <c r="X6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6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6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69" s="30" t="str">
        <f>IF(Inventory_List_Table34111510911[[#This Row],[Q]]&lt;0.1, " ",Inventory_List_Table34111510911[[#This Row],[PRICE]]/Z69*10000)</f>
        <v xml:space="preserve"> </v>
      </c>
      <c r="AB69" s="150"/>
      <c r="AC69" s="1"/>
      <c r="AD69" s="1"/>
    </row>
    <row r="70" spans="1:30" ht="24" customHeight="1" x14ac:dyDescent="0.3">
      <c r="A70" s="154">
        <v>68</v>
      </c>
      <c r="B70" s="1"/>
      <c r="C70" s="151"/>
      <c r="D70" s="151"/>
      <c r="E70" s="151"/>
      <c r="F7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0" s="151"/>
      <c r="H70" s="151"/>
      <c r="I70" s="151"/>
      <c r="J70" s="151"/>
      <c r="K70" s="151"/>
      <c r="L70" s="153"/>
      <c r="M70" s="30" t="str">
        <f>IF(Inventory_List_Table34111510911[[#This Row],[Q]]&lt;0.1, " ", Inventory_List_Table34111510911[[#This Row],[Q]]*Inventory_List_Table34111510911[[#This Row],[PRICE]])</f>
        <v xml:space="preserve"> </v>
      </c>
      <c r="N70" s="35" t="str">
        <f>IF(Inventory_List_Table34111510911[[#This Row],[Q]]&lt;0.1, " ", Inventory_List_Table34111510911[[#This Row],[KG]]*2.20462)</f>
        <v xml:space="preserve"> </v>
      </c>
      <c r="O70" s="35" t="str">
        <f>IF(Inventory_List_Table34111510911[[#This Row],[Q]]&lt;0.1, " ",Inventory_List_Table34111510911[[#This Row],[H CM]]/2.54)</f>
        <v xml:space="preserve"> </v>
      </c>
      <c r="P70" s="35" t="str">
        <f>IF(Inventory_List_Table34111510911[[#This Row],[Q]]&lt;0.1, " ",Inventory_List_Table34111510911[[#This Row],[W CM]]/2.54)</f>
        <v xml:space="preserve"> </v>
      </c>
      <c r="Q70" s="35" t="str">
        <f>IF(Inventory_List_Table34111510911[[#This Row],[Q]]&lt;0.1, " ",Inventory_List_Table34111510911[[#This Row],[D CM ]]/2.54)</f>
        <v xml:space="preserve"> </v>
      </c>
      <c r="R70" s="30" t="str">
        <f>IF(Inventory_List_Table34111510911[[#This Row],[Q]]&lt;0.1, " ",Inventory_List_Table34111510911[[#This Row],[PRICE]]/$L$1)</f>
        <v xml:space="preserve"> </v>
      </c>
      <c r="S7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0" s="30" t="str">
        <f>IF(Inventory_List_Table34111510911[[#This Row],[Q]]&lt;0.1, " ",Inventory_List_Table34111510911[[#This Row],[AQ RND USD]]*1.4)</f>
        <v xml:space="preserve"> </v>
      </c>
      <c r="U7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0" s="30" t="str">
        <f>IF(Inventory_List_Table34111510911[[#This Row],[Q]]&lt;0.1, " ",Inventory_List_Table34111510911[[#This Row],[LND RND USD]]*12)</f>
        <v xml:space="preserve"> </v>
      </c>
      <c r="W70" s="30" t="str">
        <f>IF(Inventory_List_Table34111510911[[#This Row],[Q]]&lt;0.1, " ",Inventory_List_Table34111510911[[#This Row],[AQ USD]])</f>
        <v xml:space="preserve"> </v>
      </c>
      <c r="X7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0" s="30" t="str">
        <f>IF(Inventory_List_Table34111510911[[#This Row],[Q]]&lt;0.1, " ",Inventory_List_Table34111510911[[#This Row],[PRICE]]/Z70*10000)</f>
        <v xml:space="preserve"> </v>
      </c>
      <c r="AB70" s="150"/>
      <c r="AC70" s="1"/>
      <c r="AD70" s="1"/>
    </row>
    <row r="71" spans="1:30" ht="24" customHeight="1" x14ac:dyDescent="0.3">
      <c r="A71" s="154">
        <v>69</v>
      </c>
      <c r="B71" s="1"/>
      <c r="C71" s="151"/>
      <c r="D71" s="151"/>
      <c r="E71" s="151"/>
      <c r="F7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1" s="151"/>
      <c r="H71" s="151"/>
      <c r="I71" s="151"/>
      <c r="J71" s="151"/>
      <c r="K71" s="151"/>
      <c r="L71" s="153"/>
      <c r="M71" s="30" t="str">
        <f>IF(Inventory_List_Table34111510911[[#This Row],[Q]]&lt;0.1, " ", Inventory_List_Table34111510911[[#This Row],[Q]]*Inventory_List_Table34111510911[[#This Row],[PRICE]])</f>
        <v xml:space="preserve"> </v>
      </c>
      <c r="N71" s="35" t="str">
        <f>IF(Inventory_List_Table34111510911[[#This Row],[Q]]&lt;0.1, " ", Inventory_List_Table34111510911[[#This Row],[KG]]*2.20462)</f>
        <v xml:space="preserve"> </v>
      </c>
      <c r="O71" s="35" t="str">
        <f>IF(Inventory_List_Table34111510911[[#This Row],[Q]]&lt;0.1, " ",Inventory_List_Table34111510911[[#This Row],[H CM]]/2.54)</f>
        <v xml:space="preserve"> </v>
      </c>
      <c r="P71" s="35" t="str">
        <f>IF(Inventory_List_Table34111510911[[#This Row],[Q]]&lt;0.1, " ",Inventory_List_Table34111510911[[#This Row],[W CM]]/2.54)</f>
        <v xml:space="preserve"> </v>
      </c>
      <c r="Q71" s="35" t="str">
        <f>IF(Inventory_List_Table34111510911[[#This Row],[Q]]&lt;0.1, " ",Inventory_List_Table34111510911[[#This Row],[D CM ]]/2.54)</f>
        <v xml:space="preserve"> </v>
      </c>
      <c r="R71" s="30" t="str">
        <f>IF(Inventory_List_Table34111510911[[#This Row],[Q]]&lt;0.1, " ",Inventory_List_Table34111510911[[#This Row],[PRICE]]/$L$1)</f>
        <v xml:space="preserve"> </v>
      </c>
      <c r="S7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1" s="30" t="str">
        <f>IF(Inventory_List_Table34111510911[[#This Row],[Q]]&lt;0.1, " ",Inventory_List_Table34111510911[[#This Row],[AQ RND USD]]*1.4)</f>
        <v xml:space="preserve"> </v>
      </c>
      <c r="U7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1" s="30" t="str">
        <f>IF(Inventory_List_Table34111510911[[#This Row],[Q]]&lt;0.1, " ",Inventory_List_Table34111510911[[#This Row],[LND RND USD]]*12)</f>
        <v xml:space="preserve"> </v>
      </c>
      <c r="W71" s="30" t="str">
        <f>IF(Inventory_List_Table34111510911[[#This Row],[Q]]&lt;0.1, " ",Inventory_List_Table34111510911[[#This Row],[AQ USD]])</f>
        <v xml:space="preserve"> </v>
      </c>
      <c r="X7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1" s="30" t="str">
        <f>IF(Inventory_List_Table34111510911[[#This Row],[Q]]&lt;0.1, " ",Inventory_List_Table34111510911[[#This Row],[PRICE]]/Z71*10000)</f>
        <v xml:space="preserve"> </v>
      </c>
      <c r="AB71" s="150"/>
      <c r="AC71" s="1"/>
      <c r="AD71" s="1"/>
    </row>
    <row r="72" spans="1:30" ht="24" customHeight="1" x14ac:dyDescent="0.3">
      <c r="A72" s="154">
        <v>70</v>
      </c>
      <c r="B72" s="1"/>
      <c r="C72" s="151"/>
      <c r="D72" s="151"/>
      <c r="E72" s="151"/>
      <c r="F7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2" s="151"/>
      <c r="H72" s="151"/>
      <c r="I72" s="151"/>
      <c r="J72" s="151"/>
      <c r="K72" s="151"/>
      <c r="L72" s="153"/>
      <c r="M72" s="30" t="str">
        <f>IF(Inventory_List_Table34111510911[[#This Row],[Q]]&lt;0.1, " ", Inventory_List_Table34111510911[[#This Row],[Q]]*Inventory_List_Table34111510911[[#This Row],[PRICE]])</f>
        <v xml:space="preserve"> </v>
      </c>
      <c r="N72" s="35" t="str">
        <f>IF(Inventory_List_Table34111510911[[#This Row],[Q]]&lt;0.1, " ", Inventory_List_Table34111510911[[#This Row],[KG]]*2.20462)</f>
        <v xml:space="preserve"> </v>
      </c>
      <c r="O72" s="35" t="str">
        <f>IF(Inventory_List_Table34111510911[[#This Row],[Q]]&lt;0.1, " ",Inventory_List_Table34111510911[[#This Row],[H CM]]/2.54)</f>
        <v xml:space="preserve"> </v>
      </c>
      <c r="P72" s="35" t="str">
        <f>IF(Inventory_List_Table34111510911[[#This Row],[Q]]&lt;0.1, " ",Inventory_List_Table34111510911[[#This Row],[W CM]]/2.54)</f>
        <v xml:space="preserve"> </v>
      </c>
      <c r="Q72" s="35" t="str">
        <f>IF(Inventory_List_Table34111510911[[#This Row],[Q]]&lt;0.1, " ",Inventory_List_Table34111510911[[#This Row],[D CM ]]/2.54)</f>
        <v xml:space="preserve"> </v>
      </c>
      <c r="R72" s="30" t="str">
        <f>IF(Inventory_List_Table34111510911[[#This Row],[Q]]&lt;0.1, " ",Inventory_List_Table34111510911[[#This Row],[PRICE]]/$L$1)</f>
        <v xml:space="preserve"> </v>
      </c>
      <c r="S7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2" s="30" t="str">
        <f>IF(Inventory_List_Table34111510911[[#This Row],[Q]]&lt;0.1, " ",Inventory_List_Table34111510911[[#This Row],[AQ RND USD]]*1.4)</f>
        <v xml:space="preserve"> </v>
      </c>
      <c r="U7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2" s="30" t="str">
        <f>IF(Inventory_List_Table34111510911[[#This Row],[Q]]&lt;0.1, " ",Inventory_List_Table34111510911[[#This Row],[LND RND USD]]*12)</f>
        <v xml:space="preserve"> </v>
      </c>
      <c r="W72" s="30" t="str">
        <f>IF(Inventory_List_Table34111510911[[#This Row],[Q]]&lt;0.1, " ",Inventory_List_Table34111510911[[#This Row],[AQ USD]])</f>
        <v xml:space="preserve"> </v>
      </c>
      <c r="X7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2" s="30" t="str">
        <f>IF(Inventory_List_Table34111510911[[#This Row],[Q]]&lt;0.1, " ",Inventory_List_Table34111510911[[#This Row],[PRICE]]/Z72*10000)</f>
        <v xml:space="preserve"> </v>
      </c>
      <c r="AB72" s="150"/>
      <c r="AC72" s="1"/>
      <c r="AD72" s="1"/>
    </row>
    <row r="73" spans="1:30" ht="24" customHeight="1" x14ac:dyDescent="0.3">
      <c r="A73" s="154">
        <v>71</v>
      </c>
      <c r="B73" s="1"/>
      <c r="C73" s="151"/>
      <c r="D73" s="151"/>
      <c r="E73" s="151"/>
      <c r="F7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3" s="151"/>
      <c r="H73" s="151"/>
      <c r="I73" s="151"/>
      <c r="J73" s="151"/>
      <c r="K73" s="151"/>
      <c r="L73" s="153"/>
      <c r="M73" s="30" t="str">
        <f>IF(Inventory_List_Table34111510911[[#This Row],[Q]]&lt;0.1, " ", Inventory_List_Table34111510911[[#This Row],[Q]]*Inventory_List_Table34111510911[[#This Row],[PRICE]])</f>
        <v xml:space="preserve"> </v>
      </c>
      <c r="N73" s="35" t="str">
        <f>IF(Inventory_List_Table34111510911[[#This Row],[Q]]&lt;0.1, " ", Inventory_List_Table34111510911[[#This Row],[KG]]*2.20462)</f>
        <v xml:space="preserve"> </v>
      </c>
      <c r="O73" s="35" t="str">
        <f>IF(Inventory_List_Table34111510911[[#This Row],[Q]]&lt;0.1, " ",Inventory_List_Table34111510911[[#This Row],[H CM]]/2.54)</f>
        <v xml:space="preserve"> </v>
      </c>
      <c r="P73" s="35" t="str">
        <f>IF(Inventory_List_Table34111510911[[#This Row],[Q]]&lt;0.1, " ",Inventory_List_Table34111510911[[#This Row],[W CM]]/2.54)</f>
        <v xml:space="preserve"> </v>
      </c>
      <c r="Q73" s="35" t="str">
        <f>IF(Inventory_List_Table34111510911[[#This Row],[Q]]&lt;0.1, " ",Inventory_List_Table34111510911[[#This Row],[D CM ]]/2.54)</f>
        <v xml:space="preserve"> </v>
      </c>
      <c r="R73" s="30" t="str">
        <f>IF(Inventory_List_Table34111510911[[#This Row],[Q]]&lt;0.1, " ",Inventory_List_Table34111510911[[#This Row],[PRICE]]/$L$1)</f>
        <v xml:space="preserve"> </v>
      </c>
      <c r="S7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3" s="30" t="str">
        <f>IF(Inventory_List_Table34111510911[[#This Row],[Q]]&lt;0.1, " ",Inventory_List_Table34111510911[[#This Row],[AQ RND USD]]*1.4)</f>
        <v xml:space="preserve"> </v>
      </c>
      <c r="U7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3" s="30" t="str">
        <f>IF(Inventory_List_Table34111510911[[#This Row],[Q]]&lt;0.1, " ",Inventory_List_Table34111510911[[#This Row],[LND RND USD]]*12)</f>
        <v xml:space="preserve"> </v>
      </c>
      <c r="W73" s="30" t="str">
        <f>IF(Inventory_List_Table34111510911[[#This Row],[Q]]&lt;0.1, " ",Inventory_List_Table34111510911[[#This Row],[AQ USD]])</f>
        <v xml:space="preserve"> </v>
      </c>
      <c r="X7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3" s="30" t="str">
        <f>IF(Inventory_List_Table34111510911[[#This Row],[Q]]&lt;0.1, " ",Inventory_List_Table34111510911[[#This Row],[PRICE]]/Z73*10000)</f>
        <v xml:space="preserve"> </v>
      </c>
      <c r="AB73" s="150"/>
      <c r="AC73" s="1"/>
      <c r="AD73" s="1"/>
    </row>
    <row r="74" spans="1:30" ht="24" customHeight="1" x14ac:dyDescent="0.3">
      <c r="A74" s="154">
        <v>72</v>
      </c>
      <c r="B74" s="1"/>
      <c r="C74" s="151"/>
      <c r="D74" s="151"/>
      <c r="E74" s="151"/>
      <c r="F7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4" s="151"/>
      <c r="H74" s="151"/>
      <c r="I74" s="151"/>
      <c r="J74" s="151"/>
      <c r="K74" s="151"/>
      <c r="L74" s="153"/>
      <c r="M74" s="30" t="str">
        <f>IF(Inventory_List_Table34111510911[[#This Row],[Q]]&lt;0.1, " ", Inventory_List_Table34111510911[[#This Row],[Q]]*Inventory_List_Table34111510911[[#This Row],[PRICE]])</f>
        <v xml:space="preserve"> </v>
      </c>
      <c r="N74" s="35" t="str">
        <f>IF(Inventory_List_Table34111510911[[#This Row],[Q]]&lt;0.1, " ", Inventory_List_Table34111510911[[#This Row],[KG]]*2.20462)</f>
        <v xml:space="preserve"> </v>
      </c>
      <c r="O74" s="35" t="str">
        <f>IF(Inventory_List_Table34111510911[[#This Row],[Q]]&lt;0.1, " ",Inventory_List_Table34111510911[[#This Row],[H CM]]/2.54)</f>
        <v xml:space="preserve"> </v>
      </c>
      <c r="P74" s="35" t="str">
        <f>IF(Inventory_List_Table34111510911[[#This Row],[Q]]&lt;0.1, " ",Inventory_List_Table34111510911[[#This Row],[W CM]]/2.54)</f>
        <v xml:space="preserve"> </v>
      </c>
      <c r="Q74" s="35" t="str">
        <f>IF(Inventory_List_Table34111510911[[#This Row],[Q]]&lt;0.1, " ",Inventory_List_Table34111510911[[#This Row],[D CM ]]/2.54)</f>
        <v xml:space="preserve"> </v>
      </c>
      <c r="R74" s="30" t="str">
        <f>IF(Inventory_List_Table34111510911[[#This Row],[Q]]&lt;0.1, " ",Inventory_List_Table34111510911[[#This Row],[PRICE]]/$L$1)</f>
        <v xml:space="preserve"> </v>
      </c>
      <c r="S7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4" s="30" t="str">
        <f>IF(Inventory_List_Table34111510911[[#This Row],[Q]]&lt;0.1, " ",Inventory_List_Table34111510911[[#This Row],[AQ RND USD]]*1.4)</f>
        <v xml:space="preserve"> </v>
      </c>
      <c r="U7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4" s="30" t="str">
        <f>IF(Inventory_List_Table34111510911[[#This Row],[Q]]&lt;0.1, " ",Inventory_List_Table34111510911[[#This Row],[LND RND USD]]*12)</f>
        <v xml:space="preserve"> </v>
      </c>
      <c r="W74" s="30" t="str">
        <f>IF(Inventory_List_Table34111510911[[#This Row],[Q]]&lt;0.1, " ",Inventory_List_Table34111510911[[#This Row],[AQ USD]])</f>
        <v xml:space="preserve"> </v>
      </c>
      <c r="X7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4" s="30" t="str">
        <f>IF(Inventory_List_Table34111510911[[#This Row],[Q]]&lt;0.1, " ",Inventory_List_Table34111510911[[#This Row],[PRICE]]/Z74*10000)</f>
        <v xml:space="preserve"> </v>
      </c>
      <c r="AB74" s="150"/>
      <c r="AC74" s="1"/>
      <c r="AD74" s="1"/>
    </row>
    <row r="75" spans="1:30" ht="24" customHeight="1" x14ac:dyDescent="0.3">
      <c r="A75" s="154">
        <v>73</v>
      </c>
      <c r="B75" s="1"/>
      <c r="C75" s="151"/>
      <c r="D75" s="151"/>
      <c r="E75" s="151"/>
      <c r="F7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5" s="151"/>
      <c r="H75" s="151"/>
      <c r="I75" s="151"/>
      <c r="J75" s="151"/>
      <c r="K75" s="151"/>
      <c r="L75" s="153"/>
      <c r="M75" s="30" t="str">
        <f>IF(Inventory_List_Table34111510911[[#This Row],[Q]]&lt;0.1, " ", Inventory_List_Table34111510911[[#This Row],[Q]]*Inventory_List_Table34111510911[[#This Row],[PRICE]])</f>
        <v xml:space="preserve"> </v>
      </c>
      <c r="N75" s="35" t="str">
        <f>IF(Inventory_List_Table34111510911[[#This Row],[Q]]&lt;0.1, " ", Inventory_List_Table34111510911[[#This Row],[KG]]*2.20462)</f>
        <v xml:space="preserve"> </v>
      </c>
      <c r="O75" s="35" t="str">
        <f>IF(Inventory_List_Table34111510911[[#This Row],[Q]]&lt;0.1, " ",Inventory_List_Table34111510911[[#This Row],[H CM]]/2.54)</f>
        <v xml:space="preserve"> </v>
      </c>
      <c r="P75" s="35" t="str">
        <f>IF(Inventory_List_Table34111510911[[#This Row],[Q]]&lt;0.1, " ",Inventory_List_Table34111510911[[#This Row],[W CM]]/2.54)</f>
        <v xml:space="preserve"> </v>
      </c>
      <c r="Q75" s="35" t="str">
        <f>IF(Inventory_List_Table34111510911[[#This Row],[Q]]&lt;0.1, " ",Inventory_List_Table34111510911[[#This Row],[D CM ]]/2.54)</f>
        <v xml:space="preserve"> </v>
      </c>
      <c r="R75" s="30" t="str">
        <f>IF(Inventory_List_Table34111510911[[#This Row],[Q]]&lt;0.1, " ",Inventory_List_Table34111510911[[#This Row],[PRICE]]/$L$1)</f>
        <v xml:space="preserve"> </v>
      </c>
      <c r="S7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5" s="30" t="str">
        <f>IF(Inventory_List_Table34111510911[[#This Row],[Q]]&lt;0.1, " ",Inventory_List_Table34111510911[[#This Row],[AQ RND USD]]*1.4)</f>
        <v xml:space="preserve"> </v>
      </c>
      <c r="U7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5" s="30" t="str">
        <f>IF(Inventory_List_Table34111510911[[#This Row],[Q]]&lt;0.1, " ",Inventory_List_Table34111510911[[#This Row],[LND RND USD]]*12)</f>
        <v xml:space="preserve"> </v>
      </c>
      <c r="W75" s="30" t="str">
        <f>IF(Inventory_List_Table34111510911[[#This Row],[Q]]&lt;0.1, " ",Inventory_List_Table34111510911[[#This Row],[AQ USD]])</f>
        <v xml:space="preserve"> </v>
      </c>
      <c r="X7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5" s="30" t="str">
        <f>IF(Inventory_List_Table34111510911[[#This Row],[Q]]&lt;0.1, " ",Inventory_List_Table34111510911[[#This Row],[PRICE]]/Z75*10000)</f>
        <v xml:space="preserve"> </v>
      </c>
      <c r="AB75" s="150"/>
      <c r="AC75" s="1"/>
      <c r="AD75" s="1"/>
    </row>
    <row r="76" spans="1:30" ht="24" customHeight="1" x14ac:dyDescent="0.3">
      <c r="A76" s="154">
        <v>74</v>
      </c>
      <c r="B76" s="1"/>
      <c r="C76" s="151"/>
      <c r="D76" s="151"/>
      <c r="E76" s="151"/>
      <c r="F7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6" s="151"/>
      <c r="H76" s="151"/>
      <c r="I76" s="151"/>
      <c r="J76" s="151"/>
      <c r="K76" s="151"/>
      <c r="L76" s="153"/>
      <c r="M76" s="30" t="str">
        <f>IF(Inventory_List_Table34111510911[[#This Row],[Q]]&lt;0.1, " ", Inventory_List_Table34111510911[[#This Row],[Q]]*Inventory_List_Table34111510911[[#This Row],[PRICE]])</f>
        <v xml:space="preserve"> </v>
      </c>
      <c r="N76" s="35" t="str">
        <f>IF(Inventory_List_Table34111510911[[#This Row],[Q]]&lt;0.1, " ", Inventory_List_Table34111510911[[#This Row],[KG]]*2.20462)</f>
        <v xml:space="preserve"> </v>
      </c>
      <c r="O76" s="35" t="str">
        <f>IF(Inventory_List_Table34111510911[[#This Row],[Q]]&lt;0.1, " ",Inventory_List_Table34111510911[[#This Row],[H CM]]/2.54)</f>
        <v xml:space="preserve"> </v>
      </c>
      <c r="P76" s="35" t="str">
        <f>IF(Inventory_List_Table34111510911[[#This Row],[Q]]&lt;0.1, " ",Inventory_List_Table34111510911[[#This Row],[W CM]]/2.54)</f>
        <v xml:space="preserve"> </v>
      </c>
      <c r="Q76" s="35" t="str">
        <f>IF(Inventory_List_Table34111510911[[#This Row],[Q]]&lt;0.1, " ",Inventory_List_Table34111510911[[#This Row],[D CM ]]/2.54)</f>
        <v xml:space="preserve"> </v>
      </c>
      <c r="R76" s="30" t="str">
        <f>IF(Inventory_List_Table34111510911[[#This Row],[Q]]&lt;0.1, " ",Inventory_List_Table34111510911[[#This Row],[PRICE]]/$L$1)</f>
        <v xml:space="preserve"> </v>
      </c>
      <c r="S7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6" s="30" t="str">
        <f>IF(Inventory_List_Table34111510911[[#This Row],[Q]]&lt;0.1, " ",Inventory_List_Table34111510911[[#This Row],[AQ RND USD]]*1.4)</f>
        <v xml:space="preserve"> </v>
      </c>
      <c r="U7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6" s="30" t="str">
        <f>IF(Inventory_List_Table34111510911[[#This Row],[Q]]&lt;0.1, " ",Inventory_List_Table34111510911[[#This Row],[LND RND USD]]*12)</f>
        <v xml:space="preserve"> </v>
      </c>
      <c r="W76" s="30" t="str">
        <f>IF(Inventory_List_Table34111510911[[#This Row],[Q]]&lt;0.1, " ",Inventory_List_Table34111510911[[#This Row],[AQ USD]])</f>
        <v xml:space="preserve"> </v>
      </c>
      <c r="X7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6" s="30" t="str">
        <f>IF(Inventory_List_Table34111510911[[#This Row],[Q]]&lt;0.1, " ",Inventory_List_Table34111510911[[#This Row],[PRICE]]/Z76*10000)</f>
        <v xml:space="preserve"> </v>
      </c>
      <c r="AB76" s="150"/>
      <c r="AC76" s="1"/>
      <c r="AD76" s="1"/>
    </row>
    <row r="77" spans="1:30" ht="24" customHeight="1" x14ac:dyDescent="0.3">
      <c r="A77" s="154">
        <v>75</v>
      </c>
      <c r="B77" s="1"/>
      <c r="C77" s="151"/>
      <c r="D77" s="151"/>
      <c r="E77" s="151"/>
      <c r="F7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7" s="151"/>
      <c r="H77" s="151"/>
      <c r="I77" s="151"/>
      <c r="J77" s="151"/>
      <c r="K77" s="151"/>
      <c r="L77" s="153"/>
      <c r="M77" s="30" t="str">
        <f>IF(Inventory_List_Table34111510911[[#This Row],[Q]]&lt;0.1, " ", Inventory_List_Table34111510911[[#This Row],[Q]]*Inventory_List_Table34111510911[[#This Row],[PRICE]])</f>
        <v xml:space="preserve"> </v>
      </c>
      <c r="N77" s="35" t="str">
        <f>IF(Inventory_List_Table34111510911[[#This Row],[Q]]&lt;0.1, " ", Inventory_List_Table34111510911[[#This Row],[KG]]*2.20462)</f>
        <v xml:space="preserve"> </v>
      </c>
      <c r="O77" s="35" t="str">
        <f>IF(Inventory_List_Table34111510911[[#This Row],[Q]]&lt;0.1, " ",Inventory_List_Table34111510911[[#This Row],[H CM]]/2.54)</f>
        <v xml:space="preserve"> </v>
      </c>
      <c r="P77" s="35" t="str">
        <f>IF(Inventory_List_Table34111510911[[#This Row],[Q]]&lt;0.1, " ",Inventory_List_Table34111510911[[#This Row],[W CM]]/2.54)</f>
        <v xml:space="preserve"> </v>
      </c>
      <c r="Q77" s="35" t="str">
        <f>IF(Inventory_List_Table34111510911[[#This Row],[Q]]&lt;0.1, " ",Inventory_List_Table34111510911[[#This Row],[D CM ]]/2.54)</f>
        <v xml:space="preserve"> </v>
      </c>
      <c r="R77" s="30" t="str">
        <f>IF(Inventory_List_Table34111510911[[#This Row],[Q]]&lt;0.1, " ",Inventory_List_Table34111510911[[#This Row],[PRICE]]/$L$1)</f>
        <v xml:space="preserve"> </v>
      </c>
      <c r="S7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7" s="30" t="str">
        <f>IF(Inventory_List_Table34111510911[[#This Row],[Q]]&lt;0.1, " ",Inventory_List_Table34111510911[[#This Row],[AQ RND USD]]*1.4)</f>
        <v xml:space="preserve"> </v>
      </c>
      <c r="U7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7" s="30" t="str">
        <f>IF(Inventory_List_Table34111510911[[#This Row],[Q]]&lt;0.1, " ",Inventory_List_Table34111510911[[#This Row],[LND RND USD]]*12)</f>
        <v xml:space="preserve"> </v>
      </c>
      <c r="W77" s="30" t="str">
        <f>IF(Inventory_List_Table34111510911[[#This Row],[Q]]&lt;0.1, " ",Inventory_List_Table34111510911[[#This Row],[AQ USD]])</f>
        <v xml:space="preserve"> </v>
      </c>
      <c r="X7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7" s="30" t="str">
        <f>IF(Inventory_List_Table34111510911[[#This Row],[Q]]&lt;0.1, " ",Inventory_List_Table34111510911[[#This Row],[PRICE]]/Z77*10000)</f>
        <v xml:space="preserve"> </v>
      </c>
      <c r="AB77" s="150"/>
      <c r="AC77" s="1"/>
      <c r="AD77" s="1"/>
    </row>
    <row r="78" spans="1:30" ht="24" customHeight="1" x14ac:dyDescent="0.3">
      <c r="A78" s="154">
        <v>76</v>
      </c>
      <c r="B78" s="1"/>
      <c r="C78" s="151"/>
      <c r="D78" s="151"/>
      <c r="E78" s="151"/>
      <c r="F7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8" s="151"/>
      <c r="H78" s="151"/>
      <c r="I78" s="151"/>
      <c r="J78" s="151"/>
      <c r="K78" s="151"/>
      <c r="L78" s="153"/>
      <c r="M78" s="30" t="str">
        <f>IF(Inventory_List_Table34111510911[[#This Row],[Q]]&lt;0.1, " ", Inventory_List_Table34111510911[[#This Row],[Q]]*Inventory_List_Table34111510911[[#This Row],[PRICE]])</f>
        <v xml:space="preserve"> </v>
      </c>
      <c r="N78" s="35" t="str">
        <f>IF(Inventory_List_Table34111510911[[#This Row],[Q]]&lt;0.1, " ", Inventory_List_Table34111510911[[#This Row],[KG]]*2.20462)</f>
        <v xml:space="preserve"> </v>
      </c>
      <c r="O78" s="35" t="str">
        <f>IF(Inventory_List_Table34111510911[[#This Row],[Q]]&lt;0.1, " ",Inventory_List_Table34111510911[[#This Row],[H CM]]/2.54)</f>
        <v xml:space="preserve"> </v>
      </c>
      <c r="P78" s="35" t="str">
        <f>IF(Inventory_List_Table34111510911[[#This Row],[Q]]&lt;0.1, " ",Inventory_List_Table34111510911[[#This Row],[W CM]]/2.54)</f>
        <v xml:space="preserve"> </v>
      </c>
      <c r="Q78" s="35" t="str">
        <f>IF(Inventory_List_Table34111510911[[#This Row],[Q]]&lt;0.1, " ",Inventory_List_Table34111510911[[#This Row],[D CM ]]/2.54)</f>
        <v xml:space="preserve"> </v>
      </c>
      <c r="R78" s="30" t="str">
        <f>IF(Inventory_List_Table34111510911[[#This Row],[Q]]&lt;0.1, " ",Inventory_List_Table34111510911[[#This Row],[PRICE]]/$L$1)</f>
        <v xml:space="preserve"> </v>
      </c>
      <c r="S7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8" s="30" t="str">
        <f>IF(Inventory_List_Table34111510911[[#This Row],[Q]]&lt;0.1, " ",Inventory_List_Table34111510911[[#This Row],[AQ RND USD]]*1.4)</f>
        <v xml:space="preserve"> </v>
      </c>
      <c r="U7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8" s="30" t="str">
        <f>IF(Inventory_List_Table34111510911[[#This Row],[Q]]&lt;0.1, " ",Inventory_List_Table34111510911[[#This Row],[LND RND USD]]*12)</f>
        <v xml:space="preserve"> </v>
      </c>
      <c r="W78" s="30" t="str">
        <f>IF(Inventory_List_Table34111510911[[#This Row],[Q]]&lt;0.1, " ",Inventory_List_Table34111510911[[#This Row],[AQ USD]])</f>
        <v xml:space="preserve"> </v>
      </c>
      <c r="X7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8" s="30" t="str">
        <f>IF(Inventory_List_Table34111510911[[#This Row],[Q]]&lt;0.1, " ",Inventory_List_Table34111510911[[#This Row],[PRICE]]/Z78*10000)</f>
        <v xml:space="preserve"> </v>
      </c>
      <c r="AB78" s="150"/>
      <c r="AC78" s="1"/>
      <c r="AD78" s="1"/>
    </row>
    <row r="79" spans="1:30" ht="24" customHeight="1" x14ac:dyDescent="0.3">
      <c r="A79" s="154">
        <v>77</v>
      </c>
      <c r="B79" s="1"/>
      <c r="C79" s="151"/>
      <c r="D79" s="151"/>
      <c r="E79" s="151"/>
      <c r="F7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79" s="151"/>
      <c r="H79" s="151"/>
      <c r="I79" s="151"/>
      <c r="J79" s="151"/>
      <c r="K79" s="151"/>
      <c r="L79" s="153"/>
      <c r="M79" s="30" t="str">
        <f>IF(Inventory_List_Table34111510911[[#This Row],[Q]]&lt;0.1, " ", Inventory_List_Table34111510911[[#This Row],[Q]]*Inventory_List_Table34111510911[[#This Row],[PRICE]])</f>
        <v xml:space="preserve"> </v>
      </c>
      <c r="N79" s="35" t="str">
        <f>IF(Inventory_List_Table34111510911[[#This Row],[Q]]&lt;0.1, " ", Inventory_List_Table34111510911[[#This Row],[KG]]*2.20462)</f>
        <v xml:space="preserve"> </v>
      </c>
      <c r="O79" s="35" t="str">
        <f>IF(Inventory_List_Table34111510911[[#This Row],[Q]]&lt;0.1, " ",Inventory_List_Table34111510911[[#This Row],[H CM]]/2.54)</f>
        <v xml:space="preserve"> </v>
      </c>
      <c r="P79" s="35" t="str">
        <f>IF(Inventory_List_Table34111510911[[#This Row],[Q]]&lt;0.1, " ",Inventory_List_Table34111510911[[#This Row],[W CM]]/2.54)</f>
        <v xml:space="preserve"> </v>
      </c>
      <c r="Q79" s="35" t="str">
        <f>IF(Inventory_List_Table34111510911[[#This Row],[Q]]&lt;0.1, " ",Inventory_List_Table34111510911[[#This Row],[D CM ]]/2.54)</f>
        <v xml:space="preserve"> </v>
      </c>
      <c r="R79" s="30" t="str">
        <f>IF(Inventory_List_Table34111510911[[#This Row],[Q]]&lt;0.1, " ",Inventory_List_Table34111510911[[#This Row],[PRICE]]/$L$1)</f>
        <v xml:space="preserve"> </v>
      </c>
      <c r="S7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79" s="30" t="str">
        <f>IF(Inventory_List_Table34111510911[[#This Row],[Q]]&lt;0.1, " ",Inventory_List_Table34111510911[[#This Row],[AQ RND USD]]*1.4)</f>
        <v xml:space="preserve"> </v>
      </c>
      <c r="U7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79" s="30" t="str">
        <f>IF(Inventory_List_Table34111510911[[#This Row],[Q]]&lt;0.1, " ",Inventory_List_Table34111510911[[#This Row],[LND RND USD]]*12)</f>
        <v xml:space="preserve"> </v>
      </c>
      <c r="W79" s="30" t="str">
        <f>IF(Inventory_List_Table34111510911[[#This Row],[Q]]&lt;0.1, " ",Inventory_List_Table34111510911[[#This Row],[AQ USD]])</f>
        <v xml:space="preserve"> </v>
      </c>
      <c r="X7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7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7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79" s="30" t="str">
        <f>IF(Inventory_List_Table34111510911[[#This Row],[Q]]&lt;0.1, " ",Inventory_List_Table34111510911[[#This Row],[PRICE]]/Z79*10000)</f>
        <v xml:space="preserve"> </v>
      </c>
      <c r="AB79" s="150"/>
      <c r="AC79" s="1"/>
      <c r="AD79" s="1"/>
    </row>
    <row r="80" spans="1:30" ht="24" customHeight="1" x14ac:dyDescent="0.3">
      <c r="A80" s="154">
        <v>78</v>
      </c>
      <c r="B80" s="1"/>
      <c r="C80" s="151"/>
      <c r="D80" s="151"/>
      <c r="E80" s="151"/>
      <c r="F8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0" s="151"/>
      <c r="H80" s="151"/>
      <c r="I80" s="151"/>
      <c r="J80" s="151"/>
      <c r="K80" s="151"/>
      <c r="L80" s="153"/>
      <c r="M80" s="30" t="str">
        <f>IF(Inventory_List_Table34111510911[[#This Row],[Q]]&lt;0.1, " ", Inventory_List_Table34111510911[[#This Row],[Q]]*Inventory_List_Table34111510911[[#This Row],[PRICE]])</f>
        <v xml:space="preserve"> </v>
      </c>
      <c r="N80" s="35" t="str">
        <f>IF(Inventory_List_Table34111510911[[#This Row],[Q]]&lt;0.1, " ", Inventory_List_Table34111510911[[#This Row],[KG]]*2.20462)</f>
        <v xml:space="preserve"> </v>
      </c>
      <c r="O80" s="35" t="str">
        <f>IF(Inventory_List_Table34111510911[[#This Row],[Q]]&lt;0.1, " ",Inventory_List_Table34111510911[[#This Row],[H CM]]/2.54)</f>
        <v xml:space="preserve"> </v>
      </c>
      <c r="P80" s="35" t="str">
        <f>IF(Inventory_List_Table34111510911[[#This Row],[Q]]&lt;0.1, " ",Inventory_List_Table34111510911[[#This Row],[W CM]]/2.54)</f>
        <v xml:space="preserve"> </v>
      </c>
      <c r="Q80" s="35" t="str">
        <f>IF(Inventory_List_Table34111510911[[#This Row],[Q]]&lt;0.1, " ",Inventory_List_Table34111510911[[#This Row],[D CM ]]/2.54)</f>
        <v xml:space="preserve"> </v>
      </c>
      <c r="R80" s="30" t="str">
        <f>IF(Inventory_List_Table34111510911[[#This Row],[Q]]&lt;0.1, " ",Inventory_List_Table34111510911[[#This Row],[PRICE]]/$L$1)</f>
        <v xml:space="preserve"> </v>
      </c>
      <c r="S8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0" s="30" t="str">
        <f>IF(Inventory_List_Table34111510911[[#This Row],[Q]]&lt;0.1, " ",Inventory_List_Table34111510911[[#This Row],[AQ RND USD]]*1.4)</f>
        <v xml:space="preserve"> </v>
      </c>
      <c r="U8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0" s="30" t="str">
        <f>IF(Inventory_List_Table34111510911[[#This Row],[Q]]&lt;0.1, " ",Inventory_List_Table34111510911[[#This Row],[LND RND USD]]*12)</f>
        <v xml:space="preserve"> </v>
      </c>
      <c r="W80" s="30" t="str">
        <f>IF(Inventory_List_Table34111510911[[#This Row],[Q]]&lt;0.1, " ",Inventory_List_Table34111510911[[#This Row],[AQ USD]])</f>
        <v xml:space="preserve"> </v>
      </c>
      <c r="X8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0" s="30" t="str">
        <f>IF(Inventory_List_Table34111510911[[#This Row],[Q]]&lt;0.1, " ",Inventory_List_Table34111510911[[#This Row],[PRICE]]/Z80*10000)</f>
        <v xml:space="preserve"> </v>
      </c>
      <c r="AB80" s="150"/>
      <c r="AC80" s="1"/>
      <c r="AD80" s="1"/>
    </row>
    <row r="81" spans="1:30" ht="24" customHeight="1" x14ac:dyDescent="0.3">
      <c r="A81" s="154">
        <v>79</v>
      </c>
      <c r="B81" s="1"/>
      <c r="C81" s="151"/>
      <c r="D81" s="151"/>
      <c r="E81" s="151"/>
      <c r="F8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1" s="151"/>
      <c r="H81" s="151"/>
      <c r="I81" s="151"/>
      <c r="J81" s="151"/>
      <c r="K81" s="151"/>
      <c r="L81" s="153"/>
      <c r="M81" s="30" t="str">
        <f>IF(Inventory_List_Table34111510911[[#This Row],[Q]]&lt;0.1, " ", Inventory_List_Table34111510911[[#This Row],[Q]]*Inventory_List_Table34111510911[[#This Row],[PRICE]])</f>
        <v xml:space="preserve"> </v>
      </c>
      <c r="N81" s="35" t="str">
        <f>IF(Inventory_List_Table34111510911[[#This Row],[Q]]&lt;0.1, " ", Inventory_List_Table34111510911[[#This Row],[KG]]*2.20462)</f>
        <v xml:space="preserve"> </v>
      </c>
      <c r="O81" s="35" t="str">
        <f>IF(Inventory_List_Table34111510911[[#This Row],[Q]]&lt;0.1, " ",Inventory_List_Table34111510911[[#This Row],[H CM]]/2.54)</f>
        <v xml:space="preserve"> </v>
      </c>
      <c r="P81" s="35" t="str">
        <f>IF(Inventory_List_Table34111510911[[#This Row],[Q]]&lt;0.1, " ",Inventory_List_Table34111510911[[#This Row],[W CM]]/2.54)</f>
        <v xml:space="preserve"> </v>
      </c>
      <c r="Q81" s="35" t="str">
        <f>IF(Inventory_List_Table34111510911[[#This Row],[Q]]&lt;0.1, " ",Inventory_List_Table34111510911[[#This Row],[D CM ]]/2.54)</f>
        <v xml:space="preserve"> </v>
      </c>
      <c r="R81" s="30" t="str">
        <f>IF(Inventory_List_Table34111510911[[#This Row],[Q]]&lt;0.1, " ",Inventory_List_Table34111510911[[#This Row],[PRICE]]/$L$1)</f>
        <v xml:space="preserve"> </v>
      </c>
      <c r="S8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1" s="30" t="str">
        <f>IF(Inventory_List_Table34111510911[[#This Row],[Q]]&lt;0.1, " ",Inventory_List_Table34111510911[[#This Row],[AQ RND USD]]*1.4)</f>
        <v xml:space="preserve"> </v>
      </c>
      <c r="U8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1" s="30" t="str">
        <f>IF(Inventory_List_Table34111510911[[#This Row],[Q]]&lt;0.1, " ",Inventory_List_Table34111510911[[#This Row],[LND RND USD]]*12)</f>
        <v xml:space="preserve"> </v>
      </c>
      <c r="W81" s="30" t="str">
        <f>IF(Inventory_List_Table34111510911[[#This Row],[Q]]&lt;0.1, " ",Inventory_List_Table34111510911[[#This Row],[AQ USD]])</f>
        <v xml:space="preserve"> </v>
      </c>
      <c r="X8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1" s="30" t="str">
        <f>IF(Inventory_List_Table34111510911[[#This Row],[Q]]&lt;0.1, " ",Inventory_List_Table34111510911[[#This Row],[PRICE]]/Z81*10000)</f>
        <v xml:space="preserve"> </v>
      </c>
      <c r="AB81" s="150"/>
      <c r="AC81" s="1"/>
      <c r="AD81" s="1"/>
    </row>
    <row r="82" spans="1:30" ht="24" customHeight="1" x14ac:dyDescent="0.3">
      <c r="A82" s="154">
        <v>80</v>
      </c>
      <c r="B82" s="1"/>
      <c r="C82" s="151"/>
      <c r="D82" s="151"/>
      <c r="E82" s="151"/>
      <c r="F8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2" s="151"/>
      <c r="H82" s="151"/>
      <c r="I82" s="151"/>
      <c r="J82" s="151"/>
      <c r="K82" s="151"/>
      <c r="L82" s="153"/>
      <c r="M82" s="30" t="str">
        <f>IF(Inventory_List_Table34111510911[[#This Row],[Q]]&lt;0.1, " ", Inventory_List_Table34111510911[[#This Row],[Q]]*Inventory_List_Table34111510911[[#This Row],[PRICE]])</f>
        <v xml:space="preserve"> </v>
      </c>
      <c r="N82" s="35" t="str">
        <f>IF(Inventory_List_Table34111510911[[#This Row],[Q]]&lt;0.1, " ", Inventory_List_Table34111510911[[#This Row],[KG]]*2.20462)</f>
        <v xml:space="preserve"> </v>
      </c>
      <c r="O82" s="35" t="str">
        <f>IF(Inventory_List_Table34111510911[[#This Row],[Q]]&lt;0.1, " ",Inventory_List_Table34111510911[[#This Row],[H CM]]/2.54)</f>
        <v xml:space="preserve"> </v>
      </c>
      <c r="P82" s="35" t="str">
        <f>IF(Inventory_List_Table34111510911[[#This Row],[Q]]&lt;0.1, " ",Inventory_List_Table34111510911[[#This Row],[W CM]]/2.54)</f>
        <v xml:space="preserve"> </v>
      </c>
      <c r="Q82" s="35" t="str">
        <f>IF(Inventory_List_Table34111510911[[#This Row],[Q]]&lt;0.1, " ",Inventory_List_Table34111510911[[#This Row],[D CM ]]/2.54)</f>
        <v xml:space="preserve"> </v>
      </c>
      <c r="R82" s="30" t="str">
        <f>IF(Inventory_List_Table34111510911[[#This Row],[Q]]&lt;0.1, " ",Inventory_List_Table34111510911[[#This Row],[PRICE]]/$L$1)</f>
        <v xml:space="preserve"> </v>
      </c>
      <c r="S8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2" s="30" t="str">
        <f>IF(Inventory_List_Table34111510911[[#This Row],[Q]]&lt;0.1, " ",Inventory_List_Table34111510911[[#This Row],[AQ RND USD]]*1.4)</f>
        <v xml:space="preserve"> </v>
      </c>
      <c r="U8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2" s="30" t="str">
        <f>IF(Inventory_List_Table34111510911[[#This Row],[Q]]&lt;0.1, " ",Inventory_List_Table34111510911[[#This Row],[LND RND USD]]*12)</f>
        <v xml:space="preserve"> </v>
      </c>
      <c r="W82" s="30" t="str">
        <f>IF(Inventory_List_Table34111510911[[#This Row],[Q]]&lt;0.1, " ",Inventory_List_Table34111510911[[#This Row],[AQ USD]])</f>
        <v xml:space="preserve"> </v>
      </c>
      <c r="X8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2" s="30" t="str">
        <f>IF(Inventory_List_Table34111510911[[#This Row],[Q]]&lt;0.1, " ",Inventory_List_Table34111510911[[#This Row],[PRICE]]/Z82*10000)</f>
        <v xml:space="preserve"> </v>
      </c>
      <c r="AB82" s="150"/>
      <c r="AC82" s="1"/>
      <c r="AD82" s="1"/>
    </row>
    <row r="83" spans="1:30" ht="24" customHeight="1" x14ac:dyDescent="0.3">
      <c r="A83" s="154">
        <v>81</v>
      </c>
      <c r="B83" s="1"/>
      <c r="C83" s="151"/>
      <c r="D83" s="151"/>
      <c r="E83" s="151"/>
      <c r="F8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3" s="151"/>
      <c r="H83" s="151"/>
      <c r="I83" s="151"/>
      <c r="J83" s="151"/>
      <c r="K83" s="151"/>
      <c r="L83" s="153"/>
      <c r="M83" s="30" t="str">
        <f>IF(Inventory_List_Table34111510911[[#This Row],[Q]]&lt;0.1, " ", Inventory_List_Table34111510911[[#This Row],[Q]]*Inventory_List_Table34111510911[[#This Row],[PRICE]])</f>
        <v xml:space="preserve"> </v>
      </c>
      <c r="N83" s="35" t="str">
        <f>IF(Inventory_List_Table34111510911[[#This Row],[Q]]&lt;0.1, " ", Inventory_List_Table34111510911[[#This Row],[KG]]*2.20462)</f>
        <v xml:space="preserve"> </v>
      </c>
      <c r="O83" s="35" t="str">
        <f>IF(Inventory_List_Table34111510911[[#This Row],[Q]]&lt;0.1, " ",Inventory_List_Table34111510911[[#This Row],[H CM]]/2.54)</f>
        <v xml:space="preserve"> </v>
      </c>
      <c r="P83" s="35" t="str">
        <f>IF(Inventory_List_Table34111510911[[#This Row],[Q]]&lt;0.1, " ",Inventory_List_Table34111510911[[#This Row],[W CM]]/2.54)</f>
        <v xml:space="preserve"> </v>
      </c>
      <c r="Q83" s="35" t="str">
        <f>IF(Inventory_List_Table34111510911[[#This Row],[Q]]&lt;0.1, " ",Inventory_List_Table34111510911[[#This Row],[D CM ]]/2.54)</f>
        <v xml:space="preserve"> </v>
      </c>
      <c r="R83" s="30" t="str">
        <f>IF(Inventory_List_Table34111510911[[#This Row],[Q]]&lt;0.1, " ",Inventory_List_Table34111510911[[#This Row],[PRICE]]/$L$1)</f>
        <v xml:space="preserve"> </v>
      </c>
      <c r="S8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3" s="30" t="str">
        <f>IF(Inventory_List_Table34111510911[[#This Row],[Q]]&lt;0.1, " ",Inventory_List_Table34111510911[[#This Row],[AQ RND USD]]*1.4)</f>
        <v xml:space="preserve"> </v>
      </c>
      <c r="U8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3" s="30" t="str">
        <f>IF(Inventory_List_Table34111510911[[#This Row],[Q]]&lt;0.1, " ",Inventory_List_Table34111510911[[#This Row],[LND RND USD]]*12)</f>
        <v xml:space="preserve"> </v>
      </c>
      <c r="W83" s="30" t="str">
        <f>IF(Inventory_List_Table34111510911[[#This Row],[Q]]&lt;0.1, " ",Inventory_List_Table34111510911[[#This Row],[AQ USD]])</f>
        <v xml:space="preserve"> </v>
      </c>
      <c r="X8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3" s="30" t="str">
        <f>IF(Inventory_List_Table34111510911[[#This Row],[Q]]&lt;0.1, " ",Inventory_List_Table34111510911[[#This Row],[PRICE]]/Z83*10000)</f>
        <v xml:space="preserve"> </v>
      </c>
      <c r="AB83" s="150"/>
      <c r="AC83" s="1"/>
      <c r="AD83" s="1"/>
    </row>
    <row r="84" spans="1:30" ht="24" customHeight="1" x14ac:dyDescent="0.3">
      <c r="A84" s="154">
        <v>82</v>
      </c>
      <c r="B84" s="1"/>
      <c r="C84" s="151"/>
      <c r="D84" s="151"/>
      <c r="E84" s="151"/>
      <c r="F8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4" s="151"/>
      <c r="H84" s="151"/>
      <c r="I84" s="151"/>
      <c r="J84" s="151"/>
      <c r="K84" s="151"/>
      <c r="L84" s="153"/>
      <c r="M84" s="30" t="str">
        <f>IF(Inventory_List_Table34111510911[[#This Row],[Q]]&lt;0.1, " ", Inventory_List_Table34111510911[[#This Row],[Q]]*Inventory_List_Table34111510911[[#This Row],[PRICE]])</f>
        <v xml:space="preserve"> </v>
      </c>
      <c r="N84" s="35" t="str">
        <f>IF(Inventory_List_Table34111510911[[#This Row],[Q]]&lt;0.1, " ", Inventory_List_Table34111510911[[#This Row],[KG]]*2.20462)</f>
        <v xml:space="preserve"> </v>
      </c>
      <c r="O84" s="35" t="str">
        <f>IF(Inventory_List_Table34111510911[[#This Row],[Q]]&lt;0.1, " ",Inventory_List_Table34111510911[[#This Row],[H CM]]/2.54)</f>
        <v xml:space="preserve"> </v>
      </c>
      <c r="P84" s="35" t="str">
        <f>IF(Inventory_List_Table34111510911[[#This Row],[Q]]&lt;0.1, " ",Inventory_List_Table34111510911[[#This Row],[W CM]]/2.54)</f>
        <v xml:space="preserve"> </v>
      </c>
      <c r="Q84" s="35" t="str">
        <f>IF(Inventory_List_Table34111510911[[#This Row],[Q]]&lt;0.1, " ",Inventory_List_Table34111510911[[#This Row],[D CM ]]/2.54)</f>
        <v xml:space="preserve"> </v>
      </c>
      <c r="R84" s="30" t="str">
        <f>IF(Inventory_List_Table34111510911[[#This Row],[Q]]&lt;0.1, " ",Inventory_List_Table34111510911[[#This Row],[PRICE]]/$L$1)</f>
        <v xml:space="preserve"> </v>
      </c>
      <c r="S8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4" s="30" t="str">
        <f>IF(Inventory_List_Table34111510911[[#This Row],[Q]]&lt;0.1, " ",Inventory_List_Table34111510911[[#This Row],[AQ RND USD]]*1.4)</f>
        <v xml:space="preserve"> </v>
      </c>
      <c r="U8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4" s="30" t="str">
        <f>IF(Inventory_List_Table34111510911[[#This Row],[Q]]&lt;0.1, " ",Inventory_List_Table34111510911[[#This Row],[LND RND USD]]*12)</f>
        <v xml:space="preserve"> </v>
      </c>
      <c r="W84" s="30" t="str">
        <f>IF(Inventory_List_Table34111510911[[#This Row],[Q]]&lt;0.1, " ",Inventory_List_Table34111510911[[#This Row],[AQ USD]])</f>
        <v xml:space="preserve"> </v>
      </c>
      <c r="X8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4" s="30" t="str">
        <f>IF(Inventory_List_Table34111510911[[#This Row],[Q]]&lt;0.1, " ",Inventory_List_Table34111510911[[#This Row],[PRICE]]/Z84*10000)</f>
        <v xml:space="preserve"> </v>
      </c>
      <c r="AB84" s="150"/>
      <c r="AC84" s="1"/>
      <c r="AD84" s="1"/>
    </row>
    <row r="85" spans="1:30" ht="24" customHeight="1" x14ac:dyDescent="0.3">
      <c r="A85" s="154">
        <v>83</v>
      </c>
      <c r="B85" s="1"/>
      <c r="C85" s="151"/>
      <c r="D85" s="151"/>
      <c r="E85" s="151"/>
      <c r="F8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5" s="151"/>
      <c r="H85" s="151"/>
      <c r="I85" s="151"/>
      <c r="J85" s="151"/>
      <c r="K85" s="151"/>
      <c r="L85" s="153"/>
      <c r="M85" s="30" t="str">
        <f>IF(Inventory_List_Table34111510911[[#This Row],[Q]]&lt;0.1, " ", Inventory_List_Table34111510911[[#This Row],[Q]]*Inventory_List_Table34111510911[[#This Row],[PRICE]])</f>
        <v xml:space="preserve"> </v>
      </c>
      <c r="N85" s="35" t="str">
        <f>IF(Inventory_List_Table34111510911[[#This Row],[Q]]&lt;0.1, " ", Inventory_List_Table34111510911[[#This Row],[KG]]*2.20462)</f>
        <v xml:space="preserve"> </v>
      </c>
      <c r="O85" s="35" t="str">
        <f>IF(Inventory_List_Table34111510911[[#This Row],[Q]]&lt;0.1, " ",Inventory_List_Table34111510911[[#This Row],[H CM]]/2.54)</f>
        <v xml:space="preserve"> </v>
      </c>
      <c r="P85" s="35" t="str">
        <f>IF(Inventory_List_Table34111510911[[#This Row],[Q]]&lt;0.1, " ",Inventory_List_Table34111510911[[#This Row],[W CM]]/2.54)</f>
        <v xml:space="preserve"> </v>
      </c>
      <c r="Q85" s="35" t="str">
        <f>IF(Inventory_List_Table34111510911[[#This Row],[Q]]&lt;0.1, " ",Inventory_List_Table34111510911[[#This Row],[D CM ]]/2.54)</f>
        <v xml:space="preserve"> </v>
      </c>
      <c r="R85" s="30" t="str">
        <f>IF(Inventory_List_Table34111510911[[#This Row],[Q]]&lt;0.1, " ",Inventory_List_Table34111510911[[#This Row],[PRICE]]/$L$1)</f>
        <v xml:space="preserve"> </v>
      </c>
      <c r="S8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5" s="30" t="str">
        <f>IF(Inventory_List_Table34111510911[[#This Row],[Q]]&lt;0.1, " ",Inventory_List_Table34111510911[[#This Row],[AQ RND USD]]*1.4)</f>
        <v xml:space="preserve"> </v>
      </c>
      <c r="U8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5" s="30" t="str">
        <f>IF(Inventory_List_Table34111510911[[#This Row],[Q]]&lt;0.1, " ",Inventory_List_Table34111510911[[#This Row],[LND RND USD]]*12)</f>
        <v xml:space="preserve"> </v>
      </c>
      <c r="W85" s="30" t="str">
        <f>IF(Inventory_List_Table34111510911[[#This Row],[Q]]&lt;0.1, " ",Inventory_List_Table34111510911[[#This Row],[AQ USD]])</f>
        <v xml:space="preserve"> </v>
      </c>
      <c r="X8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5" s="30" t="str">
        <f>IF(Inventory_List_Table34111510911[[#This Row],[Q]]&lt;0.1, " ",Inventory_List_Table34111510911[[#This Row],[PRICE]]/Z85*10000)</f>
        <v xml:space="preserve"> </v>
      </c>
      <c r="AB85" s="150"/>
      <c r="AC85" s="1"/>
      <c r="AD85" s="1"/>
    </row>
    <row r="86" spans="1:30" ht="24" customHeight="1" x14ac:dyDescent="0.3">
      <c r="A86" s="154">
        <v>84</v>
      </c>
      <c r="B86" s="1"/>
      <c r="C86" s="151"/>
      <c r="D86" s="151"/>
      <c r="E86" s="151"/>
      <c r="F8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6" s="151"/>
      <c r="H86" s="151"/>
      <c r="I86" s="151"/>
      <c r="J86" s="151"/>
      <c r="K86" s="151"/>
      <c r="L86" s="153"/>
      <c r="M86" s="30" t="str">
        <f>IF(Inventory_List_Table34111510911[[#This Row],[Q]]&lt;0.1, " ", Inventory_List_Table34111510911[[#This Row],[Q]]*Inventory_List_Table34111510911[[#This Row],[PRICE]])</f>
        <v xml:space="preserve"> </v>
      </c>
      <c r="N86" s="35" t="str">
        <f>IF(Inventory_List_Table34111510911[[#This Row],[Q]]&lt;0.1, " ", Inventory_List_Table34111510911[[#This Row],[KG]]*2.20462)</f>
        <v xml:space="preserve"> </v>
      </c>
      <c r="O86" s="35" t="str">
        <f>IF(Inventory_List_Table34111510911[[#This Row],[Q]]&lt;0.1, " ",Inventory_List_Table34111510911[[#This Row],[H CM]]/2.54)</f>
        <v xml:space="preserve"> </v>
      </c>
      <c r="P86" s="35" t="str">
        <f>IF(Inventory_List_Table34111510911[[#This Row],[Q]]&lt;0.1, " ",Inventory_List_Table34111510911[[#This Row],[W CM]]/2.54)</f>
        <v xml:space="preserve"> </v>
      </c>
      <c r="Q86" s="35" t="str">
        <f>IF(Inventory_List_Table34111510911[[#This Row],[Q]]&lt;0.1, " ",Inventory_List_Table34111510911[[#This Row],[D CM ]]/2.54)</f>
        <v xml:space="preserve"> </v>
      </c>
      <c r="R86" s="30" t="str">
        <f>IF(Inventory_List_Table34111510911[[#This Row],[Q]]&lt;0.1, " ",Inventory_List_Table34111510911[[#This Row],[PRICE]]/$L$1)</f>
        <v xml:space="preserve"> </v>
      </c>
      <c r="S8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6" s="30" t="str">
        <f>IF(Inventory_List_Table34111510911[[#This Row],[Q]]&lt;0.1, " ",Inventory_List_Table34111510911[[#This Row],[AQ RND USD]]*1.4)</f>
        <v xml:space="preserve"> </v>
      </c>
      <c r="U8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6" s="30" t="str">
        <f>IF(Inventory_List_Table34111510911[[#This Row],[Q]]&lt;0.1, " ",Inventory_List_Table34111510911[[#This Row],[LND RND USD]]*12)</f>
        <v xml:space="preserve"> </v>
      </c>
      <c r="W86" s="30" t="str">
        <f>IF(Inventory_List_Table34111510911[[#This Row],[Q]]&lt;0.1, " ",Inventory_List_Table34111510911[[#This Row],[AQ USD]])</f>
        <v xml:space="preserve"> </v>
      </c>
      <c r="X8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6" s="30" t="str">
        <f>IF(Inventory_List_Table34111510911[[#This Row],[Q]]&lt;0.1, " ",Inventory_List_Table34111510911[[#This Row],[PRICE]]/Z86*10000)</f>
        <v xml:space="preserve"> </v>
      </c>
      <c r="AB86" s="150"/>
      <c r="AC86" s="1"/>
      <c r="AD86" s="1"/>
    </row>
    <row r="87" spans="1:30" ht="24" customHeight="1" x14ac:dyDescent="0.3">
      <c r="A87" s="154">
        <v>85</v>
      </c>
      <c r="B87" s="1"/>
      <c r="C87" s="151"/>
      <c r="D87" s="151"/>
      <c r="E87" s="151"/>
      <c r="F8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7" s="151"/>
      <c r="H87" s="151"/>
      <c r="I87" s="151"/>
      <c r="J87" s="151"/>
      <c r="K87" s="151"/>
      <c r="L87" s="153"/>
      <c r="M87" s="30" t="str">
        <f>IF(Inventory_List_Table34111510911[[#This Row],[Q]]&lt;0.1, " ", Inventory_List_Table34111510911[[#This Row],[Q]]*Inventory_List_Table34111510911[[#This Row],[PRICE]])</f>
        <v xml:space="preserve"> </v>
      </c>
      <c r="N87" s="35" t="str">
        <f>IF(Inventory_List_Table34111510911[[#This Row],[Q]]&lt;0.1, " ", Inventory_List_Table34111510911[[#This Row],[KG]]*2.20462)</f>
        <v xml:space="preserve"> </v>
      </c>
      <c r="O87" s="35" t="str">
        <f>IF(Inventory_List_Table34111510911[[#This Row],[Q]]&lt;0.1, " ",Inventory_List_Table34111510911[[#This Row],[H CM]]/2.54)</f>
        <v xml:space="preserve"> </v>
      </c>
      <c r="P87" s="35" t="str">
        <f>IF(Inventory_List_Table34111510911[[#This Row],[Q]]&lt;0.1, " ",Inventory_List_Table34111510911[[#This Row],[W CM]]/2.54)</f>
        <v xml:space="preserve"> </v>
      </c>
      <c r="Q87" s="35" t="str">
        <f>IF(Inventory_List_Table34111510911[[#This Row],[Q]]&lt;0.1, " ",Inventory_List_Table34111510911[[#This Row],[D CM ]]/2.54)</f>
        <v xml:space="preserve"> </v>
      </c>
      <c r="R87" s="30" t="str">
        <f>IF(Inventory_List_Table34111510911[[#This Row],[Q]]&lt;0.1, " ",Inventory_List_Table34111510911[[#This Row],[PRICE]]/$L$1)</f>
        <v xml:space="preserve"> </v>
      </c>
      <c r="S8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7" s="30" t="str">
        <f>IF(Inventory_List_Table34111510911[[#This Row],[Q]]&lt;0.1, " ",Inventory_List_Table34111510911[[#This Row],[AQ RND USD]]*1.4)</f>
        <v xml:space="preserve"> </v>
      </c>
      <c r="U8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7" s="30" t="str">
        <f>IF(Inventory_List_Table34111510911[[#This Row],[Q]]&lt;0.1, " ",Inventory_List_Table34111510911[[#This Row],[LND RND USD]]*12)</f>
        <v xml:space="preserve"> </v>
      </c>
      <c r="W87" s="30" t="str">
        <f>IF(Inventory_List_Table34111510911[[#This Row],[Q]]&lt;0.1, " ",Inventory_List_Table34111510911[[#This Row],[AQ USD]])</f>
        <v xml:space="preserve"> </v>
      </c>
      <c r="X8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7" s="30" t="str">
        <f>IF(Inventory_List_Table34111510911[[#This Row],[Q]]&lt;0.1, " ",Inventory_List_Table34111510911[[#This Row],[PRICE]]/Z87*10000)</f>
        <v xml:space="preserve"> </v>
      </c>
      <c r="AB87" s="150"/>
      <c r="AC87" s="1"/>
      <c r="AD87" s="1"/>
    </row>
    <row r="88" spans="1:30" ht="24" customHeight="1" x14ac:dyDescent="0.3">
      <c r="A88" s="154">
        <v>86</v>
      </c>
      <c r="B88" s="1"/>
      <c r="C88" s="151"/>
      <c r="D88" s="151"/>
      <c r="E88" s="151"/>
      <c r="F8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8" s="151"/>
      <c r="H88" s="151"/>
      <c r="I88" s="151"/>
      <c r="J88" s="151"/>
      <c r="K88" s="151"/>
      <c r="L88" s="153"/>
      <c r="M88" s="30" t="str">
        <f>IF(Inventory_List_Table34111510911[[#This Row],[Q]]&lt;0.1, " ", Inventory_List_Table34111510911[[#This Row],[Q]]*Inventory_List_Table34111510911[[#This Row],[PRICE]])</f>
        <v xml:space="preserve"> </v>
      </c>
      <c r="N88" s="35" t="str">
        <f>IF(Inventory_List_Table34111510911[[#This Row],[Q]]&lt;0.1, " ", Inventory_List_Table34111510911[[#This Row],[KG]]*2.20462)</f>
        <v xml:space="preserve"> </v>
      </c>
      <c r="O88" s="35" t="str">
        <f>IF(Inventory_List_Table34111510911[[#This Row],[Q]]&lt;0.1, " ",Inventory_List_Table34111510911[[#This Row],[H CM]]/2.54)</f>
        <v xml:space="preserve"> </v>
      </c>
      <c r="P88" s="35" t="str">
        <f>IF(Inventory_List_Table34111510911[[#This Row],[Q]]&lt;0.1, " ",Inventory_List_Table34111510911[[#This Row],[W CM]]/2.54)</f>
        <v xml:space="preserve"> </v>
      </c>
      <c r="Q88" s="35" t="str">
        <f>IF(Inventory_List_Table34111510911[[#This Row],[Q]]&lt;0.1, " ",Inventory_List_Table34111510911[[#This Row],[D CM ]]/2.54)</f>
        <v xml:space="preserve"> </v>
      </c>
      <c r="R88" s="30" t="str">
        <f>IF(Inventory_List_Table34111510911[[#This Row],[Q]]&lt;0.1, " ",Inventory_List_Table34111510911[[#This Row],[PRICE]]/$L$1)</f>
        <v xml:space="preserve"> </v>
      </c>
      <c r="S8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8" s="30" t="str">
        <f>IF(Inventory_List_Table34111510911[[#This Row],[Q]]&lt;0.1, " ",Inventory_List_Table34111510911[[#This Row],[AQ RND USD]]*1.4)</f>
        <v xml:space="preserve"> </v>
      </c>
      <c r="U8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8" s="30" t="str">
        <f>IF(Inventory_List_Table34111510911[[#This Row],[Q]]&lt;0.1, " ",Inventory_List_Table34111510911[[#This Row],[LND RND USD]]*12)</f>
        <v xml:space="preserve"> </v>
      </c>
      <c r="W88" s="30" t="str">
        <f>IF(Inventory_List_Table34111510911[[#This Row],[Q]]&lt;0.1, " ",Inventory_List_Table34111510911[[#This Row],[AQ USD]])</f>
        <v xml:space="preserve"> </v>
      </c>
      <c r="X8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8" s="30" t="str">
        <f>IF(Inventory_List_Table34111510911[[#This Row],[Q]]&lt;0.1, " ",Inventory_List_Table34111510911[[#This Row],[PRICE]]/Z88*10000)</f>
        <v xml:space="preserve"> </v>
      </c>
      <c r="AB88" s="150"/>
      <c r="AC88" s="1"/>
      <c r="AD88" s="1"/>
    </row>
    <row r="89" spans="1:30" ht="24" customHeight="1" x14ac:dyDescent="0.3">
      <c r="A89" s="154">
        <v>87</v>
      </c>
      <c r="B89" s="1"/>
      <c r="C89" s="151"/>
      <c r="D89" s="151"/>
      <c r="E89" s="151"/>
      <c r="F8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89" s="151"/>
      <c r="H89" s="151"/>
      <c r="I89" s="151"/>
      <c r="J89" s="151"/>
      <c r="K89" s="151"/>
      <c r="L89" s="153"/>
      <c r="M89" s="30" t="str">
        <f>IF(Inventory_List_Table34111510911[[#This Row],[Q]]&lt;0.1, " ", Inventory_List_Table34111510911[[#This Row],[Q]]*Inventory_List_Table34111510911[[#This Row],[PRICE]])</f>
        <v xml:space="preserve"> </v>
      </c>
      <c r="N89" s="35" t="str">
        <f>IF(Inventory_List_Table34111510911[[#This Row],[Q]]&lt;0.1, " ", Inventory_List_Table34111510911[[#This Row],[KG]]*2.20462)</f>
        <v xml:space="preserve"> </v>
      </c>
      <c r="O89" s="35" t="str">
        <f>IF(Inventory_List_Table34111510911[[#This Row],[Q]]&lt;0.1, " ",Inventory_List_Table34111510911[[#This Row],[H CM]]/2.54)</f>
        <v xml:space="preserve"> </v>
      </c>
      <c r="P89" s="35" t="str">
        <f>IF(Inventory_List_Table34111510911[[#This Row],[Q]]&lt;0.1, " ",Inventory_List_Table34111510911[[#This Row],[W CM]]/2.54)</f>
        <v xml:space="preserve"> </v>
      </c>
      <c r="Q89" s="35" t="str">
        <f>IF(Inventory_List_Table34111510911[[#This Row],[Q]]&lt;0.1, " ",Inventory_List_Table34111510911[[#This Row],[D CM ]]/2.54)</f>
        <v xml:space="preserve"> </v>
      </c>
      <c r="R89" s="30" t="str">
        <f>IF(Inventory_List_Table34111510911[[#This Row],[Q]]&lt;0.1, " ",Inventory_List_Table34111510911[[#This Row],[PRICE]]/$L$1)</f>
        <v xml:space="preserve"> </v>
      </c>
      <c r="S8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89" s="30" t="str">
        <f>IF(Inventory_List_Table34111510911[[#This Row],[Q]]&lt;0.1, " ",Inventory_List_Table34111510911[[#This Row],[AQ RND USD]]*1.4)</f>
        <v xml:space="preserve"> </v>
      </c>
      <c r="U8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89" s="30" t="str">
        <f>IF(Inventory_List_Table34111510911[[#This Row],[Q]]&lt;0.1, " ",Inventory_List_Table34111510911[[#This Row],[LND RND USD]]*12)</f>
        <v xml:space="preserve"> </v>
      </c>
      <c r="W89" s="30" t="str">
        <f>IF(Inventory_List_Table34111510911[[#This Row],[Q]]&lt;0.1, " ",Inventory_List_Table34111510911[[#This Row],[AQ USD]])</f>
        <v xml:space="preserve"> </v>
      </c>
      <c r="X8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8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8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89" s="30" t="str">
        <f>IF(Inventory_List_Table34111510911[[#This Row],[Q]]&lt;0.1, " ",Inventory_List_Table34111510911[[#This Row],[PRICE]]/Z89*10000)</f>
        <v xml:space="preserve"> </v>
      </c>
      <c r="AB89" s="150"/>
      <c r="AC89" s="1"/>
      <c r="AD89" s="1"/>
    </row>
    <row r="90" spans="1:30" ht="24" customHeight="1" x14ac:dyDescent="0.3">
      <c r="A90" s="154">
        <v>88</v>
      </c>
      <c r="B90" s="1"/>
      <c r="C90" s="151"/>
      <c r="D90" s="151"/>
      <c r="E90" s="151"/>
      <c r="F9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0" s="151"/>
      <c r="H90" s="151"/>
      <c r="I90" s="151"/>
      <c r="J90" s="151"/>
      <c r="K90" s="151"/>
      <c r="L90" s="153"/>
      <c r="M90" s="30" t="str">
        <f>IF(Inventory_List_Table34111510911[[#This Row],[Q]]&lt;0.1, " ", Inventory_List_Table34111510911[[#This Row],[Q]]*Inventory_List_Table34111510911[[#This Row],[PRICE]])</f>
        <v xml:space="preserve"> </v>
      </c>
      <c r="N90" s="35" t="str">
        <f>IF(Inventory_List_Table34111510911[[#This Row],[Q]]&lt;0.1, " ", Inventory_List_Table34111510911[[#This Row],[KG]]*2.20462)</f>
        <v xml:space="preserve"> </v>
      </c>
      <c r="O90" s="35" t="str">
        <f>IF(Inventory_List_Table34111510911[[#This Row],[Q]]&lt;0.1, " ",Inventory_List_Table34111510911[[#This Row],[H CM]]/2.54)</f>
        <v xml:space="preserve"> </v>
      </c>
      <c r="P90" s="35" t="str">
        <f>IF(Inventory_List_Table34111510911[[#This Row],[Q]]&lt;0.1, " ",Inventory_List_Table34111510911[[#This Row],[W CM]]/2.54)</f>
        <v xml:space="preserve"> </v>
      </c>
      <c r="Q90" s="35" t="str">
        <f>IF(Inventory_List_Table34111510911[[#This Row],[Q]]&lt;0.1, " ",Inventory_List_Table34111510911[[#This Row],[D CM ]]/2.54)</f>
        <v xml:space="preserve"> </v>
      </c>
      <c r="R90" s="30" t="str">
        <f>IF(Inventory_List_Table34111510911[[#This Row],[Q]]&lt;0.1, " ",Inventory_List_Table34111510911[[#This Row],[PRICE]]/$L$1)</f>
        <v xml:space="preserve"> </v>
      </c>
      <c r="S9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0" s="30" t="str">
        <f>IF(Inventory_List_Table34111510911[[#This Row],[Q]]&lt;0.1, " ",Inventory_List_Table34111510911[[#This Row],[AQ RND USD]]*1.4)</f>
        <v xml:space="preserve"> </v>
      </c>
      <c r="U9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0" s="30" t="str">
        <f>IF(Inventory_List_Table34111510911[[#This Row],[Q]]&lt;0.1, " ",Inventory_List_Table34111510911[[#This Row],[LND RND USD]]*12)</f>
        <v xml:space="preserve"> </v>
      </c>
      <c r="W90" s="30" t="str">
        <f>IF(Inventory_List_Table34111510911[[#This Row],[Q]]&lt;0.1, " ",Inventory_List_Table34111510911[[#This Row],[AQ USD]])</f>
        <v xml:space="preserve"> </v>
      </c>
      <c r="X9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0" s="30" t="str">
        <f>IF(Inventory_List_Table34111510911[[#This Row],[Q]]&lt;0.1, " ",Inventory_List_Table34111510911[[#This Row],[PRICE]]/Z90*10000)</f>
        <v xml:space="preserve"> </v>
      </c>
      <c r="AB90" s="150"/>
      <c r="AC90" s="1"/>
      <c r="AD90" s="1"/>
    </row>
    <row r="91" spans="1:30" ht="24" customHeight="1" x14ac:dyDescent="0.3">
      <c r="A91" s="154">
        <v>89</v>
      </c>
      <c r="B91" s="1"/>
      <c r="C91" s="151"/>
      <c r="D91" s="151"/>
      <c r="E91" s="151"/>
      <c r="F9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1" s="151"/>
      <c r="H91" s="151"/>
      <c r="I91" s="151"/>
      <c r="J91" s="151"/>
      <c r="K91" s="151"/>
      <c r="L91" s="153"/>
      <c r="M91" s="30" t="str">
        <f>IF(Inventory_List_Table34111510911[[#This Row],[Q]]&lt;0.1, " ", Inventory_List_Table34111510911[[#This Row],[Q]]*Inventory_List_Table34111510911[[#This Row],[PRICE]])</f>
        <v xml:space="preserve"> </v>
      </c>
      <c r="N91" s="35" t="str">
        <f>IF(Inventory_List_Table34111510911[[#This Row],[Q]]&lt;0.1, " ", Inventory_List_Table34111510911[[#This Row],[KG]]*2.20462)</f>
        <v xml:space="preserve"> </v>
      </c>
      <c r="O91" s="35" t="str">
        <f>IF(Inventory_List_Table34111510911[[#This Row],[Q]]&lt;0.1, " ",Inventory_List_Table34111510911[[#This Row],[H CM]]/2.54)</f>
        <v xml:space="preserve"> </v>
      </c>
      <c r="P91" s="35" t="str">
        <f>IF(Inventory_List_Table34111510911[[#This Row],[Q]]&lt;0.1, " ",Inventory_List_Table34111510911[[#This Row],[W CM]]/2.54)</f>
        <v xml:space="preserve"> </v>
      </c>
      <c r="Q91" s="35" t="str">
        <f>IF(Inventory_List_Table34111510911[[#This Row],[Q]]&lt;0.1, " ",Inventory_List_Table34111510911[[#This Row],[D CM ]]/2.54)</f>
        <v xml:space="preserve"> </v>
      </c>
      <c r="R91" s="30" t="str">
        <f>IF(Inventory_List_Table34111510911[[#This Row],[Q]]&lt;0.1, " ",Inventory_List_Table34111510911[[#This Row],[PRICE]]/$L$1)</f>
        <v xml:space="preserve"> </v>
      </c>
      <c r="S9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1" s="30" t="str">
        <f>IF(Inventory_List_Table34111510911[[#This Row],[Q]]&lt;0.1, " ",Inventory_List_Table34111510911[[#This Row],[AQ RND USD]]*1.4)</f>
        <v xml:space="preserve"> </v>
      </c>
      <c r="U9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1" s="30" t="str">
        <f>IF(Inventory_List_Table34111510911[[#This Row],[Q]]&lt;0.1, " ",Inventory_List_Table34111510911[[#This Row],[LND RND USD]]*12)</f>
        <v xml:space="preserve"> </v>
      </c>
      <c r="W91" s="30" t="str">
        <f>IF(Inventory_List_Table34111510911[[#This Row],[Q]]&lt;0.1, " ",Inventory_List_Table34111510911[[#This Row],[AQ USD]])</f>
        <v xml:space="preserve"> </v>
      </c>
      <c r="X9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1" s="30" t="str">
        <f>IF(Inventory_List_Table34111510911[[#This Row],[Q]]&lt;0.1, " ",Inventory_List_Table34111510911[[#This Row],[PRICE]]/Z91*10000)</f>
        <v xml:space="preserve"> </v>
      </c>
      <c r="AB91" s="150"/>
      <c r="AC91" s="1"/>
      <c r="AD91" s="1"/>
    </row>
    <row r="92" spans="1:30" ht="24" customHeight="1" x14ac:dyDescent="0.3">
      <c r="A92" s="154">
        <v>90</v>
      </c>
      <c r="B92" s="1"/>
      <c r="C92" s="151"/>
      <c r="D92" s="151"/>
      <c r="E92" s="151"/>
      <c r="F9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2" s="151"/>
      <c r="H92" s="151"/>
      <c r="I92" s="151"/>
      <c r="J92" s="151"/>
      <c r="K92" s="151"/>
      <c r="L92" s="153"/>
      <c r="M92" s="30" t="str">
        <f>IF(Inventory_List_Table34111510911[[#This Row],[Q]]&lt;0.1, " ", Inventory_List_Table34111510911[[#This Row],[Q]]*Inventory_List_Table34111510911[[#This Row],[PRICE]])</f>
        <v xml:space="preserve"> </v>
      </c>
      <c r="N92" s="35" t="str">
        <f>IF(Inventory_List_Table34111510911[[#This Row],[Q]]&lt;0.1, " ", Inventory_List_Table34111510911[[#This Row],[KG]]*2.20462)</f>
        <v xml:space="preserve"> </v>
      </c>
      <c r="O92" s="35" t="str">
        <f>IF(Inventory_List_Table34111510911[[#This Row],[Q]]&lt;0.1, " ",Inventory_List_Table34111510911[[#This Row],[H CM]]/2.54)</f>
        <v xml:space="preserve"> </v>
      </c>
      <c r="P92" s="35" t="str">
        <f>IF(Inventory_List_Table34111510911[[#This Row],[Q]]&lt;0.1, " ",Inventory_List_Table34111510911[[#This Row],[W CM]]/2.54)</f>
        <v xml:space="preserve"> </v>
      </c>
      <c r="Q92" s="35" t="str">
        <f>IF(Inventory_List_Table34111510911[[#This Row],[Q]]&lt;0.1, " ",Inventory_List_Table34111510911[[#This Row],[D CM ]]/2.54)</f>
        <v xml:space="preserve"> </v>
      </c>
      <c r="R92" s="30" t="str">
        <f>IF(Inventory_List_Table34111510911[[#This Row],[Q]]&lt;0.1, " ",Inventory_List_Table34111510911[[#This Row],[PRICE]]/$L$1)</f>
        <v xml:space="preserve"> </v>
      </c>
      <c r="S9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2" s="30" t="str">
        <f>IF(Inventory_List_Table34111510911[[#This Row],[Q]]&lt;0.1, " ",Inventory_List_Table34111510911[[#This Row],[AQ RND USD]]*1.4)</f>
        <v xml:space="preserve"> </v>
      </c>
      <c r="U9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2" s="30" t="str">
        <f>IF(Inventory_List_Table34111510911[[#This Row],[Q]]&lt;0.1, " ",Inventory_List_Table34111510911[[#This Row],[LND RND USD]]*12)</f>
        <v xml:space="preserve"> </v>
      </c>
      <c r="W92" s="30" t="str">
        <f>IF(Inventory_List_Table34111510911[[#This Row],[Q]]&lt;0.1, " ",Inventory_List_Table34111510911[[#This Row],[AQ USD]])</f>
        <v xml:space="preserve"> </v>
      </c>
      <c r="X9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2" s="30" t="str">
        <f>IF(Inventory_List_Table34111510911[[#This Row],[Q]]&lt;0.1, " ",Inventory_List_Table34111510911[[#This Row],[PRICE]]/Z92*10000)</f>
        <v xml:space="preserve"> </v>
      </c>
      <c r="AB92" s="150"/>
      <c r="AC92" s="1"/>
      <c r="AD92" s="1"/>
    </row>
    <row r="93" spans="1:30" ht="24" customHeight="1" x14ac:dyDescent="0.3">
      <c r="A93" s="154">
        <v>91</v>
      </c>
      <c r="B93" s="1"/>
      <c r="C93" s="151"/>
      <c r="D93" s="151"/>
      <c r="E93" s="151"/>
      <c r="F93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3" s="151"/>
      <c r="H93" s="151"/>
      <c r="I93" s="151"/>
      <c r="J93" s="151"/>
      <c r="K93" s="151"/>
      <c r="L93" s="153"/>
      <c r="M93" s="30" t="str">
        <f>IF(Inventory_List_Table34111510911[[#This Row],[Q]]&lt;0.1, " ", Inventory_List_Table34111510911[[#This Row],[Q]]*Inventory_List_Table34111510911[[#This Row],[PRICE]])</f>
        <v xml:space="preserve"> </v>
      </c>
      <c r="N93" s="35" t="str">
        <f>IF(Inventory_List_Table34111510911[[#This Row],[Q]]&lt;0.1, " ", Inventory_List_Table34111510911[[#This Row],[KG]]*2.20462)</f>
        <v xml:space="preserve"> </v>
      </c>
      <c r="O93" s="35" t="str">
        <f>IF(Inventory_List_Table34111510911[[#This Row],[Q]]&lt;0.1, " ",Inventory_List_Table34111510911[[#This Row],[H CM]]/2.54)</f>
        <v xml:space="preserve"> </v>
      </c>
      <c r="P93" s="35" t="str">
        <f>IF(Inventory_List_Table34111510911[[#This Row],[Q]]&lt;0.1, " ",Inventory_List_Table34111510911[[#This Row],[W CM]]/2.54)</f>
        <v xml:space="preserve"> </v>
      </c>
      <c r="Q93" s="35" t="str">
        <f>IF(Inventory_List_Table34111510911[[#This Row],[Q]]&lt;0.1, " ",Inventory_List_Table34111510911[[#This Row],[D CM ]]/2.54)</f>
        <v xml:space="preserve"> </v>
      </c>
      <c r="R93" s="30" t="str">
        <f>IF(Inventory_List_Table34111510911[[#This Row],[Q]]&lt;0.1, " ",Inventory_List_Table34111510911[[#This Row],[PRICE]]/$L$1)</f>
        <v xml:space="preserve"> </v>
      </c>
      <c r="S93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3" s="30" t="str">
        <f>IF(Inventory_List_Table34111510911[[#This Row],[Q]]&lt;0.1, " ",Inventory_List_Table34111510911[[#This Row],[AQ RND USD]]*1.4)</f>
        <v xml:space="preserve"> </v>
      </c>
      <c r="U93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3" s="30" t="str">
        <f>IF(Inventory_List_Table34111510911[[#This Row],[Q]]&lt;0.1, " ",Inventory_List_Table34111510911[[#This Row],[LND RND USD]]*12)</f>
        <v xml:space="preserve"> </v>
      </c>
      <c r="W93" s="30" t="str">
        <f>IF(Inventory_List_Table34111510911[[#This Row],[Q]]&lt;0.1, " ",Inventory_List_Table34111510911[[#This Row],[AQ USD]])</f>
        <v xml:space="preserve"> </v>
      </c>
      <c r="X93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3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3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3" s="30" t="str">
        <f>IF(Inventory_List_Table34111510911[[#This Row],[Q]]&lt;0.1, " ",Inventory_List_Table34111510911[[#This Row],[PRICE]]/Z93*10000)</f>
        <v xml:space="preserve"> </v>
      </c>
      <c r="AB93" s="150"/>
      <c r="AC93" s="1"/>
      <c r="AD93" s="1"/>
    </row>
    <row r="94" spans="1:30" ht="24" customHeight="1" x14ac:dyDescent="0.3">
      <c r="A94" s="154">
        <v>92</v>
      </c>
      <c r="B94" s="1"/>
      <c r="C94" s="151"/>
      <c r="D94" s="151"/>
      <c r="E94" s="151"/>
      <c r="F94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4" s="151"/>
      <c r="H94" s="151"/>
      <c r="I94" s="151"/>
      <c r="J94" s="151"/>
      <c r="K94" s="151"/>
      <c r="L94" s="153"/>
      <c r="M94" s="30" t="str">
        <f>IF(Inventory_List_Table34111510911[[#This Row],[Q]]&lt;0.1, " ", Inventory_List_Table34111510911[[#This Row],[Q]]*Inventory_List_Table34111510911[[#This Row],[PRICE]])</f>
        <v xml:space="preserve"> </v>
      </c>
      <c r="N94" s="35" t="str">
        <f>IF(Inventory_List_Table34111510911[[#This Row],[Q]]&lt;0.1, " ", Inventory_List_Table34111510911[[#This Row],[KG]]*2.20462)</f>
        <v xml:space="preserve"> </v>
      </c>
      <c r="O94" s="35" t="str">
        <f>IF(Inventory_List_Table34111510911[[#This Row],[Q]]&lt;0.1, " ",Inventory_List_Table34111510911[[#This Row],[H CM]]/2.54)</f>
        <v xml:space="preserve"> </v>
      </c>
      <c r="P94" s="35" t="str">
        <f>IF(Inventory_List_Table34111510911[[#This Row],[Q]]&lt;0.1, " ",Inventory_List_Table34111510911[[#This Row],[W CM]]/2.54)</f>
        <v xml:space="preserve"> </v>
      </c>
      <c r="Q94" s="35" t="str">
        <f>IF(Inventory_List_Table34111510911[[#This Row],[Q]]&lt;0.1, " ",Inventory_List_Table34111510911[[#This Row],[D CM ]]/2.54)</f>
        <v xml:space="preserve"> </v>
      </c>
      <c r="R94" s="30" t="str">
        <f>IF(Inventory_List_Table34111510911[[#This Row],[Q]]&lt;0.1, " ",Inventory_List_Table34111510911[[#This Row],[PRICE]]/$L$1)</f>
        <v xml:space="preserve"> </v>
      </c>
      <c r="S94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4" s="30" t="str">
        <f>IF(Inventory_List_Table34111510911[[#This Row],[Q]]&lt;0.1, " ",Inventory_List_Table34111510911[[#This Row],[AQ RND USD]]*1.4)</f>
        <v xml:space="preserve"> </v>
      </c>
      <c r="U94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4" s="30" t="str">
        <f>IF(Inventory_List_Table34111510911[[#This Row],[Q]]&lt;0.1, " ",Inventory_List_Table34111510911[[#This Row],[LND RND USD]]*12)</f>
        <v xml:space="preserve"> </v>
      </c>
      <c r="W94" s="30" t="str">
        <f>IF(Inventory_List_Table34111510911[[#This Row],[Q]]&lt;0.1, " ",Inventory_List_Table34111510911[[#This Row],[AQ USD]])</f>
        <v xml:space="preserve"> </v>
      </c>
      <c r="X94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4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4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4" s="30" t="str">
        <f>IF(Inventory_List_Table34111510911[[#This Row],[Q]]&lt;0.1, " ",Inventory_List_Table34111510911[[#This Row],[PRICE]]/Z94*10000)</f>
        <v xml:space="preserve"> </v>
      </c>
      <c r="AB94" s="150"/>
      <c r="AC94" s="1"/>
      <c r="AD94" s="1"/>
    </row>
    <row r="95" spans="1:30" ht="24" customHeight="1" x14ac:dyDescent="0.3">
      <c r="A95" s="154">
        <v>93</v>
      </c>
      <c r="B95" s="1"/>
      <c r="C95" s="151"/>
      <c r="D95" s="151"/>
      <c r="E95" s="151"/>
      <c r="F95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5" s="151"/>
      <c r="H95" s="151"/>
      <c r="I95" s="151"/>
      <c r="J95" s="151"/>
      <c r="K95" s="151"/>
      <c r="L95" s="153"/>
      <c r="M95" s="30" t="str">
        <f>IF(Inventory_List_Table34111510911[[#This Row],[Q]]&lt;0.1, " ", Inventory_List_Table34111510911[[#This Row],[Q]]*Inventory_List_Table34111510911[[#This Row],[PRICE]])</f>
        <v xml:space="preserve"> </v>
      </c>
      <c r="N95" s="35" t="str">
        <f>IF(Inventory_List_Table34111510911[[#This Row],[Q]]&lt;0.1, " ", Inventory_List_Table34111510911[[#This Row],[KG]]*2.20462)</f>
        <v xml:space="preserve"> </v>
      </c>
      <c r="O95" s="35" t="str">
        <f>IF(Inventory_List_Table34111510911[[#This Row],[Q]]&lt;0.1, " ",Inventory_List_Table34111510911[[#This Row],[H CM]]/2.54)</f>
        <v xml:space="preserve"> </v>
      </c>
      <c r="P95" s="35" t="str">
        <f>IF(Inventory_List_Table34111510911[[#This Row],[Q]]&lt;0.1, " ",Inventory_List_Table34111510911[[#This Row],[W CM]]/2.54)</f>
        <v xml:space="preserve"> </v>
      </c>
      <c r="Q95" s="35" t="str">
        <f>IF(Inventory_List_Table34111510911[[#This Row],[Q]]&lt;0.1, " ",Inventory_List_Table34111510911[[#This Row],[D CM ]]/2.54)</f>
        <v xml:space="preserve"> </v>
      </c>
      <c r="R95" s="30" t="str">
        <f>IF(Inventory_List_Table34111510911[[#This Row],[Q]]&lt;0.1, " ",Inventory_List_Table34111510911[[#This Row],[PRICE]]/$L$1)</f>
        <v xml:space="preserve"> </v>
      </c>
      <c r="S95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5" s="30" t="str">
        <f>IF(Inventory_List_Table34111510911[[#This Row],[Q]]&lt;0.1, " ",Inventory_List_Table34111510911[[#This Row],[AQ RND USD]]*1.4)</f>
        <v xml:space="preserve"> </v>
      </c>
      <c r="U95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5" s="30" t="str">
        <f>IF(Inventory_List_Table34111510911[[#This Row],[Q]]&lt;0.1, " ",Inventory_List_Table34111510911[[#This Row],[LND RND USD]]*12)</f>
        <v xml:space="preserve"> </v>
      </c>
      <c r="W95" s="30" t="str">
        <f>IF(Inventory_List_Table34111510911[[#This Row],[Q]]&lt;0.1, " ",Inventory_List_Table34111510911[[#This Row],[AQ USD]])</f>
        <v xml:space="preserve"> </v>
      </c>
      <c r="X95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5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5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5" s="30" t="str">
        <f>IF(Inventory_List_Table34111510911[[#This Row],[Q]]&lt;0.1, " ",Inventory_List_Table34111510911[[#This Row],[PRICE]]/Z95*10000)</f>
        <v xml:space="preserve"> </v>
      </c>
      <c r="AB95" s="150"/>
      <c r="AC95" s="1"/>
      <c r="AD95" s="1"/>
    </row>
    <row r="96" spans="1:30" ht="24" customHeight="1" x14ac:dyDescent="0.3">
      <c r="A96" s="154">
        <v>94</v>
      </c>
      <c r="B96" s="1"/>
      <c r="C96" s="151"/>
      <c r="D96" s="151"/>
      <c r="E96" s="151"/>
      <c r="F96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6" s="151"/>
      <c r="H96" s="151"/>
      <c r="I96" s="151"/>
      <c r="J96" s="151"/>
      <c r="K96" s="151"/>
      <c r="L96" s="153"/>
      <c r="M96" s="30" t="str">
        <f>IF(Inventory_List_Table34111510911[[#This Row],[Q]]&lt;0.1, " ", Inventory_List_Table34111510911[[#This Row],[Q]]*Inventory_List_Table34111510911[[#This Row],[PRICE]])</f>
        <v xml:space="preserve"> </v>
      </c>
      <c r="N96" s="35" t="str">
        <f>IF(Inventory_List_Table34111510911[[#This Row],[Q]]&lt;0.1, " ", Inventory_List_Table34111510911[[#This Row],[KG]]*2.20462)</f>
        <v xml:space="preserve"> </v>
      </c>
      <c r="O96" s="35" t="str">
        <f>IF(Inventory_List_Table34111510911[[#This Row],[Q]]&lt;0.1, " ",Inventory_List_Table34111510911[[#This Row],[H CM]]/2.54)</f>
        <v xml:space="preserve"> </v>
      </c>
      <c r="P96" s="35" t="str">
        <f>IF(Inventory_List_Table34111510911[[#This Row],[Q]]&lt;0.1, " ",Inventory_List_Table34111510911[[#This Row],[W CM]]/2.54)</f>
        <v xml:space="preserve"> </v>
      </c>
      <c r="Q96" s="35" t="str">
        <f>IF(Inventory_List_Table34111510911[[#This Row],[Q]]&lt;0.1, " ",Inventory_List_Table34111510911[[#This Row],[D CM ]]/2.54)</f>
        <v xml:space="preserve"> </v>
      </c>
      <c r="R96" s="30" t="str">
        <f>IF(Inventory_List_Table34111510911[[#This Row],[Q]]&lt;0.1, " ",Inventory_List_Table34111510911[[#This Row],[PRICE]]/$L$1)</f>
        <v xml:space="preserve"> </v>
      </c>
      <c r="S96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6" s="30" t="str">
        <f>IF(Inventory_List_Table34111510911[[#This Row],[Q]]&lt;0.1, " ",Inventory_List_Table34111510911[[#This Row],[AQ RND USD]]*1.4)</f>
        <v xml:space="preserve"> </v>
      </c>
      <c r="U96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6" s="30" t="str">
        <f>IF(Inventory_List_Table34111510911[[#This Row],[Q]]&lt;0.1, " ",Inventory_List_Table34111510911[[#This Row],[LND RND USD]]*12)</f>
        <v xml:space="preserve"> </v>
      </c>
      <c r="W96" s="30" t="str">
        <f>IF(Inventory_List_Table34111510911[[#This Row],[Q]]&lt;0.1, " ",Inventory_List_Table34111510911[[#This Row],[AQ USD]])</f>
        <v xml:space="preserve"> </v>
      </c>
      <c r="X96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6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6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6" s="30" t="str">
        <f>IF(Inventory_List_Table34111510911[[#This Row],[Q]]&lt;0.1, " ",Inventory_List_Table34111510911[[#This Row],[PRICE]]/Z96*10000)</f>
        <v xml:space="preserve"> </v>
      </c>
      <c r="AB96" s="150"/>
      <c r="AC96" s="1"/>
      <c r="AD96" s="1"/>
    </row>
    <row r="97" spans="1:30" ht="24" customHeight="1" x14ac:dyDescent="0.3">
      <c r="A97" s="154">
        <v>95</v>
      </c>
      <c r="B97" s="1"/>
      <c r="C97" s="151"/>
      <c r="D97" s="151"/>
      <c r="E97" s="151"/>
      <c r="F97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7" s="151"/>
      <c r="H97" s="151"/>
      <c r="I97" s="151"/>
      <c r="J97" s="151"/>
      <c r="K97" s="151"/>
      <c r="L97" s="153"/>
      <c r="M97" s="30" t="str">
        <f>IF(Inventory_List_Table34111510911[[#This Row],[Q]]&lt;0.1, " ", Inventory_List_Table34111510911[[#This Row],[Q]]*Inventory_List_Table34111510911[[#This Row],[PRICE]])</f>
        <v xml:space="preserve"> </v>
      </c>
      <c r="N97" s="35" t="str">
        <f>IF(Inventory_List_Table34111510911[[#This Row],[Q]]&lt;0.1, " ", Inventory_List_Table34111510911[[#This Row],[KG]]*2.20462)</f>
        <v xml:space="preserve"> </v>
      </c>
      <c r="O97" s="35" t="str">
        <f>IF(Inventory_List_Table34111510911[[#This Row],[Q]]&lt;0.1, " ",Inventory_List_Table34111510911[[#This Row],[H CM]]/2.54)</f>
        <v xml:space="preserve"> </v>
      </c>
      <c r="P97" s="35" t="str">
        <f>IF(Inventory_List_Table34111510911[[#This Row],[Q]]&lt;0.1, " ",Inventory_List_Table34111510911[[#This Row],[W CM]]/2.54)</f>
        <v xml:space="preserve"> </v>
      </c>
      <c r="Q97" s="35" t="str">
        <f>IF(Inventory_List_Table34111510911[[#This Row],[Q]]&lt;0.1, " ",Inventory_List_Table34111510911[[#This Row],[D CM ]]/2.54)</f>
        <v xml:space="preserve"> </v>
      </c>
      <c r="R97" s="30" t="str">
        <f>IF(Inventory_List_Table34111510911[[#This Row],[Q]]&lt;0.1, " ",Inventory_List_Table34111510911[[#This Row],[PRICE]]/$L$1)</f>
        <v xml:space="preserve"> </v>
      </c>
      <c r="S97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7" s="30" t="str">
        <f>IF(Inventory_List_Table34111510911[[#This Row],[Q]]&lt;0.1, " ",Inventory_List_Table34111510911[[#This Row],[AQ RND USD]]*1.4)</f>
        <v xml:space="preserve"> </v>
      </c>
      <c r="U97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7" s="30" t="str">
        <f>IF(Inventory_List_Table34111510911[[#This Row],[Q]]&lt;0.1, " ",Inventory_List_Table34111510911[[#This Row],[LND RND USD]]*12)</f>
        <v xml:space="preserve"> </v>
      </c>
      <c r="W97" s="30" t="str">
        <f>IF(Inventory_List_Table34111510911[[#This Row],[Q]]&lt;0.1, " ",Inventory_List_Table34111510911[[#This Row],[AQ USD]])</f>
        <v xml:space="preserve"> </v>
      </c>
      <c r="X97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7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7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7" s="30" t="str">
        <f>IF(Inventory_List_Table34111510911[[#This Row],[Q]]&lt;0.1, " ",Inventory_List_Table34111510911[[#This Row],[PRICE]]/Z97*10000)</f>
        <v xml:space="preserve"> </v>
      </c>
      <c r="AB97" s="150"/>
      <c r="AC97" s="1"/>
      <c r="AD97" s="1"/>
    </row>
    <row r="98" spans="1:30" ht="24" customHeight="1" x14ac:dyDescent="0.3">
      <c r="A98" s="154">
        <v>96</v>
      </c>
      <c r="B98" s="1"/>
      <c r="C98" s="151"/>
      <c r="D98" s="151"/>
      <c r="E98" s="151"/>
      <c r="F98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8" s="151"/>
      <c r="H98" s="151"/>
      <c r="I98" s="151"/>
      <c r="J98" s="151"/>
      <c r="K98" s="151"/>
      <c r="L98" s="153"/>
      <c r="M98" s="30" t="str">
        <f>IF(Inventory_List_Table34111510911[[#This Row],[Q]]&lt;0.1, " ", Inventory_List_Table34111510911[[#This Row],[Q]]*Inventory_List_Table34111510911[[#This Row],[PRICE]])</f>
        <v xml:space="preserve"> </v>
      </c>
      <c r="N98" s="35" t="str">
        <f>IF(Inventory_List_Table34111510911[[#This Row],[Q]]&lt;0.1, " ", Inventory_List_Table34111510911[[#This Row],[KG]]*2.20462)</f>
        <v xml:space="preserve"> </v>
      </c>
      <c r="O98" s="35" t="str">
        <f>IF(Inventory_List_Table34111510911[[#This Row],[Q]]&lt;0.1, " ",Inventory_List_Table34111510911[[#This Row],[H CM]]/2.54)</f>
        <v xml:space="preserve"> </v>
      </c>
      <c r="P98" s="35" t="str">
        <f>IF(Inventory_List_Table34111510911[[#This Row],[Q]]&lt;0.1, " ",Inventory_List_Table34111510911[[#This Row],[W CM]]/2.54)</f>
        <v xml:space="preserve"> </v>
      </c>
      <c r="Q98" s="35" t="str">
        <f>IF(Inventory_List_Table34111510911[[#This Row],[Q]]&lt;0.1, " ",Inventory_List_Table34111510911[[#This Row],[D CM ]]/2.54)</f>
        <v xml:space="preserve"> </v>
      </c>
      <c r="R98" s="30" t="str">
        <f>IF(Inventory_List_Table34111510911[[#This Row],[Q]]&lt;0.1, " ",Inventory_List_Table34111510911[[#This Row],[PRICE]]/$L$1)</f>
        <v xml:space="preserve"> </v>
      </c>
      <c r="S98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8" s="30" t="str">
        <f>IF(Inventory_List_Table34111510911[[#This Row],[Q]]&lt;0.1, " ",Inventory_List_Table34111510911[[#This Row],[AQ RND USD]]*1.4)</f>
        <v xml:space="preserve"> </v>
      </c>
      <c r="U98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8" s="30" t="str">
        <f>IF(Inventory_List_Table34111510911[[#This Row],[Q]]&lt;0.1, " ",Inventory_List_Table34111510911[[#This Row],[LND RND USD]]*12)</f>
        <v xml:space="preserve"> </v>
      </c>
      <c r="W98" s="30" t="str">
        <f>IF(Inventory_List_Table34111510911[[#This Row],[Q]]&lt;0.1, " ",Inventory_List_Table34111510911[[#This Row],[AQ USD]])</f>
        <v xml:space="preserve"> </v>
      </c>
      <c r="X98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8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8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8" s="30" t="str">
        <f>IF(Inventory_List_Table34111510911[[#This Row],[Q]]&lt;0.1, " ",Inventory_List_Table34111510911[[#This Row],[PRICE]]/Z98*10000)</f>
        <v xml:space="preserve"> </v>
      </c>
      <c r="AB98" s="150"/>
      <c r="AC98" s="1"/>
      <c r="AD98" s="1"/>
    </row>
    <row r="99" spans="1:30" ht="24" customHeight="1" x14ac:dyDescent="0.3">
      <c r="A99" s="154">
        <v>97</v>
      </c>
      <c r="B99" s="1"/>
      <c r="C99" s="151"/>
      <c r="D99" s="151"/>
      <c r="E99" s="151"/>
      <c r="F99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99" s="151"/>
      <c r="H99" s="151"/>
      <c r="I99" s="151"/>
      <c r="J99" s="151"/>
      <c r="K99" s="151"/>
      <c r="L99" s="153"/>
      <c r="M99" s="30" t="str">
        <f>IF(Inventory_List_Table34111510911[[#This Row],[Q]]&lt;0.1, " ", Inventory_List_Table34111510911[[#This Row],[Q]]*Inventory_List_Table34111510911[[#This Row],[PRICE]])</f>
        <v xml:space="preserve"> </v>
      </c>
      <c r="N99" s="35" t="str">
        <f>IF(Inventory_List_Table34111510911[[#This Row],[Q]]&lt;0.1, " ", Inventory_List_Table34111510911[[#This Row],[KG]]*2.20462)</f>
        <v xml:space="preserve"> </v>
      </c>
      <c r="O99" s="35" t="str">
        <f>IF(Inventory_List_Table34111510911[[#This Row],[Q]]&lt;0.1, " ",Inventory_List_Table34111510911[[#This Row],[H CM]]/2.54)</f>
        <v xml:space="preserve"> </v>
      </c>
      <c r="P99" s="35" t="str">
        <f>IF(Inventory_List_Table34111510911[[#This Row],[Q]]&lt;0.1, " ",Inventory_List_Table34111510911[[#This Row],[W CM]]/2.54)</f>
        <v xml:space="preserve"> </v>
      </c>
      <c r="Q99" s="35" t="str">
        <f>IF(Inventory_List_Table34111510911[[#This Row],[Q]]&lt;0.1, " ",Inventory_List_Table34111510911[[#This Row],[D CM ]]/2.54)</f>
        <v xml:space="preserve"> </v>
      </c>
      <c r="R99" s="30" t="str">
        <f>IF(Inventory_List_Table34111510911[[#This Row],[Q]]&lt;0.1, " ",Inventory_List_Table34111510911[[#This Row],[PRICE]]/$L$1)</f>
        <v xml:space="preserve"> </v>
      </c>
      <c r="S99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99" s="30" t="str">
        <f>IF(Inventory_List_Table34111510911[[#This Row],[Q]]&lt;0.1, " ",Inventory_List_Table34111510911[[#This Row],[AQ RND USD]]*1.4)</f>
        <v xml:space="preserve"> </v>
      </c>
      <c r="U99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99" s="30" t="str">
        <f>IF(Inventory_List_Table34111510911[[#This Row],[Q]]&lt;0.1, " ",Inventory_List_Table34111510911[[#This Row],[LND RND USD]]*12)</f>
        <v xml:space="preserve"> </v>
      </c>
      <c r="W99" s="30" t="str">
        <f>IF(Inventory_List_Table34111510911[[#This Row],[Q]]&lt;0.1, " ",Inventory_List_Table34111510911[[#This Row],[AQ USD]])</f>
        <v xml:space="preserve"> </v>
      </c>
      <c r="X99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99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99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99" s="30" t="str">
        <f>IF(Inventory_List_Table34111510911[[#This Row],[Q]]&lt;0.1, " ",Inventory_List_Table34111510911[[#This Row],[PRICE]]/Z99*10000)</f>
        <v xml:space="preserve"> </v>
      </c>
      <c r="AB99" s="150"/>
      <c r="AC99" s="1"/>
      <c r="AD99" s="1"/>
    </row>
    <row r="100" spans="1:30" ht="24" customHeight="1" x14ac:dyDescent="0.3">
      <c r="A100" s="154">
        <v>98</v>
      </c>
      <c r="B100" s="1"/>
      <c r="C100" s="151"/>
      <c r="D100" s="151"/>
      <c r="E100" s="151"/>
      <c r="F100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00" s="151"/>
      <c r="H100" s="151"/>
      <c r="I100" s="151"/>
      <c r="J100" s="151"/>
      <c r="K100" s="151"/>
      <c r="L100" s="153"/>
      <c r="M100" s="30" t="str">
        <f>IF(Inventory_List_Table34111510911[[#This Row],[Q]]&lt;0.1, " ", Inventory_List_Table34111510911[[#This Row],[Q]]*Inventory_List_Table34111510911[[#This Row],[PRICE]])</f>
        <v xml:space="preserve"> </v>
      </c>
      <c r="N100" s="35" t="str">
        <f>IF(Inventory_List_Table34111510911[[#This Row],[Q]]&lt;0.1, " ", Inventory_List_Table34111510911[[#This Row],[KG]]*2.20462)</f>
        <v xml:space="preserve"> </v>
      </c>
      <c r="O100" s="35" t="str">
        <f>IF(Inventory_List_Table34111510911[[#This Row],[Q]]&lt;0.1, " ",Inventory_List_Table34111510911[[#This Row],[H CM]]/2.54)</f>
        <v xml:space="preserve"> </v>
      </c>
      <c r="P100" s="35" t="str">
        <f>IF(Inventory_List_Table34111510911[[#This Row],[Q]]&lt;0.1, " ",Inventory_List_Table34111510911[[#This Row],[W CM]]/2.54)</f>
        <v xml:space="preserve"> </v>
      </c>
      <c r="Q100" s="35" t="str">
        <f>IF(Inventory_List_Table34111510911[[#This Row],[Q]]&lt;0.1, " ",Inventory_List_Table34111510911[[#This Row],[D CM ]]/2.54)</f>
        <v xml:space="preserve"> </v>
      </c>
      <c r="R100" s="30" t="str">
        <f>IF(Inventory_List_Table34111510911[[#This Row],[Q]]&lt;0.1, " ",Inventory_List_Table34111510911[[#This Row],[PRICE]]/$L$1)</f>
        <v xml:space="preserve"> </v>
      </c>
      <c r="S100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00" s="30" t="str">
        <f>IF(Inventory_List_Table34111510911[[#This Row],[Q]]&lt;0.1, " ",Inventory_List_Table34111510911[[#This Row],[AQ RND USD]]*1.4)</f>
        <v xml:space="preserve"> </v>
      </c>
      <c r="U100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00" s="30" t="str">
        <f>IF(Inventory_List_Table34111510911[[#This Row],[Q]]&lt;0.1, " ",Inventory_List_Table34111510911[[#This Row],[LND RND USD]]*12)</f>
        <v xml:space="preserve"> </v>
      </c>
      <c r="W100" s="30" t="str">
        <f>IF(Inventory_List_Table34111510911[[#This Row],[Q]]&lt;0.1, " ",Inventory_List_Table34111510911[[#This Row],[AQ USD]])</f>
        <v xml:space="preserve"> </v>
      </c>
      <c r="X100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00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00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00" s="30" t="str">
        <f>IF(Inventory_List_Table34111510911[[#This Row],[Q]]&lt;0.1, " ",Inventory_List_Table34111510911[[#This Row],[PRICE]]/Z100*10000)</f>
        <v xml:space="preserve"> </v>
      </c>
      <c r="AB100" s="150"/>
      <c r="AC100" s="1"/>
      <c r="AD100" s="1"/>
    </row>
    <row r="101" spans="1:30" ht="24" customHeight="1" x14ac:dyDescent="0.3">
      <c r="A101" s="154">
        <v>99</v>
      </c>
      <c r="B101" s="1"/>
      <c r="C101" s="151"/>
      <c r="D101" s="151"/>
      <c r="E101" s="151"/>
      <c r="F101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01" s="151"/>
      <c r="H101" s="151"/>
      <c r="I101" s="151"/>
      <c r="J101" s="151"/>
      <c r="K101" s="151"/>
      <c r="L101" s="153"/>
      <c r="M101" s="30" t="str">
        <f>IF(Inventory_List_Table34111510911[[#This Row],[Q]]&lt;0.1, " ", Inventory_List_Table34111510911[[#This Row],[Q]]*Inventory_List_Table34111510911[[#This Row],[PRICE]])</f>
        <v xml:space="preserve"> </v>
      </c>
      <c r="N101" s="35" t="str">
        <f>IF(Inventory_List_Table34111510911[[#This Row],[Q]]&lt;0.1, " ", Inventory_List_Table34111510911[[#This Row],[KG]]*2.20462)</f>
        <v xml:space="preserve"> </v>
      </c>
      <c r="O101" s="35" t="str">
        <f>IF(Inventory_List_Table34111510911[[#This Row],[Q]]&lt;0.1, " ",Inventory_List_Table34111510911[[#This Row],[H CM]]/2.54)</f>
        <v xml:space="preserve"> </v>
      </c>
      <c r="P101" s="35" t="str">
        <f>IF(Inventory_List_Table34111510911[[#This Row],[Q]]&lt;0.1, " ",Inventory_List_Table34111510911[[#This Row],[W CM]]/2.54)</f>
        <v xml:space="preserve"> </v>
      </c>
      <c r="Q101" s="35" t="str">
        <f>IF(Inventory_List_Table34111510911[[#This Row],[Q]]&lt;0.1, " ",Inventory_List_Table34111510911[[#This Row],[D CM ]]/2.54)</f>
        <v xml:space="preserve"> </v>
      </c>
      <c r="R101" s="30" t="str">
        <f>IF(Inventory_List_Table34111510911[[#This Row],[Q]]&lt;0.1, " ",Inventory_List_Table34111510911[[#This Row],[PRICE]]/$L$1)</f>
        <v xml:space="preserve"> </v>
      </c>
      <c r="S101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01" s="30" t="str">
        <f>IF(Inventory_List_Table34111510911[[#This Row],[Q]]&lt;0.1, " ",Inventory_List_Table34111510911[[#This Row],[AQ RND USD]]*1.4)</f>
        <v xml:space="preserve"> </v>
      </c>
      <c r="U101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01" s="30" t="str">
        <f>IF(Inventory_List_Table34111510911[[#This Row],[Q]]&lt;0.1, " ",Inventory_List_Table34111510911[[#This Row],[LND RND USD]]*12)</f>
        <v xml:space="preserve"> </v>
      </c>
      <c r="W101" s="30" t="str">
        <f>IF(Inventory_List_Table34111510911[[#This Row],[Q]]&lt;0.1, " ",Inventory_List_Table34111510911[[#This Row],[AQ USD]])</f>
        <v xml:space="preserve"> </v>
      </c>
      <c r="X101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01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01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01" s="30" t="str">
        <f>IF(Inventory_List_Table34111510911[[#This Row],[Q]]&lt;0.1, " ",Inventory_List_Table34111510911[[#This Row],[PRICE]]/Z101*10000)</f>
        <v xml:space="preserve"> </v>
      </c>
      <c r="AB101" s="150"/>
      <c r="AC101" s="1"/>
      <c r="AD101" s="1"/>
    </row>
    <row r="102" spans="1:30" ht="24" customHeight="1" x14ac:dyDescent="0.3">
      <c r="A102" s="154">
        <v>100</v>
      </c>
      <c r="B102" s="1"/>
      <c r="C102" s="151"/>
      <c r="D102" s="151"/>
      <c r="E102" s="151"/>
      <c r="F102" s="38" t="str">
        <f>IF(Inventory_List_Table34111510911[[#This Row],[Q]]&lt;0.1, " ",$A$1&amp;$D$1&amp;Inventory_List_Table34111510911[[#This Row],['#]]&amp;Inventory_List_Table34111510911[[#This Row],[LC]])</f>
        <v xml:space="preserve"> </v>
      </c>
      <c r="G102" s="151"/>
      <c r="H102" s="151"/>
      <c r="I102" s="151"/>
      <c r="J102" s="151"/>
      <c r="K102" s="151"/>
      <c r="L102" s="153"/>
      <c r="M102" s="30" t="str">
        <f>IF(Inventory_List_Table34111510911[[#This Row],[Q]]&lt;0.1, " ", Inventory_List_Table34111510911[[#This Row],[Q]]*Inventory_List_Table34111510911[[#This Row],[PRICE]])</f>
        <v xml:space="preserve"> </v>
      </c>
      <c r="N102" s="35" t="str">
        <f>IF(Inventory_List_Table34111510911[[#This Row],[Q]]&lt;0.1, " ", Inventory_List_Table34111510911[[#This Row],[KG]]*2.20462)</f>
        <v xml:space="preserve"> </v>
      </c>
      <c r="O102" s="35" t="str">
        <f>IF(Inventory_List_Table34111510911[[#This Row],[Q]]&lt;0.1, " ",Inventory_List_Table34111510911[[#This Row],[H CM]]/2.54)</f>
        <v xml:space="preserve"> </v>
      </c>
      <c r="P102" s="35" t="str">
        <f>IF(Inventory_List_Table34111510911[[#This Row],[Q]]&lt;0.1, " ",Inventory_List_Table34111510911[[#This Row],[W CM]]/2.54)</f>
        <v xml:space="preserve"> </v>
      </c>
      <c r="Q102" s="35" t="str">
        <f>IF(Inventory_List_Table34111510911[[#This Row],[Q]]&lt;0.1, " ",Inventory_List_Table34111510911[[#This Row],[D CM ]]/2.54)</f>
        <v xml:space="preserve"> </v>
      </c>
      <c r="R102" s="30" t="str">
        <f>IF(Inventory_List_Table34111510911[[#This Row],[Q]]&lt;0.1, " ",Inventory_List_Table34111510911[[#This Row],[PRICE]]/$L$1)</f>
        <v xml:space="preserve"> </v>
      </c>
      <c r="S102" s="30" t="str">
        <f>IF(Inventory_List_Table34111510911[[#This Row],[Q]]&lt;0.1, " ",IF(MOD(Inventory_List_Table34111510911[[#This Row],[AQ USD]],1)&gt;0.4,ROUNDUP(Inventory_List_Table34111510911[[#This Row],[AQ USD]],0),ROUNDDOWN(Inventory_List_Table34111510911[[#This Row],[AQ USD]],0)))</f>
        <v xml:space="preserve"> </v>
      </c>
      <c r="T102" s="30" t="str">
        <f>IF(Inventory_List_Table34111510911[[#This Row],[Q]]&lt;0.1, " ",Inventory_List_Table34111510911[[#This Row],[AQ RND USD]]*1.4)</f>
        <v xml:space="preserve"> </v>
      </c>
      <c r="U102" s="30" t="str">
        <f>IF(Inventory_List_Table34111510911[[#This Row],[Q]]&lt;0.1, " ",IF(MOD(Inventory_List_Table34111510911[[#This Row],[LND USD]],1)&gt;0.4,ROUNDUP(Inventory_List_Table34111510911[[#This Row],[LND USD]],0),ROUNDDOWN(Inventory_List_Table34111510911[[#This Row],[LND USD]],0)))</f>
        <v xml:space="preserve"> </v>
      </c>
      <c r="V102" s="30" t="str">
        <f>IF(Inventory_List_Table34111510911[[#This Row],[Q]]&lt;0.1, " ",Inventory_List_Table34111510911[[#This Row],[LND RND USD]]*12)</f>
        <v xml:space="preserve"> </v>
      </c>
      <c r="W102" s="30" t="str">
        <f>IF(Inventory_List_Table34111510911[[#This Row],[Q]]&lt;0.1, " ",Inventory_List_Table34111510911[[#This Row],[AQ USD]])</f>
        <v xml:space="preserve"> </v>
      </c>
      <c r="X102" s="1" t="str">
        <f>IF(Inventory_List_Table34111510911[[#This Row],[Q]]&lt;0.1, " ",SUBSTITUTE(SUBSTITUTE(SUBSTITUTE(SUBSTITUTE(SUBSTITUTE(SUBSTITUTE(SUBSTITUTE(SUBSTITUTE(SUBSTITUTE(SUBSTITUTE(Inventory_List_Table34111510911[[#This Row],[AQ RND USD]], "1", "M"), "2", "O"), "3", "X"), "4", "H"), "5", "E"), "6", "L"), "7", "F"), "8", "A"), "9", "N"), "0", "D"))</f>
        <v xml:space="preserve"> </v>
      </c>
      <c r="Y102" s="1" t="str">
        <f>IF(Inventory_List_Table34111510911[[#This Row],[Q]]&lt;0.1, " ",SUBSTITUTE(SUBSTITUTE(SUBSTITUTE(SUBSTITUTE(SUBSTITUTE(SUBSTITUTE(SUBSTITUTE(SUBSTITUTE(SUBSTITUTE(SUBSTITUTE(Inventory_List_Table34111510911[[#This Row],[LND RND USD]], "1", "M"), "2", "O"), "3", "X"), "4", "H"), "5", "E"), "6", "L"), "7", "F"), "8", "A"), "9", "N"), "0", "D"))</f>
        <v xml:space="preserve"> </v>
      </c>
      <c r="Z102" s="1" t="str">
        <f>IF(Inventory_List_Table34111510911[[#This Row],[Q]]&lt;0.1, " ",Inventory_List_Table34111510911[[#This Row],[H CM]]*Inventory_List_Table34111510911[[#This Row],[D CM ]]*4+Inventory_List_Table34111510911[[#This Row],[W CM]]*Inventory_List_Table34111510911[[#This Row],[D CM ]]/10000)</f>
        <v xml:space="preserve"> </v>
      </c>
      <c r="AA102" s="30" t="str">
        <f>IF(Inventory_List_Table34111510911[[#This Row],[Q]]&lt;0.1, " ",Inventory_List_Table34111510911[[#This Row],[PRICE]]/Z102*10000)</f>
        <v xml:space="preserve"> </v>
      </c>
      <c r="AB102" s="150"/>
      <c r="AC102" s="1"/>
      <c r="AD102" s="1"/>
    </row>
  </sheetData>
  <dataValidations count="12">
    <dataValidation allowBlank="1" showInputMessage="1" showErrorMessage="1" prompt="Enter company name in this cell" sqref="B1" xr:uid="{2347DE08-7F4B-45F8-B6FF-044897F40054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C8C1DD35-ED19-4E54-9E2D-A8AC9DC34134}"/>
    <dataValidation allowBlank="1" showInputMessage="1" showErrorMessage="1" prompt="Enter the item inventory ID in this column" sqref="E2:E3" xr:uid="{76217D73-AFCF-498C-ABF3-678F4395F660}"/>
    <dataValidation allowBlank="1" showInputMessage="1" showErrorMessage="1" prompt="Enter the name of the item in this column" sqref="F2:F102" xr:uid="{B9695062-8E0F-4DAB-8F72-8D5BFB942066}"/>
    <dataValidation allowBlank="1" showInputMessage="1" showErrorMessage="1" prompt="Enter yes if the item has been discontinued. When a yes is entered, the corresponding row is highlighted a light grey and the font style changed to strikethrough" sqref="P2:P3" xr:uid="{6407553E-5023-4170-858F-E1233CE0A45B}"/>
    <dataValidation allowBlank="1" showInputMessage="1" showErrorMessage="1" prompt="Enter the quantity in reorder for each item in this column" sqref="O2:O3" xr:uid="{52DB30D3-B2C2-4662-9BB0-F01C3E7CE906}"/>
    <dataValidation allowBlank="1" showInputMessage="1" showErrorMessage="1" prompt="Enter the number of days it takes to reorder each item in this column" sqref="L2:N3" xr:uid="{DBBC5B4B-E7E9-4F9C-B77E-F5EF4E937EEB}"/>
    <dataValidation allowBlank="1" showInputMessage="1" showErrorMessage="1" prompt="Enter the reorder level for each item in this column" sqref="K2:K3" xr:uid="{923FC61C-C13A-4B3D-B81E-94B7BF8FF57F}"/>
    <dataValidation allowBlank="1" showInputMessage="1" showErrorMessage="1" prompt="This is an automated column._x000a__x000a_The inventory value for each item is automatically calculated in this column." sqref="J2:J3" xr:uid="{4F8CCF42-23D3-4F33-9D4E-5DDF57552D5A}"/>
    <dataValidation allowBlank="1" showInputMessage="1" showErrorMessage="1" prompt="Enter the quantity in stock for each item in this column" sqref="I2:I3" xr:uid="{0D47503E-1DDB-4915-95AF-40B351C218AD}"/>
    <dataValidation allowBlank="1" showInputMessage="1" showErrorMessage="1" prompt="Enter the unit price of each item in this column" sqref="H2:H3" xr:uid="{0F100214-9F0D-428F-9ED0-4293D8ADE1CC}"/>
    <dataValidation allowBlank="1" showInputMessage="1" showErrorMessage="1" prompt="Enter a description of the item in this column" sqref="G2:G3" xr:uid="{BD3FDB11-7C59-41D7-ACBD-7DB6287A941C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139E-04D1-4197-910E-C97A8DFE1358}">
  <sheetPr>
    <tabColor rgb="FFB19CD9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2.5" style="29" customWidth="1"/>
    <col min="3" max="3" width="14.75" style="29" customWidth="1"/>
    <col min="4" max="4" width="14.625" style="29" bestFit="1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155" t="s">
        <v>77</v>
      </c>
      <c r="B1" s="156" t="s">
        <v>78</v>
      </c>
      <c r="C1" s="156" t="s">
        <v>17</v>
      </c>
      <c r="D1" s="156">
        <v>326</v>
      </c>
      <c r="E1" s="156"/>
      <c r="F1" s="156"/>
      <c r="G1" s="156"/>
      <c r="H1" s="156"/>
      <c r="I1" s="156"/>
      <c r="J1" s="162"/>
      <c r="K1" s="156" t="s">
        <v>18</v>
      </c>
      <c r="L1" s="163">
        <v>18</v>
      </c>
      <c r="M1" s="167">
        <f>SUM(Inventory_List_Table3411151091113[TOTAL PESOS])</f>
        <v>0</v>
      </c>
      <c r="N1" s="168"/>
      <c r="O1" s="168"/>
      <c r="P1" s="168"/>
      <c r="Q1" s="169"/>
      <c r="R1" s="170"/>
      <c r="S1" s="171"/>
      <c r="T1" s="172"/>
      <c r="U1" s="172"/>
      <c r="V1" s="172"/>
      <c r="W1" s="173">
        <f>SUM(Inventory_List_Table3411151091113[TOTAL USD])</f>
        <v>0</v>
      </c>
      <c r="X1" s="174"/>
      <c r="Y1" s="174"/>
      <c r="Z1" s="174"/>
      <c r="AA1" s="175" t="str">
        <f>IF(G3&gt;0.1, AVERAGE(Inventory_List_Table3411151091113[NOTES]), " ")</f>
        <v xml:space="preserve"> </v>
      </c>
      <c r="AB1" s="170"/>
    </row>
    <row r="2" spans="1:30" s="39" customFormat="1" ht="40.9" customHeight="1" x14ac:dyDescent="0.25">
      <c r="A2" s="160" t="s">
        <v>19</v>
      </c>
      <c r="B2" s="157" t="s">
        <v>56</v>
      </c>
      <c r="C2" s="157" t="s">
        <v>146</v>
      </c>
      <c r="D2" s="157" t="s">
        <v>145</v>
      </c>
      <c r="E2" s="157" t="s">
        <v>55</v>
      </c>
      <c r="F2" s="160" t="s">
        <v>20</v>
      </c>
      <c r="G2" s="160" t="s">
        <v>9</v>
      </c>
      <c r="H2" s="160" t="s">
        <v>10</v>
      </c>
      <c r="I2" s="160" t="s">
        <v>15</v>
      </c>
      <c r="J2" s="160" t="s">
        <v>11</v>
      </c>
      <c r="K2" s="160" t="s">
        <v>12</v>
      </c>
      <c r="L2" s="157" t="s">
        <v>25</v>
      </c>
      <c r="M2" s="176" t="s">
        <v>21</v>
      </c>
      <c r="N2" s="177" t="s">
        <v>13</v>
      </c>
      <c r="O2" s="177" t="s">
        <v>22</v>
      </c>
      <c r="P2" s="177" t="s">
        <v>23</v>
      </c>
      <c r="Q2" s="177" t="s">
        <v>24</v>
      </c>
      <c r="R2" s="178" t="s">
        <v>57</v>
      </c>
      <c r="S2" s="157" t="s">
        <v>58</v>
      </c>
      <c r="T2" s="178" t="s">
        <v>59</v>
      </c>
      <c r="U2" s="178" t="s">
        <v>60</v>
      </c>
      <c r="V2" s="178" t="s">
        <v>61</v>
      </c>
      <c r="W2" s="179" t="s">
        <v>14</v>
      </c>
      <c r="X2" s="179" t="s">
        <v>16</v>
      </c>
      <c r="Y2" s="179" t="s">
        <v>1</v>
      </c>
      <c r="Z2" s="156" t="s">
        <v>62</v>
      </c>
      <c r="AA2" s="163" t="s">
        <v>63</v>
      </c>
      <c r="AB2" s="156" t="s">
        <v>64</v>
      </c>
    </row>
    <row r="3" spans="1:30" s="29" customFormat="1" ht="23.25" x14ac:dyDescent="0.35">
      <c r="A3" s="161">
        <v>1</v>
      </c>
      <c r="B3" s="1"/>
      <c r="C3" s="158"/>
      <c r="D3" s="158"/>
      <c r="E3" s="158"/>
      <c r="F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" s="164"/>
      <c r="H3" s="164"/>
      <c r="I3" s="164"/>
      <c r="J3" s="164"/>
      <c r="K3" s="164"/>
      <c r="L3" s="165"/>
      <c r="M3" s="30" t="str">
        <f>IF(Inventory_List_Table3411151091113[[#This Row],[Q]]&lt;0.1, " ", Inventory_List_Table3411151091113[[#This Row],[Q]]*Inventory_List_Table3411151091113[[#This Row],[PRICE]])</f>
        <v xml:space="preserve"> </v>
      </c>
      <c r="N3" s="35" t="str">
        <f>IF(Inventory_List_Table3411151091113[[#This Row],[Q]]&lt;0.1, " ", Inventory_List_Table3411151091113[[#This Row],[KG]]*2.20462)</f>
        <v xml:space="preserve"> </v>
      </c>
      <c r="O3" s="35" t="str">
        <f>IF(Inventory_List_Table3411151091113[[#This Row],[Q]]&lt;0.1, " ",Inventory_List_Table3411151091113[[#This Row],[H CM]]/2.54)</f>
        <v xml:space="preserve"> </v>
      </c>
      <c r="P3" s="35" t="str">
        <f>IF(Inventory_List_Table3411151091113[[#This Row],[Q]]&lt;0.1, " ",Inventory_List_Table3411151091113[[#This Row],[W CM]]/2.54)</f>
        <v xml:space="preserve"> </v>
      </c>
      <c r="Q3" s="35" t="str">
        <f>IF(Inventory_List_Table3411151091113[[#This Row],[Q]]&lt;0.1, " ",Inventory_List_Table3411151091113[[#This Row],[D CM ]]/2.54)</f>
        <v xml:space="preserve"> </v>
      </c>
      <c r="R3" s="30" t="str">
        <f>IF(Inventory_List_Table3411151091113[[#This Row],[Q]]&lt;0.1, " ",Inventory_List_Table3411151091113[[#This Row],[PRICE]]/$L$1)</f>
        <v xml:space="preserve"> </v>
      </c>
      <c r="S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" s="30" t="str">
        <f>IF(Inventory_List_Table3411151091113[[#This Row],[Q]]&lt;0.1, " ",Inventory_List_Table3411151091113[[#This Row],[AQ RND USD]]*1.4)</f>
        <v xml:space="preserve"> </v>
      </c>
      <c r="U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" s="30" t="str">
        <f>IF(Inventory_List_Table3411151091113[[#This Row],[Q]]&lt;0.1, " ",Inventory_List_Table3411151091113[[#This Row],[LND RND USD]]*12)</f>
        <v xml:space="preserve"> </v>
      </c>
      <c r="W3" s="30" t="str">
        <f>IF(Inventory_List_Table3411151091113[[#This Row],[Q]]&lt;0.1, " ",Inventory_List_Table3411151091113[[#This Row],[AQ USD]])</f>
        <v xml:space="preserve"> </v>
      </c>
      <c r="X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" s="36" t="str">
        <f>IF(Inventory_List_Table3411151091113[[#This Row],[Q]]&lt;0.1, " ",Inventory_List_Table3411151091113[[#This Row],[PRICE]]/Z3*10000)</f>
        <v xml:space="preserve"> </v>
      </c>
      <c r="AB3" s="159"/>
      <c r="AC3" s="27"/>
      <c r="AD3" s="28"/>
    </row>
    <row r="4" spans="1:30" ht="21" x14ac:dyDescent="0.3">
      <c r="A4" s="161">
        <v>2</v>
      </c>
      <c r="B4" s="1"/>
      <c r="C4" s="158"/>
      <c r="D4" s="158"/>
      <c r="E4" s="158"/>
      <c r="F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" s="164"/>
      <c r="H4" s="164"/>
      <c r="I4" s="164"/>
      <c r="J4" s="164"/>
      <c r="K4" s="164"/>
      <c r="L4" s="166"/>
      <c r="M4" s="30" t="str">
        <f>IF(Inventory_List_Table3411151091113[[#This Row],[Q]]&lt;0.1, " ", Inventory_List_Table3411151091113[[#This Row],[Q]]*Inventory_List_Table3411151091113[[#This Row],[PRICE]])</f>
        <v xml:space="preserve"> </v>
      </c>
      <c r="N4" s="35" t="str">
        <f>IF(Inventory_List_Table3411151091113[[#This Row],[Q]]&lt;0.1, " ", Inventory_List_Table3411151091113[[#This Row],[KG]]*2.20462)</f>
        <v xml:space="preserve"> </v>
      </c>
      <c r="O4" s="35" t="str">
        <f>IF(Inventory_List_Table3411151091113[[#This Row],[Q]]&lt;0.1, " ",Inventory_List_Table3411151091113[[#This Row],[H CM]]/2.54)</f>
        <v xml:space="preserve"> </v>
      </c>
      <c r="P4" s="35" t="str">
        <f>IF(Inventory_List_Table3411151091113[[#This Row],[Q]]&lt;0.1, " ",Inventory_List_Table3411151091113[[#This Row],[W CM]]/2.54)</f>
        <v xml:space="preserve"> </v>
      </c>
      <c r="Q4" s="35" t="str">
        <f>IF(Inventory_List_Table3411151091113[[#This Row],[Q]]&lt;0.1, " ",Inventory_List_Table3411151091113[[#This Row],[D CM ]]/2.54)</f>
        <v xml:space="preserve"> </v>
      </c>
      <c r="R4" s="30" t="str">
        <f>IF(Inventory_List_Table3411151091113[[#This Row],[Q]]&lt;0.1, " ",Inventory_List_Table3411151091113[[#This Row],[PRICE]]/$L$1)</f>
        <v xml:space="preserve"> </v>
      </c>
      <c r="S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" s="30" t="str">
        <f>IF(Inventory_List_Table3411151091113[[#This Row],[Q]]&lt;0.1, " ",Inventory_List_Table3411151091113[[#This Row],[AQ RND USD]]*1.4)</f>
        <v xml:space="preserve"> </v>
      </c>
      <c r="U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" s="30" t="str">
        <f>IF(Inventory_List_Table3411151091113[[#This Row],[Q]]&lt;0.1, " ",Inventory_List_Table3411151091113[[#This Row],[LND RND USD]]*12)</f>
        <v xml:space="preserve"> </v>
      </c>
      <c r="W4" s="30" t="str">
        <f>IF(Inventory_List_Table3411151091113[[#This Row],[Q]]&lt;0.1, " ",Inventory_List_Table3411151091113[[#This Row],[AQ USD]])</f>
        <v xml:space="preserve"> </v>
      </c>
      <c r="X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" s="30" t="str">
        <f>IF(Inventory_List_Table3411151091113[[#This Row],[Q]]&lt;0.1, " ",Inventory_List_Table3411151091113[[#This Row],[PRICE]]/Z4*10000)</f>
        <v xml:space="preserve"> </v>
      </c>
      <c r="AB4" s="180"/>
      <c r="AC4" s="1"/>
      <c r="AD4" s="1"/>
    </row>
    <row r="5" spans="1:30" ht="21" x14ac:dyDescent="0.3">
      <c r="A5" s="161">
        <v>3</v>
      </c>
      <c r="B5" s="1"/>
      <c r="C5" s="158"/>
      <c r="D5" s="158"/>
      <c r="E5" s="158"/>
      <c r="F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" s="164"/>
      <c r="H5" s="164"/>
      <c r="I5" s="164"/>
      <c r="J5" s="164"/>
      <c r="K5" s="164"/>
      <c r="L5" s="166"/>
      <c r="M5" s="30" t="str">
        <f>IF(Inventory_List_Table3411151091113[[#This Row],[Q]]&lt;0.1, " ", Inventory_List_Table3411151091113[[#This Row],[Q]]*Inventory_List_Table3411151091113[[#This Row],[PRICE]])</f>
        <v xml:space="preserve"> </v>
      </c>
      <c r="N5" s="35" t="str">
        <f>IF(Inventory_List_Table3411151091113[[#This Row],[Q]]&lt;0.1, " ", Inventory_List_Table3411151091113[[#This Row],[KG]]*2.20462)</f>
        <v xml:space="preserve"> </v>
      </c>
      <c r="O5" s="35" t="str">
        <f>IF(Inventory_List_Table3411151091113[[#This Row],[Q]]&lt;0.1, " ",Inventory_List_Table3411151091113[[#This Row],[H CM]]/2.54)</f>
        <v xml:space="preserve"> </v>
      </c>
      <c r="P5" s="35" t="str">
        <f>IF(Inventory_List_Table3411151091113[[#This Row],[Q]]&lt;0.1, " ",Inventory_List_Table3411151091113[[#This Row],[W CM]]/2.54)</f>
        <v xml:space="preserve"> </v>
      </c>
      <c r="Q5" s="35" t="str">
        <f>IF(Inventory_List_Table3411151091113[[#This Row],[Q]]&lt;0.1, " ",Inventory_List_Table3411151091113[[#This Row],[D CM ]]/2.54)</f>
        <v xml:space="preserve"> </v>
      </c>
      <c r="R5" s="30" t="str">
        <f>IF(Inventory_List_Table3411151091113[[#This Row],[Q]]&lt;0.1, " ",Inventory_List_Table3411151091113[[#This Row],[PRICE]]/$L$1)</f>
        <v xml:space="preserve"> </v>
      </c>
      <c r="S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" s="30" t="str">
        <f>IF(Inventory_List_Table3411151091113[[#This Row],[Q]]&lt;0.1, " ",Inventory_List_Table3411151091113[[#This Row],[AQ RND USD]]*1.4)</f>
        <v xml:space="preserve"> </v>
      </c>
      <c r="U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" s="30" t="str">
        <f>IF(Inventory_List_Table3411151091113[[#This Row],[Q]]&lt;0.1, " ",Inventory_List_Table3411151091113[[#This Row],[LND RND USD]]*12)</f>
        <v xml:space="preserve"> </v>
      </c>
      <c r="W5" s="30" t="str">
        <f>IF(Inventory_List_Table3411151091113[[#This Row],[Q]]&lt;0.1, " ",Inventory_List_Table3411151091113[[#This Row],[AQ USD]])</f>
        <v xml:space="preserve"> </v>
      </c>
      <c r="X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" s="30" t="str">
        <f>IF(Inventory_List_Table3411151091113[[#This Row],[Q]]&lt;0.1, " ",Inventory_List_Table3411151091113[[#This Row],[PRICE]]/Z5*10000)</f>
        <v xml:space="preserve"> </v>
      </c>
      <c r="AB5" s="180"/>
      <c r="AC5" s="1"/>
      <c r="AD5" s="1"/>
    </row>
    <row r="6" spans="1:30" ht="24" customHeight="1" x14ac:dyDescent="0.3">
      <c r="A6" s="161">
        <v>4</v>
      </c>
      <c r="B6" s="1"/>
      <c r="C6" s="158"/>
      <c r="D6" s="158"/>
      <c r="E6" s="158"/>
      <c r="F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" s="164"/>
      <c r="H6" s="164"/>
      <c r="I6" s="164"/>
      <c r="J6" s="164"/>
      <c r="K6" s="164"/>
      <c r="L6" s="166"/>
      <c r="M6" s="30" t="str">
        <f>IF(Inventory_List_Table3411151091113[[#This Row],[Q]]&lt;0.1, " ", Inventory_List_Table3411151091113[[#This Row],[Q]]*Inventory_List_Table3411151091113[[#This Row],[PRICE]])</f>
        <v xml:space="preserve"> </v>
      </c>
      <c r="N6" s="35" t="str">
        <f>IF(Inventory_List_Table3411151091113[[#This Row],[Q]]&lt;0.1, " ", Inventory_List_Table3411151091113[[#This Row],[KG]]*2.20462)</f>
        <v xml:space="preserve"> </v>
      </c>
      <c r="O6" s="35" t="str">
        <f>IF(Inventory_List_Table3411151091113[[#This Row],[Q]]&lt;0.1, " ",Inventory_List_Table3411151091113[[#This Row],[H CM]]/2.54)</f>
        <v xml:space="preserve"> </v>
      </c>
      <c r="P6" s="35" t="str">
        <f>IF(Inventory_List_Table3411151091113[[#This Row],[Q]]&lt;0.1, " ",Inventory_List_Table3411151091113[[#This Row],[W CM]]/2.54)</f>
        <v xml:space="preserve"> </v>
      </c>
      <c r="Q6" s="35" t="str">
        <f>IF(Inventory_List_Table3411151091113[[#This Row],[Q]]&lt;0.1, " ",Inventory_List_Table3411151091113[[#This Row],[D CM ]]/2.54)</f>
        <v xml:space="preserve"> </v>
      </c>
      <c r="R6" s="30" t="str">
        <f>IF(Inventory_List_Table3411151091113[[#This Row],[Q]]&lt;0.1, " ",Inventory_List_Table3411151091113[[#This Row],[PRICE]]/$L$1)</f>
        <v xml:space="preserve"> </v>
      </c>
      <c r="S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" s="30" t="str">
        <f>IF(Inventory_List_Table3411151091113[[#This Row],[Q]]&lt;0.1, " ",Inventory_List_Table3411151091113[[#This Row],[AQ RND USD]]*1.4)</f>
        <v xml:space="preserve"> </v>
      </c>
      <c r="U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" s="30" t="str">
        <f>IF(Inventory_List_Table3411151091113[[#This Row],[Q]]&lt;0.1, " ",Inventory_List_Table3411151091113[[#This Row],[LND RND USD]]*12)</f>
        <v xml:space="preserve"> </v>
      </c>
      <c r="W6" s="30" t="str">
        <f>IF(Inventory_List_Table3411151091113[[#This Row],[Q]]&lt;0.1, " ",Inventory_List_Table3411151091113[[#This Row],[AQ USD]])</f>
        <v xml:space="preserve"> </v>
      </c>
      <c r="X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" s="30" t="str">
        <f>IF(Inventory_List_Table3411151091113[[#This Row],[Q]]&lt;0.1, " ",Inventory_List_Table3411151091113[[#This Row],[PRICE]]/Z6*10000)</f>
        <v xml:space="preserve"> </v>
      </c>
      <c r="AB6" s="180"/>
      <c r="AC6" s="1"/>
      <c r="AD6" s="1"/>
    </row>
    <row r="7" spans="1:30" ht="24" customHeight="1" x14ac:dyDescent="0.3">
      <c r="A7" s="161">
        <v>5</v>
      </c>
      <c r="B7" s="1"/>
      <c r="C7" s="158"/>
      <c r="D7" s="158"/>
      <c r="E7" s="158"/>
      <c r="F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" s="164"/>
      <c r="H7" s="164"/>
      <c r="I7" s="164"/>
      <c r="J7" s="164"/>
      <c r="K7" s="164"/>
      <c r="L7" s="166"/>
      <c r="M7" s="30" t="str">
        <f>IF(Inventory_List_Table3411151091113[[#This Row],[Q]]&lt;0.1, " ", Inventory_List_Table3411151091113[[#This Row],[Q]]*Inventory_List_Table3411151091113[[#This Row],[PRICE]])</f>
        <v xml:space="preserve"> </v>
      </c>
      <c r="N7" s="35" t="str">
        <f>IF(Inventory_List_Table3411151091113[[#This Row],[Q]]&lt;0.1, " ", Inventory_List_Table3411151091113[[#This Row],[KG]]*2.20462)</f>
        <v xml:space="preserve"> </v>
      </c>
      <c r="O7" s="35" t="str">
        <f>IF(Inventory_List_Table3411151091113[[#This Row],[Q]]&lt;0.1, " ",Inventory_List_Table3411151091113[[#This Row],[H CM]]/2.54)</f>
        <v xml:space="preserve"> </v>
      </c>
      <c r="P7" s="35" t="str">
        <f>IF(Inventory_List_Table3411151091113[[#This Row],[Q]]&lt;0.1, " ",Inventory_List_Table3411151091113[[#This Row],[W CM]]/2.54)</f>
        <v xml:space="preserve"> </v>
      </c>
      <c r="Q7" s="35" t="str">
        <f>IF(Inventory_List_Table3411151091113[[#This Row],[Q]]&lt;0.1, " ",Inventory_List_Table3411151091113[[#This Row],[D CM ]]/2.54)</f>
        <v xml:space="preserve"> </v>
      </c>
      <c r="R7" s="30" t="str">
        <f>IF(Inventory_List_Table3411151091113[[#This Row],[Q]]&lt;0.1, " ",Inventory_List_Table3411151091113[[#This Row],[PRICE]]/$L$1)</f>
        <v xml:space="preserve"> </v>
      </c>
      <c r="S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" s="30" t="str">
        <f>IF(Inventory_List_Table3411151091113[[#This Row],[Q]]&lt;0.1, " ",Inventory_List_Table3411151091113[[#This Row],[AQ RND USD]]*1.4)</f>
        <v xml:space="preserve"> </v>
      </c>
      <c r="U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" s="30" t="str">
        <f>IF(Inventory_List_Table3411151091113[[#This Row],[Q]]&lt;0.1, " ",Inventory_List_Table3411151091113[[#This Row],[LND RND USD]]*12)</f>
        <v xml:space="preserve"> </v>
      </c>
      <c r="W7" s="30" t="str">
        <f>IF(Inventory_List_Table3411151091113[[#This Row],[Q]]&lt;0.1, " ",Inventory_List_Table3411151091113[[#This Row],[AQ USD]])</f>
        <v xml:space="preserve"> </v>
      </c>
      <c r="X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" s="30" t="str">
        <f>IF(Inventory_List_Table3411151091113[[#This Row],[Q]]&lt;0.1, " ",Inventory_List_Table3411151091113[[#This Row],[PRICE]]/Z7*10000)</f>
        <v xml:space="preserve"> </v>
      </c>
      <c r="AB7" s="180"/>
      <c r="AC7" s="1"/>
      <c r="AD7" s="1"/>
    </row>
    <row r="8" spans="1:30" ht="24" customHeight="1" x14ac:dyDescent="0.3">
      <c r="A8" s="161">
        <v>6</v>
      </c>
      <c r="B8" s="1"/>
      <c r="C8" s="158"/>
      <c r="D8" s="158"/>
      <c r="E8" s="158"/>
      <c r="F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" s="164"/>
      <c r="H8" s="164"/>
      <c r="I8" s="164"/>
      <c r="J8" s="164"/>
      <c r="K8" s="164"/>
      <c r="L8" s="166"/>
      <c r="M8" s="30" t="str">
        <f>IF(Inventory_List_Table3411151091113[[#This Row],[Q]]&lt;0.1, " ", Inventory_List_Table3411151091113[[#This Row],[Q]]*Inventory_List_Table3411151091113[[#This Row],[PRICE]])</f>
        <v xml:space="preserve"> </v>
      </c>
      <c r="N8" s="35" t="str">
        <f>IF(Inventory_List_Table3411151091113[[#This Row],[Q]]&lt;0.1, " ", Inventory_List_Table3411151091113[[#This Row],[KG]]*2.20462)</f>
        <v xml:space="preserve"> </v>
      </c>
      <c r="O8" s="35" t="str">
        <f>IF(Inventory_List_Table3411151091113[[#This Row],[Q]]&lt;0.1, " ",Inventory_List_Table3411151091113[[#This Row],[H CM]]/2.54)</f>
        <v xml:space="preserve"> </v>
      </c>
      <c r="P8" s="35" t="str">
        <f>IF(Inventory_List_Table3411151091113[[#This Row],[Q]]&lt;0.1, " ",Inventory_List_Table3411151091113[[#This Row],[W CM]]/2.54)</f>
        <v xml:space="preserve"> </v>
      </c>
      <c r="Q8" s="35" t="str">
        <f>IF(Inventory_List_Table3411151091113[[#This Row],[Q]]&lt;0.1, " ",Inventory_List_Table3411151091113[[#This Row],[D CM ]]/2.54)</f>
        <v xml:space="preserve"> </v>
      </c>
      <c r="R8" s="30" t="str">
        <f>IF(Inventory_List_Table3411151091113[[#This Row],[Q]]&lt;0.1, " ",Inventory_List_Table3411151091113[[#This Row],[PRICE]]/$L$1)</f>
        <v xml:space="preserve"> </v>
      </c>
      <c r="S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" s="30" t="str">
        <f>IF(Inventory_List_Table3411151091113[[#This Row],[Q]]&lt;0.1, " ",Inventory_List_Table3411151091113[[#This Row],[AQ RND USD]]*1.4)</f>
        <v xml:space="preserve"> </v>
      </c>
      <c r="U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" s="30" t="str">
        <f>IF(Inventory_List_Table3411151091113[[#This Row],[Q]]&lt;0.1, " ",Inventory_List_Table3411151091113[[#This Row],[LND RND USD]]*12)</f>
        <v xml:space="preserve"> </v>
      </c>
      <c r="W8" s="30" t="str">
        <f>IF(Inventory_List_Table3411151091113[[#This Row],[Q]]&lt;0.1, " ",Inventory_List_Table3411151091113[[#This Row],[AQ USD]])</f>
        <v xml:space="preserve"> </v>
      </c>
      <c r="X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" s="30" t="str">
        <f>IF(Inventory_List_Table3411151091113[[#This Row],[Q]]&lt;0.1, " ",Inventory_List_Table3411151091113[[#This Row],[PRICE]]/Z8*10000)</f>
        <v xml:space="preserve"> </v>
      </c>
      <c r="AB8" s="180"/>
      <c r="AC8" s="1"/>
      <c r="AD8" s="1"/>
    </row>
    <row r="9" spans="1:30" ht="24" customHeight="1" x14ac:dyDescent="0.3">
      <c r="A9" s="161">
        <v>7</v>
      </c>
      <c r="B9" s="1"/>
      <c r="C9" s="158"/>
      <c r="D9" s="158"/>
      <c r="E9" s="158"/>
      <c r="F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" s="164"/>
      <c r="H9" s="164"/>
      <c r="I9" s="164"/>
      <c r="J9" s="164"/>
      <c r="K9" s="164"/>
      <c r="L9" s="166"/>
      <c r="M9" s="30" t="str">
        <f>IF(Inventory_List_Table3411151091113[[#This Row],[Q]]&lt;0.1, " ", Inventory_List_Table3411151091113[[#This Row],[Q]]*Inventory_List_Table3411151091113[[#This Row],[PRICE]])</f>
        <v xml:space="preserve"> </v>
      </c>
      <c r="N9" s="35" t="str">
        <f>IF(Inventory_List_Table3411151091113[[#This Row],[Q]]&lt;0.1, " ", Inventory_List_Table3411151091113[[#This Row],[KG]]*2.20462)</f>
        <v xml:space="preserve"> </v>
      </c>
      <c r="O9" s="35" t="str">
        <f>IF(Inventory_List_Table3411151091113[[#This Row],[Q]]&lt;0.1, " ",Inventory_List_Table3411151091113[[#This Row],[H CM]]/2.54)</f>
        <v xml:space="preserve"> </v>
      </c>
      <c r="P9" s="35" t="str">
        <f>IF(Inventory_List_Table3411151091113[[#This Row],[Q]]&lt;0.1, " ",Inventory_List_Table3411151091113[[#This Row],[W CM]]/2.54)</f>
        <v xml:space="preserve"> </v>
      </c>
      <c r="Q9" s="35" t="str">
        <f>IF(Inventory_List_Table3411151091113[[#This Row],[Q]]&lt;0.1, " ",Inventory_List_Table3411151091113[[#This Row],[D CM ]]/2.54)</f>
        <v xml:space="preserve"> </v>
      </c>
      <c r="R9" s="30" t="str">
        <f>IF(Inventory_List_Table3411151091113[[#This Row],[Q]]&lt;0.1, " ",Inventory_List_Table3411151091113[[#This Row],[PRICE]]/$L$1)</f>
        <v xml:space="preserve"> </v>
      </c>
      <c r="S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" s="30" t="str">
        <f>IF(Inventory_List_Table3411151091113[[#This Row],[Q]]&lt;0.1, " ",Inventory_List_Table3411151091113[[#This Row],[AQ RND USD]]*1.4)</f>
        <v xml:space="preserve"> </v>
      </c>
      <c r="U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" s="30" t="str">
        <f>IF(Inventory_List_Table3411151091113[[#This Row],[Q]]&lt;0.1, " ",Inventory_List_Table3411151091113[[#This Row],[LND RND USD]]*12)</f>
        <v xml:space="preserve"> </v>
      </c>
      <c r="W9" s="30" t="str">
        <f>IF(Inventory_List_Table3411151091113[[#This Row],[Q]]&lt;0.1, " ",Inventory_List_Table3411151091113[[#This Row],[AQ USD]])</f>
        <v xml:space="preserve"> </v>
      </c>
      <c r="X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" s="30" t="str">
        <f>IF(Inventory_List_Table3411151091113[[#This Row],[Q]]&lt;0.1, " ",Inventory_List_Table3411151091113[[#This Row],[PRICE]]/Z9*10000)</f>
        <v xml:space="preserve"> </v>
      </c>
      <c r="AB9" s="180"/>
      <c r="AC9" s="1"/>
      <c r="AD9" s="1"/>
    </row>
    <row r="10" spans="1:30" ht="24" customHeight="1" x14ac:dyDescent="0.3">
      <c r="A10" s="161">
        <v>8</v>
      </c>
      <c r="B10" s="1"/>
      <c r="C10" s="158"/>
      <c r="D10" s="158"/>
      <c r="E10" s="158"/>
      <c r="F1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0" s="164"/>
      <c r="H10" s="164"/>
      <c r="I10" s="164"/>
      <c r="J10" s="164"/>
      <c r="K10" s="164"/>
      <c r="L10" s="166"/>
      <c r="M10" s="30" t="str">
        <f>IF(Inventory_List_Table3411151091113[[#This Row],[Q]]&lt;0.1, " ", Inventory_List_Table3411151091113[[#This Row],[Q]]*Inventory_List_Table3411151091113[[#This Row],[PRICE]])</f>
        <v xml:space="preserve"> </v>
      </c>
      <c r="N10" s="35" t="str">
        <f>IF(Inventory_List_Table3411151091113[[#This Row],[Q]]&lt;0.1, " ", Inventory_List_Table3411151091113[[#This Row],[KG]]*2.20462)</f>
        <v xml:space="preserve"> </v>
      </c>
      <c r="O10" s="35" t="str">
        <f>IF(Inventory_List_Table3411151091113[[#This Row],[Q]]&lt;0.1, " ",Inventory_List_Table3411151091113[[#This Row],[H CM]]/2.54)</f>
        <v xml:space="preserve"> </v>
      </c>
      <c r="P10" s="35" t="str">
        <f>IF(Inventory_List_Table3411151091113[[#This Row],[Q]]&lt;0.1, " ",Inventory_List_Table3411151091113[[#This Row],[W CM]]/2.54)</f>
        <v xml:space="preserve"> </v>
      </c>
      <c r="Q10" s="35" t="str">
        <f>IF(Inventory_List_Table3411151091113[[#This Row],[Q]]&lt;0.1, " ",Inventory_List_Table3411151091113[[#This Row],[D CM ]]/2.54)</f>
        <v xml:space="preserve"> </v>
      </c>
      <c r="R10" s="30" t="str">
        <f>IF(Inventory_List_Table3411151091113[[#This Row],[Q]]&lt;0.1, " ",Inventory_List_Table3411151091113[[#This Row],[PRICE]]/$L$1)</f>
        <v xml:space="preserve"> </v>
      </c>
      <c r="S1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0" s="30" t="str">
        <f>IF(Inventory_List_Table3411151091113[[#This Row],[Q]]&lt;0.1, " ",Inventory_List_Table3411151091113[[#This Row],[AQ RND USD]]*1.4)</f>
        <v xml:space="preserve"> </v>
      </c>
      <c r="U1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0" s="30" t="str">
        <f>IF(Inventory_List_Table3411151091113[[#This Row],[Q]]&lt;0.1, " ",Inventory_List_Table3411151091113[[#This Row],[LND RND USD]]*12)</f>
        <v xml:space="preserve"> </v>
      </c>
      <c r="W10" s="30" t="str">
        <f>IF(Inventory_List_Table3411151091113[[#This Row],[Q]]&lt;0.1, " ",Inventory_List_Table3411151091113[[#This Row],[AQ USD]])</f>
        <v xml:space="preserve"> </v>
      </c>
      <c r="X1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0" s="30" t="str">
        <f>IF(Inventory_List_Table3411151091113[[#This Row],[Q]]&lt;0.1, " ",Inventory_List_Table3411151091113[[#This Row],[PRICE]]/Z10*10000)</f>
        <v xml:space="preserve"> </v>
      </c>
      <c r="AB10" s="180"/>
      <c r="AC10" s="1"/>
      <c r="AD10" s="1"/>
    </row>
    <row r="11" spans="1:30" ht="24" customHeight="1" x14ac:dyDescent="0.3">
      <c r="A11" s="161">
        <v>9</v>
      </c>
      <c r="B11" s="1"/>
      <c r="C11" s="158"/>
      <c r="D11" s="158"/>
      <c r="E11" s="158"/>
      <c r="F1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1" s="164"/>
      <c r="H11" s="164"/>
      <c r="I11" s="164"/>
      <c r="J11" s="164"/>
      <c r="K11" s="164"/>
      <c r="L11" s="166"/>
      <c r="M11" s="30" t="str">
        <f>IF(Inventory_List_Table3411151091113[[#This Row],[Q]]&lt;0.1, " ", Inventory_List_Table3411151091113[[#This Row],[Q]]*Inventory_List_Table3411151091113[[#This Row],[PRICE]])</f>
        <v xml:space="preserve"> </v>
      </c>
      <c r="N11" s="35" t="str">
        <f>IF(Inventory_List_Table3411151091113[[#This Row],[Q]]&lt;0.1, " ", Inventory_List_Table3411151091113[[#This Row],[KG]]*2.20462)</f>
        <v xml:space="preserve"> </v>
      </c>
      <c r="O11" s="35" t="str">
        <f>IF(Inventory_List_Table3411151091113[[#This Row],[Q]]&lt;0.1, " ",Inventory_List_Table3411151091113[[#This Row],[H CM]]/2.54)</f>
        <v xml:space="preserve"> </v>
      </c>
      <c r="P11" s="35" t="str">
        <f>IF(Inventory_List_Table3411151091113[[#This Row],[Q]]&lt;0.1, " ",Inventory_List_Table3411151091113[[#This Row],[W CM]]/2.54)</f>
        <v xml:space="preserve"> </v>
      </c>
      <c r="Q11" s="35" t="str">
        <f>IF(Inventory_List_Table3411151091113[[#This Row],[Q]]&lt;0.1, " ",Inventory_List_Table3411151091113[[#This Row],[D CM ]]/2.54)</f>
        <v xml:space="preserve"> </v>
      </c>
      <c r="R11" s="30" t="str">
        <f>IF(Inventory_List_Table3411151091113[[#This Row],[Q]]&lt;0.1, " ",Inventory_List_Table3411151091113[[#This Row],[PRICE]]/$L$1)</f>
        <v xml:space="preserve"> </v>
      </c>
      <c r="S1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1" s="30" t="str">
        <f>IF(Inventory_List_Table3411151091113[[#This Row],[Q]]&lt;0.1, " ",Inventory_List_Table3411151091113[[#This Row],[AQ RND USD]]*1.4)</f>
        <v xml:space="preserve"> </v>
      </c>
      <c r="U1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1" s="30" t="str">
        <f>IF(Inventory_List_Table3411151091113[[#This Row],[Q]]&lt;0.1, " ",Inventory_List_Table3411151091113[[#This Row],[LND RND USD]]*12)</f>
        <v xml:space="preserve"> </v>
      </c>
      <c r="W11" s="30" t="str">
        <f>IF(Inventory_List_Table3411151091113[[#This Row],[Q]]&lt;0.1, " ",Inventory_List_Table3411151091113[[#This Row],[AQ USD]])</f>
        <v xml:space="preserve"> </v>
      </c>
      <c r="X1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1" s="30" t="str">
        <f>IF(Inventory_List_Table3411151091113[[#This Row],[Q]]&lt;0.1, " ",Inventory_List_Table3411151091113[[#This Row],[PRICE]]/Z11*10000)</f>
        <v xml:space="preserve"> </v>
      </c>
      <c r="AB11" s="180"/>
      <c r="AC11" s="1"/>
      <c r="AD11" s="1"/>
    </row>
    <row r="12" spans="1:30" ht="24" customHeight="1" x14ac:dyDescent="0.3">
      <c r="A12" s="161">
        <v>10</v>
      </c>
      <c r="B12" s="1"/>
      <c r="C12" s="158"/>
      <c r="D12" s="158"/>
      <c r="E12" s="158"/>
      <c r="F1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2" s="164"/>
      <c r="H12" s="164"/>
      <c r="I12" s="164"/>
      <c r="J12" s="164"/>
      <c r="K12" s="164"/>
      <c r="L12" s="166"/>
      <c r="M12" s="30" t="str">
        <f>IF(Inventory_List_Table3411151091113[[#This Row],[Q]]&lt;0.1, " ", Inventory_List_Table3411151091113[[#This Row],[Q]]*Inventory_List_Table3411151091113[[#This Row],[PRICE]])</f>
        <v xml:space="preserve"> </v>
      </c>
      <c r="N12" s="35" t="str">
        <f>IF(Inventory_List_Table3411151091113[[#This Row],[Q]]&lt;0.1, " ", Inventory_List_Table3411151091113[[#This Row],[KG]]*2.20462)</f>
        <v xml:space="preserve"> </v>
      </c>
      <c r="O12" s="35" t="str">
        <f>IF(Inventory_List_Table3411151091113[[#This Row],[Q]]&lt;0.1, " ",Inventory_List_Table3411151091113[[#This Row],[H CM]]/2.54)</f>
        <v xml:space="preserve"> </v>
      </c>
      <c r="P12" s="35" t="str">
        <f>IF(Inventory_List_Table3411151091113[[#This Row],[Q]]&lt;0.1, " ",Inventory_List_Table3411151091113[[#This Row],[W CM]]/2.54)</f>
        <v xml:space="preserve"> </v>
      </c>
      <c r="Q12" s="35" t="str">
        <f>IF(Inventory_List_Table3411151091113[[#This Row],[Q]]&lt;0.1, " ",Inventory_List_Table3411151091113[[#This Row],[D CM ]]/2.54)</f>
        <v xml:space="preserve"> </v>
      </c>
      <c r="R12" s="30" t="str">
        <f>IF(Inventory_List_Table3411151091113[[#This Row],[Q]]&lt;0.1, " ",Inventory_List_Table3411151091113[[#This Row],[PRICE]]/$L$1)</f>
        <v xml:space="preserve"> </v>
      </c>
      <c r="S1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2" s="30" t="str">
        <f>IF(Inventory_List_Table3411151091113[[#This Row],[Q]]&lt;0.1, " ",Inventory_List_Table3411151091113[[#This Row],[AQ RND USD]]*1.4)</f>
        <v xml:space="preserve"> </v>
      </c>
      <c r="U1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2" s="30" t="str">
        <f>IF(Inventory_List_Table3411151091113[[#This Row],[Q]]&lt;0.1, " ",Inventory_List_Table3411151091113[[#This Row],[LND RND USD]]*12)</f>
        <v xml:space="preserve"> </v>
      </c>
      <c r="W12" s="30" t="str">
        <f>IF(Inventory_List_Table3411151091113[[#This Row],[Q]]&lt;0.1, " ",Inventory_List_Table3411151091113[[#This Row],[AQ USD]])</f>
        <v xml:space="preserve"> </v>
      </c>
      <c r="X1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2" s="30" t="str">
        <f>IF(Inventory_List_Table3411151091113[[#This Row],[Q]]&lt;0.1, " ",Inventory_List_Table3411151091113[[#This Row],[PRICE]]/Z12*10000)</f>
        <v xml:space="preserve"> </v>
      </c>
      <c r="AB12" s="180"/>
      <c r="AC12" s="1"/>
      <c r="AD12" s="1"/>
    </row>
    <row r="13" spans="1:30" ht="24" customHeight="1" x14ac:dyDescent="0.3">
      <c r="A13" s="161">
        <v>11</v>
      </c>
      <c r="B13" s="1"/>
      <c r="C13" s="158"/>
      <c r="D13" s="158"/>
      <c r="E13" s="158"/>
      <c r="F1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3" s="164"/>
      <c r="H13" s="164"/>
      <c r="I13" s="164"/>
      <c r="J13" s="164"/>
      <c r="K13" s="164"/>
      <c r="L13" s="166"/>
      <c r="M13" s="30" t="str">
        <f>IF(Inventory_List_Table3411151091113[[#This Row],[Q]]&lt;0.1, " ", Inventory_List_Table3411151091113[[#This Row],[Q]]*Inventory_List_Table3411151091113[[#This Row],[PRICE]])</f>
        <v xml:space="preserve"> </v>
      </c>
      <c r="N13" s="35" t="str">
        <f>IF(Inventory_List_Table3411151091113[[#This Row],[Q]]&lt;0.1, " ", Inventory_List_Table3411151091113[[#This Row],[KG]]*2.20462)</f>
        <v xml:space="preserve"> </v>
      </c>
      <c r="O13" s="35" t="str">
        <f>IF(Inventory_List_Table3411151091113[[#This Row],[Q]]&lt;0.1, " ",Inventory_List_Table3411151091113[[#This Row],[H CM]]/2.54)</f>
        <v xml:space="preserve"> </v>
      </c>
      <c r="P13" s="35" t="str">
        <f>IF(Inventory_List_Table3411151091113[[#This Row],[Q]]&lt;0.1, " ",Inventory_List_Table3411151091113[[#This Row],[W CM]]/2.54)</f>
        <v xml:space="preserve"> </v>
      </c>
      <c r="Q13" s="35" t="str">
        <f>IF(Inventory_List_Table3411151091113[[#This Row],[Q]]&lt;0.1, " ",Inventory_List_Table3411151091113[[#This Row],[D CM ]]/2.54)</f>
        <v xml:space="preserve"> </v>
      </c>
      <c r="R13" s="30" t="str">
        <f>IF(Inventory_List_Table3411151091113[[#This Row],[Q]]&lt;0.1, " ",Inventory_List_Table3411151091113[[#This Row],[PRICE]]/$L$1)</f>
        <v xml:space="preserve"> </v>
      </c>
      <c r="S1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3" s="30" t="str">
        <f>IF(Inventory_List_Table3411151091113[[#This Row],[Q]]&lt;0.1, " ",Inventory_List_Table3411151091113[[#This Row],[AQ RND USD]]*1.4)</f>
        <v xml:space="preserve"> </v>
      </c>
      <c r="U1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3" s="30" t="str">
        <f>IF(Inventory_List_Table3411151091113[[#This Row],[Q]]&lt;0.1, " ",Inventory_List_Table3411151091113[[#This Row],[LND RND USD]]*12)</f>
        <v xml:space="preserve"> </v>
      </c>
      <c r="W13" s="30" t="str">
        <f>IF(Inventory_List_Table3411151091113[[#This Row],[Q]]&lt;0.1, " ",Inventory_List_Table3411151091113[[#This Row],[AQ USD]])</f>
        <v xml:space="preserve"> </v>
      </c>
      <c r="X1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3" s="30" t="str">
        <f>IF(Inventory_List_Table3411151091113[[#This Row],[Q]]&lt;0.1, " ",Inventory_List_Table3411151091113[[#This Row],[PRICE]]/Z13*10000)</f>
        <v xml:space="preserve"> </v>
      </c>
      <c r="AB13" s="180"/>
      <c r="AC13" s="1"/>
      <c r="AD13" s="1"/>
    </row>
    <row r="14" spans="1:30" ht="24" customHeight="1" x14ac:dyDescent="0.3">
      <c r="A14" s="161">
        <v>12</v>
      </c>
      <c r="B14" s="1"/>
      <c r="C14" s="158"/>
      <c r="D14" s="158"/>
      <c r="E14" s="158"/>
      <c r="F1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4" s="164"/>
      <c r="H14" s="164"/>
      <c r="I14" s="164"/>
      <c r="J14" s="164"/>
      <c r="K14" s="164"/>
      <c r="L14" s="166"/>
      <c r="M14" s="30" t="str">
        <f>IF(Inventory_List_Table3411151091113[[#This Row],[Q]]&lt;0.1, " ", Inventory_List_Table3411151091113[[#This Row],[Q]]*Inventory_List_Table3411151091113[[#This Row],[PRICE]])</f>
        <v xml:space="preserve"> </v>
      </c>
      <c r="N14" s="35" t="str">
        <f>IF(Inventory_List_Table3411151091113[[#This Row],[Q]]&lt;0.1, " ", Inventory_List_Table3411151091113[[#This Row],[KG]]*2.20462)</f>
        <v xml:space="preserve"> </v>
      </c>
      <c r="O14" s="35" t="str">
        <f>IF(Inventory_List_Table3411151091113[[#This Row],[Q]]&lt;0.1, " ",Inventory_List_Table3411151091113[[#This Row],[H CM]]/2.54)</f>
        <v xml:space="preserve"> </v>
      </c>
      <c r="P14" s="35" t="str">
        <f>IF(Inventory_List_Table3411151091113[[#This Row],[Q]]&lt;0.1, " ",Inventory_List_Table3411151091113[[#This Row],[W CM]]/2.54)</f>
        <v xml:space="preserve"> </v>
      </c>
      <c r="Q14" s="35" t="str">
        <f>IF(Inventory_List_Table3411151091113[[#This Row],[Q]]&lt;0.1, " ",Inventory_List_Table3411151091113[[#This Row],[D CM ]]/2.54)</f>
        <v xml:space="preserve"> </v>
      </c>
      <c r="R14" s="30" t="str">
        <f>IF(Inventory_List_Table3411151091113[[#This Row],[Q]]&lt;0.1, " ",Inventory_List_Table3411151091113[[#This Row],[PRICE]]/$L$1)</f>
        <v xml:space="preserve"> </v>
      </c>
      <c r="S1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4" s="30" t="str">
        <f>IF(Inventory_List_Table3411151091113[[#This Row],[Q]]&lt;0.1, " ",Inventory_List_Table3411151091113[[#This Row],[AQ RND USD]]*1.4)</f>
        <v xml:space="preserve"> </v>
      </c>
      <c r="U1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4" s="30" t="str">
        <f>IF(Inventory_List_Table3411151091113[[#This Row],[Q]]&lt;0.1, " ",Inventory_List_Table3411151091113[[#This Row],[LND RND USD]]*12)</f>
        <v xml:space="preserve"> </v>
      </c>
      <c r="W14" s="30" t="str">
        <f>IF(Inventory_List_Table3411151091113[[#This Row],[Q]]&lt;0.1, " ",Inventory_List_Table3411151091113[[#This Row],[AQ USD]])</f>
        <v xml:space="preserve"> </v>
      </c>
      <c r="X1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4" s="30" t="str">
        <f>IF(Inventory_List_Table3411151091113[[#This Row],[Q]]&lt;0.1, " ",Inventory_List_Table3411151091113[[#This Row],[PRICE]]/Z14*10000)</f>
        <v xml:space="preserve"> </v>
      </c>
      <c r="AB14" s="180"/>
      <c r="AC14" s="1"/>
      <c r="AD14" s="1"/>
    </row>
    <row r="15" spans="1:30" ht="24" customHeight="1" x14ac:dyDescent="0.3">
      <c r="A15" s="161">
        <v>13</v>
      </c>
      <c r="B15" s="1"/>
      <c r="C15" s="158"/>
      <c r="D15" s="158"/>
      <c r="E15" s="158"/>
      <c r="F1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5" s="164"/>
      <c r="H15" s="164"/>
      <c r="I15" s="164"/>
      <c r="J15" s="164"/>
      <c r="K15" s="164"/>
      <c r="L15" s="166"/>
      <c r="M15" s="30" t="str">
        <f>IF(Inventory_List_Table3411151091113[[#This Row],[Q]]&lt;0.1, " ", Inventory_List_Table3411151091113[[#This Row],[Q]]*Inventory_List_Table3411151091113[[#This Row],[PRICE]])</f>
        <v xml:space="preserve"> </v>
      </c>
      <c r="N15" s="35" t="str">
        <f>IF(Inventory_List_Table3411151091113[[#This Row],[Q]]&lt;0.1, " ", Inventory_List_Table3411151091113[[#This Row],[KG]]*2.20462)</f>
        <v xml:space="preserve"> </v>
      </c>
      <c r="O15" s="35" t="str">
        <f>IF(Inventory_List_Table3411151091113[[#This Row],[Q]]&lt;0.1, " ",Inventory_List_Table3411151091113[[#This Row],[H CM]]/2.54)</f>
        <v xml:space="preserve"> </v>
      </c>
      <c r="P15" s="35" t="str">
        <f>IF(Inventory_List_Table3411151091113[[#This Row],[Q]]&lt;0.1, " ",Inventory_List_Table3411151091113[[#This Row],[W CM]]/2.54)</f>
        <v xml:space="preserve"> </v>
      </c>
      <c r="Q15" s="35" t="str">
        <f>IF(Inventory_List_Table3411151091113[[#This Row],[Q]]&lt;0.1, " ",Inventory_List_Table3411151091113[[#This Row],[D CM ]]/2.54)</f>
        <v xml:space="preserve"> </v>
      </c>
      <c r="R15" s="30" t="str">
        <f>IF(Inventory_List_Table3411151091113[[#This Row],[Q]]&lt;0.1, " ",Inventory_List_Table3411151091113[[#This Row],[PRICE]]/$L$1)</f>
        <v xml:space="preserve"> </v>
      </c>
      <c r="S1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5" s="30" t="str">
        <f>IF(Inventory_List_Table3411151091113[[#This Row],[Q]]&lt;0.1, " ",Inventory_List_Table3411151091113[[#This Row],[AQ RND USD]]*1.4)</f>
        <v xml:space="preserve"> </v>
      </c>
      <c r="U1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5" s="30" t="str">
        <f>IF(Inventory_List_Table3411151091113[[#This Row],[Q]]&lt;0.1, " ",Inventory_List_Table3411151091113[[#This Row],[LND RND USD]]*12)</f>
        <v xml:space="preserve"> </v>
      </c>
      <c r="W15" s="30" t="str">
        <f>IF(Inventory_List_Table3411151091113[[#This Row],[Q]]&lt;0.1, " ",Inventory_List_Table3411151091113[[#This Row],[AQ USD]])</f>
        <v xml:space="preserve"> </v>
      </c>
      <c r="X1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5" s="30" t="str">
        <f>IF(Inventory_List_Table3411151091113[[#This Row],[Q]]&lt;0.1, " ",Inventory_List_Table3411151091113[[#This Row],[PRICE]]/Z15*10000)</f>
        <v xml:space="preserve"> </v>
      </c>
      <c r="AB15" s="180"/>
      <c r="AC15" s="1"/>
      <c r="AD15" s="1"/>
    </row>
    <row r="16" spans="1:30" ht="24" customHeight="1" x14ac:dyDescent="0.3">
      <c r="A16" s="161">
        <v>14</v>
      </c>
      <c r="B16" s="1"/>
      <c r="C16" s="158"/>
      <c r="D16" s="158"/>
      <c r="E16" s="158"/>
      <c r="F1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6" s="164"/>
      <c r="H16" s="164"/>
      <c r="I16" s="164"/>
      <c r="J16" s="164"/>
      <c r="K16" s="164"/>
      <c r="L16" s="166"/>
      <c r="M16" s="30" t="str">
        <f>IF(Inventory_List_Table3411151091113[[#This Row],[Q]]&lt;0.1, " ", Inventory_List_Table3411151091113[[#This Row],[Q]]*Inventory_List_Table3411151091113[[#This Row],[PRICE]])</f>
        <v xml:space="preserve"> </v>
      </c>
      <c r="N16" s="35" t="str">
        <f>IF(Inventory_List_Table3411151091113[[#This Row],[Q]]&lt;0.1, " ", Inventory_List_Table3411151091113[[#This Row],[KG]]*2.20462)</f>
        <v xml:space="preserve"> </v>
      </c>
      <c r="O16" s="35" t="str">
        <f>IF(Inventory_List_Table3411151091113[[#This Row],[Q]]&lt;0.1, " ",Inventory_List_Table3411151091113[[#This Row],[H CM]]/2.54)</f>
        <v xml:space="preserve"> </v>
      </c>
      <c r="P16" s="35" t="str">
        <f>IF(Inventory_List_Table3411151091113[[#This Row],[Q]]&lt;0.1, " ",Inventory_List_Table3411151091113[[#This Row],[W CM]]/2.54)</f>
        <v xml:space="preserve"> </v>
      </c>
      <c r="Q16" s="35" t="str">
        <f>IF(Inventory_List_Table3411151091113[[#This Row],[Q]]&lt;0.1, " ",Inventory_List_Table3411151091113[[#This Row],[D CM ]]/2.54)</f>
        <v xml:space="preserve"> </v>
      </c>
      <c r="R16" s="30" t="str">
        <f>IF(Inventory_List_Table3411151091113[[#This Row],[Q]]&lt;0.1, " ",Inventory_List_Table3411151091113[[#This Row],[PRICE]]/$L$1)</f>
        <v xml:space="preserve"> </v>
      </c>
      <c r="S1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6" s="30" t="str">
        <f>IF(Inventory_List_Table3411151091113[[#This Row],[Q]]&lt;0.1, " ",Inventory_List_Table3411151091113[[#This Row],[AQ RND USD]]*1.4)</f>
        <v xml:space="preserve"> </v>
      </c>
      <c r="U1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6" s="30" t="str">
        <f>IF(Inventory_List_Table3411151091113[[#This Row],[Q]]&lt;0.1, " ",Inventory_List_Table3411151091113[[#This Row],[LND RND USD]]*12)</f>
        <v xml:space="preserve"> </v>
      </c>
      <c r="W16" s="30" t="str">
        <f>IF(Inventory_List_Table3411151091113[[#This Row],[Q]]&lt;0.1, " ",Inventory_List_Table3411151091113[[#This Row],[AQ USD]])</f>
        <v xml:space="preserve"> </v>
      </c>
      <c r="X1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6" s="30" t="str">
        <f>IF(Inventory_List_Table3411151091113[[#This Row],[Q]]&lt;0.1, " ",Inventory_List_Table3411151091113[[#This Row],[PRICE]]/Z16*10000)</f>
        <v xml:space="preserve"> </v>
      </c>
      <c r="AB16" s="180"/>
      <c r="AC16" s="1"/>
      <c r="AD16" s="1"/>
    </row>
    <row r="17" spans="1:30" ht="24" customHeight="1" x14ac:dyDescent="0.3">
      <c r="A17" s="161">
        <v>15</v>
      </c>
      <c r="B17" s="1"/>
      <c r="C17" s="158"/>
      <c r="D17" s="158"/>
      <c r="E17" s="158"/>
      <c r="F1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7" s="164"/>
      <c r="H17" s="164"/>
      <c r="I17" s="164"/>
      <c r="J17" s="164"/>
      <c r="K17" s="164"/>
      <c r="L17" s="166"/>
      <c r="M17" s="30" t="str">
        <f>IF(Inventory_List_Table3411151091113[[#This Row],[Q]]&lt;0.1, " ", Inventory_List_Table3411151091113[[#This Row],[Q]]*Inventory_List_Table3411151091113[[#This Row],[PRICE]])</f>
        <v xml:space="preserve"> </v>
      </c>
      <c r="N17" s="35" t="str">
        <f>IF(Inventory_List_Table3411151091113[[#This Row],[Q]]&lt;0.1, " ", Inventory_List_Table3411151091113[[#This Row],[KG]]*2.20462)</f>
        <v xml:space="preserve"> </v>
      </c>
      <c r="O17" s="35" t="str">
        <f>IF(Inventory_List_Table3411151091113[[#This Row],[Q]]&lt;0.1, " ",Inventory_List_Table3411151091113[[#This Row],[H CM]]/2.54)</f>
        <v xml:space="preserve"> </v>
      </c>
      <c r="P17" s="35" t="str">
        <f>IF(Inventory_List_Table3411151091113[[#This Row],[Q]]&lt;0.1, " ",Inventory_List_Table3411151091113[[#This Row],[W CM]]/2.54)</f>
        <v xml:space="preserve"> </v>
      </c>
      <c r="Q17" s="35" t="str">
        <f>IF(Inventory_List_Table3411151091113[[#This Row],[Q]]&lt;0.1, " ",Inventory_List_Table3411151091113[[#This Row],[D CM ]]/2.54)</f>
        <v xml:space="preserve"> </v>
      </c>
      <c r="R17" s="30" t="str">
        <f>IF(Inventory_List_Table3411151091113[[#This Row],[Q]]&lt;0.1, " ",Inventory_List_Table3411151091113[[#This Row],[PRICE]]/$L$1)</f>
        <v xml:space="preserve"> </v>
      </c>
      <c r="S1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7" s="30" t="str">
        <f>IF(Inventory_List_Table3411151091113[[#This Row],[Q]]&lt;0.1, " ",Inventory_List_Table3411151091113[[#This Row],[AQ RND USD]]*1.4)</f>
        <v xml:space="preserve"> </v>
      </c>
      <c r="U1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7" s="30" t="str">
        <f>IF(Inventory_List_Table3411151091113[[#This Row],[Q]]&lt;0.1, " ",Inventory_List_Table3411151091113[[#This Row],[LND RND USD]]*12)</f>
        <v xml:space="preserve"> </v>
      </c>
      <c r="W17" s="30" t="str">
        <f>IF(Inventory_List_Table3411151091113[[#This Row],[Q]]&lt;0.1, " ",Inventory_List_Table3411151091113[[#This Row],[AQ USD]])</f>
        <v xml:space="preserve"> </v>
      </c>
      <c r="X1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7" s="30" t="str">
        <f>IF(Inventory_List_Table3411151091113[[#This Row],[Q]]&lt;0.1, " ",Inventory_List_Table3411151091113[[#This Row],[PRICE]]/Z17*10000)</f>
        <v xml:space="preserve"> </v>
      </c>
      <c r="AB17" s="180"/>
      <c r="AC17" s="1"/>
      <c r="AD17" s="1"/>
    </row>
    <row r="18" spans="1:30" ht="24" customHeight="1" x14ac:dyDescent="0.3">
      <c r="A18" s="161">
        <v>16</v>
      </c>
      <c r="B18" s="1"/>
      <c r="C18" s="158"/>
      <c r="D18" s="158"/>
      <c r="E18" s="158"/>
      <c r="F1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8" s="164"/>
      <c r="H18" s="164"/>
      <c r="I18" s="164"/>
      <c r="J18" s="164"/>
      <c r="K18" s="164"/>
      <c r="L18" s="166"/>
      <c r="M18" s="30" t="str">
        <f>IF(Inventory_List_Table3411151091113[[#This Row],[Q]]&lt;0.1, " ", Inventory_List_Table3411151091113[[#This Row],[Q]]*Inventory_List_Table3411151091113[[#This Row],[PRICE]])</f>
        <v xml:space="preserve"> </v>
      </c>
      <c r="N18" s="35" t="str">
        <f>IF(Inventory_List_Table3411151091113[[#This Row],[Q]]&lt;0.1, " ", Inventory_List_Table3411151091113[[#This Row],[KG]]*2.20462)</f>
        <v xml:space="preserve"> </v>
      </c>
      <c r="O18" s="35" t="str">
        <f>IF(Inventory_List_Table3411151091113[[#This Row],[Q]]&lt;0.1, " ",Inventory_List_Table3411151091113[[#This Row],[H CM]]/2.54)</f>
        <v xml:space="preserve"> </v>
      </c>
      <c r="P18" s="35" t="str">
        <f>IF(Inventory_List_Table3411151091113[[#This Row],[Q]]&lt;0.1, " ",Inventory_List_Table3411151091113[[#This Row],[W CM]]/2.54)</f>
        <v xml:space="preserve"> </v>
      </c>
      <c r="Q18" s="35" t="str">
        <f>IF(Inventory_List_Table3411151091113[[#This Row],[Q]]&lt;0.1, " ",Inventory_List_Table3411151091113[[#This Row],[D CM ]]/2.54)</f>
        <v xml:space="preserve"> </v>
      </c>
      <c r="R18" s="30" t="str">
        <f>IF(Inventory_List_Table3411151091113[[#This Row],[Q]]&lt;0.1, " ",Inventory_List_Table3411151091113[[#This Row],[PRICE]]/$L$1)</f>
        <v xml:space="preserve"> </v>
      </c>
      <c r="S1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8" s="30" t="str">
        <f>IF(Inventory_List_Table3411151091113[[#This Row],[Q]]&lt;0.1, " ",Inventory_List_Table3411151091113[[#This Row],[AQ RND USD]]*1.4)</f>
        <v xml:space="preserve"> </v>
      </c>
      <c r="U1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8" s="30" t="str">
        <f>IF(Inventory_List_Table3411151091113[[#This Row],[Q]]&lt;0.1, " ",Inventory_List_Table3411151091113[[#This Row],[LND RND USD]]*12)</f>
        <v xml:space="preserve"> </v>
      </c>
      <c r="W18" s="30" t="str">
        <f>IF(Inventory_List_Table3411151091113[[#This Row],[Q]]&lt;0.1, " ",Inventory_List_Table3411151091113[[#This Row],[AQ USD]])</f>
        <v xml:space="preserve"> </v>
      </c>
      <c r="X1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8" s="30" t="str">
        <f>IF(Inventory_List_Table3411151091113[[#This Row],[Q]]&lt;0.1, " ",Inventory_List_Table3411151091113[[#This Row],[PRICE]]/Z18*10000)</f>
        <v xml:space="preserve"> </v>
      </c>
      <c r="AB18" s="180"/>
      <c r="AC18" s="1"/>
      <c r="AD18" s="1"/>
    </row>
    <row r="19" spans="1:30" ht="24" customHeight="1" x14ac:dyDescent="0.3">
      <c r="A19" s="161">
        <v>17</v>
      </c>
      <c r="B19" s="1"/>
      <c r="C19" s="158"/>
      <c r="D19" s="158"/>
      <c r="E19" s="158"/>
      <c r="F1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9" s="164"/>
      <c r="H19" s="164"/>
      <c r="I19" s="164"/>
      <c r="J19" s="164"/>
      <c r="K19" s="164"/>
      <c r="L19" s="166"/>
      <c r="M19" s="30" t="str">
        <f>IF(Inventory_List_Table3411151091113[[#This Row],[Q]]&lt;0.1, " ", Inventory_List_Table3411151091113[[#This Row],[Q]]*Inventory_List_Table3411151091113[[#This Row],[PRICE]])</f>
        <v xml:space="preserve"> </v>
      </c>
      <c r="N19" s="35" t="str">
        <f>IF(Inventory_List_Table3411151091113[[#This Row],[Q]]&lt;0.1, " ", Inventory_List_Table3411151091113[[#This Row],[KG]]*2.20462)</f>
        <v xml:space="preserve"> </v>
      </c>
      <c r="O19" s="35" t="str">
        <f>IF(Inventory_List_Table3411151091113[[#This Row],[Q]]&lt;0.1, " ",Inventory_List_Table3411151091113[[#This Row],[H CM]]/2.54)</f>
        <v xml:space="preserve"> </v>
      </c>
      <c r="P19" s="35" t="str">
        <f>IF(Inventory_List_Table3411151091113[[#This Row],[Q]]&lt;0.1, " ",Inventory_List_Table3411151091113[[#This Row],[W CM]]/2.54)</f>
        <v xml:space="preserve"> </v>
      </c>
      <c r="Q19" s="35" t="str">
        <f>IF(Inventory_List_Table3411151091113[[#This Row],[Q]]&lt;0.1, " ",Inventory_List_Table3411151091113[[#This Row],[D CM ]]/2.54)</f>
        <v xml:space="preserve"> </v>
      </c>
      <c r="R19" s="30" t="str">
        <f>IF(Inventory_List_Table3411151091113[[#This Row],[Q]]&lt;0.1, " ",Inventory_List_Table3411151091113[[#This Row],[PRICE]]/$L$1)</f>
        <v xml:space="preserve"> </v>
      </c>
      <c r="S1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9" s="30" t="str">
        <f>IF(Inventory_List_Table3411151091113[[#This Row],[Q]]&lt;0.1, " ",Inventory_List_Table3411151091113[[#This Row],[AQ RND USD]]*1.4)</f>
        <v xml:space="preserve"> </v>
      </c>
      <c r="U1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9" s="30" t="str">
        <f>IF(Inventory_List_Table3411151091113[[#This Row],[Q]]&lt;0.1, " ",Inventory_List_Table3411151091113[[#This Row],[LND RND USD]]*12)</f>
        <v xml:space="preserve"> </v>
      </c>
      <c r="W19" s="30" t="str">
        <f>IF(Inventory_List_Table3411151091113[[#This Row],[Q]]&lt;0.1, " ",Inventory_List_Table3411151091113[[#This Row],[AQ USD]])</f>
        <v xml:space="preserve"> </v>
      </c>
      <c r="X1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9" s="30" t="str">
        <f>IF(Inventory_List_Table3411151091113[[#This Row],[Q]]&lt;0.1, " ",Inventory_List_Table3411151091113[[#This Row],[PRICE]]/Z19*10000)</f>
        <v xml:space="preserve"> </v>
      </c>
      <c r="AB19" s="180"/>
      <c r="AC19" s="1"/>
      <c r="AD19" s="1"/>
    </row>
    <row r="20" spans="1:30" ht="24" customHeight="1" x14ac:dyDescent="0.3">
      <c r="A20" s="161">
        <v>18</v>
      </c>
      <c r="B20" s="1"/>
      <c r="C20" s="158"/>
      <c r="D20" s="158"/>
      <c r="E20" s="158"/>
      <c r="F2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0" s="164"/>
      <c r="H20" s="164"/>
      <c r="I20" s="164"/>
      <c r="J20" s="164"/>
      <c r="K20" s="164"/>
      <c r="L20" s="166"/>
      <c r="M20" s="30" t="str">
        <f>IF(Inventory_List_Table3411151091113[[#This Row],[Q]]&lt;0.1, " ", Inventory_List_Table3411151091113[[#This Row],[Q]]*Inventory_List_Table3411151091113[[#This Row],[PRICE]])</f>
        <v xml:space="preserve"> </v>
      </c>
      <c r="N20" s="35" t="str">
        <f>IF(Inventory_List_Table3411151091113[[#This Row],[Q]]&lt;0.1, " ", Inventory_List_Table3411151091113[[#This Row],[KG]]*2.20462)</f>
        <v xml:space="preserve"> </v>
      </c>
      <c r="O20" s="35" t="str">
        <f>IF(Inventory_List_Table3411151091113[[#This Row],[Q]]&lt;0.1, " ",Inventory_List_Table3411151091113[[#This Row],[H CM]]/2.54)</f>
        <v xml:space="preserve"> </v>
      </c>
      <c r="P20" s="35" t="str">
        <f>IF(Inventory_List_Table3411151091113[[#This Row],[Q]]&lt;0.1, " ",Inventory_List_Table3411151091113[[#This Row],[W CM]]/2.54)</f>
        <v xml:space="preserve"> </v>
      </c>
      <c r="Q20" s="35" t="str">
        <f>IF(Inventory_List_Table3411151091113[[#This Row],[Q]]&lt;0.1, " ",Inventory_List_Table3411151091113[[#This Row],[D CM ]]/2.54)</f>
        <v xml:space="preserve"> </v>
      </c>
      <c r="R20" s="30" t="str">
        <f>IF(Inventory_List_Table3411151091113[[#This Row],[Q]]&lt;0.1, " ",Inventory_List_Table3411151091113[[#This Row],[PRICE]]/$L$1)</f>
        <v xml:space="preserve"> </v>
      </c>
      <c r="S2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0" s="30" t="str">
        <f>IF(Inventory_List_Table3411151091113[[#This Row],[Q]]&lt;0.1, " ",Inventory_List_Table3411151091113[[#This Row],[AQ RND USD]]*1.4)</f>
        <v xml:space="preserve"> </v>
      </c>
      <c r="U2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0" s="30" t="str">
        <f>IF(Inventory_List_Table3411151091113[[#This Row],[Q]]&lt;0.1, " ",Inventory_List_Table3411151091113[[#This Row],[LND RND USD]]*12)</f>
        <v xml:space="preserve"> </v>
      </c>
      <c r="W20" s="30" t="str">
        <f>IF(Inventory_List_Table3411151091113[[#This Row],[Q]]&lt;0.1, " ",Inventory_List_Table3411151091113[[#This Row],[AQ USD]])</f>
        <v xml:space="preserve"> </v>
      </c>
      <c r="X2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0" s="30" t="str">
        <f>IF(Inventory_List_Table3411151091113[[#This Row],[Q]]&lt;0.1, " ",Inventory_List_Table3411151091113[[#This Row],[PRICE]]/Z20*10000)</f>
        <v xml:space="preserve"> </v>
      </c>
      <c r="AB20" s="180"/>
      <c r="AC20" s="1"/>
      <c r="AD20" s="1"/>
    </row>
    <row r="21" spans="1:30" ht="24" customHeight="1" x14ac:dyDescent="0.3">
      <c r="A21" s="161">
        <v>19</v>
      </c>
      <c r="B21" s="1"/>
      <c r="C21" s="158"/>
      <c r="D21" s="158"/>
      <c r="E21" s="158"/>
      <c r="F2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1" s="164"/>
      <c r="H21" s="164"/>
      <c r="I21" s="164"/>
      <c r="J21" s="164"/>
      <c r="K21" s="164"/>
      <c r="L21" s="166"/>
      <c r="M21" s="30" t="str">
        <f>IF(Inventory_List_Table3411151091113[[#This Row],[Q]]&lt;0.1, " ", Inventory_List_Table3411151091113[[#This Row],[Q]]*Inventory_List_Table3411151091113[[#This Row],[PRICE]])</f>
        <v xml:space="preserve"> </v>
      </c>
      <c r="N21" s="35" t="str">
        <f>IF(Inventory_List_Table3411151091113[[#This Row],[Q]]&lt;0.1, " ", Inventory_List_Table3411151091113[[#This Row],[KG]]*2.20462)</f>
        <v xml:space="preserve"> </v>
      </c>
      <c r="O21" s="35" t="str">
        <f>IF(Inventory_List_Table3411151091113[[#This Row],[Q]]&lt;0.1, " ",Inventory_List_Table3411151091113[[#This Row],[H CM]]/2.54)</f>
        <v xml:space="preserve"> </v>
      </c>
      <c r="P21" s="35" t="str">
        <f>IF(Inventory_List_Table3411151091113[[#This Row],[Q]]&lt;0.1, " ",Inventory_List_Table3411151091113[[#This Row],[W CM]]/2.54)</f>
        <v xml:space="preserve"> </v>
      </c>
      <c r="Q21" s="35" t="str">
        <f>IF(Inventory_List_Table3411151091113[[#This Row],[Q]]&lt;0.1, " ",Inventory_List_Table3411151091113[[#This Row],[D CM ]]/2.54)</f>
        <v xml:space="preserve"> </v>
      </c>
      <c r="R21" s="30" t="str">
        <f>IF(Inventory_List_Table3411151091113[[#This Row],[Q]]&lt;0.1, " ",Inventory_List_Table3411151091113[[#This Row],[PRICE]]/$L$1)</f>
        <v xml:space="preserve"> </v>
      </c>
      <c r="S2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1" s="30" t="str">
        <f>IF(Inventory_List_Table3411151091113[[#This Row],[Q]]&lt;0.1, " ",Inventory_List_Table3411151091113[[#This Row],[AQ RND USD]]*1.4)</f>
        <v xml:space="preserve"> </v>
      </c>
      <c r="U2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1" s="30" t="str">
        <f>IF(Inventory_List_Table3411151091113[[#This Row],[Q]]&lt;0.1, " ",Inventory_List_Table3411151091113[[#This Row],[LND RND USD]]*12)</f>
        <v xml:space="preserve"> </v>
      </c>
      <c r="W21" s="30" t="str">
        <f>IF(Inventory_List_Table3411151091113[[#This Row],[Q]]&lt;0.1, " ",Inventory_List_Table3411151091113[[#This Row],[AQ USD]])</f>
        <v xml:space="preserve"> </v>
      </c>
      <c r="X2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1" s="30" t="str">
        <f>IF(Inventory_List_Table3411151091113[[#This Row],[Q]]&lt;0.1, " ",Inventory_List_Table3411151091113[[#This Row],[PRICE]]/Z21*10000)</f>
        <v xml:space="preserve"> </v>
      </c>
      <c r="AB21" s="180"/>
      <c r="AC21" s="1"/>
      <c r="AD21" s="1"/>
    </row>
    <row r="22" spans="1:30" ht="24" customHeight="1" x14ac:dyDescent="0.3">
      <c r="A22" s="161">
        <v>20</v>
      </c>
      <c r="B22" s="1"/>
      <c r="C22" s="158"/>
      <c r="D22" s="158"/>
      <c r="E22" s="158"/>
      <c r="F2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2" s="164"/>
      <c r="H22" s="164"/>
      <c r="I22" s="164"/>
      <c r="J22" s="164"/>
      <c r="K22" s="164"/>
      <c r="L22" s="166"/>
      <c r="M22" s="30" t="str">
        <f>IF(Inventory_List_Table3411151091113[[#This Row],[Q]]&lt;0.1, " ", Inventory_List_Table3411151091113[[#This Row],[Q]]*Inventory_List_Table3411151091113[[#This Row],[PRICE]])</f>
        <v xml:space="preserve"> </v>
      </c>
      <c r="N22" s="35" t="str">
        <f>IF(Inventory_List_Table3411151091113[[#This Row],[Q]]&lt;0.1, " ", Inventory_List_Table3411151091113[[#This Row],[KG]]*2.20462)</f>
        <v xml:space="preserve"> </v>
      </c>
      <c r="O22" s="35" t="str">
        <f>IF(Inventory_List_Table3411151091113[[#This Row],[Q]]&lt;0.1, " ",Inventory_List_Table3411151091113[[#This Row],[H CM]]/2.54)</f>
        <v xml:space="preserve"> </v>
      </c>
      <c r="P22" s="35" t="str">
        <f>IF(Inventory_List_Table3411151091113[[#This Row],[Q]]&lt;0.1, " ",Inventory_List_Table3411151091113[[#This Row],[W CM]]/2.54)</f>
        <v xml:space="preserve"> </v>
      </c>
      <c r="Q22" s="35" t="str">
        <f>IF(Inventory_List_Table3411151091113[[#This Row],[Q]]&lt;0.1, " ",Inventory_List_Table3411151091113[[#This Row],[D CM ]]/2.54)</f>
        <v xml:space="preserve"> </v>
      </c>
      <c r="R22" s="30" t="str">
        <f>IF(Inventory_List_Table3411151091113[[#This Row],[Q]]&lt;0.1, " ",Inventory_List_Table3411151091113[[#This Row],[PRICE]]/$L$1)</f>
        <v xml:space="preserve"> </v>
      </c>
      <c r="S2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2" s="30" t="str">
        <f>IF(Inventory_List_Table3411151091113[[#This Row],[Q]]&lt;0.1, " ",Inventory_List_Table3411151091113[[#This Row],[AQ RND USD]]*1.4)</f>
        <v xml:space="preserve"> </v>
      </c>
      <c r="U2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2" s="30" t="str">
        <f>IF(Inventory_List_Table3411151091113[[#This Row],[Q]]&lt;0.1, " ",Inventory_List_Table3411151091113[[#This Row],[LND RND USD]]*12)</f>
        <v xml:space="preserve"> </v>
      </c>
      <c r="W22" s="30" t="str">
        <f>IF(Inventory_List_Table3411151091113[[#This Row],[Q]]&lt;0.1, " ",Inventory_List_Table3411151091113[[#This Row],[AQ USD]])</f>
        <v xml:space="preserve"> </v>
      </c>
      <c r="X2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2" s="30" t="str">
        <f>IF(Inventory_List_Table3411151091113[[#This Row],[Q]]&lt;0.1, " ",Inventory_List_Table3411151091113[[#This Row],[PRICE]]/Z22*10000)</f>
        <v xml:space="preserve"> </v>
      </c>
      <c r="AB22" s="180"/>
      <c r="AC22" s="1"/>
      <c r="AD22" s="1"/>
    </row>
    <row r="23" spans="1:30" ht="24" customHeight="1" x14ac:dyDescent="0.3">
      <c r="A23" s="161">
        <v>21</v>
      </c>
      <c r="B23" s="1"/>
      <c r="C23" s="158"/>
      <c r="D23" s="158"/>
      <c r="E23" s="158"/>
      <c r="F2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3" s="164"/>
      <c r="H23" s="164"/>
      <c r="I23" s="164"/>
      <c r="J23" s="164"/>
      <c r="K23" s="164"/>
      <c r="L23" s="166"/>
      <c r="M23" s="30" t="str">
        <f>IF(Inventory_List_Table3411151091113[[#This Row],[Q]]&lt;0.1, " ", Inventory_List_Table3411151091113[[#This Row],[Q]]*Inventory_List_Table3411151091113[[#This Row],[PRICE]])</f>
        <v xml:space="preserve"> </v>
      </c>
      <c r="N23" s="35" t="str">
        <f>IF(Inventory_List_Table3411151091113[[#This Row],[Q]]&lt;0.1, " ", Inventory_List_Table3411151091113[[#This Row],[KG]]*2.20462)</f>
        <v xml:space="preserve"> </v>
      </c>
      <c r="O23" s="35" t="str">
        <f>IF(Inventory_List_Table3411151091113[[#This Row],[Q]]&lt;0.1, " ",Inventory_List_Table3411151091113[[#This Row],[H CM]]/2.54)</f>
        <v xml:space="preserve"> </v>
      </c>
      <c r="P23" s="35" t="str">
        <f>IF(Inventory_List_Table3411151091113[[#This Row],[Q]]&lt;0.1, " ",Inventory_List_Table3411151091113[[#This Row],[W CM]]/2.54)</f>
        <v xml:space="preserve"> </v>
      </c>
      <c r="Q23" s="35" t="str">
        <f>IF(Inventory_List_Table3411151091113[[#This Row],[Q]]&lt;0.1, " ",Inventory_List_Table3411151091113[[#This Row],[D CM ]]/2.54)</f>
        <v xml:space="preserve"> </v>
      </c>
      <c r="R23" s="30" t="str">
        <f>IF(Inventory_List_Table3411151091113[[#This Row],[Q]]&lt;0.1, " ",Inventory_List_Table3411151091113[[#This Row],[PRICE]]/$L$1)</f>
        <v xml:space="preserve"> </v>
      </c>
      <c r="S2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3" s="30" t="str">
        <f>IF(Inventory_List_Table3411151091113[[#This Row],[Q]]&lt;0.1, " ",Inventory_List_Table3411151091113[[#This Row],[AQ RND USD]]*1.4)</f>
        <v xml:space="preserve"> </v>
      </c>
      <c r="U2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3" s="30" t="str">
        <f>IF(Inventory_List_Table3411151091113[[#This Row],[Q]]&lt;0.1, " ",Inventory_List_Table3411151091113[[#This Row],[LND RND USD]]*12)</f>
        <v xml:space="preserve"> </v>
      </c>
      <c r="W23" s="30" t="str">
        <f>IF(Inventory_List_Table3411151091113[[#This Row],[Q]]&lt;0.1, " ",Inventory_List_Table3411151091113[[#This Row],[AQ USD]])</f>
        <v xml:space="preserve"> </v>
      </c>
      <c r="X2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3" s="30" t="str">
        <f>IF(Inventory_List_Table3411151091113[[#This Row],[Q]]&lt;0.1, " ",Inventory_List_Table3411151091113[[#This Row],[PRICE]]/Z23*10000)</f>
        <v xml:space="preserve"> </v>
      </c>
      <c r="AB23" s="180"/>
      <c r="AC23" s="1"/>
      <c r="AD23" s="1"/>
    </row>
    <row r="24" spans="1:30" ht="24" customHeight="1" x14ac:dyDescent="0.3">
      <c r="A24" s="161">
        <v>22</v>
      </c>
      <c r="B24" s="1"/>
      <c r="C24" s="158"/>
      <c r="D24" s="158"/>
      <c r="E24" s="158"/>
      <c r="F2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4" s="164"/>
      <c r="H24" s="164"/>
      <c r="I24" s="164"/>
      <c r="J24" s="164"/>
      <c r="K24" s="164"/>
      <c r="L24" s="166"/>
      <c r="M24" s="30" t="str">
        <f>IF(Inventory_List_Table3411151091113[[#This Row],[Q]]&lt;0.1, " ", Inventory_List_Table3411151091113[[#This Row],[Q]]*Inventory_List_Table3411151091113[[#This Row],[PRICE]])</f>
        <v xml:space="preserve"> </v>
      </c>
      <c r="N24" s="35" t="str">
        <f>IF(Inventory_List_Table3411151091113[[#This Row],[Q]]&lt;0.1, " ", Inventory_List_Table3411151091113[[#This Row],[KG]]*2.20462)</f>
        <v xml:space="preserve"> </v>
      </c>
      <c r="O24" s="35" t="str">
        <f>IF(Inventory_List_Table3411151091113[[#This Row],[Q]]&lt;0.1, " ",Inventory_List_Table3411151091113[[#This Row],[H CM]]/2.54)</f>
        <v xml:space="preserve"> </v>
      </c>
      <c r="P24" s="35" t="str">
        <f>IF(Inventory_List_Table3411151091113[[#This Row],[Q]]&lt;0.1, " ",Inventory_List_Table3411151091113[[#This Row],[W CM]]/2.54)</f>
        <v xml:space="preserve"> </v>
      </c>
      <c r="Q24" s="35" t="str">
        <f>IF(Inventory_List_Table3411151091113[[#This Row],[Q]]&lt;0.1, " ",Inventory_List_Table3411151091113[[#This Row],[D CM ]]/2.54)</f>
        <v xml:space="preserve"> </v>
      </c>
      <c r="R24" s="30" t="str">
        <f>IF(Inventory_List_Table3411151091113[[#This Row],[Q]]&lt;0.1, " ",Inventory_List_Table3411151091113[[#This Row],[PRICE]]/$L$1)</f>
        <v xml:space="preserve"> </v>
      </c>
      <c r="S2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4" s="30" t="str">
        <f>IF(Inventory_List_Table3411151091113[[#This Row],[Q]]&lt;0.1, " ",Inventory_List_Table3411151091113[[#This Row],[AQ RND USD]]*1.4)</f>
        <v xml:space="preserve"> </v>
      </c>
      <c r="U2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4" s="30" t="str">
        <f>IF(Inventory_List_Table3411151091113[[#This Row],[Q]]&lt;0.1, " ",Inventory_List_Table3411151091113[[#This Row],[LND RND USD]]*12)</f>
        <v xml:space="preserve"> </v>
      </c>
      <c r="W24" s="30" t="str">
        <f>IF(Inventory_List_Table3411151091113[[#This Row],[Q]]&lt;0.1, " ",Inventory_List_Table3411151091113[[#This Row],[AQ USD]])</f>
        <v xml:space="preserve"> </v>
      </c>
      <c r="X2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4" s="30" t="str">
        <f>IF(Inventory_List_Table3411151091113[[#This Row],[Q]]&lt;0.1, " ",Inventory_List_Table3411151091113[[#This Row],[PRICE]]/Z24*10000)</f>
        <v xml:space="preserve"> </v>
      </c>
      <c r="AB24" s="180"/>
      <c r="AC24" s="1"/>
      <c r="AD24" s="1"/>
    </row>
    <row r="25" spans="1:30" ht="24" customHeight="1" x14ac:dyDescent="0.3">
      <c r="A25" s="161">
        <v>23</v>
      </c>
      <c r="B25" s="1"/>
      <c r="C25" s="158"/>
      <c r="D25" s="158"/>
      <c r="E25" s="158"/>
      <c r="F2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5" s="164"/>
      <c r="H25" s="164"/>
      <c r="I25" s="164"/>
      <c r="J25" s="164"/>
      <c r="K25" s="164"/>
      <c r="L25" s="166"/>
      <c r="M25" s="30" t="str">
        <f>IF(Inventory_List_Table3411151091113[[#This Row],[Q]]&lt;0.1, " ", Inventory_List_Table3411151091113[[#This Row],[Q]]*Inventory_List_Table3411151091113[[#This Row],[PRICE]])</f>
        <v xml:space="preserve"> </v>
      </c>
      <c r="N25" s="35" t="str">
        <f>IF(Inventory_List_Table3411151091113[[#This Row],[Q]]&lt;0.1, " ", Inventory_List_Table3411151091113[[#This Row],[KG]]*2.20462)</f>
        <v xml:space="preserve"> </v>
      </c>
      <c r="O25" s="35" t="str">
        <f>IF(Inventory_List_Table3411151091113[[#This Row],[Q]]&lt;0.1, " ",Inventory_List_Table3411151091113[[#This Row],[H CM]]/2.54)</f>
        <v xml:space="preserve"> </v>
      </c>
      <c r="P25" s="35" t="str">
        <f>IF(Inventory_List_Table3411151091113[[#This Row],[Q]]&lt;0.1, " ",Inventory_List_Table3411151091113[[#This Row],[W CM]]/2.54)</f>
        <v xml:space="preserve"> </v>
      </c>
      <c r="Q25" s="35" t="str">
        <f>IF(Inventory_List_Table3411151091113[[#This Row],[Q]]&lt;0.1, " ",Inventory_List_Table3411151091113[[#This Row],[D CM ]]/2.54)</f>
        <v xml:space="preserve"> </v>
      </c>
      <c r="R25" s="30" t="str">
        <f>IF(Inventory_List_Table3411151091113[[#This Row],[Q]]&lt;0.1, " ",Inventory_List_Table3411151091113[[#This Row],[PRICE]]/$L$1)</f>
        <v xml:space="preserve"> </v>
      </c>
      <c r="S2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5" s="30" t="str">
        <f>IF(Inventory_List_Table3411151091113[[#This Row],[Q]]&lt;0.1, " ",Inventory_List_Table3411151091113[[#This Row],[AQ RND USD]]*1.4)</f>
        <v xml:space="preserve"> </v>
      </c>
      <c r="U2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5" s="30" t="str">
        <f>IF(Inventory_List_Table3411151091113[[#This Row],[Q]]&lt;0.1, " ",Inventory_List_Table3411151091113[[#This Row],[LND RND USD]]*12)</f>
        <v xml:space="preserve"> </v>
      </c>
      <c r="W25" s="30" t="str">
        <f>IF(Inventory_List_Table3411151091113[[#This Row],[Q]]&lt;0.1, " ",Inventory_List_Table3411151091113[[#This Row],[AQ USD]])</f>
        <v xml:space="preserve"> </v>
      </c>
      <c r="X2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5" s="30" t="str">
        <f>IF(Inventory_List_Table3411151091113[[#This Row],[Q]]&lt;0.1, " ",Inventory_List_Table3411151091113[[#This Row],[PRICE]]/Z25*10000)</f>
        <v xml:space="preserve"> </v>
      </c>
      <c r="AB25" s="180"/>
      <c r="AC25" s="1"/>
      <c r="AD25" s="1"/>
    </row>
    <row r="26" spans="1:30" ht="24" customHeight="1" x14ac:dyDescent="0.3">
      <c r="A26" s="161">
        <v>24</v>
      </c>
      <c r="B26" s="1"/>
      <c r="C26" s="158"/>
      <c r="D26" s="158"/>
      <c r="E26" s="158"/>
      <c r="F2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6" s="164"/>
      <c r="H26" s="164"/>
      <c r="I26" s="164"/>
      <c r="J26" s="164"/>
      <c r="K26" s="164"/>
      <c r="L26" s="166"/>
      <c r="M26" s="30" t="str">
        <f>IF(Inventory_List_Table3411151091113[[#This Row],[Q]]&lt;0.1, " ", Inventory_List_Table3411151091113[[#This Row],[Q]]*Inventory_List_Table3411151091113[[#This Row],[PRICE]])</f>
        <v xml:space="preserve"> </v>
      </c>
      <c r="N26" s="35" t="str">
        <f>IF(Inventory_List_Table3411151091113[[#This Row],[Q]]&lt;0.1, " ", Inventory_List_Table3411151091113[[#This Row],[KG]]*2.20462)</f>
        <v xml:space="preserve"> </v>
      </c>
      <c r="O26" s="35" t="str">
        <f>IF(Inventory_List_Table3411151091113[[#This Row],[Q]]&lt;0.1, " ",Inventory_List_Table3411151091113[[#This Row],[H CM]]/2.54)</f>
        <v xml:space="preserve"> </v>
      </c>
      <c r="P26" s="35" t="str">
        <f>IF(Inventory_List_Table3411151091113[[#This Row],[Q]]&lt;0.1, " ",Inventory_List_Table3411151091113[[#This Row],[W CM]]/2.54)</f>
        <v xml:space="preserve"> </v>
      </c>
      <c r="Q26" s="35" t="str">
        <f>IF(Inventory_List_Table3411151091113[[#This Row],[Q]]&lt;0.1, " ",Inventory_List_Table3411151091113[[#This Row],[D CM ]]/2.54)</f>
        <v xml:space="preserve"> </v>
      </c>
      <c r="R26" s="30" t="str">
        <f>IF(Inventory_List_Table3411151091113[[#This Row],[Q]]&lt;0.1, " ",Inventory_List_Table3411151091113[[#This Row],[PRICE]]/$L$1)</f>
        <v xml:space="preserve"> </v>
      </c>
      <c r="S2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6" s="30" t="str">
        <f>IF(Inventory_List_Table3411151091113[[#This Row],[Q]]&lt;0.1, " ",Inventory_List_Table3411151091113[[#This Row],[AQ RND USD]]*1.4)</f>
        <v xml:space="preserve"> </v>
      </c>
      <c r="U2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6" s="30" t="str">
        <f>IF(Inventory_List_Table3411151091113[[#This Row],[Q]]&lt;0.1, " ",Inventory_List_Table3411151091113[[#This Row],[LND RND USD]]*12)</f>
        <v xml:space="preserve"> </v>
      </c>
      <c r="W26" s="30" t="str">
        <f>IF(Inventory_List_Table3411151091113[[#This Row],[Q]]&lt;0.1, " ",Inventory_List_Table3411151091113[[#This Row],[AQ USD]])</f>
        <v xml:space="preserve"> </v>
      </c>
      <c r="X2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6" s="30" t="str">
        <f>IF(Inventory_List_Table3411151091113[[#This Row],[Q]]&lt;0.1, " ",Inventory_List_Table3411151091113[[#This Row],[PRICE]]/Z26*10000)</f>
        <v xml:space="preserve"> </v>
      </c>
      <c r="AB26" s="180"/>
      <c r="AC26" s="1"/>
      <c r="AD26" s="1"/>
    </row>
    <row r="27" spans="1:30" ht="24" customHeight="1" x14ac:dyDescent="0.3">
      <c r="A27" s="161">
        <v>25</v>
      </c>
      <c r="B27" s="1"/>
      <c r="C27" s="158"/>
      <c r="D27" s="158"/>
      <c r="E27" s="158"/>
      <c r="F2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7" s="164"/>
      <c r="H27" s="164"/>
      <c r="I27" s="164"/>
      <c r="J27" s="164"/>
      <c r="K27" s="164"/>
      <c r="L27" s="166"/>
      <c r="M27" s="30" t="str">
        <f>IF(Inventory_List_Table3411151091113[[#This Row],[Q]]&lt;0.1, " ", Inventory_List_Table3411151091113[[#This Row],[Q]]*Inventory_List_Table3411151091113[[#This Row],[PRICE]])</f>
        <v xml:space="preserve"> </v>
      </c>
      <c r="N27" s="35" t="str">
        <f>IF(Inventory_List_Table3411151091113[[#This Row],[Q]]&lt;0.1, " ", Inventory_List_Table3411151091113[[#This Row],[KG]]*2.20462)</f>
        <v xml:space="preserve"> </v>
      </c>
      <c r="O27" s="35" t="str">
        <f>IF(Inventory_List_Table3411151091113[[#This Row],[Q]]&lt;0.1, " ",Inventory_List_Table3411151091113[[#This Row],[H CM]]/2.54)</f>
        <v xml:space="preserve"> </v>
      </c>
      <c r="P27" s="35" t="str">
        <f>IF(Inventory_List_Table3411151091113[[#This Row],[Q]]&lt;0.1, " ",Inventory_List_Table3411151091113[[#This Row],[W CM]]/2.54)</f>
        <v xml:space="preserve"> </v>
      </c>
      <c r="Q27" s="35" t="str">
        <f>IF(Inventory_List_Table3411151091113[[#This Row],[Q]]&lt;0.1, " ",Inventory_List_Table3411151091113[[#This Row],[D CM ]]/2.54)</f>
        <v xml:space="preserve"> </v>
      </c>
      <c r="R27" s="30" t="str">
        <f>IF(Inventory_List_Table3411151091113[[#This Row],[Q]]&lt;0.1, " ",Inventory_List_Table3411151091113[[#This Row],[PRICE]]/$L$1)</f>
        <v xml:space="preserve"> </v>
      </c>
      <c r="S2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7" s="30" t="str">
        <f>IF(Inventory_List_Table3411151091113[[#This Row],[Q]]&lt;0.1, " ",Inventory_List_Table3411151091113[[#This Row],[AQ RND USD]]*1.4)</f>
        <v xml:space="preserve"> </v>
      </c>
      <c r="U2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7" s="30" t="str">
        <f>IF(Inventory_List_Table3411151091113[[#This Row],[Q]]&lt;0.1, " ",Inventory_List_Table3411151091113[[#This Row],[LND RND USD]]*12)</f>
        <v xml:space="preserve"> </v>
      </c>
      <c r="W27" s="30" t="str">
        <f>IF(Inventory_List_Table3411151091113[[#This Row],[Q]]&lt;0.1, " ",Inventory_List_Table3411151091113[[#This Row],[AQ USD]])</f>
        <v xml:space="preserve"> </v>
      </c>
      <c r="X2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7" s="30" t="str">
        <f>IF(Inventory_List_Table3411151091113[[#This Row],[Q]]&lt;0.1, " ",Inventory_List_Table3411151091113[[#This Row],[PRICE]]/Z27*10000)</f>
        <v xml:space="preserve"> </v>
      </c>
      <c r="AB27" s="180"/>
      <c r="AC27" s="1"/>
      <c r="AD27" s="1"/>
    </row>
    <row r="28" spans="1:30" ht="24" customHeight="1" x14ac:dyDescent="0.3">
      <c r="A28" s="161">
        <v>26</v>
      </c>
      <c r="B28" s="1"/>
      <c r="C28" s="158"/>
      <c r="D28" s="158"/>
      <c r="E28" s="158"/>
      <c r="F2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8" s="164"/>
      <c r="H28" s="164"/>
      <c r="I28" s="164"/>
      <c r="J28" s="164"/>
      <c r="K28" s="164"/>
      <c r="L28" s="166"/>
      <c r="M28" s="30" t="str">
        <f>IF(Inventory_List_Table3411151091113[[#This Row],[Q]]&lt;0.1, " ", Inventory_List_Table3411151091113[[#This Row],[Q]]*Inventory_List_Table3411151091113[[#This Row],[PRICE]])</f>
        <v xml:space="preserve"> </v>
      </c>
      <c r="N28" s="35" t="str">
        <f>IF(Inventory_List_Table3411151091113[[#This Row],[Q]]&lt;0.1, " ", Inventory_List_Table3411151091113[[#This Row],[KG]]*2.20462)</f>
        <v xml:space="preserve"> </v>
      </c>
      <c r="O28" s="35" t="str">
        <f>IF(Inventory_List_Table3411151091113[[#This Row],[Q]]&lt;0.1, " ",Inventory_List_Table3411151091113[[#This Row],[H CM]]/2.54)</f>
        <v xml:space="preserve"> </v>
      </c>
      <c r="P28" s="35" t="str">
        <f>IF(Inventory_List_Table3411151091113[[#This Row],[Q]]&lt;0.1, " ",Inventory_List_Table3411151091113[[#This Row],[W CM]]/2.54)</f>
        <v xml:space="preserve"> </v>
      </c>
      <c r="Q28" s="35" t="str">
        <f>IF(Inventory_List_Table3411151091113[[#This Row],[Q]]&lt;0.1, " ",Inventory_List_Table3411151091113[[#This Row],[D CM ]]/2.54)</f>
        <v xml:space="preserve"> </v>
      </c>
      <c r="R28" s="30" t="str">
        <f>IF(Inventory_List_Table3411151091113[[#This Row],[Q]]&lt;0.1, " ",Inventory_List_Table3411151091113[[#This Row],[PRICE]]/$L$1)</f>
        <v xml:space="preserve"> </v>
      </c>
      <c r="S2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8" s="30" t="str">
        <f>IF(Inventory_List_Table3411151091113[[#This Row],[Q]]&lt;0.1, " ",Inventory_List_Table3411151091113[[#This Row],[AQ RND USD]]*1.4)</f>
        <v xml:space="preserve"> </v>
      </c>
      <c r="U2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8" s="30" t="str">
        <f>IF(Inventory_List_Table3411151091113[[#This Row],[Q]]&lt;0.1, " ",Inventory_List_Table3411151091113[[#This Row],[LND RND USD]]*12)</f>
        <v xml:space="preserve"> </v>
      </c>
      <c r="W28" s="30" t="str">
        <f>IF(Inventory_List_Table3411151091113[[#This Row],[Q]]&lt;0.1, " ",Inventory_List_Table3411151091113[[#This Row],[AQ USD]])</f>
        <v xml:space="preserve"> </v>
      </c>
      <c r="X2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8" s="30" t="str">
        <f>IF(Inventory_List_Table3411151091113[[#This Row],[Q]]&lt;0.1, " ",Inventory_List_Table3411151091113[[#This Row],[PRICE]]/Z28*10000)</f>
        <v xml:space="preserve"> </v>
      </c>
      <c r="AB28" s="180"/>
      <c r="AC28" s="1"/>
      <c r="AD28" s="1"/>
    </row>
    <row r="29" spans="1:30" ht="24" customHeight="1" x14ac:dyDescent="0.3">
      <c r="A29" s="161">
        <v>27</v>
      </c>
      <c r="B29" s="1"/>
      <c r="C29" s="158"/>
      <c r="D29" s="158"/>
      <c r="E29" s="158"/>
      <c r="F2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29" s="164"/>
      <c r="H29" s="164"/>
      <c r="I29" s="164"/>
      <c r="J29" s="164"/>
      <c r="K29" s="164"/>
      <c r="L29" s="166"/>
      <c r="M29" s="30" t="str">
        <f>IF(Inventory_List_Table3411151091113[[#This Row],[Q]]&lt;0.1, " ", Inventory_List_Table3411151091113[[#This Row],[Q]]*Inventory_List_Table3411151091113[[#This Row],[PRICE]])</f>
        <v xml:space="preserve"> </v>
      </c>
      <c r="N29" s="35" t="str">
        <f>IF(Inventory_List_Table3411151091113[[#This Row],[Q]]&lt;0.1, " ", Inventory_List_Table3411151091113[[#This Row],[KG]]*2.20462)</f>
        <v xml:space="preserve"> </v>
      </c>
      <c r="O29" s="35" t="str">
        <f>IF(Inventory_List_Table3411151091113[[#This Row],[Q]]&lt;0.1, " ",Inventory_List_Table3411151091113[[#This Row],[H CM]]/2.54)</f>
        <v xml:space="preserve"> </v>
      </c>
      <c r="P29" s="35" t="str">
        <f>IF(Inventory_List_Table3411151091113[[#This Row],[Q]]&lt;0.1, " ",Inventory_List_Table3411151091113[[#This Row],[W CM]]/2.54)</f>
        <v xml:space="preserve"> </v>
      </c>
      <c r="Q29" s="35" t="str">
        <f>IF(Inventory_List_Table3411151091113[[#This Row],[Q]]&lt;0.1, " ",Inventory_List_Table3411151091113[[#This Row],[D CM ]]/2.54)</f>
        <v xml:space="preserve"> </v>
      </c>
      <c r="R29" s="30" t="str">
        <f>IF(Inventory_List_Table3411151091113[[#This Row],[Q]]&lt;0.1, " ",Inventory_List_Table3411151091113[[#This Row],[PRICE]]/$L$1)</f>
        <v xml:space="preserve"> </v>
      </c>
      <c r="S2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29" s="30" t="str">
        <f>IF(Inventory_List_Table3411151091113[[#This Row],[Q]]&lt;0.1, " ",Inventory_List_Table3411151091113[[#This Row],[AQ RND USD]]*1.4)</f>
        <v xml:space="preserve"> </v>
      </c>
      <c r="U2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29" s="30" t="str">
        <f>IF(Inventory_List_Table3411151091113[[#This Row],[Q]]&lt;0.1, " ",Inventory_List_Table3411151091113[[#This Row],[LND RND USD]]*12)</f>
        <v xml:space="preserve"> </v>
      </c>
      <c r="W29" s="30" t="str">
        <f>IF(Inventory_List_Table3411151091113[[#This Row],[Q]]&lt;0.1, " ",Inventory_List_Table3411151091113[[#This Row],[AQ USD]])</f>
        <v xml:space="preserve"> </v>
      </c>
      <c r="X2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2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2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29" s="30" t="str">
        <f>IF(Inventory_List_Table3411151091113[[#This Row],[Q]]&lt;0.1, " ",Inventory_List_Table3411151091113[[#This Row],[PRICE]]/Z29*10000)</f>
        <v xml:space="preserve"> </v>
      </c>
      <c r="AB29" s="180"/>
      <c r="AC29" s="1"/>
      <c r="AD29" s="1"/>
    </row>
    <row r="30" spans="1:30" ht="24" customHeight="1" x14ac:dyDescent="0.3">
      <c r="A30" s="161">
        <v>28</v>
      </c>
      <c r="B30" s="1"/>
      <c r="C30" s="158"/>
      <c r="D30" s="158"/>
      <c r="E30" s="158"/>
      <c r="F3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0" s="164"/>
      <c r="H30" s="164"/>
      <c r="I30" s="164"/>
      <c r="J30" s="164"/>
      <c r="K30" s="164"/>
      <c r="L30" s="166"/>
      <c r="M30" s="30" t="str">
        <f>IF(Inventory_List_Table3411151091113[[#This Row],[Q]]&lt;0.1, " ", Inventory_List_Table3411151091113[[#This Row],[Q]]*Inventory_List_Table3411151091113[[#This Row],[PRICE]])</f>
        <v xml:space="preserve"> </v>
      </c>
      <c r="N30" s="35" t="str">
        <f>IF(Inventory_List_Table3411151091113[[#This Row],[Q]]&lt;0.1, " ", Inventory_List_Table3411151091113[[#This Row],[KG]]*2.20462)</f>
        <v xml:space="preserve"> </v>
      </c>
      <c r="O30" s="35" t="str">
        <f>IF(Inventory_List_Table3411151091113[[#This Row],[Q]]&lt;0.1, " ",Inventory_List_Table3411151091113[[#This Row],[H CM]]/2.54)</f>
        <v xml:space="preserve"> </v>
      </c>
      <c r="P30" s="35" t="str">
        <f>IF(Inventory_List_Table3411151091113[[#This Row],[Q]]&lt;0.1, " ",Inventory_List_Table3411151091113[[#This Row],[W CM]]/2.54)</f>
        <v xml:space="preserve"> </v>
      </c>
      <c r="Q30" s="35" t="str">
        <f>IF(Inventory_List_Table3411151091113[[#This Row],[Q]]&lt;0.1, " ",Inventory_List_Table3411151091113[[#This Row],[D CM ]]/2.54)</f>
        <v xml:space="preserve"> </v>
      </c>
      <c r="R30" s="30" t="str">
        <f>IF(Inventory_List_Table3411151091113[[#This Row],[Q]]&lt;0.1, " ",Inventory_List_Table3411151091113[[#This Row],[PRICE]]/$L$1)</f>
        <v xml:space="preserve"> </v>
      </c>
      <c r="S3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0" s="30" t="str">
        <f>IF(Inventory_List_Table3411151091113[[#This Row],[Q]]&lt;0.1, " ",Inventory_List_Table3411151091113[[#This Row],[AQ RND USD]]*1.4)</f>
        <v xml:space="preserve"> </v>
      </c>
      <c r="U3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0" s="30" t="str">
        <f>IF(Inventory_List_Table3411151091113[[#This Row],[Q]]&lt;0.1, " ",Inventory_List_Table3411151091113[[#This Row],[LND RND USD]]*12)</f>
        <v xml:space="preserve"> </v>
      </c>
      <c r="W30" s="30" t="str">
        <f>IF(Inventory_List_Table3411151091113[[#This Row],[Q]]&lt;0.1, " ",Inventory_List_Table3411151091113[[#This Row],[AQ USD]])</f>
        <v xml:space="preserve"> </v>
      </c>
      <c r="X3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0" s="30" t="str">
        <f>IF(Inventory_List_Table3411151091113[[#This Row],[Q]]&lt;0.1, " ",Inventory_List_Table3411151091113[[#This Row],[PRICE]]/Z30*10000)</f>
        <v xml:space="preserve"> </v>
      </c>
      <c r="AB30" s="180"/>
      <c r="AC30" s="1"/>
      <c r="AD30" s="1"/>
    </row>
    <row r="31" spans="1:30" ht="24" customHeight="1" x14ac:dyDescent="0.3">
      <c r="A31" s="161">
        <v>29</v>
      </c>
      <c r="B31" s="1"/>
      <c r="C31" s="158"/>
      <c r="D31" s="158"/>
      <c r="E31" s="158"/>
      <c r="F3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1" s="164"/>
      <c r="H31" s="164"/>
      <c r="I31" s="164"/>
      <c r="J31" s="164"/>
      <c r="K31" s="164"/>
      <c r="L31" s="166"/>
      <c r="M31" s="30" t="str">
        <f>IF(Inventory_List_Table3411151091113[[#This Row],[Q]]&lt;0.1, " ", Inventory_List_Table3411151091113[[#This Row],[Q]]*Inventory_List_Table3411151091113[[#This Row],[PRICE]])</f>
        <v xml:space="preserve"> </v>
      </c>
      <c r="N31" s="35" t="str">
        <f>IF(Inventory_List_Table3411151091113[[#This Row],[Q]]&lt;0.1, " ", Inventory_List_Table3411151091113[[#This Row],[KG]]*2.20462)</f>
        <v xml:space="preserve"> </v>
      </c>
      <c r="O31" s="35" t="str">
        <f>IF(Inventory_List_Table3411151091113[[#This Row],[Q]]&lt;0.1, " ",Inventory_List_Table3411151091113[[#This Row],[H CM]]/2.54)</f>
        <v xml:space="preserve"> </v>
      </c>
      <c r="P31" s="35" t="str">
        <f>IF(Inventory_List_Table3411151091113[[#This Row],[Q]]&lt;0.1, " ",Inventory_List_Table3411151091113[[#This Row],[W CM]]/2.54)</f>
        <v xml:space="preserve"> </v>
      </c>
      <c r="Q31" s="35" t="str">
        <f>IF(Inventory_List_Table3411151091113[[#This Row],[Q]]&lt;0.1, " ",Inventory_List_Table3411151091113[[#This Row],[D CM ]]/2.54)</f>
        <v xml:space="preserve"> </v>
      </c>
      <c r="R31" s="30" t="str">
        <f>IF(Inventory_List_Table3411151091113[[#This Row],[Q]]&lt;0.1, " ",Inventory_List_Table3411151091113[[#This Row],[PRICE]]/$L$1)</f>
        <v xml:space="preserve"> </v>
      </c>
      <c r="S3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1" s="30" t="str">
        <f>IF(Inventory_List_Table3411151091113[[#This Row],[Q]]&lt;0.1, " ",Inventory_List_Table3411151091113[[#This Row],[AQ RND USD]]*1.4)</f>
        <v xml:space="preserve"> </v>
      </c>
      <c r="U3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1" s="30" t="str">
        <f>IF(Inventory_List_Table3411151091113[[#This Row],[Q]]&lt;0.1, " ",Inventory_List_Table3411151091113[[#This Row],[LND RND USD]]*12)</f>
        <v xml:space="preserve"> </v>
      </c>
      <c r="W31" s="30" t="str">
        <f>IF(Inventory_List_Table3411151091113[[#This Row],[Q]]&lt;0.1, " ",Inventory_List_Table3411151091113[[#This Row],[AQ USD]])</f>
        <v xml:space="preserve"> </v>
      </c>
      <c r="X3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1" s="30" t="str">
        <f>IF(Inventory_List_Table3411151091113[[#This Row],[Q]]&lt;0.1, " ",Inventory_List_Table3411151091113[[#This Row],[PRICE]]/Z31*10000)</f>
        <v xml:space="preserve"> </v>
      </c>
      <c r="AB31" s="180"/>
      <c r="AC31" s="1"/>
      <c r="AD31" s="1"/>
    </row>
    <row r="32" spans="1:30" ht="24" customHeight="1" x14ac:dyDescent="0.3">
      <c r="A32" s="161">
        <v>30</v>
      </c>
      <c r="B32" s="1"/>
      <c r="C32" s="158"/>
      <c r="D32" s="158"/>
      <c r="E32" s="158"/>
      <c r="F3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2" s="164"/>
      <c r="H32" s="164"/>
      <c r="I32" s="164"/>
      <c r="J32" s="164"/>
      <c r="K32" s="164"/>
      <c r="L32" s="166"/>
      <c r="M32" s="30" t="str">
        <f>IF(Inventory_List_Table3411151091113[[#This Row],[Q]]&lt;0.1, " ", Inventory_List_Table3411151091113[[#This Row],[Q]]*Inventory_List_Table3411151091113[[#This Row],[PRICE]])</f>
        <v xml:space="preserve"> </v>
      </c>
      <c r="N32" s="35" t="str">
        <f>IF(Inventory_List_Table3411151091113[[#This Row],[Q]]&lt;0.1, " ", Inventory_List_Table3411151091113[[#This Row],[KG]]*2.20462)</f>
        <v xml:space="preserve"> </v>
      </c>
      <c r="O32" s="35" t="str">
        <f>IF(Inventory_List_Table3411151091113[[#This Row],[Q]]&lt;0.1, " ",Inventory_List_Table3411151091113[[#This Row],[H CM]]/2.54)</f>
        <v xml:space="preserve"> </v>
      </c>
      <c r="P32" s="35" t="str">
        <f>IF(Inventory_List_Table3411151091113[[#This Row],[Q]]&lt;0.1, " ",Inventory_List_Table3411151091113[[#This Row],[W CM]]/2.54)</f>
        <v xml:space="preserve"> </v>
      </c>
      <c r="Q32" s="35" t="str">
        <f>IF(Inventory_List_Table3411151091113[[#This Row],[Q]]&lt;0.1, " ",Inventory_List_Table3411151091113[[#This Row],[D CM ]]/2.54)</f>
        <v xml:space="preserve"> </v>
      </c>
      <c r="R32" s="30" t="str">
        <f>IF(Inventory_List_Table3411151091113[[#This Row],[Q]]&lt;0.1, " ",Inventory_List_Table3411151091113[[#This Row],[PRICE]]/$L$1)</f>
        <v xml:space="preserve"> </v>
      </c>
      <c r="S3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2" s="30" t="str">
        <f>IF(Inventory_List_Table3411151091113[[#This Row],[Q]]&lt;0.1, " ",Inventory_List_Table3411151091113[[#This Row],[AQ RND USD]]*1.4)</f>
        <v xml:space="preserve"> </v>
      </c>
      <c r="U3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2" s="30" t="str">
        <f>IF(Inventory_List_Table3411151091113[[#This Row],[Q]]&lt;0.1, " ",Inventory_List_Table3411151091113[[#This Row],[LND RND USD]]*12)</f>
        <v xml:space="preserve"> </v>
      </c>
      <c r="W32" s="30" t="str">
        <f>IF(Inventory_List_Table3411151091113[[#This Row],[Q]]&lt;0.1, " ",Inventory_List_Table3411151091113[[#This Row],[AQ USD]])</f>
        <v xml:space="preserve"> </v>
      </c>
      <c r="X3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2" s="30" t="str">
        <f>IF(Inventory_List_Table3411151091113[[#This Row],[Q]]&lt;0.1, " ",Inventory_List_Table3411151091113[[#This Row],[PRICE]]/Z32*10000)</f>
        <v xml:space="preserve"> </v>
      </c>
      <c r="AB32" s="180"/>
      <c r="AC32" s="1"/>
      <c r="AD32" s="1"/>
    </row>
    <row r="33" spans="1:30" ht="24" customHeight="1" x14ac:dyDescent="0.3">
      <c r="A33" s="161">
        <v>31</v>
      </c>
      <c r="B33" s="1"/>
      <c r="C33" s="158"/>
      <c r="D33" s="158"/>
      <c r="E33" s="158"/>
      <c r="F3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3" s="164"/>
      <c r="H33" s="164"/>
      <c r="I33" s="164"/>
      <c r="J33" s="164"/>
      <c r="K33" s="164"/>
      <c r="L33" s="166"/>
      <c r="M33" s="30" t="str">
        <f>IF(Inventory_List_Table3411151091113[[#This Row],[Q]]&lt;0.1, " ", Inventory_List_Table3411151091113[[#This Row],[Q]]*Inventory_List_Table3411151091113[[#This Row],[PRICE]])</f>
        <v xml:space="preserve"> </v>
      </c>
      <c r="N33" s="35" t="str">
        <f>IF(Inventory_List_Table3411151091113[[#This Row],[Q]]&lt;0.1, " ", Inventory_List_Table3411151091113[[#This Row],[KG]]*2.20462)</f>
        <v xml:space="preserve"> </v>
      </c>
      <c r="O33" s="35" t="str">
        <f>IF(Inventory_List_Table3411151091113[[#This Row],[Q]]&lt;0.1, " ",Inventory_List_Table3411151091113[[#This Row],[H CM]]/2.54)</f>
        <v xml:space="preserve"> </v>
      </c>
      <c r="P33" s="35" t="str">
        <f>IF(Inventory_List_Table3411151091113[[#This Row],[Q]]&lt;0.1, " ",Inventory_List_Table3411151091113[[#This Row],[W CM]]/2.54)</f>
        <v xml:space="preserve"> </v>
      </c>
      <c r="Q33" s="35" t="str">
        <f>IF(Inventory_List_Table3411151091113[[#This Row],[Q]]&lt;0.1, " ",Inventory_List_Table3411151091113[[#This Row],[D CM ]]/2.54)</f>
        <v xml:space="preserve"> </v>
      </c>
      <c r="R33" s="30" t="str">
        <f>IF(Inventory_List_Table3411151091113[[#This Row],[Q]]&lt;0.1, " ",Inventory_List_Table3411151091113[[#This Row],[PRICE]]/$L$1)</f>
        <v xml:space="preserve"> </v>
      </c>
      <c r="S3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3" s="30" t="str">
        <f>IF(Inventory_List_Table3411151091113[[#This Row],[Q]]&lt;0.1, " ",Inventory_List_Table3411151091113[[#This Row],[AQ RND USD]]*1.4)</f>
        <v xml:space="preserve"> </v>
      </c>
      <c r="U3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3" s="30" t="str">
        <f>IF(Inventory_List_Table3411151091113[[#This Row],[Q]]&lt;0.1, " ",Inventory_List_Table3411151091113[[#This Row],[LND RND USD]]*12)</f>
        <v xml:space="preserve"> </v>
      </c>
      <c r="W33" s="30" t="str">
        <f>IF(Inventory_List_Table3411151091113[[#This Row],[Q]]&lt;0.1, " ",Inventory_List_Table3411151091113[[#This Row],[AQ USD]])</f>
        <v xml:space="preserve"> </v>
      </c>
      <c r="X3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3" s="30" t="str">
        <f>IF(Inventory_List_Table3411151091113[[#This Row],[Q]]&lt;0.1, " ",Inventory_List_Table3411151091113[[#This Row],[PRICE]]/Z33*10000)</f>
        <v xml:space="preserve"> </v>
      </c>
      <c r="AB33" s="180"/>
      <c r="AC33" s="1"/>
      <c r="AD33" s="1"/>
    </row>
    <row r="34" spans="1:30" ht="24" customHeight="1" x14ac:dyDescent="0.3">
      <c r="A34" s="161">
        <v>32</v>
      </c>
      <c r="B34" s="1"/>
      <c r="C34" s="158"/>
      <c r="D34" s="158"/>
      <c r="E34" s="158"/>
      <c r="F3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4" s="164"/>
      <c r="H34" s="164"/>
      <c r="I34" s="164"/>
      <c r="J34" s="164"/>
      <c r="K34" s="164"/>
      <c r="L34" s="166"/>
      <c r="M34" s="30" t="str">
        <f>IF(Inventory_List_Table3411151091113[[#This Row],[Q]]&lt;0.1, " ", Inventory_List_Table3411151091113[[#This Row],[Q]]*Inventory_List_Table3411151091113[[#This Row],[PRICE]])</f>
        <v xml:space="preserve"> </v>
      </c>
      <c r="N34" s="35" t="str">
        <f>IF(Inventory_List_Table3411151091113[[#This Row],[Q]]&lt;0.1, " ", Inventory_List_Table3411151091113[[#This Row],[KG]]*2.20462)</f>
        <v xml:space="preserve"> </v>
      </c>
      <c r="O34" s="35" t="str">
        <f>IF(Inventory_List_Table3411151091113[[#This Row],[Q]]&lt;0.1, " ",Inventory_List_Table3411151091113[[#This Row],[H CM]]/2.54)</f>
        <v xml:space="preserve"> </v>
      </c>
      <c r="P34" s="35" t="str">
        <f>IF(Inventory_List_Table3411151091113[[#This Row],[Q]]&lt;0.1, " ",Inventory_List_Table3411151091113[[#This Row],[W CM]]/2.54)</f>
        <v xml:space="preserve"> </v>
      </c>
      <c r="Q34" s="35" t="str">
        <f>IF(Inventory_List_Table3411151091113[[#This Row],[Q]]&lt;0.1, " ",Inventory_List_Table3411151091113[[#This Row],[D CM ]]/2.54)</f>
        <v xml:space="preserve"> </v>
      </c>
      <c r="R34" s="30" t="str">
        <f>IF(Inventory_List_Table3411151091113[[#This Row],[Q]]&lt;0.1, " ",Inventory_List_Table3411151091113[[#This Row],[PRICE]]/$L$1)</f>
        <v xml:space="preserve"> </v>
      </c>
      <c r="S3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4" s="30" t="str">
        <f>IF(Inventory_List_Table3411151091113[[#This Row],[Q]]&lt;0.1, " ",Inventory_List_Table3411151091113[[#This Row],[AQ RND USD]]*1.4)</f>
        <v xml:space="preserve"> </v>
      </c>
      <c r="U3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4" s="30" t="str">
        <f>IF(Inventory_List_Table3411151091113[[#This Row],[Q]]&lt;0.1, " ",Inventory_List_Table3411151091113[[#This Row],[LND RND USD]]*12)</f>
        <v xml:space="preserve"> </v>
      </c>
      <c r="W34" s="30" t="str">
        <f>IF(Inventory_List_Table3411151091113[[#This Row],[Q]]&lt;0.1, " ",Inventory_List_Table3411151091113[[#This Row],[AQ USD]])</f>
        <v xml:space="preserve"> </v>
      </c>
      <c r="X3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4" s="30" t="str">
        <f>IF(Inventory_List_Table3411151091113[[#This Row],[Q]]&lt;0.1, " ",Inventory_List_Table3411151091113[[#This Row],[PRICE]]/Z34*10000)</f>
        <v xml:space="preserve"> </v>
      </c>
      <c r="AB34" s="180"/>
      <c r="AC34" s="1"/>
      <c r="AD34" s="1"/>
    </row>
    <row r="35" spans="1:30" ht="24" customHeight="1" x14ac:dyDescent="0.3">
      <c r="A35" s="161">
        <v>33</v>
      </c>
      <c r="B35" s="1"/>
      <c r="C35" s="158"/>
      <c r="D35" s="158"/>
      <c r="E35" s="158"/>
      <c r="F3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5" s="164"/>
      <c r="H35" s="164"/>
      <c r="I35" s="164"/>
      <c r="J35" s="164"/>
      <c r="K35" s="164"/>
      <c r="L35" s="166"/>
      <c r="M35" s="30" t="str">
        <f>IF(Inventory_List_Table3411151091113[[#This Row],[Q]]&lt;0.1, " ", Inventory_List_Table3411151091113[[#This Row],[Q]]*Inventory_List_Table3411151091113[[#This Row],[PRICE]])</f>
        <v xml:space="preserve"> </v>
      </c>
      <c r="N35" s="35" t="str">
        <f>IF(Inventory_List_Table3411151091113[[#This Row],[Q]]&lt;0.1, " ", Inventory_List_Table3411151091113[[#This Row],[KG]]*2.20462)</f>
        <v xml:space="preserve"> </v>
      </c>
      <c r="O35" s="35" t="str">
        <f>IF(Inventory_List_Table3411151091113[[#This Row],[Q]]&lt;0.1, " ",Inventory_List_Table3411151091113[[#This Row],[H CM]]/2.54)</f>
        <v xml:space="preserve"> </v>
      </c>
      <c r="P35" s="35" t="str">
        <f>IF(Inventory_List_Table3411151091113[[#This Row],[Q]]&lt;0.1, " ",Inventory_List_Table3411151091113[[#This Row],[W CM]]/2.54)</f>
        <v xml:space="preserve"> </v>
      </c>
      <c r="Q35" s="35" t="str">
        <f>IF(Inventory_List_Table3411151091113[[#This Row],[Q]]&lt;0.1, " ",Inventory_List_Table3411151091113[[#This Row],[D CM ]]/2.54)</f>
        <v xml:space="preserve"> </v>
      </c>
      <c r="R35" s="30" t="str">
        <f>IF(Inventory_List_Table3411151091113[[#This Row],[Q]]&lt;0.1, " ",Inventory_List_Table3411151091113[[#This Row],[PRICE]]/$L$1)</f>
        <v xml:space="preserve"> </v>
      </c>
      <c r="S3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5" s="30" t="str">
        <f>IF(Inventory_List_Table3411151091113[[#This Row],[Q]]&lt;0.1, " ",Inventory_List_Table3411151091113[[#This Row],[AQ RND USD]]*1.4)</f>
        <v xml:space="preserve"> </v>
      </c>
      <c r="U3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5" s="30" t="str">
        <f>IF(Inventory_List_Table3411151091113[[#This Row],[Q]]&lt;0.1, " ",Inventory_List_Table3411151091113[[#This Row],[LND RND USD]]*12)</f>
        <v xml:space="preserve"> </v>
      </c>
      <c r="W35" s="30" t="str">
        <f>IF(Inventory_List_Table3411151091113[[#This Row],[Q]]&lt;0.1, " ",Inventory_List_Table3411151091113[[#This Row],[AQ USD]])</f>
        <v xml:space="preserve"> </v>
      </c>
      <c r="X3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5" s="30" t="str">
        <f>IF(Inventory_List_Table3411151091113[[#This Row],[Q]]&lt;0.1, " ",Inventory_List_Table3411151091113[[#This Row],[PRICE]]/Z35*10000)</f>
        <v xml:space="preserve"> </v>
      </c>
      <c r="AB35" s="180"/>
      <c r="AC35" s="1"/>
      <c r="AD35" s="1"/>
    </row>
    <row r="36" spans="1:30" ht="24" customHeight="1" x14ac:dyDescent="0.3">
      <c r="A36" s="161">
        <v>34</v>
      </c>
      <c r="B36" s="1"/>
      <c r="C36" s="158"/>
      <c r="D36" s="158"/>
      <c r="E36" s="158"/>
      <c r="F3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6" s="164"/>
      <c r="H36" s="164"/>
      <c r="I36" s="164"/>
      <c r="J36" s="164"/>
      <c r="K36" s="164"/>
      <c r="L36" s="166"/>
      <c r="M36" s="30" t="str">
        <f>IF(Inventory_List_Table3411151091113[[#This Row],[Q]]&lt;0.1, " ", Inventory_List_Table3411151091113[[#This Row],[Q]]*Inventory_List_Table3411151091113[[#This Row],[PRICE]])</f>
        <v xml:space="preserve"> </v>
      </c>
      <c r="N36" s="35" t="str">
        <f>IF(Inventory_List_Table3411151091113[[#This Row],[Q]]&lt;0.1, " ", Inventory_List_Table3411151091113[[#This Row],[KG]]*2.20462)</f>
        <v xml:space="preserve"> </v>
      </c>
      <c r="O36" s="35" t="str">
        <f>IF(Inventory_List_Table3411151091113[[#This Row],[Q]]&lt;0.1, " ",Inventory_List_Table3411151091113[[#This Row],[H CM]]/2.54)</f>
        <v xml:space="preserve"> </v>
      </c>
      <c r="P36" s="35" t="str">
        <f>IF(Inventory_List_Table3411151091113[[#This Row],[Q]]&lt;0.1, " ",Inventory_List_Table3411151091113[[#This Row],[W CM]]/2.54)</f>
        <v xml:space="preserve"> </v>
      </c>
      <c r="Q36" s="35" t="str">
        <f>IF(Inventory_List_Table3411151091113[[#This Row],[Q]]&lt;0.1, " ",Inventory_List_Table3411151091113[[#This Row],[D CM ]]/2.54)</f>
        <v xml:space="preserve"> </v>
      </c>
      <c r="R36" s="30" t="str">
        <f>IF(Inventory_List_Table3411151091113[[#This Row],[Q]]&lt;0.1, " ",Inventory_List_Table3411151091113[[#This Row],[PRICE]]/$L$1)</f>
        <v xml:space="preserve"> </v>
      </c>
      <c r="S3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6" s="30" t="str">
        <f>IF(Inventory_List_Table3411151091113[[#This Row],[Q]]&lt;0.1, " ",Inventory_List_Table3411151091113[[#This Row],[AQ RND USD]]*1.4)</f>
        <v xml:space="preserve"> </v>
      </c>
      <c r="U3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6" s="30" t="str">
        <f>IF(Inventory_List_Table3411151091113[[#This Row],[Q]]&lt;0.1, " ",Inventory_List_Table3411151091113[[#This Row],[LND RND USD]]*12)</f>
        <v xml:space="preserve"> </v>
      </c>
      <c r="W36" s="30" t="str">
        <f>IF(Inventory_List_Table3411151091113[[#This Row],[Q]]&lt;0.1, " ",Inventory_List_Table3411151091113[[#This Row],[AQ USD]])</f>
        <v xml:space="preserve"> </v>
      </c>
      <c r="X3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6" s="30" t="str">
        <f>IF(Inventory_List_Table3411151091113[[#This Row],[Q]]&lt;0.1, " ",Inventory_List_Table3411151091113[[#This Row],[PRICE]]/Z36*10000)</f>
        <v xml:space="preserve"> </v>
      </c>
      <c r="AB36" s="180"/>
      <c r="AC36" s="1"/>
      <c r="AD36" s="1"/>
    </row>
    <row r="37" spans="1:30" ht="24" customHeight="1" x14ac:dyDescent="0.3">
      <c r="A37" s="161">
        <v>35</v>
      </c>
      <c r="B37" s="1"/>
      <c r="C37" s="158"/>
      <c r="D37" s="158"/>
      <c r="E37" s="158"/>
      <c r="F3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7" s="164"/>
      <c r="H37" s="164"/>
      <c r="I37" s="164"/>
      <c r="J37" s="164"/>
      <c r="K37" s="164"/>
      <c r="L37" s="166"/>
      <c r="M37" s="30" t="str">
        <f>IF(Inventory_List_Table3411151091113[[#This Row],[Q]]&lt;0.1, " ", Inventory_List_Table3411151091113[[#This Row],[Q]]*Inventory_List_Table3411151091113[[#This Row],[PRICE]])</f>
        <v xml:space="preserve"> </v>
      </c>
      <c r="N37" s="35" t="str">
        <f>IF(Inventory_List_Table3411151091113[[#This Row],[Q]]&lt;0.1, " ", Inventory_List_Table3411151091113[[#This Row],[KG]]*2.20462)</f>
        <v xml:space="preserve"> </v>
      </c>
      <c r="O37" s="35" t="str">
        <f>IF(Inventory_List_Table3411151091113[[#This Row],[Q]]&lt;0.1, " ",Inventory_List_Table3411151091113[[#This Row],[H CM]]/2.54)</f>
        <v xml:space="preserve"> </v>
      </c>
      <c r="P37" s="35" t="str">
        <f>IF(Inventory_List_Table3411151091113[[#This Row],[Q]]&lt;0.1, " ",Inventory_List_Table3411151091113[[#This Row],[W CM]]/2.54)</f>
        <v xml:space="preserve"> </v>
      </c>
      <c r="Q37" s="35" t="str">
        <f>IF(Inventory_List_Table3411151091113[[#This Row],[Q]]&lt;0.1, " ",Inventory_List_Table3411151091113[[#This Row],[D CM ]]/2.54)</f>
        <v xml:space="preserve"> </v>
      </c>
      <c r="R37" s="30" t="str">
        <f>IF(Inventory_List_Table3411151091113[[#This Row],[Q]]&lt;0.1, " ",Inventory_List_Table3411151091113[[#This Row],[PRICE]]/$L$1)</f>
        <v xml:space="preserve"> </v>
      </c>
      <c r="S3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7" s="30" t="str">
        <f>IF(Inventory_List_Table3411151091113[[#This Row],[Q]]&lt;0.1, " ",Inventory_List_Table3411151091113[[#This Row],[AQ RND USD]]*1.4)</f>
        <v xml:space="preserve"> </v>
      </c>
      <c r="U3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7" s="30" t="str">
        <f>IF(Inventory_List_Table3411151091113[[#This Row],[Q]]&lt;0.1, " ",Inventory_List_Table3411151091113[[#This Row],[LND RND USD]]*12)</f>
        <v xml:space="preserve"> </v>
      </c>
      <c r="W37" s="30" t="str">
        <f>IF(Inventory_List_Table3411151091113[[#This Row],[Q]]&lt;0.1, " ",Inventory_List_Table3411151091113[[#This Row],[AQ USD]])</f>
        <v xml:space="preserve"> </v>
      </c>
      <c r="X3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7" s="30" t="str">
        <f>IF(Inventory_List_Table3411151091113[[#This Row],[Q]]&lt;0.1, " ",Inventory_List_Table3411151091113[[#This Row],[PRICE]]/Z37*10000)</f>
        <v xml:space="preserve"> </v>
      </c>
      <c r="AB37" s="180"/>
      <c r="AC37" s="1"/>
      <c r="AD37" s="1"/>
    </row>
    <row r="38" spans="1:30" ht="24" customHeight="1" x14ac:dyDescent="0.3">
      <c r="A38" s="161">
        <v>36</v>
      </c>
      <c r="B38" s="1"/>
      <c r="C38" s="158"/>
      <c r="D38" s="158"/>
      <c r="E38" s="158"/>
      <c r="F3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8" s="164"/>
      <c r="H38" s="164"/>
      <c r="I38" s="164"/>
      <c r="J38" s="164"/>
      <c r="K38" s="164"/>
      <c r="L38" s="166"/>
      <c r="M38" s="30" t="str">
        <f>IF(Inventory_List_Table3411151091113[[#This Row],[Q]]&lt;0.1, " ", Inventory_List_Table3411151091113[[#This Row],[Q]]*Inventory_List_Table3411151091113[[#This Row],[PRICE]])</f>
        <v xml:space="preserve"> </v>
      </c>
      <c r="N38" s="35" t="str">
        <f>IF(Inventory_List_Table3411151091113[[#This Row],[Q]]&lt;0.1, " ", Inventory_List_Table3411151091113[[#This Row],[KG]]*2.20462)</f>
        <v xml:space="preserve"> </v>
      </c>
      <c r="O38" s="35" t="str">
        <f>IF(Inventory_List_Table3411151091113[[#This Row],[Q]]&lt;0.1, " ",Inventory_List_Table3411151091113[[#This Row],[H CM]]/2.54)</f>
        <v xml:space="preserve"> </v>
      </c>
      <c r="P38" s="35" t="str">
        <f>IF(Inventory_List_Table3411151091113[[#This Row],[Q]]&lt;0.1, " ",Inventory_List_Table3411151091113[[#This Row],[W CM]]/2.54)</f>
        <v xml:space="preserve"> </v>
      </c>
      <c r="Q38" s="35" t="str">
        <f>IF(Inventory_List_Table3411151091113[[#This Row],[Q]]&lt;0.1, " ",Inventory_List_Table3411151091113[[#This Row],[D CM ]]/2.54)</f>
        <v xml:space="preserve"> </v>
      </c>
      <c r="R38" s="30" t="str">
        <f>IF(Inventory_List_Table3411151091113[[#This Row],[Q]]&lt;0.1, " ",Inventory_List_Table3411151091113[[#This Row],[PRICE]]/$L$1)</f>
        <v xml:space="preserve"> </v>
      </c>
      <c r="S3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8" s="30" t="str">
        <f>IF(Inventory_List_Table3411151091113[[#This Row],[Q]]&lt;0.1, " ",Inventory_List_Table3411151091113[[#This Row],[AQ RND USD]]*1.4)</f>
        <v xml:space="preserve"> </v>
      </c>
      <c r="U3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8" s="30" t="str">
        <f>IF(Inventory_List_Table3411151091113[[#This Row],[Q]]&lt;0.1, " ",Inventory_List_Table3411151091113[[#This Row],[LND RND USD]]*12)</f>
        <v xml:space="preserve"> </v>
      </c>
      <c r="W38" s="30" t="str">
        <f>IF(Inventory_List_Table3411151091113[[#This Row],[Q]]&lt;0.1, " ",Inventory_List_Table3411151091113[[#This Row],[AQ USD]])</f>
        <v xml:space="preserve"> </v>
      </c>
      <c r="X3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8" s="30" t="str">
        <f>IF(Inventory_List_Table3411151091113[[#This Row],[Q]]&lt;0.1, " ",Inventory_List_Table3411151091113[[#This Row],[PRICE]]/Z38*10000)</f>
        <v xml:space="preserve"> </v>
      </c>
      <c r="AB38" s="180"/>
      <c r="AC38" s="1"/>
      <c r="AD38" s="1"/>
    </row>
    <row r="39" spans="1:30" ht="24" customHeight="1" x14ac:dyDescent="0.3">
      <c r="A39" s="161">
        <v>37</v>
      </c>
      <c r="B39" s="1"/>
      <c r="C39" s="158"/>
      <c r="D39" s="158"/>
      <c r="E39" s="158"/>
      <c r="F3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39" s="164"/>
      <c r="H39" s="164"/>
      <c r="I39" s="164"/>
      <c r="J39" s="164"/>
      <c r="K39" s="164"/>
      <c r="L39" s="166"/>
      <c r="M39" s="30" t="str">
        <f>IF(Inventory_List_Table3411151091113[[#This Row],[Q]]&lt;0.1, " ", Inventory_List_Table3411151091113[[#This Row],[Q]]*Inventory_List_Table3411151091113[[#This Row],[PRICE]])</f>
        <v xml:space="preserve"> </v>
      </c>
      <c r="N39" s="35" t="str">
        <f>IF(Inventory_List_Table3411151091113[[#This Row],[Q]]&lt;0.1, " ", Inventory_List_Table3411151091113[[#This Row],[KG]]*2.20462)</f>
        <v xml:space="preserve"> </v>
      </c>
      <c r="O39" s="35" t="str">
        <f>IF(Inventory_List_Table3411151091113[[#This Row],[Q]]&lt;0.1, " ",Inventory_List_Table3411151091113[[#This Row],[H CM]]/2.54)</f>
        <v xml:space="preserve"> </v>
      </c>
      <c r="P39" s="35" t="str">
        <f>IF(Inventory_List_Table3411151091113[[#This Row],[Q]]&lt;0.1, " ",Inventory_List_Table3411151091113[[#This Row],[W CM]]/2.54)</f>
        <v xml:space="preserve"> </v>
      </c>
      <c r="Q39" s="35" t="str">
        <f>IF(Inventory_List_Table3411151091113[[#This Row],[Q]]&lt;0.1, " ",Inventory_List_Table3411151091113[[#This Row],[D CM ]]/2.54)</f>
        <v xml:space="preserve"> </v>
      </c>
      <c r="R39" s="30" t="str">
        <f>IF(Inventory_List_Table3411151091113[[#This Row],[Q]]&lt;0.1, " ",Inventory_List_Table3411151091113[[#This Row],[PRICE]]/$L$1)</f>
        <v xml:space="preserve"> </v>
      </c>
      <c r="S3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39" s="30" t="str">
        <f>IF(Inventory_List_Table3411151091113[[#This Row],[Q]]&lt;0.1, " ",Inventory_List_Table3411151091113[[#This Row],[AQ RND USD]]*1.4)</f>
        <v xml:space="preserve"> </v>
      </c>
      <c r="U3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39" s="30" t="str">
        <f>IF(Inventory_List_Table3411151091113[[#This Row],[Q]]&lt;0.1, " ",Inventory_List_Table3411151091113[[#This Row],[LND RND USD]]*12)</f>
        <v xml:space="preserve"> </v>
      </c>
      <c r="W39" s="30" t="str">
        <f>IF(Inventory_List_Table3411151091113[[#This Row],[Q]]&lt;0.1, " ",Inventory_List_Table3411151091113[[#This Row],[AQ USD]])</f>
        <v xml:space="preserve"> </v>
      </c>
      <c r="X3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3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3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39" s="30" t="str">
        <f>IF(Inventory_List_Table3411151091113[[#This Row],[Q]]&lt;0.1, " ",Inventory_List_Table3411151091113[[#This Row],[PRICE]]/Z39*10000)</f>
        <v xml:space="preserve"> </v>
      </c>
      <c r="AB39" s="180"/>
      <c r="AC39" s="1"/>
      <c r="AD39" s="1"/>
    </row>
    <row r="40" spans="1:30" ht="24" customHeight="1" x14ac:dyDescent="0.3">
      <c r="A40" s="161">
        <v>38</v>
      </c>
      <c r="B40" s="1"/>
      <c r="C40" s="158"/>
      <c r="D40" s="158"/>
      <c r="E40" s="158"/>
      <c r="F4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0" s="164"/>
      <c r="H40" s="164"/>
      <c r="I40" s="164"/>
      <c r="J40" s="164"/>
      <c r="K40" s="164"/>
      <c r="L40" s="166"/>
      <c r="M40" s="30" t="str">
        <f>IF(Inventory_List_Table3411151091113[[#This Row],[Q]]&lt;0.1, " ", Inventory_List_Table3411151091113[[#This Row],[Q]]*Inventory_List_Table3411151091113[[#This Row],[PRICE]])</f>
        <v xml:space="preserve"> </v>
      </c>
      <c r="N40" s="35" t="str">
        <f>IF(Inventory_List_Table3411151091113[[#This Row],[Q]]&lt;0.1, " ", Inventory_List_Table3411151091113[[#This Row],[KG]]*2.20462)</f>
        <v xml:space="preserve"> </v>
      </c>
      <c r="O40" s="35" t="str">
        <f>IF(Inventory_List_Table3411151091113[[#This Row],[Q]]&lt;0.1, " ",Inventory_List_Table3411151091113[[#This Row],[H CM]]/2.54)</f>
        <v xml:space="preserve"> </v>
      </c>
      <c r="P40" s="35" t="str">
        <f>IF(Inventory_List_Table3411151091113[[#This Row],[Q]]&lt;0.1, " ",Inventory_List_Table3411151091113[[#This Row],[W CM]]/2.54)</f>
        <v xml:space="preserve"> </v>
      </c>
      <c r="Q40" s="35" t="str">
        <f>IF(Inventory_List_Table3411151091113[[#This Row],[Q]]&lt;0.1, " ",Inventory_List_Table3411151091113[[#This Row],[D CM ]]/2.54)</f>
        <v xml:space="preserve"> </v>
      </c>
      <c r="R40" s="30" t="str">
        <f>IF(Inventory_List_Table3411151091113[[#This Row],[Q]]&lt;0.1, " ",Inventory_List_Table3411151091113[[#This Row],[PRICE]]/$L$1)</f>
        <v xml:space="preserve"> </v>
      </c>
      <c r="S4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0" s="30" t="str">
        <f>IF(Inventory_List_Table3411151091113[[#This Row],[Q]]&lt;0.1, " ",Inventory_List_Table3411151091113[[#This Row],[AQ RND USD]]*1.4)</f>
        <v xml:space="preserve"> </v>
      </c>
      <c r="U4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0" s="30" t="str">
        <f>IF(Inventory_List_Table3411151091113[[#This Row],[Q]]&lt;0.1, " ",Inventory_List_Table3411151091113[[#This Row],[LND RND USD]]*12)</f>
        <v xml:space="preserve"> </v>
      </c>
      <c r="W40" s="30" t="str">
        <f>IF(Inventory_List_Table3411151091113[[#This Row],[Q]]&lt;0.1, " ",Inventory_List_Table3411151091113[[#This Row],[AQ USD]])</f>
        <v xml:space="preserve"> </v>
      </c>
      <c r="X4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0" s="30" t="str">
        <f>IF(Inventory_List_Table3411151091113[[#This Row],[Q]]&lt;0.1, " ",Inventory_List_Table3411151091113[[#This Row],[PRICE]]/Z40*10000)</f>
        <v xml:space="preserve"> </v>
      </c>
      <c r="AB40" s="180"/>
      <c r="AC40" s="1"/>
      <c r="AD40" s="1"/>
    </row>
    <row r="41" spans="1:30" ht="24" customHeight="1" x14ac:dyDescent="0.3">
      <c r="A41" s="161">
        <v>39</v>
      </c>
      <c r="B41" s="1"/>
      <c r="C41" s="158"/>
      <c r="D41" s="158"/>
      <c r="E41" s="158"/>
      <c r="F4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1" s="164"/>
      <c r="H41" s="164"/>
      <c r="I41" s="164"/>
      <c r="J41" s="164"/>
      <c r="K41" s="164"/>
      <c r="L41" s="166"/>
      <c r="M41" s="30" t="str">
        <f>IF(Inventory_List_Table3411151091113[[#This Row],[Q]]&lt;0.1, " ", Inventory_List_Table3411151091113[[#This Row],[Q]]*Inventory_List_Table3411151091113[[#This Row],[PRICE]])</f>
        <v xml:space="preserve"> </v>
      </c>
      <c r="N41" s="35" t="str">
        <f>IF(Inventory_List_Table3411151091113[[#This Row],[Q]]&lt;0.1, " ", Inventory_List_Table3411151091113[[#This Row],[KG]]*2.20462)</f>
        <v xml:space="preserve"> </v>
      </c>
      <c r="O41" s="35" t="str">
        <f>IF(Inventory_List_Table3411151091113[[#This Row],[Q]]&lt;0.1, " ",Inventory_List_Table3411151091113[[#This Row],[H CM]]/2.54)</f>
        <v xml:space="preserve"> </v>
      </c>
      <c r="P41" s="35" t="str">
        <f>IF(Inventory_List_Table3411151091113[[#This Row],[Q]]&lt;0.1, " ",Inventory_List_Table3411151091113[[#This Row],[W CM]]/2.54)</f>
        <v xml:space="preserve"> </v>
      </c>
      <c r="Q41" s="35" t="str">
        <f>IF(Inventory_List_Table3411151091113[[#This Row],[Q]]&lt;0.1, " ",Inventory_List_Table3411151091113[[#This Row],[D CM ]]/2.54)</f>
        <v xml:space="preserve"> </v>
      </c>
      <c r="R41" s="30" t="str">
        <f>IF(Inventory_List_Table3411151091113[[#This Row],[Q]]&lt;0.1, " ",Inventory_List_Table3411151091113[[#This Row],[PRICE]]/$L$1)</f>
        <v xml:space="preserve"> </v>
      </c>
      <c r="S4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1" s="30" t="str">
        <f>IF(Inventory_List_Table3411151091113[[#This Row],[Q]]&lt;0.1, " ",Inventory_List_Table3411151091113[[#This Row],[AQ RND USD]]*1.4)</f>
        <v xml:space="preserve"> </v>
      </c>
      <c r="U4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1" s="30" t="str">
        <f>IF(Inventory_List_Table3411151091113[[#This Row],[Q]]&lt;0.1, " ",Inventory_List_Table3411151091113[[#This Row],[LND RND USD]]*12)</f>
        <v xml:space="preserve"> </v>
      </c>
      <c r="W41" s="30" t="str">
        <f>IF(Inventory_List_Table3411151091113[[#This Row],[Q]]&lt;0.1, " ",Inventory_List_Table3411151091113[[#This Row],[AQ USD]])</f>
        <v xml:space="preserve"> </v>
      </c>
      <c r="X4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1" s="30" t="str">
        <f>IF(Inventory_List_Table3411151091113[[#This Row],[Q]]&lt;0.1, " ",Inventory_List_Table3411151091113[[#This Row],[PRICE]]/Z41*10000)</f>
        <v xml:space="preserve"> </v>
      </c>
      <c r="AB41" s="180"/>
      <c r="AC41" s="1"/>
      <c r="AD41" s="1"/>
    </row>
    <row r="42" spans="1:30" ht="24" customHeight="1" x14ac:dyDescent="0.3">
      <c r="A42" s="161">
        <v>40</v>
      </c>
      <c r="B42" s="1"/>
      <c r="C42" s="158"/>
      <c r="D42" s="158"/>
      <c r="E42" s="158"/>
      <c r="F4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2" s="164"/>
      <c r="H42" s="164"/>
      <c r="I42" s="164"/>
      <c r="J42" s="164"/>
      <c r="K42" s="164"/>
      <c r="L42" s="166"/>
      <c r="M42" s="30" t="str">
        <f>IF(Inventory_List_Table3411151091113[[#This Row],[Q]]&lt;0.1, " ", Inventory_List_Table3411151091113[[#This Row],[Q]]*Inventory_List_Table3411151091113[[#This Row],[PRICE]])</f>
        <v xml:space="preserve"> </v>
      </c>
      <c r="N42" s="35" t="str">
        <f>IF(Inventory_List_Table3411151091113[[#This Row],[Q]]&lt;0.1, " ", Inventory_List_Table3411151091113[[#This Row],[KG]]*2.20462)</f>
        <v xml:space="preserve"> </v>
      </c>
      <c r="O42" s="35" t="str">
        <f>IF(Inventory_List_Table3411151091113[[#This Row],[Q]]&lt;0.1, " ",Inventory_List_Table3411151091113[[#This Row],[H CM]]/2.54)</f>
        <v xml:space="preserve"> </v>
      </c>
      <c r="P42" s="35" t="str">
        <f>IF(Inventory_List_Table3411151091113[[#This Row],[Q]]&lt;0.1, " ",Inventory_List_Table3411151091113[[#This Row],[W CM]]/2.54)</f>
        <v xml:space="preserve"> </v>
      </c>
      <c r="Q42" s="35" t="str">
        <f>IF(Inventory_List_Table3411151091113[[#This Row],[Q]]&lt;0.1, " ",Inventory_List_Table3411151091113[[#This Row],[D CM ]]/2.54)</f>
        <v xml:space="preserve"> </v>
      </c>
      <c r="R42" s="30" t="str">
        <f>IF(Inventory_List_Table3411151091113[[#This Row],[Q]]&lt;0.1, " ",Inventory_List_Table3411151091113[[#This Row],[PRICE]]/$L$1)</f>
        <v xml:space="preserve"> </v>
      </c>
      <c r="S4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2" s="30" t="str">
        <f>IF(Inventory_List_Table3411151091113[[#This Row],[Q]]&lt;0.1, " ",Inventory_List_Table3411151091113[[#This Row],[AQ RND USD]]*1.4)</f>
        <v xml:space="preserve"> </v>
      </c>
      <c r="U4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2" s="30" t="str">
        <f>IF(Inventory_List_Table3411151091113[[#This Row],[Q]]&lt;0.1, " ",Inventory_List_Table3411151091113[[#This Row],[LND RND USD]]*12)</f>
        <v xml:space="preserve"> </v>
      </c>
      <c r="W42" s="30" t="str">
        <f>IF(Inventory_List_Table3411151091113[[#This Row],[Q]]&lt;0.1, " ",Inventory_List_Table3411151091113[[#This Row],[AQ USD]])</f>
        <v xml:space="preserve"> </v>
      </c>
      <c r="X4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2" s="30" t="str">
        <f>IF(Inventory_List_Table3411151091113[[#This Row],[Q]]&lt;0.1, " ",Inventory_List_Table3411151091113[[#This Row],[PRICE]]/Z42*10000)</f>
        <v xml:space="preserve"> </v>
      </c>
      <c r="AB42" s="180"/>
      <c r="AC42" s="1"/>
      <c r="AD42" s="1"/>
    </row>
    <row r="43" spans="1:30" ht="24" customHeight="1" x14ac:dyDescent="0.3">
      <c r="A43" s="161">
        <v>41</v>
      </c>
      <c r="B43" s="1"/>
      <c r="C43" s="158"/>
      <c r="D43" s="158"/>
      <c r="E43" s="158"/>
      <c r="F4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3" s="164"/>
      <c r="H43" s="164"/>
      <c r="I43" s="164"/>
      <c r="J43" s="164"/>
      <c r="K43" s="164"/>
      <c r="L43" s="166"/>
      <c r="M43" s="30" t="str">
        <f>IF(Inventory_List_Table3411151091113[[#This Row],[Q]]&lt;0.1, " ", Inventory_List_Table3411151091113[[#This Row],[Q]]*Inventory_List_Table3411151091113[[#This Row],[PRICE]])</f>
        <v xml:space="preserve"> </v>
      </c>
      <c r="N43" s="35" t="str">
        <f>IF(Inventory_List_Table3411151091113[[#This Row],[Q]]&lt;0.1, " ", Inventory_List_Table3411151091113[[#This Row],[KG]]*2.20462)</f>
        <v xml:space="preserve"> </v>
      </c>
      <c r="O43" s="35" t="str">
        <f>IF(Inventory_List_Table3411151091113[[#This Row],[Q]]&lt;0.1, " ",Inventory_List_Table3411151091113[[#This Row],[H CM]]/2.54)</f>
        <v xml:space="preserve"> </v>
      </c>
      <c r="P43" s="35" t="str">
        <f>IF(Inventory_List_Table3411151091113[[#This Row],[Q]]&lt;0.1, " ",Inventory_List_Table3411151091113[[#This Row],[W CM]]/2.54)</f>
        <v xml:space="preserve"> </v>
      </c>
      <c r="Q43" s="35" t="str">
        <f>IF(Inventory_List_Table3411151091113[[#This Row],[Q]]&lt;0.1, " ",Inventory_List_Table3411151091113[[#This Row],[D CM ]]/2.54)</f>
        <v xml:space="preserve"> </v>
      </c>
      <c r="R43" s="30" t="str">
        <f>IF(Inventory_List_Table3411151091113[[#This Row],[Q]]&lt;0.1, " ",Inventory_List_Table3411151091113[[#This Row],[PRICE]]/$L$1)</f>
        <v xml:space="preserve"> </v>
      </c>
      <c r="S4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3" s="30" t="str">
        <f>IF(Inventory_List_Table3411151091113[[#This Row],[Q]]&lt;0.1, " ",Inventory_List_Table3411151091113[[#This Row],[AQ RND USD]]*1.4)</f>
        <v xml:space="preserve"> </v>
      </c>
      <c r="U4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3" s="30" t="str">
        <f>IF(Inventory_List_Table3411151091113[[#This Row],[Q]]&lt;0.1, " ",Inventory_List_Table3411151091113[[#This Row],[LND RND USD]]*12)</f>
        <v xml:space="preserve"> </v>
      </c>
      <c r="W43" s="30" t="str">
        <f>IF(Inventory_List_Table3411151091113[[#This Row],[Q]]&lt;0.1, " ",Inventory_List_Table3411151091113[[#This Row],[AQ USD]])</f>
        <v xml:space="preserve"> </v>
      </c>
      <c r="X4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3" s="30" t="str">
        <f>IF(Inventory_List_Table3411151091113[[#This Row],[Q]]&lt;0.1, " ",Inventory_List_Table3411151091113[[#This Row],[PRICE]]/Z43*10000)</f>
        <v xml:space="preserve"> </v>
      </c>
      <c r="AB43" s="180"/>
      <c r="AC43" s="1"/>
      <c r="AD43" s="1"/>
    </row>
    <row r="44" spans="1:30" ht="24" customHeight="1" x14ac:dyDescent="0.3">
      <c r="A44" s="161">
        <v>42</v>
      </c>
      <c r="B44" s="1"/>
      <c r="C44" s="158"/>
      <c r="D44" s="158"/>
      <c r="E44" s="158"/>
      <c r="F4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4" s="164"/>
      <c r="H44" s="164"/>
      <c r="I44" s="164"/>
      <c r="J44" s="164"/>
      <c r="K44" s="164"/>
      <c r="L44" s="166"/>
      <c r="M44" s="30" t="str">
        <f>IF(Inventory_List_Table3411151091113[[#This Row],[Q]]&lt;0.1, " ", Inventory_List_Table3411151091113[[#This Row],[Q]]*Inventory_List_Table3411151091113[[#This Row],[PRICE]])</f>
        <v xml:space="preserve"> </v>
      </c>
      <c r="N44" s="35" t="str">
        <f>IF(Inventory_List_Table3411151091113[[#This Row],[Q]]&lt;0.1, " ", Inventory_List_Table3411151091113[[#This Row],[KG]]*2.20462)</f>
        <v xml:space="preserve"> </v>
      </c>
      <c r="O44" s="35" t="str">
        <f>IF(Inventory_List_Table3411151091113[[#This Row],[Q]]&lt;0.1, " ",Inventory_List_Table3411151091113[[#This Row],[H CM]]/2.54)</f>
        <v xml:space="preserve"> </v>
      </c>
      <c r="P44" s="35" t="str">
        <f>IF(Inventory_List_Table3411151091113[[#This Row],[Q]]&lt;0.1, " ",Inventory_List_Table3411151091113[[#This Row],[W CM]]/2.54)</f>
        <v xml:space="preserve"> </v>
      </c>
      <c r="Q44" s="35" t="str">
        <f>IF(Inventory_List_Table3411151091113[[#This Row],[Q]]&lt;0.1, " ",Inventory_List_Table3411151091113[[#This Row],[D CM ]]/2.54)</f>
        <v xml:space="preserve"> </v>
      </c>
      <c r="R44" s="30" t="str">
        <f>IF(Inventory_List_Table3411151091113[[#This Row],[Q]]&lt;0.1, " ",Inventory_List_Table3411151091113[[#This Row],[PRICE]]/$L$1)</f>
        <v xml:space="preserve"> </v>
      </c>
      <c r="S4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4" s="30" t="str">
        <f>IF(Inventory_List_Table3411151091113[[#This Row],[Q]]&lt;0.1, " ",Inventory_List_Table3411151091113[[#This Row],[AQ RND USD]]*1.4)</f>
        <v xml:space="preserve"> </v>
      </c>
      <c r="U4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4" s="30" t="str">
        <f>IF(Inventory_List_Table3411151091113[[#This Row],[Q]]&lt;0.1, " ",Inventory_List_Table3411151091113[[#This Row],[LND RND USD]]*12)</f>
        <v xml:space="preserve"> </v>
      </c>
      <c r="W44" s="30" t="str">
        <f>IF(Inventory_List_Table3411151091113[[#This Row],[Q]]&lt;0.1, " ",Inventory_List_Table3411151091113[[#This Row],[AQ USD]])</f>
        <v xml:space="preserve"> </v>
      </c>
      <c r="X4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4" s="30" t="str">
        <f>IF(Inventory_List_Table3411151091113[[#This Row],[Q]]&lt;0.1, " ",Inventory_List_Table3411151091113[[#This Row],[PRICE]]/Z44*10000)</f>
        <v xml:space="preserve"> </v>
      </c>
      <c r="AB44" s="180"/>
      <c r="AC44" s="1"/>
      <c r="AD44" s="1"/>
    </row>
    <row r="45" spans="1:30" ht="24" customHeight="1" x14ac:dyDescent="0.3">
      <c r="A45" s="161">
        <v>43</v>
      </c>
      <c r="B45" s="1"/>
      <c r="C45" s="158"/>
      <c r="D45" s="158"/>
      <c r="E45" s="158"/>
      <c r="F4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5" s="164"/>
      <c r="H45" s="164"/>
      <c r="I45" s="164"/>
      <c r="J45" s="164"/>
      <c r="K45" s="164"/>
      <c r="L45" s="166"/>
      <c r="M45" s="30" t="str">
        <f>IF(Inventory_List_Table3411151091113[[#This Row],[Q]]&lt;0.1, " ", Inventory_List_Table3411151091113[[#This Row],[Q]]*Inventory_List_Table3411151091113[[#This Row],[PRICE]])</f>
        <v xml:space="preserve"> </v>
      </c>
      <c r="N45" s="35" t="str">
        <f>IF(Inventory_List_Table3411151091113[[#This Row],[Q]]&lt;0.1, " ", Inventory_List_Table3411151091113[[#This Row],[KG]]*2.20462)</f>
        <v xml:space="preserve"> </v>
      </c>
      <c r="O45" s="35" t="str">
        <f>IF(Inventory_List_Table3411151091113[[#This Row],[Q]]&lt;0.1, " ",Inventory_List_Table3411151091113[[#This Row],[H CM]]/2.54)</f>
        <v xml:space="preserve"> </v>
      </c>
      <c r="P45" s="35" t="str">
        <f>IF(Inventory_List_Table3411151091113[[#This Row],[Q]]&lt;0.1, " ",Inventory_List_Table3411151091113[[#This Row],[W CM]]/2.54)</f>
        <v xml:space="preserve"> </v>
      </c>
      <c r="Q45" s="35" t="str">
        <f>IF(Inventory_List_Table3411151091113[[#This Row],[Q]]&lt;0.1, " ",Inventory_List_Table3411151091113[[#This Row],[D CM ]]/2.54)</f>
        <v xml:space="preserve"> </v>
      </c>
      <c r="R45" s="30" t="str">
        <f>IF(Inventory_List_Table3411151091113[[#This Row],[Q]]&lt;0.1, " ",Inventory_List_Table3411151091113[[#This Row],[PRICE]]/$L$1)</f>
        <v xml:space="preserve"> </v>
      </c>
      <c r="S4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5" s="30" t="str">
        <f>IF(Inventory_List_Table3411151091113[[#This Row],[Q]]&lt;0.1, " ",Inventory_List_Table3411151091113[[#This Row],[AQ RND USD]]*1.4)</f>
        <v xml:space="preserve"> </v>
      </c>
      <c r="U4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5" s="30" t="str">
        <f>IF(Inventory_List_Table3411151091113[[#This Row],[Q]]&lt;0.1, " ",Inventory_List_Table3411151091113[[#This Row],[LND RND USD]]*12)</f>
        <v xml:space="preserve"> </v>
      </c>
      <c r="W45" s="30" t="str">
        <f>IF(Inventory_List_Table3411151091113[[#This Row],[Q]]&lt;0.1, " ",Inventory_List_Table3411151091113[[#This Row],[AQ USD]])</f>
        <v xml:space="preserve"> </v>
      </c>
      <c r="X4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5" s="30" t="str">
        <f>IF(Inventory_List_Table3411151091113[[#This Row],[Q]]&lt;0.1, " ",Inventory_List_Table3411151091113[[#This Row],[PRICE]]/Z45*10000)</f>
        <v xml:space="preserve"> </v>
      </c>
      <c r="AB45" s="180"/>
      <c r="AC45" s="1"/>
      <c r="AD45" s="1"/>
    </row>
    <row r="46" spans="1:30" ht="24" customHeight="1" x14ac:dyDescent="0.3">
      <c r="A46" s="161">
        <v>44</v>
      </c>
      <c r="B46" s="1"/>
      <c r="C46" s="158"/>
      <c r="D46" s="158"/>
      <c r="E46" s="158"/>
      <c r="F4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6" s="164"/>
      <c r="H46" s="164"/>
      <c r="I46" s="164"/>
      <c r="J46" s="164"/>
      <c r="K46" s="164"/>
      <c r="L46" s="166"/>
      <c r="M46" s="30" t="str">
        <f>IF(Inventory_List_Table3411151091113[[#This Row],[Q]]&lt;0.1, " ", Inventory_List_Table3411151091113[[#This Row],[Q]]*Inventory_List_Table3411151091113[[#This Row],[PRICE]])</f>
        <v xml:space="preserve"> </v>
      </c>
      <c r="N46" s="35" t="str">
        <f>IF(Inventory_List_Table3411151091113[[#This Row],[Q]]&lt;0.1, " ", Inventory_List_Table3411151091113[[#This Row],[KG]]*2.20462)</f>
        <v xml:space="preserve"> </v>
      </c>
      <c r="O46" s="35" t="str">
        <f>IF(Inventory_List_Table3411151091113[[#This Row],[Q]]&lt;0.1, " ",Inventory_List_Table3411151091113[[#This Row],[H CM]]/2.54)</f>
        <v xml:space="preserve"> </v>
      </c>
      <c r="P46" s="35" t="str">
        <f>IF(Inventory_List_Table3411151091113[[#This Row],[Q]]&lt;0.1, " ",Inventory_List_Table3411151091113[[#This Row],[W CM]]/2.54)</f>
        <v xml:space="preserve"> </v>
      </c>
      <c r="Q46" s="35" t="str">
        <f>IF(Inventory_List_Table3411151091113[[#This Row],[Q]]&lt;0.1, " ",Inventory_List_Table3411151091113[[#This Row],[D CM ]]/2.54)</f>
        <v xml:space="preserve"> </v>
      </c>
      <c r="R46" s="30" t="str">
        <f>IF(Inventory_List_Table3411151091113[[#This Row],[Q]]&lt;0.1, " ",Inventory_List_Table3411151091113[[#This Row],[PRICE]]/$L$1)</f>
        <v xml:space="preserve"> </v>
      </c>
      <c r="S4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6" s="30" t="str">
        <f>IF(Inventory_List_Table3411151091113[[#This Row],[Q]]&lt;0.1, " ",Inventory_List_Table3411151091113[[#This Row],[AQ RND USD]]*1.4)</f>
        <v xml:space="preserve"> </v>
      </c>
      <c r="U4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6" s="30" t="str">
        <f>IF(Inventory_List_Table3411151091113[[#This Row],[Q]]&lt;0.1, " ",Inventory_List_Table3411151091113[[#This Row],[LND RND USD]]*12)</f>
        <v xml:space="preserve"> </v>
      </c>
      <c r="W46" s="30" t="str">
        <f>IF(Inventory_List_Table3411151091113[[#This Row],[Q]]&lt;0.1, " ",Inventory_List_Table3411151091113[[#This Row],[AQ USD]])</f>
        <v xml:space="preserve"> </v>
      </c>
      <c r="X4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6" s="30" t="str">
        <f>IF(Inventory_List_Table3411151091113[[#This Row],[Q]]&lt;0.1, " ",Inventory_List_Table3411151091113[[#This Row],[PRICE]]/Z46*10000)</f>
        <v xml:space="preserve"> </v>
      </c>
      <c r="AB46" s="180"/>
      <c r="AC46" s="1"/>
      <c r="AD46" s="1"/>
    </row>
    <row r="47" spans="1:30" ht="24" customHeight="1" x14ac:dyDescent="0.3">
      <c r="A47" s="161">
        <v>45</v>
      </c>
      <c r="B47" s="1"/>
      <c r="C47" s="158"/>
      <c r="D47" s="158"/>
      <c r="E47" s="158"/>
      <c r="F4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7" s="164"/>
      <c r="H47" s="164"/>
      <c r="I47" s="164"/>
      <c r="J47" s="164"/>
      <c r="K47" s="164"/>
      <c r="L47" s="166"/>
      <c r="M47" s="30" t="str">
        <f>IF(Inventory_List_Table3411151091113[[#This Row],[Q]]&lt;0.1, " ", Inventory_List_Table3411151091113[[#This Row],[Q]]*Inventory_List_Table3411151091113[[#This Row],[PRICE]])</f>
        <v xml:space="preserve"> </v>
      </c>
      <c r="N47" s="35" t="str">
        <f>IF(Inventory_List_Table3411151091113[[#This Row],[Q]]&lt;0.1, " ", Inventory_List_Table3411151091113[[#This Row],[KG]]*2.20462)</f>
        <v xml:space="preserve"> </v>
      </c>
      <c r="O47" s="35" t="str">
        <f>IF(Inventory_List_Table3411151091113[[#This Row],[Q]]&lt;0.1, " ",Inventory_List_Table3411151091113[[#This Row],[H CM]]/2.54)</f>
        <v xml:space="preserve"> </v>
      </c>
      <c r="P47" s="35" t="str">
        <f>IF(Inventory_List_Table3411151091113[[#This Row],[Q]]&lt;0.1, " ",Inventory_List_Table3411151091113[[#This Row],[W CM]]/2.54)</f>
        <v xml:space="preserve"> </v>
      </c>
      <c r="Q47" s="35" t="str">
        <f>IF(Inventory_List_Table3411151091113[[#This Row],[Q]]&lt;0.1, " ",Inventory_List_Table3411151091113[[#This Row],[D CM ]]/2.54)</f>
        <v xml:space="preserve"> </v>
      </c>
      <c r="R47" s="30" t="str">
        <f>IF(Inventory_List_Table3411151091113[[#This Row],[Q]]&lt;0.1, " ",Inventory_List_Table3411151091113[[#This Row],[PRICE]]/$L$1)</f>
        <v xml:space="preserve"> </v>
      </c>
      <c r="S4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7" s="30" t="str">
        <f>IF(Inventory_List_Table3411151091113[[#This Row],[Q]]&lt;0.1, " ",Inventory_List_Table3411151091113[[#This Row],[AQ RND USD]]*1.4)</f>
        <v xml:space="preserve"> </v>
      </c>
      <c r="U4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7" s="30" t="str">
        <f>IF(Inventory_List_Table3411151091113[[#This Row],[Q]]&lt;0.1, " ",Inventory_List_Table3411151091113[[#This Row],[LND RND USD]]*12)</f>
        <v xml:space="preserve"> </v>
      </c>
      <c r="W47" s="30" t="str">
        <f>IF(Inventory_List_Table3411151091113[[#This Row],[Q]]&lt;0.1, " ",Inventory_List_Table3411151091113[[#This Row],[AQ USD]])</f>
        <v xml:space="preserve"> </v>
      </c>
      <c r="X4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7" s="30" t="str">
        <f>IF(Inventory_List_Table3411151091113[[#This Row],[Q]]&lt;0.1, " ",Inventory_List_Table3411151091113[[#This Row],[PRICE]]/Z47*10000)</f>
        <v xml:space="preserve"> </v>
      </c>
      <c r="AB47" s="180"/>
      <c r="AC47" s="1"/>
      <c r="AD47" s="1"/>
    </row>
    <row r="48" spans="1:30" ht="24" customHeight="1" x14ac:dyDescent="0.3">
      <c r="A48" s="161">
        <v>46</v>
      </c>
      <c r="B48" s="1"/>
      <c r="C48" s="158"/>
      <c r="D48" s="158"/>
      <c r="E48" s="158"/>
      <c r="F4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8" s="164"/>
      <c r="H48" s="164"/>
      <c r="I48" s="164"/>
      <c r="J48" s="164"/>
      <c r="K48" s="164"/>
      <c r="L48" s="166"/>
      <c r="M48" s="30" t="str">
        <f>IF(Inventory_List_Table3411151091113[[#This Row],[Q]]&lt;0.1, " ", Inventory_List_Table3411151091113[[#This Row],[Q]]*Inventory_List_Table3411151091113[[#This Row],[PRICE]])</f>
        <v xml:space="preserve"> </v>
      </c>
      <c r="N48" s="35" t="str">
        <f>IF(Inventory_List_Table3411151091113[[#This Row],[Q]]&lt;0.1, " ", Inventory_List_Table3411151091113[[#This Row],[KG]]*2.20462)</f>
        <v xml:space="preserve"> </v>
      </c>
      <c r="O48" s="35" t="str">
        <f>IF(Inventory_List_Table3411151091113[[#This Row],[Q]]&lt;0.1, " ",Inventory_List_Table3411151091113[[#This Row],[H CM]]/2.54)</f>
        <v xml:space="preserve"> </v>
      </c>
      <c r="P48" s="35" t="str">
        <f>IF(Inventory_List_Table3411151091113[[#This Row],[Q]]&lt;0.1, " ",Inventory_List_Table3411151091113[[#This Row],[W CM]]/2.54)</f>
        <v xml:space="preserve"> </v>
      </c>
      <c r="Q48" s="35" t="str">
        <f>IF(Inventory_List_Table3411151091113[[#This Row],[Q]]&lt;0.1, " ",Inventory_List_Table3411151091113[[#This Row],[D CM ]]/2.54)</f>
        <v xml:space="preserve"> </v>
      </c>
      <c r="R48" s="30" t="str">
        <f>IF(Inventory_List_Table3411151091113[[#This Row],[Q]]&lt;0.1, " ",Inventory_List_Table3411151091113[[#This Row],[PRICE]]/$L$1)</f>
        <v xml:space="preserve"> </v>
      </c>
      <c r="S4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8" s="30" t="str">
        <f>IF(Inventory_List_Table3411151091113[[#This Row],[Q]]&lt;0.1, " ",Inventory_List_Table3411151091113[[#This Row],[AQ RND USD]]*1.4)</f>
        <v xml:space="preserve"> </v>
      </c>
      <c r="U4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8" s="30" t="str">
        <f>IF(Inventory_List_Table3411151091113[[#This Row],[Q]]&lt;0.1, " ",Inventory_List_Table3411151091113[[#This Row],[LND RND USD]]*12)</f>
        <v xml:space="preserve"> </v>
      </c>
      <c r="W48" s="30" t="str">
        <f>IF(Inventory_List_Table3411151091113[[#This Row],[Q]]&lt;0.1, " ",Inventory_List_Table3411151091113[[#This Row],[AQ USD]])</f>
        <v xml:space="preserve"> </v>
      </c>
      <c r="X4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8" s="30" t="str">
        <f>IF(Inventory_List_Table3411151091113[[#This Row],[Q]]&lt;0.1, " ",Inventory_List_Table3411151091113[[#This Row],[PRICE]]/Z48*10000)</f>
        <v xml:space="preserve"> </v>
      </c>
      <c r="AB48" s="180"/>
      <c r="AC48" s="1"/>
      <c r="AD48" s="1"/>
    </row>
    <row r="49" spans="1:30" ht="24" customHeight="1" x14ac:dyDescent="0.3">
      <c r="A49" s="161">
        <v>47</v>
      </c>
      <c r="B49" s="1"/>
      <c r="C49" s="158"/>
      <c r="D49" s="158"/>
      <c r="E49" s="158"/>
      <c r="F4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49" s="164"/>
      <c r="H49" s="164"/>
      <c r="I49" s="164"/>
      <c r="J49" s="164"/>
      <c r="K49" s="164"/>
      <c r="L49" s="166"/>
      <c r="M49" s="30" t="str">
        <f>IF(Inventory_List_Table3411151091113[[#This Row],[Q]]&lt;0.1, " ", Inventory_List_Table3411151091113[[#This Row],[Q]]*Inventory_List_Table3411151091113[[#This Row],[PRICE]])</f>
        <v xml:space="preserve"> </v>
      </c>
      <c r="N49" s="35" t="str">
        <f>IF(Inventory_List_Table3411151091113[[#This Row],[Q]]&lt;0.1, " ", Inventory_List_Table3411151091113[[#This Row],[KG]]*2.20462)</f>
        <v xml:space="preserve"> </v>
      </c>
      <c r="O49" s="35" t="str">
        <f>IF(Inventory_List_Table3411151091113[[#This Row],[Q]]&lt;0.1, " ",Inventory_List_Table3411151091113[[#This Row],[H CM]]/2.54)</f>
        <v xml:space="preserve"> </v>
      </c>
      <c r="P49" s="35" t="str">
        <f>IF(Inventory_List_Table3411151091113[[#This Row],[Q]]&lt;0.1, " ",Inventory_List_Table3411151091113[[#This Row],[W CM]]/2.54)</f>
        <v xml:space="preserve"> </v>
      </c>
      <c r="Q49" s="35" t="str">
        <f>IF(Inventory_List_Table3411151091113[[#This Row],[Q]]&lt;0.1, " ",Inventory_List_Table3411151091113[[#This Row],[D CM ]]/2.54)</f>
        <v xml:space="preserve"> </v>
      </c>
      <c r="R49" s="30" t="str">
        <f>IF(Inventory_List_Table3411151091113[[#This Row],[Q]]&lt;0.1, " ",Inventory_List_Table3411151091113[[#This Row],[PRICE]]/$L$1)</f>
        <v xml:space="preserve"> </v>
      </c>
      <c r="S4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49" s="30" t="str">
        <f>IF(Inventory_List_Table3411151091113[[#This Row],[Q]]&lt;0.1, " ",Inventory_List_Table3411151091113[[#This Row],[AQ RND USD]]*1.4)</f>
        <v xml:space="preserve"> </v>
      </c>
      <c r="U4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49" s="30" t="str">
        <f>IF(Inventory_List_Table3411151091113[[#This Row],[Q]]&lt;0.1, " ",Inventory_List_Table3411151091113[[#This Row],[LND RND USD]]*12)</f>
        <v xml:space="preserve"> </v>
      </c>
      <c r="W49" s="30" t="str">
        <f>IF(Inventory_List_Table3411151091113[[#This Row],[Q]]&lt;0.1, " ",Inventory_List_Table3411151091113[[#This Row],[AQ USD]])</f>
        <v xml:space="preserve"> </v>
      </c>
      <c r="X4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4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4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49" s="30" t="str">
        <f>IF(Inventory_List_Table3411151091113[[#This Row],[Q]]&lt;0.1, " ",Inventory_List_Table3411151091113[[#This Row],[PRICE]]/Z49*10000)</f>
        <v xml:space="preserve"> </v>
      </c>
      <c r="AB49" s="180"/>
      <c r="AC49" s="1"/>
      <c r="AD49" s="1"/>
    </row>
    <row r="50" spans="1:30" ht="24" customHeight="1" x14ac:dyDescent="0.3">
      <c r="A50" s="161">
        <v>48</v>
      </c>
      <c r="B50" s="1"/>
      <c r="C50" s="158"/>
      <c r="D50" s="158"/>
      <c r="E50" s="158"/>
      <c r="F5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0" s="164"/>
      <c r="H50" s="164"/>
      <c r="I50" s="164"/>
      <c r="J50" s="164"/>
      <c r="K50" s="164"/>
      <c r="L50" s="166"/>
      <c r="M50" s="30" t="str">
        <f>IF(Inventory_List_Table3411151091113[[#This Row],[Q]]&lt;0.1, " ", Inventory_List_Table3411151091113[[#This Row],[Q]]*Inventory_List_Table3411151091113[[#This Row],[PRICE]])</f>
        <v xml:space="preserve"> </v>
      </c>
      <c r="N50" s="35" t="str">
        <f>IF(Inventory_List_Table3411151091113[[#This Row],[Q]]&lt;0.1, " ", Inventory_List_Table3411151091113[[#This Row],[KG]]*2.20462)</f>
        <v xml:space="preserve"> </v>
      </c>
      <c r="O50" s="35" t="str">
        <f>IF(Inventory_List_Table3411151091113[[#This Row],[Q]]&lt;0.1, " ",Inventory_List_Table3411151091113[[#This Row],[H CM]]/2.54)</f>
        <v xml:space="preserve"> </v>
      </c>
      <c r="P50" s="35" t="str">
        <f>IF(Inventory_List_Table3411151091113[[#This Row],[Q]]&lt;0.1, " ",Inventory_List_Table3411151091113[[#This Row],[W CM]]/2.54)</f>
        <v xml:space="preserve"> </v>
      </c>
      <c r="Q50" s="35" t="str">
        <f>IF(Inventory_List_Table3411151091113[[#This Row],[Q]]&lt;0.1, " ",Inventory_List_Table3411151091113[[#This Row],[D CM ]]/2.54)</f>
        <v xml:space="preserve"> </v>
      </c>
      <c r="R50" s="30" t="str">
        <f>IF(Inventory_List_Table3411151091113[[#This Row],[Q]]&lt;0.1, " ",Inventory_List_Table3411151091113[[#This Row],[PRICE]]/$L$1)</f>
        <v xml:space="preserve"> </v>
      </c>
      <c r="S5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0" s="30" t="str">
        <f>IF(Inventory_List_Table3411151091113[[#This Row],[Q]]&lt;0.1, " ",Inventory_List_Table3411151091113[[#This Row],[AQ RND USD]]*1.4)</f>
        <v xml:space="preserve"> </v>
      </c>
      <c r="U5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0" s="30" t="str">
        <f>IF(Inventory_List_Table3411151091113[[#This Row],[Q]]&lt;0.1, " ",Inventory_List_Table3411151091113[[#This Row],[LND RND USD]]*12)</f>
        <v xml:space="preserve"> </v>
      </c>
      <c r="W50" s="30" t="str">
        <f>IF(Inventory_List_Table3411151091113[[#This Row],[Q]]&lt;0.1, " ",Inventory_List_Table3411151091113[[#This Row],[AQ USD]])</f>
        <v xml:space="preserve"> </v>
      </c>
      <c r="X5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0" s="30" t="str">
        <f>IF(Inventory_List_Table3411151091113[[#This Row],[Q]]&lt;0.1, " ",Inventory_List_Table3411151091113[[#This Row],[PRICE]]/Z50*10000)</f>
        <v xml:space="preserve"> </v>
      </c>
      <c r="AB50" s="180"/>
      <c r="AC50" s="1"/>
      <c r="AD50" s="1"/>
    </row>
    <row r="51" spans="1:30" ht="24" customHeight="1" x14ac:dyDescent="0.3">
      <c r="A51" s="161">
        <v>49</v>
      </c>
      <c r="B51" s="1"/>
      <c r="C51" s="158"/>
      <c r="D51" s="158"/>
      <c r="E51" s="158"/>
      <c r="F5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1" s="164"/>
      <c r="H51" s="164"/>
      <c r="I51" s="164"/>
      <c r="J51" s="164"/>
      <c r="K51" s="164"/>
      <c r="L51" s="166"/>
      <c r="M51" s="30" t="str">
        <f>IF(Inventory_List_Table3411151091113[[#This Row],[Q]]&lt;0.1, " ", Inventory_List_Table3411151091113[[#This Row],[Q]]*Inventory_List_Table3411151091113[[#This Row],[PRICE]])</f>
        <v xml:space="preserve"> </v>
      </c>
      <c r="N51" s="35" t="str">
        <f>IF(Inventory_List_Table3411151091113[[#This Row],[Q]]&lt;0.1, " ", Inventory_List_Table3411151091113[[#This Row],[KG]]*2.20462)</f>
        <v xml:space="preserve"> </v>
      </c>
      <c r="O51" s="35" t="str">
        <f>IF(Inventory_List_Table3411151091113[[#This Row],[Q]]&lt;0.1, " ",Inventory_List_Table3411151091113[[#This Row],[H CM]]/2.54)</f>
        <v xml:space="preserve"> </v>
      </c>
      <c r="P51" s="35" t="str">
        <f>IF(Inventory_List_Table3411151091113[[#This Row],[Q]]&lt;0.1, " ",Inventory_List_Table3411151091113[[#This Row],[W CM]]/2.54)</f>
        <v xml:space="preserve"> </v>
      </c>
      <c r="Q51" s="35" t="str">
        <f>IF(Inventory_List_Table3411151091113[[#This Row],[Q]]&lt;0.1, " ",Inventory_List_Table3411151091113[[#This Row],[D CM ]]/2.54)</f>
        <v xml:space="preserve"> </v>
      </c>
      <c r="R51" s="30" t="str">
        <f>IF(Inventory_List_Table3411151091113[[#This Row],[Q]]&lt;0.1, " ",Inventory_List_Table3411151091113[[#This Row],[PRICE]]/$L$1)</f>
        <v xml:space="preserve"> </v>
      </c>
      <c r="S5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1" s="30" t="str">
        <f>IF(Inventory_List_Table3411151091113[[#This Row],[Q]]&lt;0.1, " ",Inventory_List_Table3411151091113[[#This Row],[AQ RND USD]]*1.4)</f>
        <v xml:space="preserve"> </v>
      </c>
      <c r="U5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1" s="30" t="str">
        <f>IF(Inventory_List_Table3411151091113[[#This Row],[Q]]&lt;0.1, " ",Inventory_List_Table3411151091113[[#This Row],[LND RND USD]]*12)</f>
        <v xml:space="preserve"> </v>
      </c>
      <c r="W51" s="30" t="str">
        <f>IF(Inventory_List_Table3411151091113[[#This Row],[Q]]&lt;0.1, " ",Inventory_List_Table3411151091113[[#This Row],[AQ USD]])</f>
        <v xml:space="preserve"> </v>
      </c>
      <c r="X5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1" s="30" t="str">
        <f>IF(Inventory_List_Table3411151091113[[#This Row],[Q]]&lt;0.1, " ",Inventory_List_Table3411151091113[[#This Row],[PRICE]]/Z51*10000)</f>
        <v xml:space="preserve"> </v>
      </c>
      <c r="AB51" s="180"/>
      <c r="AC51" s="1"/>
      <c r="AD51" s="1"/>
    </row>
    <row r="52" spans="1:30" ht="24" customHeight="1" x14ac:dyDescent="0.3">
      <c r="A52" s="161">
        <v>50</v>
      </c>
      <c r="B52" s="1"/>
      <c r="C52" s="158"/>
      <c r="D52" s="158"/>
      <c r="E52" s="158"/>
      <c r="F5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2" s="164"/>
      <c r="H52" s="164"/>
      <c r="I52" s="164"/>
      <c r="J52" s="164"/>
      <c r="K52" s="164"/>
      <c r="L52" s="166"/>
      <c r="M52" s="30" t="str">
        <f>IF(Inventory_List_Table3411151091113[[#This Row],[Q]]&lt;0.1, " ", Inventory_List_Table3411151091113[[#This Row],[Q]]*Inventory_List_Table3411151091113[[#This Row],[PRICE]])</f>
        <v xml:space="preserve"> </v>
      </c>
      <c r="N52" s="35" t="str">
        <f>IF(Inventory_List_Table3411151091113[[#This Row],[Q]]&lt;0.1, " ", Inventory_List_Table3411151091113[[#This Row],[KG]]*2.20462)</f>
        <v xml:space="preserve"> </v>
      </c>
      <c r="O52" s="35" t="str">
        <f>IF(Inventory_List_Table3411151091113[[#This Row],[Q]]&lt;0.1, " ",Inventory_List_Table3411151091113[[#This Row],[H CM]]/2.54)</f>
        <v xml:space="preserve"> </v>
      </c>
      <c r="P52" s="35" t="str">
        <f>IF(Inventory_List_Table3411151091113[[#This Row],[Q]]&lt;0.1, " ",Inventory_List_Table3411151091113[[#This Row],[W CM]]/2.54)</f>
        <v xml:space="preserve"> </v>
      </c>
      <c r="Q52" s="35" t="str">
        <f>IF(Inventory_List_Table3411151091113[[#This Row],[Q]]&lt;0.1, " ",Inventory_List_Table3411151091113[[#This Row],[D CM ]]/2.54)</f>
        <v xml:space="preserve"> </v>
      </c>
      <c r="R52" s="30" t="str">
        <f>IF(Inventory_List_Table3411151091113[[#This Row],[Q]]&lt;0.1, " ",Inventory_List_Table3411151091113[[#This Row],[PRICE]]/$L$1)</f>
        <v xml:space="preserve"> </v>
      </c>
      <c r="S5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2" s="30" t="str">
        <f>IF(Inventory_List_Table3411151091113[[#This Row],[Q]]&lt;0.1, " ",Inventory_List_Table3411151091113[[#This Row],[AQ RND USD]]*1.4)</f>
        <v xml:space="preserve"> </v>
      </c>
      <c r="U5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2" s="30" t="str">
        <f>IF(Inventory_List_Table3411151091113[[#This Row],[Q]]&lt;0.1, " ",Inventory_List_Table3411151091113[[#This Row],[LND RND USD]]*12)</f>
        <v xml:space="preserve"> </v>
      </c>
      <c r="W52" s="30" t="str">
        <f>IF(Inventory_List_Table3411151091113[[#This Row],[Q]]&lt;0.1, " ",Inventory_List_Table3411151091113[[#This Row],[AQ USD]])</f>
        <v xml:space="preserve"> </v>
      </c>
      <c r="X5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2" s="30" t="str">
        <f>IF(Inventory_List_Table3411151091113[[#This Row],[Q]]&lt;0.1, " ",Inventory_List_Table3411151091113[[#This Row],[PRICE]]/Z52*10000)</f>
        <v xml:space="preserve"> </v>
      </c>
      <c r="AB52" s="180"/>
      <c r="AC52" s="1"/>
      <c r="AD52" s="1"/>
    </row>
    <row r="53" spans="1:30" ht="24" customHeight="1" x14ac:dyDescent="0.3">
      <c r="A53" s="161">
        <v>51</v>
      </c>
      <c r="B53" s="1"/>
      <c r="C53" s="158"/>
      <c r="D53" s="158"/>
      <c r="E53" s="158"/>
      <c r="F5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3" s="164"/>
      <c r="H53" s="164"/>
      <c r="I53" s="164"/>
      <c r="J53" s="164"/>
      <c r="K53" s="164"/>
      <c r="L53" s="166"/>
      <c r="M53" s="30" t="str">
        <f>IF(Inventory_List_Table3411151091113[[#This Row],[Q]]&lt;0.1, " ", Inventory_List_Table3411151091113[[#This Row],[Q]]*Inventory_List_Table3411151091113[[#This Row],[PRICE]])</f>
        <v xml:space="preserve"> </v>
      </c>
      <c r="N53" s="35" t="str">
        <f>IF(Inventory_List_Table3411151091113[[#This Row],[Q]]&lt;0.1, " ", Inventory_List_Table3411151091113[[#This Row],[KG]]*2.20462)</f>
        <v xml:space="preserve"> </v>
      </c>
      <c r="O53" s="35" t="str">
        <f>IF(Inventory_List_Table3411151091113[[#This Row],[Q]]&lt;0.1, " ",Inventory_List_Table3411151091113[[#This Row],[H CM]]/2.54)</f>
        <v xml:space="preserve"> </v>
      </c>
      <c r="P53" s="35" t="str">
        <f>IF(Inventory_List_Table3411151091113[[#This Row],[Q]]&lt;0.1, " ",Inventory_List_Table3411151091113[[#This Row],[W CM]]/2.54)</f>
        <v xml:space="preserve"> </v>
      </c>
      <c r="Q53" s="35" t="str">
        <f>IF(Inventory_List_Table3411151091113[[#This Row],[Q]]&lt;0.1, " ",Inventory_List_Table3411151091113[[#This Row],[D CM ]]/2.54)</f>
        <v xml:space="preserve"> </v>
      </c>
      <c r="R53" s="30" t="str">
        <f>IF(Inventory_List_Table3411151091113[[#This Row],[Q]]&lt;0.1, " ",Inventory_List_Table3411151091113[[#This Row],[PRICE]]/$L$1)</f>
        <v xml:space="preserve"> </v>
      </c>
      <c r="S5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3" s="30" t="str">
        <f>IF(Inventory_List_Table3411151091113[[#This Row],[Q]]&lt;0.1, " ",Inventory_List_Table3411151091113[[#This Row],[AQ RND USD]]*1.4)</f>
        <v xml:space="preserve"> </v>
      </c>
      <c r="U5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3" s="30" t="str">
        <f>IF(Inventory_List_Table3411151091113[[#This Row],[Q]]&lt;0.1, " ",Inventory_List_Table3411151091113[[#This Row],[LND RND USD]]*12)</f>
        <v xml:space="preserve"> </v>
      </c>
      <c r="W53" s="30" t="str">
        <f>IF(Inventory_List_Table3411151091113[[#This Row],[Q]]&lt;0.1, " ",Inventory_List_Table3411151091113[[#This Row],[AQ USD]])</f>
        <v xml:space="preserve"> </v>
      </c>
      <c r="X5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3" s="30" t="str">
        <f>IF(Inventory_List_Table3411151091113[[#This Row],[Q]]&lt;0.1, " ",Inventory_List_Table3411151091113[[#This Row],[PRICE]]/Z53*10000)</f>
        <v xml:space="preserve"> </v>
      </c>
      <c r="AB53" s="180"/>
      <c r="AC53" s="1"/>
      <c r="AD53" s="1"/>
    </row>
    <row r="54" spans="1:30" ht="24" customHeight="1" x14ac:dyDescent="0.3">
      <c r="A54" s="161">
        <v>52</v>
      </c>
      <c r="B54" s="1"/>
      <c r="C54" s="158"/>
      <c r="D54" s="158"/>
      <c r="E54" s="158"/>
      <c r="F5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4" s="164"/>
      <c r="H54" s="164"/>
      <c r="I54" s="164"/>
      <c r="J54" s="164"/>
      <c r="K54" s="164"/>
      <c r="L54" s="166"/>
      <c r="M54" s="30" t="str">
        <f>IF(Inventory_List_Table3411151091113[[#This Row],[Q]]&lt;0.1, " ", Inventory_List_Table3411151091113[[#This Row],[Q]]*Inventory_List_Table3411151091113[[#This Row],[PRICE]])</f>
        <v xml:space="preserve"> </v>
      </c>
      <c r="N54" s="35" t="str">
        <f>IF(Inventory_List_Table3411151091113[[#This Row],[Q]]&lt;0.1, " ", Inventory_List_Table3411151091113[[#This Row],[KG]]*2.20462)</f>
        <v xml:space="preserve"> </v>
      </c>
      <c r="O54" s="35" t="str">
        <f>IF(Inventory_List_Table3411151091113[[#This Row],[Q]]&lt;0.1, " ",Inventory_List_Table3411151091113[[#This Row],[H CM]]/2.54)</f>
        <v xml:space="preserve"> </v>
      </c>
      <c r="P54" s="35" t="str">
        <f>IF(Inventory_List_Table3411151091113[[#This Row],[Q]]&lt;0.1, " ",Inventory_List_Table3411151091113[[#This Row],[W CM]]/2.54)</f>
        <v xml:space="preserve"> </v>
      </c>
      <c r="Q54" s="35" t="str">
        <f>IF(Inventory_List_Table3411151091113[[#This Row],[Q]]&lt;0.1, " ",Inventory_List_Table3411151091113[[#This Row],[D CM ]]/2.54)</f>
        <v xml:space="preserve"> </v>
      </c>
      <c r="R54" s="30" t="str">
        <f>IF(Inventory_List_Table3411151091113[[#This Row],[Q]]&lt;0.1, " ",Inventory_List_Table3411151091113[[#This Row],[PRICE]]/$L$1)</f>
        <v xml:space="preserve"> </v>
      </c>
      <c r="S5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4" s="30" t="str">
        <f>IF(Inventory_List_Table3411151091113[[#This Row],[Q]]&lt;0.1, " ",Inventory_List_Table3411151091113[[#This Row],[AQ RND USD]]*1.4)</f>
        <v xml:space="preserve"> </v>
      </c>
      <c r="U5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4" s="30" t="str">
        <f>IF(Inventory_List_Table3411151091113[[#This Row],[Q]]&lt;0.1, " ",Inventory_List_Table3411151091113[[#This Row],[LND RND USD]]*12)</f>
        <v xml:space="preserve"> </v>
      </c>
      <c r="W54" s="30" t="str">
        <f>IF(Inventory_List_Table3411151091113[[#This Row],[Q]]&lt;0.1, " ",Inventory_List_Table3411151091113[[#This Row],[AQ USD]])</f>
        <v xml:space="preserve"> </v>
      </c>
      <c r="X5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4" s="30" t="str">
        <f>IF(Inventory_List_Table3411151091113[[#This Row],[Q]]&lt;0.1, " ",Inventory_List_Table3411151091113[[#This Row],[PRICE]]/Z54*10000)</f>
        <v xml:space="preserve"> </v>
      </c>
      <c r="AB54" s="180"/>
      <c r="AC54" s="1"/>
      <c r="AD54" s="1"/>
    </row>
    <row r="55" spans="1:30" ht="24" customHeight="1" x14ac:dyDescent="0.3">
      <c r="A55" s="161">
        <v>53</v>
      </c>
      <c r="B55" s="1"/>
      <c r="C55" s="158"/>
      <c r="D55" s="158"/>
      <c r="E55" s="158"/>
      <c r="F5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5" s="164"/>
      <c r="H55" s="164"/>
      <c r="I55" s="164"/>
      <c r="J55" s="164"/>
      <c r="K55" s="164"/>
      <c r="L55" s="166"/>
      <c r="M55" s="30" t="str">
        <f>IF(Inventory_List_Table3411151091113[[#This Row],[Q]]&lt;0.1, " ", Inventory_List_Table3411151091113[[#This Row],[Q]]*Inventory_List_Table3411151091113[[#This Row],[PRICE]])</f>
        <v xml:space="preserve"> </v>
      </c>
      <c r="N55" s="35" t="str">
        <f>IF(Inventory_List_Table3411151091113[[#This Row],[Q]]&lt;0.1, " ", Inventory_List_Table3411151091113[[#This Row],[KG]]*2.20462)</f>
        <v xml:space="preserve"> </v>
      </c>
      <c r="O55" s="35" t="str">
        <f>IF(Inventory_List_Table3411151091113[[#This Row],[Q]]&lt;0.1, " ",Inventory_List_Table3411151091113[[#This Row],[H CM]]/2.54)</f>
        <v xml:space="preserve"> </v>
      </c>
      <c r="P55" s="35" t="str">
        <f>IF(Inventory_List_Table3411151091113[[#This Row],[Q]]&lt;0.1, " ",Inventory_List_Table3411151091113[[#This Row],[W CM]]/2.54)</f>
        <v xml:space="preserve"> </v>
      </c>
      <c r="Q55" s="35" t="str">
        <f>IF(Inventory_List_Table3411151091113[[#This Row],[Q]]&lt;0.1, " ",Inventory_List_Table3411151091113[[#This Row],[D CM ]]/2.54)</f>
        <v xml:space="preserve"> </v>
      </c>
      <c r="R55" s="30" t="str">
        <f>IF(Inventory_List_Table3411151091113[[#This Row],[Q]]&lt;0.1, " ",Inventory_List_Table3411151091113[[#This Row],[PRICE]]/$L$1)</f>
        <v xml:space="preserve"> </v>
      </c>
      <c r="S5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5" s="30" t="str">
        <f>IF(Inventory_List_Table3411151091113[[#This Row],[Q]]&lt;0.1, " ",Inventory_List_Table3411151091113[[#This Row],[AQ RND USD]]*1.4)</f>
        <v xml:space="preserve"> </v>
      </c>
      <c r="U5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5" s="30" t="str">
        <f>IF(Inventory_List_Table3411151091113[[#This Row],[Q]]&lt;0.1, " ",Inventory_List_Table3411151091113[[#This Row],[LND RND USD]]*12)</f>
        <v xml:space="preserve"> </v>
      </c>
      <c r="W55" s="30" t="str">
        <f>IF(Inventory_List_Table3411151091113[[#This Row],[Q]]&lt;0.1, " ",Inventory_List_Table3411151091113[[#This Row],[AQ USD]])</f>
        <v xml:space="preserve"> </v>
      </c>
      <c r="X5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5" s="30" t="str">
        <f>IF(Inventory_List_Table3411151091113[[#This Row],[Q]]&lt;0.1, " ",Inventory_List_Table3411151091113[[#This Row],[PRICE]]/Z55*10000)</f>
        <v xml:space="preserve"> </v>
      </c>
      <c r="AB55" s="180"/>
      <c r="AC55" s="1"/>
      <c r="AD55" s="1"/>
    </row>
    <row r="56" spans="1:30" ht="24" customHeight="1" x14ac:dyDescent="0.3">
      <c r="A56" s="161">
        <v>54</v>
      </c>
      <c r="B56" s="1"/>
      <c r="C56" s="158"/>
      <c r="D56" s="158"/>
      <c r="E56" s="158"/>
      <c r="F5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6" s="164"/>
      <c r="H56" s="164"/>
      <c r="I56" s="164"/>
      <c r="J56" s="164"/>
      <c r="K56" s="164"/>
      <c r="L56" s="166"/>
      <c r="M56" s="30" t="str">
        <f>IF(Inventory_List_Table3411151091113[[#This Row],[Q]]&lt;0.1, " ", Inventory_List_Table3411151091113[[#This Row],[Q]]*Inventory_List_Table3411151091113[[#This Row],[PRICE]])</f>
        <v xml:space="preserve"> </v>
      </c>
      <c r="N56" s="35" t="str">
        <f>IF(Inventory_List_Table3411151091113[[#This Row],[Q]]&lt;0.1, " ", Inventory_List_Table3411151091113[[#This Row],[KG]]*2.20462)</f>
        <v xml:space="preserve"> </v>
      </c>
      <c r="O56" s="35" t="str">
        <f>IF(Inventory_List_Table3411151091113[[#This Row],[Q]]&lt;0.1, " ",Inventory_List_Table3411151091113[[#This Row],[H CM]]/2.54)</f>
        <v xml:space="preserve"> </v>
      </c>
      <c r="P56" s="35" t="str">
        <f>IF(Inventory_List_Table3411151091113[[#This Row],[Q]]&lt;0.1, " ",Inventory_List_Table3411151091113[[#This Row],[W CM]]/2.54)</f>
        <v xml:space="preserve"> </v>
      </c>
      <c r="Q56" s="35" t="str">
        <f>IF(Inventory_List_Table3411151091113[[#This Row],[Q]]&lt;0.1, " ",Inventory_List_Table3411151091113[[#This Row],[D CM ]]/2.54)</f>
        <v xml:space="preserve"> </v>
      </c>
      <c r="R56" s="30" t="str">
        <f>IF(Inventory_List_Table3411151091113[[#This Row],[Q]]&lt;0.1, " ",Inventory_List_Table3411151091113[[#This Row],[PRICE]]/$L$1)</f>
        <v xml:space="preserve"> </v>
      </c>
      <c r="S5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6" s="30" t="str">
        <f>IF(Inventory_List_Table3411151091113[[#This Row],[Q]]&lt;0.1, " ",Inventory_List_Table3411151091113[[#This Row],[AQ RND USD]]*1.4)</f>
        <v xml:space="preserve"> </v>
      </c>
      <c r="U5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6" s="30" t="str">
        <f>IF(Inventory_List_Table3411151091113[[#This Row],[Q]]&lt;0.1, " ",Inventory_List_Table3411151091113[[#This Row],[LND RND USD]]*12)</f>
        <v xml:space="preserve"> </v>
      </c>
      <c r="W56" s="30" t="str">
        <f>IF(Inventory_List_Table3411151091113[[#This Row],[Q]]&lt;0.1, " ",Inventory_List_Table3411151091113[[#This Row],[AQ USD]])</f>
        <v xml:space="preserve"> </v>
      </c>
      <c r="X5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6" s="30" t="str">
        <f>IF(Inventory_List_Table3411151091113[[#This Row],[Q]]&lt;0.1, " ",Inventory_List_Table3411151091113[[#This Row],[PRICE]]/Z56*10000)</f>
        <v xml:space="preserve"> </v>
      </c>
      <c r="AB56" s="180"/>
      <c r="AC56" s="1"/>
      <c r="AD56" s="1"/>
    </row>
    <row r="57" spans="1:30" ht="24" customHeight="1" x14ac:dyDescent="0.3">
      <c r="A57" s="161">
        <v>55</v>
      </c>
      <c r="B57" s="1"/>
      <c r="C57" s="158"/>
      <c r="D57" s="158"/>
      <c r="E57" s="158"/>
      <c r="F5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7" s="164"/>
      <c r="H57" s="164"/>
      <c r="I57" s="164"/>
      <c r="J57" s="164"/>
      <c r="K57" s="164"/>
      <c r="L57" s="166"/>
      <c r="M57" s="30" t="str">
        <f>IF(Inventory_List_Table3411151091113[[#This Row],[Q]]&lt;0.1, " ", Inventory_List_Table3411151091113[[#This Row],[Q]]*Inventory_List_Table3411151091113[[#This Row],[PRICE]])</f>
        <v xml:space="preserve"> </v>
      </c>
      <c r="N57" s="35" t="str">
        <f>IF(Inventory_List_Table3411151091113[[#This Row],[Q]]&lt;0.1, " ", Inventory_List_Table3411151091113[[#This Row],[KG]]*2.20462)</f>
        <v xml:space="preserve"> </v>
      </c>
      <c r="O57" s="35" t="str">
        <f>IF(Inventory_List_Table3411151091113[[#This Row],[Q]]&lt;0.1, " ",Inventory_List_Table3411151091113[[#This Row],[H CM]]/2.54)</f>
        <v xml:space="preserve"> </v>
      </c>
      <c r="P57" s="35" t="str">
        <f>IF(Inventory_List_Table3411151091113[[#This Row],[Q]]&lt;0.1, " ",Inventory_List_Table3411151091113[[#This Row],[W CM]]/2.54)</f>
        <v xml:space="preserve"> </v>
      </c>
      <c r="Q57" s="35" t="str">
        <f>IF(Inventory_List_Table3411151091113[[#This Row],[Q]]&lt;0.1, " ",Inventory_List_Table3411151091113[[#This Row],[D CM ]]/2.54)</f>
        <v xml:space="preserve"> </v>
      </c>
      <c r="R57" s="30" t="str">
        <f>IF(Inventory_List_Table3411151091113[[#This Row],[Q]]&lt;0.1, " ",Inventory_List_Table3411151091113[[#This Row],[PRICE]]/$L$1)</f>
        <v xml:space="preserve"> </v>
      </c>
      <c r="S5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7" s="30" t="str">
        <f>IF(Inventory_List_Table3411151091113[[#This Row],[Q]]&lt;0.1, " ",Inventory_List_Table3411151091113[[#This Row],[AQ RND USD]]*1.4)</f>
        <v xml:space="preserve"> </v>
      </c>
      <c r="U5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7" s="30" t="str">
        <f>IF(Inventory_List_Table3411151091113[[#This Row],[Q]]&lt;0.1, " ",Inventory_List_Table3411151091113[[#This Row],[LND RND USD]]*12)</f>
        <v xml:space="preserve"> </v>
      </c>
      <c r="W57" s="30" t="str">
        <f>IF(Inventory_List_Table3411151091113[[#This Row],[Q]]&lt;0.1, " ",Inventory_List_Table3411151091113[[#This Row],[AQ USD]])</f>
        <v xml:space="preserve"> </v>
      </c>
      <c r="X5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7" s="30" t="str">
        <f>IF(Inventory_List_Table3411151091113[[#This Row],[Q]]&lt;0.1, " ",Inventory_List_Table3411151091113[[#This Row],[PRICE]]/Z57*10000)</f>
        <v xml:space="preserve"> </v>
      </c>
      <c r="AB57" s="180"/>
      <c r="AC57" s="1"/>
      <c r="AD57" s="1"/>
    </row>
    <row r="58" spans="1:30" ht="24" customHeight="1" x14ac:dyDescent="0.3">
      <c r="A58" s="161">
        <v>56</v>
      </c>
      <c r="B58" s="1"/>
      <c r="C58" s="158"/>
      <c r="D58" s="158"/>
      <c r="E58" s="158"/>
      <c r="F5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8" s="164"/>
      <c r="H58" s="164"/>
      <c r="I58" s="164"/>
      <c r="J58" s="164"/>
      <c r="K58" s="164"/>
      <c r="L58" s="166"/>
      <c r="M58" s="30" t="str">
        <f>IF(Inventory_List_Table3411151091113[[#This Row],[Q]]&lt;0.1, " ", Inventory_List_Table3411151091113[[#This Row],[Q]]*Inventory_List_Table3411151091113[[#This Row],[PRICE]])</f>
        <v xml:space="preserve"> </v>
      </c>
      <c r="N58" s="35" t="str">
        <f>IF(Inventory_List_Table3411151091113[[#This Row],[Q]]&lt;0.1, " ", Inventory_List_Table3411151091113[[#This Row],[KG]]*2.20462)</f>
        <v xml:space="preserve"> </v>
      </c>
      <c r="O58" s="35" t="str">
        <f>IF(Inventory_List_Table3411151091113[[#This Row],[Q]]&lt;0.1, " ",Inventory_List_Table3411151091113[[#This Row],[H CM]]/2.54)</f>
        <v xml:space="preserve"> </v>
      </c>
      <c r="P58" s="35" t="str">
        <f>IF(Inventory_List_Table3411151091113[[#This Row],[Q]]&lt;0.1, " ",Inventory_List_Table3411151091113[[#This Row],[W CM]]/2.54)</f>
        <v xml:space="preserve"> </v>
      </c>
      <c r="Q58" s="35" t="str">
        <f>IF(Inventory_List_Table3411151091113[[#This Row],[Q]]&lt;0.1, " ",Inventory_List_Table3411151091113[[#This Row],[D CM ]]/2.54)</f>
        <v xml:space="preserve"> </v>
      </c>
      <c r="R58" s="30" t="str">
        <f>IF(Inventory_List_Table3411151091113[[#This Row],[Q]]&lt;0.1, " ",Inventory_List_Table3411151091113[[#This Row],[PRICE]]/$L$1)</f>
        <v xml:space="preserve"> </v>
      </c>
      <c r="S5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8" s="30" t="str">
        <f>IF(Inventory_List_Table3411151091113[[#This Row],[Q]]&lt;0.1, " ",Inventory_List_Table3411151091113[[#This Row],[AQ RND USD]]*1.4)</f>
        <v xml:space="preserve"> </v>
      </c>
      <c r="U5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8" s="30" t="str">
        <f>IF(Inventory_List_Table3411151091113[[#This Row],[Q]]&lt;0.1, " ",Inventory_List_Table3411151091113[[#This Row],[LND RND USD]]*12)</f>
        <v xml:space="preserve"> </v>
      </c>
      <c r="W58" s="30" t="str">
        <f>IF(Inventory_List_Table3411151091113[[#This Row],[Q]]&lt;0.1, " ",Inventory_List_Table3411151091113[[#This Row],[AQ USD]])</f>
        <v xml:space="preserve"> </v>
      </c>
      <c r="X5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8" s="30" t="str">
        <f>IF(Inventory_List_Table3411151091113[[#This Row],[Q]]&lt;0.1, " ",Inventory_List_Table3411151091113[[#This Row],[PRICE]]/Z58*10000)</f>
        <v xml:space="preserve"> </v>
      </c>
      <c r="AB58" s="180"/>
      <c r="AC58" s="1"/>
      <c r="AD58" s="1"/>
    </row>
    <row r="59" spans="1:30" ht="24" customHeight="1" x14ac:dyDescent="0.3">
      <c r="A59" s="161">
        <v>57</v>
      </c>
      <c r="B59" s="1"/>
      <c r="C59" s="158"/>
      <c r="D59" s="158"/>
      <c r="E59" s="158"/>
      <c r="F5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59" s="164"/>
      <c r="H59" s="164"/>
      <c r="I59" s="164"/>
      <c r="J59" s="164"/>
      <c r="K59" s="164"/>
      <c r="L59" s="166"/>
      <c r="M59" s="30" t="str">
        <f>IF(Inventory_List_Table3411151091113[[#This Row],[Q]]&lt;0.1, " ", Inventory_List_Table3411151091113[[#This Row],[Q]]*Inventory_List_Table3411151091113[[#This Row],[PRICE]])</f>
        <v xml:space="preserve"> </v>
      </c>
      <c r="N59" s="35" t="str">
        <f>IF(Inventory_List_Table3411151091113[[#This Row],[Q]]&lt;0.1, " ", Inventory_List_Table3411151091113[[#This Row],[KG]]*2.20462)</f>
        <v xml:space="preserve"> </v>
      </c>
      <c r="O59" s="35" t="str">
        <f>IF(Inventory_List_Table3411151091113[[#This Row],[Q]]&lt;0.1, " ",Inventory_List_Table3411151091113[[#This Row],[H CM]]/2.54)</f>
        <v xml:space="preserve"> </v>
      </c>
      <c r="P59" s="35" t="str">
        <f>IF(Inventory_List_Table3411151091113[[#This Row],[Q]]&lt;0.1, " ",Inventory_List_Table3411151091113[[#This Row],[W CM]]/2.54)</f>
        <v xml:space="preserve"> </v>
      </c>
      <c r="Q59" s="35" t="str">
        <f>IF(Inventory_List_Table3411151091113[[#This Row],[Q]]&lt;0.1, " ",Inventory_List_Table3411151091113[[#This Row],[D CM ]]/2.54)</f>
        <v xml:space="preserve"> </v>
      </c>
      <c r="R59" s="30" t="str">
        <f>IF(Inventory_List_Table3411151091113[[#This Row],[Q]]&lt;0.1, " ",Inventory_List_Table3411151091113[[#This Row],[PRICE]]/$L$1)</f>
        <v xml:space="preserve"> </v>
      </c>
      <c r="S5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59" s="30" t="str">
        <f>IF(Inventory_List_Table3411151091113[[#This Row],[Q]]&lt;0.1, " ",Inventory_List_Table3411151091113[[#This Row],[AQ RND USD]]*1.4)</f>
        <v xml:space="preserve"> </v>
      </c>
      <c r="U5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59" s="30" t="str">
        <f>IF(Inventory_List_Table3411151091113[[#This Row],[Q]]&lt;0.1, " ",Inventory_List_Table3411151091113[[#This Row],[LND RND USD]]*12)</f>
        <v xml:space="preserve"> </v>
      </c>
      <c r="W59" s="30" t="str">
        <f>IF(Inventory_List_Table3411151091113[[#This Row],[Q]]&lt;0.1, " ",Inventory_List_Table3411151091113[[#This Row],[AQ USD]])</f>
        <v xml:space="preserve"> </v>
      </c>
      <c r="X5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5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5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59" s="30" t="str">
        <f>IF(Inventory_List_Table3411151091113[[#This Row],[Q]]&lt;0.1, " ",Inventory_List_Table3411151091113[[#This Row],[PRICE]]/Z59*10000)</f>
        <v xml:space="preserve"> </v>
      </c>
      <c r="AB59" s="180"/>
      <c r="AC59" s="1"/>
      <c r="AD59" s="1"/>
    </row>
    <row r="60" spans="1:30" ht="24" customHeight="1" x14ac:dyDescent="0.3">
      <c r="A60" s="161">
        <v>58</v>
      </c>
      <c r="B60" s="1"/>
      <c r="C60" s="158"/>
      <c r="D60" s="158"/>
      <c r="E60" s="158"/>
      <c r="F6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0" s="164"/>
      <c r="H60" s="164"/>
      <c r="I60" s="164"/>
      <c r="J60" s="164"/>
      <c r="K60" s="164"/>
      <c r="L60" s="166"/>
      <c r="M60" s="30" t="str">
        <f>IF(Inventory_List_Table3411151091113[[#This Row],[Q]]&lt;0.1, " ", Inventory_List_Table3411151091113[[#This Row],[Q]]*Inventory_List_Table3411151091113[[#This Row],[PRICE]])</f>
        <v xml:space="preserve"> </v>
      </c>
      <c r="N60" s="35" t="str">
        <f>IF(Inventory_List_Table3411151091113[[#This Row],[Q]]&lt;0.1, " ", Inventory_List_Table3411151091113[[#This Row],[KG]]*2.20462)</f>
        <v xml:space="preserve"> </v>
      </c>
      <c r="O60" s="35" t="str">
        <f>IF(Inventory_List_Table3411151091113[[#This Row],[Q]]&lt;0.1, " ",Inventory_List_Table3411151091113[[#This Row],[H CM]]/2.54)</f>
        <v xml:space="preserve"> </v>
      </c>
      <c r="P60" s="35" t="str">
        <f>IF(Inventory_List_Table3411151091113[[#This Row],[Q]]&lt;0.1, " ",Inventory_List_Table3411151091113[[#This Row],[W CM]]/2.54)</f>
        <v xml:space="preserve"> </v>
      </c>
      <c r="Q60" s="35" t="str">
        <f>IF(Inventory_List_Table3411151091113[[#This Row],[Q]]&lt;0.1, " ",Inventory_List_Table3411151091113[[#This Row],[D CM ]]/2.54)</f>
        <v xml:space="preserve"> </v>
      </c>
      <c r="R60" s="30" t="str">
        <f>IF(Inventory_List_Table3411151091113[[#This Row],[Q]]&lt;0.1, " ",Inventory_List_Table3411151091113[[#This Row],[PRICE]]/$L$1)</f>
        <v xml:space="preserve"> </v>
      </c>
      <c r="S6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0" s="30" t="str">
        <f>IF(Inventory_List_Table3411151091113[[#This Row],[Q]]&lt;0.1, " ",Inventory_List_Table3411151091113[[#This Row],[AQ RND USD]]*1.4)</f>
        <v xml:space="preserve"> </v>
      </c>
      <c r="U6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0" s="30" t="str">
        <f>IF(Inventory_List_Table3411151091113[[#This Row],[Q]]&lt;0.1, " ",Inventory_List_Table3411151091113[[#This Row],[LND RND USD]]*12)</f>
        <v xml:space="preserve"> </v>
      </c>
      <c r="W60" s="30" t="str">
        <f>IF(Inventory_List_Table3411151091113[[#This Row],[Q]]&lt;0.1, " ",Inventory_List_Table3411151091113[[#This Row],[AQ USD]])</f>
        <v xml:space="preserve"> </v>
      </c>
      <c r="X6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0" s="30" t="str">
        <f>IF(Inventory_List_Table3411151091113[[#This Row],[Q]]&lt;0.1, " ",Inventory_List_Table3411151091113[[#This Row],[PRICE]]/Z60*10000)</f>
        <v xml:space="preserve"> </v>
      </c>
      <c r="AB60" s="180"/>
      <c r="AC60" s="1"/>
      <c r="AD60" s="1"/>
    </row>
    <row r="61" spans="1:30" ht="24" customHeight="1" x14ac:dyDescent="0.3">
      <c r="A61" s="161">
        <v>59</v>
      </c>
      <c r="B61" s="1"/>
      <c r="C61" s="158"/>
      <c r="D61" s="158"/>
      <c r="E61" s="158"/>
      <c r="F6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1" s="164"/>
      <c r="H61" s="164"/>
      <c r="I61" s="164"/>
      <c r="J61" s="164"/>
      <c r="K61" s="164"/>
      <c r="L61" s="166"/>
      <c r="M61" s="30" t="str">
        <f>IF(Inventory_List_Table3411151091113[[#This Row],[Q]]&lt;0.1, " ", Inventory_List_Table3411151091113[[#This Row],[Q]]*Inventory_List_Table3411151091113[[#This Row],[PRICE]])</f>
        <v xml:space="preserve"> </v>
      </c>
      <c r="N61" s="35" t="str">
        <f>IF(Inventory_List_Table3411151091113[[#This Row],[Q]]&lt;0.1, " ", Inventory_List_Table3411151091113[[#This Row],[KG]]*2.20462)</f>
        <v xml:space="preserve"> </v>
      </c>
      <c r="O61" s="35" t="str">
        <f>IF(Inventory_List_Table3411151091113[[#This Row],[Q]]&lt;0.1, " ",Inventory_List_Table3411151091113[[#This Row],[H CM]]/2.54)</f>
        <v xml:space="preserve"> </v>
      </c>
      <c r="P61" s="35" t="str">
        <f>IF(Inventory_List_Table3411151091113[[#This Row],[Q]]&lt;0.1, " ",Inventory_List_Table3411151091113[[#This Row],[W CM]]/2.54)</f>
        <v xml:space="preserve"> </v>
      </c>
      <c r="Q61" s="35" t="str">
        <f>IF(Inventory_List_Table3411151091113[[#This Row],[Q]]&lt;0.1, " ",Inventory_List_Table3411151091113[[#This Row],[D CM ]]/2.54)</f>
        <v xml:space="preserve"> </v>
      </c>
      <c r="R61" s="30" t="str">
        <f>IF(Inventory_List_Table3411151091113[[#This Row],[Q]]&lt;0.1, " ",Inventory_List_Table3411151091113[[#This Row],[PRICE]]/$L$1)</f>
        <v xml:space="preserve"> </v>
      </c>
      <c r="S6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1" s="30" t="str">
        <f>IF(Inventory_List_Table3411151091113[[#This Row],[Q]]&lt;0.1, " ",Inventory_List_Table3411151091113[[#This Row],[AQ RND USD]]*1.4)</f>
        <v xml:space="preserve"> </v>
      </c>
      <c r="U6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1" s="30" t="str">
        <f>IF(Inventory_List_Table3411151091113[[#This Row],[Q]]&lt;0.1, " ",Inventory_List_Table3411151091113[[#This Row],[LND RND USD]]*12)</f>
        <v xml:space="preserve"> </v>
      </c>
      <c r="W61" s="30" t="str">
        <f>IF(Inventory_List_Table3411151091113[[#This Row],[Q]]&lt;0.1, " ",Inventory_List_Table3411151091113[[#This Row],[AQ USD]])</f>
        <v xml:space="preserve"> </v>
      </c>
      <c r="X6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1" s="30" t="str">
        <f>IF(Inventory_List_Table3411151091113[[#This Row],[Q]]&lt;0.1, " ",Inventory_List_Table3411151091113[[#This Row],[PRICE]]/Z61*10000)</f>
        <v xml:space="preserve"> </v>
      </c>
      <c r="AB61" s="180"/>
      <c r="AC61" s="1"/>
      <c r="AD61" s="1"/>
    </row>
    <row r="62" spans="1:30" ht="24" customHeight="1" x14ac:dyDescent="0.3">
      <c r="A62" s="161">
        <v>60</v>
      </c>
      <c r="B62" s="1"/>
      <c r="C62" s="158"/>
      <c r="D62" s="158"/>
      <c r="E62" s="158"/>
      <c r="F6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2" s="164"/>
      <c r="H62" s="164"/>
      <c r="I62" s="164"/>
      <c r="J62" s="164"/>
      <c r="K62" s="164"/>
      <c r="L62" s="166"/>
      <c r="M62" s="30" t="str">
        <f>IF(Inventory_List_Table3411151091113[[#This Row],[Q]]&lt;0.1, " ", Inventory_List_Table3411151091113[[#This Row],[Q]]*Inventory_List_Table3411151091113[[#This Row],[PRICE]])</f>
        <v xml:space="preserve"> </v>
      </c>
      <c r="N62" s="35" t="str">
        <f>IF(Inventory_List_Table3411151091113[[#This Row],[Q]]&lt;0.1, " ", Inventory_List_Table3411151091113[[#This Row],[KG]]*2.20462)</f>
        <v xml:space="preserve"> </v>
      </c>
      <c r="O62" s="35" t="str">
        <f>IF(Inventory_List_Table3411151091113[[#This Row],[Q]]&lt;0.1, " ",Inventory_List_Table3411151091113[[#This Row],[H CM]]/2.54)</f>
        <v xml:space="preserve"> </v>
      </c>
      <c r="P62" s="35" t="str">
        <f>IF(Inventory_List_Table3411151091113[[#This Row],[Q]]&lt;0.1, " ",Inventory_List_Table3411151091113[[#This Row],[W CM]]/2.54)</f>
        <v xml:space="preserve"> </v>
      </c>
      <c r="Q62" s="35" t="str">
        <f>IF(Inventory_List_Table3411151091113[[#This Row],[Q]]&lt;0.1, " ",Inventory_List_Table3411151091113[[#This Row],[D CM ]]/2.54)</f>
        <v xml:space="preserve"> </v>
      </c>
      <c r="R62" s="30" t="str">
        <f>IF(Inventory_List_Table3411151091113[[#This Row],[Q]]&lt;0.1, " ",Inventory_List_Table3411151091113[[#This Row],[PRICE]]/$L$1)</f>
        <v xml:space="preserve"> </v>
      </c>
      <c r="S6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2" s="30" t="str">
        <f>IF(Inventory_List_Table3411151091113[[#This Row],[Q]]&lt;0.1, " ",Inventory_List_Table3411151091113[[#This Row],[AQ RND USD]]*1.4)</f>
        <v xml:space="preserve"> </v>
      </c>
      <c r="U6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2" s="30" t="str">
        <f>IF(Inventory_List_Table3411151091113[[#This Row],[Q]]&lt;0.1, " ",Inventory_List_Table3411151091113[[#This Row],[LND RND USD]]*12)</f>
        <v xml:space="preserve"> </v>
      </c>
      <c r="W62" s="30" t="str">
        <f>IF(Inventory_List_Table3411151091113[[#This Row],[Q]]&lt;0.1, " ",Inventory_List_Table3411151091113[[#This Row],[AQ USD]])</f>
        <v xml:space="preserve"> </v>
      </c>
      <c r="X6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2" s="30" t="str">
        <f>IF(Inventory_List_Table3411151091113[[#This Row],[Q]]&lt;0.1, " ",Inventory_List_Table3411151091113[[#This Row],[PRICE]]/Z62*10000)</f>
        <v xml:space="preserve"> </v>
      </c>
      <c r="AB62" s="180"/>
      <c r="AC62" s="1"/>
      <c r="AD62" s="1"/>
    </row>
    <row r="63" spans="1:30" ht="24" customHeight="1" x14ac:dyDescent="0.3">
      <c r="A63" s="161">
        <v>61</v>
      </c>
      <c r="B63" s="1"/>
      <c r="C63" s="158"/>
      <c r="D63" s="158"/>
      <c r="E63" s="158"/>
      <c r="F6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3" s="164"/>
      <c r="H63" s="164"/>
      <c r="I63" s="164"/>
      <c r="J63" s="164"/>
      <c r="K63" s="164"/>
      <c r="L63" s="166"/>
      <c r="M63" s="30" t="str">
        <f>IF(Inventory_List_Table3411151091113[[#This Row],[Q]]&lt;0.1, " ", Inventory_List_Table3411151091113[[#This Row],[Q]]*Inventory_List_Table3411151091113[[#This Row],[PRICE]])</f>
        <v xml:space="preserve"> </v>
      </c>
      <c r="N63" s="35" t="str">
        <f>IF(Inventory_List_Table3411151091113[[#This Row],[Q]]&lt;0.1, " ", Inventory_List_Table3411151091113[[#This Row],[KG]]*2.20462)</f>
        <v xml:space="preserve"> </v>
      </c>
      <c r="O63" s="35" t="str">
        <f>IF(Inventory_List_Table3411151091113[[#This Row],[Q]]&lt;0.1, " ",Inventory_List_Table3411151091113[[#This Row],[H CM]]/2.54)</f>
        <v xml:space="preserve"> </v>
      </c>
      <c r="P63" s="35" t="str">
        <f>IF(Inventory_List_Table3411151091113[[#This Row],[Q]]&lt;0.1, " ",Inventory_List_Table3411151091113[[#This Row],[W CM]]/2.54)</f>
        <v xml:space="preserve"> </v>
      </c>
      <c r="Q63" s="35" t="str">
        <f>IF(Inventory_List_Table3411151091113[[#This Row],[Q]]&lt;0.1, " ",Inventory_List_Table3411151091113[[#This Row],[D CM ]]/2.54)</f>
        <v xml:space="preserve"> </v>
      </c>
      <c r="R63" s="30" t="str">
        <f>IF(Inventory_List_Table3411151091113[[#This Row],[Q]]&lt;0.1, " ",Inventory_List_Table3411151091113[[#This Row],[PRICE]]/$L$1)</f>
        <v xml:space="preserve"> </v>
      </c>
      <c r="S6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3" s="30" t="str">
        <f>IF(Inventory_List_Table3411151091113[[#This Row],[Q]]&lt;0.1, " ",Inventory_List_Table3411151091113[[#This Row],[AQ RND USD]]*1.4)</f>
        <v xml:space="preserve"> </v>
      </c>
      <c r="U6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3" s="30" t="str">
        <f>IF(Inventory_List_Table3411151091113[[#This Row],[Q]]&lt;0.1, " ",Inventory_List_Table3411151091113[[#This Row],[LND RND USD]]*12)</f>
        <v xml:space="preserve"> </v>
      </c>
      <c r="W63" s="30" t="str">
        <f>IF(Inventory_List_Table3411151091113[[#This Row],[Q]]&lt;0.1, " ",Inventory_List_Table3411151091113[[#This Row],[AQ USD]])</f>
        <v xml:space="preserve"> </v>
      </c>
      <c r="X6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3" s="30" t="str">
        <f>IF(Inventory_List_Table3411151091113[[#This Row],[Q]]&lt;0.1, " ",Inventory_List_Table3411151091113[[#This Row],[PRICE]]/Z63*10000)</f>
        <v xml:space="preserve"> </v>
      </c>
      <c r="AB63" s="180"/>
      <c r="AC63" s="1"/>
      <c r="AD63" s="1"/>
    </row>
    <row r="64" spans="1:30" ht="24" customHeight="1" x14ac:dyDescent="0.3">
      <c r="A64" s="161">
        <v>62</v>
      </c>
      <c r="B64" s="1"/>
      <c r="C64" s="158"/>
      <c r="D64" s="158"/>
      <c r="E64" s="158"/>
      <c r="F6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4" s="164"/>
      <c r="H64" s="164"/>
      <c r="I64" s="164"/>
      <c r="J64" s="164"/>
      <c r="K64" s="164"/>
      <c r="L64" s="166"/>
      <c r="M64" s="30" t="str">
        <f>IF(Inventory_List_Table3411151091113[[#This Row],[Q]]&lt;0.1, " ", Inventory_List_Table3411151091113[[#This Row],[Q]]*Inventory_List_Table3411151091113[[#This Row],[PRICE]])</f>
        <v xml:space="preserve"> </v>
      </c>
      <c r="N64" s="35" t="str">
        <f>IF(Inventory_List_Table3411151091113[[#This Row],[Q]]&lt;0.1, " ", Inventory_List_Table3411151091113[[#This Row],[KG]]*2.20462)</f>
        <v xml:space="preserve"> </v>
      </c>
      <c r="O64" s="35" t="str">
        <f>IF(Inventory_List_Table3411151091113[[#This Row],[Q]]&lt;0.1, " ",Inventory_List_Table3411151091113[[#This Row],[H CM]]/2.54)</f>
        <v xml:space="preserve"> </v>
      </c>
      <c r="P64" s="35" t="str">
        <f>IF(Inventory_List_Table3411151091113[[#This Row],[Q]]&lt;0.1, " ",Inventory_List_Table3411151091113[[#This Row],[W CM]]/2.54)</f>
        <v xml:space="preserve"> </v>
      </c>
      <c r="Q64" s="35" t="str">
        <f>IF(Inventory_List_Table3411151091113[[#This Row],[Q]]&lt;0.1, " ",Inventory_List_Table3411151091113[[#This Row],[D CM ]]/2.54)</f>
        <v xml:space="preserve"> </v>
      </c>
      <c r="R64" s="30" t="str">
        <f>IF(Inventory_List_Table3411151091113[[#This Row],[Q]]&lt;0.1, " ",Inventory_List_Table3411151091113[[#This Row],[PRICE]]/$L$1)</f>
        <v xml:space="preserve"> </v>
      </c>
      <c r="S6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4" s="30" t="str">
        <f>IF(Inventory_List_Table3411151091113[[#This Row],[Q]]&lt;0.1, " ",Inventory_List_Table3411151091113[[#This Row],[AQ RND USD]]*1.4)</f>
        <v xml:space="preserve"> </v>
      </c>
      <c r="U6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4" s="30" t="str">
        <f>IF(Inventory_List_Table3411151091113[[#This Row],[Q]]&lt;0.1, " ",Inventory_List_Table3411151091113[[#This Row],[LND RND USD]]*12)</f>
        <v xml:space="preserve"> </v>
      </c>
      <c r="W64" s="30" t="str">
        <f>IF(Inventory_List_Table3411151091113[[#This Row],[Q]]&lt;0.1, " ",Inventory_List_Table3411151091113[[#This Row],[AQ USD]])</f>
        <v xml:space="preserve"> </v>
      </c>
      <c r="X6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4" s="30" t="str">
        <f>IF(Inventory_List_Table3411151091113[[#This Row],[Q]]&lt;0.1, " ",Inventory_List_Table3411151091113[[#This Row],[PRICE]]/Z64*10000)</f>
        <v xml:space="preserve"> </v>
      </c>
      <c r="AB64" s="180"/>
      <c r="AC64" s="1"/>
      <c r="AD64" s="1"/>
    </row>
    <row r="65" spans="1:30" ht="24" customHeight="1" x14ac:dyDescent="0.3">
      <c r="A65" s="161">
        <v>63</v>
      </c>
      <c r="B65" s="1"/>
      <c r="C65" s="158"/>
      <c r="D65" s="158"/>
      <c r="E65" s="158"/>
      <c r="F6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5" s="164"/>
      <c r="H65" s="164"/>
      <c r="I65" s="164"/>
      <c r="J65" s="164"/>
      <c r="K65" s="164"/>
      <c r="L65" s="166"/>
      <c r="M65" s="30" t="str">
        <f>IF(Inventory_List_Table3411151091113[[#This Row],[Q]]&lt;0.1, " ", Inventory_List_Table3411151091113[[#This Row],[Q]]*Inventory_List_Table3411151091113[[#This Row],[PRICE]])</f>
        <v xml:space="preserve"> </v>
      </c>
      <c r="N65" s="35" t="str">
        <f>IF(Inventory_List_Table3411151091113[[#This Row],[Q]]&lt;0.1, " ", Inventory_List_Table3411151091113[[#This Row],[KG]]*2.20462)</f>
        <v xml:space="preserve"> </v>
      </c>
      <c r="O65" s="35" t="str">
        <f>IF(Inventory_List_Table3411151091113[[#This Row],[Q]]&lt;0.1, " ",Inventory_List_Table3411151091113[[#This Row],[H CM]]/2.54)</f>
        <v xml:space="preserve"> </v>
      </c>
      <c r="P65" s="35" t="str">
        <f>IF(Inventory_List_Table3411151091113[[#This Row],[Q]]&lt;0.1, " ",Inventory_List_Table3411151091113[[#This Row],[W CM]]/2.54)</f>
        <v xml:space="preserve"> </v>
      </c>
      <c r="Q65" s="35" t="str">
        <f>IF(Inventory_List_Table3411151091113[[#This Row],[Q]]&lt;0.1, " ",Inventory_List_Table3411151091113[[#This Row],[D CM ]]/2.54)</f>
        <v xml:space="preserve"> </v>
      </c>
      <c r="R65" s="30" t="str">
        <f>IF(Inventory_List_Table3411151091113[[#This Row],[Q]]&lt;0.1, " ",Inventory_List_Table3411151091113[[#This Row],[PRICE]]/$L$1)</f>
        <v xml:space="preserve"> </v>
      </c>
      <c r="S6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5" s="30" t="str">
        <f>IF(Inventory_List_Table3411151091113[[#This Row],[Q]]&lt;0.1, " ",Inventory_List_Table3411151091113[[#This Row],[AQ RND USD]]*1.4)</f>
        <v xml:space="preserve"> </v>
      </c>
      <c r="U6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5" s="30" t="str">
        <f>IF(Inventory_List_Table3411151091113[[#This Row],[Q]]&lt;0.1, " ",Inventory_List_Table3411151091113[[#This Row],[LND RND USD]]*12)</f>
        <v xml:space="preserve"> </v>
      </c>
      <c r="W65" s="30" t="str">
        <f>IF(Inventory_List_Table3411151091113[[#This Row],[Q]]&lt;0.1, " ",Inventory_List_Table3411151091113[[#This Row],[AQ USD]])</f>
        <v xml:space="preserve"> </v>
      </c>
      <c r="X6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5" s="30" t="str">
        <f>IF(Inventory_List_Table3411151091113[[#This Row],[Q]]&lt;0.1, " ",Inventory_List_Table3411151091113[[#This Row],[PRICE]]/Z65*10000)</f>
        <v xml:space="preserve"> </v>
      </c>
      <c r="AB65" s="180"/>
      <c r="AC65" s="1"/>
      <c r="AD65" s="1"/>
    </row>
    <row r="66" spans="1:30" ht="24" customHeight="1" x14ac:dyDescent="0.3">
      <c r="A66" s="161">
        <v>64</v>
      </c>
      <c r="B66" s="1"/>
      <c r="C66" s="158"/>
      <c r="D66" s="158"/>
      <c r="E66" s="158"/>
      <c r="F6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6" s="164"/>
      <c r="H66" s="164"/>
      <c r="I66" s="164"/>
      <c r="J66" s="164"/>
      <c r="K66" s="164"/>
      <c r="L66" s="166"/>
      <c r="M66" s="30" t="str">
        <f>IF(Inventory_List_Table3411151091113[[#This Row],[Q]]&lt;0.1, " ", Inventory_List_Table3411151091113[[#This Row],[Q]]*Inventory_List_Table3411151091113[[#This Row],[PRICE]])</f>
        <v xml:space="preserve"> </v>
      </c>
      <c r="N66" s="35" t="str">
        <f>IF(Inventory_List_Table3411151091113[[#This Row],[Q]]&lt;0.1, " ", Inventory_List_Table3411151091113[[#This Row],[KG]]*2.20462)</f>
        <v xml:space="preserve"> </v>
      </c>
      <c r="O66" s="35" t="str">
        <f>IF(Inventory_List_Table3411151091113[[#This Row],[Q]]&lt;0.1, " ",Inventory_List_Table3411151091113[[#This Row],[H CM]]/2.54)</f>
        <v xml:space="preserve"> </v>
      </c>
      <c r="P66" s="35" t="str">
        <f>IF(Inventory_List_Table3411151091113[[#This Row],[Q]]&lt;0.1, " ",Inventory_List_Table3411151091113[[#This Row],[W CM]]/2.54)</f>
        <v xml:space="preserve"> </v>
      </c>
      <c r="Q66" s="35" t="str">
        <f>IF(Inventory_List_Table3411151091113[[#This Row],[Q]]&lt;0.1, " ",Inventory_List_Table3411151091113[[#This Row],[D CM ]]/2.54)</f>
        <v xml:space="preserve"> </v>
      </c>
      <c r="R66" s="30" t="str">
        <f>IF(Inventory_List_Table3411151091113[[#This Row],[Q]]&lt;0.1, " ",Inventory_List_Table3411151091113[[#This Row],[PRICE]]/$L$1)</f>
        <v xml:space="preserve"> </v>
      </c>
      <c r="S6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6" s="30" t="str">
        <f>IF(Inventory_List_Table3411151091113[[#This Row],[Q]]&lt;0.1, " ",Inventory_List_Table3411151091113[[#This Row],[AQ RND USD]]*1.4)</f>
        <v xml:space="preserve"> </v>
      </c>
      <c r="U6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6" s="30" t="str">
        <f>IF(Inventory_List_Table3411151091113[[#This Row],[Q]]&lt;0.1, " ",Inventory_List_Table3411151091113[[#This Row],[LND RND USD]]*12)</f>
        <v xml:space="preserve"> </v>
      </c>
      <c r="W66" s="30" t="str">
        <f>IF(Inventory_List_Table3411151091113[[#This Row],[Q]]&lt;0.1, " ",Inventory_List_Table3411151091113[[#This Row],[AQ USD]])</f>
        <v xml:space="preserve"> </v>
      </c>
      <c r="X6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6" s="30" t="str">
        <f>IF(Inventory_List_Table3411151091113[[#This Row],[Q]]&lt;0.1, " ",Inventory_List_Table3411151091113[[#This Row],[PRICE]]/Z66*10000)</f>
        <v xml:space="preserve"> </v>
      </c>
      <c r="AB66" s="180"/>
      <c r="AC66" s="1"/>
      <c r="AD66" s="1"/>
    </row>
    <row r="67" spans="1:30" ht="24" customHeight="1" x14ac:dyDescent="0.3">
      <c r="A67" s="161">
        <v>65</v>
      </c>
      <c r="B67" s="1"/>
      <c r="C67" s="158"/>
      <c r="D67" s="158"/>
      <c r="E67" s="158"/>
      <c r="F6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7" s="164"/>
      <c r="H67" s="164"/>
      <c r="I67" s="164"/>
      <c r="J67" s="164"/>
      <c r="K67" s="164"/>
      <c r="L67" s="166"/>
      <c r="M67" s="30" t="str">
        <f>IF(Inventory_List_Table3411151091113[[#This Row],[Q]]&lt;0.1, " ", Inventory_List_Table3411151091113[[#This Row],[Q]]*Inventory_List_Table3411151091113[[#This Row],[PRICE]])</f>
        <v xml:space="preserve"> </v>
      </c>
      <c r="N67" s="35" t="str">
        <f>IF(Inventory_List_Table3411151091113[[#This Row],[Q]]&lt;0.1, " ", Inventory_List_Table3411151091113[[#This Row],[KG]]*2.20462)</f>
        <v xml:space="preserve"> </v>
      </c>
      <c r="O67" s="35" t="str">
        <f>IF(Inventory_List_Table3411151091113[[#This Row],[Q]]&lt;0.1, " ",Inventory_List_Table3411151091113[[#This Row],[H CM]]/2.54)</f>
        <v xml:space="preserve"> </v>
      </c>
      <c r="P67" s="35" t="str">
        <f>IF(Inventory_List_Table3411151091113[[#This Row],[Q]]&lt;0.1, " ",Inventory_List_Table3411151091113[[#This Row],[W CM]]/2.54)</f>
        <v xml:space="preserve"> </v>
      </c>
      <c r="Q67" s="35" t="str">
        <f>IF(Inventory_List_Table3411151091113[[#This Row],[Q]]&lt;0.1, " ",Inventory_List_Table3411151091113[[#This Row],[D CM ]]/2.54)</f>
        <v xml:space="preserve"> </v>
      </c>
      <c r="R67" s="30" t="str">
        <f>IF(Inventory_List_Table3411151091113[[#This Row],[Q]]&lt;0.1, " ",Inventory_List_Table3411151091113[[#This Row],[PRICE]]/$L$1)</f>
        <v xml:space="preserve"> </v>
      </c>
      <c r="S6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7" s="30" t="str">
        <f>IF(Inventory_List_Table3411151091113[[#This Row],[Q]]&lt;0.1, " ",Inventory_List_Table3411151091113[[#This Row],[AQ RND USD]]*1.4)</f>
        <v xml:space="preserve"> </v>
      </c>
      <c r="U6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7" s="30" t="str">
        <f>IF(Inventory_List_Table3411151091113[[#This Row],[Q]]&lt;0.1, " ",Inventory_List_Table3411151091113[[#This Row],[LND RND USD]]*12)</f>
        <v xml:space="preserve"> </v>
      </c>
      <c r="W67" s="30" t="str">
        <f>IF(Inventory_List_Table3411151091113[[#This Row],[Q]]&lt;0.1, " ",Inventory_List_Table3411151091113[[#This Row],[AQ USD]])</f>
        <v xml:space="preserve"> </v>
      </c>
      <c r="X6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7" s="30" t="str">
        <f>IF(Inventory_List_Table3411151091113[[#This Row],[Q]]&lt;0.1, " ",Inventory_List_Table3411151091113[[#This Row],[PRICE]]/Z67*10000)</f>
        <v xml:space="preserve"> </v>
      </c>
      <c r="AB67" s="180"/>
      <c r="AC67" s="1"/>
      <c r="AD67" s="1"/>
    </row>
    <row r="68" spans="1:30" ht="24" customHeight="1" x14ac:dyDescent="0.3">
      <c r="A68" s="161">
        <v>66</v>
      </c>
      <c r="B68" s="1"/>
      <c r="C68" s="158"/>
      <c r="D68" s="158"/>
      <c r="E68" s="158"/>
      <c r="F6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8" s="164"/>
      <c r="H68" s="164"/>
      <c r="I68" s="164"/>
      <c r="J68" s="164"/>
      <c r="K68" s="164"/>
      <c r="L68" s="166"/>
      <c r="M68" s="30" t="str">
        <f>IF(Inventory_List_Table3411151091113[[#This Row],[Q]]&lt;0.1, " ", Inventory_List_Table3411151091113[[#This Row],[Q]]*Inventory_List_Table3411151091113[[#This Row],[PRICE]])</f>
        <v xml:space="preserve"> </v>
      </c>
      <c r="N68" s="35" t="str">
        <f>IF(Inventory_List_Table3411151091113[[#This Row],[Q]]&lt;0.1, " ", Inventory_List_Table3411151091113[[#This Row],[KG]]*2.20462)</f>
        <v xml:space="preserve"> </v>
      </c>
      <c r="O68" s="35" t="str">
        <f>IF(Inventory_List_Table3411151091113[[#This Row],[Q]]&lt;0.1, " ",Inventory_List_Table3411151091113[[#This Row],[H CM]]/2.54)</f>
        <v xml:space="preserve"> </v>
      </c>
      <c r="P68" s="35" t="str">
        <f>IF(Inventory_List_Table3411151091113[[#This Row],[Q]]&lt;0.1, " ",Inventory_List_Table3411151091113[[#This Row],[W CM]]/2.54)</f>
        <v xml:space="preserve"> </v>
      </c>
      <c r="Q68" s="35" t="str">
        <f>IF(Inventory_List_Table3411151091113[[#This Row],[Q]]&lt;0.1, " ",Inventory_List_Table3411151091113[[#This Row],[D CM ]]/2.54)</f>
        <v xml:space="preserve"> </v>
      </c>
      <c r="R68" s="30" t="str">
        <f>IF(Inventory_List_Table3411151091113[[#This Row],[Q]]&lt;0.1, " ",Inventory_List_Table3411151091113[[#This Row],[PRICE]]/$L$1)</f>
        <v xml:space="preserve"> </v>
      </c>
      <c r="S6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8" s="30" t="str">
        <f>IF(Inventory_List_Table3411151091113[[#This Row],[Q]]&lt;0.1, " ",Inventory_List_Table3411151091113[[#This Row],[AQ RND USD]]*1.4)</f>
        <v xml:space="preserve"> </v>
      </c>
      <c r="U6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8" s="30" t="str">
        <f>IF(Inventory_List_Table3411151091113[[#This Row],[Q]]&lt;0.1, " ",Inventory_List_Table3411151091113[[#This Row],[LND RND USD]]*12)</f>
        <v xml:space="preserve"> </v>
      </c>
      <c r="W68" s="30" t="str">
        <f>IF(Inventory_List_Table3411151091113[[#This Row],[Q]]&lt;0.1, " ",Inventory_List_Table3411151091113[[#This Row],[AQ USD]])</f>
        <v xml:space="preserve"> </v>
      </c>
      <c r="X6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8" s="30" t="str">
        <f>IF(Inventory_List_Table3411151091113[[#This Row],[Q]]&lt;0.1, " ",Inventory_List_Table3411151091113[[#This Row],[PRICE]]/Z68*10000)</f>
        <v xml:space="preserve"> </v>
      </c>
      <c r="AB68" s="180"/>
      <c r="AC68" s="1"/>
      <c r="AD68" s="1"/>
    </row>
    <row r="69" spans="1:30" ht="24" customHeight="1" x14ac:dyDescent="0.3">
      <c r="A69" s="161">
        <v>67</v>
      </c>
      <c r="B69" s="1"/>
      <c r="C69" s="158"/>
      <c r="D69" s="158"/>
      <c r="E69" s="158"/>
      <c r="F6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69" s="164"/>
      <c r="H69" s="164"/>
      <c r="I69" s="164"/>
      <c r="J69" s="164"/>
      <c r="K69" s="164"/>
      <c r="L69" s="166"/>
      <c r="M69" s="30" t="str">
        <f>IF(Inventory_List_Table3411151091113[[#This Row],[Q]]&lt;0.1, " ", Inventory_List_Table3411151091113[[#This Row],[Q]]*Inventory_List_Table3411151091113[[#This Row],[PRICE]])</f>
        <v xml:space="preserve"> </v>
      </c>
      <c r="N69" s="35" t="str">
        <f>IF(Inventory_List_Table3411151091113[[#This Row],[Q]]&lt;0.1, " ", Inventory_List_Table3411151091113[[#This Row],[KG]]*2.20462)</f>
        <v xml:space="preserve"> </v>
      </c>
      <c r="O69" s="35" t="str">
        <f>IF(Inventory_List_Table3411151091113[[#This Row],[Q]]&lt;0.1, " ",Inventory_List_Table3411151091113[[#This Row],[H CM]]/2.54)</f>
        <v xml:space="preserve"> </v>
      </c>
      <c r="P69" s="35" t="str">
        <f>IF(Inventory_List_Table3411151091113[[#This Row],[Q]]&lt;0.1, " ",Inventory_List_Table3411151091113[[#This Row],[W CM]]/2.54)</f>
        <v xml:space="preserve"> </v>
      </c>
      <c r="Q69" s="35" t="str">
        <f>IF(Inventory_List_Table3411151091113[[#This Row],[Q]]&lt;0.1, " ",Inventory_List_Table3411151091113[[#This Row],[D CM ]]/2.54)</f>
        <v xml:space="preserve"> </v>
      </c>
      <c r="R69" s="30" t="str">
        <f>IF(Inventory_List_Table3411151091113[[#This Row],[Q]]&lt;0.1, " ",Inventory_List_Table3411151091113[[#This Row],[PRICE]]/$L$1)</f>
        <v xml:space="preserve"> </v>
      </c>
      <c r="S6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69" s="30" t="str">
        <f>IF(Inventory_List_Table3411151091113[[#This Row],[Q]]&lt;0.1, " ",Inventory_List_Table3411151091113[[#This Row],[AQ RND USD]]*1.4)</f>
        <v xml:space="preserve"> </v>
      </c>
      <c r="U6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69" s="30" t="str">
        <f>IF(Inventory_List_Table3411151091113[[#This Row],[Q]]&lt;0.1, " ",Inventory_List_Table3411151091113[[#This Row],[LND RND USD]]*12)</f>
        <v xml:space="preserve"> </v>
      </c>
      <c r="W69" s="30" t="str">
        <f>IF(Inventory_List_Table3411151091113[[#This Row],[Q]]&lt;0.1, " ",Inventory_List_Table3411151091113[[#This Row],[AQ USD]])</f>
        <v xml:space="preserve"> </v>
      </c>
      <c r="X6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6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6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69" s="30" t="str">
        <f>IF(Inventory_List_Table3411151091113[[#This Row],[Q]]&lt;0.1, " ",Inventory_List_Table3411151091113[[#This Row],[PRICE]]/Z69*10000)</f>
        <v xml:space="preserve"> </v>
      </c>
      <c r="AB69" s="180"/>
      <c r="AC69" s="1"/>
      <c r="AD69" s="1"/>
    </row>
    <row r="70" spans="1:30" ht="24" customHeight="1" x14ac:dyDescent="0.3">
      <c r="A70" s="161">
        <v>68</v>
      </c>
      <c r="B70" s="1"/>
      <c r="C70" s="158"/>
      <c r="D70" s="158"/>
      <c r="E70" s="158"/>
      <c r="F7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0" s="164"/>
      <c r="H70" s="164"/>
      <c r="I70" s="164"/>
      <c r="J70" s="164"/>
      <c r="K70" s="164"/>
      <c r="L70" s="166"/>
      <c r="M70" s="30" t="str">
        <f>IF(Inventory_List_Table3411151091113[[#This Row],[Q]]&lt;0.1, " ", Inventory_List_Table3411151091113[[#This Row],[Q]]*Inventory_List_Table3411151091113[[#This Row],[PRICE]])</f>
        <v xml:space="preserve"> </v>
      </c>
      <c r="N70" s="35" t="str">
        <f>IF(Inventory_List_Table3411151091113[[#This Row],[Q]]&lt;0.1, " ", Inventory_List_Table3411151091113[[#This Row],[KG]]*2.20462)</f>
        <v xml:space="preserve"> </v>
      </c>
      <c r="O70" s="35" t="str">
        <f>IF(Inventory_List_Table3411151091113[[#This Row],[Q]]&lt;0.1, " ",Inventory_List_Table3411151091113[[#This Row],[H CM]]/2.54)</f>
        <v xml:space="preserve"> </v>
      </c>
      <c r="P70" s="35" t="str">
        <f>IF(Inventory_List_Table3411151091113[[#This Row],[Q]]&lt;0.1, " ",Inventory_List_Table3411151091113[[#This Row],[W CM]]/2.54)</f>
        <v xml:space="preserve"> </v>
      </c>
      <c r="Q70" s="35" t="str">
        <f>IF(Inventory_List_Table3411151091113[[#This Row],[Q]]&lt;0.1, " ",Inventory_List_Table3411151091113[[#This Row],[D CM ]]/2.54)</f>
        <v xml:space="preserve"> </v>
      </c>
      <c r="R70" s="30" t="str">
        <f>IF(Inventory_List_Table3411151091113[[#This Row],[Q]]&lt;0.1, " ",Inventory_List_Table3411151091113[[#This Row],[PRICE]]/$L$1)</f>
        <v xml:space="preserve"> </v>
      </c>
      <c r="S7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0" s="30" t="str">
        <f>IF(Inventory_List_Table3411151091113[[#This Row],[Q]]&lt;0.1, " ",Inventory_List_Table3411151091113[[#This Row],[AQ RND USD]]*1.4)</f>
        <v xml:space="preserve"> </v>
      </c>
      <c r="U7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0" s="30" t="str">
        <f>IF(Inventory_List_Table3411151091113[[#This Row],[Q]]&lt;0.1, " ",Inventory_List_Table3411151091113[[#This Row],[LND RND USD]]*12)</f>
        <v xml:space="preserve"> </v>
      </c>
      <c r="W70" s="30" t="str">
        <f>IF(Inventory_List_Table3411151091113[[#This Row],[Q]]&lt;0.1, " ",Inventory_List_Table3411151091113[[#This Row],[AQ USD]])</f>
        <v xml:space="preserve"> </v>
      </c>
      <c r="X7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0" s="30" t="str">
        <f>IF(Inventory_List_Table3411151091113[[#This Row],[Q]]&lt;0.1, " ",Inventory_List_Table3411151091113[[#This Row],[PRICE]]/Z70*10000)</f>
        <v xml:space="preserve"> </v>
      </c>
      <c r="AB70" s="180"/>
      <c r="AC70" s="1"/>
      <c r="AD70" s="1"/>
    </row>
    <row r="71" spans="1:30" ht="24" customHeight="1" x14ac:dyDescent="0.3">
      <c r="A71" s="161">
        <v>69</v>
      </c>
      <c r="B71" s="1"/>
      <c r="C71" s="158"/>
      <c r="D71" s="158"/>
      <c r="E71" s="158"/>
      <c r="F7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1" s="164"/>
      <c r="H71" s="164"/>
      <c r="I71" s="164"/>
      <c r="J71" s="164"/>
      <c r="K71" s="164"/>
      <c r="L71" s="166"/>
      <c r="M71" s="30" t="str">
        <f>IF(Inventory_List_Table3411151091113[[#This Row],[Q]]&lt;0.1, " ", Inventory_List_Table3411151091113[[#This Row],[Q]]*Inventory_List_Table3411151091113[[#This Row],[PRICE]])</f>
        <v xml:space="preserve"> </v>
      </c>
      <c r="N71" s="35" t="str">
        <f>IF(Inventory_List_Table3411151091113[[#This Row],[Q]]&lt;0.1, " ", Inventory_List_Table3411151091113[[#This Row],[KG]]*2.20462)</f>
        <v xml:space="preserve"> </v>
      </c>
      <c r="O71" s="35" t="str">
        <f>IF(Inventory_List_Table3411151091113[[#This Row],[Q]]&lt;0.1, " ",Inventory_List_Table3411151091113[[#This Row],[H CM]]/2.54)</f>
        <v xml:space="preserve"> </v>
      </c>
      <c r="P71" s="35" t="str">
        <f>IF(Inventory_List_Table3411151091113[[#This Row],[Q]]&lt;0.1, " ",Inventory_List_Table3411151091113[[#This Row],[W CM]]/2.54)</f>
        <v xml:space="preserve"> </v>
      </c>
      <c r="Q71" s="35" t="str">
        <f>IF(Inventory_List_Table3411151091113[[#This Row],[Q]]&lt;0.1, " ",Inventory_List_Table3411151091113[[#This Row],[D CM ]]/2.54)</f>
        <v xml:space="preserve"> </v>
      </c>
      <c r="R71" s="30" t="str">
        <f>IF(Inventory_List_Table3411151091113[[#This Row],[Q]]&lt;0.1, " ",Inventory_List_Table3411151091113[[#This Row],[PRICE]]/$L$1)</f>
        <v xml:space="preserve"> </v>
      </c>
      <c r="S7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1" s="30" t="str">
        <f>IF(Inventory_List_Table3411151091113[[#This Row],[Q]]&lt;0.1, " ",Inventory_List_Table3411151091113[[#This Row],[AQ RND USD]]*1.4)</f>
        <v xml:space="preserve"> </v>
      </c>
      <c r="U7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1" s="30" t="str">
        <f>IF(Inventory_List_Table3411151091113[[#This Row],[Q]]&lt;0.1, " ",Inventory_List_Table3411151091113[[#This Row],[LND RND USD]]*12)</f>
        <v xml:space="preserve"> </v>
      </c>
      <c r="W71" s="30" t="str">
        <f>IF(Inventory_List_Table3411151091113[[#This Row],[Q]]&lt;0.1, " ",Inventory_List_Table3411151091113[[#This Row],[AQ USD]])</f>
        <v xml:space="preserve"> </v>
      </c>
      <c r="X7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1" s="30" t="str">
        <f>IF(Inventory_List_Table3411151091113[[#This Row],[Q]]&lt;0.1, " ",Inventory_List_Table3411151091113[[#This Row],[PRICE]]/Z71*10000)</f>
        <v xml:space="preserve"> </v>
      </c>
      <c r="AB71" s="180"/>
      <c r="AC71" s="1"/>
      <c r="AD71" s="1"/>
    </row>
    <row r="72" spans="1:30" ht="24" customHeight="1" x14ac:dyDescent="0.3">
      <c r="A72" s="161">
        <v>70</v>
      </c>
      <c r="B72" s="1"/>
      <c r="C72" s="158"/>
      <c r="D72" s="158"/>
      <c r="E72" s="158"/>
      <c r="F7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2" s="164"/>
      <c r="H72" s="164"/>
      <c r="I72" s="164"/>
      <c r="J72" s="164"/>
      <c r="K72" s="164"/>
      <c r="L72" s="166"/>
      <c r="M72" s="30" t="str">
        <f>IF(Inventory_List_Table3411151091113[[#This Row],[Q]]&lt;0.1, " ", Inventory_List_Table3411151091113[[#This Row],[Q]]*Inventory_List_Table3411151091113[[#This Row],[PRICE]])</f>
        <v xml:space="preserve"> </v>
      </c>
      <c r="N72" s="35" t="str">
        <f>IF(Inventory_List_Table3411151091113[[#This Row],[Q]]&lt;0.1, " ", Inventory_List_Table3411151091113[[#This Row],[KG]]*2.20462)</f>
        <v xml:space="preserve"> </v>
      </c>
      <c r="O72" s="35" t="str">
        <f>IF(Inventory_List_Table3411151091113[[#This Row],[Q]]&lt;0.1, " ",Inventory_List_Table3411151091113[[#This Row],[H CM]]/2.54)</f>
        <v xml:space="preserve"> </v>
      </c>
      <c r="P72" s="35" t="str">
        <f>IF(Inventory_List_Table3411151091113[[#This Row],[Q]]&lt;0.1, " ",Inventory_List_Table3411151091113[[#This Row],[W CM]]/2.54)</f>
        <v xml:space="preserve"> </v>
      </c>
      <c r="Q72" s="35" t="str">
        <f>IF(Inventory_List_Table3411151091113[[#This Row],[Q]]&lt;0.1, " ",Inventory_List_Table3411151091113[[#This Row],[D CM ]]/2.54)</f>
        <v xml:space="preserve"> </v>
      </c>
      <c r="R72" s="30" t="str">
        <f>IF(Inventory_List_Table3411151091113[[#This Row],[Q]]&lt;0.1, " ",Inventory_List_Table3411151091113[[#This Row],[PRICE]]/$L$1)</f>
        <v xml:space="preserve"> </v>
      </c>
      <c r="S7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2" s="30" t="str">
        <f>IF(Inventory_List_Table3411151091113[[#This Row],[Q]]&lt;0.1, " ",Inventory_List_Table3411151091113[[#This Row],[AQ RND USD]]*1.4)</f>
        <v xml:space="preserve"> </v>
      </c>
      <c r="U7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2" s="30" t="str">
        <f>IF(Inventory_List_Table3411151091113[[#This Row],[Q]]&lt;0.1, " ",Inventory_List_Table3411151091113[[#This Row],[LND RND USD]]*12)</f>
        <v xml:space="preserve"> </v>
      </c>
      <c r="W72" s="30" t="str">
        <f>IF(Inventory_List_Table3411151091113[[#This Row],[Q]]&lt;0.1, " ",Inventory_List_Table3411151091113[[#This Row],[AQ USD]])</f>
        <v xml:space="preserve"> </v>
      </c>
      <c r="X7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2" s="30" t="str">
        <f>IF(Inventory_List_Table3411151091113[[#This Row],[Q]]&lt;0.1, " ",Inventory_List_Table3411151091113[[#This Row],[PRICE]]/Z72*10000)</f>
        <v xml:space="preserve"> </v>
      </c>
      <c r="AB72" s="180"/>
      <c r="AC72" s="1"/>
      <c r="AD72" s="1"/>
    </row>
    <row r="73" spans="1:30" ht="24" customHeight="1" x14ac:dyDescent="0.3">
      <c r="A73" s="161">
        <v>71</v>
      </c>
      <c r="B73" s="1"/>
      <c r="C73" s="158"/>
      <c r="D73" s="158"/>
      <c r="E73" s="158"/>
      <c r="F7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3" s="164"/>
      <c r="H73" s="164"/>
      <c r="I73" s="164"/>
      <c r="J73" s="164"/>
      <c r="K73" s="164"/>
      <c r="L73" s="166"/>
      <c r="M73" s="30" t="str">
        <f>IF(Inventory_List_Table3411151091113[[#This Row],[Q]]&lt;0.1, " ", Inventory_List_Table3411151091113[[#This Row],[Q]]*Inventory_List_Table3411151091113[[#This Row],[PRICE]])</f>
        <v xml:space="preserve"> </v>
      </c>
      <c r="N73" s="35" t="str">
        <f>IF(Inventory_List_Table3411151091113[[#This Row],[Q]]&lt;0.1, " ", Inventory_List_Table3411151091113[[#This Row],[KG]]*2.20462)</f>
        <v xml:space="preserve"> </v>
      </c>
      <c r="O73" s="35" t="str">
        <f>IF(Inventory_List_Table3411151091113[[#This Row],[Q]]&lt;0.1, " ",Inventory_List_Table3411151091113[[#This Row],[H CM]]/2.54)</f>
        <v xml:space="preserve"> </v>
      </c>
      <c r="P73" s="35" t="str">
        <f>IF(Inventory_List_Table3411151091113[[#This Row],[Q]]&lt;0.1, " ",Inventory_List_Table3411151091113[[#This Row],[W CM]]/2.54)</f>
        <v xml:space="preserve"> </v>
      </c>
      <c r="Q73" s="35" t="str">
        <f>IF(Inventory_List_Table3411151091113[[#This Row],[Q]]&lt;0.1, " ",Inventory_List_Table3411151091113[[#This Row],[D CM ]]/2.54)</f>
        <v xml:space="preserve"> </v>
      </c>
      <c r="R73" s="30" t="str">
        <f>IF(Inventory_List_Table3411151091113[[#This Row],[Q]]&lt;0.1, " ",Inventory_List_Table3411151091113[[#This Row],[PRICE]]/$L$1)</f>
        <v xml:space="preserve"> </v>
      </c>
      <c r="S7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3" s="30" t="str">
        <f>IF(Inventory_List_Table3411151091113[[#This Row],[Q]]&lt;0.1, " ",Inventory_List_Table3411151091113[[#This Row],[AQ RND USD]]*1.4)</f>
        <v xml:space="preserve"> </v>
      </c>
      <c r="U7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3" s="30" t="str">
        <f>IF(Inventory_List_Table3411151091113[[#This Row],[Q]]&lt;0.1, " ",Inventory_List_Table3411151091113[[#This Row],[LND RND USD]]*12)</f>
        <v xml:space="preserve"> </v>
      </c>
      <c r="W73" s="30" t="str">
        <f>IF(Inventory_List_Table3411151091113[[#This Row],[Q]]&lt;0.1, " ",Inventory_List_Table3411151091113[[#This Row],[AQ USD]])</f>
        <v xml:space="preserve"> </v>
      </c>
      <c r="X7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3" s="30" t="str">
        <f>IF(Inventory_List_Table3411151091113[[#This Row],[Q]]&lt;0.1, " ",Inventory_List_Table3411151091113[[#This Row],[PRICE]]/Z73*10000)</f>
        <v xml:space="preserve"> </v>
      </c>
      <c r="AB73" s="180"/>
      <c r="AC73" s="1"/>
      <c r="AD73" s="1"/>
    </row>
    <row r="74" spans="1:30" ht="24" customHeight="1" x14ac:dyDescent="0.3">
      <c r="A74" s="161">
        <v>72</v>
      </c>
      <c r="B74" s="1"/>
      <c r="C74" s="158"/>
      <c r="D74" s="158"/>
      <c r="E74" s="158"/>
      <c r="F7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4" s="164"/>
      <c r="H74" s="164"/>
      <c r="I74" s="164"/>
      <c r="J74" s="164"/>
      <c r="K74" s="164"/>
      <c r="L74" s="166"/>
      <c r="M74" s="30" t="str">
        <f>IF(Inventory_List_Table3411151091113[[#This Row],[Q]]&lt;0.1, " ", Inventory_List_Table3411151091113[[#This Row],[Q]]*Inventory_List_Table3411151091113[[#This Row],[PRICE]])</f>
        <v xml:space="preserve"> </v>
      </c>
      <c r="N74" s="35" t="str">
        <f>IF(Inventory_List_Table3411151091113[[#This Row],[Q]]&lt;0.1, " ", Inventory_List_Table3411151091113[[#This Row],[KG]]*2.20462)</f>
        <v xml:space="preserve"> </v>
      </c>
      <c r="O74" s="35" t="str">
        <f>IF(Inventory_List_Table3411151091113[[#This Row],[Q]]&lt;0.1, " ",Inventory_List_Table3411151091113[[#This Row],[H CM]]/2.54)</f>
        <v xml:space="preserve"> </v>
      </c>
      <c r="P74" s="35" t="str">
        <f>IF(Inventory_List_Table3411151091113[[#This Row],[Q]]&lt;0.1, " ",Inventory_List_Table3411151091113[[#This Row],[W CM]]/2.54)</f>
        <v xml:space="preserve"> </v>
      </c>
      <c r="Q74" s="35" t="str">
        <f>IF(Inventory_List_Table3411151091113[[#This Row],[Q]]&lt;0.1, " ",Inventory_List_Table3411151091113[[#This Row],[D CM ]]/2.54)</f>
        <v xml:space="preserve"> </v>
      </c>
      <c r="R74" s="30" t="str">
        <f>IF(Inventory_List_Table3411151091113[[#This Row],[Q]]&lt;0.1, " ",Inventory_List_Table3411151091113[[#This Row],[PRICE]]/$L$1)</f>
        <v xml:space="preserve"> </v>
      </c>
      <c r="S7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4" s="30" t="str">
        <f>IF(Inventory_List_Table3411151091113[[#This Row],[Q]]&lt;0.1, " ",Inventory_List_Table3411151091113[[#This Row],[AQ RND USD]]*1.4)</f>
        <v xml:space="preserve"> </v>
      </c>
      <c r="U7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4" s="30" t="str">
        <f>IF(Inventory_List_Table3411151091113[[#This Row],[Q]]&lt;0.1, " ",Inventory_List_Table3411151091113[[#This Row],[LND RND USD]]*12)</f>
        <v xml:space="preserve"> </v>
      </c>
      <c r="W74" s="30" t="str">
        <f>IF(Inventory_List_Table3411151091113[[#This Row],[Q]]&lt;0.1, " ",Inventory_List_Table3411151091113[[#This Row],[AQ USD]])</f>
        <v xml:space="preserve"> </v>
      </c>
      <c r="X7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4" s="30" t="str">
        <f>IF(Inventory_List_Table3411151091113[[#This Row],[Q]]&lt;0.1, " ",Inventory_List_Table3411151091113[[#This Row],[PRICE]]/Z74*10000)</f>
        <v xml:space="preserve"> </v>
      </c>
      <c r="AB74" s="180"/>
      <c r="AC74" s="1"/>
      <c r="AD74" s="1"/>
    </row>
    <row r="75" spans="1:30" ht="24" customHeight="1" x14ac:dyDescent="0.3">
      <c r="A75" s="161">
        <v>73</v>
      </c>
      <c r="B75" s="1"/>
      <c r="C75" s="158"/>
      <c r="D75" s="158"/>
      <c r="E75" s="158"/>
      <c r="F7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5" s="164"/>
      <c r="H75" s="164"/>
      <c r="I75" s="164"/>
      <c r="J75" s="164"/>
      <c r="K75" s="164"/>
      <c r="L75" s="166"/>
      <c r="M75" s="30" t="str">
        <f>IF(Inventory_List_Table3411151091113[[#This Row],[Q]]&lt;0.1, " ", Inventory_List_Table3411151091113[[#This Row],[Q]]*Inventory_List_Table3411151091113[[#This Row],[PRICE]])</f>
        <v xml:space="preserve"> </v>
      </c>
      <c r="N75" s="35" t="str">
        <f>IF(Inventory_List_Table3411151091113[[#This Row],[Q]]&lt;0.1, " ", Inventory_List_Table3411151091113[[#This Row],[KG]]*2.20462)</f>
        <v xml:space="preserve"> </v>
      </c>
      <c r="O75" s="35" t="str">
        <f>IF(Inventory_List_Table3411151091113[[#This Row],[Q]]&lt;0.1, " ",Inventory_List_Table3411151091113[[#This Row],[H CM]]/2.54)</f>
        <v xml:space="preserve"> </v>
      </c>
      <c r="P75" s="35" t="str">
        <f>IF(Inventory_List_Table3411151091113[[#This Row],[Q]]&lt;0.1, " ",Inventory_List_Table3411151091113[[#This Row],[W CM]]/2.54)</f>
        <v xml:space="preserve"> </v>
      </c>
      <c r="Q75" s="35" t="str">
        <f>IF(Inventory_List_Table3411151091113[[#This Row],[Q]]&lt;0.1, " ",Inventory_List_Table3411151091113[[#This Row],[D CM ]]/2.54)</f>
        <v xml:space="preserve"> </v>
      </c>
      <c r="R75" s="30" t="str">
        <f>IF(Inventory_List_Table3411151091113[[#This Row],[Q]]&lt;0.1, " ",Inventory_List_Table3411151091113[[#This Row],[PRICE]]/$L$1)</f>
        <v xml:space="preserve"> </v>
      </c>
      <c r="S7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5" s="30" t="str">
        <f>IF(Inventory_List_Table3411151091113[[#This Row],[Q]]&lt;0.1, " ",Inventory_List_Table3411151091113[[#This Row],[AQ RND USD]]*1.4)</f>
        <v xml:space="preserve"> </v>
      </c>
      <c r="U7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5" s="30" t="str">
        <f>IF(Inventory_List_Table3411151091113[[#This Row],[Q]]&lt;0.1, " ",Inventory_List_Table3411151091113[[#This Row],[LND RND USD]]*12)</f>
        <v xml:space="preserve"> </v>
      </c>
      <c r="W75" s="30" t="str">
        <f>IF(Inventory_List_Table3411151091113[[#This Row],[Q]]&lt;0.1, " ",Inventory_List_Table3411151091113[[#This Row],[AQ USD]])</f>
        <v xml:space="preserve"> </v>
      </c>
      <c r="X7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5" s="30" t="str">
        <f>IF(Inventory_List_Table3411151091113[[#This Row],[Q]]&lt;0.1, " ",Inventory_List_Table3411151091113[[#This Row],[PRICE]]/Z75*10000)</f>
        <v xml:space="preserve"> </v>
      </c>
      <c r="AB75" s="180"/>
      <c r="AC75" s="1"/>
      <c r="AD75" s="1"/>
    </row>
    <row r="76" spans="1:30" ht="24" customHeight="1" x14ac:dyDescent="0.3">
      <c r="A76" s="161">
        <v>74</v>
      </c>
      <c r="B76" s="1"/>
      <c r="C76" s="158"/>
      <c r="D76" s="158"/>
      <c r="E76" s="158"/>
      <c r="F7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6" s="164"/>
      <c r="H76" s="164"/>
      <c r="I76" s="164"/>
      <c r="J76" s="164"/>
      <c r="K76" s="164"/>
      <c r="L76" s="166"/>
      <c r="M76" s="30" t="str">
        <f>IF(Inventory_List_Table3411151091113[[#This Row],[Q]]&lt;0.1, " ", Inventory_List_Table3411151091113[[#This Row],[Q]]*Inventory_List_Table3411151091113[[#This Row],[PRICE]])</f>
        <v xml:space="preserve"> </v>
      </c>
      <c r="N76" s="35" t="str">
        <f>IF(Inventory_List_Table3411151091113[[#This Row],[Q]]&lt;0.1, " ", Inventory_List_Table3411151091113[[#This Row],[KG]]*2.20462)</f>
        <v xml:space="preserve"> </v>
      </c>
      <c r="O76" s="35" t="str">
        <f>IF(Inventory_List_Table3411151091113[[#This Row],[Q]]&lt;0.1, " ",Inventory_List_Table3411151091113[[#This Row],[H CM]]/2.54)</f>
        <v xml:space="preserve"> </v>
      </c>
      <c r="P76" s="35" t="str">
        <f>IF(Inventory_List_Table3411151091113[[#This Row],[Q]]&lt;0.1, " ",Inventory_List_Table3411151091113[[#This Row],[W CM]]/2.54)</f>
        <v xml:space="preserve"> </v>
      </c>
      <c r="Q76" s="35" t="str">
        <f>IF(Inventory_List_Table3411151091113[[#This Row],[Q]]&lt;0.1, " ",Inventory_List_Table3411151091113[[#This Row],[D CM ]]/2.54)</f>
        <v xml:space="preserve"> </v>
      </c>
      <c r="R76" s="30" t="str">
        <f>IF(Inventory_List_Table3411151091113[[#This Row],[Q]]&lt;0.1, " ",Inventory_List_Table3411151091113[[#This Row],[PRICE]]/$L$1)</f>
        <v xml:space="preserve"> </v>
      </c>
      <c r="S7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6" s="30" t="str">
        <f>IF(Inventory_List_Table3411151091113[[#This Row],[Q]]&lt;0.1, " ",Inventory_List_Table3411151091113[[#This Row],[AQ RND USD]]*1.4)</f>
        <v xml:space="preserve"> </v>
      </c>
      <c r="U7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6" s="30" t="str">
        <f>IF(Inventory_List_Table3411151091113[[#This Row],[Q]]&lt;0.1, " ",Inventory_List_Table3411151091113[[#This Row],[LND RND USD]]*12)</f>
        <v xml:space="preserve"> </v>
      </c>
      <c r="W76" s="30" t="str">
        <f>IF(Inventory_List_Table3411151091113[[#This Row],[Q]]&lt;0.1, " ",Inventory_List_Table3411151091113[[#This Row],[AQ USD]])</f>
        <v xml:space="preserve"> </v>
      </c>
      <c r="X7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6" s="30" t="str">
        <f>IF(Inventory_List_Table3411151091113[[#This Row],[Q]]&lt;0.1, " ",Inventory_List_Table3411151091113[[#This Row],[PRICE]]/Z76*10000)</f>
        <v xml:space="preserve"> </v>
      </c>
      <c r="AB76" s="180"/>
      <c r="AC76" s="1"/>
      <c r="AD76" s="1"/>
    </row>
    <row r="77" spans="1:30" ht="24" customHeight="1" x14ac:dyDescent="0.3">
      <c r="A77" s="161">
        <v>75</v>
      </c>
      <c r="B77" s="1"/>
      <c r="C77" s="158"/>
      <c r="D77" s="158"/>
      <c r="E77" s="158"/>
      <c r="F7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7" s="164"/>
      <c r="H77" s="164"/>
      <c r="I77" s="164"/>
      <c r="J77" s="164"/>
      <c r="K77" s="164"/>
      <c r="L77" s="166"/>
      <c r="M77" s="30" t="str">
        <f>IF(Inventory_List_Table3411151091113[[#This Row],[Q]]&lt;0.1, " ", Inventory_List_Table3411151091113[[#This Row],[Q]]*Inventory_List_Table3411151091113[[#This Row],[PRICE]])</f>
        <v xml:space="preserve"> </v>
      </c>
      <c r="N77" s="35" t="str">
        <f>IF(Inventory_List_Table3411151091113[[#This Row],[Q]]&lt;0.1, " ", Inventory_List_Table3411151091113[[#This Row],[KG]]*2.20462)</f>
        <v xml:space="preserve"> </v>
      </c>
      <c r="O77" s="35" t="str">
        <f>IF(Inventory_List_Table3411151091113[[#This Row],[Q]]&lt;0.1, " ",Inventory_List_Table3411151091113[[#This Row],[H CM]]/2.54)</f>
        <v xml:space="preserve"> </v>
      </c>
      <c r="P77" s="35" t="str">
        <f>IF(Inventory_List_Table3411151091113[[#This Row],[Q]]&lt;0.1, " ",Inventory_List_Table3411151091113[[#This Row],[W CM]]/2.54)</f>
        <v xml:space="preserve"> </v>
      </c>
      <c r="Q77" s="35" t="str">
        <f>IF(Inventory_List_Table3411151091113[[#This Row],[Q]]&lt;0.1, " ",Inventory_List_Table3411151091113[[#This Row],[D CM ]]/2.54)</f>
        <v xml:space="preserve"> </v>
      </c>
      <c r="R77" s="30" t="str">
        <f>IF(Inventory_List_Table3411151091113[[#This Row],[Q]]&lt;0.1, " ",Inventory_List_Table3411151091113[[#This Row],[PRICE]]/$L$1)</f>
        <v xml:space="preserve"> </v>
      </c>
      <c r="S7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7" s="30" t="str">
        <f>IF(Inventory_List_Table3411151091113[[#This Row],[Q]]&lt;0.1, " ",Inventory_List_Table3411151091113[[#This Row],[AQ RND USD]]*1.4)</f>
        <v xml:space="preserve"> </v>
      </c>
      <c r="U7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7" s="30" t="str">
        <f>IF(Inventory_List_Table3411151091113[[#This Row],[Q]]&lt;0.1, " ",Inventory_List_Table3411151091113[[#This Row],[LND RND USD]]*12)</f>
        <v xml:space="preserve"> </v>
      </c>
      <c r="W77" s="30" t="str">
        <f>IF(Inventory_List_Table3411151091113[[#This Row],[Q]]&lt;0.1, " ",Inventory_List_Table3411151091113[[#This Row],[AQ USD]])</f>
        <v xml:space="preserve"> </v>
      </c>
      <c r="X7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7" s="30" t="str">
        <f>IF(Inventory_List_Table3411151091113[[#This Row],[Q]]&lt;0.1, " ",Inventory_List_Table3411151091113[[#This Row],[PRICE]]/Z77*10000)</f>
        <v xml:space="preserve"> </v>
      </c>
      <c r="AB77" s="180"/>
      <c r="AC77" s="1"/>
      <c r="AD77" s="1"/>
    </row>
    <row r="78" spans="1:30" ht="24" customHeight="1" x14ac:dyDescent="0.3">
      <c r="A78" s="161">
        <v>76</v>
      </c>
      <c r="B78" s="1"/>
      <c r="C78" s="158"/>
      <c r="D78" s="158"/>
      <c r="E78" s="158"/>
      <c r="F7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8" s="164"/>
      <c r="H78" s="164"/>
      <c r="I78" s="164"/>
      <c r="J78" s="164"/>
      <c r="K78" s="164"/>
      <c r="L78" s="166"/>
      <c r="M78" s="30" t="str">
        <f>IF(Inventory_List_Table3411151091113[[#This Row],[Q]]&lt;0.1, " ", Inventory_List_Table3411151091113[[#This Row],[Q]]*Inventory_List_Table3411151091113[[#This Row],[PRICE]])</f>
        <v xml:space="preserve"> </v>
      </c>
      <c r="N78" s="35" t="str">
        <f>IF(Inventory_List_Table3411151091113[[#This Row],[Q]]&lt;0.1, " ", Inventory_List_Table3411151091113[[#This Row],[KG]]*2.20462)</f>
        <v xml:space="preserve"> </v>
      </c>
      <c r="O78" s="35" t="str">
        <f>IF(Inventory_List_Table3411151091113[[#This Row],[Q]]&lt;0.1, " ",Inventory_List_Table3411151091113[[#This Row],[H CM]]/2.54)</f>
        <v xml:space="preserve"> </v>
      </c>
      <c r="P78" s="35" t="str">
        <f>IF(Inventory_List_Table3411151091113[[#This Row],[Q]]&lt;0.1, " ",Inventory_List_Table3411151091113[[#This Row],[W CM]]/2.54)</f>
        <v xml:space="preserve"> </v>
      </c>
      <c r="Q78" s="35" t="str">
        <f>IF(Inventory_List_Table3411151091113[[#This Row],[Q]]&lt;0.1, " ",Inventory_List_Table3411151091113[[#This Row],[D CM ]]/2.54)</f>
        <v xml:space="preserve"> </v>
      </c>
      <c r="R78" s="30" t="str">
        <f>IF(Inventory_List_Table3411151091113[[#This Row],[Q]]&lt;0.1, " ",Inventory_List_Table3411151091113[[#This Row],[PRICE]]/$L$1)</f>
        <v xml:space="preserve"> </v>
      </c>
      <c r="S7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8" s="30" t="str">
        <f>IF(Inventory_List_Table3411151091113[[#This Row],[Q]]&lt;0.1, " ",Inventory_List_Table3411151091113[[#This Row],[AQ RND USD]]*1.4)</f>
        <v xml:space="preserve"> </v>
      </c>
      <c r="U7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8" s="30" t="str">
        <f>IF(Inventory_List_Table3411151091113[[#This Row],[Q]]&lt;0.1, " ",Inventory_List_Table3411151091113[[#This Row],[LND RND USD]]*12)</f>
        <v xml:space="preserve"> </v>
      </c>
      <c r="W78" s="30" t="str">
        <f>IF(Inventory_List_Table3411151091113[[#This Row],[Q]]&lt;0.1, " ",Inventory_List_Table3411151091113[[#This Row],[AQ USD]])</f>
        <v xml:space="preserve"> </v>
      </c>
      <c r="X7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8" s="30" t="str">
        <f>IF(Inventory_List_Table3411151091113[[#This Row],[Q]]&lt;0.1, " ",Inventory_List_Table3411151091113[[#This Row],[PRICE]]/Z78*10000)</f>
        <v xml:space="preserve"> </v>
      </c>
      <c r="AB78" s="180"/>
      <c r="AC78" s="1"/>
      <c r="AD78" s="1"/>
    </row>
    <row r="79" spans="1:30" ht="24" customHeight="1" x14ac:dyDescent="0.3">
      <c r="A79" s="161">
        <v>77</v>
      </c>
      <c r="B79" s="1"/>
      <c r="C79" s="158"/>
      <c r="D79" s="158"/>
      <c r="E79" s="158"/>
      <c r="F7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79" s="164"/>
      <c r="H79" s="164"/>
      <c r="I79" s="164"/>
      <c r="J79" s="164"/>
      <c r="K79" s="164"/>
      <c r="L79" s="166"/>
      <c r="M79" s="30" t="str">
        <f>IF(Inventory_List_Table3411151091113[[#This Row],[Q]]&lt;0.1, " ", Inventory_List_Table3411151091113[[#This Row],[Q]]*Inventory_List_Table3411151091113[[#This Row],[PRICE]])</f>
        <v xml:space="preserve"> </v>
      </c>
      <c r="N79" s="35" t="str">
        <f>IF(Inventory_List_Table3411151091113[[#This Row],[Q]]&lt;0.1, " ", Inventory_List_Table3411151091113[[#This Row],[KG]]*2.20462)</f>
        <v xml:space="preserve"> </v>
      </c>
      <c r="O79" s="35" t="str">
        <f>IF(Inventory_List_Table3411151091113[[#This Row],[Q]]&lt;0.1, " ",Inventory_List_Table3411151091113[[#This Row],[H CM]]/2.54)</f>
        <v xml:space="preserve"> </v>
      </c>
      <c r="P79" s="35" t="str">
        <f>IF(Inventory_List_Table3411151091113[[#This Row],[Q]]&lt;0.1, " ",Inventory_List_Table3411151091113[[#This Row],[W CM]]/2.54)</f>
        <v xml:space="preserve"> </v>
      </c>
      <c r="Q79" s="35" t="str">
        <f>IF(Inventory_List_Table3411151091113[[#This Row],[Q]]&lt;0.1, " ",Inventory_List_Table3411151091113[[#This Row],[D CM ]]/2.54)</f>
        <v xml:space="preserve"> </v>
      </c>
      <c r="R79" s="30" t="str">
        <f>IF(Inventory_List_Table3411151091113[[#This Row],[Q]]&lt;0.1, " ",Inventory_List_Table3411151091113[[#This Row],[PRICE]]/$L$1)</f>
        <v xml:space="preserve"> </v>
      </c>
      <c r="S7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79" s="30" t="str">
        <f>IF(Inventory_List_Table3411151091113[[#This Row],[Q]]&lt;0.1, " ",Inventory_List_Table3411151091113[[#This Row],[AQ RND USD]]*1.4)</f>
        <v xml:space="preserve"> </v>
      </c>
      <c r="U7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79" s="30" t="str">
        <f>IF(Inventory_List_Table3411151091113[[#This Row],[Q]]&lt;0.1, " ",Inventory_List_Table3411151091113[[#This Row],[LND RND USD]]*12)</f>
        <v xml:space="preserve"> </v>
      </c>
      <c r="W79" s="30" t="str">
        <f>IF(Inventory_List_Table3411151091113[[#This Row],[Q]]&lt;0.1, " ",Inventory_List_Table3411151091113[[#This Row],[AQ USD]])</f>
        <v xml:space="preserve"> </v>
      </c>
      <c r="X7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7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7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79" s="30" t="str">
        <f>IF(Inventory_List_Table3411151091113[[#This Row],[Q]]&lt;0.1, " ",Inventory_List_Table3411151091113[[#This Row],[PRICE]]/Z79*10000)</f>
        <v xml:space="preserve"> </v>
      </c>
      <c r="AB79" s="180"/>
      <c r="AC79" s="1"/>
      <c r="AD79" s="1"/>
    </row>
    <row r="80" spans="1:30" ht="24" customHeight="1" x14ac:dyDescent="0.3">
      <c r="A80" s="161">
        <v>78</v>
      </c>
      <c r="B80" s="1"/>
      <c r="C80" s="158"/>
      <c r="D80" s="158"/>
      <c r="E80" s="158"/>
      <c r="F8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0" s="164"/>
      <c r="H80" s="164"/>
      <c r="I80" s="164"/>
      <c r="J80" s="164"/>
      <c r="K80" s="164"/>
      <c r="L80" s="166"/>
      <c r="M80" s="30" t="str">
        <f>IF(Inventory_List_Table3411151091113[[#This Row],[Q]]&lt;0.1, " ", Inventory_List_Table3411151091113[[#This Row],[Q]]*Inventory_List_Table3411151091113[[#This Row],[PRICE]])</f>
        <v xml:space="preserve"> </v>
      </c>
      <c r="N80" s="35" t="str">
        <f>IF(Inventory_List_Table3411151091113[[#This Row],[Q]]&lt;0.1, " ", Inventory_List_Table3411151091113[[#This Row],[KG]]*2.20462)</f>
        <v xml:space="preserve"> </v>
      </c>
      <c r="O80" s="35" t="str">
        <f>IF(Inventory_List_Table3411151091113[[#This Row],[Q]]&lt;0.1, " ",Inventory_List_Table3411151091113[[#This Row],[H CM]]/2.54)</f>
        <v xml:space="preserve"> </v>
      </c>
      <c r="P80" s="35" t="str">
        <f>IF(Inventory_List_Table3411151091113[[#This Row],[Q]]&lt;0.1, " ",Inventory_List_Table3411151091113[[#This Row],[W CM]]/2.54)</f>
        <v xml:space="preserve"> </v>
      </c>
      <c r="Q80" s="35" t="str">
        <f>IF(Inventory_List_Table3411151091113[[#This Row],[Q]]&lt;0.1, " ",Inventory_List_Table3411151091113[[#This Row],[D CM ]]/2.54)</f>
        <v xml:space="preserve"> </v>
      </c>
      <c r="R80" s="30" t="str">
        <f>IF(Inventory_List_Table3411151091113[[#This Row],[Q]]&lt;0.1, " ",Inventory_List_Table3411151091113[[#This Row],[PRICE]]/$L$1)</f>
        <v xml:space="preserve"> </v>
      </c>
      <c r="S8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0" s="30" t="str">
        <f>IF(Inventory_List_Table3411151091113[[#This Row],[Q]]&lt;0.1, " ",Inventory_List_Table3411151091113[[#This Row],[AQ RND USD]]*1.4)</f>
        <v xml:space="preserve"> </v>
      </c>
      <c r="U8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0" s="30" t="str">
        <f>IF(Inventory_List_Table3411151091113[[#This Row],[Q]]&lt;0.1, " ",Inventory_List_Table3411151091113[[#This Row],[LND RND USD]]*12)</f>
        <v xml:space="preserve"> </v>
      </c>
      <c r="W80" s="30" t="str">
        <f>IF(Inventory_List_Table3411151091113[[#This Row],[Q]]&lt;0.1, " ",Inventory_List_Table3411151091113[[#This Row],[AQ USD]])</f>
        <v xml:space="preserve"> </v>
      </c>
      <c r="X8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0" s="30" t="str">
        <f>IF(Inventory_List_Table3411151091113[[#This Row],[Q]]&lt;0.1, " ",Inventory_List_Table3411151091113[[#This Row],[PRICE]]/Z80*10000)</f>
        <v xml:space="preserve"> </v>
      </c>
      <c r="AB80" s="180"/>
      <c r="AC80" s="1"/>
      <c r="AD80" s="1"/>
    </row>
    <row r="81" spans="1:30" ht="24" customHeight="1" x14ac:dyDescent="0.3">
      <c r="A81" s="161">
        <v>79</v>
      </c>
      <c r="B81" s="1"/>
      <c r="C81" s="158"/>
      <c r="D81" s="158"/>
      <c r="E81" s="158"/>
      <c r="F8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1" s="164"/>
      <c r="H81" s="164"/>
      <c r="I81" s="164"/>
      <c r="J81" s="164"/>
      <c r="K81" s="164"/>
      <c r="L81" s="166"/>
      <c r="M81" s="30" t="str">
        <f>IF(Inventory_List_Table3411151091113[[#This Row],[Q]]&lt;0.1, " ", Inventory_List_Table3411151091113[[#This Row],[Q]]*Inventory_List_Table3411151091113[[#This Row],[PRICE]])</f>
        <v xml:space="preserve"> </v>
      </c>
      <c r="N81" s="35" t="str">
        <f>IF(Inventory_List_Table3411151091113[[#This Row],[Q]]&lt;0.1, " ", Inventory_List_Table3411151091113[[#This Row],[KG]]*2.20462)</f>
        <v xml:space="preserve"> </v>
      </c>
      <c r="O81" s="35" t="str">
        <f>IF(Inventory_List_Table3411151091113[[#This Row],[Q]]&lt;0.1, " ",Inventory_List_Table3411151091113[[#This Row],[H CM]]/2.54)</f>
        <v xml:space="preserve"> </v>
      </c>
      <c r="P81" s="35" t="str">
        <f>IF(Inventory_List_Table3411151091113[[#This Row],[Q]]&lt;0.1, " ",Inventory_List_Table3411151091113[[#This Row],[W CM]]/2.54)</f>
        <v xml:space="preserve"> </v>
      </c>
      <c r="Q81" s="35" t="str">
        <f>IF(Inventory_List_Table3411151091113[[#This Row],[Q]]&lt;0.1, " ",Inventory_List_Table3411151091113[[#This Row],[D CM ]]/2.54)</f>
        <v xml:space="preserve"> </v>
      </c>
      <c r="R81" s="30" t="str">
        <f>IF(Inventory_List_Table3411151091113[[#This Row],[Q]]&lt;0.1, " ",Inventory_List_Table3411151091113[[#This Row],[PRICE]]/$L$1)</f>
        <v xml:space="preserve"> </v>
      </c>
      <c r="S8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1" s="30" t="str">
        <f>IF(Inventory_List_Table3411151091113[[#This Row],[Q]]&lt;0.1, " ",Inventory_List_Table3411151091113[[#This Row],[AQ RND USD]]*1.4)</f>
        <v xml:space="preserve"> </v>
      </c>
      <c r="U8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1" s="30" t="str">
        <f>IF(Inventory_List_Table3411151091113[[#This Row],[Q]]&lt;0.1, " ",Inventory_List_Table3411151091113[[#This Row],[LND RND USD]]*12)</f>
        <v xml:space="preserve"> </v>
      </c>
      <c r="W81" s="30" t="str">
        <f>IF(Inventory_List_Table3411151091113[[#This Row],[Q]]&lt;0.1, " ",Inventory_List_Table3411151091113[[#This Row],[AQ USD]])</f>
        <v xml:space="preserve"> </v>
      </c>
      <c r="X8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1" s="30" t="str">
        <f>IF(Inventory_List_Table3411151091113[[#This Row],[Q]]&lt;0.1, " ",Inventory_List_Table3411151091113[[#This Row],[PRICE]]/Z81*10000)</f>
        <v xml:space="preserve"> </v>
      </c>
      <c r="AB81" s="180"/>
      <c r="AC81" s="1"/>
      <c r="AD81" s="1"/>
    </row>
    <row r="82" spans="1:30" ht="24" customHeight="1" x14ac:dyDescent="0.3">
      <c r="A82" s="161">
        <v>80</v>
      </c>
      <c r="B82" s="1"/>
      <c r="C82" s="158"/>
      <c r="D82" s="158"/>
      <c r="E82" s="158"/>
      <c r="F8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2" s="164"/>
      <c r="H82" s="164"/>
      <c r="I82" s="164"/>
      <c r="J82" s="164"/>
      <c r="K82" s="164"/>
      <c r="L82" s="166"/>
      <c r="M82" s="30" t="str">
        <f>IF(Inventory_List_Table3411151091113[[#This Row],[Q]]&lt;0.1, " ", Inventory_List_Table3411151091113[[#This Row],[Q]]*Inventory_List_Table3411151091113[[#This Row],[PRICE]])</f>
        <v xml:space="preserve"> </v>
      </c>
      <c r="N82" s="35" t="str">
        <f>IF(Inventory_List_Table3411151091113[[#This Row],[Q]]&lt;0.1, " ", Inventory_List_Table3411151091113[[#This Row],[KG]]*2.20462)</f>
        <v xml:space="preserve"> </v>
      </c>
      <c r="O82" s="35" t="str">
        <f>IF(Inventory_List_Table3411151091113[[#This Row],[Q]]&lt;0.1, " ",Inventory_List_Table3411151091113[[#This Row],[H CM]]/2.54)</f>
        <v xml:space="preserve"> </v>
      </c>
      <c r="P82" s="35" t="str">
        <f>IF(Inventory_List_Table3411151091113[[#This Row],[Q]]&lt;0.1, " ",Inventory_List_Table3411151091113[[#This Row],[W CM]]/2.54)</f>
        <v xml:space="preserve"> </v>
      </c>
      <c r="Q82" s="35" t="str">
        <f>IF(Inventory_List_Table3411151091113[[#This Row],[Q]]&lt;0.1, " ",Inventory_List_Table3411151091113[[#This Row],[D CM ]]/2.54)</f>
        <v xml:space="preserve"> </v>
      </c>
      <c r="R82" s="30" t="str">
        <f>IF(Inventory_List_Table3411151091113[[#This Row],[Q]]&lt;0.1, " ",Inventory_List_Table3411151091113[[#This Row],[PRICE]]/$L$1)</f>
        <v xml:space="preserve"> </v>
      </c>
      <c r="S8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2" s="30" t="str">
        <f>IF(Inventory_List_Table3411151091113[[#This Row],[Q]]&lt;0.1, " ",Inventory_List_Table3411151091113[[#This Row],[AQ RND USD]]*1.4)</f>
        <v xml:space="preserve"> </v>
      </c>
      <c r="U8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2" s="30" t="str">
        <f>IF(Inventory_List_Table3411151091113[[#This Row],[Q]]&lt;0.1, " ",Inventory_List_Table3411151091113[[#This Row],[LND RND USD]]*12)</f>
        <v xml:space="preserve"> </v>
      </c>
      <c r="W82" s="30" t="str">
        <f>IF(Inventory_List_Table3411151091113[[#This Row],[Q]]&lt;0.1, " ",Inventory_List_Table3411151091113[[#This Row],[AQ USD]])</f>
        <v xml:space="preserve"> </v>
      </c>
      <c r="X8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2" s="30" t="str">
        <f>IF(Inventory_List_Table3411151091113[[#This Row],[Q]]&lt;0.1, " ",Inventory_List_Table3411151091113[[#This Row],[PRICE]]/Z82*10000)</f>
        <v xml:space="preserve"> </v>
      </c>
      <c r="AB82" s="180"/>
      <c r="AC82" s="1"/>
      <c r="AD82" s="1"/>
    </row>
    <row r="83" spans="1:30" ht="24" customHeight="1" x14ac:dyDescent="0.3">
      <c r="A83" s="161">
        <v>81</v>
      </c>
      <c r="B83" s="1"/>
      <c r="C83" s="158"/>
      <c r="D83" s="158"/>
      <c r="E83" s="158"/>
      <c r="F8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3" s="164"/>
      <c r="H83" s="164"/>
      <c r="I83" s="164"/>
      <c r="J83" s="164"/>
      <c r="K83" s="164"/>
      <c r="L83" s="166"/>
      <c r="M83" s="30" t="str">
        <f>IF(Inventory_List_Table3411151091113[[#This Row],[Q]]&lt;0.1, " ", Inventory_List_Table3411151091113[[#This Row],[Q]]*Inventory_List_Table3411151091113[[#This Row],[PRICE]])</f>
        <v xml:space="preserve"> </v>
      </c>
      <c r="N83" s="35" t="str">
        <f>IF(Inventory_List_Table3411151091113[[#This Row],[Q]]&lt;0.1, " ", Inventory_List_Table3411151091113[[#This Row],[KG]]*2.20462)</f>
        <v xml:space="preserve"> </v>
      </c>
      <c r="O83" s="35" t="str">
        <f>IF(Inventory_List_Table3411151091113[[#This Row],[Q]]&lt;0.1, " ",Inventory_List_Table3411151091113[[#This Row],[H CM]]/2.54)</f>
        <v xml:space="preserve"> </v>
      </c>
      <c r="P83" s="35" t="str">
        <f>IF(Inventory_List_Table3411151091113[[#This Row],[Q]]&lt;0.1, " ",Inventory_List_Table3411151091113[[#This Row],[W CM]]/2.54)</f>
        <v xml:space="preserve"> </v>
      </c>
      <c r="Q83" s="35" t="str">
        <f>IF(Inventory_List_Table3411151091113[[#This Row],[Q]]&lt;0.1, " ",Inventory_List_Table3411151091113[[#This Row],[D CM ]]/2.54)</f>
        <v xml:space="preserve"> </v>
      </c>
      <c r="R83" s="30" t="str">
        <f>IF(Inventory_List_Table3411151091113[[#This Row],[Q]]&lt;0.1, " ",Inventory_List_Table3411151091113[[#This Row],[PRICE]]/$L$1)</f>
        <v xml:space="preserve"> </v>
      </c>
      <c r="S8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3" s="30" t="str">
        <f>IF(Inventory_List_Table3411151091113[[#This Row],[Q]]&lt;0.1, " ",Inventory_List_Table3411151091113[[#This Row],[AQ RND USD]]*1.4)</f>
        <v xml:space="preserve"> </v>
      </c>
      <c r="U8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3" s="30" t="str">
        <f>IF(Inventory_List_Table3411151091113[[#This Row],[Q]]&lt;0.1, " ",Inventory_List_Table3411151091113[[#This Row],[LND RND USD]]*12)</f>
        <v xml:space="preserve"> </v>
      </c>
      <c r="W83" s="30" t="str">
        <f>IF(Inventory_List_Table3411151091113[[#This Row],[Q]]&lt;0.1, " ",Inventory_List_Table3411151091113[[#This Row],[AQ USD]])</f>
        <v xml:space="preserve"> </v>
      </c>
      <c r="X8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3" s="30" t="str">
        <f>IF(Inventory_List_Table3411151091113[[#This Row],[Q]]&lt;0.1, " ",Inventory_List_Table3411151091113[[#This Row],[PRICE]]/Z83*10000)</f>
        <v xml:space="preserve"> </v>
      </c>
      <c r="AB83" s="180"/>
      <c r="AC83" s="1"/>
      <c r="AD83" s="1"/>
    </row>
    <row r="84" spans="1:30" ht="24" customHeight="1" x14ac:dyDescent="0.3">
      <c r="A84" s="161">
        <v>82</v>
      </c>
      <c r="B84" s="1"/>
      <c r="C84" s="158"/>
      <c r="D84" s="158"/>
      <c r="E84" s="158"/>
      <c r="F8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4" s="164"/>
      <c r="H84" s="164"/>
      <c r="I84" s="164"/>
      <c r="J84" s="164"/>
      <c r="K84" s="164"/>
      <c r="L84" s="166"/>
      <c r="M84" s="30" t="str">
        <f>IF(Inventory_List_Table3411151091113[[#This Row],[Q]]&lt;0.1, " ", Inventory_List_Table3411151091113[[#This Row],[Q]]*Inventory_List_Table3411151091113[[#This Row],[PRICE]])</f>
        <v xml:space="preserve"> </v>
      </c>
      <c r="N84" s="35" t="str">
        <f>IF(Inventory_List_Table3411151091113[[#This Row],[Q]]&lt;0.1, " ", Inventory_List_Table3411151091113[[#This Row],[KG]]*2.20462)</f>
        <v xml:space="preserve"> </v>
      </c>
      <c r="O84" s="35" t="str">
        <f>IF(Inventory_List_Table3411151091113[[#This Row],[Q]]&lt;0.1, " ",Inventory_List_Table3411151091113[[#This Row],[H CM]]/2.54)</f>
        <v xml:space="preserve"> </v>
      </c>
      <c r="P84" s="35" t="str">
        <f>IF(Inventory_List_Table3411151091113[[#This Row],[Q]]&lt;0.1, " ",Inventory_List_Table3411151091113[[#This Row],[W CM]]/2.54)</f>
        <v xml:space="preserve"> </v>
      </c>
      <c r="Q84" s="35" t="str">
        <f>IF(Inventory_List_Table3411151091113[[#This Row],[Q]]&lt;0.1, " ",Inventory_List_Table3411151091113[[#This Row],[D CM ]]/2.54)</f>
        <v xml:space="preserve"> </v>
      </c>
      <c r="R84" s="30" t="str">
        <f>IF(Inventory_List_Table3411151091113[[#This Row],[Q]]&lt;0.1, " ",Inventory_List_Table3411151091113[[#This Row],[PRICE]]/$L$1)</f>
        <v xml:space="preserve"> </v>
      </c>
      <c r="S8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4" s="30" t="str">
        <f>IF(Inventory_List_Table3411151091113[[#This Row],[Q]]&lt;0.1, " ",Inventory_List_Table3411151091113[[#This Row],[AQ RND USD]]*1.4)</f>
        <v xml:space="preserve"> </v>
      </c>
      <c r="U8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4" s="30" t="str">
        <f>IF(Inventory_List_Table3411151091113[[#This Row],[Q]]&lt;0.1, " ",Inventory_List_Table3411151091113[[#This Row],[LND RND USD]]*12)</f>
        <v xml:space="preserve"> </v>
      </c>
      <c r="W84" s="30" t="str">
        <f>IF(Inventory_List_Table3411151091113[[#This Row],[Q]]&lt;0.1, " ",Inventory_List_Table3411151091113[[#This Row],[AQ USD]])</f>
        <v xml:space="preserve"> </v>
      </c>
      <c r="X8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4" s="30" t="str">
        <f>IF(Inventory_List_Table3411151091113[[#This Row],[Q]]&lt;0.1, " ",Inventory_List_Table3411151091113[[#This Row],[PRICE]]/Z84*10000)</f>
        <v xml:space="preserve"> </v>
      </c>
      <c r="AB84" s="180"/>
      <c r="AC84" s="1"/>
      <c r="AD84" s="1"/>
    </row>
    <row r="85" spans="1:30" ht="24" customHeight="1" x14ac:dyDescent="0.3">
      <c r="A85" s="161">
        <v>83</v>
      </c>
      <c r="B85" s="1"/>
      <c r="C85" s="158"/>
      <c r="D85" s="158"/>
      <c r="E85" s="158"/>
      <c r="F8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5" s="164"/>
      <c r="H85" s="164"/>
      <c r="I85" s="164"/>
      <c r="J85" s="164"/>
      <c r="K85" s="164"/>
      <c r="L85" s="166"/>
      <c r="M85" s="30" t="str">
        <f>IF(Inventory_List_Table3411151091113[[#This Row],[Q]]&lt;0.1, " ", Inventory_List_Table3411151091113[[#This Row],[Q]]*Inventory_List_Table3411151091113[[#This Row],[PRICE]])</f>
        <v xml:space="preserve"> </v>
      </c>
      <c r="N85" s="35" t="str">
        <f>IF(Inventory_List_Table3411151091113[[#This Row],[Q]]&lt;0.1, " ", Inventory_List_Table3411151091113[[#This Row],[KG]]*2.20462)</f>
        <v xml:space="preserve"> </v>
      </c>
      <c r="O85" s="35" t="str">
        <f>IF(Inventory_List_Table3411151091113[[#This Row],[Q]]&lt;0.1, " ",Inventory_List_Table3411151091113[[#This Row],[H CM]]/2.54)</f>
        <v xml:space="preserve"> </v>
      </c>
      <c r="P85" s="35" t="str">
        <f>IF(Inventory_List_Table3411151091113[[#This Row],[Q]]&lt;0.1, " ",Inventory_List_Table3411151091113[[#This Row],[W CM]]/2.54)</f>
        <v xml:space="preserve"> </v>
      </c>
      <c r="Q85" s="35" t="str">
        <f>IF(Inventory_List_Table3411151091113[[#This Row],[Q]]&lt;0.1, " ",Inventory_List_Table3411151091113[[#This Row],[D CM ]]/2.54)</f>
        <v xml:space="preserve"> </v>
      </c>
      <c r="R85" s="30" t="str">
        <f>IF(Inventory_List_Table3411151091113[[#This Row],[Q]]&lt;0.1, " ",Inventory_List_Table3411151091113[[#This Row],[PRICE]]/$L$1)</f>
        <v xml:space="preserve"> </v>
      </c>
      <c r="S8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5" s="30" t="str">
        <f>IF(Inventory_List_Table3411151091113[[#This Row],[Q]]&lt;0.1, " ",Inventory_List_Table3411151091113[[#This Row],[AQ RND USD]]*1.4)</f>
        <v xml:space="preserve"> </v>
      </c>
      <c r="U8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5" s="30" t="str">
        <f>IF(Inventory_List_Table3411151091113[[#This Row],[Q]]&lt;0.1, " ",Inventory_List_Table3411151091113[[#This Row],[LND RND USD]]*12)</f>
        <v xml:space="preserve"> </v>
      </c>
      <c r="W85" s="30" t="str">
        <f>IF(Inventory_List_Table3411151091113[[#This Row],[Q]]&lt;0.1, " ",Inventory_List_Table3411151091113[[#This Row],[AQ USD]])</f>
        <v xml:space="preserve"> </v>
      </c>
      <c r="X8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5" s="30" t="str">
        <f>IF(Inventory_List_Table3411151091113[[#This Row],[Q]]&lt;0.1, " ",Inventory_List_Table3411151091113[[#This Row],[PRICE]]/Z85*10000)</f>
        <v xml:space="preserve"> </v>
      </c>
      <c r="AB85" s="180"/>
      <c r="AC85" s="1"/>
      <c r="AD85" s="1"/>
    </row>
    <row r="86" spans="1:30" ht="24" customHeight="1" x14ac:dyDescent="0.3">
      <c r="A86" s="161">
        <v>84</v>
      </c>
      <c r="B86" s="1"/>
      <c r="C86" s="158"/>
      <c r="D86" s="158"/>
      <c r="E86" s="158"/>
      <c r="F8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6" s="164"/>
      <c r="H86" s="164"/>
      <c r="I86" s="164"/>
      <c r="J86" s="164"/>
      <c r="K86" s="164"/>
      <c r="L86" s="166"/>
      <c r="M86" s="30" t="str">
        <f>IF(Inventory_List_Table3411151091113[[#This Row],[Q]]&lt;0.1, " ", Inventory_List_Table3411151091113[[#This Row],[Q]]*Inventory_List_Table3411151091113[[#This Row],[PRICE]])</f>
        <v xml:space="preserve"> </v>
      </c>
      <c r="N86" s="35" t="str">
        <f>IF(Inventory_List_Table3411151091113[[#This Row],[Q]]&lt;0.1, " ", Inventory_List_Table3411151091113[[#This Row],[KG]]*2.20462)</f>
        <v xml:space="preserve"> </v>
      </c>
      <c r="O86" s="35" t="str">
        <f>IF(Inventory_List_Table3411151091113[[#This Row],[Q]]&lt;0.1, " ",Inventory_List_Table3411151091113[[#This Row],[H CM]]/2.54)</f>
        <v xml:space="preserve"> </v>
      </c>
      <c r="P86" s="35" t="str">
        <f>IF(Inventory_List_Table3411151091113[[#This Row],[Q]]&lt;0.1, " ",Inventory_List_Table3411151091113[[#This Row],[W CM]]/2.54)</f>
        <v xml:space="preserve"> </v>
      </c>
      <c r="Q86" s="35" t="str">
        <f>IF(Inventory_List_Table3411151091113[[#This Row],[Q]]&lt;0.1, " ",Inventory_List_Table3411151091113[[#This Row],[D CM ]]/2.54)</f>
        <v xml:space="preserve"> </v>
      </c>
      <c r="R86" s="30" t="str">
        <f>IF(Inventory_List_Table3411151091113[[#This Row],[Q]]&lt;0.1, " ",Inventory_List_Table3411151091113[[#This Row],[PRICE]]/$L$1)</f>
        <v xml:space="preserve"> </v>
      </c>
      <c r="S8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6" s="30" t="str">
        <f>IF(Inventory_List_Table3411151091113[[#This Row],[Q]]&lt;0.1, " ",Inventory_List_Table3411151091113[[#This Row],[AQ RND USD]]*1.4)</f>
        <v xml:space="preserve"> </v>
      </c>
      <c r="U8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6" s="30" t="str">
        <f>IF(Inventory_List_Table3411151091113[[#This Row],[Q]]&lt;0.1, " ",Inventory_List_Table3411151091113[[#This Row],[LND RND USD]]*12)</f>
        <v xml:space="preserve"> </v>
      </c>
      <c r="W86" s="30" t="str">
        <f>IF(Inventory_List_Table3411151091113[[#This Row],[Q]]&lt;0.1, " ",Inventory_List_Table3411151091113[[#This Row],[AQ USD]])</f>
        <v xml:space="preserve"> </v>
      </c>
      <c r="X8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6" s="30" t="str">
        <f>IF(Inventory_List_Table3411151091113[[#This Row],[Q]]&lt;0.1, " ",Inventory_List_Table3411151091113[[#This Row],[PRICE]]/Z86*10000)</f>
        <v xml:space="preserve"> </v>
      </c>
      <c r="AB86" s="180"/>
      <c r="AC86" s="1"/>
      <c r="AD86" s="1"/>
    </row>
    <row r="87" spans="1:30" ht="24" customHeight="1" x14ac:dyDescent="0.3">
      <c r="A87" s="161">
        <v>85</v>
      </c>
      <c r="B87" s="1"/>
      <c r="C87" s="158"/>
      <c r="D87" s="158"/>
      <c r="E87" s="158"/>
      <c r="F8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7" s="164"/>
      <c r="H87" s="164"/>
      <c r="I87" s="164"/>
      <c r="J87" s="164"/>
      <c r="K87" s="164"/>
      <c r="L87" s="166"/>
      <c r="M87" s="30" t="str">
        <f>IF(Inventory_List_Table3411151091113[[#This Row],[Q]]&lt;0.1, " ", Inventory_List_Table3411151091113[[#This Row],[Q]]*Inventory_List_Table3411151091113[[#This Row],[PRICE]])</f>
        <v xml:space="preserve"> </v>
      </c>
      <c r="N87" s="35" t="str">
        <f>IF(Inventory_List_Table3411151091113[[#This Row],[Q]]&lt;0.1, " ", Inventory_List_Table3411151091113[[#This Row],[KG]]*2.20462)</f>
        <v xml:space="preserve"> </v>
      </c>
      <c r="O87" s="35" t="str">
        <f>IF(Inventory_List_Table3411151091113[[#This Row],[Q]]&lt;0.1, " ",Inventory_List_Table3411151091113[[#This Row],[H CM]]/2.54)</f>
        <v xml:space="preserve"> </v>
      </c>
      <c r="P87" s="35" t="str">
        <f>IF(Inventory_List_Table3411151091113[[#This Row],[Q]]&lt;0.1, " ",Inventory_List_Table3411151091113[[#This Row],[W CM]]/2.54)</f>
        <v xml:space="preserve"> </v>
      </c>
      <c r="Q87" s="35" t="str">
        <f>IF(Inventory_List_Table3411151091113[[#This Row],[Q]]&lt;0.1, " ",Inventory_List_Table3411151091113[[#This Row],[D CM ]]/2.54)</f>
        <v xml:space="preserve"> </v>
      </c>
      <c r="R87" s="30" t="str">
        <f>IF(Inventory_List_Table3411151091113[[#This Row],[Q]]&lt;0.1, " ",Inventory_List_Table3411151091113[[#This Row],[PRICE]]/$L$1)</f>
        <v xml:space="preserve"> </v>
      </c>
      <c r="S8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7" s="30" t="str">
        <f>IF(Inventory_List_Table3411151091113[[#This Row],[Q]]&lt;0.1, " ",Inventory_List_Table3411151091113[[#This Row],[AQ RND USD]]*1.4)</f>
        <v xml:space="preserve"> </v>
      </c>
      <c r="U8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7" s="30" t="str">
        <f>IF(Inventory_List_Table3411151091113[[#This Row],[Q]]&lt;0.1, " ",Inventory_List_Table3411151091113[[#This Row],[LND RND USD]]*12)</f>
        <v xml:space="preserve"> </v>
      </c>
      <c r="W87" s="30" t="str">
        <f>IF(Inventory_List_Table3411151091113[[#This Row],[Q]]&lt;0.1, " ",Inventory_List_Table3411151091113[[#This Row],[AQ USD]])</f>
        <v xml:space="preserve"> </v>
      </c>
      <c r="X8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7" s="30" t="str">
        <f>IF(Inventory_List_Table3411151091113[[#This Row],[Q]]&lt;0.1, " ",Inventory_List_Table3411151091113[[#This Row],[PRICE]]/Z87*10000)</f>
        <v xml:space="preserve"> </v>
      </c>
      <c r="AB87" s="180"/>
      <c r="AC87" s="1"/>
      <c r="AD87" s="1"/>
    </row>
    <row r="88" spans="1:30" ht="24" customHeight="1" x14ac:dyDescent="0.3">
      <c r="A88" s="161">
        <v>86</v>
      </c>
      <c r="B88" s="1"/>
      <c r="C88" s="158"/>
      <c r="D88" s="158"/>
      <c r="E88" s="158"/>
      <c r="F8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8" s="164"/>
      <c r="H88" s="164"/>
      <c r="I88" s="164"/>
      <c r="J88" s="164"/>
      <c r="K88" s="164"/>
      <c r="L88" s="166"/>
      <c r="M88" s="30" t="str">
        <f>IF(Inventory_List_Table3411151091113[[#This Row],[Q]]&lt;0.1, " ", Inventory_List_Table3411151091113[[#This Row],[Q]]*Inventory_List_Table3411151091113[[#This Row],[PRICE]])</f>
        <v xml:space="preserve"> </v>
      </c>
      <c r="N88" s="35" t="str">
        <f>IF(Inventory_List_Table3411151091113[[#This Row],[Q]]&lt;0.1, " ", Inventory_List_Table3411151091113[[#This Row],[KG]]*2.20462)</f>
        <v xml:space="preserve"> </v>
      </c>
      <c r="O88" s="35" t="str">
        <f>IF(Inventory_List_Table3411151091113[[#This Row],[Q]]&lt;0.1, " ",Inventory_List_Table3411151091113[[#This Row],[H CM]]/2.54)</f>
        <v xml:space="preserve"> </v>
      </c>
      <c r="P88" s="35" t="str">
        <f>IF(Inventory_List_Table3411151091113[[#This Row],[Q]]&lt;0.1, " ",Inventory_List_Table3411151091113[[#This Row],[W CM]]/2.54)</f>
        <v xml:space="preserve"> </v>
      </c>
      <c r="Q88" s="35" t="str">
        <f>IF(Inventory_List_Table3411151091113[[#This Row],[Q]]&lt;0.1, " ",Inventory_List_Table3411151091113[[#This Row],[D CM ]]/2.54)</f>
        <v xml:space="preserve"> </v>
      </c>
      <c r="R88" s="30" t="str">
        <f>IF(Inventory_List_Table3411151091113[[#This Row],[Q]]&lt;0.1, " ",Inventory_List_Table3411151091113[[#This Row],[PRICE]]/$L$1)</f>
        <v xml:space="preserve"> </v>
      </c>
      <c r="S8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8" s="30" t="str">
        <f>IF(Inventory_List_Table3411151091113[[#This Row],[Q]]&lt;0.1, " ",Inventory_List_Table3411151091113[[#This Row],[AQ RND USD]]*1.4)</f>
        <v xml:space="preserve"> </v>
      </c>
      <c r="U8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8" s="30" t="str">
        <f>IF(Inventory_List_Table3411151091113[[#This Row],[Q]]&lt;0.1, " ",Inventory_List_Table3411151091113[[#This Row],[LND RND USD]]*12)</f>
        <v xml:space="preserve"> </v>
      </c>
      <c r="W88" s="30" t="str">
        <f>IF(Inventory_List_Table3411151091113[[#This Row],[Q]]&lt;0.1, " ",Inventory_List_Table3411151091113[[#This Row],[AQ USD]])</f>
        <v xml:space="preserve"> </v>
      </c>
      <c r="X8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8" s="30" t="str">
        <f>IF(Inventory_List_Table3411151091113[[#This Row],[Q]]&lt;0.1, " ",Inventory_List_Table3411151091113[[#This Row],[PRICE]]/Z88*10000)</f>
        <v xml:space="preserve"> </v>
      </c>
      <c r="AB88" s="180"/>
      <c r="AC88" s="1"/>
      <c r="AD88" s="1"/>
    </row>
    <row r="89" spans="1:30" ht="24" customHeight="1" x14ac:dyDescent="0.3">
      <c r="A89" s="161">
        <v>87</v>
      </c>
      <c r="B89" s="1"/>
      <c r="C89" s="158"/>
      <c r="D89" s="158"/>
      <c r="E89" s="158"/>
      <c r="F8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89" s="164"/>
      <c r="H89" s="164"/>
      <c r="I89" s="164"/>
      <c r="J89" s="164"/>
      <c r="K89" s="164"/>
      <c r="L89" s="166"/>
      <c r="M89" s="30" t="str">
        <f>IF(Inventory_List_Table3411151091113[[#This Row],[Q]]&lt;0.1, " ", Inventory_List_Table3411151091113[[#This Row],[Q]]*Inventory_List_Table3411151091113[[#This Row],[PRICE]])</f>
        <v xml:space="preserve"> </v>
      </c>
      <c r="N89" s="35" t="str">
        <f>IF(Inventory_List_Table3411151091113[[#This Row],[Q]]&lt;0.1, " ", Inventory_List_Table3411151091113[[#This Row],[KG]]*2.20462)</f>
        <v xml:space="preserve"> </v>
      </c>
      <c r="O89" s="35" t="str">
        <f>IF(Inventory_List_Table3411151091113[[#This Row],[Q]]&lt;0.1, " ",Inventory_List_Table3411151091113[[#This Row],[H CM]]/2.54)</f>
        <v xml:space="preserve"> </v>
      </c>
      <c r="P89" s="35" t="str">
        <f>IF(Inventory_List_Table3411151091113[[#This Row],[Q]]&lt;0.1, " ",Inventory_List_Table3411151091113[[#This Row],[W CM]]/2.54)</f>
        <v xml:space="preserve"> </v>
      </c>
      <c r="Q89" s="35" t="str">
        <f>IF(Inventory_List_Table3411151091113[[#This Row],[Q]]&lt;0.1, " ",Inventory_List_Table3411151091113[[#This Row],[D CM ]]/2.54)</f>
        <v xml:space="preserve"> </v>
      </c>
      <c r="R89" s="30" t="str">
        <f>IF(Inventory_List_Table3411151091113[[#This Row],[Q]]&lt;0.1, " ",Inventory_List_Table3411151091113[[#This Row],[PRICE]]/$L$1)</f>
        <v xml:space="preserve"> </v>
      </c>
      <c r="S8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89" s="30" t="str">
        <f>IF(Inventory_List_Table3411151091113[[#This Row],[Q]]&lt;0.1, " ",Inventory_List_Table3411151091113[[#This Row],[AQ RND USD]]*1.4)</f>
        <v xml:space="preserve"> </v>
      </c>
      <c r="U8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89" s="30" t="str">
        <f>IF(Inventory_List_Table3411151091113[[#This Row],[Q]]&lt;0.1, " ",Inventory_List_Table3411151091113[[#This Row],[LND RND USD]]*12)</f>
        <v xml:space="preserve"> </v>
      </c>
      <c r="W89" s="30" t="str">
        <f>IF(Inventory_List_Table3411151091113[[#This Row],[Q]]&lt;0.1, " ",Inventory_List_Table3411151091113[[#This Row],[AQ USD]])</f>
        <v xml:space="preserve"> </v>
      </c>
      <c r="X8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8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8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89" s="30" t="str">
        <f>IF(Inventory_List_Table3411151091113[[#This Row],[Q]]&lt;0.1, " ",Inventory_List_Table3411151091113[[#This Row],[PRICE]]/Z89*10000)</f>
        <v xml:space="preserve"> </v>
      </c>
      <c r="AB89" s="180"/>
      <c r="AC89" s="1"/>
      <c r="AD89" s="1"/>
    </row>
    <row r="90" spans="1:30" ht="24" customHeight="1" x14ac:dyDescent="0.3">
      <c r="A90" s="161">
        <v>88</v>
      </c>
      <c r="B90" s="1"/>
      <c r="C90" s="158"/>
      <c r="D90" s="158"/>
      <c r="E90" s="158"/>
      <c r="F9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0" s="164"/>
      <c r="H90" s="164"/>
      <c r="I90" s="164"/>
      <c r="J90" s="164"/>
      <c r="K90" s="164"/>
      <c r="L90" s="166"/>
      <c r="M90" s="30" t="str">
        <f>IF(Inventory_List_Table3411151091113[[#This Row],[Q]]&lt;0.1, " ", Inventory_List_Table3411151091113[[#This Row],[Q]]*Inventory_List_Table3411151091113[[#This Row],[PRICE]])</f>
        <v xml:space="preserve"> </v>
      </c>
      <c r="N90" s="35" t="str">
        <f>IF(Inventory_List_Table3411151091113[[#This Row],[Q]]&lt;0.1, " ", Inventory_List_Table3411151091113[[#This Row],[KG]]*2.20462)</f>
        <v xml:space="preserve"> </v>
      </c>
      <c r="O90" s="35" t="str">
        <f>IF(Inventory_List_Table3411151091113[[#This Row],[Q]]&lt;0.1, " ",Inventory_List_Table3411151091113[[#This Row],[H CM]]/2.54)</f>
        <v xml:space="preserve"> </v>
      </c>
      <c r="P90" s="35" t="str">
        <f>IF(Inventory_List_Table3411151091113[[#This Row],[Q]]&lt;0.1, " ",Inventory_List_Table3411151091113[[#This Row],[W CM]]/2.54)</f>
        <v xml:space="preserve"> </v>
      </c>
      <c r="Q90" s="35" t="str">
        <f>IF(Inventory_List_Table3411151091113[[#This Row],[Q]]&lt;0.1, " ",Inventory_List_Table3411151091113[[#This Row],[D CM ]]/2.54)</f>
        <v xml:space="preserve"> </v>
      </c>
      <c r="R90" s="30" t="str">
        <f>IF(Inventory_List_Table3411151091113[[#This Row],[Q]]&lt;0.1, " ",Inventory_List_Table3411151091113[[#This Row],[PRICE]]/$L$1)</f>
        <v xml:space="preserve"> </v>
      </c>
      <c r="S9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0" s="30" t="str">
        <f>IF(Inventory_List_Table3411151091113[[#This Row],[Q]]&lt;0.1, " ",Inventory_List_Table3411151091113[[#This Row],[AQ RND USD]]*1.4)</f>
        <v xml:space="preserve"> </v>
      </c>
      <c r="U9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0" s="30" t="str">
        <f>IF(Inventory_List_Table3411151091113[[#This Row],[Q]]&lt;0.1, " ",Inventory_List_Table3411151091113[[#This Row],[LND RND USD]]*12)</f>
        <v xml:space="preserve"> </v>
      </c>
      <c r="W90" s="30" t="str">
        <f>IF(Inventory_List_Table3411151091113[[#This Row],[Q]]&lt;0.1, " ",Inventory_List_Table3411151091113[[#This Row],[AQ USD]])</f>
        <v xml:space="preserve"> </v>
      </c>
      <c r="X9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0" s="30" t="str">
        <f>IF(Inventory_List_Table3411151091113[[#This Row],[Q]]&lt;0.1, " ",Inventory_List_Table3411151091113[[#This Row],[PRICE]]/Z90*10000)</f>
        <v xml:space="preserve"> </v>
      </c>
      <c r="AB90" s="180"/>
      <c r="AC90" s="1"/>
      <c r="AD90" s="1"/>
    </row>
    <row r="91" spans="1:30" ht="24" customHeight="1" x14ac:dyDescent="0.3">
      <c r="A91" s="161">
        <v>89</v>
      </c>
      <c r="B91" s="1"/>
      <c r="C91" s="158"/>
      <c r="D91" s="158"/>
      <c r="E91" s="158"/>
      <c r="F9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1" s="164"/>
      <c r="H91" s="164"/>
      <c r="I91" s="164"/>
      <c r="J91" s="164"/>
      <c r="K91" s="164"/>
      <c r="L91" s="166"/>
      <c r="M91" s="30" t="str">
        <f>IF(Inventory_List_Table3411151091113[[#This Row],[Q]]&lt;0.1, " ", Inventory_List_Table3411151091113[[#This Row],[Q]]*Inventory_List_Table3411151091113[[#This Row],[PRICE]])</f>
        <v xml:space="preserve"> </v>
      </c>
      <c r="N91" s="35" t="str">
        <f>IF(Inventory_List_Table3411151091113[[#This Row],[Q]]&lt;0.1, " ", Inventory_List_Table3411151091113[[#This Row],[KG]]*2.20462)</f>
        <v xml:space="preserve"> </v>
      </c>
      <c r="O91" s="35" t="str">
        <f>IF(Inventory_List_Table3411151091113[[#This Row],[Q]]&lt;0.1, " ",Inventory_List_Table3411151091113[[#This Row],[H CM]]/2.54)</f>
        <v xml:space="preserve"> </v>
      </c>
      <c r="P91" s="35" t="str">
        <f>IF(Inventory_List_Table3411151091113[[#This Row],[Q]]&lt;0.1, " ",Inventory_List_Table3411151091113[[#This Row],[W CM]]/2.54)</f>
        <v xml:space="preserve"> </v>
      </c>
      <c r="Q91" s="35" t="str">
        <f>IF(Inventory_List_Table3411151091113[[#This Row],[Q]]&lt;0.1, " ",Inventory_List_Table3411151091113[[#This Row],[D CM ]]/2.54)</f>
        <v xml:space="preserve"> </v>
      </c>
      <c r="R91" s="30" t="str">
        <f>IF(Inventory_List_Table3411151091113[[#This Row],[Q]]&lt;0.1, " ",Inventory_List_Table3411151091113[[#This Row],[PRICE]]/$L$1)</f>
        <v xml:space="preserve"> </v>
      </c>
      <c r="S9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1" s="30" t="str">
        <f>IF(Inventory_List_Table3411151091113[[#This Row],[Q]]&lt;0.1, " ",Inventory_List_Table3411151091113[[#This Row],[AQ RND USD]]*1.4)</f>
        <v xml:space="preserve"> </v>
      </c>
      <c r="U9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1" s="30" t="str">
        <f>IF(Inventory_List_Table3411151091113[[#This Row],[Q]]&lt;0.1, " ",Inventory_List_Table3411151091113[[#This Row],[LND RND USD]]*12)</f>
        <v xml:space="preserve"> </v>
      </c>
      <c r="W91" s="30" t="str">
        <f>IF(Inventory_List_Table3411151091113[[#This Row],[Q]]&lt;0.1, " ",Inventory_List_Table3411151091113[[#This Row],[AQ USD]])</f>
        <v xml:space="preserve"> </v>
      </c>
      <c r="X9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1" s="30" t="str">
        <f>IF(Inventory_List_Table3411151091113[[#This Row],[Q]]&lt;0.1, " ",Inventory_List_Table3411151091113[[#This Row],[PRICE]]/Z91*10000)</f>
        <v xml:space="preserve"> </v>
      </c>
      <c r="AB91" s="180"/>
      <c r="AC91" s="1"/>
      <c r="AD91" s="1"/>
    </row>
    <row r="92" spans="1:30" ht="24" customHeight="1" x14ac:dyDescent="0.3">
      <c r="A92" s="161">
        <v>90</v>
      </c>
      <c r="B92" s="1"/>
      <c r="C92" s="158"/>
      <c r="D92" s="158"/>
      <c r="E92" s="158"/>
      <c r="F9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2" s="164"/>
      <c r="H92" s="164"/>
      <c r="I92" s="164"/>
      <c r="J92" s="164"/>
      <c r="K92" s="164"/>
      <c r="L92" s="166"/>
      <c r="M92" s="30" t="str">
        <f>IF(Inventory_List_Table3411151091113[[#This Row],[Q]]&lt;0.1, " ", Inventory_List_Table3411151091113[[#This Row],[Q]]*Inventory_List_Table3411151091113[[#This Row],[PRICE]])</f>
        <v xml:space="preserve"> </v>
      </c>
      <c r="N92" s="35" t="str">
        <f>IF(Inventory_List_Table3411151091113[[#This Row],[Q]]&lt;0.1, " ", Inventory_List_Table3411151091113[[#This Row],[KG]]*2.20462)</f>
        <v xml:space="preserve"> </v>
      </c>
      <c r="O92" s="35" t="str">
        <f>IF(Inventory_List_Table3411151091113[[#This Row],[Q]]&lt;0.1, " ",Inventory_List_Table3411151091113[[#This Row],[H CM]]/2.54)</f>
        <v xml:space="preserve"> </v>
      </c>
      <c r="P92" s="35" t="str">
        <f>IF(Inventory_List_Table3411151091113[[#This Row],[Q]]&lt;0.1, " ",Inventory_List_Table3411151091113[[#This Row],[W CM]]/2.54)</f>
        <v xml:space="preserve"> </v>
      </c>
      <c r="Q92" s="35" t="str">
        <f>IF(Inventory_List_Table3411151091113[[#This Row],[Q]]&lt;0.1, " ",Inventory_List_Table3411151091113[[#This Row],[D CM ]]/2.54)</f>
        <v xml:space="preserve"> </v>
      </c>
      <c r="R92" s="30" t="str">
        <f>IF(Inventory_List_Table3411151091113[[#This Row],[Q]]&lt;0.1, " ",Inventory_List_Table3411151091113[[#This Row],[PRICE]]/$L$1)</f>
        <v xml:space="preserve"> </v>
      </c>
      <c r="S9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2" s="30" t="str">
        <f>IF(Inventory_List_Table3411151091113[[#This Row],[Q]]&lt;0.1, " ",Inventory_List_Table3411151091113[[#This Row],[AQ RND USD]]*1.4)</f>
        <v xml:space="preserve"> </v>
      </c>
      <c r="U9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2" s="30" t="str">
        <f>IF(Inventory_List_Table3411151091113[[#This Row],[Q]]&lt;0.1, " ",Inventory_List_Table3411151091113[[#This Row],[LND RND USD]]*12)</f>
        <v xml:space="preserve"> </v>
      </c>
      <c r="W92" s="30" t="str">
        <f>IF(Inventory_List_Table3411151091113[[#This Row],[Q]]&lt;0.1, " ",Inventory_List_Table3411151091113[[#This Row],[AQ USD]])</f>
        <v xml:space="preserve"> </v>
      </c>
      <c r="X9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2" s="30" t="str">
        <f>IF(Inventory_List_Table3411151091113[[#This Row],[Q]]&lt;0.1, " ",Inventory_List_Table3411151091113[[#This Row],[PRICE]]/Z92*10000)</f>
        <v xml:space="preserve"> </v>
      </c>
      <c r="AB92" s="180"/>
      <c r="AC92" s="1"/>
      <c r="AD92" s="1"/>
    </row>
    <row r="93" spans="1:30" ht="24" customHeight="1" x14ac:dyDescent="0.3">
      <c r="A93" s="161">
        <v>91</v>
      </c>
      <c r="B93" s="1"/>
      <c r="C93" s="158"/>
      <c r="D93" s="158"/>
      <c r="E93" s="158"/>
      <c r="F93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3" s="164"/>
      <c r="H93" s="164"/>
      <c r="I93" s="164"/>
      <c r="J93" s="164"/>
      <c r="K93" s="164"/>
      <c r="L93" s="166"/>
      <c r="M93" s="30" t="str">
        <f>IF(Inventory_List_Table3411151091113[[#This Row],[Q]]&lt;0.1, " ", Inventory_List_Table3411151091113[[#This Row],[Q]]*Inventory_List_Table3411151091113[[#This Row],[PRICE]])</f>
        <v xml:space="preserve"> </v>
      </c>
      <c r="N93" s="35" t="str">
        <f>IF(Inventory_List_Table3411151091113[[#This Row],[Q]]&lt;0.1, " ", Inventory_List_Table3411151091113[[#This Row],[KG]]*2.20462)</f>
        <v xml:space="preserve"> </v>
      </c>
      <c r="O93" s="35" t="str">
        <f>IF(Inventory_List_Table3411151091113[[#This Row],[Q]]&lt;0.1, " ",Inventory_List_Table3411151091113[[#This Row],[H CM]]/2.54)</f>
        <v xml:space="preserve"> </v>
      </c>
      <c r="P93" s="35" t="str">
        <f>IF(Inventory_List_Table3411151091113[[#This Row],[Q]]&lt;0.1, " ",Inventory_List_Table3411151091113[[#This Row],[W CM]]/2.54)</f>
        <v xml:space="preserve"> </v>
      </c>
      <c r="Q93" s="35" t="str">
        <f>IF(Inventory_List_Table3411151091113[[#This Row],[Q]]&lt;0.1, " ",Inventory_List_Table3411151091113[[#This Row],[D CM ]]/2.54)</f>
        <v xml:space="preserve"> </v>
      </c>
      <c r="R93" s="30" t="str">
        <f>IF(Inventory_List_Table3411151091113[[#This Row],[Q]]&lt;0.1, " ",Inventory_List_Table3411151091113[[#This Row],[PRICE]]/$L$1)</f>
        <v xml:space="preserve"> </v>
      </c>
      <c r="S93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3" s="30" t="str">
        <f>IF(Inventory_List_Table3411151091113[[#This Row],[Q]]&lt;0.1, " ",Inventory_List_Table3411151091113[[#This Row],[AQ RND USD]]*1.4)</f>
        <v xml:space="preserve"> </v>
      </c>
      <c r="U93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3" s="30" t="str">
        <f>IF(Inventory_List_Table3411151091113[[#This Row],[Q]]&lt;0.1, " ",Inventory_List_Table3411151091113[[#This Row],[LND RND USD]]*12)</f>
        <v xml:space="preserve"> </v>
      </c>
      <c r="W93" s="30" t="str">
        <f>IF(Inventory_List_Table3411151091113[[#This Row],[Q]]&lt;0.1, " ",Inventory_List_Table3411151091113[[#This Row],[AQ USD]])</f>
        <v xml:space="preserve"> </v>
      </c>
      <c r="X93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3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3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3" s="30" t="str">
        <f>IF(Inventory_List_Table3411151091113[[#This Row],[Q]]&lt;0.1, " ",Inventory_List_Table3411151091113[[#This Row],[PRICE]]/Z93*10000)</f>
        <v xml:space="preserve"> </v>
      </c>
      <c r="AB93" s="180"/>
      <c r="AC93" s="1"/>
      <c r="AD93" s="1"/>
    </row>
    <row r="94" spans="1:30" ht="24" customHeight="1" x14ac:dyDescent="0.3">
      <c r="A94" s="161">
        <v>92</v>
      </c>
      <c r="B94" s="1"/>
      <c r="C94" s="158"/>
      <c r="D94" s="158"/>
      <c r="E94" s="158"/>
      <c r="F94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4" s="164"/>
      <c r="H94" s="164"/>
      <c r="I94" s="164"/>
      <c r="J94" s="164"/>
      <c r="K94" s="164"/>
      <c r="L94" s="166"/>
      <c r="M94" s="30" t="str">
        <f>IF(Inventory_List_Table3411151091113[[#This Row],[Q]]&lt;0.1, " ", Inventory_List_Table3411151091113[[#This Row],[Q]]*Inventory_List_Table3411151091113[[#This Row],[PRICE]])</f>
        <v xml:space="preserve"> </v>
      </c>
      <c r="N94" s="35" t="str">
        <f>IF(Inventory_List_Table3411151091113[[#This Row],[Q]]&lt;0.1, " ", Inventory_List_Table3411151091113[[#This Row],[KG]]*2.20462)</f>
        <v xml:space="preserve"> </v>
      </c>
      <c r="O94" s="35" t="str">
        <f>IF(Inventory_List_Table3411151091113[[#This Row],[Q]]&lt;0.1, " ",Inventory_List_Table3411151091113[[#This Row],[H CM]]/2.54)</f>
        <v xml:space="preserve"> </v>
      </c>
      <c r="P94" s="35" t="str">
        <f>IF(Inventory_List_Table3411151091113[[#This Row],[Q]]&lt;0.1, " ",Inventory_List_Table3411151091113[[#This Row],[W CM]]/2.54)</f>
        <v xml:space="preserve"> </v>
      </c>
      <c r="Q94" s="35" t="str">
        <f>IF(Inventory_List_Table3411151091113[[#This Row],[Q]]&lt;0.1, " ",Inventory_List_Table3411151091113[[#This Row],[D CM ]]/2.54)</f>
        <v xml:space="preserve"> </v>
      </c>
      <c r="R94" s="30" t="str">
        <f>IF(Inventory_List_Table3411151091113[[#This Row],[Q]]&lt;0.1, " ",Inventory_List_Table3411151091113[[#This Row],[PRICE]]/$L$1)</f>
        <v xml:space="preserve"> </v>
      </c>
      <c r="S94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4" s="30" t="str">
        <f>IF(Inventory_List_Table3411151091113[[#This Row],[Q]]&lt;0.1, " ",Inventory_List_Table3411151091113[[#This Row],[AQ RND USD]]*1.4)</f>
        <v xml:space="preserve"> </v>
      </c>
      <c r="U94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4" s="30" t="str">
        <f>IF(Inventory_List_Table3411151091113[[#This Row],[Q]]&lt;0.1, " ",Inventory_List_Table3411151091113[[#This Row],[LND RND USD]]*12)</f>
        <v xml:space="preserve"> </v>
      </c>
      <c r="W94" s="30" t="str">
        <f>IF(Inventory_List_Table3411151091113[[#This Row],[Q]]&lt;0.1, " ",Inventory_List_Table3411151091113[[#This Row],[AQ USD]])</f>
        <v xml:space="preserve"> </v>
      </c>
      <c r="X94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4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4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4" s="30" t="str">
        <f>IF(Inventory_List_Table3411151091113[[#This Row],[Q]]&lt;0.1, " ",Inventory_List_Table3411151091113[[#This Row],[PRICE]]/Z94*10000)</f>
        <v xml:space="preserve"> </v>
      </c>
      <c r="AB94" s="180"/>
      <c r="AC94" s="1"/>
      <c r="AD94" s="1"/>
    </row>
    <row r="95" spans="1:30" ht="24" customHeight="1" x14ac:dyDescent="0.3">
      <c r="A95" s="161">
        <v>93</v>
      </c>
      <c r="B95" s="1"/>
      <c r="C95" s="158"/>
      <c r="D95" s="158"/>
      <c r="E95" s="158"/>
      <c r="F95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5" s="164"/>
      <c r="H95" s="164"/>
      <c r="I95" s="164"/>
      <c r="J95" s="164"/>
      <c r="K95" s="164"/>
      <c r="L95" s="166"/>
      <c r="M95" s="30" t="str">
        <f>IF(Inventory_List_Table3411151091113[[#This Row],[Q]]&lt;0.1, " ", Inventory_List_Table3411151091113[[#This Row],[Q]]*Inventory_List_Table3411151091113[[#This Row],[PRICE]])</f>
        <v xml:space="preserve"> </v>
      </c>
      <c r="N95" s="35" t="str">
        <f>IF(Inventory_List_Table3411151091113[[#This Row],[Q]]&lt;0.1, " ", Inventory_List_Table3411151091113[[#This Row],[KG]]*2.20462)</f>
        <v xml:space="preserve"> </v>
      </c>
      <c r="O95" s="35" t="str">
        <f>IF(Inventory_List_Table3411151091113[[#This Row],[Q]]&lt;0.1, " ",Inventory_List_Table3411151091113[[#This Row],[H CM]]/2.54)</f>
        <v xml:space="preserve"> </v>
      </c>
      <c r="P95" s="35" t="str">
        <f>IF(Inventory_List_Table3411151091113[[#This Row],[Q]]&lt;0.1, " ",Inventory_List_Table3411151091113[[#This Row],[W CM]]/2.54)</f>
        <v xml:space="preserve"> </v>
      </c>
      <c r="Q95" s="35" t="str">
        <f>IF(Inventory_List_Table3411151091113[[#This Row],[Q]]&lt;0.1, " ",Inventory_List_Table3411151091113[[#This Row],[D CM ]]/2.54)</f>
        <v xml:space="preserve"> </v>
      </c>
      <c r="R95" s="30" t="str">
        <f>IF(Inventory_List_Table3411151091113[[#This Row],[Q]]&lt;0.1, " ",Inventory_List_Table3411151091113[[#This Row],[PRICE]]/$L$1)</f>
        <v xml:space="preserve"> </v>
      </c>
      <c r="S95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5" s="30" t="str">
        <f>IF(Inventory_List_Table3411151091113[[#This Row],[Q]]&lt;0.1, " ",Inventory_List_Table3411151091113[[#This Row],[AQ RND USD]]*1.4)</f>
        <v xml:space="preserve"> </v>
      </c>
      <c r="U95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5" s="30" t="str">
        <f>IF(Inventory_List_Table3411151091113[[#This Row],[Q]]&lt;0.1, " ",Inventory_List_Table3411151091113[[#This Row],[LND RND USD]]*12)</f>
        <v xml:space="preserve"> </v>
      </c>
      <c r="W95" s="30" t="str">
        <f>IF(Inventory_List_Table3411151091113[[#This Row],[Q]]&lt;0.1, " ",Inventory_List_Table3411151091113[[#This Row],[AQ USD]])</f>
        <v xml:space="preserve"> </v>
      </c>
      <c r="X95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5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5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5" s="30" t="str">
        <f>IF(Inventory_List_Table3411151091113[[#This Row],[Q]]&lt;0.1, " ",Inventory_List_Table3411151091113[[#This Row],[PRICE]]/Z95*10000)</f>
        <v xml:space="preserve"> </v>
      </c>
      <c r="AB95" s="180"/>
      <c r="AC95" s="1"/>
      <c r="AD95" s="1"/>
    </row>
    <row r="96" spans="1:30" ht="24" customHeight="1" x14ac:dyDescent="0.3">
      <c r="A96" s="161">
        <v>94</v>
      </c>
      <c r="B96" s="1"/>
      <c r="C96" s="158"/>
      <c r="D96" s="158"/>
      <c r="E96" s="158"/>
      <c r="F96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6" s="164"/>
      <c r="H96" s="164"/>
      <c r="I96" s="164"/>
      <c r="J96" s="164"/>
      <c r="K96" s="164"/>
      <c r="L96" s="166"/>
      <c r="M96" s="30" t="str">
        <f>IF(Inventory_List_Table3411151091113[[#This Row],[Q]]&lt;0.1, " ", Inventory_List_Table3411151091113[[#This Row],[Q]]*Inventory_List_Table3411151091113[[#This Row],[PRICE]])</f>
        <v xml:space="preserve"> </v>
      </c>
      <c r="N96" s="35" t="str">
        <f>IF(Inventory_List_Table3411151091113[[#This Row],[Q]]&lt;0.1, " ", Inventory_List_Table3411151091113[[#This Row],[KG]]*2.20462)</f>
        <v xml:space="preserve"> </v>
      </c>
      <c r="O96" s="35" t="str">
        <f>IF(Inventory_List_Table3411151091113[[#This Row],[Q]]&lt;0.1, " ",Inventory_List_Table3411151091113[[#This Row],[H CM]]/2.54)</f>
        <v xml:space="preserve"> </v>
      </c>
      <c r="P96" s="35" t="str">
        <f>IF(Inventory_List_Table3411151091113[[#This Row],[Q]]&lt;0.1, " ",Inventory_List_Table3411151091113[[#This Row],[W CM]]/2.54)</f>
        <v xml:space="preserve"> </v>
      </c>
      <c r="Q96" s="35" t="str">
        <f>IF(Inventory_List_Table3411151091113[[#This Row],[Q]]&lt;0.1, " ",Inventory_List_Table3411151091113[[#This Row],[D CM ]]/2.54)</f>
        <v xml:space="preserve"> </v>
      </c>
      <c r="R96" s="30" t="str">
        <f>IF(Inventory_List_Table3411151091113[[#This Row],[Q]]&lt;0.1, " ",Inventory_List_Table3411151091113[[#This Row],[PRICE]]/$L$1)</f>
        <v xml:space="preserve"> </v>
      </c>
      <c r="S96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6" s="30" t="str">
        <f>IF(Inventory_List_Table3411151091113[[#This Row],[Q]]&lt;0.1, " ",Inventory_List_Table3411151091113[[#This Row],[AQ RND USD]]*1.4)</f>
        <v xml:space="preserve"> </v>
      </c>
      <c r="U96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6" s="30" t="str">
        <f>IF(Inventory_List_Table3411151091113[[#This Row],[Q]]&lt;0.1, " ",Inventory_List_Table3411151091113[[#This Row],[LND RND USD]]*12)</f>
        <v xml:space="preserve"> </v>
      </c>
      <c r="W96" s="30" t="str">
        <f>IF(Inventory_List_Table3411151091113[[#This Row],[Q]]&lt;0.1, " ",Inventory_List_Table3411151091113[[#This Row],[AQ USD]])</f>
        <v xml:space="preserve"> </v>
      </c>
      <c r="X96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6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6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6" s="30" t="str">
        <f>IF(Inventory_List_Table3411151091113[[#This Row],[Q]]&lt;0.1, " ",Inventory_List_Table3411151091113[[#This Row],[PRICE]]/Z96*10000)</f>
        <v xml:space="preserve"> </v>
      </c>
      <c r="AB96" s="180"/>
      <c r="AC96" s="1"/>
      <c r="AD96" s="1"/>
    </row>
    <row r="97" spans="1:30" ht="24" customHeight="1" x14ac:dyDescent="0.3">
      <c r="A97" s="161">
        <v>95</v>
      </c>
      <c r="B97" s="1"/>
      <c r="C97" s="158"/>
      <c r="D97" s="158"/>
      <c r="E97" s="158"/>
      <c r="F97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7" s="164"/>
      <c r="H97" s="164"/>
      <c r="I97" s="164"/>
      <c r="J97" s="164"/>
      <c r="K97" s="164"/>
      <c r="L97" s="166"/>
      <c r="M97" s="30" t="str">
        <f>IF(Inventory_List_Table3411151091113[[#This Row],[Q]]&lt;0.1, " ", Inventory_List_Table3411151091113[[#This Row],[Q]]*Inventory_List_Table3411151091113[[#This Row],[PRICE]])</f>
        <v xml:space="preserve"> </v>
      </c>
      <c r="N97" s="35" t="str">
        <f>IF(Inventory_List_Table3411151091113[[#This Row],[Q]]&lt;0.1, " ", Inventory_List_Table3411151091113[[#This Row],[KG]]*2.20462)</f>
        <v xml:space="preserve"> </v>
      </c>
      <c r="O97" s="35" t="str">
        <f>IF(Inventory_List_Table3411151091113[[#This Row],[Q]]&lt;0.1, " ",Inventory_List_Table3411151091113[[#This Row],[H CM]]/2.54)</f>
        <v xml:space="preserve"> </v>
      </c>
      <c r="P97" s="35" t="str">
        <f>IF(Inventory_List_Table3411151091113[[#This Row],[Q]]&lt;0.1, " ",Inventory_List_Table3411151091113[[#This Row],[W CM]]/2.54)</f>
        <v xml:space="preserve"> </v>
      </c>
      <c r="Q97" s="35" t="str">
        <f>IF(Inventory_List_Table3411151091113[[#This Row],[Q]]&lt;0.1, " ",Inventory_List_Table3411151091113[[#This Row],[D CM ]]/2.54)</f>
        <v xml:space="preserve"> </v>
      </c>
      <c r="R97" s="30" t="str">
        <f>IF(Inventory_List_Table3411151091113[[#This Row],[Q]]&lt;0.1, " ",Inventory_List_Table3411151091113[[#This Row],[PRICE]]/$L$1)</f>
        <v xml:space="preserve"> </v>
      </c>
      <c r="S97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7" s="30" t="str">
        <f>IF(Inventory_List_Table3411151091113[[#This Row],[Q]]&lt;0.1, " ",Inventory_List_Table3411151091113[[#This Row],[AQ RND USD]]*1.4)</f>
        <v xml:space="preserve"> </v>
      </c>
      <c r="U97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7" s="30" t="str">
        <f>IF(Inventory_List_Table3411151091113[[#This Row],[Q]]&lt;0.1, " ",Inventory_List_Table3411151091113[[#This Row],[LND RND USD]]*12)</f>
        <v xml:space="preserve"> </v>
      </c>
      <c r="W97" s="30" t="str">
        <f>IF(Inventory_List_Table3411151091113[[#This Row],[Q]]&lt;0.1, " ",Inventory_List_Table3411151091113[[#This Row],[AQ USD]])</f>
        <v xml:space="preserve"> </v>
      </c>
      <c r="X97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7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7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7" s="30" t="str">
        <f>IF(Inventory_List_Table3411151091113[[#This Row],[Q]]&lt;0.1, " ",Inventory_List_Table3411151091113[[#This Row],[PRICE]]/Z97*10000)</f>
        <v xml:space="preserve"> </v>
      </c>
      <c r="AB97" s="180"/>
      <c r="AC97" s="1"/>
      <c r="AD97" s="1"/>
    </row>
    <row r="98" spans="1:30" ht="24" customHeight="1" x14ac:dyDescent="0.3">
      <c r="A98" s="161">
        <v>96</v>
      </c>
      <c r="B98" s="1"/>
      <c r="C98" s="158"/>
      <c r="D98" s="158"/>
      <c r="E98" s="158"/>
      <c r="F98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8" s="164"/>
      <c r="H98" s="164"/>
      <c r="I98" s="164"/>
      <c r="J98" s="164"/>
      <c r="K98" s="164"/>
      <c r="L98" s="166"/>
      <c r="M98" s="30" t="str">
        <f>IF(Inventory_List_Table3411151091113[[#This Row],[Q]]&lt;0.1, " ", Inventory_List_Table3411151091113[[#This Row],[Q]]*Inventory_List_Table3411151091113[[#This Row],[PRICE]])</f>
        <v xml:space="preserve"> </v>
      </c>
      <c r="N98" s="35" t="str">
        <f>IF(Inventory_List_Table3411151091113[[#This Row],[Q]]&lt;0.1, " ", Inventory_List_Table3411151091113[[#This Row],[KG]]*2.20462)</f>
        <v xml:space="preserve"> </v>
      </c>
      <c r="O98" s="35" t="str">
        <f>IF(Inventory_List_Table3411151091113[[#This Row],[Q]]&lt;0.1, " ",Inventory_List_Table3411151091113[[#This Row],[H CM]]/2.54)</f>
        <v xml:space="preserve"> </v>
      </c>
      <c r="P98" s="35" t="str">
        <f>IF(Inventory_List_Table3411151091113[[#This Row],[Q]]&lt;0.1, " ",Inventory_List_Table3411151091113[[#This Row],[W CM]]/2.54)</f>
        <v xml:space="preserve"> </v>
      </c>
      <c r="Q98" s="35" t="str">
        <f>IF(Inventory_List_Table3411151091113[[#This Row],[Q]]&lt;0.1, " ",Inventory_List_Table3411151091113[[#This Row],[D CM ]]/2.54)</f>
        <v xml:space="preserve"> </v>
      </c>
      <c r="R98" s="30" t="str">
        <f>IF(Inventory_List_Table3411151091113[[#This Row],[Q]]&lt;0.1, " ",Inventory_List_Table3411151091113[[#This Row],[PRICE]]/$L$1)</f>
        <v xml:space="preserve"> </v>
      </c>
      <c r="S98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8" s="30" t="str">
        <f>IF(Inventory_List_Table3411151091113[[#This Row],[Q]]&lt;0.1, " ",Inventory_List_Table3411151091113[[#This Row],[AQ RND USD]]*1.4)</f>
        <v xml:space="preserve"> </v>
      </c>
      <c r="U98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8" s="30" t="str">
        <f>IF(Inventory_List_Table3411151091113[[#This Row],[Q]]&lt;0.1, " ",Inventory_List_Table3411151091113[[#This Row],[LND RND USD]]*12)</f>
        <v xml:space="preserve"> </v>
      </c>
      <c r="W98" s="30" t="str">
        <f>IF(Inventory_List_Table3411151091113[[#This Row],[Q]]&lt;0.1, " ",Inventory_List_Table3411151091113[[#This Row],[AQ USD]])</f>
        <v xml:space="preserve"> </v>
      </c>
      <c r="X98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8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8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8" s="30" t="str">
        <f>IF(Inventory_List_Table3411151091113[[#This Row],[Q]]&lt;0.1, " ",Inventory_List_Table3411151091113[[#This Row],[PRICE]]/Z98*10000)</f>
        <v xml:space="preserve"> </v>
      </c>
      <c r="AB98" s="180"/>
      <c r="AC98" s="1"/>
      <c r="AD98" s="1"/>
    </row>
    <row r="99" spans="1:30" ht="24" customHeight="1" x14ac:dyDescent="0.3">
      <c r="A99" s="161">
        <v>97</v>
      </c>
      <c r="B99" s="1"/>
      <c r="C99" s="158"/>
      <c r="D99" s="158"/>
      <c r="E99" s="158"/>
      <c r="F99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99" s="164"/>
      <c r="H99" s="164"/>
      <c r="I99" s="164"/>
      <c r="J99" s="164"/>
      <c r="K99" s="164"/>
      <c r="L99" s="166"/>
      <c r="M99" s="30" t="str">
        <f>IF(Inventory_List_Table3411151091113[[#This Row],[Q]]&lt;0.1, " ", Inventory_List_Table3411151091113[[#This Row],[Q]]*Inventory_List_Table3411151091113[[#This Row],[PRICE]])</f>
        <v xml:space="preserve"> </v>
      </c>
      <c r="N99" s="35" t="str">
        <f>IF(Inventory_List_Table3411151091113[[#This Row],[Q]]&lt;0.1, " ", Inventory_List_Table3411151091113[[#This Row],[KG]]*2.20462)</f>
        <v xml:space="preserve"> </v>
      </c>
      <c r="O99" s="35" t="str">
        <f>IF(Inventory_List_Table3411151091113[[#This Row],[Q]]&lt;0.1, " ",Inventory_List_Table3411151091113[[#This Row],[H CM]]/2.54)</f>
        <v xml:space="preserve"> </v>
      </c>
      <c r="P99" s="35" t="str">
        <f>IF(Inventory_List_Table3411151091113[[#This Row],[Q]]&lt;0.1, " ",Inventory_List_Table3411151091113[[#This Row],[W CM]]/2.54)</f>
        <v xml:space="preserve"> </v>
      </c>
      <c r="Q99" s="35" t="str">
        <f>IF(Inventory_List_Table3411151091113[[#This Row],[Q]]&lt;0.1, " ",Inventory_List_Table3411151091113[[#This Row],[D CM ]]/2.54)</f>
        <v xml:space="preserve"> </v>
      </c>
      <c r="R99" s="30" t="str">
        <f>IF(Inventory_List_Table3411151091113[[#This Row],[Q]]&lt;0.1, " ",Inventory_List_Table3411151091113[[#This Row],[PRICE]]/$L$1)</f>
        <v xml:space="preserve"> </v>
      </c>
      <c r="S99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99" s="30" t="str">
        <f>IF(Inventory_List_Table3411151091113[[#This Row],[Q]]&lt;0.1, " ",Inventory_List_Table3411151091113[[#This Row],[AQ RND USD]]*1.4)</f>
        <v xml:space="preserve"> </v>
      </c>
      <c r="U99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99" s="30" t="str">
        <f>IF(Inventory_List_Table3411151091113[[#This Row],[Q]]&lt;0.1, " ",Inventory_List_Table3411151091113[[#This Row],[LND RND USD]]*12)</f>
        <v xml:space="preserve"> </v>
      </c>
      <c r="W99" s="30" t="str">
        <f>IF(Inventory_List_Table3411151091113[[#This Row],[Q]]&lt;0.1, " ",Inventory_List_Table3411151091113[[#This Row],[AQ USD]])</f>
        <v xml:space="preserve"> </v>
      </c>
      <c r="X99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99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99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99" s="30" t="str">
        <f>IF(Inventory_List_Table3411151091113[[#This Row],[Q]]&lt;0.1, " ",Inventory_List_Table3411151091113[[#This Row],[PRICE]]/Z99*10000)</f>
        <v xml:space="preserve"> </v>
      </c>
      <c r="AB99" s="180"/>
      <c r="AC99" s="1"/>
      <c r="AD99" s="1"/>
    </row>
    <row r="100" spans="1:30" ht="24" customHeight="1" x14ac:dyDescent="0.3">
      <c r="A100" s="161">
        <v>98</v>
      </c>
      <c r="B100" s="1"/>
      <c r="C100" s="158"/>
      <c r="D100" s="158"/>
      <c r="E100" s="158"/>
      <c r="F100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00" s="164"/>
      <c r="H100" s="164"/>
      <c r="I100" s="164"/>
      <c r="J100" s="164"/>
      <c r="K100" s="164"/>
      <c r="L100" s="166"/>
      <c r="M100" s="30" t="str">
        <f>IF(Inventory_List_Table3411151091113[[#This Row],[Q]]&lt;0.1, " ", Inventory_List_Table3411151091113[[#This Row],[Q]]*Inventory_List_Table3411151091113[[#This Row],[PRICE]])</f>
        <v xml:space="preserve"> </v>
      </c>
      <c r="N100" s="35" t="str">
        <f>IF(Inventory_List_Table3411151091113[[#This Row],[Q]]&lt;0.1, " ", Inventory_List_Table3411151091113[[#This Row],[KG]]*2.20462)</f>
        <v xml:space="preserve"> </v>
      </c>
      <c r="O100" s="35" t="str">
        <f>IF(Inventory_List_Table3411151091113[[#This Row],[Q]]&lt;0.1, " ",Inventory_List_Table3411151091113[[#This Row],[H CM]]/2.54)</f>
        <v xml:space="preserve"> </v>
      </c>
      <c r="P100" s="35" t="str">
        <f>IF(Inventory_List_Table3411151091113[[#This Row],[Q]]&lt;0.1, " ",Inventory_List_Table3411151091113[[#This Row],[W CM]]/2.54)</f>
        <v xml:space="preserve"> </v>
      </c>
      <c r="Q100" s="35" t="str">
        <f>IF(Inventory_List_Table3411151091113[[#This Row],[Q]]&lt;0.1, " ",Inventory_List_Table3411151091113[[#This Row],[D CM ]]/2.54)</f>
        <v xml:space="preserve"> </v>
      </c>
      <c r="R100" s="30" t="str">
        <f>IF(Inventory_List_Table3411151091113[[#This Row],[Q]]&lt;0.1, " ",Inventory_List_Table3411151091113[[#This Row],[PRICE]]/$L$1)</f>
        <v xml:space="preserve"> </v>
      </c>
      <c r="S100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00" s="30" t="str">
        <f>IF(Inventory_List_Table3411151091113[[#This Row],[Q]]&lt;0.1, " ",Inventory_List_Table3411151091113[[#This Row],[AQ RND USD]]*1.4)</f>
        <v xml:space="preserve"> </v>
      </c>
      <c r="U100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00" s="30" t="str">
        <f>IF(Inventory_List_Table3411151091113[[#This Row],[Q]]&lt;0.1, " ",Inventory_List_Table3411151091113[[#This Row],[LND RND USD]]*12)</f>
        <v xml:space="preserve"> </v>
      </c>
      <c r="W100" s="30" t="str">
        <f>IF(Inventory_List_Table3411151091113[[#This Row],[Q]]&lt;0.1, " ",Inventory_List_Table3411151091113[[#This Row],[AQ USD]])</f>
        <v xml:space="preserve"> </v>
      </c>
      <c r="X100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00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00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00" s="30" t="str">
        <f>IF(Inventory_List_Table3411151091113[[#This Row],[Q]]&lt;0.1, " ",Inventory_List_Table3411151091113[[#This Row],[PRICE]]/Z100*10000)</f>
        <v xml:space="preserve"> </v>
      </c>
      <c r="AB100" s="180"/>
      <c r="AC100" s="1"/>
      <c r="AD100" s="1"/>
    </row>
    <row r="101" spans="1:30" ht="24" customHeight="1" x14ac:dyDescent="0.3">
      <c r="A101" s="161">
        <v>99</v>
      </c>
      <c r="B101" s="1"/>
      <c r="C101" s="158"/>
      <c r="D101" s="158"/>
      <c r="E101" s="158"/>
      <c r="F101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01" s="164"/>
      <c r="H101" s="164"/>
      <c r="I101" s="164"/>
      <c r="J101" s="164"/>
      <c r="K101" s="164"/>
      <c r="L101" s="166"/>
      <c r="M101" s="30" t="str">
        <f>IF(Inventory_List_Table3411151091113[[#This Row],[Q]]&lt;0.1, " ", Inventory_List_Table3411151091113[[#This Row],[Q]]*Inventory_List_Table3411151091113[[#This Row],[PRICE]])</f>
        <v xml:space="preserve"> </v>
      </c>
      <c r="N101" s="35" t="str">
        <f>IF(Inventory_List_Table3411151091113[[#This Row],[Q]]&lt;0.1, " ", Inventory_List_Table3411151091113[[#This Row],[KG]]*2.20462)</f>
        <v xml:space="preserve"> </v>
      </c>
      <c r="O101" s="35" t="str">
        <f>IF(Inventory_List_Table3411151091113[[#This Row],[Q]]&lt;0.1, " ",Inventory_List_Table3411151091113[[#This Row],[H CM]]/2.54)</f>
        <v xml:space="preserve"> </v>
      </c>
      <c r="P101" s="35" t="str">
        <f>IF(Inventory_List_Table3411151091113[[#This Row],[Q]]&lt;0.1, " ",Inventory_List_Table3411151091113[[#This Row],[W CM]]/2.54)</f>
        <v xml:space="preserve"> </v>
      </c>
      <c r="Q101" s="35" t="str">
        <f>IF(Inventory_List_Table3411151091113[[#This Row],[Q]]&lt;0.1, " ",Inventory_List_Table3411151091113[[#This Row],[D CM ]]/2.54)</f>
        <v xml:space="preserve"> </v>
      </c>
      <c r="R101" s="30" t="str">
        <f>IF(Inventory_List_Table3411151091113[[#This Row],[Q]]&lt;0.1, " ",Inventory_List_Table3411151091113[[#This Row],[PRICE]]/$L$1)</f>
        <v xml:space="preserve"> </v>
      </c>
      <c r="S101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01" s="30" t="str">
        <f>IF(Inventory_List_Table3411151091113[[#This Row],[Q]]&lt;0.1, " ",Inventory_List_Table3411151091113[[#This Row],[AQ RND USD]]*1.4)</f>
        <v xml:space="preserve"> </v>
      </c>
      <c r="U101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01" s="30" t="str">
        <f>IF(Inventory_List_Table3411151091113[[#This Row],[Q]]&lt;0.1, " ",Inventory_List_Table3411151091113[[#This Row],[LND RND USD]]*12)</f>
        <v xml:space="preserve"> </v>
      </c>
      <c r="W101" s="30" t="str">
        <f>IF(Inventory_List_Table3411151091113[[#This Row],[Q]]&lt;0.1, " ",Inventory_List_Table3411151091113[[#This Row],[AQ USD]])</f>
        <v xml:space="preserve"> </v>
      </c>
      <c r="X101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01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01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01" s="30" t="str">
        <f>IF(Inventory_List_Table3411151091113[[#This Row],[Q]]&lt;0.1, " ",Inventory_List_Table3411151091113[[#This Row],[PRICE]]/Z101*10000)</f>
        <v xml:space="preserve"> </v>
      </c>
      <c r="AB101" s="180"/>
      <c r="AC101" s="1"/>
      <c r="AD101" s="1"/>
    </row>
    <row r="102" spans="1:30" ht="24" customHeight="1" x14ac:dyDescent="0.3">
      <c r="A102" s="161">
        <v>100</v>
      </c>
      <c r="B102" s="1"/>
      <c r="C102" s="158"/>
      <c r="D102" s="158"/>
      <c r="E102" s="158"/>
      <c r="F102" s="38" t="str">
        <f>IF(Inventory_List_Table3411151091113[[#This Row],[Q]]&lt;0.1, " ",$A$1&amp;$D$1&amp;Inventory_List_Table3411151091113[[#This Row],['#]]&amp;Inventory_List_Table3411151091113[[#This Row],[LC]])</f>
        <v xml:space="preserve"> </v>
      </c>
      <c r="G102" s="164"/>
      <c r="H102" s="164"/>
      <c r="I102" s="164"/>
      <c r="J102" s="164"/>
      <c r="K102" s="164"/>
      <c r="L102" s="166"/>
      <c r="M102" s="30" t="str">
        <f>IF(Inventory_List_Table3411151091113[[#This Row],[Q]]&lt;0.1, " ", Inventory_List_Table3411151091113[[#This Row],[Q]]*Inventory_List_Table3411151091113[[#This Row],[PRICE]])</f>
        <v xml:space="preserve"> </v>
      </c>
      <c r="N102" s="35" t="str">
        <f>IF(Inventory_List_Table3411151091113[[#This Row],[Q]]&lt;0.1, " ", Inventory_List_Table3411151091113[[#This Row],[KG]]*2.20462)</f>
        <v xml:space="preserve"> </v>
      </c>
      <c r="O102" s="35" t="str">
        <f>IF(Inventory_List_Table3411151091113[[#This Row],[Q]]&lt;0.1, " ",Inventory_List_Table3411151091113[[#This Row],[H CM]]/2.54)</f>
        <v xml:space="preserve"> </v>
      </c>
      <c r="P102" s="35" t="str">
        <f>IF(Inventory_List_Table3411151091113[[#This Row],[Q]]&lt;0.1, " ",Inventory_List_Table3411151091113[[#This Row],[W CM]]/2.54)</f>
        <v xml:space="preserve"> </v>
      </c>
      <c r="Q102" s="35" t="str">
        <f>IF(Inventory_List_Table3411151091113[[#This Row],[Q]]&lt;0.1, " ",Inventory_List_Table3411151091113[[#This Row],[D CM ]]/2.54)</f>
        <v xml:space="preserve"> </v>
      </c>
      <c r="R102" s="30" t="str">
        <f>IF(Inventory_List_Table3411151091113[[#This Row],[Q]]&lt;0.1, " ",Inventory_List_Table3411151091113[[#This Row],[PRICE]]/$L$1)</f>
        <v xml:space="preserve"> </v>
      </c>
      <c r="S102" s="30" t="str">
        <f>IF(Inventory_List_Table3411151091113[[#This Row],[Q]]&lt;0.1, " ",IF(MOD(Inventory_List_Table3411151091113[[#This Row],[AQ USD]],1)&gt;0.4,ROUNDUP(Inventory_List_Table3411151091113[[#This Row],[AQ USD]],0),ROUNDDOWN(Inventory_List_Table3411151091113[[#This Row],[AQ USD]],0)))</f>
        <v xml:space="preserve"> </v>
      </c>
      <c r="T102" s="30" t="str">
        <f>IF(Inventory_List_Table3411151091113[[#This Row],[Q]]&lt;0.1, " ",Inventory_List_Table3411151091113[[#This Row],[AQ RND USD]]*1.4)</f>
        <v xml:space="preserve"> </v>
      </c>
      <c r="U102" s="30" t="str">
        <f>IF(Inventory_List_Table3411151091113[[#This Row],[Q]]&lt;0.1, " ",IF(MOD(Inventory_List_Table3411151091113[[#This Row],[LND USD]],1)&gt;0.4,ROUNDUP(Inventory_List_Table3411151091113[[#This Row],[LND USD]],0),ROUNDDOWN(Inventory_List_Table3411151091113[[#This Row],[LND USD]],0)))</f>
        <v xml:space="preserve"> </v>
      </c>
      <c r="V102" s="30" t="str">
        <f>IF(Inventory_List_Table3411151091113[[#This Row],[Q]]&lt;0.1, " ",Inventory_List_Table3411151091113[[#This Row],[LND RND USD]]*12)</f>
        <v xml:space="preserve"> </v>
      </c>
      <c r="W102" s="30" t="str">
        <f>IF(Inventory_List_Table3411151091113[[#This Row],[Q]]&lt;0.1, " ",Inventory_List_Table3411151091113[[#This Row],[AQ USD]])</f>
        <v xml:space="preserve"> </v>
      </c>
      <c r="X102" s="1" t="str">
        <f>IF(Inventory_List_Table3411151091113[[#This Row],[Q]]&lt;0.1, " ",SUBSTITUTE(SUBSTITUTE(SUBSTITUTE(SUBSTITUTE(SUBSTITUTE(SUBSTITUTE(SUBSTITUTE(SUBSTITUTE(SUBSTITUTE(SUBSTITUTE(Inventory_List_Table3411151091113[[#This Row],[AQ RND USD]], "1", "M"), "2", "O"), "3", "X"), "4", "H"), "5", "E"), "6", "L"), "7", "F"), "8", "A"), "9", "N"), "0", "D"))</f>
        <v xml:space="preserve"> </v>
      </c>
      <c r="Y102" s="1" t="str">
        <f>IF(Inventory_List_Table3411151091113[[#This Row],[Q]]&lt;0.1, " ",SUBSTITUTE(SUBSTITUTE(SUBSTITUTE(SUBSTITUTE(SUBSTITUTE(SUBSTITUTE(SUBSTITUTE(SUBSTITUTE(SUBSTITUTE(SUBSTITUTE(Inventory_List_Table3411151091113[[#This Row],[LND RND USD]], "1", "M"), "2", "O"), "3", "X"), "4", "H"), "5", "E"), "6", "L"), "7", "F"), "8", "A"), "9", "N"), "0", "D"))</f>
        <v xml:space="preserve"> </v>
      </c>
      <c r="Z102" s="1" t="str">
        <f>IF(Inventory_List_Table3411151091113[[#This Row],[Q]]&lt;0.1, " ",Inventory_List_Table3411151091113[[#This Row],[H CM]]*Inventory_List_Table3411151091113[[#This Row],[D CM ]]*4+Inventory_List_Table3411151091113[[#This Row],[W CM]]*Inventory_List_Table3411151091113[[#This Row],[D CM ]]/10000)</f>
        <v xml:space="preserve"> </v>
      </c>
      <c r="AA102" s="30" t="str">
        <f>IF(Inventory_List_Table3411151091113[[#This Row],[Q]]&lt;0.1, " ",Inventory_List_Table3411151091113[[#This Row],[PRICE]]/Z102*10000)</f>
        <v xml:space="preserve"> </v>
      </c>
      <c r="AB102" s="180"/>
      <c r="AC102" s="1"/>
      <c r="AD102" s="1"/>
    </row>
  </sheetData>
  <dataValidations count="12">
    <dataValidation allowBlank="1" showInputMessage="1" showErrorMessage="1" prompt="Enter a description of the item in this column" sqref="G2:G3" xr:uid="{7476D69D-643A-471F-9B52-8D6D3D6107B2}"/>
    <dataValidation allowBlank="1" showInputMessage="1" showErrorMessage="1" prompt="Enter the unit price of each item in this column" sqref="H2:H3" xr:uid="{8AB26AA8-81A0-4029-93EC-F2F827ECC593}"/>
    <dataValidation allowBlank="1" showInputMessage="1" showErrorMessage="1" prompt="Enter the quantity in stock for each item in this column" sqref="I2:I3" xr:uid="{E9C7F538-95D5-4A88-B0FB-82618B0872AF}"/>
    <dataValidation allowBlank="1" showInputMessage="1" showErrorMessage="1" prompt="This is an automated column._x000a__x000a_The inventory value for each item is automatically calculated in this column." sqref="J2:J3" xr:uid="{64F8B516-13C8-4271-9663-809E019A8A46}"/>
    <dataValidation allowBlank="1" showInputMessage="1" showErrorMessage="1" prompt="Enter the reorder level for each item in this column" sqref="K2:K3" xr:uid="{0EE516B4-47E0-4F79-8021-55579940BDF4}"/>
    <dataValidation allowBlank="1" showInputMessage="1" showErrorMessage="1" prompt="Enter the number of days it takes to reorder each item in this column" sqref="L2:N3" xr:uid="{42CFC924-F098-438E-A0AD-EBDCA5EABCF2}"/>
    <dataValidation allowBlank="1" showInputMessage="1" showErrorMessage="1" prompt="Enter the quantity in reorder for each item in this column" sqref="O2:O3" xr:uid="{2D4AEFBA-3E0F-478A-93C1-E358506A42E4}"/>
    <dataValidation allowBlank="1" showInputMessage="1" showErrorMessage="1" prompt="Enter yes if the item has been discontinued. When a yes is entered, the corresponding row is highlighted a light grey and the font style changed to strikethrough" sqref="P2:P3" xr:uid="{F63BBF47-8010-4238-A72E-38FF429793BB}"/>
    <dataValidation allowBlank="1" showInputMessage="1" showErrorMessage="1" prompt="Enter the name of the item in this column" sqref="F2:F102" xr:uid="{DBA689E3-BA02-48AE-8977-5CE541ABF553}"/>
    <dataValidation allowBlank="1" showInputMessage="1" showErrorMessage="1" prompt="Enter the item inventory ID in this column" sqref="E2:E3" xr:uid="{E31B0284-BDAA-44E0-816C-D7F25331692D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22EC0D4E-6818-4AA0-BB91-CD76D9D05466}"/>
    <dataValidation allowBlank="1" showInputMessage="1" showErrorMessage="1" prompt="Enter company name in this cell" sqref="B1" xr:uid="{A241321B-8497-47B9-B873-908BBC516BD4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E7AA-177F-4EF5-9FF1-5DB846B469F0}">
  <sheetPr>
    <tabColor rgb="FFFFCB05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1.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182" t="s">
        <v>3</v>
      </c>
      <c r="B1" s="181" t="s">
        <v>79</v>
      </c>
      <c r="C1" s="181" t="s">
        <v>17</v>
      </c>
      <c r="D1" s="181">
        <v>326</v>
      </c>
      <c r="E1" s="181"/>
      <c r="F1" s="181"/>
      <c r="G1" s="181"/>
      <c r="H1" s="181"/>
      <c r="I1" s="181"/>
      <c r="J1" s="183"/>
      <c r="K1" s="181" t="s">
        <v>18</v>
      </c>
      <c r="L1" s="184">
        <v>18</v>
      </c>
      <c r="M1" s="185">
        <f>SUM(Inventory_List_Table341115109111317[TOTAL PESOS])</f>
        <v>0</v>
      </c>
      <c r="N1" s="186"/>
      <c r="O1" s="186"/>
      <c r="P1" s="186"/>
      <c r="Q1" s="187"/>
      <c r="R1" s="188"/>
      <c r="S1" s="189"/>
      <c r="T1" s="190"/>
      <c r="U1" s="190"/>
      <c r="V1" s="190"/>
      <c r="W1" s="191">
        <f>SUM(Inventory_List_Table341115109111317[TOTAL USD])</f>
        <v>0</v>
      </c>
      <c r="X1" s="192"/>
      <c r="Y1" s="192"/>
      <c r="Z1" s="192"/>
      <c r="AA1" s="193" t="str">
        <f>IF(G3&gt;0.1, AVERAGE(Inventory_List_Table341115109111317[NOTES]), " ")</f>
        <v xml:space="preserve"> </v>
      </c>
      <c r="AB1" s="188"/>
    </row>
    <row r="2" spans="1:30" s="39" customFormat="1" ht="40.9" customHeight="1" x14ac:dyDescent="0.25">
      <c r="A2" s="194" t="s">
        <v>19</v>
      </c>
      <c r="B2" s="195" t="s">
        <v>56</v>
      </c>
      <c r="C2" s="195" t="s">
        <v>146</v>
      </c>
      <c r="D2" s="195" t="s">
        <v>145</v>
      </c>
      <c r="E2" s="195" t="s">
        <v>55</v>
      </c>
      <c r="F2" s="194" t="s">
        <v>20</v>
      </c>
      <c r="G2" s="194" t="s">
        <v>9</v>
      </c>
      <c r="H2" s="194" t="s">
        <v>10</v>
      </c>
      <c r="I2" s="194" t="s">
        <v>15</v>
      </c>
      <c r="J2" s="194" t="s">
        <v>11</v>
      </c>
      <c r="K2" s="194" t="s">
        <v>12</v>
      </c>
      <c r="L2" s="195" t="s">
        <v>25</v>
      </c>
      <c r="M2" s="196" t="s">
        <v>21</v>
      </c>
      <c r="N2" s="197" t="s">
        <v>13</v>
      </c>
      <c r="O2" s="197" t="s">
        <v>22</v>
      </c>
      <c r="P2" s="197" t="s">
        <v>23</v>
      </c>
      <c r="Q2" s="197" t="s">
        <v>24</v>
      </c>
      <c r="R2" s="198" t="s">
        <v>57</v>
      </c>
      <c r="S2" s="195" t="s">
        <v>58</v>
      </c>
      <c r="T2" s="198" t="s">
        <v>59</v>
      </c>
      <c r="U2" s="198" t="s">
        <v>60</v>
      </c>
      <c r="V2" s="198" t="s">
        <v>61</v>
      </c>
      <c r="W2" s="199" t="s">
        <v>14</v>
      </c>
      <c r="X2" s="199" t="s">
        <v>16</v>
      </c>
      <c r="Y2" s="199" t="s">
        <v>1</v>
      </c>
      <c r="Z2" s="181" t="s">
        <v>62</v>
      </c>
      <c r="AA2" s="184" t="s">
        <v>63</v>
      </c>
      <c r="AB2" s="181" t="s">
        <v>64</v>
      </c>
    </row>
    <row r="3" spans="1:30" s="29" customFormat="1" ht="23.25" x14ac:dyDescent="0.35">
      <c r="A3" s="206">
        <v>1</v>
      </c>
      <c r="B3" s="1"/>
      <c r="C3" s="205"/>
      <c r="D3" s="205"/>
      <c r="E3" s="205"/>
      <c r="F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" s="202"/>
      <c r="H3" s="202"/>
      <c r="I3" s="202"/>
      <c r="J3" s="202"/>
      <c r="K3" s="202"/>
      <c r="L3" s="203"/>
      <c r="M3" s="30" t="str">
        <f>IF(Inventory_List_Table341115109111317[[#This Row],[Q]]&lt;0.1, " ", Inventory_List_Table341115109111317[[#This Row],[Q]]*Inventory_List_Table341115109111317[[#This Row],[PRICE]])</f>
        <v xml:space="preserve"> </v>
      </c>
      <c r="N3" s="35" t="str">
        <f>IF(Inventory_List_Table341115109111317[[#This Row],[Q]]&lt;0.1, " ", Inventory_List_Table341115109111317[[#This Row],[KG]]*2.20462)</f>
        <v xml:space="preserve"> </v>
      </c>
      <c r="O3" s="35" t="str">
        <f>IF(Inventory_List_Table341115109111317[[#This Row],[Q]]&lt;0.1, " ",Inventory_List_Table341115109111317[[#This Row],[H CM]]/2.54)</f>
        <v xml:space="preserve"> </v>
      </c>
      <c r="P3" s="35" t="str">
        <f>IF(Inventory_List_Table341115109111317[[#This Row],[Q]]&lt;0.1, " ",Inventory_List_Table341115109111317[[#This Row],[W CM]]/2.54)</f>
        <v xml:space="preserve"> </v>
      </c>
      <c r="Q3" s="35" t="str">
        <f>IF(Inventory_List_Table341115109111317[[#This Row],[Q]]&lt;0.1, " ",Inventory_List_Table341115109111317[[#This Row],[D CM ]]/2.54)</f>
        <v xml:space="preserve"> </v>
      </c>
      <c r="R3" s="30" t="str">
        <f>IF(Inventory_List_Table341115109111317[[#This Row],[Q]]&lt;0.1, " ",Inventory_List_Table341115109111317[[#This Row],[PRICE]]/$L$1)</f>
        <v xml:space="preserve"> </v>
      </c>
      <c r="S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" s="30" t="str">
        <f>IF(Inventory_List_Table341115109111317[[#This Row],[Q]]&lt;0.1, " ",Inventory_List_Table341115109111317[[#This Row],[AQ RND USD]]*1.4)</f>
        <v xml:space="preserve"> </v>
      </c>
      <c r="U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" s="30" t="str">
        <f>IF(Inventory_List_Table341115109111317[[#This Row],[Q]]&lt;0.1, " ",Inventory_List_Table341115109111317[[#This Row],[LND RND USD]]*12)</f>
        <v xml:space="preserve"> </v>
      </c>
      <c r="W3" s="30" t="str">
        <f>IF(Inventory_List_Table341115109111317[[#This Row],[Q]]&lt;0.1, " ",Inventory_List_Table341115109111317[[#This Row],[AQ USD]])</f>
        <v xml:space="preserve"> </v>
      </c>
      <c r="X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" s="36" t="str">
        <f>IF(Inventory_List_Table341115109111317[[#This Row],[Q]]&lt;0.1, " ",Inventory_List_Table341115109111317[[#This Row],[PRICE]]/Z3*10000)</f>
        <v xml:space="preserve"> </v>
      </c>
      <c r="AB3" s="200"/>
      <c r="AC3" s="27"/>
      <c r="AD3" s="28"/>
    </row>
    <row r="4" spans="1:30" ht="21" x14ac:dyDescent="0.3">
      <c r="A4" s="206">
        <v>2</v>
      </c>
      <c r="B4" s="1"/>
      <c r="C4" s="205"/>
      <c r="D4" s="205"/>
      <c r="E4" s="205"/>
      <c r="F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" s="202"/>
      <c r="H4" s="202"/>
      <c r="I4" s="202"/>
      <c r="J4" s="202"/>
      <c r="K4" s="202"/>
      <c r="L4" s="204"/>
      <c r="M4" s="30" t="str">
        <f>IF(Inventory_List_Table341115109111317[[#This Row],[Q]]&lt;0.1, " ", Inventory_List_Table341115109111317[[#This Row],[Q]]*Inventory_List_Table341115109111317[[#This Row],[PRICE]])</f>
        <v xml:space="preserve"> </v>
      </c>
      <c r="N4" s="35" t="str">
        <f>IF(Inventory_List_Table341115109111317[[#This Row],[Q]]&lt;0.1, " ", Inventory_List_Table341115109111317[[#This Row],[KG]]*2.20462)</f>
        <v xml:space="preserve"> </v>
      </c>
      <c r="O4" s="35" t="str">
        <f>IF(Inventory_List_Table341115109111317[[#This Row],[Q]]&lt;0.1, " ",Inventory_List_Table341115109111317[[#This Row],[H CM]]/2.54)</f>
        <v xml:space="preserve"> </v>
      </c>
      <c r="P4" s="35" t="str">
        <f>IF(Inventory_List_Table341115109111317[[#This Row],[Q]]&lt;0.1, " ",Inventory_List_Table341115109111317[[#This Row],[W CM]]/2.54)</f>
        <v xml:space="preserve"> </v>
      </c>
      <c r="Q4" s="35" t="str">
        <f>IF(Inventory_List_Table341115109111317[[#This Row],[Q]]&lt;0.1, " ",Inventory_List_Table341115109111317[[#This Row],[D CM ]]/2.54)</f>
        <v xml:space="preserve"> </v>
      </c>
      <c r="R4" s="30" t="str">
        <f>IF(Inventory_List_Table341115109111317[[#This Row],[Q]]&lt;0.1, " ",Inventory_List_Table341115109111317[[#This Row],[PRICE]]/$L$1)</f>
        <v xml:space="preserve"> </v>
      </c>
      <c r="S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" s="30" t="str">
        <f>IF(Inventory_List_Table341115109111317[[#This Row],[Q]]&lt;0.1, " ",Inventory_List_Table341115109111317[[#This Row],[AQ RND USD]]*1.4)</f>
        <v xml:space="preserve"> </v>
      </c>
      <c r="U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" s="30" t="str">
        <f>IF(Inventory_List_Table341115109111317[[#This Row],[Q]]&lt;0.1, " ",Inventory_List_Table341115109111317[[#This Row],[LND RND USD]]*12)</f>
        <v xml:space="preserve"> </v>
      </c>
      <c r="W4" s="30" t="str">
        <f>IF(Inventory_List_Table341115109111317[[#This Row],[Q]]&lt;0.1, " ",Inventory_List_Table341115109111317[[#This Row],[AQ USD]])</f>
        <v xml:space="preserve"> </v>
      </c>
      <c r="X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" s="30" t="str">
        <f>IF(Inventory_List_Table341115109111317[[#This Row],[Q]]&lt;0.1, " ",Inventory_List_Table341115109111317[[#This Row],[PRICE]]/Z4*10000)</f>
        <v xml:space="preserve"> </v>
      </c>
      <c r="AB4" s="201"/>
      <c r="AC4" s="1"/>
      <c r="AD4" s="1"/>
    </row>
    <row r="5" spans="1:30" ht="24" customHeight="1" x14ac:dyDescent="0.3">
      <c r="A5" s="206">
        <v>3</v>
      </c>
      <c r="B5" s="1"/>
      <c r="C5" s="205"/>
      <c r="D5" s="205"/>
      <c r="E5" s="205"/>
      <c r="F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" s="202"/>
      <c r="H5" s="202"/>
      <c r="I5" s="202"/>
      <c r="J5" s="202"/>
      <c r="K5" s="202"/>
      <c r="L5" s="204"/>
      <c r="M5" s="30" t="str">
        <f>IF(Inventory_List_Table341115109111317[[#This Row],[Q]]&lt;0.1, " ", Inventory_List_Table341115109111317[[#This Row],[Q]]*Inventory_List_Table341115109111317[[#This Row],[PRICE]])</f>
        <v xml:space="preserve"> </v>
      </c>
      <c r="N5" s="35" t="str">
        <f>IF(Inventory_List_Table341115109111317[[#This Row],[Q]]&lt;0.1, " ", Inventory_List_Table341115109111317[[#This Row],[KG]]*2.20462)</f>
        <v xml:space="preserve"> </v>
      </c>
      <c r="O5" s="35" t="str">
        <f>IF(Inventory_List_Table341115109111317[[#This Row],[Q]]&lt;0.1, " ",Inventory_List_Table341115109111317[[#This Row],[H CM]]/2.54)</f>
        <v xml:space="preserve"> </v>
      </c>
      <c r="P5" s="35" t="str">
        <f>IF(Inventory_List_Table341115109111317[[#This Row],[Q]]&lt;0.1, " ",Inventory_List_Table341115109111317[[#This Row],[W CM]]/2.54)</f>
        <v xml:space="preserve"> </v>
      </c>
      <c r="Q5" s="35" t="str">
        <f>IF(Inventory_List_Table341115109111317[[#This Row],[Q]]&lt;0.1, " ",Inventory_List_Table341115109111317[[#This Row],[D CM ]]/2.54)</f>
        <v xml:space="preserve"> </v>
      </c>
      <c r="R5" s="30" t="str">
        <f>IF(Inventory_List_Table341115109111317[[#This Row],[Q]]&lt;0.1, " ",Inventory_List_Table341115109111317[[#This Row],[PRICE]]/$L$1)</f>
        <v xml:space="preserve"> </v>
      </c>
      <c r="S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" s="30" t="str">
        <f>IF(Inventory_List_Table341115109111317[[#This Row],[Q]]&lt;0.1, " ",Inventory_List_Table341115109111317[[#This Row],[AQ RND USD]]*1.4)</f>
        <v xml:space="preserve"> </v>
      </c>
      <c r="U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" s="30" t="str">
        <f>IF(Inventory_List_Table341115109111317[[#This Row],[Q]]&lt;0.1, " ",Inventory_List_Table341115109111317[[#This Row],[LND RND USD]]*12)</f>
        <v xml:space="preserve"> </v>
      </c>
      <c r="W5" s="30" t="str">
        <f>IF(Inventory_List_Table341115109111317[[#This Row],[Q]]&lt;0.1, " ",Inventory_List_Table341115109111317[[#This Row],[AQ USD]])</f>
        <v xml:space="preserve"> </v>
      </c>
      <c r="X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" s="30" t="str">
        <f>IF(Inventory_List_Table341115109111317[[#This Row],[Q]]&lt;0.1, " ",Inventory_List_Table341115109111317[[#This Row],[PRICE]]/Z5*10000)</f>
        <v xml:space="preserve"> </v>
      </c>
      <c r="AB5" s="201"/>
      <c r="AC5" s="1"/>
      <c r="AD5" s="1"/>
    </row>
    <row r="6" spans="1:30" ht="24" customHeight="1" x14ac:dyDescent="0.3">
      <c r="A6" s="206">
        <v>4</v>
      </c>
      <c r="B6" s="1"/>
      <c r="C6" s="205"/>
      <c r="D6" s="205"/>
      <c r="E6" s="205"/>
      <c r="F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" s="202"/>
      <c r="H6" s="202"/>
      <c r="I6" s="202"/>
      <c r="J6" s="202"/>
      <c r="K6" s="202"/>
      <c r="L6" s="204"/>
      <c r="M6" s="30" t="str">
        <f>IF(Inventory_List_Table341115109111317[[#This Row],[Q]]&lt;0.1, " ", Inventory_List_Table341115109111317[[#This Row],[Q]]*Inventory_List_Table341115109111317[[#This Row],[PRICE]])</f>
        <v xml:space="preserve"> </v>
      </c>
      <c r="N6" s="35" t="str">
        <f>IF(Inventory_List_Table341115109111317[[#This Row],[Q]]&lt;0.1, " ", Inventory_List_Table341115109111317[[#This Row],[KG]]*2.20462)</f>
        <v xml:space="preserve"> </v>
      </c>
      <c r="O6" s="35" t="str">
        <f>IF(Inventory_List_Table341115109111317[[#This Row],[Q]]&lt;0.1, " ",Inventory_List_Table341115109111317[[#This Row],[H CM]]/2.54)</f>
        <v xml:space="preserve"> </v>
      </c>
      <c r="P6" s="35" t="str">
        <f>IF(Inventory_List_Table341115109111317[[#This Row],[Q]]&lt;0.1, " ",Inventory_List_Table341115109111317[[#This Row],[W CM]]/2.54)</f>
        <v xml:space="preserve"> </v>
      </c>
      <c r="Q6" s="35" t="str">
        <f>IF(Inventory_List_Table341115109111317[[#This Row],[Q]]&lt;0.1, " ",Inventory_List_Table341115109111317[[#This Row],[D CM ]]/2.54)</f>
        <v xml:space="preserve"> </v>
      </c>
      <c r="R6" s="30" t="str">
        <f>IF(Inventory_List_Table341115109111317[[#This Row],[Q]]&lt;0.1, " ",Inventory_List_Table341115109111317[[#This Row],[PRICE]]/$L$1)</f>
        <v xml:space="preserve"> </v>
      </c>
      <c r="S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" s="30" t="str">
        <f>IF(Inventory_List_Table341115109111317[[#This Row],[Q]]&lt;0.1, " ",Inventory_List_Table341115109111317[[#This Row],[AQ RND USD]]*1.4)</f>
        <v xml:space="preserve"> </v>
      </c>
      <c r="U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" s="30" t="str">
        <f>IF(Inventory_List_Table341115109111317[[#This Row],[Q]]&lt;0.1, " ",Inventory_List_Table341115109111317[[#This Row],[LND RND USD]]*12)</f>
        <v xml:space="preserve"> </v>
      </c>
      <c r="W6" s="30" t="str">
        <f>IF(Inventory_List_Table341115109111317[[#This Row],[Q]]&lt;0.1, " ",Inventory_List_Table341115109111317[[#This Row],[AQ USD]])</f>
        <v xml:space="preserve"> </v>
      </c>
      <c r="X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" s="30" t="str">
        <f>IF(Inventory_List_Table341115109111317[[#This Row],[Q]]&lt;0.1, " ",Inventory_List_Table341115109111317[[#This Row],[PRICE]]/Z6*10000)</f>
        <v xml:space="preserve"> </v>
      </c>
      <c r="AB6" s="201"/>
      <c r="AC6" s="1"/>
      <c r="AD6" s="1"/>
    </row>
    <row r="7" spans="1:30" ht="24" customHeight="1" x14ac:dyDescent="0.3">
      <c r="A7" s="206">
        <v>5</v>
      </c>
      <c r="B7" s="1"/>
      <c r="C7" s="205"/>
      <c r="D7" s="205"/>
      <c r="E7" s="205"/>
      <c r="F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" s="202"/>
      <c r="H7" s="202"/>
      <c r="I7" s="202"/>
      <c r="J7" s="202"/>
      <c r="K7" s="202"/>
      <c r="L7" s="204"/>
      <c r="M7" s="30" t="str">
        <f>IF(Inventory_List_Table341115109111317[[#This Row],[Q]]&lt;0.1, " ", Inventory_List_Table341115109111317[[#This Row],[Q]]*Inventory_List_Table341115109111317[[#This Row],[PRICE]])</f>
        <v xml:space="preserve"> </v>
      </c>
      <c r="N7" s="35" t="str">
        <f>IF(Inventory_List_Table341115109111317[[#This Row],[Q]]&lt;0.1, " ", Inventory_List_Table341115109111317[[#This Row],[KG]]*2.20462)</f>
        <v xml:space="preserve"> </v>
      </c>
      <c r="O7" s="35" t="str">
        <f>IF(Inventory_List_Table341115109111317[[#This Row],[Q]]&lt;0.1, " ",Inventory_List_Table341115109111317[[#This Row],[H CM]]/2.54)</f>
        <v xml:space="preserve"> </v>
      </c>
      <c r="P7" s="35" t="str">
        <f>IF(Inventory_List_Table341115109111317[[#This Row],[Q]]&lt;0.1, " ",Inventory_List_Table341115109111317[[#This Row],[W CM]]/2.54)</f>
        <v xml:space="preserve"> </v>
      </c>
      <c r="Q7" s="35" t="str">
        <f>IF(Inventory_List_Table341115109111317[[#This Row],[Q]]&lt;0.1, " ",Inventory_List_Table341115109111317[[#This Row],[D CM ]]/2.54)</f>
        <v xml:space="preserve"> </v>
      </c>
      <c r="R7" s="30" t="str">
        <f>IF(Inventory_List_Table341115109111317[[#This Row],[Q]]&lt;0.1, " ",Inventory_List_Table341115109111317[[#This Row],[PRICE]]/$L$1)</f>
        <v xml:space="preserve"> </v>
      </c>
      <c r="S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" s="30" t="str">
        <f>IF(Inventory_List_Table341115109111317[[#This Row],[Q]]&lt;0.1, " ",Inventory_List_Table341115109111317[[#This Row],[AQ RND USD]]*1.4)</f>
        <v xml:space="preserve"> </v>
      </c>
      <c r="U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" s="30" t="str">
        <f>IF(Inventory_List_Table341115109111317[[#This Row],[Q]]&lt;0.1, " ",Inventory_List_Table341115109111317[[#This Row],[LND RND USD]]*12)</f>
        <v xml:space="preserve"> </v>
      </c>
      <c r="W7" s="30" t="str">
        <f>IF(Inventory_List_Table341115109111317[[#This Row],[Q]]&lt;0.1, " ",Inventory_List_Table341115109111317[[#This Row],[AQ USD]])</f>
        <v xml:space="preserve"> </v>
      </c>
      <c r="X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" s="30" t="str">
        <f>IF(Inventory_List_Table341115109111317[[#This Row],[Q]]&lt;0.1, " ",Inventory_List_Table341115109111317[[#This Row],[PRICE]]/Z7*10000)</f>
        <v xml:space="preserve"> </v>
      </c>
      <c r="AB7" s="201"/>
      <c r="AC7" s="1"/>
      <c r="AD7" s="1"/>
    </row>
    <row r="8" spans="1:30" ht="24" customHeight="1" x14ac:dyDescent="0.3">
      <c r="A8" s="206">
        <v>6</v>
      </c>
      <c r="B8" s="1"/>
      <c r="C8" s="205"/>
      <c r="D8" s="205"/>
      <c r="E8" s="205"/>
      <c r="F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" s="202"/>
      <c r="H8" s="202"/>
      <c r="I8" s="202"/>
      <c r="J8" s="202"/>
      <c r="K8" s="202"/>
      <c r="L8" s="204"/>
      <c r="M8" s="30" t="str">
        <f>IF(Inventory_List_Table341115109111317[[#This Row],[Q]]&lt;0.1, " ", Inventory_List_Table341115109111317[[#This Row],[Q]]*Inventory_List_Table341115109111317[[#This Row],[PRICE]])</f>
        <v xml:space="preserve"> </v>
      </c>
      <c r="N8" s="35" t="str">
        <f>IF(Inventory_List_Table341115109111317[[#This Row],[Q]]&lt;0.1, " ", Inventory_List_Table341115109111317[[#This Row],[KG]]*2.20462)</f>
        <v xml:space="preserve"> </v>
      </c>
      <c r="O8" s="35" t="str">
        <f>IF(Inventory_List_Table341115109111317[[#This Row],[Q]]&lt;0.1, " ",Inventory_List_Table341115109111317[[#This Row],[H CM]]/2.54)</f>
        <v xml:space="preserve"> </v>
      </c>
      <c r="P8" s="35" t="str">
        <f>IF(Inventory_List_Table341115109111317[[#This Row],[Q]]&lt;0.1, " ",Inventory_List_Table341115109111317[[#This Row],[W CM]]/2.54)</f>
        <v xml:space="preserve"> </v>
      </c>
      <c r="Q8" s="35" t="str">
        <f>IF(Inventory_List_Table341115109111317[[#This Row],[Q]]&lt;0.1, " ",Inventory_List_Table341115109111317[[#This Row],[D CM ]]/2.54)</f>
        <v xml:space="preserve"> </v>
      </c>
      <c r="R8" s="30" t="str">
        <f>IF(Inventory_List_Table341115109111317[[#This Row],[Q]]&lt;0.1, " ",Inventory_List_Table341115109111317[[#This Row],[PRICE]]/$L$1)</f>
        <v xml:space="preserve"> </v>
      </c>
      <c r="S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" s="30" t="str">
        <f>IF(Inventory_List_Table341115109111317[[#This Row],[Q]]&lt;0.1, " ",Inventory_List_Table341115109111317[[#This Row],[AQ RND USD]]*1.4)</f>
        <v xml:space="preserve"> </v>
      </c>
      <c r="U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" s="30" t="str">
        <f>IF(Inventory_List_Table341115109111317[[#This Row],[Q]]&lt;0.1, " ",Inventory_List_Table341115109111317[[#This Row],[LND RND USD]]*12)</f>
        <v xml:space="preserve"> </v>
      </c>
      <c r="W8" s="30" t="str">
        <f>IF(Inventory_List_Table341115109111317[[#This Row],[Q]]&lt;0.1, " ",Inventory_List_Table341115109111317[[#This Row],[AQ USD]])</f>
        <v xml:space="preserve"> </v>
      </c>
      <c r="X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" s="30" t="str">
        <f>IF(Inventory_List_Table341115109111317[[#This Row],[Q]]&lt;0.1, " ",Inventory_List_Table341115109111317[[#This Row],[PRICE]]/Z8*10000)</f>
        <v xml:space="preserve"> </v>
      </c>
      <c r="AB8" s="201"/>
      <c r="AC8" s="1"/>
      <c r="AD8" s="1"/>
    </row>
    <row r="9" spans="1:30" ht="24" customHeight="1" x14ac:dyDescent="0.3">
      <c r="A9" s="206">
        <v>7</v>
      </c>
      <c r="B9" s="1"/>
      <c r="C9" s="205"/>
      <c r="D9" s="205"/>
      <c r="E9" s="205"/>
      <c r="F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" s="202"/>
      <c r="H9" s="202"/>
      <c r="I9" s="202"/>
      <c r="J9" s="202"/>
      <c r="K9" s="202"/>
      <c r="L9" s="204"/>
      <c r="M9" s="30" t="str">
        <f>IF(Inventory_List_Table341115109111317[[#This Row],[Q]]&lt;0.1, " ", Inventory_List_Table341115109111317[[#This Row],[Q]]*Inventory_List_Table341115109111317[[#This Row],[PRICE]])</f>
        <v xml:space="preserve"> </v>
      </c>
      <c r="N9" s="35" t="str">
        <f>IF(Inventory_List_Table341115109111317[[#This Row],[Q]]&lt;0.1, " ", Inventory_List_Table341115109111317[[#This Row],[KG]]*2.20462)</f>
        <v xml:space="preserve"> </v>
      </c>
      <c r="O9" s="35" t="str">
        <f>IF(Inventory_List_Table341115109111317[[#This Row],[Q]]&lt;0.1, " ",Inventory_List_Table341115109111317[[#This Row],[H CM]]/2.54)</f>
        <v xml:space="preserve"> </v>
      </c>
      <c r="P9" s="35" t="str">
        <f>IF(Inventory_List_Table341115109111317[[#This Row],[Q]]&lt;0.1, " ",Inventory_List_Table341115109111317[[#This Row],[W CM]]/2.54)</f>
        <v xml:space="preserve"> </v>
      </c>
      <c r="Q9" s="35" t="str">
        <f>IF(Inventory_List_Table341115109111317[[#This Row],[Q]]&lt;0.1, " ",Inventory_List_Table341115109111317[[#This Row],[D CM ]]/2.54)</f>
        <v xml:space="preserve"> </v>
      </c>
      <c r="R9" s="30" t="str">
        <f>IF(Inventory_List_Table341115109111317[[#This Row],[Q]]&lt;0.1, " ",Inventory_List_Table341115109111317[[#This Row],[PRICE]]/$L$1)</f>
        <v xml:space="preserve"> </v>
      </c>
      <c r="S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" s="30" t="str">
        <f>IF(Inventory_List_Table341115109111317[[#This Row],[Q]]&lt;0.1, " ",Inventory_List_Table341115109111317[[#This Row],[AQ RND USD]]*1.4)</f>
        <v xml:space="preserve"> </v>
      </c>
      <c r="U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" s="30" t="str">
        <f>IF(Inventory_List_Table341115109111317[[#This Row],[Q]]&lt;0.1, " ",Inventory_List_Table341115109111317[[#This Row],[LND RND USD]]*12)</f>
        <v xml:space="preserve"> </v>
      </c>
      <c r="W9" s="30" t="str">
        <f>IF(Inventory_List_Table341115109111317[[#This Row],[Q]]&lt;0.1, " ",Inventory_List_Table341115109111317[[#This Row],[AQ USD]])</f>
        <v xml:space="preserve"> </v>
      </c>
      <c r="X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" s="30" t="str">
        <f>IF(Inventory_List_Table341115109111317[[#This Row],[Q]]&lt;0.1, " ",Inventory_List_Table341115109111317[[#This Row],[PRICE]]/Z9*10000)</f>
        <v xml:space="preserve"> </v>
      </c>
      <c r="AB9" s="201"/>
      <c r="AC9" s="1"/>
      <c r="AD9" s="1"/>
    </row>
    <row r="10" spans="1:30" ht="24" customHeight="1" x14ac:dyDescent="0.3">
      <c r="A10" s="206">
        <v>8</v>
      </c>
      <c r="B10" s="1"/>
      <c r="C10" s="205"/>
      <c r="D10" s="205"/>
      <c r="E10" s="205"/>
      <c r="F1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0" s="202"/>
      <c r="H10" s="202"/>
      <c r="I10" s="202"/>
      <c r="J10" s="202"/>
      <c r="K10" s="202"/>
      <c r="L10" s="204"/>
      <c r="M10" s="30" t="str">
        <f>IF(Inventory_List_Table341115109111317[[#This Row],[Q]]&lt;0.1, " ", Inventory_List_Table341115109111317[[#This Row],[Q]]*Inventory_List_Table341115109111317[[#This Row],[PRICE]])</f>
        <v xml:space="preserve"> </v>
      </c>
      <c r="N10" s="35" t="str">
        <f>IF(Inventory_List_Table341115109111317[[#This Row],[Q]]&lt;0.1, " ", Inventory_List_Table341115109111317[[#This Row],[KG]]*2.20462)</f>
        <v xml:space="preserve"> </v>
      </c>
      <c r="O10" s="35" t="str">
        <f>IF(Inventory_List_Table341115109111317[[#This Row],[Q]]&lt;0.1, " ",Inventory_List_Table341115109111317[[#This Row],[H CM]]/2.54)</f>
        <v xml:space="preserve"> </v>
      </c>
      <c r="P10" s="35" t="str">
        <f>IF(Inventory_List_Table341115109111317[[#This Row],[Q]]&lt;0.1, " ",Inventory_List_Table341115109111317[[#This Row],[W CM]]/2.54)</f>
        <v xml:space="preserve"> </v>
      </c>
      <c r="Q10" s="35" t="str">
        <f>IF(Inventory_List_Table341115109111317[[#This Row],[Q]]&lt;0.1, " ",Inventory_List_Table341115109111317[[#This Row],[D CM ]]/2.54)</f>
        <v xml:space="preserve"> </v>
      </c>
      <c r="R10" s="30" t="str">
        <f>IF(Inventory_List_Table341115109111317[[#This Row],[Q]]&lt;0.1, " ",Inventory_List_Table341115109111317[[#This Row],[PRICE]]/$L$1)</f>
        <v xml:space="preserve"> </v>
      </c>
      <c r="S1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0" s="30" t="str">
        <f>IF(Inventory_List_Table341115109111317[[#This Row],[Q]]&lt;0.1, " ",Inventory_List_Table341115109111317[[#This Row],[AQ RND USD]]*1.4)</f>
        <v xml:space="preserve"> </v>
      </c>
      <c r="U1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0" s="30" t="str">
        <f>IF(Inventory_List_Table341115109111317[[#This Row],[Q]]&lt;0.1, " ",Inventory_List_Table341115109111317[[#This Row],[LND RND USD]]*12)</f>
        <v xml:space="preserve"> </v>
      </c>
      <c r="W10" s="30" t="str">
        <f>IF(Inventory_List_Table341115109111317[[#This Row],[Q]]&lt;0.1, " ",Inventory_List_Table341115109111317[[#This Row],[AQ USD]])</f>
        <v xml:space="preserve"> </v>
      </c>
      <c r="X1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0" s="30" t="str">
        <f>IF(Inventory_List_Table341115109111317[[#This Row],[Q]]&lt;0.1, " ",Inventory_List_Table341115109111317[[#This Row],[PRICE]]/Z10*10000)</f>
        <v xml:space="preserve"> </v>
      </c>
      <c r="AB10" s="201"/>
      <c r="AC10" s="1"/>
      <c r="AD10" s="1"/>
    </row>
    <row r="11" spans="1:30" ht="24" customHeight="1" x14ac:dyDescent="0.3">
      <c r="A11" s="206">
        <v>9</v>
      </c>
      <c r="B11" s="1"/>
      <c r="C11" s="205"/>
      <c r="D11" s="205"/>
      <c r="E11" s="205"/>
      <c r="F1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1" s="202"/>
      <c r="H11" s="202"/>
      <c r="I11" s="202"/>
      <c r="J11" s="202"/>
      <c r="K11" s="202"/>
      <c r="L11" s="204"/>
      <c r="M11" s="30" t="str">
        <f>IF(Inventory_List_Table341115109111317[[#This Row],[Q]]&lt;0.1, " ", Inventory_List_Table341115109111317[[#This Row],[Q]]*Inventory_List_Table341115109111317[[#This Row],[PRICE]])</f>
        <v xml:space="preserve"> </v>
      </c>
      <c r="N11" s="35" t="str">
        <f>IF(Inventory_List_Table341115109111317[[#This Row],[Q]]&lt;0.1, " ", Inventory_List_Table341115109111317[[#This Row],[KG]]*2.20462)</f>
        <v xml:space="preserve"> </v>
      </c>
      <c r="O11" s="35" t="str">
        <f>IF(Inventory_List_Table341115109111317[[#This Row],[Q]]&lt;0.1, " ",Inventory_List_Table341115109111317[[#This Row],[H CM]]/2.54)</f>
        <v xml:space="preserve"> </v>
      </c>
      <c r="P11" s="35" t="str">
        <f>IF(Inventory_List_Table341115109111317[[#This Row],[Q]]&lt;0.1, " ",Inventory_List_Table341115109111317[[#This Row],[W CM]]/2.54)</f>
        <v xml:space="preserve"> </v>
      </c>
      <c r="Q11" s="35" t="str">
        <f>IF(Inventory_List_Table341115109111317[[#This Row],[Q]]&lt;0.1, " ",Inventory_List_Table341115109111317[[#This Row],[D CM ]]/2.54)</f>
        <v xml:space="preserve"> </v>
      </c>
      <c r="R11" s="30" t="str">
        <f>IF(Inventory_List_Table341115109111317[[#This Row],[Q]]&lt;0.1, " ",Inventory_List_Table341115109111317[[#This Row],[PRICE]]/$L$1)</f>
        <v xml:space="preserve"> </v>
      </c>
      <c r="S1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1" s="30" t="str">
        <f>IF(Inventory_List_Table341115109111317[[#This Row],[Q]]&lt;0.1, " ",Inventory_List_Table341115109111317[[#This Row],[AQ RND USD]]*1.4)</f>
        <v xml:space="preserve"> </v>
      </c>
      <c r="U1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1" s="30" t="str">
        <f>IF(Inventory_List_Table341115109111317[[#This Row],[Q]]&lt;0.1, " ",Inventory_List_Table341115109111317[[#This Row],[LND RND USD]]*12)</f>
        <v xml:space="preserve"> </v>
      </c>
      <c r="W11" s="30" t="str">
        <f>IF(Inventory_List_Table341115109111317[[#This Row],[Q]]&lt;0.1, " ",Inventory_List_Table341115109111317[[#This Row],[AQ USD]])</f>
        <v xml:space="preserve"> </v>
      </c>
      <c r="X1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1" s="30" t="str">
        <f>IF(Inventory_List_Table341115109111317[[#This Row],[Q]]&lt;0.1, " ",Inventory_List_Table341115109111317[[#This Row],[PRICE]]/Z11*10000)</f>
        <v xml:space="preserve"> </v>
      </c>
      <c r="AB11" s="201"/>
      <c r="AC11" s="1"/>
      <c r="AD11" s="1"/>
    </row>
    <row r="12" spans="1:30" ht="24" customHeight="1" x14ac:dyDescent="0.3">
      <c r="A12" s="206">
        <v>10</v>
      </c>
      <c r="B12" s="1"/>
      <c r="C12" s="205"/>
      <c r="D12" s="205"/>
      <c r="E12" s="205"/>
      <c r="F1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2" s="202"/>
      <c r="H12" s="202"/>
      <c r="I12" s="202"/>
      <c r="J12" s="202"/>
      <c r="K12" s="202"/>
      <c r="L12" s="204"/>
      <c r="M12" s="30" t="str">
        <f>IF(Inventory_List_Table341115109111317[[#This Row],[Q]]&lt;0.1, " ", Inventory_List_Table341115109111317[[#This Row],[Q]]*Inventory_List_Table341115109111317[[#This Row],[PRICE]])</f>
        <v xml:space="preserve"> </v>
      </c>
      <c r="N12" s="35" t="str">
        <f>IF(Inventory_List_Table341115109111317[[#This Row],[Q]]&lt;0.1, " ", Inventory_List_Table341115109111317[[#This Row],[KG]]*2.20462)</f>
        <v xml:space="preserve"> </v>
      </c>
      <c r="O12" s="35" t="str">
        <f>IF(Inventory_List_Table341115109111317[[#This Row],[Q]]&lt;0.1, " ",Inventory_List_Table341115109111317[[#This Row],[H CM]]/2.54)</f>
        <v xml:space="preserve"> </v>
      </c>
      <c r="P12" s="35" t="str">
        <f>IF(Inventory_List_Table341115109111317[[#This Row],[Q]]&lt;0.1, " ",Inventory_List_Table341115109111317[[#This Row],[W CM]]/2.54)</f>
        <v xml:space="preserve"> </v>
      </c>
      <c r="Q12" s="35" t="str">
        <f>IF(Inventory_List_Table341115109111317[[#This Row],[Q]]&lt;0.1, " ",Inventory_List_Table341115109111317[[#This Row],[D CM ]]/2.54)</f>
        <v xml:space="preserve"> </v>
      </c>
      <c r="R12" s="30" t="str">
        <f>IF(Inventory_List_Table341115109111317[[#This Row],[Q]]&lt;0.1, " ",Inventory_List_Table341115109111317[[#This Row],[PRICE]]/$L$1)</f>
        <v xml:space="preserve"> </v>
      </c>
      <c r="S1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2" s="30" t="str">
        <f>IF(Inventory_List_Table341115109111317[[#This Row],[Q]]&lt;0.1, " ",Inventory_List_Table341115109111317[[#This Row],[AQ RND USD]]*1.4)</f>
        <v xml:space="preserve"> </v>
      </c>
      <c r="U1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2" s="30" t="str">
        <f>IF(Inventory_List_Table341115109111317[[#This Row],[Q]]&lt;0.1, " ",Inventory_List_Table341115109111317[[#This Row],[LND RND USD]]*12)</f>
        <v xml:space="preserve"> </v>
      </c>
      <c r="W12" s="30" t="str">
        <f>IF(Inventory_List_Table341115109111317[[#This Row],[Q]]&lt;0.1, " ",Inventory_List_Table341115109111317[[#This Row],[AQ USD]])</f>
        <v xml:space="preserve"> </v>
      </c>
      <c r="X1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2" s="30" t="str">
        <f>IF(Inventory_List_Table341115109111317[[#This Row],[Q]]&lt;0.1, " ",Inventory_List_Table341115109111317[[#This Row],[PRICE]]/Z12*10000)</f>
        <v xml:space="preserve"> </v>
      </c>
      <c r="AB12" s="201"/>
      <c r="AC12" s="1"/>
      <c r="AD12" s="1"/>
    </row>
    <row r="13" spans="1:30" ht="24" customHeight="1" x14ac:dyDescent="0.3">
      <c r="A13" s="206">
        <v>11</v>
      </c>
      <c r="B13" s="1"/>
      <c r="C13" s="205"/>
      <c r="D13" s="205"/>
      <c r="E13" s="205"/>
      <c r="F1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3" s="202"/>
      <c r="H13" s="202"/>
      <c r="I13" s="202"/>
      <c r="J13" s="202"/>
      <c r="K13" s="202"/>
      <c r="L13" s="204"/>
      <c r="M13" s="30" t="str">
        <f>IF(Inventory_List_Table341115109111317[[#This Row],[Q]]&lt;0.1, " ", Inventory_List_Table341115109111317[[#This Row],[Q]]*Inventory_List_Table341115109111317[[#This Row],[PRICE]])</f>
        <v xml:space="preserve"> </v>
      </c>
      <c r="N13" s="35" t="str">
        <f>IF(Inventory_List_Table341115109111317[[#This Row],[Q]]&lt;0.1, " ", Inventory_List_Table341115109111317[[#This Row],[KG]]*2.20462)</f>
        <v xml:space="preserve"> </v>
      </c>
      <c r="O13" s="35" t="str">
        <f>IF(Inventory_List_Table341115109111317[[#This Row],[Q]]&lt;0.1, " ",Inventory_List_Table341115109111317[[#This Row],[H CM]]/2.54)</f>
        <v xml:space="preserve"> </v>
      </c>
      <c r="P13" s="35" t="str">
        <f>IF(Inventory_List_Table341115109111317[[#This Row],[Q]]&lt;0.1, " ",Inventory_List_Table341115109111317[[#This Row],[W CM]]/2.54)</f>
        <v xml:space="preserve"> </v>
      </c>
      <c r="Q13" s="35" t="str">
        <f>IF(Inventory_List_Table341115109111317[[#This Row],[Q]]&lt;0.1, " ",Inventory_List_Table341115109111317[[#This Row],[D CM ]]/2.54)</f>
        <v xml:space="preserve"> </v>
      </c>
      <c r="R13" s="30" t="str">
        <f>IF(Inventory_List_Table341115109111317[[#This Row],[Q]]&lt;0.1, " ",Inventory_List_Table341115109111317[[#This Row],[PRICE]]/$L$1)</f>
        <v xml:space="preserve"> </v>
      </c>
      <c r="S1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3" s="30" t="str">
        <f>IF(Inventory_List_Table341115109111317[[#This Row],[Q]]&lt;0.1, " ",Inventory_List_Table341115109111317[[#This Row],[AQ RND USD]]*1.4)</f>
        <v xml:space="preserve"> </v>
      </c>
      <c r="U1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3" s="30" t="str">
        <f>IF(Inventory_List_Table341115109111317[[#This Row],[Q]]&lt;0.1, " ",Inventory_List_Table341115109111317[[#This Row],[LND RND USD]]*12)</f>
        <v xml:space="preserve"> </v>
      </c>
      <c r="W13" s="30" t="str">
        <f>IF(Inventory_List_Table341115109111317[[#This Row],[Q]]&lt;0.1, " ",Inventory_List_Table341115109111317[[#This Row],[AQ USD]])</f>
        <v xml:space="preserve"> </v>
      </c>
      <c r="X1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3" s="30" t="str">
        <f>IF(Inventory_List_Table341115109111317[[#This Row],[Q]]&lt;0.1, " ",Inventory_List_Table341115109111317[[#This Row],[PRICE]]/Z13*10000)</f>
        <v xml:space="preserve"> </v>
      </c>
      <c r="AB13" s="201"/>
      <c r="AC13" s="1"/>
      <c r="AD13" s="1"/>
    </row>
    <row r="14" spans="1:30" ht="24" customHeight="1" x14ac:dyDescent="0.3">
      <c r="A14" s="206">
        <v>12</v>
      </c>
      <c r="B14" s="1"/>
      <c r="C14" s="205"/>
      <c r="D14" s="205"/>
      <c r="E14" s="205"/>
      <c r="F1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4" s="202"/>
      <c r="H14" s="202"/>
      <c r="I14" s="202"/>
      <c r="J14" s="202"/>
      <c r="K14" s="202"/>
      <c r="L14" s="204"/>
      <c r="M14" s="30" t="str">
        <f>IF(Inventory_List_Table341115109111317[[#This Row],[Q]]&lt;0.1, " ", Inventory_List_Table341115109111317[[#This Row],[Q]]*Inventory_List_Table341115109111317[[#This Row],[PRICE]])</f>
        <v xml:space="preserve"> </v>
      </c>
      <c r="N14" s="35" t="str">
        <f>IF(Inventory_List_Table341115109111317[[#This Row],[Q]]&lt;0.1, " ", Inventory_List_Table341115109111317[[#This Row],[KG]]*2.20462)</f>
        <v xml:space="preserve"> </v>
      </c>
      <c r="O14" s="35" t="str">
        <f>IF(Inventory_List_Table341115109111317[[#This Row],[Q]]&lt;0.1, " ",Inventory_List_Table341115109111317[[#This Row],[H CM]]/2.54)</f>
        <v xml:space="preserve"> </v>
      </c>
      <c r="P14" s="35" t="str">
        <f>IF(Inventory_List_Table341115109111317[[#This Row],[Q]]&lt;0.1, " ",Inventory_List_Table341115109111317[[#This Row],[W CM]]/2.54)</f>
        <v xml:space="preserve"> </v>
      </c>
      <c r="Q14" s="35" t="str">
        <f>IF(Inventory_List_Table341115109111317[[#This Row],[Q]]&lt;0.1, " ",Inventory_List_Table341115109111317[[#This Row],[D CM ]]/2.54)</f>
        <v xml:space="preserve"> </v>
      </c>
      <c r="R14" s="30" t="str">
        <f>IF(Inventory_List_Table341115109111317[[#This Row],[Q]]&lt;0.1, " ",Inventory_List_Table341115109111317[[#This Row],[PRICE]]/$L$1)</f>
        <v xml:space="preserve"> </v>
      </c>
      <c r="S1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4" s="30" t="str">
        <f>IF(Inventory_List_Table341115109111317[[#This Row],[Q]]&lt;0.1, " ",Inventory_List_Table341115109111317[[#This Row],[AQ RND USD]]*1.4)</f>
        <v xml:space="preserve"> </v>
      </c>
      <c r="U1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4" s="30" t="str">
        <f>IF(Inventory_List_Table341115109111317[[#This Row],[Q]]&lt;0.1, " ",Inventory_List_Table341115109111317[[#This Row],[LND RND USD]]*12)</f>
        <v xml:space="preserve"> </v>
      </c>
      <c r="W14" s="30" t="str">
        <f>IF(Inventory_List_Table341115109111317[[#This Row],[Q]]&lt;0.1, " ",Inventory_List_Table341115109111317[[#This Row],[AQ USD]])</f>
        <v xml:space="preserve"> </v>
      </c>
      <c r="X1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4" s="30" t="str">
        <f>IF(Inventory_List_Table341115109111317[[#This Row],[Q]]&lt;0.1, " ",Inventory_List_Table341115109111317[[#This Row],[PRICE]]/Z14*10000)</f>
        <v xml:space="preserve"> </v>
      </c>
      <c r="AB14" s="201"/>
      <c r="AC14" s="1"/>
      <c r="AD14" s="1"/>
    </row>
    <row r="15" spans="1:30" ht="24" customHeight="1" x14ac:dyDescent="0.3">
      <c r="A15" s="206">
        <v>13</v>
      </c>
      <c r="B15" s="1"/>
      <c r="C15" s="205"/>
      <c r="D15" s="205"/>
      <c r="E15" s="205"/>
      <c r="F1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5" s="202"/>
      <c r="H15" s="202"/>
      <c r="I15" s="202"/>
      <c r="J15" s="202"/>
      <c r="K15" s="202"/>
      <c r="L15" s="204"/>
      <c r="M15" s="30" t="str">
        <f>IF(Inventory_List_Table341115109111317[[#This Row],[Q]]&lt;0.1, " ", Inventory_List_Table341115109111317[[#This Row],[Q]]*Inventory_List_Table341115109111317[[#This Row],[PRICE]])</f>
        <v xml:space="preserve"> </v>
      </c>
      <c r="N15" s="35" t="str">
        <f>IF(Inventory_List_Table341115109111317[[#This Row],[Q]]&lt;0.1, " ", Inventory_List_Table341115109111317[[#This Row],[KG]]*2.20462)</f>
        <v xml:space="preserve"> </v>
      </c>
      <c r="O15" s="35" t="str">
        <f>IF(Inventory_List_Table341115109111317[[#This Row],[Q]]&lt;0.1, " ",Inventory_List_Table341115109111317[[#This Row],[H CM]]/2.54)</f>
        <v xml:space="preserve"> </v>
      </c>
      <c r="P15" s="35" t="str">
        <f>IF(Inventory_List_Table341115109111317[[#This Row],[Q]]&lt;0.1, " ",Inventory_List_Table341115109111317[[#This Row],[W CM]]/2.54)</f>
        <v xml:space="preserve"> </v>
      </c>
      <c r="Q15" s="35" t="str">
        <f>IF(Inventory_List_Table341115109111317[[#This Row],[Q]]&lt;0.1, " ",Inventory_List_Table341115109111317[[#This Row],[D CM ]]/2.54)</f>
        <v xml:space="preserve"> </v>
      </c>
      <c r="R15" s="30" t="str">
        <f>IF(Inventory_List_Table341115109111317[[#This Row],[Q]]&lt;0.1, " ",Inventory_List_Table341115109111317[[#This Row],[PRICE]]/$L$1)</f>
        <v xml:space="preserve"> </v>
      </c>
      <c r="S1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5" s="30" t="str">
        <f>IF(Inventory_List_Table341115109111317[[#This Row],[Q]]&lt;0.1, " ",Inventory_List_Table341115109111317[[#This Row],[AQ RND USD]]*1.4)</f>
        <v xml:space="preserve"> </v>
      </c>
      <c r="U1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5" s="30" t="str">
        <f>IF(Inventory_List_Table341115109111317[[#This Row],[Q]]&lt;0.1, " ",Inventory_List_Table341115109111317[[#This Row],[LND RND USD]]*12)</f>
        <v xml:space="preserve"> </v>
      </c>
      <c r="W15" s="30" t="str">
        <f>IF(Inventory_List_Table341115109111317[[#This Row],[Q]]&lt;0.1, " ",Inventory_List_Table341115109111317[[#This Row],[AQ USD]])</f>
        <v xml:space="preserve"> </v>
      </c>
      <c r="X1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5" s="30" t="str">
        <f>IF(Inventory_List_Table341115109111317[[#This Row],[Q]]&lt;0.1, " ",Inventory_List_Table341115109111317[[#This Row],[PRICE]]/Z15*10000)</f>
        <v xml:space="preserve"> </v>
      </c>
      <c r="AB15" s="201"/>
      <c r="AC15" s="1"/>
      <c r="AD15" s="1"/>
    </row>
    <row r="16" spans="1:30" ht="24" customHeight="1" x14ac:dyDescent="0.3">
      <c r="A16" s="206">
        <v>14</v>
      </c>
      <c r="B16" s="1"/>
      <c r="C16" s="205"/>
      <c r="D16" s="205"/>
      <c r="E16" s="205"/>
      <c r="F1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6" s="202"/>
      <c r="H16" s="202"/>
      <c r="I16" s="202"/>
      <c r="J16" s="202"/>
      <c r="K16" s="202"/>
      <c r="L16" s="204"/>
      <c r="M16" s="30" t="str">
        <f>IF(Inventory_List_Table341115109111317[[#This Row],[Q]]&lt;0.1, " ", Inventory_List_Table341115109111317[[#This Row],[Q]]*Inventory_List_Table341115109111317[[#This Row],[PRICE]])</f>
        <v xml:space="preserve"> </v>
      </c>
      <c r="N16" s="35" t="str">
        <f>IF(Inventory_List_Table341115109111317[[#This Row],[Q]]&lt;0.1, " ", Inventory_List_Table341115109111317[[#This Row],[KG]]*2.20462)</f>
        <v xml:space="preserve"> </v>
      </c>
      <c r="O16" s="35" t="str">
        <f>IF(Inventory_List_Table341115109111317[[#This Row],[Q]]&lt;0.1, " ",Inventory_List_Table341115109111317[[#This Row],[H CM]]/2.54)</f>
        <v xml:space="preserve"> </v>
      </c>
      <c r="P16" s="35" t="str">
        <f>IF(Inventory_List_Table341115109111317[[#This Row],[Q]]&lt;0.1, " ",Inventory_List_Table341115109111317[[#This Row],[W CM]]/2.54)</f>
        <v xml:space="preserve"> </v>
      </c>
      <c r="Q16" s="35" t="str">
        <f>IF(Inventory_List_Table341115109111317[[#This Row],[Q]]&lt;0.1, " ",Inventory_List_Table341115109111317[[#This Row],[D CM ]]/2.54)</f>
        <v xml:space="preserve"> </v>
      </c>
      <c r="R16" s="30" t="str">
        <f>IF(Inventory_List_Table341115109111317[[#This Row],[Q]]&lt;0.1, " ",Inventory_List_Table341115109111317[[#This Row],[PRICE]]/$L$1)</f>
        <v xml:space="preserve"> </v>
      </c>
      <c r="S1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6" s="30" t="str">
        <f>IF(Inventory_List_Table341115109111317[[#This Row],[Q]]&lt;0.1, " ",Inventory_List_Table341115109111317[[#This Row],[AQ RND USD]]*1.4)</f>
        <v xml:space="preserve"> </v>
      </c>
      <c r="U1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6" s="30" t="str">
        <f>IF(Inventory_List_Table341115109111317[[#This Row],[Q]]&lt;0.1, " ",Inventory_List_Table341115109111317[[#This Row],[LND RND USD]]*12)</f>
        <v xml:space="preserve"> </v>
      </c>
      <c r="W16" s="30" t="str">
        <f>IF(Inventory_List_Table341115109111317[[#This Row],[Q]]&lt;0.1, " ",Inventory_List_Table341115109111317[[#This Row],[AQ USD]])</f>
        <v xml:space="preserve"> </v>
      </c>
      <c r="X1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6" s="30" t="str">
        <f>IF(Inventory_List_Table341115109111317[[#This Row],[Q]]&lt;0.1, " ",Inventory_List_Table341115109111317[[#This Row],[PRICE]]/Z16*10000)</f>
        <v xml:space="preserve"> </v>
      </c>
      <c r="AB16" s="201"/>
      <c r="AC16" s="1"/>
      <c r="AD16" s="1"/>
    </row>
    <row r="17" spans="1:30" ht="24" customHeight="1" x14ac:dyDescent="0.3">
      <c r="A17" s="206">
        <v>15</v>
      </c>
      <c r="B17" s="1"/>
      <c r="C17" s="205"/>
      <c r="D17" s="205"/>
      <c r="E17" s="205"/>
      <c r="F1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7" s="202"/>
      <c r="H17" s="202"/>
      <c r="I17" s="202"/>
      <c r="J17" s="202"/>
      <c r="K17" s="202"/>
      <c r="L17" s="204"/>
      <c r="M17" s="30" t="str">
        <f>IF(Inventory_List_Table341115109111317[[#This Row],[Q]]&lt;0.1, " ", Inventory_List_Table341115109111317[[#This Row],[Q]]*Inventory_List_Table341115109111317[[#This Row],[PRICE]])</f>
        <v xml:space="preserve"> </v>
      </c>
      <c r="N17" s="35" t="str">
        <f>IF(Inventory_List_Table341115109111317[[#This Row],[Q]]&lt;0.1, " ", Inventory_List_Table341115109111317[[#This Row],[KG]]*2.20462)</f>
        <v xml:space="preserve"> </v>
      </c>
      <c r="O17" s="35" t="str">
        <f>IF(Inventory_List_Table341115109111317[[#This Row],[Q]]&lt;0.1, " ",Inventory_List_Table341115109111317[[#This Row],[H CM]]/2.54)</f>
        <v xml:space="preserve"> </v>
      </c>
      <c r="P17" s="35" t="str">
        <f>IF(Inventory_List_Table341115109111317[[#This Row],[Q]]&lt;0.1, " ",Inventory_List_Table341115109111317[[#This Row],[W CM]]/2.54)</f>
        <v xml:space="preserve"> </v>
      </c>
      <c r="Q17" s="35" t="str">
        <f>IF(Inventory_List_Table341115109111317[[#This Row],[Q]]&lt;0.1, " ",Inventory_List_Table341115109111317[[#This Row],[D CM ]]/2.54)</f>
        <v xml:space="preserve"> </v>
      </c>
      <c r="R17" s="30" t="str">
        <f>IF(Inventory_List_Table341115109111317[[#This Row],[Q]]&lt;0.1, " ",Inventory_List_Table341115109111317[[#This Row],[PRICE]]/$L$1)</f>
        <v xml:space="preserve"> </v>
      </c>
      <c r="S1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7" s="30" t="str">
        <f>IF(Inventory_List_Table341115109111317[[#This Row],[Q]]&lt;0.1, " ",Inventory_List_Table341115109111317[[#This Row],[AQ RND USD]]*1.4)</f>
        <v xml:space="preserve"> </v>
      </c>
      <c r="U1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7" s="30" t="str">
        <f>IF(Inventory_List_Table341115109111317[[#This Row],[Q]]&lt;0.1, " ",Inventory_List_Table341115109111317[[#This Row],[LND RND USD]]*12)</f>
        <v xml:space="preserve"> </v>
      </c>
      <c r="W17" s="30" t="str">
        <f>IF(Inventory_List_Table341115109111317[[#This Row],[Q]]&lt;0.1, " ",Inventory_List_Table341115109111317[[#This Row],[AQ USD]])</f>
        <v xml:space="preserve"> </v>
      </c>
      <c r="X1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7" s="30" t="str">
        <f>IF(Inventory_List_Table341115109111317[[#This Row],[Q]]&lt;0.1, " ",Inventory_List_Table341115109111317[[#This Row],[PRICE]]/Z17*10000)</f>
        <v xml:space="preserve"> </v>
      </c>
      <c r="AB17" s="201"/>
      <c r="AC17" s="1"/>
      <c r="AD17" s="1"/>
    </row>
    <row r="18" spans="1:30" ht="24" customHeight="1" x14ac:dyDescent="0.3">
      <c r="A18" s="206">
        <v>16</v>
      </c>
      <c r="B18" s="1"/>
      <c r="C18" s="205"/>
      <c r="D18" s="205"/>
      <c r="E18" s="205"/>
      <c r="F1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8" s="202"/>
      <c r="H18" s="202"/>
      <c r="I18" s="202"/>
      <c r="J18" s="202"/>
      <c r="K18" s="202"/>
      <c r="L18" s="204"/>
      <c r="M18" s="30" t="str">
        <f>IF(Inventory_List_Table341115109111317[[#This Row],[Q]]&lt;0.1, " ", Inventory_List_Table341115109111317[[#This Row],[Q]]*Inventory_List_Table341115109111317[[#This Row],[PRICE]])</f>
        <v xml:space="preserve"> </v>
      </c>
      <c r="N18" s="35" t="str">
        <f>IF(Inventory_List_Table341115109111317[[#This Row],[Q]]&lt;0.1, " ", Inventory_List_Table341115109111317[[#This Row],[KG]]*2.20462)</f>
        <v xml:space="preserve"> </v>
      </c>
      <c r="O18" s="35" t="str">
        <f>IF(Inventory_List_Table341115109111317[[#This Row],[Q]]&lt;0.1, " ",Inventory_List_Table341115109111317[[#This Row],[H CM]]/2.54)</f>
        <v xml:space="preserve"> </v>
      </c>
      <c r="P18" s="35" t="str">
        <f>IF(Inventory_List_Table341115109111317[[#This Row],[Q]]&lt;0.1, " ",Inventory_List_Table341115109111317[[#This Row],[W CM]]/2.54)</f>
        <v xml:space="preserve"> </v>
      </c>
      <c r="Q18" s="35" t="str">
        <f>IF(Inventory_List_Table341115109111317[[#This Row],[Q]]&lt;0.1, " ",Inventory_List_Table341115109111317[[#This Row],[D CM ]]/2.54)</f>
        <v xml:space="preserve"> </v>
      </c>
      <c r="R18" s="30" t="str">
        <f>IF(Inventory_List_Table341115109111317[[#This Row],[Q]]&lt;0.1, " ",Inventory_List_Table341115109111317[[#This Row],[PRICE]]/$L$1)</f>
        <v xml:space="preserve"> </v>
      </c>
      <c r="S1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8" s="30" t="str">
        <f>IF(Inventory_List_Table341115109111317[[#This Row],[Q]]&lt;0.1, " ",Inventory_List_Table341115109111317[[#This Row],[AQ RND USD]]*1.4)</f>
        <v xml:space="preserve"> </v>
      </c>
      <c r="U1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8" s="30" t="str">
        <f>IF(Inventory_List_Table341115109111317[[#This Row],[Q]]&lt;0.1, " ",Inventory_List_Table341115109111317[[#This Row],[LND RND USD]]*12)</f>
        <v xml:space="preserve"> </v>
      </c>
      <c r="W18" s="30" t="str">
        <f>IF(Inventory_List_Table341115109111317[[#This Row],[Q]]&lt;0.1, " ",Inventory_List_Table341115109111317[[#This Row],[AQ USD]])</f>
        <v xml:space="preserve"> </v>
      </c>
      <c r="X1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8" s="30" t="str">
        <f>IF(Inventory_List_Table341115109111317[[#This Row],[Q]]&lt;0.1, " ",Inventory_List_Table341115109111317[[#This Row],[PRICE]]/Z18*10000)</f>
        <v xml:space="preserve"> </v>
      </c>
      <c r="AB18" s="201"/>
      <c r="AC18" s="1"/>
      <c r="AD18" s="1"/>
    </row>
    <row r="19" spans="1:30" ht="24" customHeight="1" x14ac:dyDescent="0.3">
      <c r="A19" s="206">
        <v>17</v>
      </c>
      <c r="B19" s="1"/>
      <c r="C19" s="205"/>
      <c r="D19" s="205"/>
      <c r="E19" s="205"/>
      <c r="F1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9" s="202"/>
      <c r="H19" s="202"/>
      <c r="I19" s="202"/>
      <c r="J19" s="202"/>
      <c r="K19" s="202"/>
      <c r="L19" s="204"/>
      <c r="M19" s="30" t="str">
        <f>IF(Inventory_List_Table341115109111317[[#This Row],[Q]]&lt;0.1, " ", Inventory_List_Table341115109111317[[#This Row],[Q]]*Inventory_List_Table341115109111317[[#This Row],[PRICE]])</f>
        <v xml:space="preserve"> </v>
      </c>
      <c r="N19" s="35" t="str">
        <f>IF(Inventory_List_Table341115109111317[[#This Row],[Q]]&lt;0.1, " ", Inventory_List_Table341115109111317[[#This Row],[KG]]*2.20462)</f>
        <v xml:space="preserve"> </v>
      </c>
      <c r="O19" s="35" t="str">
        <f>IF(Inventory_List_Table341115109111317[[#This Row],[Q]]&lt;0.1, " ",Inventory_List_Table341115109111317[[#This Row],[H CM]]/2.54)</f>
        <v xml:space="preserve"> </v>
      </c>
      <c r="P19" s="35" t="str">
        <f>IF(Inventory_List_Table341115109111317[[#This Row],[Q]]&lt;0.1, " ",Inventory_List_Table341115109111317[[#This Row],[W CM]]/2.54)</f>
        <v xml:space="preserve"> </v>
      </c>
      <c r="Q19" s="35" t="str">
        <f>IF(Inventory_List_Table341115109111317[[#This Row],[Q]]&lt;0.1, " ",Inventory_List_Table341115109111317[[#This Row],[D CM ]]/2.54)</f>
        <v xml:space="preserve"> </v>
      </c>
      <c r="R19" s="30" t="str">
        <f>IF(Inventory_List_Table341115109111317[[#This Row],[Q]]&lt;0.1, " ",Inventory_List_Table341115109111317[[#This Row],[PRICE]]/$L$1)</f>
        <v xml:space="preserve"> </v>
      </c>
      <c r="S1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9" s="30" t="str">
        <f>IF(Inventory_List_Table341115109111317[[#This Row],[Q]]&lt;0.1, " ",Inventory_List_Table341115109111317[[#This Row],[AQ RND USD]]*1.4)</f>
        <v xml:space="preserve"> </v>
      </c>
      <c r="U1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9" s="30" t="str">
        <f>IF(Inventory_List_Table341115109111317[[#This Row],[Q]]&lt;0.1, " ",Inventory_List_Table341115109111317[[#This Row],[LND RND USD]]*12)</f>
        <v xml:space="preserve"> </v>
      </c>
      <c r="W19" s="30" t="str">
        <f>IF(Inventory_List_Table341115109111317[[#This Row],[Q]]&lt;0.1, " ",Inventory_List_Table341115109111317[[#This Row],[AQ USD]])</f>
        <v xml:space="preserve"> </v>
      </c>
      <c r="X1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9" s="30" t="str">
        <f>IF(Inventory_List_Table341115109111317[[#This Row],[Q]]&lt;0.1, " ",Inventory_List_Table341115109111317[[#This Row],[PRICE]]/Z19*10000)</f>
        <v xml:space="preserve"> </v>
      </c>
      <c r="AB19" s="201"/>
      <c r="AC19" s="1"/>
      <c r="AD19" s="1"/>
    </row>
    <row r="20" spans="1:30" ht="24" customHeight="1" x14ac:dyDescent="0.3">
      <c r="A20" s="206">
        <v>18</v>
      </c>
      <c r="B20" s="1"/>
      <c r="C20" s="205"/>
      <c r="D20" s="205"/>
      <c r="E20" s="205"/>
      <c r="F2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0" s="202"/>
      <c r="H20" s="202"/>
      <c r="I20" s="202"/>
      <c r="J20" s="202"/>
      <c r="K20" s="202"/>
      <c r="L20" s="204"/>
      <c r="M20" s="30" t="str">
        <f>IF(Inventory_List_Table341115109111317[[#This Row],[Q]]&lt;0.1, " ", Inventory_List_Table341115109111317[[#This Row],[Q]]*Inventory_List_Table341115109111317[[#This Row],[PRICE]])</f>
        <v xml:space="preserve"> </v>
      </c>
      <c r="N20" s="35" t="str">
        <f>IF(Inventory_List_Table341115109111317[[#This Row],[Q]]&lt;0.1, " ", Inventory_List_Table341115109111317[[#This Row],[KG]]*2.20462)</f>
        <v xml:space="preserve"> </v>
      </c>
      <c r="O20" s="35" t="str">
        <f>IF(Inventory_List_Table341115109111317[[#This Row],[Q]]&lt;0.1, " ",Inventory_List_Table341115109111317[[#This Row],[H CM]]/2.54)</f>
        <v xml:space="preserve"> </v>
      </c>
      <c r="P20" s="35" t="str">
        <f>IF(Inventory_List_Table341115109111317[[#This Row],[Q]]&lt;0.1, " ",Inventory_List_Table341115109111317[[#This Row],[W CM]]/2.54)</f>
        <v xml:space="preserve"> </v>
      </c>
      <c r="Q20" s="35" t="str">
        <f>IF(Inventory_List_Table341115109111317[[#This Row],[Q]]&lt;0.1, " ",Inventory_List_Table341115109111317[[#This Row],[D CM ]]/2.54)</f>
        <v xml:space="preserve"> </v>
      </c>
      <c r="R20" s="30" t="str">
        <f>IF(Inventory_List_Table341115109111317[[#This Row],[Q]]&lt;0.1, " ",Inventory_List_Table341115109111317[[#This Row],[PRICE]]/$L$1)</f>
        <v xml:space="preserve"> </v>
      </c>
      <c r="S2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0" s="30" t="str">
        <f>IF(Inventory_List_Table341115109111317[[#This Row],[Q]]&lt;0.1, " ",Inventory_List_Table341115109111317[[#This Row],[AQ RND USD]]*1.4)</f>
        <v xml:space="preserve"> </v>
      </c>
      <c r="U2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0" s="30" t="str">
        <f>IF(Inventory_List_Table341115109111317[[#This Row],[Q]]&lt;0.1, " ",Inventory_List_Table341115109111317[[#This Row],[LND RND USD]]*12)</f>
        <v xml:space="preserve"> </v>
      </c>
      <c r="W20" s="30" t="str">
        <f>IF(Inventory_List_Table341115109111317[[#This Row],[Q]]&lt;0.1, " ",Inventory_List_Table341115109111317[[#This Row],[AQ USD]])</f>
        <v xml:space="preserve"> </v>
      </c>
      <c r="X2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0" s="30" t="str">
        <f>IF(Inventory_List_Table341115109111317[[#This Row],[Q]]&lt;0.1, " ",Inventory_List_Table341115109111317[[#This Row],[PRICE]]/Z20*10000)</f>
        <v xml:space="preserve"> </v>
      </c>
      <c r="AB20" s="201"/>
      <c r="AC20" s="1"/>
      <c r="AD20" s="1"/>
    </row>
    <row r="21" spans="1:30" ht="24" customHeight="1" x14ac:dyDescent="0.3">
      <c r="A21" s="206">
        <v>19</v>
      </c>
      <c r="B21" s="1"/>
      <c r="C21" s="205"/>
      <c r="D21" s="205"/>
      <c r="E21" s="205"/>
      <c r="F2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1" s="202"/>
      <c r="H21" s="202"/>
      <c r="I21" s="202"/>
      <c r="J21" s="202"/>
      <c r="K21" s="202"/>
      <c r="L21" s="204"/>
      <c r="M21" s="30" t="str">
        <f>IF(Inventory_List_Table341115109111317[[#This Row],[Q]]&lt;0.1, " ", Inventory_List_Table341115109111317[[#This Row],[Q]]*Inventory_List_Table341115109111317[[#This Row],[PRICE]])</f>
        <v xml:space="preserve"> </v>
      </c>
      <c r="N21" s="35" t="str">
        <f>IF(Inventory_List_Table341115109111317[[#This Row],[Q]]&lt;0.1, " ", Inventory_List_Table341115109111317[[#This Row],[KG]]*2.20462)</f>
        <v xml:space="preserve"> </v>
      </c>
      <c r="O21" s="35" t="str">
        <f>IF(Inventory_List_Table341115109111317[[#This Row],[Q]]&lt;0.1, " ",Inventory_List_Table341115109111317[[#This Row],[H CM]]/2.54)</f>
        <v xml:space="preserve"> </v>
      </c>
      <c r="P21" s="35" t="str">
        <f>IF(Inventory_List_Table341115109111317[[#This Row],[Q]]&lt;0.1, " ",Inventory_List_Table341115109111317[[#This Row],[W CM]]/2.54)</f>
        <v xml:space="preserve"> </v>
      </c>
      <c r="Q21" s="35" t="str">
        <f>IF(Inventory_List_Table341115109111317[[#This Row],[Q]]&lt;0.1, " ",Inventory_List_Table341115109111317[[#This Row],[D CM ]]/2.54)</f>
        <v xml:space="preserve"> </v>
      </c>
      <c r="R21" s="30" t="str">
        <f>IF(Inventory_List_Table341115109111317[[#This Row],[Q]]&lt;0.1, " ",Inventory_List_Table341115109111317[[#This Row],[PRICE]]/$L$1)</f>
        <v xml:space="preserve"> </v>
      </c>
      <c r="S2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1" s="30" t="str">
        <f>IF(Inventory_List_Table341115109111317[[#This Row],[Q]]&lt;0.1, " ",Inventory_List_Table341115109111317[[#This Row],[AQ RND USD]]*1.4)</f>
        <v xml:space="preserve"> </v>
      </c>
      <c r="U2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1" s="30" t="str">
        <f>IF(Inventory_List_Table341115109111317[[#This Row],[Q]]&lt;0.1, " ",Inventory_List_Table341115109111317[[#This Row],[LND RND USD]]*12)</f>
        <v xml:space="preserve"> </v>
      </c>
      <c r="W21" s="30" t="str">
        <f>IF(Inventory_List_Table341115109111317[[#This Row],[Q]]&lt;0.1, " ",Inventory_List_Table341115109111317[[#This Row],[AQ USD]])</f>
        <v xml:space="preserve"> </v>
      </c>
      <c r="X2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1" s="30" t="str">
        <f>IF(Inventory_List_Table341115109111317[[#This Row],[Q]]&lt;0.1, " ",Inventory_List_Table341115109111317[[#This Row],[PRICE]]/Z21*10000)</f>
        <v xml:space="preserve"> </v>
      </c>
      <c r="AB21" s="201"/>
      <c r="AC21" s="1"/>
      <c r="AD21" s="1"/>
    </row>
    <row r="22" spans="1:30" ht="24" customHeight="1" x14ac:dyDescent="0.3">
      <c r="A22" s="206">
        <v>20</v>
      </c>
      <c r="B22" s="1"/>
      <c r="C22" s="205"/>
      <c r="D22" s="205"/>
      <c r="E22" s="205"/>
      <c r="F2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2" s="202"/>
      <c r="H22" s="202"/>
      <c r="I22" s="202"/>
      <c r="J22" s="202"/>
      <c r="K22" s="202"/>
      <c r="L22" s="204"/>
      <c r="M22" s="30" t="str">
        <f>IF(Inventory_List_Table341115109111317[[#This Row],[Q]]&lt;0.1, " ", Inventory_List_Table341115109111317[[#This Row],[Q]]*Inventory_List_Table341115109111317[[#This Row],[PRICE]])</f>
        <v xml:space="preserve"> </v>
      </c>
      <c r="N22" s="35" t="str">
        <f>IF(Inventory_List_Table341115109111317[[#This Row],[Q]]&lt;0.1, " ", Inventory_List_Table341115109111317[[#This Row],[KG]]*2.20462)</f>
        <v xml:space="preserve"> </v>
      </c>
      <c r="O22" s="35" t="str">
        <f>IF(Inventory_List_Table341115109111317[[#This Row],[Q]]&lt;0.1, " ",Inventory_List_Table341115109111317[[#This Row],[H CM]]/2.54)</f>
        <v xml:space="preserve"> </v>
      </c>
      <c r="P22" s="35" t="str">
        <f>IF(Inventory_List_Table341115109111317[[#This Row],[Q]]&lt;0.1, " ",Inventory_List_Table341115109111317[[#This Row],[W CM]]/2.54)</f>
        <v xml:space="preserve"> </v>
      </c>
      <c r="Q22" s="35" t="str">
        <f>IF(Inventory_List_Table341115109111317[[#This Row],[Q]]&lt;0.1, " ",Inventory_List_Table341115109111317[[#This Row],[D CM ]]/2.54)</f>
        <v xml:space="preserve"> </v>
      </c>
      <c r="R22" s="30" t="str">
        <f>IF(Inventory_List_Table341115109111317[[#This Row],[Q]]&lt;0.1, " ",Inventory_List_Table341115109111317[[#This Row],[PRICE]]/$L$1)</f>
        <v xml:space="preserve"> </v>
      </c>
      <c r="S2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2" s="30" t="str">
        <f>IF(Inventory_List_Table341115109111317[[#This Row],[Q]]&lt;0.1, " ",Inventory_List_Table341115109111317[[#This Row],[AQ RND USD]]*1.4)</f>
        <v xml:space="preserve"> </v>
      </c>
      <c r="U2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2" s="30" t="str">
        <f>IF(Inventory_List_Table341115109111317[[#This Row],[Q]]&lt;0.1, " ",Inventory_List_Table341115109111317[[#This Row],[LND RND USD]]*12)</f>
        <v xml:space="preserve"> </v>
      </c>
      <c r="W22" s="30" t="str">
        <f>IF(Inventory_List_Table341115109111317[[#This Row],[Q]]&lt;0.1, " ",Inventory_List_Table341115109111317[[#This Row],[AQ USD]])</f>
        <v xml:space="preserve"> </v>
      </c>
      <c r="X2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2" s="30" t="str">
        <f>IF(Inventory_List_Table341115109111317[[#This Row],[Q]]&lt;0.1, " ",Inventory_List_Table341115109111317[[#This Row],[PRICE]]/Z22*10000)</f>
        <v xml:space="preserve"> </v>
      </c>
      <c r="AB22" s="201"/>
      <c r="AC22" s="1"/>
      <c r="AD22" s="1"/>
    </row>
    <row r="23" spans="1:30" ht="24" customHeight="1" x14ac:dyDescent="0.3">
      <c r="A23" s="206">
        <v>21</v>
      </c>
      <c r="B23" s="1"/>
      <c r="C23" s="205"/>
      <c r="D23" s="205"/>
      <c r="E23" s="205"/>
      <c r="F2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3" s="202"/>
      <c r="H23" s="202"/>
      <c r="I23" s="202"/>
      <c r="J23" s="202"/>
      <c r="K23" s="202"/>
      <c r="L23" s="204"/>
      <c r="M23" s="30" t="str">
        <f>IF(Inventory_List_Table341115109111317[[#This Row],[Q]]&lt;0.1, " ", Inventory_List_Table341115109111317[[#This Row],[Q]]*Inventory_List_Table341115109111317[[#This Row],[PRICE]])</f>
        <v xml:space="preserve"> </v>
      </c>
      <c r="N23" s="35" t="str">
        <f>IF(Inventory_List_Table341115109111317[[#This Row],[Q]]&lt;0.1, " ", Inventory_List_Table341115109111317[[#This Row],[KG]]*2.20462)</f>
        <v xml:space="preserve"> </v>
      </c>
      <c r="O23" s="35" t="str">
        <f>IF(Inventory_List_Table341115109111317[[#This Row],[Q]]&lt;0.1, " ",Inventory_List_Table341115109111317[[#This Row],[H CM]]/2.54)</f>
        <v xml:space="preserve"> </v>
      </c>
      <c r="P23" s="35" t="str">
        <f>IF(Inventory_List_Table341115109111317[[#This Row],[Q]]&lt;0.1, " ",Inventory_List_Table341115109111317[[#This Row],[W CM]]/2.54)</f>
        <v xml:space="preserve"> </v>
      </c>
      <c r="Q23" s="35" t="str">
        <f>IF(Inventory_List_Table341115109111317[[#This Row],[Q]]&lt;0.1, " ",Inventory_List_Table341115109111317[[#This Row],[D CM ]]/2.54)</f>
        <v xml:space="preserve"> </v>
      </c>
      <c r="R23" s="30" t="str">
        <f>IF(Inventory_List_Table341115109111317[[#This Row],[Q]]&lt;0.1, " ",Inventory_List_Table341115109111317[[#This Row],[PRICE]]/$L$1)</f>
        <v xml:space="preserve"> </v>
      </c>
      <c r="S2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3" s="30" t="str">
        <f>IF(Inventory_List_Table341115109111317[[#This Row],[Q]]&lt;0.1, " ",Inventory_List_Table341115109111317[[#This Row],[AQ RND USD]]*1.4)</f>
        <v xml:space="preserve"> </v>
      </c>
      <c r="U2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3" s="30" t="str">
        <f>IF(Inventory_List_Table341115109111317[[#This Row],[Q]]&lt;0.1, " ",Inventory_List_Table341115109111317[[#This Row],[LND RND USD]]*12)</f>
        <v xml:space="preserve"> </v>
      </c>
      <c r="W23" s="30" t="str">
        <f>IF(Inventory_List_Table341115109111317[[#This Row],[Q]]&lt;0.1, " ",Inventory_List_Table341115109111317[[#This Row],[AQ USD]])</f>
        <v xml:space="preserve"> </v>
      </c>
      <c r="X2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3" s="30" t="str">
        <f>IF(Inventory_List_Table341115109111317[[#This Row],[Q]]&lt;0.1, " ",Inventory_List_Table341115109111317[[#This Row],[PRICE]]/Z23*10000)</f>
        <v xml:space="preserve"> </v>
      </c>
      <c r="AB23" s="201"/>
      <c r="AC23" s="1"/>
      <c r="AD23" s="1"/>
    </row>
    <row r="24" spans="1:30" ht="24" customHeight="1" x14ac:dyDescent="0.3">
      <c r="A24" s="206">
        <v>22</v>
      </c>
      <c r="B24" s="1"/>
      <c r="C24" s="205"/>
      <c r="D24" s="205"/>
      <c r="E24" s="205"/>
      <c r="F2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4" s="202"/>
      <c r="H24" s="202"/>
      <c r="I24" s="202"/>
      <c r="J24" s="202"/>
      <c r="K24" s="202"/>
      <c r="L24" s="204"/>
      <c r="M24" s="30" t="str">
        <f>IF(Inventory_List_Table341115109111317[[#This Row],[Q]]&lt;0.1, " ", Inventory_List_Table341115109111317[[#This Row],[Q]]*Inventory_List_Table341115109111317[[#This Row],[PRICE]])</f>
        <v xml:space="preserve"> </v>
      </c>
      <c r="N24" s="35" t="str">
        <f>IF(Inventory_List_Table341115109111317[[#This Row],[Q]]&lt;0.1, " ", Inventory_List_Table341115109111317[[#This Row],[KG]]*2.20462)</f>
        <v xml:space="preserve"> </v>
      </c>
      <c r="O24" s="35" t="str">
        <f>IF(Inventory_List_Table341115109111317[[#This Row],[Q]]&lt;0.1, " ",Inventory_List_Table341115109111317[[#This Row],[H CM]]/2.54)</f>
        <v xml:space="preserve"> </v>
      </c>
      <c r="P24" s="35" t="str">
        <f>IF(Inventory_List_Table341115109111317[[#This Row],[Q]]&lt;0.1, " ",Inventory_List_Table341115109111317[[#This Row],[W CM]]/2.54)</f>
        <v xml:space="preserve"> </v>
      </c>
      <c r="Q24" s="35" t="str">
        <f>IF(Inventory_List_Table341115109111317[[#This Row],[Q]]&lt;0.1, " ",Inventory_List_Table341115109111317[[#This Row],[D CM ]]/2.54)</f>
        <v xml:space="preserve"> </v>
      </c>
      <c r="R24" s="30" t="str">
        <f>IF(Inventory_List_Table341115109111317[[#This Row],[Q]]&lt;0.1, " ",Inventory_List_Table341115109111317[[#This Row],[PRICE]]/$L$1)</f>
        <v xml:space="preserve"> </v>
      </c>
      <c r="S2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4" s="30" t="str">
        <f>IF(Inventory_List_Table341115109111317[[#This Row],[Q]]&lt;0.1, " ",Inventory_List_Table341115109111317[[#This Row],[AQ RND USD]]*1.4)</f>
        <v xml:space="preserve"> </v>
      </c>
      <c r="U2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4" s="30" t="str">
        <f>IF(Inventory_List_Table341115109111317[[#This Row],[Q]]&lt;0.1, " ",Inventory_List_Table341115109111317[[#This Row],[LND RND USD]]*12)</f>
        <v xml:space="preserve"> </v>
      </c>
      <c r="W24" s="30" t="str">
        <f>IF(Inventory_List_Table341115109111317[[#This Row],[Q]]&lt;0.1, " ",Inventory_List_Table341115109111317[[#This Row],[AQ USD]])</f>
        <v xml:space="preserve"> </v>
      </c>
      <c r="X2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4" s="30" t="str">
        <f>IF(Inventory_List_Table341115109111317[[#This Row],[Q]]&lt;0.1, " ",Inventory_List_Table341115109111317[[#This Row],[PRICE]]/Z24*10000)</f>
        <v xml:space="preserve"> </v>
      </c>
      <c r="AB24" s="201"/>
      <c r="AC24" s="1"/>
      <c r="AD24" s="1"/>
    </row>
    <row r="25" spans="1:30" ht="24" customHeight="1" x14ac:dyDescent="0.3">
      <c r="A25" s="206">
        <v>23</v>
      </c>
      <c r="B25" s="1"/>
      <c r="C25" s="205"/>
      <c r="D25" s="205"/>
      <c r="E25" s="205"/>
      <c r="F2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5" s="202"/>
      <c r="H25" s="202"/>
      <c r="I25" s="202"/>
      <c r="J25" s="202"/>
      <c r="K25" s="202"/>
      <c r="L25" s="204"/>
      <c r="M25" s="30" t="str">
        <f>IF(Inventory_List_Table341115109111317[[#This Row],[Q]]&lt;0.1, " ", Inventory_List_Table341115109111317[[#This Row],[Q]]*Inventory_List_Table341115109111317[[#This Row],[PRICE]])</f>
        <v xml:space="preserve"> </v>
      </c>
      <c r="N25" s="35" t="str">
        <f>IF(Inventory_List_Table341115109111317[[#This Row],[Q]]&lt;0.1, " ", Inventory_List_Table341115109111317[[#This Row],[KG]]*2.20462)</f>
        <v xml:space="preserve"> </v>
      </c>
      <c r="O25" s="35" t="str">
        <f>IF(Inventory_List_Table341115109111317[[#This Row],[Q]]&lt;0.1, " ",Inventory_List_Table341115109111317[[#This Row],[H CM]]/2.54)</f>
        <v xml:space="preserve"> </v>
      </c>
      <c r="P25" s="35" t="str">
        <f>IF(Inventory_List_Table341115109111317[[#This Row],[Q]]&lt;0.1, " ",Inventory_List_Table341115109111317[[#This Row],[W CM]]/2.54)</f>
        <v xml:space="preserve"> </v>
      </c>
      <c r="Q25" s="35" t="str">
        <f>IF(Inventory_List_Table341115109111317[[#This Row],[Q]]&lt;0.1, " ",Inventory_List_Table341115109111317[[#This Row],[D CM ]]/2.54)</f>
        <v xml:space="preserve"> </v>
      </c>
      <c r="R25" s="30" t="str">
        <f>IF(Inventory_List_Table341115109111317[[#This Row],[Q]]&lt;0.1, " ",Inventory_List_Table341115109111317[[#This Row],[PRICE]]/$L$1)</f>
        <v xml:space="preserve"> </v>
      </c>
      <c r="S2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5" s="30" t="str">
        <f>IF(Inventory_List_Table341115109111317[[#This Row],[Q]]&lt;0.1, " ",Inventory_List_Table341115109111317[[#This Row],[AQ RND USD]]*1.4)</f>
        <v xml:space="preserve"> </v>
      </c>
      <c r="U2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5" s="30" t="str">
        <f>IF(Inventory_List_Table341115109111317[[#This Row],[Q]]&lt;0.1, " ",Inventory_List_Table341115109111317[[#This Row],[LND RND USD]]*12)</f>
        <v xml:space="preserve"> </v>
      </c>
      <c r="W25" s="30" t="str">
        <f>IF(Inventory_List_Table341115109111317[[#This Row],[Q]]&lt;0.1, " ",Inventory_List_Table341115109111317[[#This Row],[AQ USD]])</f>
        <v xml:space="preserve"> </v>
      </c>
      <c r="X2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5" s="30" t="str">
        <f>IF(Inventory_List_Table341115109111317[[#This Row],[Q]]&lt;0.1, " ",Inventory_List_Table341115109111317[[#This Row],[PRICE]]/Z25*10000)</f>
        <v xml:space="preserve"> </v>
      </c>
      <c r="AB25" s="201"/>
      <c r="AC25" s="1"/>
      <c r="AD25" s="1"/>
    </row>
    <row r="26" spans="1:30" ht="24" customHeight="1" x14ac:dyDescent="0.3">
      <c r="A26" s="206">
        <v>24</v>
      </c>
      <c r="B26" s="1"/>
      <c r="C26" s="205"/>
      <c r="D26" s="205"/>
      <c r="E26" s="205"/>
      <c r="F2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6" s="202"/>
      <c r="H26" s="202"/>
      <c r="I26" s="202"/>
      <c r="J26" s="202"/>
      <c r="K26" s="202"/>
      <c r="L26" s="204"/>
      <c r="M26" s="30" t="str">
        <f>IF(Inventory_List_Table341115109111317[[#This Row],[Q]]&lt;0.1, " ", Inventory_List_Table341115109111317[[#This Row],[Q]]*Inventory_List_Table341115109111317[[#This Row],[PRICE]])</f>
        <v xml:space="preserve"> </v>
      </c>
      <c r="N26" s="35" t="str">
        <f>IF(Inventory_List_Table341115109111317[[#This Row],[Q]]&lt;0.1, " ", Inventory_List_Table341115109111317[[#This Row],[KG]]*2.20462)</f>
        <v xml:space="preserve"> </v>
      </c>
      <c r="O26" s="35" t="str">
        <f>IF(Inventory_List_Table341115109111317[[#This Row],[Q]]&lt;0.1, " ",Inventory_List_Table341115109111317[[#This Row],[H CM]]/2.54)</f>
        <v xml:space="preserve"> </v>
      </c>
      <c r="P26" s="35" t="str">
        <f>IF(Inventory_List_Table341115109111317[[#This Row],[Q]]&lt;0.1, " ",Inventory_List_Table341115109111317[[#This Row],[W CM]]/2.54)</f>
        <v xml:space="preserve"> </v>
      </c>
      <c r="Q26" s="35" t="str">
        <f>IF(Inventory_List_Table341115109111317[[#This Row],[Q]]&lt;0.1, " ",Inventory_List_Table341115109111317[[#This Row],[D CM ]]/2.54)</f>
        <v xml:space="preserve"> </v>
      </c>
      <c r="R26" s="30" t="str">
        <f>IF(Inventory_List_Table341115109111317[[#This Row],[Q]]&lt;0.1, " ",Inventory_List_Table341115109111317[[#This Row],[PRICE]]/$L$1)</f>
        <v xml:space="preserve"> </v>
      </c>
      <c r="S2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6" s="30" t="str">
        <f>IF(Inventory_List_Table341115109111317[[#This Row],[Q]]&lt;0.1, " ",Inventory_List_Table341115109111317[[#This Row],[AQ RND USD]]*1.4)</f>
        <v xml:space="preserve"> </v>
      </c>
      <c r="U2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6" s="30" t="str">
        <f>IF(Inventory_List_Table341115109111317[[#This Row],[Q]]&lt;0.1, " ",Inventory_List_Table341115109111317[[#This Row],[LND RND USD]]*12)</f>
        <v xml:space="preserve"> </v>
      </c>
      <c r="W26" s="30" t="str">
        <f>IF(Inventory_List_Table341115109111317[[#This Row],[Q]]&lt;0.1, " ",Inventory_List_Table341115109111317[[#This Row],[AQ USD]])</f>
        <v xml:space="preserve"> </v>
      </c>
      <c r="X2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6" s="30" t="str">
        <f>IF(Inventory_List_Table341115109111317[[#This Row],[Q]]&lt;0.1, " ",Inventory_List_Table341115109111317[[#This Row],[PRICE]]/Z26*10000)</f>
        <v xml:space="preserve"> </v>
      </c>
      <c r="AB26" s="201"/>
      <c r="AC26" s="1"/>
      <c r="AD26" s="1"/>
    </row>
    <row r="27" spans="1:30" ht="24" customHeight="1" x14ac:dyDescent="0.3">
      <c r="A27" s="206">
        <v>25</v>
      </c>
      <c r="B27" s="1"/>
      <c r="C27" s="205"/>
      <c r="D27" s="205"/>
      <c r="E27" s="205"/>
      <c r="F2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7" s="202"/>
      <c r="H27" s="202"/>
      <c r="I27" s="202"/>
      <c r="J27" s="202"/>
      <c r="K27" s="202"/>
      <c r="L27" s="204"/>
      <c r="M27" s="30" t="str">
        <f>IF(Inventory_List_Table341115109111317[[#This Row],[Q]]&lt;0.1, " ", Inventory_List_Table341115109111317[[#This Row],[Q]]*Inventory_List_Table341115109111317[[#This Row],[PRICE]])</f>
        <v xml:space="preserve"> </v>
      </c>
      <c r="N27" s="35" t="str">
        <f>IF(Inventory_List_Table341115109111317[[#This Row],[Q]]&lt;0.1, " ", Inventory_List_Table341115109111317[[#This Row],[KG]]*2.20462)</f>
        <v xml:space="preserve"> </v>
      </c>
      <c r="O27" s="35" t="str">
        <f>IF(Inventory_List_Table341115109111317[[#This Row],[Q]]&lt;0.1, " ",Inventory_List_Table341115109111317[[#This Row],[H CM]]/2.54)</f>
        <v xml:space="preserve"> </v>
      </c>
      <c r="P27" s="35" t="str">
        <f>IF(Inventory_List_Table341115109111317[[#This Row],[Q]]&lt;0.1, " ",Inventory_List_Table341115109111317[[#This Row],[W CM]]/2.54)</f>
        <v xml:space="preserve"> </v>
      </c>
      <c r="Q27" s="35" t="str">
        <f>IF(Inventory_List_Table341115109111317[[#This Row],[Q]]&lt;0.1, " ",Inventory_List_Table341115109111317[[#This Row],[D CM ]]/2.54)</f>
        <v xml:space="preserve"> </v>
      </c>
      <c r="R27" s="30" t="str">
        <f>IF(Inventory_List_Table341115109111317[[#This Row],[Q]]&lt;0.1, " ",Inventory_List_Table341115109111317[[#This Row],[PRICE]]/$L$1)</f>
        <v xml:space="preserve"> </v>
      </c>
      <c r="S2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7" s="30" t="str">
        <f>IF(Inventory_List_Table341115109111317[[#This Row],[Q]]&lt;0.1, " ",Inventory_List_Table341115109111317[[#This Row],[AQ RND USD]]*1.4)</f>
        <v xml:space="preserve"> </v>
      </c>
      <c r="U2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7" s="30" t="str">
        <f>IF(Inventory_List_Table341115109111317[[#This Row],[Q]]&lt;0.1, " ",Inventory_List_Table341115109111317[[#This Row],[LND RND USD]]*12)</f>
        <v xml:space="preserve"> </v>
      </c>
      <c r="W27" s="30" t="str">
        <f>IF(Inventory_List_Table341115109111317[[#This Row],[Q]]&lt;0.1, " ",Inventory_List_Table341115109111317[[#This Row],[AQ USD]])</f>
        <v xml:space="preserve"> </v>
      </c>
      <c r="X2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7" s="30" t="str">
        <f>IF(Inventory_List_Table341115109111317[[#This Row],[Q]]&lt;0.1, " ",Inventory_List_Table341115109111317[[#This Row],[PRICE]]/Z27*10000)</f>
        <v xml:space="preserve"> </v>
      </c>
      <c r="AB27" s="201"/>
      <c r="AC27" s="1"/>
      <c r="AD27" s="1"/>
    </row>
    <row r="28" spans="1:30" ht="24" customHeight="1" x14ac:dyDescent="0.3">
      <c r="A28" s="206">
        <v>26</v>
      </c>
      <c r="B28" s="1"/>
      <c r="C28" s="205"/>
      <c r="D28" s="205"/>
      <c r="E28" s="205"/>
      <c r="F2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8" s="202"/>
      <c r="H28" s="202"/>
      <c r="I28" s="202"/>
      <c r="J28" s="202"/>
      <c r="K28" s="202"/>
      <c r="L28" s="204"/>
      <c r="M28" s="30" t="str">
        <f>IF(Inventory_List_Table341115109111317[[#This Row],[Q]]&lt;0.1, " ", Inventory_List_Table341115109111317[[#This Row],[Q]]*Inventory_List_Table341115109111317[[#This Row],[PRICE]])</f>
        <v xml:space="preserve"> </v>
      </c>
      <c r="N28" s="35" t="str">
        <f>IF(Inventory_List_Table341115109111317[[#This Row],[Q]]&lt;0.1, " ", Inventory_List_Table341115109111317[[#This Row],[KG]]*2.20462)</f>
        <v xml:space="preserve"> </v>
      </c>
      <c r="O28" s="35" t="str">
        <f>IF(Inventory_List_Table341115109111317[[#This Row],[Q]]&lt;0.1, " ",Inventory_List_Table341115109111317[[#This Row],[H CM]]/2.54)</f>
        <v xml:space="preserve"> </v>
      </c>
      <c r="P28" s="35" t="str">
        <f>IF(Inventory_List_Table341115109111317[[#This Row],[Q]]&lt;0.1, " ",Inventory_List_Table341115109111317[[#This Row],[W CM]]/2.54)</f>
        <v xml:space="preserve"> </v>
      </c>
      <c r="Q28" s="35" t="str">
        <f>IF(Inventory_List_Table341115109111317[[#This Row],[Q]]&lt;0.1, " ",Inventory_List_Table341115109111317[[#This Row],[D CM ]]/2.54)</f>
        <v xml:space="preserve"> </v>
      </c>
      <c r="R28" s="30" t="str">
        <f>IF(Inventory_List_Table341115109111317[[#This Row],[Q]]&lt;0.1, " ",Inventory_List_Table341115109111317[[#This Row],[PRICE]]/$L$1)</f>
        <v xml:space="preserve"> </v>
      </c>
      <c r="S2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8" s="30" t="str">
        <f>IF(Inventory_List_Table341115109111317[[#This Row],[Q]]&lt;0.1, " ",Inventory_List_Table341115109111317[[#This Row],[AQ RND USD]]*1.4)</f>
        <v xml:space="preserve"> </v>
      </c>
      <c r="U2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8" s="30" t="str">
        <f>IF(Inventory_List_Table341115109111317[[#This Row],[Q]]&lt;0.1, " ",Inventory_List_Table341115109111317[[#This Row],[LND RND USD]]*12)</f>
        <v xml:space="preserve"> </v>
      </c>
      <c r="W28" s="30" t="str">
        <f>IF(Inventory_List_Table341115109111317[[#This Row],[Q]]&lt;0.1, " ",Inventory_List_Table341115109111317[[#This Row],[AQ USD]])</f>
        <v xml:space="preserve"> </v>
      </c>
      <c r="X2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8" s="30" t="str">
        <f>IF(Inventory_List_Table341115109111317[[#This Row],[Q]]&lt;0.1, " ",Inventory_List_Table341115109111317[[#This Row],[PRICE]]/Z28*10000)</f>
        <v xml:space="preserve"> </v>
      </c>
      <c r="AB28" s="201"/>
      <c r="AC28" s="1"/>
      <c r="AD28" s="1"/>
    </row>
    <row r="29" spans="1:30" ht="24" customHeight="1" x14ac:dyDescent="0.3">
      <c r="A29" s="206">
        <v>27</v>
      </c>
      <c r="B29" s="1"/>
      <c r="C29" s="205"/>
      <c r="D29" s="205"/>
      <c r="E29" s="205"/>
      <c r="F2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29" s="202"/>
      <c r="H29" s="202"/>
      <c r="I29" s="202"/>
      <c r="J29" s="202"/>
      <c r="K29" s="202"/>
      <c r="L29" s="204"/>
      <c r="M29" s="30" t="str">
        <f>IF(Inventory_List_Table341115109111317[[#This Row],[Q]]&lt;0.1, " ", Inventory_List_Table341115109111317[[#This Row],[Q]]*Inventory_List_Table341115109111317[[#This Row],[PRICE]])</f>
        <v xml:space="preserve"> </v>
      </c>
      <c r="N29" s="35" t="str">
        <f>IF(Inventory_List_Table341115109111317[[#This Row],[Q]]&lt;0.1, " ", Inventory_List_Table341115109111317[[#This Row],[KG]]*2.20462)</f>
        <v xml:space="preserve"> </v>
      </c>
      <c r="O29" s="35" t="str">
        <f>IF(Inventory_List_Table341115109111317[[#This Row],[Q]]&lt;0.1, " ",Inventory_List_Table341115109111317[[#This Row],[H CM]]/2.54)</f>
        <v xml:space="preserve"> </v>
      </c>
      <c r="P29" s="35" t="str">
        <f>IF(Inventory_List_Table341115109111317[[#This Row],[Q]]&lt;0.1, " ",Inventory_List_Table341115109111317[[#This Row],[W CM]]/2.54)</f>
        <v xml:space="preserve"> </v>
      </c>
      <c r="Q29" s="35" t="str">
        <f>IF(Inventory_List_Table341115109111317[[#This Row],[Q]]&lt;0.1, " ",Inventory_List_Table341115109111317[[#This Row],[D CM ]]/2.54)</f>
        <v xml:space="preserve"> </v>
      </c>
      <c r="R29" s="30" t="str">
        <f>IF(Inventory_List_Table341115109111317[[#This Row],[Q]]&lt;0.1, " ",Inventory_List_Table341115109111317[[#This Row],[PRICE]]/$L$1)</f>
        <v xml:space="preserve"> </v>
      </c>
      <c r="S2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29" s="30" t="str">
        <f>IF(Inventory_List_Table341115109111317[[#This Row],[Q]]&lt;0.1, " ",Inventory_List_Table341115109111317[[#This Row],[AQ RND USD]]*1.4)</f>
        <v xml:space="preserve"> </v>
      </c>
      <c r="U2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29" s="30" t="str">
        <f>IF(Inventory_List_Table341115109111317[[#This Row],[Q]]&lt;0.1, " ",Inventory_List_Table341115109111317[[#This Row],[LND RND USD]]*12)</f>
        <v xml:space="preserve"> </v>
      </c>
      <c r="W29" s="30" t="str">
        <f>IF(Inventory_List_Table341115109111317[[#This Row],[Q]]&lt;0.1, " ",Inventory_List_Table341115109111317[[#This Row],[AQ USD]])</f>
        <v xml:space="preserve"> </v>
      </c>
      <c r="X2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2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2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29" s="30" t="str">
        <f>IF(Inventory_List_Table341115109111317[[#This Row],[Q]]&lt;0.1, " ",Inventory_List_Table341115109111317[[#This Row],[PRICE]]/Z29*10000)</f>
        <v xml:space="preserve"> </v>
      </c>
      <c r="AB29" s="201"/>
      <c r="AC29" s="1"/>
      <c r="AD29" s="1"/>
    </row>
    <row r="30" spans="1:30" ht="24" customHeight="1" x14ac:dyDescent="0.3">
      <c r="A30" s="206">
        <v>28</v>
      </c>
      <c r="B30" s="1"/>
      <c r="C30" s="205"/>
      <c r="D30" s="205"/>
      <c r="E30" s="205"/>
      <c r="F3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0" s="202"/>
      <c r="H30" s="202"/>
      <c r="I30" s="202"/>
      <c r="J30" s="202"/>
      <c r="K30" s="202"/>
      <c r="L30" s="204"/>
      <c r="M30" s="30" t="str">
        <f>IF(Inventory_List_Table341115109111317[[#This Row],[Q]]&lt;0.1, " ", Inventory_List_Table341115109111317[[#This Row],[Q]]*Inventory_List_Table341115109111317[[#This Row],[PRICE]])</f>
        <v xml:space="preserve"> </v>
      </c>
      <c r="N30" s="35" t="str">
        <f>IF(Inventory_List_Table341115109111317[[#This Row],[Q]]&lt;0.1, " ", Inventory_List_Table341115109111317[[#This Row],[KG]]*2.20462)</f>
        <v xml:space="preserve"> </v>
      </c>
      <c r="O30" s="35" t="str">
        <f>IF(Inventory_List_Table341115109111317[[#This Row],[Q]]&lt;0.1, " ",Inventory_List_Table341115109111317[[#This Row],[H CM]]/2.54)</f>
        <v xml:space="preserve"> </v>
      </c>
      <c r="P30" s="35" t="str">
        <f>IF(Inventory_List_Table341115109111317[[#This Row],[Q]]&lt;0.1, " ",Inventory_List_Table341115109111317[[#This Row],[W CM]]/2.54)</f>
        <v xml:space="preserve"> </v>
      </c>
      <c r="Q30" s="35" t="str">
        <f>IF(Inventory_List_Table341115109111317[[#This Row],[Q]]&lt;0.1, " ",Inventory_List_Table341115109111317[[#This Row],[D CM ]]/2.54)</f>
        <v xml:space="preserve"> </v>
      </c>
      <c r="R30" s="30" t="str">
        <f>IF(Inventory_List_Table341115109111317[[#This Row],[Q]]&lt;0.1, " ",Inventory_List_Table341115109111317[[#This Row],[PRICE]]/$L$1)</f>
        <v xml:space="preserve"> </v>
      </c>
      <c r="S3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0" s="30" t="str">
        <f>IF(Inventory_List_Table341115109111317[[#This Row],[Q]]&lt;0.1, " ",Inventory_List_Table341115109111317[[#This Row],[AQ RND USD]]*1.4)</f>
        <v xml:space="preserve"> </v>
      </c>
      <c r="U3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0" s="30" t="str">
        <f>IF(Inventory_List_Table341115109111317[[#This Row],[Q]]&lt;0.1, " ",Inventory_List_Table341115109111317[[#This Row],[LND RND USD]]*12)</f>
        <v xml:space="preserve"> </v>
      </c>
      <c r="W30" s="30" t="str">
        <f>IF(Inventory_List_Table341115109111317[[#This Row],[Q]]&lt;0.1, " ",Inventory_List_Table341115109111317[[#This Row],[AQ USD]])</f>
        <v xml:space="preserve"> </v>
      </c>
      <c r="X3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0" s="30" t="str">
        <f>IF(Inventory_List_Table341115109111317[[#This Row],[Q]]&lt;0.1, " ",Inventory_List_Table341115109111317[[#This Row],[PRICE]]/Z30*10000)</f>
        <v xml:space="preserve"> </v>
      </c>
      <c r="AB30" s="201"/>
      <c r="AC30" s="1"/>
      <c r="AD30" s="1"/>
    </row>
    <row r="31" spans="1:30" ht="24" customHeight="1" x14ac:dyDescent="0.3">
      <c r="A31" s="206">
        <v>29</v>
      </c>
      <c r="B31" s="1"/>
      <c r="C31" s="205"/>
      <c r="D31" s="205"/>
      <c r="E31" s="205"/>
      <c r="F3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1" s="202"/>
      <c r="H31" s="202"/>
      <c r="I31" s="202"/>
      <c r="J31" s="202"/>
      <c r="K31" s="202"/>
      <c r="L31" s="204"/>
      <c r="M31" s="30" t="str">
        <f>IF(Inventory_List_Table341115109111317[[#This Row],[Q]]&lt;0.1, " ", Inventory_List_Table341115109111317[[#This Row],[Q]]*Inventory_List_Table341115109111317[[#This Row],[PRICE]])</f>
        <v xml:space="preserve"> </v>
      </c>
      <c r="N31" s="35" t="str">
        <f>IF(Inventory_List_Table341115109111317[[#This Row],[Q]]&lt;0.1, " ", Inventory_List_Table341115109111317[[#This Row],[KG]]*2.20462)</f>
        <v xml:space="preserve"> </v>
      </c>
      <c r="O31" s="35" t="str">
        <f>IF(Inventory_List_Table341115109111317[[#This Row],[Q]]&lt;0.1, " ",Inventory_List_Table341115109111317[[#This Row],[H CM]]/2.54)</f>
        <v xml:space="preserve"> </v>
      </c>
      <c r="P31" s="35" t="str">
        <f>IF(Inventory_List_Table341115109111317[[#This Row],[Q]]&lt;0.1, " ",Inventory_List_Table341115109111317[[#This Row],[W CM]]/2.54)</f>
        <v xml:space="preserve"> </v>
      </c>
      <c r="Q31" s="35" t="str">
        <f>IF(Inventory_List_Table341115109111317[[#This Row],[Q]]&lt;0.1, " ",Inventory_List_Table341115109111317[[#This Row],[D CM ]]/2.54)</f>
        <v xml:space="preserve"> </v>
      </c>
      <c r="R31" s="30" t="str">
        <f>IF(Inventory_List_Table341115109111317[[#This Row],[Q]]&lt;0.1, " ",Inventory_List_Table341115109111317[[#This Row],[PRICE]]/$L$1)</f>
        <v xml:space="preserve"> </v>
      </c>
      <c r="S3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1" s="30" t="str">
        <f>IF(Inventory_List_Table341115109111317[[#This Row],[Q]]&lt;0.1, " ",Inventory_List_Table341115109111317[[#This Row],[AQ RND USD]]*1.4)</f>
        <v xml:space="preserve"> </v>
      </c>
      <c r="U3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1" s="30" t="str">
        <f>IF(Inventory_List_Table341115109111317[[#This Row],[Q]]&lt;0.1, " ",Inventory_List_Table341115109111317[[#This Row],[LND RND USD]]*12)</f>
        <v xml:space="preserve"> </v>
      </c>
      <c r="W31" s="30" t="str">
        <f>IF(Inventory_List_Table341115109111317[[#This Row],[Q]]&lt;0.1, " ",Inventory_List_Table341115109111317[[#This Row],[AQ USD]])</f>
        <v xml:space="preserve"> </v>
      </c>
      <c r="X3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1" s="30" t="str">
        <f>IF(Inventory_List_Table341115109111317[[#This Row],[Q]]&lt;0.1, " ",Inventory_List_Table341115109111317[[#This Row],[PRICE]]/Z31*10000)</f>
        <v xml:space="preserve"> </v>
      </c>
      <c r="AB31" s="201"/>
      <c r="AC31" s="1"/>
      <c r="AD31" s="1"/>
    </row>
    <row r="32" spans="1:30" ht="24" customHeight="1" x14ac:dyDescent="0.3">
      <c r="A32" s="206">
        <v>30</v>
      </c>
      <c r="B32" s="1"/>
      <c r="C32" s="205"/>
      <c r="D32" s="205"/>
      <c r="E32" s="205"/>
      <c r="F3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2" s="202"/>
      <c r="H32" s="202"/>
      <c r="I32" s="202"/>
      <c r="J32" s="202"/>
      <c r="K32" s="202"/>
      <c r="L32" s="204"/>
      <c r="M32" s="30" t="str">
        <f>IF(Inventory_List_Table341115109111317[[#This Row],[Q]]&lt;0.1, " ", Inventory_List_Table341115109111317[[#This Row],[Q]]*Inventory_List_Table341115109111317[[#This Row],[PRICE]])</f>
        <v xml:space="preserve"> </v>
      </c>
      <c r="N32" s="35" t="str">
        <f>IF(Inventory_List_Table341115109111317[[#This Row],[Q]]&lt;0.1, " ", Inventory_List_Table341115109111317[[#This Row],[KG]]*2.20462)</f>
        <v xml:space="preserve"> </v>
      </c>
      <c r="O32" s="35" t="str">
        <f>IF(Inventory_List_Table341115109111317[[#This Row],[Q]]&lt;0.1, " ",Inventory_List_Table341115109111317[[#This Row],[H CM]]/2.54)</f>
        <v xml:space="preserve"> </v>
      </c>
      <c r="P32" s="35" t="str">
        <f>IF(Inventory_List_Table341115109111317[[#This Row],[Q]]&lt;0.1, " ",Inventory_List_Table341115109111317[[#This Row],[W CM]]/2.54)</f>
        <v xml:space="preserve"> </v>
      </c>
      <c r="Q32" s="35" t="str">
        <f>IF(Inventory_List_Table341115109111317[[#This Row],[Q]]&lt;0.1, " ",Inventory_List_Table341115109111317[[#This Row],[D CM ]]/2.54)</f>
        <v xml:space="preserve"> </v>
      </c>
      <c r="R32" s="30" t="str">
        <f>IF(Inventory_List_Table341115109111317[[#This Row],[Q]]&lt;0.1, " ",Inventory_List_Table341115109111317[[#This Row],[PRICE]]/$L$1)</f>
        <v xml:space="preserve"> </v>
      </c>
      <c r="S3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2" s="30" t="str">
        <f>IF(Inventory_List_Table341115109111317[[#This Row],[Q]]&lt;0.1, " ",Inventory_List_Table341115109111317[[#This Row],[AQ RND USD]]*1.4)</f>
        <v xml:space="preserve"> </v>
      </c>
      <c r="U3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2" s="30" t="str">
        <f>IF(Inventory_List_Table341115109111317[[#This Row],[Q]]&lt;0.1, " ",Inventory_List_Table341115109111317[[#This Row],[LND RND USD]]*12)</f>
        <v xml:space="preserve"> </v>
      </c>
      <c r="W32" s="30" t="str">
        <f>IF(Inventory_List_Table341115109111317[[#This Row],[Q]]&lt;0.1, " ",Inventory_List_Table341115109111317[[#This Row],[AQ USD]])</f>
        <v xml:space="preserve"> </v>
      </c>
      <c r="X3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2" s="30" t="str">
        <f>IF(Inventory_List_Table341115109111317[[#This Row],[Q]]&lt;0.1, " ",Inventory_List_Table341115109111317[[#This Row],[PRICE]]/Z32*10000)</f>
        <v xml:space="preserve"> </v>
      </c>
      <c r="AB32" s="201"/>
      <c r="AC32" s="1"/>
      <c r="AD32" s="1"/>
    </row>
    <row r="33" spans="1:30" ht="24" customHeight="1" x14ac:dyDescent="0.3">
      <c r="A33" s="206">
        <v>31</v>
      </c>
      <c r="B33" s="1"/>
      <c r="C33" s="205"/>
      <c r="D33" s="205"/>
      <c r="E33" s="205"/>
      <c r="F3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3" s="202"/>
      <c r="H33" s="202"/>
      <c r="I33" s="202"/>
      <c r="J33" s="202"/>
      <c r="K33" s="202"/>
      <c r="L33" s="204"/>
      <c r="M33" s="30" t="str">
        <f>IF(Inventory_List_Table341115109111317[[#This Row],[Q]]&lt;0.1, " ", Inventory_List_Table341115109111317[[#This Row],[Q]]*Inventory_List_Table341115109111317[[#This Row],[PRICE]])</f>
        <v xml:space="preserve"> </v>
      </c>
      <c r="N33" s="35" t="str">
        <f>IF(Inventory_List_Table341115109111317[[#This Row],[Q]]&lt;0.1, " ", Inventory_List_Table341115109111317[[#This Row],[KG]]*2.20462)</f>
        <v xml:space="preserve"> </v>
      </c>
      <c r="O33" s="35" t="str">
        <f>IF(Inventory_List_Table341115109111317[[#This Row],[Q]]&lt;0.1, " ",Inventory_List_Table341115109111317[[#This Row],[H CM]]/2.54)</f>
        <v xml:space="preserve"> </v>
      </c>
      <c r="P33" s="35" t="str">
        <f>IF(Inventory_List_Table341115109111317[[#This Row],[Q]]&lt;0.1, " ",Inventory_List_Table341115109111317[[#This Row],[W CM]]/2.54)</f>
        <v xml:space="preserve"> </v>
      </c>
      <c r="Q33" s="35" t="str">
        <f>IF(Inventory_List_Table341115109111317[[#This Row],[Q]]&lt;0.1, " ",Inventory_List_Table341115109111317[[#This Row],[D CM ]]/2.54)</f>
        <v xml:space="preserve"> </v>
      </c>
      <c r="R33" s="30" t="str">
        <f>IF(Inventory_List_Table341115109111317[[#This Row],[Q]]&lt;0.1, " ",Inventory_List_Table341115109111317[[#This Row],[PRICE]]/$L$1)</f>
        <v xml:space="preserve"> </v>
      </c>
      <c r="S3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3" s="30" t="str">
        <f>IF(Inventory_List_Table341115109111317[[#This Row],[Q]]&lt;0.1, " ",Inventory_List_Table341115109111317[[#This Row],[AQ RND USD]]*1.4)</f>
        <v xml:space="preserve"> </v>
      </c>
      <c r="U3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3" s="30" t="str">
        <f>IF(Inventory_List_Table341115109111317[[#This Row],[Q]]&lt;0.1, " ",Inventory_List_Table341115109111317[[#This Row],[LND RND USD]]*12)</f>
        <v xml:space="preserve"> </v>
      </c>
      <c r="W33" s="30" t="str">
        <f>IF(Inventory_List_Table341115109111317[[#This Row],[Q]]&lt;0.1, " ",Inventory_List_Table341115109111317[[#This Row],[AQ USD]])</f>
        <v xml:space="preserve"> </v>
      </c>
      <c r="X3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3" s="30" t="str">
        <f>IF(Inventory_List_Table341115109111317[[#This Row],[Q]]&lt;0.1, " ",Inventory_List_Table341115109111317[[#This Row],[PRICE]]/Z33*10000)</f>
        <v xml:space="preserve"> </v>
      </c>
      <c r="AB33" s="201"/>
      <c r="AC33" s="1"/>
      <c r="AD33" s="1"/>
    </row>
    <row r="34" spans="1:30" ht="24" customHeight="1" x14ac:dyDescent="0.3">
      <c r="A34" s="206">
        <v>32</v>
      </c>
      <c r="B34" s="1"/>
      <c r="C34" s="205"/>
      <c r="D34" s="205"/>
      <c r="E34" s="205"/>
      <c r="F3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4" s="202"/>
      <c r="H34" s="202"/>
      <c r="I34" s="202"/>
      <c r="J34" s="202"/>
      <c r="K34" s="202"/>
      <c r="L34" s="204"/>
      <c r="M34" s="30" t="str">
        <f>IF(Inventory_List_Table341115109111317[[#This Row],[Q]]&lt;0.1, " ", Inventory_List_Table341115109111317[[#This Row],[Q]]*Inventory_List_Table341115109111317[[#This Row],[PRICE]])</f>
        <v xml:space="preserve"> </v>
      </c>
      <c r="N34" s="35" t="str">
        <f>IF(Inventory_List_Table341115109111317[[#This Row],[Q]]&lt;0.1, " ", Inventory_List_Table341115109111317[[#This Row],[KG]]*2.20462)</f>
        <v xml:space="preserve"> </v>
      </c>
      <c r="O34" s="35" t="str">
        <f>IF(Inventory_List_Table341115109111317[[#This Row],[Q]]&lt;0.1, " ",Inventory_List_Table341115109111317[[#This Row],[H CM]]/2.54)</f>
        <v xml:space="preserve"> </v>
      </c>
      <c r="P34" s="35" t="str">
        <f>IF(Inventory_List_Table341115109111317[[#This Row],[Q]]&lt;0.1, " ",Inventory_List_Table341115109111317[[#This Row],[W CM]]/2.54)</f>
        <v xml:space="preserve"> </v>
      </c>
      <c r="Q34" s="35" t="str">
        <f>IF(Inventory_List_Table341115109111317[[#This Row],[Q]]&lt;0.1, " ",Inventory_List_Table341115109111317[[#This Row],[D CM ]]/2.54)</f>
        <v xml:space="preserve"> </v>
      </c>
      <c r="R34" s="30" t="str">
        <f>IF(Inventory_List_Table341115109111317[[#This Row],[Q]]&lt;0.1, " ",Inventory_List_Table341115109111317[[#This Row],[PRICE]]/$L$1)</f>
        <v xml:space="preserve"> </v>
      </c>
      <c r="S3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4" s="30" t="str">
        <f>IF(Inventory_List_Table341115109111317[[#This Row],[Q]]&lt;0.1, " ",Inventory_List_Table341115109111317[[#This Row],[AQ RND USD]]*1.4)</f>
        <v xml:space="preserve"> </v>
      </c>
      <c r="U3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4" s="30" t="str">
        <f>IF(Inventory_List_Table341115109111317[[#This Row],[Q]]&lt;0.1, " ",Inventory_List_Table341115109111317[[#This Row],[LND RND USD]]*12)</f>
        <v xml:space="preserve"> </v>
      </c>
      <c r="W34" s="30" t="str">
        <f>IF(Inventory_List_Table341115109111317[[#This Row],[Q]]&lt;0.1, " ",Inventory_List_Table341115109111317[[#This Row],[AQ USD]])</f>
        <v xml:space="preserve"> </v>
      </c>
      <c r="X3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4" s="30" t="str">
        <f>IF(Inventory_List_Table341115109111317[[#This Row],[Q]]&lt;0.1, " ",Inventory_List_Table341115109111317[[#This Row],[PRICE]]/Z34*10000)</f>
        <v xml:space="preserve"> </v>
      </c>
      <c r="AB34" s="201"/>
      <c r="AC34" s="1"/>
      <c r="AD34" s="1"/>
    </row>
    <row r="35" spans="1:30" ht="24" customHeight="1" x14ac:dyDescent="0.3">
      <c r="A35" s="206">
        <v>33</v>
      </c>
      <c r="B35" s="1"/>
      <c r="C35" s="205"/>
      <c r="D35" s="205"/>
      <c r="E35" s="205"/>
      <c r="F3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5" s="202"/>
      <c r="H35" s="202"/>
      <c r="I35" s="202"/>
      <c r="J35" s="202"/>
      <c r="K35" s="202"/>
      <c r="L35" s="204"/>
      <c r="M35" s="30" t="str">
        <f>IF(Inventory_List_Table341115109111317[[#This Row],[Q]]&lt;0.1, " ", Inventory_List_Table341115109111317[[#This Row],[Q]]*Inventory_List_Table341115109111317[[#This Row],[PRICE]])</f>
        <v xml:space="preserve"> </v>
      </c>
      <c r="N35" s="35" t="str">
        <f>IF(Inventory_List_Table341115109111317[[#This Row],[Q]]&lt;0.1, " ", Inventory_List_Table341115109111317[[#This Row],[KG]]*2.20462)</f>
        <v xml:space="preserve"> </v>
      </c>
      <c r="O35" s="35" t="str">
        <f>IF(Inventory_List_Table341115109111317[[#This Row],[Q]]&lt;0.1, " ",Inventory_List_Table341115109111317[[#This Row],[H CM]]/2.54)</f>
        <v xml:space="preserve"> </v>
      </c>
      <c r="P35" s="35" t="str">
        <f>IF(Inventory_List_Table341115109111317[[#This Row],[Q]]&lt;0.1, " ",Inventory_List_Table341115109111317[[#This Row],[W CM]]/2.54)</f>
        <v xml:space="preserve"> </v>
      </c>
      <c r="Q35" s="35" t="str">
        <f>IF(Inventory_List_Table341115109111317[[#This Row],[Q]]&lt;0.1, " ",Inventory_List_Table341115109111317[[#This Row],[D CM ]]/2.54)</f>
        <v xml:space="preserve"> </v>
      </c>
      <c r="R35" s="30" t="str">
        <f>IF(Inventory_List_Table341115109111317[[#This Row],[Q]]&lt;0.1, " ",Inventory_List_Table341115109111317[[#This Row],[PRICE]]/$L$1)</f>
        <v xml:space="preserve"> </v>
      </c>
      <c r="S3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5" s="30" t="str">
        <f>IF(Inventory_List_Table341115109111317[[#This Row],[Q]]&lt;0.1, " ",Inventory_List_Table341115109111317[[#This Row],[AQ RND USD]]*1.4)</f>
        <v xml:space="preserve"> </v>
      </c>
      <c r="U3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5" s="30" t="str">
        <f>IF(Inventory_List_Table341115109111317[[#This Row],[Q]]&lt;0.1, " ",Inventory_List_Table341115109111317[[#This Row],[LND RND USD]]*12)</f>
        <v xml:space="preserve"> </v>
      </c>
      <c r="W35" s="30" t="str">
        <f>IF(Inventory_List_Table341115109111317[[#This Row],[Q]]&lt;0.1, " ",Inventory_List_Table341115109111317[[#This Row],[AQ USD]])</f>
        <v xml:space="preserve"> </v>
      </c>
      <c r="X3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5" s="30" t="str">
        <f>IF(Inventory_List_Table341115109111317[[#This Row],[Q]]&lt;0.1, " ",Inventory_List_Table341115109111317[[#This Row],[PRICE]]/Z35*10000)</f>
        <v xml:space="preserve"> </v>
      </c>
      <c r="AB35" s="201"/>
      <c r="AC35" s="1"/>
      <c r="AD35" s="1"/>
    </row>
    <row r="36" spans="1:30" ht="24" customHeight="1" x14ac:dyDescent="0.3">
      <c r="A36" s="206">
        <v>34</v>
      </c>
      <c r="B36" s="1"/>
      <c r="C36" s="205"/>
      <c r="D36" s="205"/>
      <c r="E36" s="205"/>
      <c r="F3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6" s="202"/>
      <c r="H36" s="202"/>
      <c r="I36" s="202"/>
      <c r="J36" s="202"/>
      <c r="K36" s="202"/>
      <c r="L36" s="204"/>
      <c r="M36" s="30" t="str">
        <f>IF(Inventory_List_Table341115109111317[[#This Row],[Q]]&lt;0.1, " ", Inventory_List_Table341115109111317[[#This Row],[Q]]*Inventory_List_Table341115109111317[[#This Row],[PRICE]])</f>
        <v xml:space="preserve"> </v>
      </c>
      <c r="N36" s="35" t="str">
        <f>IF(Inventory_List_Table341115109111317[[#This Row],[Q]]&lt;0.1, " ", Inventory_List_Table341115109111317[[#This Row],[KG]]*2.20462)</f>
        <v xml:space="preserve"> </v>
      </c>
      <c r="O36" s="35" t="str">
        <f>IF(Inventory_List_Table341115109111317[[#This Row],[Q]]&lt;0.1, " ",Inventory_List_Table341115109111317[[#This Row],[H CM]]/2.54)</f>
        <v xml:space="preserve"> </v>
      </c>
      <c r="P36" s="35" t="str">
        <f>IF(Inventory_List_Table341115109111317[[#This Row],[Q]]&lt;0.1, " ",Inventory_List_Table341115109111317[[#This Row],[W CM]]/2.54)</f>
        <v xml:space="preserve"> </v>
      </c>
      <c r="Q36" s="35" t="str">
        <f>IF(Inventory_List_Table341115109111317[[#This Row],[Q]]&lt;0.1, " ",Inventory_List_Table341115109111317[[#This Row],[D CM ]]/2.54)</f>
        <v xml:space="preserve"> </v>
      </c>
      <c r="R36" s="30" t="str">
        <f>IF(Inventory_List_Table341115109111317[[#This Row],[Q]]&lt;0.1, " ",Inventory_List_Table341115109111317[[#This Row],[PRICE]]/$L$1)</f>
        <v xml:space="preserve"> </v>
      </c>
      <c r="S3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6" s="30" t="str">
        <f>IF(Inventory_List_Table341115109111317[[#This Row],[Q]]&lt;0.1, " ",Inventory_List_Table341115109111317[[#This Row],[AQ RND USD]]*1.4)</f>
        <v xml:space="preserve"> </v>
      </c>
      <c r="U3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6" s="30" t="str">
        <f>IF(Inventory_List_Table341115109111317[[#This Row],[Q]]&lt;0.1, " ",Inventory_List_Table341115109111317[[#This Row],[LND RND USD]]*12)</f>
        <v xml:space="preserve"> </v>
      </c>
      <c r="W36" s="30" t="str">
        <f>IF(Inventory_List_Table341115109111317[[#This Row],[Q]]&lt;0.1, " ",Inventory_List_Table341115109111317[[#This Row],[AQ USD]])</f>
        <v xml:space="preserve"> </v>
      </c>
      <c r="X3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6" s="30" t="str">
        <f>IF(Inventory_List_Table341115109111317[[#This Row],[Q]]&lt;0.1, " ",Inventory_List_Table341115109111317[[#This Row],[PRICE]]/Z36*10000)</f>
        <v xml:space="preserve"> </v>
      </c>
      <c r="AB36" s="201"/>
      <c r="AC36" s="1"/>
      <c r="AD36" s="1"/>
    </row>
    <row r="37" spans="1:30" ht="24" customHeight="1" x14ac:dyDescent="0.3">
      <c r="A37" s="206">
        <v>35</v>
      </c>
      <c r="B37" s="1"/>
      <c r="C37" s="205"/>
      <c r="D37" s="205"/>
      <c r="E37" s="205"/>
      <c r="F3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7" s="202"/>
      <c r="H37" s="202"/>
      <c r="I37" s="202"/>
      <c r="J37" s="202"/>
      <c r="K37" s="202"/>
      <c r="L37" s="204"/>
      <c r="M37" s="30" t="str">
        <f>IF(Inventory_List_Table341115109111317[[#This Row],[Q]]&lt;0.1, " ", Inventory_List_Table341115109111317[[#This Row],[Q]]*Inventory_List_Table341115109111317[[#This Row],[PRICE]])</f>
        <v xml:space="preserve"> </v>
      </c>
      <c r="N37" s="35" t="str">
        <f>IF(Inventory_List_Table341115109111317[[#This Row],[Q]]&lt;0.1, " ", Inventory_List_Table341115109111317[[#This Row],[KG]]*2.20462)</f>
        <v xml:space="preserve"> </v>
      </c>
      <c r="O37" s="35" t="str">
        <f>IF(Inventory_List_Table341115109111317[[#This Row],[Q]]&lt;0.1, " ",Inventory_List_Table341115109111317[[#This Row],[H CM]]/2.54)</f>
        <v xml:space="preserve"> </v>
      </c>
      <c r="P37" s="35" t="str">
        <f>IF(Inventory_List_Table341115109111317[[#This Row],[Q]]&lt;0.1, " ",Inventory_List_Table341115109111317[[#This Row],[W CM]]/2.54)</f>
        <v xml:space="preserve"> </v>
      </c>
      <c r="Q37" s="35" t="str">
        <f>IF(Inventory_List_Table341115109111317[[#This Row],[Q]]&lt;0.1, " ",Inventory_List_Table341115109111317[[#This Row],[D CM ]]/2.54)</f>
        <v xml:space="preserve"> </v>
      </c>
      <c r="R37" s="30" t="str">
        <f>IF(Inventory_List_Table341115109111317[[#This Row],[Q]]&lt;0.1, " ",Inventory_List_Table341115109111317[[#This Row],[PRICE]]/$L$1)</f>
        <v xml:space="preserve"> </v>
      </c>
      <c r="S3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7" s="30" t="str">
        <f>IF(Inventory_List_Table341115109111317[[#This Row],[Q]]&lt;0.1, " ",Inventory_List_Table341115109111317[[#This Row],[AQ RND USD]]*1.4)</f>
        <v xml:space="preserve"> </v>
      </c>
      <c r="U3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7" s="30" t="str">
        <f>IF(Inventory_List_Table341115109111317[[#This Row],[Q]]&lt;0.1, " ",Inventory_List_Table341115109111317[[#This Row],[LND RND USD]]*12)</f>
        <v xml:space="preserve"> </v>
      </c>
      <c r="W37" s="30" t="str">
        <f>IF(Inventory_List_Table341115109111317[[#This Row],[Q]]&lt;0.1, " ",Inventory_List_Table341115109111317[[#This Row],[AQ USD]])</f>
        <v xml:space="preserve"> </v>
      </c>
      <c r="X3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7" s="30" t="str">
        <f>IF(Inventory_List_Table341115109111317[[#This Row],[Q]]&lt;0.1, " ",Inventory_List_Table341115109111317[[#This Row],[PRICE]]/Z37*10000)</f>
        <v xml:space="preserve"> </v>
      </c>
      <c r="AB37" s="201"/>
      <c r="AC37" s="1"/>
      <c r="AD37" s="1"/>
    </row>
    <row r="38" spans="1:30" ht="24" customHeight="1" x14ac:dyDescent="0.3">
      <c r="A38" s="206">
        <v>36</v>
      </c>
      <c r="B38" s="1"/>
      <c r="C38" s="205"/>
      <c r="D38" s="205"/>
      <c r="E38" s="205"/>
      <c r="F3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8" s="202"/>
      <c r="H38" s="202"/>
      <c r="I38" s="202"/>
      <c r="J38" s="202"/>
      <c r="K38" s="202"/>
      <c r="L38" s="204"/>
      <c r="M38" s="30" t="str">
        <f>IF(Inventory_List_Table341115109111317[[#This Row],[Q]]&lt;0.1, " ", Inventory_List_Table341115109111317[[#This Row],[Q]]*Inventory_List_Table341115109111317[[#This Row],[PRICE]])</f>
        <v xml:space="preserve"> </v>
      </c>
      <c r="N38" s="35" t="str">
        <f>IF(Inventory_List_Table341115109111317[[#This Row],[Q]]&lt;0.1, " ", Inventory_List_Table341115109111317[[#This Row],[KG]]*2.20462)</f>
        <v xml:space="preserve"> </v>
      </c>
      <c r="O38" s="35" t="str">
        <f>IF(Inventory_List_Table341115109111317[[#This Row],[Q]]&lt;0.1, " ",Inventory_List_Table341115109111317[[#This Row],[H CM]]/2.54)</f>
        <v xml:space="preserve"> </v>
      </c>
      <c r="P38" s="35" t="str">
        <f>IF(Inventory_List_Table341115109111317[[#This Row],[Q]]&lt;0.1, " ",Inventory_List_Table341115109111317[[#This Row],[W CM]]/2.54)</f>
        <v xml:space="preserve"> </v>
      </c>
      <c r="Q38" s="35" t="str">
        <f>IF(Inventory_List_Table341115109111317[[#This Row],[Q]]&lt;0.1, " ",Inventory_List_Table341115109111317[[#This Row],[D CM ]]/2.54)</f>
        <v xml:space="preserve"> </v>
      </c>
      <c r="R38" s="30" t="str">
        <f>IF(Inventory_List_Table341115109111317[[#This Row],[Q]]&lt;0.1, " ",Inventory_List_Table341115109111317[[#This Row],[PRICE]]/$L$1)</f>
        <v xml:space="preserve"> </v>
      </c>
      <c r="S3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8" s="30" t="str">
        <f>IF(Inventory_List_Table341115109111317[[#This Row],[Q]]&lt;0.1, " ",Inventory_List_Table341115109111317[[#This Row],[AQ RND USD]]*1.4)</f>
        <v xml:space="preserve"> </v>
      </c>
      <c r="U3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8" s="30" t="str">
        <f>IF(Inventory_List_Table341115109111317[[#This Row],[Q]]&lt;0.1, " ",Inventory_List_Table341115109111317[[#This Row],[LND RND USD]]*12)</f>
        <v xml:space="preserve"> </v>
      </c>
      <c r="W38" s="30" t="str">
        <f>IF(Inventory_List_Table341115109111317[[#This Row],[Q]]&lt;0.1, " ",Inventory_List_Table341115109111317[[#This Row],[AQ USD]])</f>
        <v xml:space="preserve"> </v>
      </c>
      <c r="X3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8" s="30" t="str">
        <f>IF(Inventory_List_Table341115109111317[[#This Row],[Q]]&lt;0.1, " ",Inventory_List_Table341115109111317[[#This Row],[PRICE]]/Z38*10000)</f>
        <v xml:space="preserve"> </v>
      </c>
      <c r="AB38" s="201"/>
      <c r="AC38" s="1"/>
      <c r="AD38" s="1"/>
    </row>
    <row r="39" spans="1:30" ht="24" customHeight="1" x14ac:dyDescent="0.3">
      <c r="A39" s="206">
        <v>37</v>
      </c>
      <c r="B39" s="1"/>
      <c r="C39" s="205"/>
      <c r="D39" s="205"/>
      <c r="E39" s="205"/>
      <c r="F3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39" s="202"/>
      <c r="H39" s="202"/>
      <c r="I39" s="202"/>
      <c r="J39" s="202"/>
      <c r="K39" s="202"/>
      <c r="L39" s="204"/>
      <c r="M39" s="30" t="str">
        <f>IF(Inventory_List_Table341115109111317[[#This Row],[Q]]&lt;0.1, " ", Inventory_List_Table341115109111317[[#This Row],[Q]]*Inventory_List_Table341115109111317[[#This Row],[PRICE]])</f>
        <v xml:space="preserve"> </v>
      </c>
      <c r="N39" s="35" t="str">
        <f>IF(Inventory_List_Table341115109111317[[#This Row],[Q]]&lt;0.1, " ", Inventory_List_Table341115109111317[[#This Row],[KG]]*2.20462)</f>
        <v xml:space="preserve"> </v>
      </c>
      <c r="O39" s="35" t="str">
        <f>IF(Inventory_List_Table341115109111317[[#This Row],[Q]]&lt;0.1, " ",Inventory_List_Table341115109111317[[#This Row],[H CM]]/2.54)</f>
        <v xml:space="preserve"> </v>
      </c>
      <c r="P39" s="35" t="str">
        <f>IF(Inventory_List_Table341115109111317[[#This Row],[Q]]&lt;0.1, " ",Inventory_List_Table341115109111317[[#This Row],[W CM]]/2.54)</f>
        <v xml:space="preserve"> </v>
      </c>
      <c r="Q39" s="35" t="str">
        <f>IF(Inventory_List_Table341115109111317[[#This Row],[Q]]&lt;0.1, " ",Inventory_List_Table341115109111317[[#This Row],[D CM ]]/2.54)</f>
        <v xml:space="preserve"> </v>
      </c>
      <c r="R39" s="30" t="str">
        <f>IF(Inventory_List_Table341115109111317[[#This Row],[Q]]&lt;0.1, " ",Inventory_List_Table341115109111317[[#This Row],[PRICE]]/$L$1)</f>
        <v xml:space="preserve"> </v>
      </c>
      <c r="S3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39" s="30" t="str">
        <f>IF(Inventory_List_Table341115109111317[[#This Row],[Q]]&lt;0.1, " ",Inventory_List_Table341115109111317[[#This Row],[AQ RND USD]]*1.4)</f>
        <v xml:space="preserve"> </v>
      </c>
      <c r="U3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39" s="30" t="str">
        <f>IF(Inventory_List_Table341115109111317[[#This Row],[Q]]&lt;0.1, " ",Inventory_List_Table341115109111317[[#This Row],[LND RND USD]]*12)</f>
        <v xml:space="preserve"> </v>
      </c>
      <c r="W39" s="30" t="str">
        <f>IF(Inventory_List_Table341115109111317[[#This Row],[Q]]&lt;0.1, " ",Inventory_List_Table341115109111317[[#This Row],[AQ USD]])</f>
        <v xml:space="preserve"> </v>
      </c>
      <c r="X3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3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3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39" s="30" t="str">
        <f>IF(Inventory_List_Table341115109111317[[#This Row],[Q]]&lt;0.1, " ",Inventory_List_Table341115109111317[[#This Row],[PRICE]]/Z39*10000)</f>
        <v xml:space="preserve"> </v>
      </c>
      <c r="AB39" s="201"/>
      <c r="AC39" s="1"/>
      <c r="AD39" s="1"/>
    </row>
    <row r="40" spans="1:30" ht="24" customHeight="1" x14ac:dyDescent="0.3">
      <c r="A40" s="206">
        <v>38</v>
      </c>
      <c r="B40" s="1"/>
      <c r="C40" s="205"/>
      <c r="D40" s="205"/>
      <c r="E40" s="205"/>
      <c r="F4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0" s="202"/>
      <c r="H40" s="202"/>
      <c r="I40" s="202"/>
      <c r="J40" s="202"/>
      <c r="K40" s="202"/>
      <c r="L40" s="204"/>
      <c r="M40" s="30" t="str">
        <f>IF(Inventory_List_Table341115109111317[[#This Row],[Q]]&lt;0.1, " ", Inventory_List_Table341115109111317[[#This Row],[Q]]*Inventory_List_Table341115109111317[[#This Row],[PRICE]])</f>
        <v xml:space="preserve"> </v>
      </c>
      <c r="N40" s="35" t="str">
        <f>IF(Inventory_List_Table341115109111317[[#This Row],[Q]]&lt;0.1, " ", Inventory_List_Table341115109111317[[#This Row],[KG]]*2.20462)</f>
        <v xml:space="preserve"> </v>
      </c>
      <c r="O40" s="35" t="str">
        <f>IF(Inventory_List_Table341115109111317[[#This Row],[Q]]&lt;0.1, " ",Inventory_List_Table341115109111317[[#This Row],[H CM]]/2.54)</f>
        <v xml:space="preserve"> </v>
      </c>
      <c r="P40" s="35" t="str">
        <f>IF(Inventory_List_Table341115109111317[[#This Row],[Q]]&lt;0.1, " ",Inventory_List_Table341115109111317[[#This Row],[W CM]]/2.54)</f>
        <v xml:space="preserve"> </v>
      </c>
      <c r="Q40" s="35" t="str">
        <f>IF(Inventory_List_Table341115109111317[[#This Row],[Q]]&lt;0.1, " ",Inventory_List_Table341115109111317[[#This Row],[D CM ]]/2.54)</f>
        <v xml:space="preserve"> </v>
      </c>
      <c r="R40" s="30" t="str">
        <f>IF(Inventory_List_Table341115109111317[[#This Row],[Q]]&lt;0.1, " ",Inventory_List_Table341115109111317[[#This Row],[PRICE]]/$L$1)</f>
        <v xml:space="preserve"> </v>
      </c>
      <c r="S4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0" s="30" t="str">
        <f>IF(Inventory_List_Table341115109111317[[#This Row],[Q]]&lt;0.1, " ",Inventory_List_Table341115109111317[[#This Row],[AQ RND USD]]*1.4)</f>
        <v xml:space="preserve"> </v>
      </c>
      <c r="U4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0" s="30" t="str">
        <f>IF(Inventory_List_Table341115109111317[[#This Row],[Q]]&lt;0.1, " ",Inventory_List_Table341115109111317[[#This Row],[LND RND USD]]*12)</f>
        <v xml:space="preserve"> </v>
      </c>
      <c r="W40" s="30" t="str">
        <f>IF(Inventory_List_Table341115109111317[[#This Row],[Q]]&lt;0.1, " ",Inventory_List_Table341115109111317[[#This Row],[AQ USD]])</f>
        <v xml:space="preserve"> </v>
      </c>
      <c r="X4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0" s="30" t="str">
        <f>IF(Inventory_List_Table341115109111317[[#This Row],[Q]]&lt;0.1, " ",Inventory_List_Table341115109111317[[#This Row],[PRICE]]/Z40*10000)</f>
        <v xml:space="preserve"> </v>
      </c>
      <c r="AB40" s="201"/>
      <c r="AC40" s="1"/>
      <c r="AD40" s="1"/>
    </row>
    <row r="41" spans="1:30" ht="24" customHeight="1" x14ac:dyDescent="0.3">
      <c r="A41" s="206">
        <v>39</v>
      </c>
      <c r="B41" s="1"/>
      <c r="C41" s="205"/>
      <c r="D41" s="205"/>
      <c r="E41" s="205"/>
      <c r="F4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1" s="202"/>
      <c r="H41" s="202"/>
      <c r="I41" s="202"/>
      <c r="J41" s="202"/>
      <c r="K41" s="202"/>
      <c r="L41" s="204"/>
      <c r="M41" s="30" t="str">
        <f>IF(Inventory_List_Table341115109111317[[#This Row],[Q]]&lt;0.1, " ", Inventory_List_Table341115109111317[[#This Row],[Q]]*Inventory_List_Table341115109111317[[#This Row],[PRICE]])</f>
        <v xml:space="preserve"> </v>
      </c>
      <c r="N41" s="35" t="str">
        <f>IF(Inventory_List_Table341115109111317[[#This Row],[Q]]&lt;0.1, " ", Inventory_List_Table341115109111317[[#This Row],[KG]]*2.20462)</f>
        <v xml:space="preserve"> </v>
      </c>
      <c r="O41" s="35" t="str">
        <f>IF(Inventory_List_Table341115109111317[[#This Row],[Q]]&lt;0.1, " ",Inventory_List_Table341115109111317[[#This Row],[H CM]]/2.54)</f>
        <v xml:space="preserve"> </v>
      </c>
      <c r="P41" s="35" t="str">
        <f>IF(Inventory_List_Table341115109111317[[#This Row],[Q]]&lt;0.1, " ",Inventory_List_Table341115109111317[[#This Row],[W CM]]/2.54)</f>
        <v xml:space="preserve"> </v>
      </c>
      <c r="Q41" s="35" t="str">
        <f>IF(Inventory_List_Table341115109111317[[#This Row],[Q]]&lt;0.1, " ",Inventory_List_Table341115109111317[[#This Row],[D CM ]]/2.54)</f>
        <v xml:space="preserve"> </v>
      </c>
      <c r="R41" s="30" t="str">
        <f>IF(Inventory_List_Table341115109111317[[#This Row],[Q]]&lt;0.1, " ",Inventory_List_Table341115109111317[[#This Row],[PRICE]]/$L$1)</f>
        <v xml:space="preserve"> </v>
      </c>
      <c r="S4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1" s="30" t="str">
        <f>IF(Inventory_List_Table341115109111317[[#This Row],[Q]]&lt;0.1, " ",Inventory_List_Table341115109111317[[#This Row],[AQ RND USD]]*1.4)</f>
        <v xml:space="preserve"> </v>
      </c>
      <c r="U4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1" s="30" t="str">
        <f>IF(Inventory_List_Table341115109111317[[#This Row],[Q]]&lt;0.1, " ",Inventory_List_Table341115109111317[[#This Row],[LND RND USD]]*12)</f>
        <v xml:space="preserve"> </v>
      </c>
      <c r="W41" s="30" t="str">
        <f>IF(Inventory_List_Table341115109111317[[#This Row],[Q]]&lt;0.1, " ",Inventory_List_Table341115109111317[[#This Row],[AQ USD]])</f>
        <v xml:space="preserve"> </v>
      </c>
      <c r="X4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1" s="30" t="str">
        <f>IF(Inventory_List_Table341115109111317[[#This Row],[Q]]&lt;0.1, " ",Inventory_List_Table341115109111317[[#This Row],[PRICE]]/Z41*10000)</f>
        <v xml:space="preserve"> </v>
      </c>
      <c r="AB41" s="201"/>
      <c r="AC41" s="1"/>
      <c r="AD41" s="1"/>
    </row>
    <row r="42" spans="1:30" ht="24" customHeight="1" x14ac:dyDescent="0.3">
      <c r="A42" s="206">
        <v>40</v>
      </c>
      <c r="B42" s="1"/>
      <c r="C42" s="205"/>
      <c r="D42" s="205"/>
      <c r="E42" s="205"/>
      <c r="F4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2" s="202"/>
      <c r="H42" s="202"/>
      <c r="I42" s="202"/>
      <c r="J42" s="202"/>
      <c r="K42" s="202"/>
      <c r="L42" s="204"/>
      <c r="M42" s="30" t="str">
        <f>IF(Inventory_List_Table341115109111317[[#This Row],[Q]]&lt;0.1, " ", Inventory_List_Table341115109111317[[#This Row],[Q]]*Inventory_List_Table341115109111317[[#This Row],[PRICE]])</f>
        <v xml:space="preserve"> </v>
      </c>
      <c r="N42" s="35" t="str">
        <f>IF(Inventory_List_Table341115109111317[[#This Row],[Q]]&lt;0.1, " ", Inventory_List_Table341115109111317[[#This Row],[KG]]*2.20462)</f>
        <v xml:space="preserve"> </v>
      </c>
      <c r="O42" s="35" t="str">
        <f>IF(Inventory_List_Table341115109111317[[#This Row],[Q]]&lt;0.1, " ",Inventory_List_Table341115109111317[[#This Row],[H CM]]/2.54)</f>
        <v xml:space="preserve"> </v>
      </c>
      <c r="P42" s="35" t="str">
        <f>IF(Inventory_List_Table341115109111317[[#This Row],[Q]]&lt;0.1, " ",Inventory_List_Table341115109111317[[#This Row],[W CM]]/2.54)</f>
        <v xml:space="preserve"> </v>
      </c>
      <c r="Q42" s="35" t="str">
        <f>IF(Inventory_List_Table341115109111317[[#This Row],[Q]]&lt;0.1, " ",Inventory_List_Table341115109111317[[#This Row],[D CM ]]/2.54)</f>
        <v xml:space="preserve"> </v>
      </c>
      <c r="R42" s="30" t="str">
        <f>IF(Inventory_List_Table341115109111317[[#This Row],[Q]]&lt;0.1, " ",Inventory_List_Table341115109111317[[#This Row],[PRICE]]/$L$1)</f>
        <v xml:space="preserve"> </v>
      </c>
      <c r="S4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2" s="30" t="str">
        <f>IF(Inventory_List_Table341115109111317[[#This Row],[Q]]&lt;0.1, " ",Inventory_List_Table341115109111317[[#This Row],[AQ RND USD]]*1.4)</f>
        <v xml:space="preserve"> </v>
      </c>
      <c r="U4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2" s="30" t="str">
        <f>IF(Inventory_List_Table341115109111317[[#This Row],[Q]]&lt;0.1, " ",Inventory_List_Table341115109111317[[#This Row],[LND RND USD]]*12)</f>
        <v xml:space="preserve"> </v>
      </c>
      <c r="W42" s="30" t="str">
        <f>IF(Inventory_List_Table341115109111317[[#This Row],[Q]]&lt;0.1, " ",Inventory_List_Table341115109111317[[#This Row],[AQ USD]])</f>
        <v xml:space="preserve"> </v>
      </c>
      <c r="X4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2" s="30" t="str">
        <f>IF(Inventory_List_Table341115109111317[[#This Row],[Q]]&lt;0.1, " ",Inventory_List_Table341115109111317[[#This Row],[PRICE]]/Z42*10000)</f>
        <v xml:space="preserve"> </v>
      </c>
      <c r="AB42" s="201"/>
      <c r="AC42" s="1"/>
      <c r="AD42" s="1"/>
    </row>
    <row r="43" spans="1:30" ht="24" customHeight="1" x14ac:dyDescent="0.3">
      <c r="A43" s="206">
        <v>41</v>
      </c>
      <c r="B43" s="1"/>
      <c r="C43" s="205"/>
      <c r="D43" s="205"/>
      <c r="E43" s="205"/>
      <c r="F4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3" s="202"/>
      <c r="H43" s="202"/>
      <c r="I43" s="202"/>
      <c r="J43" s="202"/>
      <c r="K43" s="202"/>
      <c r="L43" s="204"/>
      <c r="M43" s="30" t="str">
        <f>IF(Inventory_List_Table341115109111317[[#This Row],[Q]]&lt;0.1, " ", Inventory_List_Table341115109111317[[#This Row],[Q]]*Inventory_List_Table341115109111317[[#This Row],[PRICE]])</f>
        <v xml:space="preserve"> </v>
      </c>
      <c r="N43" s="35" t="str">
        <f>IF(Inventory_List_Table341115109111317[[#This Row],[Q]]&lt;0.1, " ", Inventory_List_Table341115109111317[[#This Row],[KG]]*2.20462)</f>
        <v xml:space="preserve"> </v>
      </c>
      <c r="O43" s="35" t="str">
        <f>IF(Inventory_List_Table341115109111317[[#This Row],[Q]]&lt;0.1, " ",Inventory_List_Table341115109111317[[#This Row],[H CM]]/2.54)</f>
        <v xml:space="preserve"> </v>
      </c>
      <c r="P43" s="35" t="str">
        <f>IF(Inventory_List_Table341115109111317[[#This Row],[Q]]&lt;0.1, " ",Inventory_List_Table341115109111317[[#This Row],[W CM]]/2.54)</f>
        <v xml:space="preserve"> </v>
      </c>
      <c r="Q43" s="35" t="str">
        <f>IF(Inventory_List_Table341115109111317[[#This Row],[Q]]&lt;0.1, " ",Inventory_List_Table341115109111317[[#This Row],[D CM ]]/2.54)</f>
        <v xml:space="preserve"> </v>
      </c>
      <c r="R43" s="30" t="str">
        <f>IF(Inventory_List_Table341115109111317[[#This Row],[Q]]&lt;0.1, " ",Inventory_List_Table341115109111317[[#This Row],[PRICE]]/$L$1)</f>
        <v xml:space="preserve"> </v>
      </c>
      <c r="S4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3" s="30" t="str">
        <f>IF(Inventory_List_Table341115109111317[[#This Row],[Q]]&lt;0.1, " ",Inventory_List_Table341115109111317[[#This Row],[AQ RND USD]]*1.4)</f>
        <v xml:space="preserve"> </v>
      </c>
      <c r="U4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3" s="30" t="str">
        <f>IF(Inventory_List_Table341115109111317[[#This Row],[Q]]&lt;0.1, " ",Inventory_List_Table341115109111317[[#This Row],[LND RND USD]]*12)</f>
        <v xml:space="preserve"> </v>
      </c>
      <c r="W43" s="30" t="str">
        <f>IF(Inventory_List_Table341115109111317[[#This Row],[Q]]&lt;0.1, " ",Inventory_List_Table341115109111317[[#This Row],[AQ USD]])</f>
        <v xml:space="preserve"> </v>
      </c>
      <c r="X4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3" s="30" t="str">
        <f>IF(Inventory_List_Table341115109111317[[#This Row],[Q]]&lt;0.1, " ",Inventory_List_Table341115109111317[[#This Row],[PRICE]]/Z43*10000)</f>
        <v xml:space="preserve"> </v>
      </c>
      <c r="AB43" s="201"/>
      <c r="AC43" s="1"/>
      <c r="AD43" s="1"/>
    </row>
    <row r="44" spans="1:30" ht="24" customHeight="1" x14ac:dyDescent="0.3">
      <c r="A44" s="206">
        <v>42</v>
      </c>
      <c r="B44" s="1"/>
      <c r="C44" s="205"/>
      <c r="D44" s="205"/>
      <c r="E44" s="205"/>
      <c r="F4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4" s="202"/>
      <c r="H44" s="202"/>
      <c r="I44" s="202"/>
      <c r="J44" s="202"/>
      <c r="K44" s="202"/>
      <c r="L44" s="204"/>
      <c r="M44" s="30" t="str">
        <f>IF(Inventory_List_Table341115109111317[[#This Row],[Q]]&lt;0.1, " ", Inventory_List_Table341115109111317[[#This Row],[Q]]*Inventory_List_Table341115109111317[[#This Row],[PRICE]])</f>
        <v xml:space="preserve"> </v>
      </c>
      <c r="N44" s="35" t="str">
        <f>IF(Inventory_List_Table341115109111317[[#This Row],[Q]]&lt;0.1, " ", Inventory_List_Table341115109111317[[#This Row],[KG]]*2.20462)</f>
        <v xml:space="preserve"> </v>
      </c>
      <c r="O44" s="35" t="str">
        <f>IF(Inventory_List_Table341115109111317[[#This Row],[Q]]&lt;0.1, " ",Inventory_List_Table341115109111317[[#This Row],[H CM]]/2.54)</f>
        <v xml:space="preserve"> </v>
      </c>
      <c r="P44" s="35" t="str">
        <f>IF(Inventory_List_Table341115109111317[[#This Row],[Q]]&lt;0.1, " ",Inventory_List_Table341115109111317[[#This Row],[W CM]]/2.54)</f>
        <v xml:space="preserve"> </v>
      </c>
      <c r="Q44" s="35" t="str">
        <f>IF(Inventory_List_Table341115109111317[[#This Row],[Q]]&lt;0.1, " ",Inventory_List_Table341115109111317[[#This Row],[D CM ]]/2.54)</f>
        <v xml:space="preserve"> </v>
      </c>
      <c r="R44" s="30" t="str">
        <f>IF(Inventory_List_Table341115109111317[[#This Row],[Q]]&lt;0.1, " ",Inventory_List_Table341115109111317[[#This Row],[PRICE]]/$L$1)</f>
        <v xml:space="preserve"> </v>
      </c>
      <c r="S4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4" s="30" t="str">
        <f>IF(Inventory_List_Table341115109111317[[#This Row],[Q]]&lt;0.1, " ",Inventory_List_Table341115109111317[[#This Row],[AQ RND USD]]*1.4)</f>
        <v xml:space="preserve"> </v>
      </c>
      <c r="U4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4" s="30" t="str">
        <f>IF(Inventory_List_Table341115109111317[[#This Row],[Q]]&lt;0.1, " ",Inventory_List_Table341115109111317[[#This Row],[LND RND USD]]*12)</f>
        <v xml:space="preserve"> </v>
      </c>
      <c r="W44" s="30" t="str">
        <f>IF(Inventory_List_Table341115109111317[[#This Row],[Q]]&lt;0.1, " ",Inventory_List_Table341115109111317[[#This Row],[AQ USD]])</f>
        <v xml:space="preserve"> </v>
      </c>
      <c r="X4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4" s="30" t="str">
        <f>IF(Inventory_List_Table341115109111317[[#This Row],[Q]]&lt;0.1, " ",Inventory_List_Table341115109111317[[#This Row],[PRICE]]/Z44*10000)</f>
        <v xml:space="preserve"> </v>
      </c>
      <c r="AB44" s="201"/>
      <c r="AC44" s="1"/>
      <c r="AD44" s="1"/>
    </row>
    <row r="45" spans="1:30" ht="24" customHeight="1" x14ac:dyDescent="0.3">
      <c r="A45" s="206">
        <v>43</v>
      </c>
      <c r="B45" s="1"/>
      <c r="C45" s="205"/>
      <c r="D45" s="205"/>
      <c r="E45" s="205"/>
      <c r="F4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5" s="202"/>
      <c r="H45" s="202"/>
      <c r="I45" s="202"/>
      <c r="J45" s="202"/>
      <c r="K45" s="202"/>
      <c r="L45" s="204"/>
      <c r="M45" s="30" t="str">
        <f>IF(Inventory_List_Table341115109111317[[#This Row],[Q]]&lt;0.1, " ", Inventory_List_Table341115109111317[[#This Row],[Q]]*Inventory_List_Table341115109111317[[#This Row],[PRICE]])</f>
        <v xml:space="preserve"> </v>
      </c>
      <c r="N45" s="35" t="str">
        <f>IF(Inventory_List_Table341115109111317[[#This Row],[Q]]&lt;0.1, " ", Inventory_List_Table341115109111317[[#This Row],[KG]]*2.20462)</f>
        <v xml:space="preserve"> </v>
      </c>
      <c r="O45" s="35" t="str">
        <f>IF(Inventory_List_Table341115109111317[[#This Row],[Q]]&lt;0.1, " ",Inventory_List_Table341115109111317[[#This Row],[H CM]]/2.54)</f>
        <v xml:space="preserve"> </v>
      </c>
      <c r="P45" s="35" t="str">
        <f>IF(Inventory_List_Table341115109111317[[#This Row],[Q]]&lt;0.1, " ",Inventory_List_Table341115109111317[[#This Row],[W CM]]/2.54)</f>
        <v xml:space="preserve"> </v>
      </c>
      <c r="Q45" s="35" t="str">
        <f>IF(Inventory_List_Table341115109111317[[#This Row],[Q]]&lt;0.1, " ",Inventory_List_Table341115109111317[[#This Row],[D CM ]]/2.54)</f>
        <v xml:space="preserve"> </v>
      </c>
      <c r="R45" s="30" t="str">
        <f>IF(Inventory_List_Table341115109111317[[#This Row],[Q]]&lt;0.1, " ",Inventory_List_Table341115109111317[[#This Row],[PRICE]]/$L$1)</f>
        <v xml:space="preserve"> </v>
      </c>
      <c r="S4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5" s="30" t="str">
        <f>IF(Inventory_List_Table341115109111317[[#This Row],[Q]]&lt;0.1, " ",Inventory_List_Table341115109111317[[#This Row],[AQ RND USD]]*1.4)</f>
        <v xml:space="preserve"> </v>
      </c>
      <c r="U4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5" s="30" t="str">
        <f>IF(Inventory_List_Table341115109111317[[#This Row],[Q]]&lt;0.1, " ",Inventory_List_Table341115109111317[[#This Row],[LND RND USD]]*12)</f>
        <v xml:space="preserve"> </v>
      </c>
      <c r="W45" s="30" t="str">
        <f>IF(Inventory_List_Table341115109111317[[#This Row],[Q]]&lt;0.1, " ",Inventory_List_Table341115109111317[[#This Row],[AQ USD]])</f>
        <v xml:space="preserve"> </v>
      </c>
      <c r="X4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5" s="30" t="str">
        <f>IF(Inventory_List_Table341115109111317[[#This Row],[Q]]&lt;0.1, " ",Inventory_List_Table341115109111317[[#This Row],[PRICE]]/Z45*10000)</f>
        <v xml:space="preserve"> </v>
      </c>
      <c r="AB45" s="201"/>
      <c r="AC45" s="1"/>
      <c r="AD45" s="1"/>
    </row>
    <row r="46" spans="1:30" ht="24" customHeight="1" x14ac:dyDescent="0.3">
      <c r="A46" s="206">
        <v>44</v>
      </c>
      <c r="B46" s="1"/>
      <c r="C46" s="205"/>
      <c r="D46" s="205"/>
      <c r="E46" s="205"/>
      <c r="F4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6" s="202"/>
      <c r="H46" s="202"/>
      <c r="I46" s="202"/>
      <c r="J46" s="202"/>
      <c r="K46" s="202"/>
      <c r="L46" s="204"/>
      <c r="M46" s="30" t="str">
        <f>IF(Inventory_List_Table341115109111317[[#This Row],[Q]]&lt;0.1, " ", Inventory_List_Table341115109111317[[#This Row],[Q]]*Inventory_List_Table341115109111317[[#This Row],[PRICE]])</f>
        <v xml:space="preserve"> </v>
      </c>
      <c r="N46" s="35" t="str">
        <f>IF(Inventory_List_Table341115109111317[[#This Row],[Q]]&lt;0.1, " ", Inventory_List_Table341115109111317[[#This Row],[KG]]*2.20462)</f>
        <v xml:space="preserve"> </v>
      </c>
      <c r="O46" s="35" t="str">
        <f>IF(Inventory_List_Table341115109111317[[#This Row],[Q]]&lt;0.1, " ",Inventory_List_Table341115109111317[[#This Row],[H CM]]/2.54)</f>
        <v xml:space="preserve"> </v>
      </c>
      <c r="P46" s="35" t="str">
        <f>IF(Inventory_List_Table341115109111317[[#This Row],[Q]]&lt;0.1, " ",Inventory_List_Table341115109111317[[#This Row],[W CM]]/2.54)</f>
        <v xml:space="preserve"> </v>
      </c>
      <c r="Q46" s="35" t="str">
        <f>IF(Inventory_List_Table341115109111317[[#This Row],[Q]]&lt;0.1, " ",Inventory_List_Table341115109111317[[#This Row],[D CM ]]/2.54)</f>
        <v xml:space="preserve"> </v>
      </c>
      <c r="R46" s="30" t="str">
        <f>IF(Inventory_List_Table341115109111317[[#This Row],[Q]]&lt;0.1, " ",Inventory_List_Table341115109111317[[#This Row],[PRICE]]/$L$1)</f>
        <v xml:space="preserve"> </v>
      </c>
      <c r="S4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6" s="30" t="str">
        <f>IF(Inventory_List_Table341115109111317[[#This Row],[Q]]&lt;0.1, " ",Inventory_List_Table341115109111317[[#This Row],[AQ RND USD]]*1.4)</f>
        <v xml:space="preserve"> </v>
      </c>
      <c r="U4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6" s="30" t="str">
        <f>IF(Inventory_List_Table341115109111317[[#This Row],[Q]]&lt;0.1, " ",Inventory_List_Table341115109111317[[#This Row],[LND RND USD]]*12)</f>
        <v xml:space="preserve"> </v>
      </c>
      <c r="W46" s="30" t="str">
        <f>IF(Inventory_List_Table341115109111317[[#This Row],[Q]]&lt;0.1, " ",Inventory_List_Table341115109111317[[#This Row],[AQ USD]])</f>
        <v xml:space="preserve"> </v>
      </c>
      <c r="X4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6" s="30" t="str">
        <f>IF(Inventory_List_Table341115109111317[[#This Row],[Q]]&lt;0.1, " ",Inventory_List_Table341115109111317[[#This Row],[PRICE]]/Z46*10000)</f>
        <v xml:space="preserve"> </v>
      </c>
      <c r="AB46" s="201"/>
      <c r="AC46" s="1"/>
      <c r="AD46" s="1"/>
    </row>
    <row r="47" spans="1:30" ht="24" customHeight="1" x14ac:dyDescent="0.3">
      <c r="A47" s="206">
        <v>45</v>
      </c>
      <c r="B47" s="1"/>
      <c r="C47" s="205"/>
      <c r="D47" s="205"/>
      <c r="E47" s="205"/>
      <c r="F4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7" s="202"/>
      <c r="H47" s="202"/>
      <c r="I47" s="202"/>
      <c r="J47" s="202"/>
      <c r="K47" s="202"/>
      <c r="L47" s="204"/>
      <c r="M47" s="30" t="str">
        <f>IF(Inventory_List_Table341115109111317[[#This Row],[Q]]&lt;0.1, " ", Inventory_List_Table341115109111317[[#This Row],[Q]]*Inventory_List_Table341115109111317[[#This Row],[PRICE]])</f>
        <v xml:space="preserve"> </v>
      </c>
      <c r="N47" s="35" t="str">
        <f>IF(Inventory_List_Table341115109111317[[#This Row],[Q]]&lt;0.1, " ", Inventory_List_Table341115109111317[[#This Row],[KG]]*2.20462)</f>
        <v xml:space="preserve"> </v>
      </c>
      <c r="O47" s="35" t="str">
        <f>IF(Inventory_List_Table341115109111317[[#This Row],[Q]]&lt;0.1, " ",Inventory_List_Table341115109111317[[#This Row],[H CM]]/2.54)</f>
        <v xml:space="preserve"> </v>
      </c>
      <c r="P47" s="35" t="str">
        <f>IF(Inventory_List_Table341115109111317[[#This Row],[Q]]&lt;0.1, " ",Inventory_List_Table341115109111317[[#This Row],[W CM]]/2.54)</f>
        <v xml:space="preserve"> </v>
      </c>
      <c r="Q47" s="35" t="str">
        <f>IF(Inventory_List_Table341115109111317[[#This Row],[Q]]&lt;0.1, " ",Inventory_List_Table341115109111317[[#This Row],[D CM ]]/2.54)</f>
        <v xml:space="preserve"> </v>
      </c>
      <c r="R47" s="30" t="str">
        <f>IF(Inventory_List_Table341115109111317[[#This Row],[Q]]&lt;0.1, " ",Inventory_List_Table341115109111317[[#This Row],[PRICE]]/$L$1)</f>
        <v xml:space="preserve"> </v>
      </c>
      <c r="S4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7" s="30" t="str">
        <f>IF(Inventory_List_Table341115109111317[[#This Row],[Q]]&lt;0.1, " ",Inventory_List_Table341115109111317[[#This Row],[AQ RND USD]]*1.4)</f>
        <v xml:space="preserve"> </v>
      </c>
      <c r="U4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7" s="30" t="str">
        <f>IF(Inventory_List_Table341115109111317[[#This Row],[Q]]&lt;0.1, " ",Inventory_List_Table341115109111317[[#This Row],[LND RND USD]]*12)</f>
        <v xml:space="preserve"> </v>
      </c>
      <c r="W47" s="30" t="str">
        <f>IF(Inventory_List_Table341115109111317[[#This Row],[Q]]&lt;0.1, " ",Inventory_List_Table341115109111317[[#This Row],[AQ USD]])</f>
        <v xml:space="preserve"> </v>
      </c>
      <c r="X4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7" s="30" t="str">
        <f>IF(Inventory_List_Table341115109111317[[#This Row],[Q]]&lt;0.1, " ",Inventory_List_Table341115109111317[[#This Row],[PRICE]]/Z47*10000)</f>
        <v xml:space="preserve"> </v>
      </c>
      <c r="AB47" s="201"/>
      <c r="AC47" s="1"/>
      <c r="AD47" s="1"/>
    </row>
    <row r="48" spans="1:30" ht="24" customHeight="1" x14ac:dyDescent="0.3">
      <c r="A48" s="206">
        <v>46</v>
      </c>
      <c r="B48" s="1"/>
      <c r="C48" s="205"/>
      <c r="D48" s="205"/>
      <c r="E48" s="205"/>
      <c r="F4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8" s="202"/>
      <c r="H48" s="202"/>
      <c r="I48" s="202"/>
      <c r="J48" s="202"/>
      <c r="K48" s="202"/>
      <c r="L48" s="204"/>
      <c r="M48" s="30" t="str">
        <f>IF(Inventory_List_Table341115109111317[[#This Row],[Q]]&lt;0.1, " ", Inventory_List_Table341115109111317[[#This Row],[Q]]*Inventory_List_Table341115109111317[[#This Row],[PRICE]])</f>
        <v xml:space="preserve"> </v>
      </c>
      <c r="N48" s="35" t="str">
        <f>IF(Inventory_List_Table341115109111317[[#This Row],[Q]]&lt;0.1, " ", Inventory_List_Table341115109111317[[#This Row],[KG]]*2.20462)</f>
        <v xml:space="preserve"> </v>
      </c>
      <c r="O48" s="35" t="str">
        <f>IF(Inventory_List_Table341115109111317[[#This Row],[Q]]&lt;0.1, " ",Inventory_List_Table341115109111317[[#This Row],[H CM]]/2.54)</f>
        <v xml:space="preserve"> </v>
      </c>
      <c r="P48" s="35" t="str">
        <f>IF(Inventory_List_Table341115109111317[[#This Row],[Q]]&lt;0.1, " ",Inventory_List_Table341115109111317[[#This Row],[W CM]]/2.54)</f>
        <v xml:space="preserve"> </v>
      </c>
      <c r="Q48" s="35" t="str">
        <f>IF(Inventory_List_Table341115109111317[[#This Row],[Q]]&lt;0.1, " ",Inventory_List_Table341115109111317[[#This Row],[D CM ]]/2.54)</f>
        <v xml:space="preserve"> </v>
      </c>
      <c r="R48" s="30" t="str">
        <f>IF(Inventory_List_Table341115109111317[[#This Row],[Q]]&lt;0.1, " ",Inventory_List_Table341115109111317[[#This Row],[PRICE]]/$L$1)</f>
        <v xml:space="preserve"> </v>
      </c>
      <c r="S4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8" s="30" t="str">
        <f>IF(Inventory_List_Table341115109111317[[#This Row],[Q]]&lt;0.1, " ",Inventory_List_Table341115109111317[[#This Row],[AQ RND USD]]*1.4)</f>
        <v xml:space="preserve"> </v>
      </c>
      <c r="U4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8" s="30" t="str">
        <f>IF(Inventory_List_Table341115109111317[[#This Row],[Q]]&lt;0.1, " ",Inventory_List_Table341115109111317[[#This Row],[LND RND USD]]*12)</f>
        <v xml:space="preserve"> </v>
      </c>
      <c r="W48" s="30" t="str">
        <f>IF(Inventory_List_Table341115109111317[[#This Row],[Q]]&lt;0.1, " ",Inventory_List_Table341115109111317[[#This Row],[AQ USD]])</f>
        <v xml:space="preserve"> </v>
      </c>
      <c r="X4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8" s="30" t="str">
        <f>IF(Inventory_List_Table341115109111317[[#This Row],[Q]]&lt;0.1, " ",Inventory_List_Table341115109111317[[#This Row],[PRICE]]/Z48*10000)</f>
        <v xml:space="preserve"> </v>
      </c>
      <c r="AB48" s="201"/>
      <c r="AC48" s="1"/>
      <c r="AD48" s="1"/>
    </row>
    <row r="49" spans="1:30" ht="24" customHeight="1" x14ac:dyDescent="0.3">
      <c r="A49" s="206">
        <v>47</v>
      </c>
      <c r="B49" s="1"/>
      <c r="C49" s="205"/>
      <c r="D49" s="205"/>
      <c r="E49" s="205"/>
      <c r="F4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49" s="202"/>
      <c r="H49" s="202"/>
      <c r="I49" s="202"/>
      <c r="J49" s="202"/>
      <c r="K49" s="202"/>
      <c r="L49" s="204"/>
      <c r="M49" s="30" t="str">
        <f>IF(Inventory_List_Table341115109111317[[#This Row],[Q]]&lt;0.1, " ", Inventory_List_Table341115109111317[[#This Row],[Q]]*Inventory_List_Table341115109111317[[#This Row],[PRICE]])</f>
        <v xml:space="preserve"> </v>
      </c>
      <c r="N49" s="35" t="str">
        <f>IF(Inventory_List_Table341115109111317[[#This Row],[Q]]&lt;0.1, " ", Inventory_List_Table341115109111317[[#This Row],[KG]]*2.20462)</f>
        <v xml:space="preserve"> </v>
      </c>
      <c r="O49" s="35" t="str">
        <f>IF(Inventory_List_Table341115109111317[[#This Row],[Q]]&lt;0.1, " ",Inventory_List_Table341115109111317[[#This Row],[H CM]]/2.54)</f>
        <v xml:space="preserve"> </v>
      </c>
      <c r="P49" s="35" t="str">
        <f>IF(Inventory_List_Table341115109111317[[#This Row],[Q]]&lt;0.1, " ",Inventory_List_Table341115109111317[[#This Row],[W CM]]/2.54)</f>
        <v xml:space="preserve"> </v>
      </c>
      <c r="Q49" s="35" t="str">
        <f>IF(Inventory_List_Table341115109111317[[#This Row],[Q]]&lt;0.1, " ",Inventory_List_Table341115109111317[[#This Row],[D CM ]]/2.54)</f>
        <v xml:space="preserve"> </v>
      </c>
      <c r="R49" s="30" t="str">
        <f>IF(Inventory_List_Table341115109111317[[#This Row],[Q]]&lt;0.1, " ",Inventory_List_Table341115109111317[[#This Row],[PRICE]]/$L$1)</f>
        <v xml:space="preserve"> </v>
      </c>
      <c r="S4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49" s="30" t="str">
        <f>IF(Inventory_List_Table341115109111317[[#This Row],[Q]]&lt;0.1, " ",Inventory_List_Table341115109111317[[#This Row],[AQ RND USD]]*1.4)</f>
        <v xml:space="preserve"> </v>
      </c>
      <c r="U4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49" s="30" t="str">
        <f>IF(Inventory_List_Table341115109111317[[#This Row],[Q]]&lt;0.1, " ",Inventory_List_Table341115109111317[[#This Row],[LND RND USD]]*12)</f>
        <v xml:space="preserve"> </v>
      </c>
      <c r="W49" s="30" t="str">
        <f>IF(Inventory_List_Table341115109111317[[#This Row],[Q]]&lt;0.1, " ",Inventory_List_Table341115109111317[[#This Row],[AQ USD]])</f>
        <v xml:space="preserve"> </v>
      </c>
      <c r="X4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4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4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49" s="30" t="str">
        <f>IF(Inventory_List_Table341115109111317[[#This Row],[Q]]&lt;0.1, " ",Inventory_List_Table341115109111317[[#This Row],[PRICE]]/Z49*10000)</f>
        <v xml:space="preserve"> </v>
      </c>
      <c r="AB49" s="201"/>
      <c r="AC49" s="1"/>
      <c r="AD49" s="1"/>
    </row>
    <row r="50" spans="1:30" ht="24" customHeight="1" x14ac:dyDescent="0.3">
      <c r="A50" s="206">
        <v>48</v>
      </c>
      <c r="B50" s="1"/>
      <c r="C50" s="205"/>
      <c r="D50" s="205"/>
      <c r="E50" s="205"/>
      <c r="F5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0" s="202"/>
      <c r="H50" s="202"/>
      <c r="I50" s="202"/>
      <c r="J50" s="202"/>
      <c r="K50" s="202"/>
      <c r="L50" s="204"/>
      <c r="M50" s="30" t="str">
        <f>IF(Inventory_List_Table341115109111317[[#This Row],[Q]]&lt;0.1, " ", Inventory_List_Table341115109111317[[#This Row],[Q]]*Inventory_List_Table341115109111317[[#This Row],[PRICE]])</f>
        <v xml:space="preserve"> </v>
      </c>
      <c r="N50" s="35" t="str">
        <f>IF(Inventory_List_Table341115109111317[[#This Row],[Q]]&lt;0.1, " ", Inventory_List_Table341115109111317[[#This Row],[KG]]*2.20462)</f>
        <v xml:space="preserve"> </v>
      </c>
      <c r="O50" s="35" t="str">
        <f>IF(Inventory_List_Table341115109111317[[#This Row],[Q]]&lt;0.1, " ",Inventory_List_Table341115109111317[[#This Row],[H CM]]/2.54)</f>
        <v xml:space="preserve"> </v>
      </c>
      <c r="P50" s="35" t="str">
        <f>IF(Inventory_List_Table341115109111317[[#This Row],[Q]]&lt;0.1, " ",Inventory_List_Table341115109111317[[#This Row],[W CM]]/2.54)</f>
        <v xml:space="preserve"> </v>
      </c>
      <c r="Q50" s="35" t="str">
        <f>IF(Inventory_List_Table341115109111317[[#This Row],[Q]]&lt;0.1, " ",Inventory_List_Table341115109111317[[#This Row],[D CM ]]/2.54)</f>
        <v xml:space="preserve"> </v>
      </c>
      <c r="R50" s="30" t="str">
        <f>IF(Inventory_List_Table341115109111317[[#This Row],[Q]]&lt;0.1, " ",Inventory_List_Table341115109111317[[#This Row],[PRICE]]/$L$1)</f>
        <v xml:space="preserve"> </v>
      </c>
      <c r="S5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0" s="30" t="str">
        <f>IF(Inventory_List_Table341115109111317[[#This Row],[Q]]&lt;0.1, " ",Inventory_List_Table341115109111317[[#This Row],[AQ RND USD]]*1.4)</f>
        <v xml:space="preserve"> </v>
      </c>
      <c r="U5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0" s="30" t="str">
        <f>IF(Inventory_List_Table341115109111317[[#This Row],[Q]]&lt;0.1, " ",Inventory_List_Table341115109111317[[#This Row],[LND RND USD]]*12)</f>
        <v xml:space="preserve"> </v>
      </c>
      <c r="W50" s="30" t="str">
        <f>IF(Inventory_List_Table341115109111317[[#This Row],[Q]]&lt;0.1, " ",Inventory_List_Table341115109111317[[#This Row],[AQ USD]])</f>
        <v xml:space="preserve"> </v>
      </c>
      <c r="X5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0" s="30" t="str">
        <f>IF(Inventory_List_Table341115109111317[[#This Row],[Q]]&lt;0.1, " ",Inventory_List_Table341115109111317[[#This Row],[PRICE]]/Z50*10000)</f>
        <v xml:space="preserve"> </v>
      </c>
      <c r="AB50" s="201"/>
      <c r="AC50" s="1"/>
      <c r="AD50" s="1"/>
    </row>
    <row r="51" spans="1:30" ht="24" customHeight="1" x14ac:dyDescent="0.3">
      <c r="A51" s="206">
        <v>49</v>
      </c>
      <c r="B51" s="1"/>
      <c r="C51" s="205"/>
      <c r="D51" s="205"/>
      <c r="E51" s="205"/>
      <c r="F5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1" s="202"/>
      <c r="H51" s="202"/>
      <c r="I51" s="202"/>
      <c r="J51" s="202"/>
      <c r="K51" s="202"/>
      <c r="L51" s="204"/>
      <c r="M51" s="30" t="str">
        <f>IF(Inventory_List_Table341115109111317[[#This Row],[Q]]&lt;0.1, " ", Inventory_List_Table341115109111317[[#This Row],[Q]]*Inventory_List_Table341115109111317[[#This Row],[PRICE]])</f>
        <v xml:space="preserve"> </v>
      </c>
      <c r="N51" s="35" t="str">
        <f>IF(Inventory_List_Table341115109111317[[#This Row],[Q]]&lt;0.1, " ", Inventory_List_Table341115109111317[[#This Row],[KG]]*2.20462)</f>
        <v xml:space="preserve"> </v>
      </c>
      <c r="O51" s="35" t="str">
        <f>IF(Inventory_List_Table341115109111317[[#This Row],[Q]]&lt;0.1, " ",Inventory_List_Table341115109111317[[#This Row],[H CM]]/2.54)</f>
        <v xml:space="preserve"> </v>
      </c>
      <c r="P51" s="35" t="str">
        <f>IF(Inventory_List_Table341115109111317[[#This Row],[Q]]&lt;0.1, " ",Inventory_List_Table341115109111317[[#This Row],[W CM]]/2.54)</f>
        <v xml:space="preserve"> </v>
      </c>
      <c r="Q51" s="35" t="str">
        <f>IF(Inventory_List_Table341115109111317[[#This Row],[Q]]&lt;0.1, " ",Inventory_List_Table341115109111317[[#This Row],[D CM ]]/2.54)</f>
        <v xml:space="preserve"> </v>
      </c>
      <c r="R51" s="30" t="str">
        <f>IF(Inventory_List_Table341115109111317[[#This Row],[Q]]&lt;0.1, " ",Inventory_List_Table341115109111317[[#This Row],[PRICE]]/$L$1)</f>
        <v xml:space="preserve"> </v>
      </c>
      <c r="S5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1" s="30" t="str">
        <f>IF(Inventory_List_Table341115109111317[[#This Row],[Q]]&lt;0.1, " ",Inventory_List_Table341115109111317[[#This Row],[AQ RND USD]]*1.4)</f>
        <v xml:space="preserve"> </v>
      </c>
      <c r="U5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1" s="30" t="str">
        <f>IF(Inventory_List_Table341115109111317[[#This Row],[Q]]&lt;0.1, " ",Inventory_List_Table341115109111317[[#This Row],[LND RND USD]]*12)</f>
        <v xml:space="preserve"> </v>
      </c>
      <c r="W51" s="30" t="str">
        <f>IF(Inventory_List_Table341115109111317[[#This Row],[Q]]&lt;0.1, " ",Inventory_List_Table341115109111317[[#This Row],[AQ USD]])</f>
        <v xml:space="preserve"> </v>
      </c>
      <c r="X5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1" s="30" t="str">
        <f>IF(Inventory_List_Table341115109111317[[#This Row],[Q]]&lt;0.1, " ",Inventory_List_Table341115109111317[[#This Row],[PRICE]]/Z51*10000)</f>
        <v xml:space="preserve"> </v>
      </c>
      <c r="AB51" s="201"/>
      <c r="AC51" s="1"/>
      <c r="AD51" s="1"/>
    </row>
    <row r="52" spans="1:30" ht="24" customHeight="1" x14ac:dyDescent="0.3">
      <c r="A52" s="206">
        <v>50</v>
      </c>
      <c r="B52" s="1"/>
      <c r="C52" s="205"/>
      <c r="D52" s="205"/>
      <c r="E52" s="205"/>
      <c r="F5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2" s="202"/>
      <c r="H52" s="202"/>
      <c r="I52" s="202"/>
      <c r="J52" s="202"/>
      <c r="K52" s="202"/>
      <c r="L52" s="204"/>
      <c r="M52" s="30" t="str">
        <f>IF(Inventory_List_Table341115109111317[[#This Row],[Q]]&lt;0.1, " ", Inventory_List_Table341115109111317[[#This Row],[Q]]*Inventory_List_Table341115109111317[[#This Row],[PRICE]])</f>
        <v xml:space="preserve"> </v>
      </c>
      <c r="N52" s="35" t="str">
        <f>IF(Inventory_List_Table341115109111317[[#This Row],[Q]]&lt;0.1, " ", Inventory_List_Table341115109111317[[#This Row],[KG]]*2.20462)</f>
        <v xml:space="preserve"> </v>
      </c>
      <c r="O52" s="35" t="str">
        <f>IF(Inventory_List_Table341115109111317[[#This Row],[Q]]&lt;0.1, " ",Inventory_List_Table341115109111317[[#This Row],[H CM]]/2.54)</f>
        <v xml:space="preserve"> </v>
      </c>
      <c r="P52" s="35" t="str">
        <f>IF(Inventory_List_Table341115109111317[[#This Row],[Q]]&lt;0.1, " ",Inventory_List_Table341115109111317[[#This Row],[W CM]]/2.54)</f>
        <v xml:space="preserve"> </v>
      </c>
      <c r="Q52" s="35" t="str">
        <f>IF(Inventory_List_Table341115109111317[[#This Row],[Q]]&lt;0.1, " ",Inventory_List_Table341115109111317[[#This Row],[D CM ]]/2.54)</f>
        <v xml:space="preserve"> </v>
      </c>
      <c r="R52" s="30" t="str">
        <f>IF(Inventory_List_Table341115109111317[[#This Row],[Q]]&lt;0.1, " ",Inventory_List_Table341115109111317[[#This Row],[PRICE]]/$L$1)</f>
        <v xml:space="preserve"> </v>
      </c>
      <c r="S5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2" s="30" t="str">
        <f>IF(Inventory_List_Table341115109111317[[#This Row],[Q]]&lt;0.1, " ",Inventory_List_Table341115109111317[[#This Row],[AQ RND USD]]*1.4)</f>
        <v xml:space="preserve"> </v>
      </c>
      <c r="U5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2" s="30" t="str">
        <f>IF(Inventory_List_Table341115109111317[[#This Row],[Q]]&lt;0.1, " ",Inventory_List_Table341115109111317[[#This Row],[LND RND USD]]*12)</f>
        <v xml:space="preserve"> </v>
      </c>
      <c r="W52" s="30" t="str">
        <f>IF(Inventory_List_Table341115109111317[[#This Row],[Q]]&lt;0.1, " ",Inventory_List_Table341115109111317[[#This Row],[AQ USD]])</f>
        <v xml:space="preserve"> </v>
      </c>
      <c r="X5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2" s="30" t="str">
        <f>IF(Inventory_List_Table341115109111317[[#This Row],[Q]]&lt;0.1, " ",Inventory_List_Table341115109111317[[#This Row],[PRICE]]/Z52*10000)</f>
        <v xml:space="preserve"> </v>
      </c>
      <c r="AB52" s="201"/>
      <c r="AC52" s="1"/>
      <c r="AD52" s="1"/>
    </row>
    <row r="53" spans="1:30" ht="24" customHeight="1" x14ac:dyDescent="0.3">
      <c r="A53" s="206">
        <v>51</v>
      </c>
      <c r="B53" s="1"/>
      <c r="C53" s="205"/>
      <c r="D53" s="205"/>
      <c r="E53" s="205"/>
      <c r="F5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3" s="202"/>
      <c r="H53" s="202"/>
      <c r="I53" s="202"/>
      <c r="J53" s="202"/>
      <c r="K53" s="202"/>
      <c r="L53" s="204"/>
      <c r="M53" s="30" t="str">
        <f>IF(Inventory_List_Table341115109111317[[#This Row],[Q]]&lt;0.1, " ", Inventory_List_Table341115109111317[[#This Row],[Q]]*Inventory_List_Table341115109111317[[#This Row],[PRICE]])</f>
        <v xml:space="preserve"> </v>
      </c>
      <c r="N53" s="35" t="str">
        <f>IF(Inventory_List_Table341115109111317[[#This Row],[Q]]&lt;0.1, " ", Inventory_List_Table341115109111317[[#This Row],[KG]]*2.20462)</f>
        <v xml:space="preserve"> </v>
      </c>
      <c r="O53" s="35" t="str">
        <f>IF(Inventory_List_Table341115109111317[[#This Row],[Q]]&lt;0.1, " ",Inventory_List_Table341115109111317[[#This Row],[H CM]]/2.54)</f>
        <v xml:space="preserve"> </v>
      </c>
      <c r="P53" s="35" t="str">
        <f>IF(Inventory_List_Table341115109111317[[#This Row],[Q]]&lt;0.1, " ",Inventory_List_Table341115109111317[[#This Row],[W CM]]/2.54)</f>
        <v xml:space="preserve"> </v>
      </c>
      <c r="Q53" s="35" t="str">
        <f>IF(Inventory_List_Table341115109111317[[#This Row],[Q]]&lt;0.1, " ",Inventory_List_Table341115109111317[[#This Row],[D CM ]]/2.54)</f>
        <v xml:space="preserve"> </v>
      </c>
      <c r="R53" s="30" t="str">
        <f>IF(Inventory_List_Table341115109111317[[#This Row],[Q]]&lt;0.1, " ",Inventory_List_Table341115109111317[[#This Row],[PRICE]]/$L$1)</f>
        <v xml:space="preserve"> </v>
      </c>
      <c r="S5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3" s="30" t="str">
        <f>IF(Inventory_List_Table341115109111317[[#This Row],[Q]]&lt;0.1, " ",Inventory_List_Table341115109111317[[#This Row],[AQ RND USD]]*1.4)</f>
        <v xml:space="preserve"> </v>
      </c>
      <c r="U5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3" s="30" t="str">
        <f>IF(Inventory_List_Table341115109111317[[#This Row],[Q]]&lt;0.1, " ",Inventory_List_Table341115109111317[[#This Row],[LND RND USD]]*12)</f>
        <v xml:space="preserve"> </v>
      </c>
      <c r="W53" s="30" t="str">
        <f>IF(Inventory_List_Table341115109111317[[#This Row],[Q]]&lt;0.1, " ",Inventory_List_Table341115109111317[[#This Row],[AQ USD]])</f>
        <v xml:space="preserve"> </v>
      </c>
      <c r="X5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3" s="30" t="str">
        <f>IF(Inventory_List_Table341115109111317[[#This Row],[Q]]&lt;0.1, " ",Inventory_List_Table341115109111317[[#This Row],[PRICE]]/Z53*10000)</f>
        <v xml:space="preserve"> </v>
      </c>
      <c r="AB53" s="201"/>
      <c r="AC53" s="1"/>
      <c r="AD53" s="1"/>
    </row>
    <row r="54" spans="1:30" ht="24" customHeight="1" x14ac:dyDescent="0.3">
      <c r="A54" s="206">
        <v>52</v>
      </c>
      <c r="B54" s="1"/>
      <c r="C54" s="205"/>
      <c r="D54" s="205"/>
      <c r="E54" s="205"/>
      <c r="F5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4" s="202"/>
      <c r="H54" s="202"/>
      <c r="I54" s="202"/>
      <c r="J54" s="202"/>
      <c r="K54" s="202"/>
      <c r="L54" s="204"/>
      <c r="M54" s="30" t="str">
        <f>IF(Inventory_List_Table341115109111317[[#This Row],[Q]]&lt;0.1, " ", Inventory_List_Table341115109111317[[#This Row],[Q]]*Inventory_List_Table341115109111317[[#This Row],[PRICE]])</f>
        <v xml:space="preserve"> </v>
      </c>
      <c r="N54" s="35" t="str">
        <f>IF(Inventory_List_Table341115109111317[[#This Row],[Q]]&lt;0.1, " ", Inventory_List_Table341115109111317[[#This Row],[KG]]*2.20462)</f>
        <v xml:space="preserve"> </v>
      </c>
      <c r="O54" s="35" t="str">
        <f>IF(Inventory_List_Table341115109111317[[#This Row],[Q]]&lt;0.1, " ",Inventory_List_Table341115109111317[[#This Row],[H CM]]/2.54)</f>
        <v xml:space="preserve"> </v>
      </c>
      <c r="P54" s="35" t="str">
        <f>IF(Inventory_List_Table341115109111317[[#This Row],[Q]]&lt;0.1, " ",Inventory_List_Table341115109111317[[#This Row],[W CM]]/2.54)</f>
        <v xml:space="preserve"> </v>
      </c>
      <c r="Q54" s="35" t="str">
        <f>IF(Inventory_List_Table341115109111317[[#This Row],[Q]]&lt;0.1, " ",Inventory_List_Table341115109111317[[#This Row],[D CM ]]/2.54)</f>
        <v xml:space="preserve"> </v>
      </c>
      <c r="R54" s="30" t="str">
        <f>IF(Inventory_List_Table341115109111317[[#This Row],[Q]]&lt;0.1, " ",Inventory_List_Table341115109111317[[#This Row],[PRICE]]/$L$1)</f>
        <v xml:space="preserve"> </v>
      </c>
      <c r="S5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4" s="30" t="str">
        <f>IF(Inventory_List_Table341115109111317[[#This Row],[Q]]&lt;0.1, " ",Inventory_List_Table341115109111317[[#This Row],[AQ RND USD]]*1.4)</f>
        <v xml:space="preserve"> </v>
      </c>
      <c r="U5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4" s="30" t="str">
        <f>IF(Inventory_List_Table341115109111317[[#This Row],[Q]]&lt;0.1, " ",Inventory_List_Table341115109111317[[#This Row],[LND RND USD]]*12)</f>
        <v xml:space="preserve"> </v>
      </c>
      <c r="W54" s="30" t="str">
        <f>IF(Inventory_List_Table341115109111317[[#This Row],[Q]]&lt;0.1, " ",Inventory_List_Table341115109111317[[#This Row],[AQ USD]])</f>
        <v xml:space="preserve"> </v>
      </c>
      <c r="X5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4" s="30" t="str">
        <f>IF(Inventory_List_Table341115109111317[[#This Row],[Q]]&lt;0.1, " ",Inventory_List_Table341115109111317[[#This Row],[PRICE]]/Z54*10000)</f>
        <v xml:space="preserve"> </v>
      </c>
      <c r="AB54" s="201"/>
      <c r="AC54" s="1"/>
      <c r="AD54" s="1"/>
    </row>
    <row r="55" spans="1:30" ht="24" customHeight="1" x14ac:dyDescent="0.3">
      <c r="A55" s="206">
        <v>53</v>
      </c>
      <c r="B55" s="1"/>
      <c r="C55" s="205"/>
      <c r="D55" s="205"/>
      <c r="E55" s="205"/>
      <c r="F5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5" s="202"/>
      <c r="H55" s="202"/>
      <c r="I55" s="202"/>
      <c r="J55" s="202"/>
      <c r="K55" s="202"/>
      <c r="L55" s="204"/>
      <c r="M55" s="30" t="str">
        <f>IF(Inventory_List_Table341115109111317[[#This Row],[Q]]&lt;0.1, " ", Inventory_List_Table341115109111317[[#This Row],[Q]]*Inventory_List_Table341115109111317[[#This Row],[PRICE]])</f>
        <v xml:space="preserve"> </v>
      </c>
      <c r="N55" s="35" t="str">
        <f>IF(Inventory_List_Table341115109111317[[#This Row],[Q]]&lt;0.1, " ", Inventory_List_Table341115109111317[[#This Row],[KG]]*2.20462)</f>
        <v xml:space="preserve"> </v>
      </c>
      <c r="O55" s="35" t="str">
        <f>IF(Inventory_List_Table341115109111317[[#This Row],[Q]]&lt;0.1, " ",Inventory_List_Table341115109111317[[#This Row],[H CM]]/2.54)</f>
        <v xml:space="preserve"> </v>
      </c>
      <c r="P55" s="35" t="str">
        <f>IF(Inventory_List_Table341115109111317[[#This Row],[Q]]&lt;0.1, " ",Inventory_List_Table341115109111317[[#This Row],[W CM]]/2.54)</f>
        <v xml:space="preserve"> </v>
      </c>
      <c r="Q55" s="35" t="str">
        <f>IF(Inventory_List_Table341115109111317[[#This Row],[Q]]&lt;0.1, " ",Inventory_List_Table341115109111317[[#This Row],[D CM ]]/2.54)</f>
        <v xml:space="preserve"> </v>
      </c>
      <c r="R55" s="30" t="str">
        <f>IF(Inventory_List_Table341115109111317[[#This Row],[Q]]&lt;0.1, " ",Inventory_List_Table341115109111317[[#This Row],[PRICE]]/$L$1)</f>
        <v xml:space="preserve"> </v>
      </c>
      <c r="S5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5" s="30" t="str">
        <f>IF(Inventory_List_Table341115109111317[[#This Row],[Q]]&lt;0.1, " ",Inventory_List_Table341115109111317[[#This Row],[AQ RND USD]]*1.4)</f>
        <v xml:space="preserve"> </v>
      </c>
      <c r="U5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5" s="30" t="str">
        <f>IF(Inventory_List_Table341115109111317[[#This Row],[Q]]&lt;0.1, " ",Inventory_List_Table341115109111317[[#This Row],[LND RND USD]]*12)</f>
        <v xml:space="preserve"> </v>
      </c>
      <c r="W55" s="30" t="str">
        <f>IF(Inventory_List_Table341115109111317[[#This Row],[Q]]&lt;0.1, " ",Inventory_List_Table341115109111317[[#This Row],[AQ USD]])</f>
        <v xml:space="preserve"> </v>
      </c>
      <c r="X5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5" s="30" t="str">
        <f>IF(Inventory_List_Table341115109111317[[#This Row],[Q]]&lt;0.1, " ",Inventory_List_Table341115109111317[[#This Row],[PRICE]]/Z55*10000)</f>
        <v xml:space="preserve"> </v>
      </c>
      <c r="AB55" s="201"/>
      <c r="AC55" s="1"/>
      <c r="AD55" s="1"/>
    </row>
    <row r="56" spans="1:30" ht="24" customHeight="1" x14ac:dyDescent="0.3">
      <c r="A56" s="206">
        <v>54</v>
      </c>
      <c r="B56" s="1"/>
      <c r="C56" s="205"/>
      <c r="D56" s="205"/>
      <c r="E56" s="205"/>
      <c r="F5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6" s="202"/>
      <c r="H56" s="202"/>
      <c r="I56" s="202"/>
      <c r="J56" s="202"/>
      <c r="K56" s="202"/>
      <c r="L56" s="204"/>
      <c r="M56" s="30" t="str">
        <f>IF(Inventory_List_Table341115109111317[[#This Row],[Q]]&lt;0.1, " ", Inventory_List_Table341115109111317[[#This Row],[Q]]*Inventory_List_Table341115109111317[[#This Row],[PRICE]])</f>
        <v xml:space="preserve"> </v>
      </c>
      <c r="N56" s="35" t="str">
        <f>IF(Inventory_List_Table341115109111317[[#This Row],[Q]]&lt;0.1, " ", Inventory_List_Table341115109111317[[#This Row],[KG]]*2.20462)</f>
        <v xml:space="preserve"> </v>
      </c>
      <c r="O56" s="35" t="str">
        <f>IF(Inventory_List_Table341115109111317[[#This Row],[Q]]&lt;0.1, " ",Inventory_List_Table341115109111317[[#This Row],[H CM]]/2.54)</f>
        <v xml:space="preserve"> </v>
      </c>
      <c r="P56" s="35" t="str">
        <f>IF(Inventory_List_Table341115109111317[[#This Row],[Q]]&lt;0.1, " ",Inventory_List_Table341115109111317[[#This Row],[W CM]]/2.54)</f>
        <v xml:space="preserve"> </v>
      </c>
      <c r="Q56" s="35" t="str">
        <f>IF(Inventory_List_Table341115109111317[[#This Row],[Q]]&lt;0.1, " ",Inventory_List_Table341115109111317[[#This Row],[D CM ]]/2.54)</f>
        <v xml:space="preserve"> </v>
      </c>
      <c r="R56" s="30" t="str">
        <f>IF(Inventory_List_Table341115109111317[[#This Row],[Q]]&lt;0.1, " ",Inventory_List_Table341115109111317[[#This Row],[PRICE]]/$L$1)</f>
        <v xml:space="preserve"> </v>
      </c>
      <c r="S5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6" s="30" t="str">
        <f>IF(Inventory_List_Table341115109111317[[#This Row],[Q]]&lt;0.1, " ",Inventory_List_Table341115109111317[[#This Row],[AQ RND USD]]*1.4)</f>
        <v xml:space="preserve"> </v>
      </c>
      <c r="U5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6" s="30" t="str">
        <f>IF(Inventory_List_Table341115109111317[[#This Row],[Q]]&lt;0.1, " ",Inventory_List_Table341115109111317[[#This Row],[LND RND USD]]*12)</f>
        <v xml:space="preserve"> </v>
      </c>
      <c r="W56" s="30" t="str">
        <f>IF(Inventory_List_Table341115109111317[[#This Row],[Q]]&lt;0.1, " ",Inventory_List_Table341115109111317[[#This Row],[AQ USD]])</f>
        <v xml:space="preserve"> </v>
      </c>
      <c r="X5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6" s="30" t="str">
        <f>IF(Inventory_List_Table341115109111317[[#This Row],[Q]]&lt;0.1, " ",Inventory_List_Table341115109111317[[#This Row],[PRICE]]/Z56*10000)</f>
        <v xml:space="preserve"> </v>
      </c>
      <c r="AB56" s="201"/>
      <c r="AC56" s="1"/>
      <c r="AD56" s="1"/>
    </row>
    <row r="57" spans="1:30" ht="24" customHeight="1" x14ac:dyDescent="0.3">
      <c r="A57" s="206">
        <v>55</v>
      </c>
      <c r="B57" s="1"/>
      <c r="C57" s="205"/>
      <c r="D57" s="205"/>
      <c r="E57" s="205"/>
      <c r="F5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7" s="202"/>
      <c r="H57" s="202"/>
      <c r="I57" s="202"/>
      <c r="J57" s="202"/>
      <c r="K57" s="202"/>
      <c r="L57" s="204"/>
      <c r="M57" s="30" t="str">
        <f>IF(Inventory_List_Table341115109111317[[#This Row],[Q]]&lt;0.1, " ", Inventory_List_Table341115109111317[[#This Row],[Q]]*Inventory_List_Table341115109111317[[#This Row],[PRICE]])</f>
        <v xml:space="preserve"> </v>
      </c>
      <c r="N57" s="35" t="str">
        <f>IF(Inventory_List_Table341115109111317[[#This Row],[Q]]&lt;0.1, " ", Inventory_List_Table341115109111317[[#This Row],[KG]]*2.20462)</f>
        <v xml:space="preserve"> </v>
      </c>
      <c r="O57" s="35" t="str">
        <f>IF(Inventory_List_Table341115109111317[[#This Row],[Q]]&lt;0.1, " ",Inventory_List_Table341115109111317[[#This Row],[H CM]]/2.54)</f>
        <v xml:space="preserve"> </v>
      </c>
      <c r="P57" s="35" t="str">
        <f>IF(Inventory_List_Table341115109111317[[#This Row],[Q]]&lt;0.1, " ",Inventory_List_Table341115109111317[[#This Row],[W CM]]/2.54)</f>
        <v xml:space="preserve"> </v>
      </c>
      <c r="Q57" s="35" t="str">
        <f>IF(Inventory_List_Table341115109111317[[#This Row],[Q]]&lt;0.1, " ",Inventory_List_Table341115109111317[[#This Row],[D CM ]]/2.54)</f>
        <v xml:space="preserve"> </v>
      </c>
      <c r="R57" s="30" t="str">
        <f>IF(Inventory_List_Table341115109111317[[#This Row],[Q]]&lt;0.1, " ",Inventory_List_Table341115109111317[[#This Row],[PRICE]]/$L$1)</f>
        <v xml:space="preserve"> </v>
      </c>
      <c r="S5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7" s="30" t="str">
        <f>IF(Inventory_List_Table341115109111317[[#This Row],[Q]]&lt;0.1, " ",Inventory_List_Table341115109111317[[#This Row],[AQ RND USD]]*1.4)</f>
        <v xml:space="preserve"> </v>
      </c>
      <c r="U5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7" s="30" t="str">
        <f>IF(Inventory_List_Table341115109111317[[#This Row],[Q]]&lt;0.1, " ",Inventory_List_Table341115109111317[[#This Row],[LND RND USD]]*12)</f>
        <v xml:space="preserve"> </v>
      </c>
      <c r="W57" s="30" t="str">
        <f>IF(Inventory_List_Table341115109111317[[#This Row],[Q]]&lt;0.1, " ",Inventory_List_Table341115109111317[[#This Row],[AQ USD]])</f>
        <v xml:space="preserve"> </v>
      </c>
      <c r="X5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7" s="30" t="str">
        <f>IF(Inventory_List_Table341115109111317[[#This Row],[Q]]&lt;0.1, " ",Inventory_List_Table341115109111317[[#This Row],[PRICE]]/Z57*10000)</f>
        <v xml:space="preserve"> </v>
      </c>
      <c r="AB57" s="201"/>
      <c r="AC57" s="1"/>
      <c r="AD57" s="1"/>
    </row>
    <row r="58" spans="1:30" ht="24" customHeight="1" x14ac:dyDescent="0.3">
      <c r="A58" s="206">
        <v>56</v>
      </c>
      <c r="B58" s="1"/>
      <c r="C58" s="205"/>
      <c r="D58" s="205"/>
      <c r="E58" s="205"/>
      <c r="F5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8" s="202"/>
      <c r="H58" s="202"/>
      <c r="I58" s="202"/>
      <c r="J58" s="202"/>
      <c r="K58" s="202"/>
      <c r="L58" s="204"/>
      <c r="M58" s="30" t="str">
        <f>IF(Inventory_List_Table341115109111317[[#This Row],[Q]]&lt;0.1, " ", Inventory_List_Table341115109111317[[#This Row],[Q]]*Inventory_List_Table341115109111317[[#This Row],[PRICE]])</f>
        <v xml:space="preserve"> </v>
      </c>
      <c r="N58" s="35" t="str">
        <f>IF(Inventory_List_Table341115109111317[[#This Row],[Q]]&lt;0.1, " ", Inventory_List_Table341115109111317[[#This Row],[KG]]*2.20462)</f>
        <v xml:space="preserve"> </v>
      </c>
      <c r="O58" s="35" t="str">
        <f>IF(Inventory_List_Table341115109111317[[#This Row],[Q]]&lt;0.1, " ",Inventory_List_Table341115109111317[[#This Row],[H CM]]/2.54)</f>
        <v xml:space="preserve"> </v>
      </c>
      <c r="P58" s="35" t="str">
        <f>IF(Inventory_List_Table341115109111317[[#This Row],[Q]]&lt;0.1, " ",Inventory_List_Table341115109111317[[#This Row],[W CM]]/2.54)</f>
        <v xml:space="preserve"> </v>
      </c>
      <c r="Q58" s="35" t="str">
        <f>IF(Inventory_List_Table341115109111317[[#This Row],[Q]]&lt;0.1, " ",Inventory_List_Table341115109111317[[#This Row],[D CM ]]/2.54)</f>
        <v xml:space="preserve"> </v>
      </c>
      <c r="R58" s="30" t="str">
        <f>IF(Inventory_List_Table341115109111317[[#This Row],[Q]]&lt;0.1, " ",Inventory_List_Table341115109111317[[#This Row],[PRICE]]/$L$1)</f>
        <v xml:space="preserve"> </v>
      </c>
      <c r="S5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8" s="30" t="str">
        <f>IF(Inventory_List_Table341115109111317[[#This Row],[Q]]&lt;0.1, " ",Inventory_List_Table341115109111317[[#This Row],[AQ RND USD]]*1.4)</f>
        <v xml:space="preserve"> </v>
      </c>
      <c r="U5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8" s="30" t="str">
        <f>IF(Inventory_List_Table341115109111317[[#This Row],[Q]]&lt;0.1, " ",Inventory_List_Table341115109111317[[#This Row],[LND RND USD]]*12)</f>
        <v xml:space="preserve"> </v>
      </c>
      <c r="W58" s="30" t="str">
        <f>IF(Inventory_List_Table341115109111317[[#This Row],[Q]]&lt;0.1, " ",Inventory_List_Table341115109111317[[#This Row],[AQ USD]])</f>
        <v xml:space="preserve"> </v>
      </c>
      <c r="X5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8" s="30" t="str">
        <f>IF(Inventory_List_Table341115109111317[[#This Row],[Q]]&lt;0.1, " ",Inventory_List_Table341115109111317[[#This Row],[PRICE]]/Z58*10000)</f>
        <v xml:space="preserve"> </v>
      </c>
      <c r="AB58" s="201"/>
      <c r="AC58" s="1"/>
      <c r="AD58" s="1"/>
    </row>
    <row r="59" spans="1:30" ht="24" customHeight="1" x14ac:dyDescent="0.3">
      <c r="A59" s="206">
        <v>57</v>
      </c>
      <c r="B59" s="1"/>
      <c r="C59" s="205"/>
      <c r="D59" s="205"/>
      <c r="E59" s="205"/>
      <c r="F5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59" s="202"/>
      <c r="H59" s="202"/>
      <c r="I59" s="202"/>
      <c r="J59" s="202"/>
      <c r="K59" s="202"/>
      <c r="L59" s="204"/>
      <c r="M59" s="30" t="str">
        <f>IF(Inventory_List_Table341115109111317[[#This Row],[Q]]&lt;0.1, " ", Inventory_List_Table341115109111317[[#This Row],[Q]]*Inventory_List_Table341115109111317[[#This Row],[PRICE]])</f>
        <v xml:space="preserve"> </v>
      </c>
      <c r="N59" s="35" t="str">
        <f>IF(Inventory_List_Table341115109111317[[#This Row],[Q]]&lt;0.1, " ", Inventory_List_Table341115109111317[[#This Row],[KG]]*2.20462)</f>
        <v xml:space="preserve"> </v>
      </c>
      <c r="O59" s="35" t="str">
        <f>IF(Inventory_List_Table341115109111317[[#This Row],[Q]]&lt;0.1, " ",Inventory_List_Table341115109111317[[#This Row],[H CM]]/2.54)</f>
        <v xml:space="preserve"> </v>
      </c>
      <c r="P59" s="35" t="str">
        <f>IF(Inventory_List_Table341115109111317[[#This Row],[Q]]&lt;0.1, " ",Inventory_List_Table341115109111317[[#This Row],[W CM]]/2.54)</f>
        <v xml:space="preserve"> </v>
      </c>
      <c r="Q59" s="35" t="str">
        <f>IF(Inventory_List_Table341115109111317[[#This Row],[Q]]&lt;0.1, " ",Inventory_List_Table341115109111317[[#This Row],[D CM ]]/2.54)</f>
        <v xml:space="preserve"> </v>
      </c>
      <c r="R59" s="30" t="str">
        <f>IF(Inventory_List_Table341115109111317[[#This Row],[Q]]&lt;0.1, " ",Inventory_List_Table341115109111317[[#This Row],[PRICE]]/$L$1)</f>
        <v xml:space="preserve"> </v>
      </c>
      <c r="S5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59" s="30" t="str">
        <f>IF(Inventory_List_Table341115109111317[[#This Row],[Q]]&lt;0.1, " ",Inventory_List_Table341115109111317[[#This Row],[AQ RND USD]]*1.4)</f>
        <v xml:space="preserve"> </v>
      </c>
      <c r="U5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59" s="30" t="str">
        <f>IF(Inventory_List_Table341115109111317[[#This Row],[Q]]&lt;0.1, " ",Inventory_List_Table341115109111317[[#This Row],[LND RND USD]]*12)</f>
        <v xml:space="preserve"> </v>
      </c>
      <c r="W59" s="30" t="str">
        <f>IF(Inventory_List_Table341115109111317[[#This Row],[Q]]&lt;0.1, " ",Inventory_List_Table341115109111317[[#This Row],[AQ USD]])</f>
        <v xml:space="preserve"> </v>
      </c>
      <c r="X5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5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5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59" s="30" t="str">
        <f>IF(Inventory_List_Table341115109111317[[#This Row],[Q]]&lt;0.1, " ",Inventory_List_Table341115109111317[[#This Row],[PRICE]]/Z59*10000)</f>
        <v xml:space="preserve"> </v>
      </c>
      <c r="AB59" s="201"/>
      <c r="AC59" s="1"/>
      <c r="AD59" s="1"/>
    </row>
    <row r="60" spans="1:30" ht="24" customHeight="1" x14ac:dyDescent="0.3">
      <c r="A60" s="206">
        <v>58</v>
      </c>
      <c r="B60" s="1"/>
      <c r="C60" s="205"/>
      <c r="D60" s="205"/>
      <c r="E60" s="205"/>
      <c r="F6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0" s="202"/>
      <c r="H60" s="202"/>
      <c r="I60" s="202"/>
      <c r="J60" s="202"/>
      <c r="K60" s="202"/>
      <c r="L60" s="204"/>
      <c r="M60" s="30" t="str">
        <f>IF(Inventory_List_Table341115109111317[[#This Row],[Q]]&lt;0.1, " ", Inventory_List_Table341115109111317[[#This Row],[Q]]*Inventory_List_Table341115109111317[[#This Row],[PRICE]])</f>
        <v xml:space="preserve"> </v>
      </c>
      <c r="N60" s="35" t="str">
        <f>IF(Inventory_List_Table341115109111317[[#This Row],[Q]]&lt;0.1, " ", Inventory_List_Table341115109111317[[#This Row],[KG]]*2.20462)</f>
        <v xml:space="preserve"> </v>
      </c>
      <c r="O60" s="35" t="str">
        <f>IF(Inventory_List_Table341115109111317[[#This Row],[Q]]&lt;0.1, " ",Inventory_List_Table341115109111317[[#This Row],[H CM]]/2.54)</f>
        <v xml:space="preserve"> </v>
      </c>
      <c r="P60" s="35" t="str">
        <f>IF(Inventory_List_Table341115109111317[[#This Row],[Q]]&lt;0.1, " ",Inventory_List_Table341115109111317[[#This Row],[W CM]]/2.54)</f>
        <v xml:space="preserve"> </v>
      </c>
      <c r="Q60" s="35" t="str">
        <f>IF(Inventory_List_Table341115109111317[[#This Row],[Q]]&lt;0.1, " ",Inventory_List_Table341115109111317[[#This Row],[D CM ]]/2.54)</f>
        <v xml:space="preserve"> </v>
      </c>
      <c r="R60" s="30" t="str">
        <f>IF(Inventory_List_Table341115109111317[[#This Row],[Q]]&lt;0.1, " ",Inventory_List_Table341115109111317[[#This Row],[PRICE]]/$L$1)</f>
        <v xml:space="preserve"> </v>
      </c>
      <c r="S6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0" s="30" t="str">
        <f>IF(Inventory_List_Table341115109111317[[#This Row],[Q]]&lt;0.1, " ",Inventory_List_Table341115109111317[[#This Row],[AQ RND USD]]*1.4)</f>
        <v xml:space="preserve"> </v>
      </c>
      <c r="U6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0" s="30" t="str">
        <f>IF(Inventory_List_Table341115109111317[[#This Row],[Q]]&lt;0.1, " ",Inventory_List_Table341115109111317[[#This Row],[LND RND USD]]*12)</f>
        <v xml:space="preserve"> </v>
      </c>
      <c r="W60" s="30" t="str">
        <f>IF(Inventory_List_Table341115109111317[[#This Row],[Q]]&lt;0.1, " ",Inventory_List_Table341115109111317[[#This Row],[AQ USD]])</f>
        <v xml:space="preserve"> </v>
      </c>
      <c r="X6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0" s="30" t="str">
        <f>IF(Inventory_List_Table341115109111317[[#This Row],[Q]]&lt;0.1, " ",Inventory_List_Table341115109111317[[#This Row],[PRICE]]/Z60*10000)</f>
        <v xml:space="preserve"> </v>
      </c>
      <c r="AB60" s="201"/>
      <c r="AC60" s="1"/>
      <c r="AD60" s="1"/>
    </row>
    <row r="61" spans="1:30" ht="24" customHeight="1" x14ac:dyDescent="0.3">
      <c r="A61" s="206">
        <v>59</v>
      </c>
      <c r="B61" s="1"/>
      <c r="C61" s="205"/>
      <c r="D61" s="205"/>
      <c r="E61" s="205"/>
      <c r="F6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1" s="202"/>
      <c r="H61" s="202"/>
      <c r="I61" s="202"/>
      <c r="J61" s="202"/>
      <c r="K61" s="202"/>
      <c r="L61" s="204"/>
      <c r="M61" s="30" t="str">
        <f>IF(Inventory_List_Table341115109111317[[#This Row],[Q]]&lt;0.1, " ", Inventory_List_Table341115109111317[[#This Row],[Q]]*Inventory_List_Table341115109111317[[#This Row],[PRICE]])</f>
        <v xml:space="preserve"> </v>
      </c>
      <c r="N61" s="35" t="str">
        <f>IF(Inventory_List_Table341115109111317[[#This Row],[Q]]&lt;0.1, " ", Inventory_List_Table341115109111317[[#This Row],[KG]]*2.20462)</f>
        <v xml:space="preserve"> </v>
      </c>
      <c r="O61" s="35" t="str">
        <f>IF(Inventory_List_Table341115109111317[[#This Row],[Q]]&lt;0.1, " ",Inventory_List_Table341115109111317[[#This Row],[H CM]]/2.54)</f>
        <v xml:space="preserve"> </v>
      </c>
      <c r="P61" s="35" t="str">
        <f>IF(Inventory_List_Table341115109111317[[#This Row],[Q]]&lt;0.1, " ",Inventory_List_Table341115109111317[[#This Row],[W CM]]/2.54)</f>
        <v xml:space="preserve"> </v>
      </c>
      <c r="Q61" s="35" t="str">
        <f>IF(Inventory_List_Table341115109111317[[#This Row],[Q]]&lt;0.1, " ",Inventory_List_Table341115109111317[[#This Row],[D CM ]]/2.54)</f>
        <v xml:space="preserve"> </v>
      </c>
      <c r="R61" s="30" t="str">
        <f>IF(Inventory_List_Table341115109111317[[#This Row],[Q]]&lt;0.1, " ",Inventory_List_Table341115109111317[[#This Row],[PRICE]]/$L$1)</f>
        <v xml:space="preserve"> </v>
      </c>
      <c r="S6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1" s="30" t="str">
        <f>IF(Inventory_List_Table341115109111317[[#This Row],[Q]]&lt;0.1, " ",Inventory_List_Table341115109111317[[#This Row],[AQ RND USD]]*1.4)</f>
        <v xml:space="preserve"> </v>
      </c>
      <c r="U6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1" s="30" t="str">
        <f>IF(Inventory_List_Table341115109111317[[#This Row],[Q]]&lt;0.1, " ",Inventory_List_Table341115109111317[[#This Row],[LND RND USD]]*12)</f>
        <v xml:space="preserve"> </v>
      </c>
      <c r="W61" s="30" t="str">
        <f>IF(Inventory_List_Table341115109111317[[#This Row],[Q]]&lt;0.1, " ",Inventory_List_Table341115109111317[[#This Row],[AQ USD]])</f>
        <v xml:space="preserve"> </v>
      </c>
      <c r="X6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1" s="30" t="str">
        <f>IF(Inventory_List_Table341115109111317[[#This Row],[Q]]&lt;0.1, " ",Inventory_List_Table341115109111317[[#This Row],[PRICE]]/Z61*10000)</f>
        <v xml:space="preserve"> </v>
      </c>
      <c r="AB61" s="201"/>
      <c r="AC61" s="1"/>
      <c r="AD61" s="1"/>
    </row>
    <row r="62" spans="1:30" ht="24" customHeight="1" x14ac:dyDescent="0.3">
      <c r="A62" s="206">
        <v>60</v>
      </c>
      <c r="B62" s="1"/>
      <c r="C62" s="205"/>
      <c r="D62" s="205"/>
      <c r="E62" s="205"/>
      <c r="F6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2" s="202"/>
      <c r="H62" s="202"/>
      <c r="I62" s="202"/>
      <c r="J62" s="202"/>
      <c r="K62" s="202"/>
      <c r="L62" s="204"/>
      <c r="M62" s="30" t="str">
        <f>IF(Inventory_List_Table341115109111317[[#This Row],[Q]]&lt;0.1, " ", Inventory_List_Table341115109111317[[#This Row],[Q]]*Inventory_List_Table341115109111317[[#This Row],[PRICE]])</f>
        <v xml:space="preserve"> </v>
      </c>
      <c r="N62" s="35" t="str">
        <f>IF(Inventory_List_Table341115109111317[[#This Row],[Q]]&lt;0.1, " ", Inventory_List_Table341115109111317[[#This Row],[KG]]*2.20462)</f>
        <v xml:space="preserve"> </v>
      </c>
      <c r="O62" s="35" t="str">
        <f>IF(Inventory_List_Table341115109111317[[#This Row],[Q]]&lt;0.1, " ",Inventory_List_Table341115109111317[[#This Row],[H CM]]/2.54)</f>
        <v xml:space="preserve"> </v>
      </c>
      <c r="P62" s="35" t="str">
        <f>IF(Inventory_List_Table341115109111317[[#This Row],[Q]]&lt;0.1, " ",Inventory_List_Table341115109111317[[#This Row],[W CM]]/2.54)</f>
        <v xml:space="preserve"> </v>
      </c>
      <c r="Q62" s="35" t="str">
        <f>IF(Inventory_List_Table341115109111317[[#This Row],[Q]]&lt;0.1, " ",Inventory_List_Table341115109111317[[#This Row],[D CM ]]/2.54)</f>
        <v xml:space="preserve"> </v>
      </c>
      <c r="R62" s="30" t="str">
        <f>IF(Inventory_List_Table341115109111317[[#This Row],[Q]]&lt;0.1, " ",Inventory_List_Table341115109111317[[#This Row],[PRICE]]/$L$1)</f>
        <v xml:space="preserve"> </v>
      </c>
      <c r="S6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2" s="30" t="str">
        <f>IF(Inventory_List_Table341115109111317[[#This Row],[Q]]&lt;0.1, " ",Inventory_List_Table341115109111317[[#This Row],[AQ RND USD]]*1.4)</f>
        <v xml:space="preserve"> </v>
      </c>
      <c r="U6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2" s="30" t="str">
        <f>IF(Inventory_List_Table341115109111317[[#This Row],[Q]]&lt;0.1, " ",Inventory_List_Table341115109111317[[#This Row],[LND RND USD]]*12)</f>
        <v xml:space="preserve"> </v>
      </c>
      <c r="W62" s="30" t="str">
        <f>IF(Inventory_List_Table341115109111317[[#This Row],[Q]]&lt;0.1, " ",Inventory_List_Table341115109111317[[#This Row],[AQ USD]])</f>
        <v xml:space="preserve"> </v>
      </c>
      <c r="X6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2" s="30" t="str">
        <f>IF(Inventory_List_Table341115109111317[[#This Row],[Q]]&lt;0.1, " ",Inventory_List_Table341115109111317[[#This Row],[PRICE]]/Z62*10000)</f>
        <v xml:space="preserve"> </v>
      </c>
      <c r="AB62" s="201"/>
      <c r="AC62" s="1"/>
      <c r="AD62" s="1"/>
    </row>
    <row r="63" spans="1:30" ht="24" customHeight="1" x14ac:dyDescent="0.3">
      <c r="A63" s="206">
        <v>61</v>
      </c>
      <c r="B63" s="1"/>
      <c r="C63" s="205"/>
      <c r="D63" s="205"/>
      <c r="E63" s="205"/>
      <c r="F6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3" s="202"/>
      <c r="H63" s="202"/>
      <c r="I63" s="202"/>
      <c r="J63" s="202"/>
      <c r="K63" s="202"/>
      <c r="L63" s="204"/>
      <c r="M63" s="30" t="str">
        <f>IF(Inventory_List_Table341115109111317[[#This Row],[Q]]&lt;0.1, " ", Inventory_List_Table341115109111317[[#This Row],[Q]]*Inventory_List_Table341115109111317[[#This Row],[PRICE]])</f>
        <v xml:space="preserve"> </v>
      </c>
      <c r="N63" s="35" t="str">
        <f>IF(Inventory_List_Table341115109111317[[#This Row],[Q]]&lt;0.1, " ", Inventory_List_Table341115109111317[[#This Row],[KG]]*2.20462)</f>
        <v xml:space="preserve"> </v>
      </c>
      <c r="O63" s="35" t="str">
        <f>IF(Inventory_List_Table341115109111317[[#This Row],[Q]]&lt;0.1, " ",Inventory_List_Table341115109111317[[#This Row],[H CM]]/2.54)</f>
        <v xml:space="preserve"> </v>
      </c>
      <c r="P63" s="35" t="str">
        <f>IF(Inventory_List_Table341115109111317[[#This Row],[Q]]&lt;0.1, " ",Inventory_List_Table341115109111317[[#This Row],[W CM]]/2.54)</f>
        <v xml:space="preserve"> </v>
      </c>
      <c r="Q63" s="35" t="str">
        <f>IF(Inventory_List_Table341115109111317[[#This Row],[Q]]&lt;0.1, " ",Inventory_List_Table341115109111317[[#This Row],[D CM ]]/2.54)</f>
        <v xml:space="preserve"> </v>
      </c>
      <c r="R63" s="30" t="str">
        <f>IF(Inventory_List_Table341115109111317[[#This Row],[Q]]&lt;0.1, " ",Inventory_List_Table341115109111317[[#This Row],[PRICE]]/$L$1)</f>
        <v xml:space="preserve"> </v>
      </c>
      <c r="S6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3" s="30" t="str">
        <f>IF(Inventory_List_Table341115109111317[[#This Row],[Q]]&lt;0.1, " ",Inventory_List_Table341115109111317[[#This Row],[AQ RND USD]]*1.4)</f>
        <v xml:space="preserve"> </v>
      </c>
      <c r="U6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3" s="30" t="str">
        <f>IF(Inventory_List_Table341115109111317[[#This Row],[Q]]&lt;0.1, " ",Inventory_List_Table341115109111317[[#This Row],[LND RND USD]]*12)</f>
        <v xml:space="preserve"> </v>
      </c>
      <c r="W63" s="30" t="str">
        <f>IF(Inventory_List_Table341115109111317[[#This Row],[Q]]&lt;0.1, " ",Inventory_List_Table341115109111317[[#This Row],[AQ USD]])</f>
        <v xml:space="preserve"> </v>
      </c>
      <c r="X6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3" s="30" t="str">
        <f>IF(Inventory_List_Table341115109111317[[#This Row],[Q]]&lt;0.1, " ",Inventory_List_Table341115109111317[[#This Row],[PRICE]]/Z63*10000)</f>
        <v xml:space="preserve"> </v>
      </c>
      <c r="AB63" s="201"/>
      <c r="AC63" s="1"/>
      <c r="AD63" s="1"/>
    </row>
    <row r="64" spans="1:30" ht="24" customHeight="1" x14ac:dyDescent="0.3">
      <c r="A64" s="206">
        <v>62</v>
      </c>
      <c r="B64" s="1"/>
      <c r="C64" s="205"/>
      <c r="D64" s="205"/>
      <c r="E64" s="205"/>
      <c r="F6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4" s="202"/>
      <c r="H64" s="202"/>
      <c r="I64" s="202"/>
      <c r="J64" s="202"/>
      <c r="K64" s="202"/>
      <c r="L64" s="204"/>
      <c r="M64" s="30" t="str">
        <f>IF(Inventory_List_Table341115109111317[[#This Row],[Q]]&lt;0.1, " ", Inventory_List_Table341115109111317[[#This Row],[Q]]*Inventory_List_Table341115109111317[[#This Row],[PRICE]])</f>
        <v xml:space="preserve"> </v>
      </c>
      <c r="N64" s="35" t="str">
        <f>IF(Inventory_List_Table341115109111317[[#This Row],[Q]]&lt;0.1, " ", Inventory_List_Table341115109111317[[#This Row],[KG]]*2.20462)</f>
        <v xml:space="preserve"> </v>
      </c>
      <c r="O64" s="35" t="str">
        <f>IF(Inventory_List_Table341115109111317[[#This Row],[Q]]&lt;0.1, " ",Inventory_List_Table341115109111317[[#This Row],[H CM]]/2.54)</f>
        <v xml:space="preserve"> </v>
      </c>
      <c r="P64" s="35" t="str">
        <f>IF(Inventory_List_Table341115109111317[[#This Row],[Q]]&lt;0.1, " ",Inventory_List_Table341115109111317[[#This Row],[W CM]]/2.54)</f>
        <v xml:space="preserve"> </v>
      </c>
      <c r="Q64" s="35" t="str">
        <f>IF(Inventory_List_Table341115109111317[[#This Row],[Q]]&lt;0.1, " ",Inventory_List_Table341115109111317[[#This Row],[D CM ]]/2.54)</f>
        <v xml:space="preserve"> </v>
      </c>
      <c r="R64" s="30" t="str">
        <f>IF(Inventory_List_Table341115109111317[[#This Row],[Q]]&lt;0.1, " ",Inventory_List_Table341115109111317[[#This Row],[PRICE]]/$L$1)</f>
        <v xml:space="preserve"> </v>
      </c>
      <c r="S6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4" s="30" t="str">
        <f>IF(Inventory_List_Table341115109111317[[#This Row],[Q]]&lt;0.1, " ",Inventory_List_Table341115109111317[[#This Row],[AQ RND USD]]*1.4)</f>
        <v xml:space="preserve"> </v>
      </c>
      <c r="U6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4" s="30" t="str">
        <f>IF(Inventory_List_Table341115109111317[[#This Row],[Q]]&lt;0.1, " ",Inventory_List_Table341115109111317[[#This Row],[LND RND USD]]*12)</f>
        <v xml:space="preserve"> </v>
      </c>
      <c r="W64" s="30" t="str">
        <f>IF(Inventory_List_Table341115109111317[[#This Row],[Q]]&lt;0.1, " ",Inventory_List_Table341115109111317[[#This Row],[AQ USD]])</f>
        <v xml:space="preserve"> </v>
      </c>
      <c r="X6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4" s="30" t="str">
        <f>IF(Inventory_List_Table341115109111317[[#This Row],[Q]]&lt;0.1, " ",Inventory_List_Table341115109111317[[#This Row],[PRICE]]/Z64*10000)</f>
        <v xml:space="preserve"> </v>
      </c>
      <c r="AB64" s="201"/>
      <c r="AC64" s="1"/>
      <c r="AD64" s="1"/>
    </row>
    <row r="65" spans="1:30" ht="24" customHeight="1" x14ac:dyDescent="0.3">
      <c r="A65" s="206">
        <v>63</v>
      </c>
      <c r="B65" s="1"/>
      <c r="C65" s="205"/>
      <c r="D65" s="205"/>
      <c r="E65" s="205"/>
      <c r="F6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5" s="202"/>
      <c r="H65" s="202"/>
      <c r="I65" s="202"/>
      <c r="J65" s="202"/>
      <c r="K65" s="202"/>
      <c r="L65" s="204"/>
      <c r="M65" s="30" t="str">
        <f>IF(Inventory_List_Table341115109111317[[#This Row],[Q]]&lt;0.1, " ", Inventory_List_Table341115109111317[[#This Row],[Q]]*Inventory_List_Table341115109111317[[#This Row],[PRICE]])</f>
        <v xml:space="preserve"> </v>
      </c>
      <c r="N65" s="35" t="str">
        <f>IF(Inventory_List_Table341115109111317[[#This Row],[Q]]&lt;0.1, " ", Inventory_List_Table341115109111317[[#This Row],[KG]]*2.20462)</f>
        <v xml:space="preserve"> </v>
      </c>
      <c r="O65" s="35" t="str">
        <f>IF(Inventory_List_Table341115109111317[[#This Row],[Q]]&lt;0.1, " ",Inventory_List_Table341115109111317[[#This Row],[H CM]]/2.54)</f>
        <v xml:space="preserve"> </v>
      </c>
      <c r="P65" s="35" t="str">
        <f>IF(Inventory_List_Table341115109111317[[#This Row],[Q]]&lt;0.1, " ",Inventory_List_Table341115109111317[[#This Row],[W CM]]/2.54)</f>
        <v xml:space="preserve"> </v>
      </c>
      <c r="Q65" s="35" t="str">
        <f>IF(Inventory_List_Table341115109111317[[#This Row],[Q]]&lt;0.1, " ",Inventory_List_Table341115109111317[[#This Row],[D CM ]]/2.54)</f>
        <v xml:space="preserve"> </v>
      </c>
      <c r="R65" s="30" t="str">
        <f>IF(Inventory_List_Table341115109111317[[#This Row],[Q]]&lt;0.1, " ",Inventory_List_Table341115109111317[[#This Row],[PRICE]]/$L$1)</f>
        <v xml:space="preserve"> </v>
      </c>
      <c r="S6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5" s="30" t="str">
        <f>IF(Inventory_List_Table341115109111317[[#This Row],[Q]]&lt;0.1, " ",Inventory_List_Table341115109111317[[#This Row],[AQ RND USD]]*1.4)</f>
        <v xml:space="preserve"> </v>
      </c>
      <c r="U6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5" s="30" t="str">
        <f>IF(Inventory_List_Table341115109111317[[#This Row],[Q]]&lt;0.1, " ",Inventory_List_Table341115109111317[[#This Row],[LND RND USD]]*12)</f>
        <v xml:space="preserve"> </v>
      </c>
      <c r="W65" s="30" t="str">
        <f>IF(Inventory_List_Table341115109111317[[#This Row],[Q]]&lt;0.1, " ",Inventory_List_Table341115109111317[[#This Row],[AQ USD]])</f>
        <v xml:space="preserve"> </v>
      </c>
      <c r="X6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5" s="30" t="str">
        <f>IF(Inventory_List_Table341115109111317[[#This Row],[Q]]&lt;0.1, " ",Inventory_List_Table341115109111317[[#This Row],[PRICE]]/Z65*10000)</f>
        <v xml:space="preserve"> </v>
      </c>
      <c r="AB65" s="201"/>
      <c r="AC65" s="1"/>
      <c r="AD65" s="1"/>
    </row>
    <row r="66" spans="1:30" ht="24" customHeight="1" x14ac:dyDescent="0.3">
      <c r="A66" s="206">
        <v>64</v>
      </c>
      <c r="B66" s="1"/>
      <c r="C66" s="205"/>
      <c r="D66" s="205"/>
      <c r="E66" s="205"/>
      <c r="F6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6" s="202"/>
      <c r="H66" s="202"/>
      <c r="I66" s="202"/>
      <c r="J66" s="202"/>
      <c r="K66" s="202"/>
      <c r="L66" s="204"/>
      <c r="M66" s="30" t="str">
        <f>IF(Inventory_List_Table341115109111317[[#This Row],[Q]]&lt;0.1, " ", Inventory_List_Table341115109111317[[#This Row],[Q]]*Inventory_List_Table341115109111317[[#This Row],[PRICE]])</f>
        <v xml:space="preserve"> </v>
      </c>
      <c r="N66" s="35" t="str">
        <f>IF(Inventory_List_Table341115109111317[[#This Row],[Q]]&lt;0.1, " ", Inventory_List_Table341115109111317[[#This Row],[KG]]*2.20462)</f>
        <v xml:space="preserve"> </v>
      </c>
      <c r="O66" s="35" t="str">
        <f>IF(Inventory_List_Table341115109111317[[#This Row],[Q]]&lt;0.1, " ",Inventory_List_Table341115109111317[[#This Row],[H CM]]/2.54)</f>
        <v xml:space="preserve"> </v>
      </c>
      <c r="P66" s="35" t="str">
        <f>IF(Inventory_List_Table341115109111317[[#This Row],[Q]]&lt;0.1, " ",Inventory_List_Table341115109111317[[#This Row],[W CM]]/2.54)</f>
        <v xml:space="preserve"> </v>
      </c>
      <c r="Q66" s="35" t="str">
        <f>IF(Inventory_List_Table341115109111317[[#This Row],[Q]]&lt;0.1, " ",Inventory_List_Table341115109111317[[#This Row],[D CM ]]/2.54)</f>
        <v xml:space="preserve"> </v>
      </c>
      <c r="R66" s="30" t="str">
        <f>IF(Inventory_List_Table341115109111317[[#This Row],[Q]]&lt;0.1, " ",Inventory_List_Table341115109111317[[#This Row],[PRICE]]/$L$1)</f>
        <v xml:space="preserve"> </v>
      </c>
      <c r="S6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6" s="30" t="str">
        <f>IF(Inventory_List_Table341115109111317[[#This Row],[Q]]&lt;0.1, " ",Inventory_List_Table341115109111317[[#This Row],[AQ RND USD]]*1.4)</f>
        <v xml:space="preserve"> </v>
      </c>
      <c r="U6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6" s="30" t="str">
        <f>IF(Inventory_List_Table341115109111317[[#This Row],[Q]]&lt;0.1, " ",Inventory_List_Table341115109111317[[#This Row],[LND RND USD]]*12)</f>
        <v xml:space="preserve"> </v>
      </c>
      <c r="W66" s="30" t="str">
        <f>IF(Inventory_List_Table341115109111317[[#This Row],[Q]]&lt;0.1, " ",Inventory_List_Table341115109111317[[#This Row],[AQ USD]])</f>
        <v xml:space="preserve"> </v>
      </c>
      <c r="X6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6" s="30" t="str">
        <f>IF(Inventory_List_Table341115109111317[[#This Row],[Q]]&lt;0.1, " ",Inventory_List_Table341115109111317[[#This Row],[PRICE]]/Z66*10000)</f>
        <v xml:space="preserve"> </v>
      </c>
      <c r="AB66" s="201"/>
      <c r="AC66" s="1"/>
      <c r="AD66" s="1"/>
    </row>
    <row r="67" spans="1:30" ht="24" customHeight="1" x14ac:dyDescent="0.3">
      <c r="A67" s="206">
        <v>65</v>
      </c>
      <c r="B67" s="1"/>
      <c r="C67" s="205"/>
      <c r="D67" s="205"/>
      <c r="E67" s="205"/>
      <c r="F6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7" s="202"/>
      <c r="H67" s="202"/>
      <c r="I67" s="202"/>
      <c r="J67" s="202"/>
      <c r="K67" s="202"/>
      <c r="L67" s="204"/>
      <c r="M67" s="30" t="str">
        <f>IF(Inventory_List_Table341115109111317[[#This Row],[Q]]&lt;0.1, " ", Inventory_List_Table341115109111317[[#This Row],[Q]]*Inventory_List_Table341115109111317[[#This Row],[PRICE]])</f>
        <v xml:space="preserve"> </v>
      </c>
      <c r="N67" s="35" t="str">
        <f>IF(Inventory_List_Table341115109111317[[#This Row],[Q]]&lt;0.1, " ", Inventory_List_Table341115109111317[[#This Row],[KG]]*2.20462)</f>
        <v xml:space="preserve"> </v>
      </c>
      <c r="O67" s="35" t="str">
        <f>IF(Inventory_List_Table341115109111317[[#This Row],[Q]]&lt;0.1, " ",Inventory_List_Table341115109111317[[#This Row],[H CM]]/2.54)</f>
        <v xml:space="preserve"> </v>
      </c>
      <c r="P67" s="35" t="str">
        <f>IF(Inventory_List_Table341115109111317[[#This Row],[Q]]&lt;0.1, " ",Inventory_List_Table341115109111317[[#This Row],[W CM]]/2.54)</f>
        <v xml:space="preserve"> </v>
      </c>
      <c r="Q67" s="35" t="str">
        <f>IF(Inventory_List_Table341115109111317[[#This Row],[Q]]&lt;0.1, " ",Inventory_List_Table341115109111317[[#This Row],[D CM ]]/2.54)</f>
        <v xml:space="preserve"> </v>
      </c>
      <c r="R67" s="30" t="str">
        <f>IF(Inventory_List_Table341115109111317[[#This Row],[Q]]&lt;0.1, " ",Inventory_List_Table341115109111317[[#This Row],[PRICE]]/$L$1)</f>
        <v xml:space="preserve"> </v>
      </c>
      <c r="S6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7" s="30" t="str">
        <f>IF(Inventory_List_Table341115109111317[[#This Row],[Q]]&lt;0.1, " ",Inventory_List_Table341115109111317[[#This Row],[AQ RND USD]]*1.4)</f>
        <v xml:space="preserve"> </v>
      </c>
      <c r="U6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7" s="30" t="str">
        <f>IF(Inventory_List_Table341115109111317[[#This Row],[Q]]&lt;0.1, " ",Inventory_List_Table341115109111317[[#This Row],[LND RND USD]]*12)</f>
        <v xml:space="preserve"> </v>
      </c>
      <c r="W67" s="30" t="str">
        <f>IF(Inventory_List_Table341115109111317[[#This Row],[Q]]&lt;0.1, " ",Inventory_List_Table341115109111317[[#This Row],[AQ USD]])</f>
        <v xml:space="preserve"> </v>
      </c>
      <c r="X6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7" s="30" t="str">
        <f>IF(Inventory_List_Table341115109111317[[#This Row],[Q]]&lt;0.1, " ",Inventory_List_Table341115109111317[[#This Row],[PRICE]]/Z67*10000)</f>
        <v xml:space="preserve"> </v>
      </c>
      <c r="AB67" s="201"/>
      <c r="AC67" s="1"/>
      <c r="AD67" s="1"/>
    </row>
    <row r="68" spans="1:30" ht="24" customHeight="1" x14ac:dyDescent="0.3">
      <c r="A68" s="206">
        <v>66</v>
      </c>
      <c r="B68" s="1"/>
      <c r="C68" s="205"/>
      <c r="D68" s="205"/>
      <c r="E68" s="205"/>
      <c r="F6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8" s="202"/>
      <c r="H68" s="202"/>
      <c r="I68" s="202"/>
      <c r="J68" s="202"/>
      <c r="K68" s="202"/>
      <c r="L68" s="204"/>
      <c r="M68" s="30" t="str">
        <f>IF(Inventory_List_Table341115109111317[[#This Row],[Q]]&lt;0.1, " ", Inventory_List_Table341115109111317[[#This Row],[Q]]*Inventory_List_Table341115109111317[[#This Row],[PRICE]])</f>
        <v xml:space="preserve"> </v>
      </c>
      <c r="N68" s="35" t="str">
        <f>IF(Inventory_List_Table341115109111317[[#This Row],[Q]]&lt;0.1, " ", Inventory_List_Table341115109111317[[#This Row],[KG]]*2.20462)</f>
        <v xml:space="preserve"> </v>
      </c>
      <c r="O68" s="35" t="str">
        <f>IF(Inventory_List_Table341115109111317[[#This Row],[Q]]&lt;0.1, " ",Inventory_List_Table341115109111317[[#This Row],[H CM]]/2.54)</f>
        <v xml:space="preserve"> </v>
      </c>
      <c r="P68" s="35" t="str">
        <f>IF(Inventory_List_Table341115109111317[[#This Row],[Q]]&lt;0.1, " ",Inventory_List_Table341115109111317[[#This Row],[W CM]]/2.54)</f>
        <v xml:space="preserve"> </v>
      </c>
      <c r="Q68" s="35" t="str">
        <f>IF(Inventory_List_Table341115109111317[[#This Row],[Q]]&lt;0.1, " ",Inventory_List_Table341115109111317[[#This Row],[D CM ]]/2.54)</f>
        <v xml:space="preserve"> </v>
      </c>
      <c r="R68" s="30" t="str">
        <f>IF(Inventory_List_Table341115109111317[[#This Row],[Q]]&lt;0.1, " ",Inventory_List_Table341115109111317[[#This Row],[PRICE]]/$L$1)</f>
        <v xml:space="preserve"> </v>
      </c>
      <c r="S6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8" s="30" t="str">
        <f>IF(Inventory_List_Table341115109111317[[#This Row],[Q]]&lt;0.1, " ",Inventory_List_Table341115109111317[[#This Row],[AQ RND USD]]*1.4)</f>
        <v xml:space="preserve"> </v>
      </c>
      <c r="U6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8" s="30" t="str">
        <f>IF(Inventory_List_Table341115109111317[[#This Row],[Q]]&lt;0.1, " ",Inventory_List_Table341115109111317[[#This Row],[LND RND USD]]*12)</f>
        <v xml:space="preserve"> </v>
      </c>
      <c r="W68" s="30" t="str">
        <f>IF(Inventory_List_Table341115109111317[[#This Row],[Q]]&lt;0.1, " ",Inventory_List_Table341115109111317[[#This Row],[AQ USD]])</f>
        <v xml:space="preserve"> </v>
      </c>
      <c r="X6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8" s="30" t="str">
        <f>IF(Inventory_List_Table341115109111317[[#This Row],[Q]]&lt;0.1, " ",Inventory_List_Table341115109111317[[#This Row],[PRICE]]/Z68*10000)</f>
        <v xml:space="preserve"> </v>
      </c>
      <c r="AB68" s="201"/>
      <c r="AC68" s="1"/>
      <c r="AD68" s="1"/>
    </row>
    <row r="69" spans="1:30" ht="24" customHeight="1" x14ac:dyDescent="0.3">
      <c r="A69" s="206">
        <v>67</v>
      </c>
      <c r="B69" s="1"/>
      <c r="C69" s="205"/>
      <c r="D69" s="205"/>
      <c r="E69" s="205"/>
      <c r="F6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69" s="202"/>
      <c r="H69" s="202"/>
      <c r="I69" s="202"/>
      <c r="J69" s="202"/>
      <c r="K69" s="202"/>
      <c r="L69" s="204"/>
      <c r="M69" s="30" t="str">
        <f>IF(Inventory_List_Table341115109111317[[#This Row],[Q]]&lt;0.1, " ", Inventory_List_Table341115109111317[[#This Row],[Q]]*Inventory_List_Table341115109111317[[#This Row],[PRICE]])</f>
        <v xml:space="preserve"> </v>
      </c>
      <c r="N69" s="35" t="str">
        <f>IF(Inventory_List_Table341115109111317[[#This Row],[Q]]&lt;0.1, " ", Inventory_List_Table341115109111317[[#This Row],[KG]]*2.20462)</f>
        <v xml:space="preserve"> </v>
      </c>
      <c r="O69" s="35" t="str">
        <f>IF(Inventory_List_Table341115109111317[[#This Row],[Q]]&lt;0.1, " ",Inventory_List_Table341115109111317[[#This Row],[H CM]]/2.54)</f>
        <v xml:space="preserve"> </v>
      </c>
      <c r="P69" s="35" t="str">
        <f>IF(Inventory_List_Table341115109111317[[#This Row],[Q]]&lt;0.1, " ",Inventory_List_Table341115109111317[[#This Row],[W CM]]/2.54)</f>
        <v xml:space="preserve"> </v>
      </c>
      <c r="Q69" s="35" t="str">
        <f>IF(Inventory_List_Table341115109111317[[#This Row],[Q]]&lt;0.1, " ",Inventory_List_Table341115109111317[[#This Row],[D CM ]]/2.54)</f>
        <v xml:space="preserve"> </v>
      </c>
      <c r="R69" s="30" t="str">
        <f>IF(Inventory_List_Table341115109111317[[#This Row],[Q]]&lt;0.1, " ",Inventory_List_Table341115109111317[[#This Row],[PRICE]]/$L$1)</f>
        <v xml:space="preserve"> </v>
      </c>
      <c r="S6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69" s="30" t="str">
        <f>IF(Inventory_List_Table341115109111317[[#This Row],[Q]]&lt;0.1, " ",Inventory_List_Table341115109111317[[#This Row],[AQ RND USD]]*1.4)</f>
        <v xml:space="preserve"> </v>
      </c>
      <c r="U6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69" s="30" t="str">
        <f>IF(Inventory_List_Table341115109111317[[#This Row],[Q]]&lt;0.1, " ",Inventory_List_Table341115109111317[[#This Row],[LND RND USD]]*12)</f>
        <v xml:space="preserve"> </v>
      </c>
      <c r="W69" s="30" t="str">
        <f>IF(Inventory_List_Table341115109111317[[#This Row],[Q]]&lt;0.1, " ",Inventory_List_Table341115109111317[[#This Row],[AQ USD]])</f>
        <v xml:space="preserve"> </v>
      </c>
      <c r="X6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6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6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69" s="30" t="str">
        <f>IF(Inventory_List_Table341115109111317[[#This Row],[Q]]&lt;0.1, " ",Inventory_List_Table341115109111317[[#This Row],[PRICE]]/Z69*10000)</f>
        <v xml:space="preserve"> </v>
      </c>
      <c r="AB69" s="201"/>
      <c r="AC69" s="1"/>
      <c r="AD69" s="1"/>
    </row>
    <row r="70" spans="1:30" ht="24" customHeight="1" x14ac:dyDescent="0.3">
      <c r="A70" s="206">
        <v>68</v>
      </c>
      <c r="B70" s="1"/>
      <c r="C70" s="205"/>
      <c r="D70" s="205"/>
      <c r="E70" s="205"/>
      <c r="F7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0" s="202"/>
      <c r="H70" s="202"/>
      <c r="I70" s="202"/>
      <c r="J70" s="202"/>
      <c r="K70" s="202"/>
      <c r="L70" s="204"/>
      <c r="M70" s="30" t="str">
        <f>IF(Inventory_List_Table341115109111317[[#This Row],[Q]]&lt;0.1, " ", Inventory_List_Table341115109111317[[#This Row],[Q]]*Inventory_List_Table341115109111317[[#This Row],[PRICE]])</f>
        <v xml:space="preserve"> </v>
      </c>
      <c r="N70" s="35" t="str">
        <f>IF(Inventory_List_Table341115109111317[[#This Row],[Q]]&lt;0.1, " ", Inventory_List_Table341115109111317[[#This Row],[KG]]*2.20462)</f>
        <v xml:space="preserve"> </v>
      </c>
      <c r="O70" s="35" t="str">
        <f>IF(Inventory_List_Table341115109111317[[#This Row],[Q]]&lt;0.1, " ",Inventory_List_Table341115109111317[[#This Row],[H CM]]/2.54)</f>
        <v xml:space="preserve"> </v>
      </c>
      <c r="P70" s="35" t="str">
        <f>IF(Inventory_List_Table341115109111317[[#This Row],[Q]]&lt;0.1, " ",Inventory_List_Table341115109111317[[#This Row],[W CM]]/2.54)</f>
        <v xml:space="preserve"> </v>
      </c>
      <c r="Q70" s="35" t="str">
        <f>IF(Inventory_List_Table341115109111317[[#This Row],[Q]]&lt;0.1, " ",Inventory_List_Table341115109111317[[#This Row],[D CM ]]/2.54)</f>
        <v xml:space="preserve"> </v>
      </c>
      <c r="R70" s="30" t="str">
        <f>IF(Inventory_List_Table341115109111317[[#This Row],[Q]]&lt;0.1, " ",Inventory_List_Table341115109111317[[#This Row],[PRICE]]/$L$1)</f>
        <v xml:space="preserve"> </v>
      </c>
      <c r="S7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0" s="30" t="str">
        <f>IF(Inventory_List_Table341115109111317[[#This Row],[Q]]&lt;0.1, " ",Inventory_List_Table341115109111317[[#This Row],[AQ RND USD]]*1.4)</f>
        <v xml:space="preserve"> </v>
      </c>
      <c r="U7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0" s="30" t="str">
        <f>IF(Inventory_List_Table341115109111317[[#This Row],[Q]]&lt;0.1, " ",Inventory_List_Table341115109111317[[#This Row],[LND RND USD]]*12)</f>
        <v xml:space="preserve"> </v>
      </c>
      <c r="W70" s="30" t="str">
        <f>IF(Inventory_List_Table341115109111317[[#This Row],[Q]]&lt;0.1, " ",Inventory_List_Table341115109111317[[#This Row],[AQ USD]])</f>
        <v xml:space="preserve"> </v>
      </c>
      <c r="X7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0" s="30" t="str">
        <f>IF(Inventory_List_Table341115109111317[[#This Row],[Q]]&lt;0.1, " ",Inventory_List_Table341115109111317[[#This Row],[PRICE]]/Z70*10000)</f>
        <v xml:space="preserve"> </v>
      </c>
      <c r="AB70" s="201"/>
      <c r="AC70" s="1"/>
      <c r="AD70" s="1"/>
    </row>
    <row r="71" spans="1:30" ht="24" customHeight="1" x14ac:dyDescent="0.3">
      <c r="A71" s="206">
        <v>69</v>
      </c>
      <c r="B71" s="1"/>
      <c r="C71" s="205"/>
      <c r="D71" s="205"/>
      <c r="E71" s="205"/>
      <c r="F7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1" s="202"/>
      <c r="H71" s="202"/>
      <c r="I71" s="202"/>
      <c r="J71" s="202"/>
      <c r="K71" s="202"/>
      <c r="L71" s="204"/>
      <c r="M71" s="30" t="str">
        <f>IF(Inventory_List_Table341115109111317[[#This Row],[Q]]&lt;0.1, " ", Inventory_List_Table341115109111317[[#This Row],[Q]]*Inventory_List_Table341115109111317[[#This Row],[PRICE]])</f>
        <v xml:space="preserve"> </v>
      </c>
      <c r="N71" s="35" t="str">
        <f>IF(Inventory_List_Table341115109111317[[#This Row],[Q]]&lt;0.1, " ", Inventory_List_Table341115109111317[[#This Row],[KG]]*2.20462)</f>
        <v xml:space="preserve"> </v>
      </c>
      <c r="O71" s="35" t="str">
        <f>IF(Inventory_List_Table341115109111317[[#This Row],[Q]]&lt;0.1, " ",Inventory_List_Table341115109111317[[#This Row],[H CM]]/2.54)</f>
        <v xml:space="preserve"> </v>
      </c>
      <c r="P71" s="35" t="str">
        <f>IF(Inventory_List_Table341115109111317[[#This Row],[Q]]&lt;0.1, " ",Inventory_List_Table341115109111317[[#This Row],[W CM]]/2.54)</f>
        <v xml:space="preserve"> </v>
      </c>
      <c r="Q71" s="35" t="str">
        <f>IF(Inventory_List_Table341115109111317[[#This Row],[Q]]&lt;0.1, " ",Inventory_List_Table341115109111317[[#This Row],[D CM ]]/2.54)</f>
        <v xml:space="preserve"> </v>
      </c>
      <c r="R71" s="30" t="str">
        <f>IF(Inventory_List_Table341115109111317[[#This Row],[Q]]&lt;0.1, " ",Inventory_List_Table341115109111317[[#This Row],[PRICE]]/$L$1)</f>
        <v xml:space="preserve"> </v>
      </c>
      <c r="S7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1" s="30" t="str">
        <f>IF(Inventory_List_Table341115109111317[[#This Row],[Q]]&lt;0.1, " ",Inventory_List_Table341115109111317[[#This Row],[AQ RND USD]]*1.4)</f>
        <v xml:space="preserve"> </v>
      </c>
      <c r="U7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1" s="30" t="str">
        <f>IF(Inventory_List_Table341115109111317[[#This Row],[Q]]&lt;0.1, " ",Inventory_List_Table341115109111317[[#This Row],[LND RND USD]]*12)</f>
        <v xml:space="preserve"> </v>
      </c>
      <c r="W71" s="30" t="str">
        <f>IF(Inventory_List_Table341115109111317[[#This Row],[Q]]&lt;0.1, " ",Inventory_List_Table341115109111317[[#This Row],[AQ USD]])</f>
        <v xml:space="preserve"> </v>
      </c>
      <c r="X7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1" s="30" t="str">
        <f>IF(Inventory_List_Table341115109111317[[#This Row],[Q]]&lt;0.1, " ",Inventory_List_Table341115109111317[[#This Row],[PRICE]]/Z71*10000)</f>
        <v xml:space="preserve"> </v>
      </c>
      <c r="AB71" s="201"/>
      <c r="AC71" s="1"/>
      <c r="AD71" s="1"/>
    </row>
    <row r="72" spans="1:30" ht="24" customHeight="1" x14ac:dyDescent="0.3">
      <c r="A72" s="206">
        <v>70</v>
      </c>
      <c r="B72" s="1"/>
      <c r="C72" s="205"/>
      <c r="D72" s="205"/>
      <c r="E72" s="205"/>
      <c r="F7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2" s="202"/>
      <c r="H72" s="202"/>
      <c r="I72" s="202"/>
      <c r="J72" s="202"/>
      <c r="K72" s="202"/>
      <c r="L72" s="204"/>
      <c r="M72" s="30" t="str">
        <f>IF(Inventory_List_Table341115109111317[[#This Row],[Q]]&lt;0.1, " ", Inventory_List_Table341115109111317[[#This Row],[Q]]*Inventory_List_Table341115109111317[[#This Row],[PRICE]])</f>
        <v xml:space="preserve"> </v>
      </c>
      <c r="N72" s="35" t="str">
        <f>IF(Inventory_List_Table341115109111317[[#This Row],[Q]]&lt;0.1, " ", Inventory_List_Table341115109111317[[#This Row],[KG]]*2.20462)</f>
        <v xml:space="preserve"> </v>
      </c>
      <c r="O72" s="35" t="str">
        <f>IF(Inventory_List_Table341115109111317[[#This Row],[Q]]&lt;0.1, " ",Inventory_List_Table341115109111317[[#This Row],[H CM]]/2.54)</f>
        <v xml:space="preserve"> </v>
      </c>
      <c r="P72" s="35" t="str">
        <f>IF(Inventory_List_Table341115109111317[[#This Row],[Q]]&lt;0.1, " ",Inventory_List_Table341115109111317[[#This Row],[W CM]]/2.54)</f>
        <v xml:space="preserve"> </v>
      </c>
      <c r="Q72" s="35" t="str">
        <f>IF(Inventory_List_Table341115109111317[[#This Row],[Q]]&lt;0.1, " ",Inventory_List_Table341115109111317[[#This Row],[D CM ]]/2.54)</f>
        <v xml:space="preserve"> </v>
      </c>
      <c r="R72" s="30" t="str">
        <f>IF(Inventory_List_Table341115109111317[[#This Row],[Q]]&lt;0.1, " ",Inventory_List_Table341115109111317[[#This Row],[PRICE]]/$L$1)</f>
        <v xml:space="preserve"> </v>
      </c>
      <c r="S7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2" s="30" t="str">
        <f>IF(Inventory_List_Table341115109111317[[#This Row],[Q]]&lt;0.1, " ",Inventory_List_Table341115109111317[[#This Row],[AQ RND USD]]*1.4)</f>
        <v xml:space="preserve"> </v>
      </c>
      <c r="U7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2" s="30" t="str">
        <f>IF(Inventory_List_Table341115109111317[[#This Row],[Q]]&lt;0.1, " ",Inventory_List_Table341115109111317[[#This Row],[LND RND USD]]*12)</f>
        <v xml:space="preserve"> </v>
      </c>
      <c r="W72" s="30" t="str">
        <f>IF(Inventory_List_Table341115109111317[[#This Row],[Q]]&lt;0.1, " ",Inventory_List_Table341115109111317[[#This Row],[AQ USD]])</f>
        <v xml:space="preserve"> </v>
      </c>
      <c r="X7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2" s="30" t="str">
        <f>IF(Inventory_List_Table341115109111317[[#This Row],[Q]]&lt;0.1, " ",Inventory_List_Table341115109111317[[#This Row],[PRICE]]/Z72*10000)</f>
        <v xml:space="preserve"> </v>
      </c>
      <c r="AB72" s="201"/>
      <c r="AC72" s="1"/>
      <c r="AD72" s="1"/>
    </row>
    <row r="73" spans="1:30" ht="24" customHeight="1" x14ac:dyDescent="0.3">
      <c r="A73" s="206">
        <v>71</v>
      </c>
      <c r="B73" s="1"/>
      <c r="C73" s="205"/>
      <c r="D73" s="205"/>
      <c r="E73" s="205"/>
      <c r="F7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3" s="202"/>
      <c r="H73" s="202"/>
      <c r="I73" s="202"/>
      <c r="J73" s="202"/>
      <c r="K73" s="202"/>
      <c r="L73" s="204"/>
      <c r="M73" s="30" t="str">
        <f>IF(Inventory_List_Table341115109111317[[#This Row],[Q]]&lt;0.1, " ", Inventory_List_Table341115109111317[[#This Row],[Q]]*Inventory_List_Table341115109111317[[#This Row],[PRICE]])</f>
        <v xml:space="preserve"> </v>
      </c>
      <c r="N73" s="35" t="str">
        <f>IF(Inventory_List_Table341115109111317[[#This Row],[Q]]&lt;0.1, " ", Inventory_List_Table341115109111317[[#This Row],[KG]]*2.20462)</f>
        <v xml:space="preserve"> </v>
      </c>
      <c r="O73" s="35" t="str">
        <f>IF(Inventory_List_Table341115109111317[[#This Row],[Q]]&lt;0.1, " ",Inventory_List_Table341115109111317[[#This Row],[H CM]]/2.54)</f>
        <v xml:space="preserve"> </v>
      </c>
      <c r="P73" s="35" t="str">
        <f>IF(Inventory_List_Table341115109111317[[#This Row],[Q]]&lt;0.1, " ",Inventory_List_Table341115109111317[[#This Row],[W CM]]/2.54)</f>
        <v xml:space="preserve"> </v>
      </c>
      <c r="Q73" s="35" t="str">
        <f>IF(Inventory_List_Table341115109111317[[#This Row],[Q]]&lt;0.1, " ",Inventory_List_Table341115109111317[[#This Row],[D CM ]]/2.54)</f>
        <v xml:space="preserve"> </v>
      </c>
      <c r="R73" s="30" t="str">
        <f>IF(Inventory_List_Table341115109111317[[#This Row],[Q]]&lt;0.1, " ",Inventory_List_Table341115109111317[[#This Row],[PRICE]]/$L$1)</f>
        <v xml:space="preserve"> </v>
      </c>
      <c r="S7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3" s="30" t="str">
        <f>IF(Inventory_List_Table341115109111317[[#This Row],[Q]]&lt;0.1, " ",Inventory_List_Table341115109111317[[#This Row],[AQ RND USD]]*1.4)</f>
        <v xml:space="preserve"> </v>
      </c>
      <c r="U7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3" s="30" t="str">
        <f>IF(Inventory_List_Table341115109111317[[#This Row],[Q]]&lt;0.1, " ",Inventory_List_Table341115109111317[[#This Row],[LND RND USD]]*12)</f>
        <v xml:space="preserve"> </v>
      </c>
      <c r="W73" s="30" t="str">
        <f>IF(Inventory_List_Table341115109111317[[#This Row],[Q]]&lt;0.1, " ",Inventory_List_Table341115109111317[[#This Row],[AQ USD]])</f>
        <v xml:space="preserve"> </v>
      </c>
      <c r="X7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3" s="30" t="str">
        <f>IF(Inventory_List_Table341115109111317[[#This Row],[Q]]&lt;0.1, " ",Inventory_List_Table341115109111317[[#This Row],[PRICE]]/Z73*10000)</f>
        <v xml:space="preserve"> </v>
      </c>
      <c r="AB73" s="201"/>
      <c r="AC73" s="1"/>
      <c r="AD73" s="1"/>
    </row>
    <row r="74" spans="1:30" ht="24" customHeight="1" x14ac:dyDescent="0.3">
      <c r="A74" s="206">
        <v>72</v>
      </c>
      <c r="B74" s="1"/>
      <c r="C74" s="205"/>
      <c r="D74" s="205"/>
      <c r="E74" s="205"/>
      <c r="F7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4" s="202"/>
      <c r="H74" s="202"/>
      <c r="I74" s="202"/>
      <c r="J74" s="202"/>
      <c r="K74" s="202"/>
      <c r="L74" s="204"/>
      <c r="M74" s="30" t="str">
        <f>IF(Inventory_List_Table341115109111317[[#This Row],[Q]]&lt;0.1, " ", Inventory_List_Table341115109111317[[#This Row],[Q]]*Inventory_List_Table341115109111317[[#This Row],[PRICE]])</f>
        <v xml:space="preserve"> </v>
      </c>
      <c r="N74" s="35" t="str">
        <f>IF(Inventory_List_Table341115109111317[[#This Row],[Q]]&lt;0.1, " ", Inventory_List_Table341115109111317[[#This Row],[KG]]*2.20462)</f>
        <v xml:space="preserve"> </v>
      </c>
      <c r="O74" s="35" t="str">
        <f>IF(Inventory_List_Table341115109111317[[#This Row],[Q]]&lt;0.1, " ",Inventory_List_Table341115109111317[[#This Row],[H CM]]/2.54)</f>
        <v xml:space="preserve"> </v>
      </c>
      <c r="P74" s="35" t="str">
        <f>IF(Inventory_List_Table341115109111317[[#This Row],[Q]]&lt;0.1, " ",Inventory_List_Table341115109111317[[#This Row],[W CM]]/2.54)</f>
        <v xml:space="preserve"> </v>
      </c>
      <c r="Q74" s="35" t="str">
        <f>IF(Inventory_List_Table341115109111317[[#This Row],[Q]]&lt;0.1, " ",Inventory_List_Table341115109111317[[#This Row],[D CM ]]/2.54)</f>
        <v xml:space="preserve"> </v>
      </c>
      <c r="R74" s="30" t="str">
        <f>IF(Inventory_List_Table341115109111317[[#This Row],[Q]]&lt;0.1, " ",Inventory_List_Table341115109111317[[#This Row],[PRICE]]/$L$1)</f>
        <v xml:space="preserve"> </v>
      </c>
      <c r="S7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4" s="30" t="str">
        <f>IF(Inventory_List_Table341115109111317[[#This Row],[Q]]&lt;0.1, " ",Inventory_List_Table341115109111317[[#This Row],[AQ RND USD]]*1.4)</f>
        <v xml:space="preserve"> </v>
      </c>
      <c r="U7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4" s="30" t="str">
        <f>IF(Inventory_List_Table341115109111317[[#This Row],[Q]]&lt;0.1, " ",Inventory_List_Table341115109111317[[#This Row],[LND RND USD]]*12)</f>
        <v xml:space="preserve"> </v>
      </c>
      <c r="W74" s="30" t="str">
        <f>IF(Inventory_List_Table341115109111317[[#This Row],[Q]]&lt;0.1, " ",Inventory_List_Table341115109111317[[#This Row],[AQ USD]])</f>
        <v xml:space="preserve"> </v>
      </c>
      <c r="X7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4" s="30" t="str">
        <f>IF(Inventory_List_Table341115109111317[[#This Row],[Q]]&lt;0.1, " ",Inventory_List_Table341115109111317[[#This Row],[PRICE]]/Z74*10000)</f>
        <v xml:space="preserve"> </v>
      </c>
      <c r="AB74" s="201"/>
      <c r="AC74" s="1"/>
      <c r="AD74" s="1"/>
    </row>
    <row r="75" spans="1:30" ht="24" customHeight="1" x14ac:dyDescent="0.3">
      <c r="A75" s="206">
        <v>73</v>
      </c>
      <c r="B75" s="1"/>
      <c r="C75" s="205"/>
      <c r="D75" s="205"/>
      <c r="E75" s="205"/>
      <c r="F7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5" s="202"/>
      <c r="H75" s="202"/>
      <c r="I75" s="202"/>
      <c r="J75" s="202"/>
      <c r="K75" s="202"/>
      <c r="L75" s="204"/>
      <c r="M75" s="30" t="str">
        <f>IF(Inventory_List_Table341115109111317[[#This Row],[Q]]&lt;0.1, " ", Inventory_List_Table341115109111317[[#This Row],[Q]]*Inventory_List_Table341115109111317[[#This Row],[PRICE]])</f>
        <v xml:space="preserve"> </v>
      </c>
      <c r="N75" s="35" t="str">
        <f>IF(Inventory_List_Table341115109111317[[#This Row],[Q]]&lt;0.1, " ", Inventory_List_Table341115109111317[[#This Row],[KG]]*2.20462)</f>
        <v xml:space="preserve"> </v>
      </c>
      <c r="O75" s="35" t="str">
        <f>IF(Inventory_List_Table341115109111317[[#This Row],[Q]]&lt;0.1, " ",Inventory_List_Table341115109111317[[#This Row],[H CM]]/2.54)</f>
        <v xml:space="preserve"> </v>
      </c>
      <c r="P75" s="35" t="str">
        <f>IF(Inventory_List_Table341115109111317[[#This Row],[Q]]&lt;0.1, " ",Inventory_List_Table341115109111317[[#This Row],[W CM]]/2.54)</f>
        <v xml:space="preserve"> </v>
      </c>
      <c r="Q75" s="35" t="str">
        <f>IF(Inventory_List_Table341115109111317[[#This Row],[Q]]&lt;0.1, " ",Inventory_List_Table341115109111317[[#This Row],[D CM ]]/2.54)</f>
        <v xml:space="preserve"> </v>
      </c>
      <c r="R75" s="30" t="str">
        <f>IF(Inventory_List_Table341115109111317[[#This Row],[Q]]&lt;0.1, " ",Inventory_List_Table341115109111317[[#This Row],[PRICE]]/$L$1)</f>
        <v xml:space="preserve"> </v>
      </c>
      <c r="S7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5" s="30" t="str">
        <f>IF(Inventory_List_Table341115109111317[[#This Row],[Q]]&lt;0.1, " ",Inventory_List_Table341115109111317[[#This Row],[AQ RND USD]]*1.4)</f>
        <v xml:space="preserve"> </v>
      </c>
      <c r="U7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5" s="30" t="str">
        <f>IF(Inventory_List_Table341115109111317[[#This Row],[Q]]&lt;0.1, " ",Inventory_List_Table341115109111317[[#This Row],[LND RND USD]]*12)</f>
        <v xml:space="preserve"> </v>
      </c>
      <c r="W75" s="30" t="str">
        <f>IF(Inventory_List_Table341115109111317[[#This Row],[Q]]&lt;0.1, " ",Inventory_List_Table341115109111317[[#This Row],[AQ USD]])</f>
        <v xml:space="preserve"> </v>
      </c>
      <c r="X7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5" s="30" t="str">
        <f>IF(Inventory_List_Table341115109111317[[#This Row],[Q]]&lt;0.1, " ",Inventory_List_Table341115109111317[[#This Row],[PRICE]]/Z75*10000)</f>
        <v xml:space="preserve"> </v>
      </c>
      <c r="AB75" s="201"/>
      <c r="AC75" s="1"/>
      <c r="AD75" s="1"/>
    </row>
    <row r="76" spans="1:30" ht="24" customHeight="1" x14ac:dyDescent="0.3">
      <c r="A76" s="206">
        <v>74</v>
      </c>
      <c r="B76" s="1"/>
      <c r="C76" s="205"/>
      <c r="D76" s="205"/>
      <c r="E76" s="205"/>
      <c r="F7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6" s="202"/>
      <c r="H76" s="202"/>
      <c r="I76" s="202"/>
      <c r="J76" s="202"/>
      <c r="K76" s="202"/>
      <c r="L76" s="204"/>
      <c r="M76" s="30" t="str">
        <f>IF(Inventory_List_Table341115109111317[[#This Row],[Q]]&lt;0.1, " ", Inventory_List_Table341115109111317[[#This Row],[Q]]*Inventory_List_Table341115109111317[[#This Row],[PRICE]])</f>
        <v xml:space="preserve"> </v>
      </c>
      <c r="N76" s="35" t="str">
        <f>IF(Inventory_List_Table341115109111317[[#This Row],[Q]]&lt;0.1, " ", Inventory_List_Table341115109111317[[#This Row],[KG]]*2.20462)</f>
        <v xml:space="preserve"> </v>
      </c>
      <c r="O76" s="35" t="str">
        <f>IF(Inventory_List_Table341115109111317[[#This Row],[Q]]&lt;0.1, " ",Inventory_List_Table341115109111317[[#This Row],[H CM]]/2.54)</f>
        <v xml:space="preserve"> </v>
      </c>
      <c r="P76" s="35" t="str">
        <f>IF(Inventory_List_Table341115109111317[[#This Row],[Q]]&lt;0.1, " ",Inventory_List_Table341115109111317[[#This Row],[W CM]]/2.54)</f>
        <v xml:space="preserve"> </v>
      </c>
      <c r="Q76" s="35" t="str">
        <f>IF(Inventory_List_Table341115109111317[[#This Row],[Q]]&lt;0.1, " ",Inventory_List_Table341115109111317[[#This Row],[D CM ]]/2.54)</f>
        <v xml:space="preserve"> </v>
      </c>
      <c r="R76" s="30" t="str">
        <f>IF(Inventory_List_Table341115109111317[[#This Row],[Q]]&lt;0.1, " ",Inventory_List_Table341115109111317[[#This Row],[PRICE]]/$L$1)</f>
        <v xml:space="preserve"> </v>
      </c>
      <c r="S7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6" s="30" t="str">
        <f>IF(Inventory_List_Table341115109111317[[#This Row],[Q]]&lt;0.1, " ",Inventory_List_Table341115109111317[[#This Row],[AQ RND USD]]*1.4)</f>
        <v xml:space="preserve"> </v>
      </c>
      <c r="U7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6" s="30" t="str">
        <f>IF(Inventory_List_Table341115109111317[[#This Row],[Q]]&lt;0.1, " ",Inventory_List_Table341115109111317[[#This Row],[LND RND USD]]*12)</f>
        <v xml:space="preserve"> </v>
      </c>
      <c r="W76" s="30" t="str">
        <f>IF(Inventory_List_Table341115109111317[[#This Row],[Q]]&lt;0.1, " ",Inventory_List_Table341115109111317[[#This Row],[AQ USD]])</f>
        <v xml:space="preserve"> </v>
      </c>
      <c r="X7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6" s="30" t="str">
        <f>IF(Inventory_List_Table341115109111317[[#This Row],[Q]]&lt;0.1, " ",Inventory_List_Table341115109111317[[#This Row],[PRICE]]/Z76*10000)</f>
        <v xml:space="preserve"> </v>
      </c>
      <c r="AB76" s="201"/>
      <c r="AC76" s="1"/>
      <c r="AD76" s="1"/>
    </row>
    <row r="77" spans="1:30" ht="24" customHeight="1" x14ac:dyDescent="0.3">
      <c r="A77" s="206">
        <v>75</v>
      </c>
      <c r="B77" s="1"/>
      <c r="C77" s="205"/>
      <c r="D77" s="205"/>
      <c r="E77" s="205"/>
      <c r="F7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7" s="202"/>
      <c r="H77" s="202"/>
      <c r="I77" s="202"/>
      <c r="J77" s="202"/>
      <c r="K77" s="202"/>
      <c r="L77" s="204"/>
      <c r="M77" s="30" t="str">
        <f>IF(Inventory_List_Table341115109111317[[#This Row],[Q]]&lt;0.1, " ", Inventory_List_Table341115109111317[[#This Row],[Q]]*Inventory_List_Table341115109111317[[#This Row],[PRICE]])</f>
        <v xml:space="preserve"> </v>
      </c>
      <c r="N77" s="35" t="str">
        <f>IF(Inventory_List_Table341115109111317[[#This Row],[Q]]&lt;0.1, " ", Inventory_List_Table341115109111317[[#This Row],[KG]]*2.20462)</f>
        <v xml:space="preserve"> </v>
      </c>
      <c r="O77" s="35" t="str">
        <f>IF(Inventory_List_Table341115109111317[[#This Row],[Q]]&lt;0.1, " ",Inventory_List_Table341115109111317[[#This Row],[H CM]]/2.54)</f>
        <v xml:space="preserve"> </v>
      </c>
      <c r="P77" s="35" t="str">
        <f>IF(Inventory_List_Table341115109111317[[#This Row],[Q]]&lt;0.1, " ",Inventory_List_Table341115109111317[[#This Row],[W CM]]/2.54)</f>
        <v xml:space="preserve"> </v>
      </c>
      <c r="Q77" s="35" t="str">
        <f>IF(Inventory_List_Table341115109111317[[#This Row],[Q]]&lt;0.1, " ",Inventory_List_Table341115109111317[[#This Row],[D CM ]]/2.54)</f>
        <v xml:space="preserve"> </v>
      </c>
      <c r="R77" s="30" t="str">
        <f>IF(Inventory_List_Table341115109111317[[#This Row],[Q]]&lt;0.1, " ",Inventory_List_Table341115109111317[[#This Row],[PRICE]]/$L$1)</f>
        <v xml:space="preserve"> </v>
      </c>
      <c r="S7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7" s="30" t="str">
        <f>IF(Inventory_List_Table341115109111317[[#This Row],[Q]]&lt;0.1, " ",Inventory_List_Table341115109111317[[#This Row],[AQ RND USD]]*1.4)</f>
        <v xml:space="preserve"> </v>
      </c>
      <c r="U7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7" s="30" t="str">
        <f>IF(Inventory_List_Table341115109111317[[#This Row],[Q]]&lt;0.1, " ",Inventory_List_Table341115109111317[[#This Row],[LND RND USD]]*12)</f>
        <v xml:space="preserve"> </v>
      </c>
      <c r="W77" s="30" t="str">
        <f>IF(Inventory_List_Table341115109111317[[#This Row],[Q]]&lt;0.1, " ",Inventory_List_Table341115109111317[[#This Row],[AQ USD]])</f>
        <v xml:space="preserve"> </v>
      </c>
      <c r="X7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7" s="30" t="str">
        <f>IF(Inventory_List_Table341115109111317[[#This Row],[Q]]&lt;0.1, " ",Inventory_List_Table341115109111317[[#This Row],[PRICE]]/Z77*10000)</f>
        <v xml:space="preserve"> </v>
      </c>
      <c r="AB77" s="201"/>
      <c r="AC77" s="1"/>
      <c r="AD77" s="1"/>
    </row>
    <row r="78" spans="1:30" ht="24" customHeight="1" x14ac:dyDescent="0.3">
      <c r="A78" s="206">
        <v>76</v>
      </c>
      <c r="B78" s="1"/>
      <c r="C78" s="205"/>
      <c r="D78" s="205"/>
      <c r="E78" s="205"/>
      <c r="F7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8" s="202"/>
      <c r="H78" s="202"/>
      <c r="I78" s="202"/>
      <c r="J78" s="202"/>
      <c r="K78" s="202"/>
      <c r="L78" s="204"/>
      <c r="M78" s="30" t="str">
        <f>IF(Inventory_List_Table341115109111317[[#This Row],[Q]]&lt;0.1, " ", Inventory_List_Table341115109111317[[#This Row],[Q]]*Inventory_List_Table341115109111317[[#This Row],[PRICE]])</f>
        <v xml:space="preserve"> </v>
      </c>
      <c r="N78" s="35" t="str">
        <f>IF(Inventory_List_Table341115109111317[[#This Row],[Q]]&lt;0.1, " ", Inventory_List_Table341115109111317[[#This Row],[KG]]*2.20462)</f>
        <v xml:space="preserve"> </v>
      </c>
      <c r="O78" s="35" t="str">
        <f>IF(Inventory_List_Table341115109111317[[#This Row],[Q]]&lt;0.1, " ",Inventory_List_Table341115109111317[[#This Row],[H CM]]/2.54)</f>
        <v xml:space="preserve"> </v>
      </c>
      <c r="P78" s="35" t="str">
        <f>IF(Inventory_List_Table341115109111317[[#This Row],[Q]]&lt;0.1, " ",Inventory_List_Table341115109111317[[#This Row],[W CM]]/2.54)</f>
        <v xml:space="preserve"> </v>
      </c>
      <c r="Q78" s="35" t="str">
        <f>IF(Inventory_List_Table341115109111317[[#This Row],[Q]]&lt;0.1, " ",Inventory_List_Table341115109111317[[#This Row],[D CM ]]/2.54)</f>
        <v xml:space="preserve"> </v>
      </c>
      <c r="R78" s="30" t="str">
        <f>IF(Inventory_List_Table341115109111317[[#This Row],[Q]]&lt;0.1, " ",Inventory_List_Table341115109111317[[#This Row],[PRICE]]/$L$1)</f>
        <v xml:space="preserve"> </v>
      </c>
      <c r="S7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8" s="30" t="str">
        <f>IF(Inventory_List_Table341115109111317[[#This Row],[Q]]&lt;0.1, " ",Inventory_List_Table341115109111317[[#This Row],[AQ RND USD]]*1.4)</f>
        <v xml:space="preserve"> </v>
      </c>
      <c r="U7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8" s="30" t="str">
        <f>IF(Inventory_List_Table341115109111317[[#This Row],[Q]]&lt;0.1, " ",Inventory_List_Table341115109111317[[#This Row],[LND RND USD]]*12)</f>
        <v xml:space="preserve"> </v>
      </c>
      <c r="W78" s="30" t="str">
        <f>IF(Inventory_List_Table341115109111317[[#This Row],[Q]]&lt;0.1, " ",Inventory_List_Table341115109111317[[#This Row],[AQ USD]])</f>
        <v xml:space="preserve"> </v>
      </c>
      <c r="X7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8" s="30" t="str">
        <f>IF(Inventory_List_Table341115109111317[[#This Row],[Q]]&lt;0.1, " ",Inventory_List_Table341115109111317[[#This Row],[PRICE]]/Z78*10000)</f>
        <v xml:space="preserve"> </v>
      </c>
      <c r="AB78" s="201"/>
      <c r="AC78" s="1"/>
      <c r="AD78" s="1"/>
    </row>
    <row r="79" spans="1:30" ht="24" customHeight="1" x14ac:dyDescent="0.3">
      <c r="A79" s="206">
        <v>77</v>
      </c>
      <c r="B79" s="1"/>
      <c r="C79" s="205"/>
      <c r="D79" s="205"/>
      <c r="E79" s="205"/>
      <c r="F7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79" s="202"/>
      <c r="H79" s="202"/>
      <c r="I79" s="202"/>
      <c r="J79" s="202"/>
      <c r="K79" s="202"/>
      <c r="L79" s="204"/>
      <c r="M79" s="30" t="str">
        <f>IF(Inventory_List_Table341115109111317[[#This Row],[Q]]&lt;0.1, " ", Inventory_List_Table341115109111317[[#This Row],[Q]]*Inventory_List_Table341115109111317[[#This Row],[PRICE]])</f>
        <v xml:space="preserve"> </v>
      </c>
      <c r="N79" s="35" t="str">
        <f>IF(Inventory_List_Table341115109111317[[#This Row],[Q]]&lt;0.1, " ", Inventory_List_Table341115109111317[[#This Row],[KG]]*2.20462)</f>
        <v xml:space="preserve"> </v>
      </c>
      <c r="O79" s="35" t="str">
        <f>IF(Inventory_List_Table341115109111317[[#This Row],[Q]]&lt;0.1, " ",Inventory_List_Table341115109111317[[#This Row],[H CM]]/2.54)</f>
        <v xml:space="preserve"> </v>
      </c>
      <c r="P79" s="35" t="str">
        <f>IF(Inventory_List_Table341115109111317[[#This Row],[Q]]&lt;0.1, " ",Inventory_List_Table341115109111317[[#This Row],[W CM]]/2.54)</f>
        <v xml:space="preserve"> </v>
      </c>
      <c r="Q79" s="35" t="str">
        <f>IF(Inventory_List_Table341115109111317[[#This Row],[Q]]&lt;0.1, " ",Inventory_List_Table341115109111317[[#This Row],[D CM ]]/2.54)</f>
        <v xml:space="preserve"> </v>
      </c>
      <c r="R79" s="30" t="str">
        <f>IF(Inventory_List_Table341115109111317[[#This Row],[Q]]&lt;0.1, " ",Inventory_List_Table341115109111317[[#This Row],[PRICE]]/$L$1)</f>
        <v xml:space="preserve"> </v>
      </c>
      <c r="S7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79" s="30" t="str">
        <f>IF(Inventory_List_Table341115109111317[[#This Row],[Q]]&lt;0.1, " ",Inventory_List_Table341115109111317[[#This Row],[AQ RND USD]]*1.4)</f>
        <v xml:space="preserve"> </v>
      </c>
      <c r="U7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79" s="30" t="str">
        <f>IF(Inventory_List_Table341115109111317[[#This Row],[Q]]&lt;0.1, " ",Inventory_List_Table341115109111317[[#This Row],[LND RND USD]]*12)</f>
        <v xml:space="preserve"> </v>
      </c>
      <c r="W79" s="30" t="str">
        <f>IF(Inventory_List_Table341115109111317[[#This Row],[Q]]&lt;0.1, " ",Inventory_List_Table341115109111317[[#This Row],[AQ USD]])</f>
        <v xml:space="preserve"> </v>
      </c>
      <c r="X7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7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7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79" s="30" t="str">
        <f>IF(Inventory_List_Table341115109111317[[#This Row],[Q]]&lt;0.1, " ",Inventory_List_Table341115109111317[[#This Row],[PRICE]]/Z79*10000)</f>
        <v xml:space="preserve"> </v>
      </c>
      <c r="AB79" s="201"/>
      <c r="AC79" s="1"/>
      <c r="AD79" s="1"/>
    </row>
    <row r="80" spans="1:30" ht="24" customHeight="1" x14ac:dyDescent="0.3">
      <c r="A80" s="206">
        <v>78</v>
      </c>
      <c r="B80" s="1"/>
      <c r="C80" s="205"/>
      <c r="D80" s="205"/>
      <c r="E80" s="205"/>
      <c r="F8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0" s="202"/>
      <c r="H80" s="202"/>
      <c r="I80" s="202"/>
      <c r="J80" s="202"/>
      <c r="K80" s="202"/>
      <c r="L80" s="204"/>
      <c r="M80" s="30" t="str">
        <f>IF(Inventory_List_Table341115109111317[[#This Row],[Q]]&lt;0.1, " ", Inventory_List_Table341115109111317[[#This Row],[Q]]*Inventory_List_Table341115109111317[[#This Row],[PRICE]])</f>
        <v xml:space="preserve"> </v>
      </c>
      <c r="N80" s="35" t="str">
        <f>IF(Inventory_List_Table341115109111317[[#This Row],[Q]]&lt;0.1, " ", Inventory_List_Table341115109111317[[#This Row],[KG]]*2.20462)</f>
        <v xml:space="preserve"> </v>
      </c>
      <c r="O80" s="35" t="str">
        <f>IF(Inventory_List_Table341115109111317[[#This Row],[Q]]&lt;0.1, " ",Inventory_List_Table341115109111317[[#This Row],[H CM]]/2.54)</f>
        <v xml:space="preserve"> </v>
      </c>
      <c r="P80" s="35" t="str">
        <f>IF(Inventory_List_Table341115109111317[[#This Row],[Q]]&lt;0.1, " ",Inventory_List_Table341115109111317[[#This Row],[W CM]]/2.54)</f>
        <v xml:space="preserve"> </v>
      </c>
      <c r="Q80" s="35" t="str">
        <f>IF(Inventory_List_Table341115109111317[[#This Row],[Q]]&lt;0.1, " ",Inventory_List_Table341115109111317[[#This Row],[D CM ]]/2.54)</f>
        <v xml:space="preserve"> </v>
      </c>
      <c r="R80" s="30" t="str">
        <f>IF(Inventory_List_Table341115109111317[[#This Row],[Q]]&lt;0.1, " ",Inventory_List_Table341115109111317[[#This Row],[PRICE]]/$L$1)</f>
        <v xml:space="preserve"> </v>
      </c>
      <c r="S8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0" s="30" t="str">
        <f>IF(Inventory_List_Table341115109111317[[#This Row],[Q]]&lt;0.1, " ",Inventory_List_Table341115109111317[[#This Row],[AQ RND USD]]*1.4)</f>
        <v xml:space="preserve"> </v>
      </c>
      <c r="U8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0" s="30" t="str">
        <f>IF(Inventory_List_Table341115109111317[[#This Row],[Q]]&lt;0.1, " ",Inventory_List_Table341115109111317[[#This Row],[LND RND USD]]*12)</f>
        <v xml:space="preserve"> </v>
      </c>
      <c r="W80" s="30" t="str">
        <f>IF(Inventory_List_Table341115109111317[[#This Row],[Q]]&lt;0.1, " ",Inventory_List_Table341115109111317[[#This Row],[AQ USD]])</f>
        <v xml:space="preserve"> </v>
      </c>
      <c r="X8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0" s="30" t="str">
        <f>IF(Inventory_List_Table341115109111317[[#This Row],[Q]]&lt;0.1, " ",Inventory_List_Table341115109111317[[#This Row],[PRICE]]/Z80*10000)</f>
        <v xml:space="preserve"> </v>
      </c>
      <c r="AB80" s="201"/>
      <c r="AC80" s="1"/>
      <c r="AD80" s="1"/>
    </row>
    <row r="81" spans="1:30" ht="24" customHeight="1" x14ac:dyDescent="0.3">
      <c r="A81" s="206">
        <v>79</v>
      </c>
      <c r="B81" s="1"/>
      <c r="C81" s="205"/>
      <c r="D81" s="205"/>
      <c r="E81" s="205"/>
      <c r="F8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1" s="202"/>
      <c r="H81" s="202"/>
      <c r="I81" s="202"/>
      <c r="J81" s="202"/>
      <c r="K81" s="202"/>
      <c r="L81" s="204"/>
      <c r="M81" s="30" t="str">
        <f>IF(Inventory_List_Table341115109111317[[#This Row],[Q]]&lt;0.1, " ", Inventory_List_Table341115109111317[[#This Row],[Q]]*Inventory_List_Table341115109111317[[#This Row],[PRICE]])</f>
        <v xml:space="preserve"> </v>
      </c>
      <c r="N81" s="35" t="str">
        <f>IF(Inventory_List_Table341115109111317[[#This Row],[Q]]&lt;0.1, " ", Inventory_List_Table341115109111317[[#This Row],[KG]]*2.20462)</f>
        <v xml:space="preserve"> </v>
      </c>
      <c r="O81" s="35" t="str">
        <f>IF(Inventory_List_Table341115109111317[[#This Row],[Q]]&lt;0.1, " ",Inventory_List_Table341115109111317[[#This Row],[H CM]]/2.54)</f>
        <v xml:space="preserve"> </v>
      </c>
      <c r="P81" s="35" t="str">
        <f>IF(Inventory_List_Table341115109111317[[#This Row],[Q]]&lt;0.1, " ",Inventory_List_Table341115109111317[[#This Row],[W CM]]/2.54)</f>
        <v xml:space="preserve"> </v>
      </c>
      <c r="Q81" s="35" t="str">
        <f>IF(Inventory_List_Table341115109111317[[#This Row],[Q]]&lt;0.1, " ",Inventory_List_Table341115109111317[[#This Row],[D CM ]]/2.54)</f>
        <v xml:space="preserve"> </v>
      </c>
      <c r="R81" s="30" t="str">
        <f>IF(Inventory_List_Table341115109111317[[#This Row],[Q]]&lt;0.1, " ",Inventory_List_Table341115109111317[[#This Row],[PRICE]]/$L$1)</f>
        <v xml:space="preserve"> </v>
      </c>
      <c r="S8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1" s="30" t="str">
        <f>IF(Inventory_List_Table341115109111317[[#This Row],[Q]]&lt;0.1, " ",Inventory_List_Table341115109111317[[#This Row],[AQ RND USD]]*1.4)</f>
        <v xml:space="preserve"> </v>
      </c>
      <c r="U8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1" s="30" t="str">
        <f>IF(Inventory_List_Table341115109111317[[#This Row],[Q]]&lt;0.1, " ",Inventory_List_Table341115109111317[[#This Row],[LND RND USD]]*12)</f>
        <v xml:space="preserve"> </v>
      </c>
      <c r="W81" s="30" t="str">
        <f>IF(Inventory_List_Table341115109111317[[#This Row],[Q]]&lt;0.1, " ",Inventory_List_Table341115109111317[[#This Row],[AQ USD]])</f>
        <v xml:space="preserve"> </v>
      </c>
      <c r="X8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1" s="30" t="str">
        <f>IF(Inventory_List_Table341115109111317[[#This Row],[Q]]&lt;0.1, " ",Inventory_List_Table341115109111317[[#This Row],[PRICE]]/Z81*10000)</f>
        <v xml:space="preserve"> </v>
      </c>
      <c r="AB81" s="201"/>
      <c r="AC81" s="1"/>
      <c r="AD81" s="1"/>
    </row>
    <row r="82" spans="1:30" ht="24" customHeight="1" x14ac:dyDescent="0.3">
      <c r="A82" s="206">
        <v>80</v>
      </c>
      <c r="B82" s="1"/>
      <c r="C82" s="205"/>
      <c r="D82" s="205"/>
      <c r="E82" s="205"/>
      <c r="F8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2" s="202"/>
      <c r="H82" s="202"/>
      <c r="I82" s="202"/>
      <c r="J82" s="202"/>
      <c r="K82" s="202"/>
      <c r="L82" s="204"/>
      <c r="M82" s="30" t="str">
        <f>IF(Inventory_List_Table341115109111317[[#This Row],[Q]]&lt;0.1, " ", Inventory_List_Table341115109111317[[#This Row],[Q]]*Inventory_List_Table341115109111317[[#This Row],[PRICE]])</f>
        <v xml:space="preserve"> </v>
      </c>
      <c r="N82" s="35" t="str">
        <f>IF(Inventory_List_Table341115109111317[[#This Row],[Q]]&lt;0.1, " ", Inventory_List_Table341115109111317[[#This Row],[KG]]*2.20462)</f>
        <v xml:space="preserve"> </v>
      </c>
      <c r="O82" s="35" t="str">
        <f>IF(Inventory_List_Table341115109111317[[#This Row],[Q]]&lt;0.1, " ",Inventory_List_Table341115109111317[[#This Row],[H CM]]/2.54)</f>
        <v xml:space="preserve"> </v>
      </c>
      <c r="P82" s="35" t="str">
        <f>IF(Inventory_List_Table341115109111317[[#This Row],[Q]]&lt;0.1, " ",Inventory_List_Table341115109111317[[#This Row],[W CM]]/2.54)</f>
        <v xml:space="preserve"> </v>
      </c>
      <c r="Q82" s="35" t="str">
        <f>IF(Inventory_List_Table341115109111317[[#This Row],[Q]]&lt;0.1, " ",Inventory_List_Table341115109111317[[#This Row],[D CM ]]/2.54)</f>
        <v xml:space="preserve"> </v>
      </c>
      <c r="R82" s="30" t="str">
        <f>IF(Inventory_List_Table341115109111317[[#This Row],[Q]]&lt;0.1, " ",Inventory_List_Table341115109111317[[#This Row],[PRICE]]/$L$1)</f>
        <v xml:space="preserve"> </v>
      </c>
      <c r="S8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2" s="30" t="str">
        <f>IF(Inventory_List_Table341115109111317[[#This Row],[Q]]&lt;0.1, " ",Inventory_List_Table341115109111317[[#This Row],[AQ RND USD]]*1.4)</f>
        <v xml:space="preserve"> </v>
      </c>
      <c r="U8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2" s="30" t="str">
        <f>IF(Inventory_List_Table341115109111317[[#This Row],[Q]]&lt;0.1, " ",Inventory_List_Table341115109111317[[#This Row],[LND RND USD]]*12)</f>
        <v xml:space="preserve"> </v>
      </c>
      <c r="W82" s="30" t="str">
        <f>IF(Inventory_List_Table341115109111317[[#This Row],[Q]]&lt;0.1, " ",Inventory_List_Table341115109111317[[#This Row],[AQ USD]])</f>
        <v xml:space="preserve"> </v>
      </c>
      <c r="X8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2" s="30" t="str">
        <f>IF(Inventory_List_Table341115109111317[[#This Row],[Q]]&lt;0.1, " ",Inventory_List_Table341115109111317[[#This Row],[PRICE]]/Z82*10000)</f>
        <v xml:space="preserve"> </v>
      </c>
      <c r="AB82" s="201"/>
      <c r="AC82" s="1"/>
      <c r="AD82" s="1"/>
    </row>
    <row r="83" spans="1:30" ht="24" customHeight="1" x14ac:dyDescent="0.3">
      <c r="A83" s="206">
        <v>81</v>
      </c>
      <c r="B83" s="1"/>
      <c r="C83" s="205"/>
      <c r="D83" s="205"/>
      <c r="E83" s="205"/>
      <c r="F8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3" s="202"/>
      <c r="H83" s="202"/>
      <c r="I83" s="202"/>
      <c r="J83" s="202"/>
      <c r="K83" s="202"/>
      <c r="L83" s="204"/>
      <c r="M83" s="30" t="str">
        <f>IF(Inventory_List_Table341115109111317[[#This Row],[Q]]&lt;0.1, " ", Inventory_List_Table341115109111317[[#This Row],[Q]]*Inventory_List_Table341115109111317[[#This Row],[PRICE]])</f>
        <v xml:space="preserve"> </v>
      </c>
      <c r="N83" s="35" t="str">
        <f>IF(Inventory_List_Table341115109111317[[#This Row],[Q]]&lt;0.1, " ", Inventory_List_Table341115109111317[[#This Row],[KG]]*2.20462)</f>
        <v xml:space="preserve"> </v>
      </c>
      <c r="O83" s="35" t="str">
        <f>IF(Inventory_List_Table341115109111317[[#This Row],[Q]]&lt;0.1, " ",Inventory_List_Table341115109111317[[#This Row],[H CM]]/2.54)</f>
        <v xml:space="preserve"> </v>
      </c>
      <c r="P83" s="35" t="str">
        <f>IF(Inventory_List_Table341115109111317[[#This Row],[Q]]&lt;0.1, " ",Inventory_List_Table341115109111317[[#This Row],[W CM]]/2.54)</f>
        <v xml:space="preserve"> </v>
      </c>
      <c r="Q83" s="35" t="str">
        <f>IF(Inventory_List_Table341115109111317[[#This Row],[Q]]&lt;0.1, " ",Inventory_List_Table341115109111317[[#This Row],[D CM ]]/2.54)</f>
        <v xml:space="preserve"> </v>
      </c>
      <c r="R83" s="30" t="str">
        <f>IF(Inventory_List_Table341115109111317[[#This Row],[Q]]&lt;0.1, " ",Inventory_List_Table341115109111317[[#This Row],[PRICE]]/$L$1)</f>
        <v xml:space="preserve"> </v>
      </c>
      <c r="S8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3" s="30" t="str">
        <f>IF(Inventory_List_Table341115109111317[[#This Row],[Q]]&lt;0.1, " ",Inventory_List_Table341115109111317[[#This Row],[AQ RND USD]]*1.4)</f>
        <v xml:space="preserve"> </v>
      </c>
      <c r="U8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3" s="30" t="str">
        <f>IF(Inventory_List_Table341115109111317[[#This Row],[Q]]&lt;0.1, " ",Inventory_List_Table341115109111317[[#This Row],[LND RND USD]]*12)</f>
        <v xml:space="preserve"> </v>
      </c>
      <c r="W83" s="30" t="str">
        <f>IF(Inventory_List_Table341115109111317[[#This Row],[Q]]&lt;0.1, " ",Inventory_List_Table341115109111317[[#This Row],[AQ USD]])</f>
        <v xml:space="preserve"> </v>
      </c>
      <c r="X8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3" s="30" t="str">
        <f>IF(Inventory_List_Table341115109111317[[#This Row],[Q]]&lt;0.1, " ",Inventory_List_Table341115109111317[[#This Row],[PRICE]]/Z83*10000)</f>
        <v xml:space="preserve"> </v>
      </c>
      <c r="AB83" s="201"/>
      <c r="AC83" s="1"/>
      <c r="AD83" s="1"/>
    </row>
    <row r="84" spans="1:30" ht="24" customHeight="1" x14ac:dyDescent="0.3">
      <c r="A84" s="206">
        <v>82</v>
      </c>
      <c r="B84" s="1"/>
      <c r="C84" s="205"/>
      <c r="D84" s="205"/>
      <c r="E84" s="205"/>
      <c r="F8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4" s="202"/>
      <c r="H84" s="202"/>
      <c r="I84" s="202"/>
      <c r="J84" s="202"/>
      <c r="K84" s="202"/>
      <c r="L84" s="204"/>
      <c r="M84" s="30" t="str">
        <f>IF(Inventory_List_Table341115109111317[[#This Row],[Q]]&lt;0.1, " ", Inventory_List_Table341115109111317[[#This Row],[Q]]*Inventory_List_Table341115109111317[[#This Row],[PRICE]])</f>
        <v xml:space="preserve"> </v>
      </c>
      <c r="N84" s="35" t="str">
        <f>IF(Inventory_List_Table341115109111317[[#This Row],[Q]]&lt;0.1, " ", Inventory_List_Table341115109111317[[#This Row],[KG]]*2.20462)</f>
        <v xml:space="preserve"> </v>
      </c>
      <c r="O84" s="35" t="str">
        <f>IF(Inventory_List_Table341115109111317[[#This Row],[Q]]&lt;0.1, " ",Inventory_List_Table341115109111317[[#This Row],[H CM]]/2.54)</f>
        <v xml:space="preserve"> </v>
      </c>
      <c r="P84" s="35" t="str">
        <f>IF(Inventory_List_Table341115109111317[[#This Row],[Q]]&lt;0.1, " ",Inventory_List_Table341115109111317[[#This Row],[W CM]]/2.54)</f>
        <v xml:space="preserve"> </v>
      </c>
      <c r="Q84" s="35" t="str">
        <f>IF(Inventory_List_Table341115109111317[[#This Row],[Q]]&lt;0.1, " ",Inventory_List_Table341115109111317[[#This Row],[D CM ]]/2.54)</f>
        <v xml:space="preserve"> </v>
      </c>
      <c r="R84" s="30" t="str">
        <f>IF(Inventory_List_Table341115109111317[[#This Row],[Q]]&lt;0.1, " ",Inventory_List_Table341115109111317[[#This Row],[PRICE]]/$L$1)</f>
        <v xml:space="preserve"> </v>
      </c>
      <c r="S8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4" s="30" t="str">
        <f>IF(Inventory_List_Table341115109111317[[#This Row],[Q]]&lt;0.1, " ",Inventory_List_Table341115109111317[[#This Row],[AQ RND USD]]*1.4)</f>
        <v xml:space="preserve"> </v>
      </c>
      <c r="U8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4" s="30" t="str">
        <f>IF(Inventory_List_Table341115109111317[[#This Row],[Q]]&lt;0.1, " ",Inventory_List_Table341115109111317[[#This Row],[LND RND USD]]*12)</f>
        <v xml:space="preserve"> </v>
      </c>
      <c r="W84" s="30" t="str">
        <f>IF(Inventory_List_Table341115109111317[[#This Row],[Q]]&lt;0.1, " ",Inventory_List_Table341115109111317[[#This Row],[AQ USD]])</f>
        <v xml:space="preserve"> </v>
      </c>
      <c r="X8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4" s="30" t="str">
        <f>IF(Inventory_List_Table341115109111317[[#This Row],[Q]]&lt;0.1, " ",Inventory_List_Table341115109111317[[#This Row],[PRICE]]/Z84*10000)</f>
        <v xml:space="preserve"> </v>
      </c>
      <c r="AB84" s="201"/>
      <c r="AC84" s="1"/>
      <c r="AD84" s="1"/>
    </row>
    <row r="85" spans="1:30" ht="24" customHeight="1" x14ac:dyDescent="0.3">
      <c r="A85" s="206">
        <v>83</v>
      </c>
      <c r="B85" s="1"/>
      <c r="C85" s="205"/>
      <c r="D85" s="205"/>
      <c r="E85" s="205"/>
      <c r="F8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5" s="202"/>
      <c r="H85" s="202"/>
      <c r="I85" s="202"/>
      <c r="J85" s="202"/>
      <c r="K85" s="202"/>
      <c r="L85" s="204"/>
      <c r="M85" s="30" t="str">
        <f>IF(Inventory_List_Table341115109111317[[#This Row],[Q]]&lt;0.1, " ", Inventory_List_Table341115109111317[[#This Row],[Q]]*Inventory_List_Table341115109111317[[#This Row],[PRICE]])</f>
        <v xml:space="preserve"> </v>
      </c>
      <c r="N85" s="35" t="str">
        <f>IF(Inventory_List_Table341115109111317[[#This Row],[Q]]&lt;0.1, " ", Inventory_List_Table341115109111317[[#This Row],[KG]]*2.20462)</f>
        <v xml:space="preserve"> </v>
      </c>
      <c r="O85" s="35" t="str">
        <f>IF(Inventory_List_Table341115109111317[[#This Row],[Q]]&lt;0.1, " ",Inventory_List_Table341115109111317[[#This Row],[H CM]]/2.54)</f>
        <v xml:space="preserve"> </v>
      </c>
      <c r="P85" s="35" t="str">
        <f>IF(Inventory_List_Table341115109111317[[#This Row],[Q]]&lt;0.1, " ",Inventory_List_Table341115109111317[[#This Row],[W CM]]/2.54)</f>
        <v xml:space="preserve"> </v>
      </c>
      <c r="Q85" s="35" t="str">
        <f>IF(Inventory_List_Table341115109111317[[#This Row],[Q]]&lt;0.1, " ",Inventory_List_Table341115109111317[[#This Row],[D CM ]]/2.54)</f>
        <v xml:space="preserve"> </v>
      </c>
      <c r="R85" s="30" t="str">
        <f>IF(Inventory_List_Table341115109111317[[#This Row],[Q]]&lt;0.1, " ",Inventory_List_Table341115109111317[[#This Row],[PRICE]]/$L$1)</f>
        <v xml:space="preserve"> </v>
      </c>
      <c r="S8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5" s="30" t="str">
        <f>IF(Inventory_List_Table341115109111317[[#This Row],[Q]]&lt;0.1, " ",Inventory_List_Table341115109111317[[#This Row],[AQ RND USD]]*1.4)</f>
        <v xml:space="preserve"> </v>
      </c>
      <c r="U8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5" s="30" t="str">
        <f>IF(Inventory_List_Table341115109111317[[#This Row],[Q]]&lt;0.1, " ",Inventory_List_Table341115109111317[[#This Row],[LND RND USD]]*12)</f>
        <v xml:space="preserve"> </v>
      </c>
      <c r="W85" s="30" t="str">
        <f>IF(Inventory_List_Table341115109111317[[#This Row],[Q]]&lt;0.1, " ",Inventory_List_Table341115109111317[[#This Row],[AQ USD]])</f>
        <v xml:space="preserve"> </v>
      </c>
      <c r="X8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5" s="30" t="str">
        <f>IF(Inventory_List_Table341115109111317[[#This Row],[Q]]&lt;0.1, " ",Inventory_List_Table341115109111317[[#This Row],[PRICE]]/Z85*10000)</f>
        <v xml:space="preserve"> </v>
      </c>
      <c r="AB85" s="201"/>
      <c r="AC85" s="1"/>
      <c r="AD85" s="1"/>
    </row>
    <row r="86" spans="1:30" ht="24" customHeight="1" x14ac:dyDescent="0.3">
      <c r="A86" s="206">
        <v>84</v>
      </c>
      <c r="B86" s="1"/>
      <c r="C86" s="205"/>
      <c r="D86" s="205"/>
      <c r="E86" s="205"/>
      <c r="F8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6" s="202"/>
      <c r="H86" s="202"/>
      <c r="I86" s="202"/>
      <c r="J86" s="202"/>
      <c r="K86" s="202"/>
      <c r="L86" s="204"/>
      <c r="M86" s="30" t="str">
        <f>IF(Inventory_List_Table341115109111317[[#This Row],[Q]]&lt;0.1, " ", Inventory_List_Table341115109111317[[#This Row],[Q]]*Inventory_List_Table341115109111317[[#This Row],[PRICE]])</f>
        <v xml:space="preserve"> </v>
      </c>
      <c r="N86" s="35" t="str">
        <f>IF(Inventory_List_Table341115109111317[[#This Row],[Q]]&lt;0.1, " ", Inventory_List_Table341115109111317[[#This Row],[KG]]*2.20462)</f>
        <v xml:space="preserve"> </v>
      </c>
      <c r="O86" s="35" t="str">
        <f>IF(Inventory_List_Table341115109111317[[#This Row],[Q]]&lt;0.1, " ",Inventory_List_Table341115109111317[[#This Row],[H CM]]/2.54)</f>
        <v xml:space="preserve"> </v>
      </c>
      <c r="P86" s="35" t="str">
        <f>IF(Inventory_List_Table341115109111317[[#This Row],[Q]]&lt;0.1, " ",Inventory_List_Table341115109111317[[#This Row],[W CM]]/2.54)</f>
        <v xml:space="preserve"> </v>
      </c>
      <c r="Q86" s="35" t="str">
        <f>IF(Inventory_List_Table341115109111317[[#This Row],[Q]]&lt;0.1, " ",Inventory_List_Table341115109111317[[#This Row],[D CM ]]/2.54)</f>
        <v xml:space="preserve"> </v>
      </c>
      <c r="R86" s="30" t="str">
        <f>IF(Inventory_List_Table341115109111317[[#This Row],[Q]]&lt;0.1, " ",Inventory_List_Table341115109111317[[#This Row],[PRICE]]/$L$1)</f>
        <v xml:space="preserve"> </v>
      </c>
      <c r="S8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6" s="30" t="str">
        <f>IF(Inventory_List_Table341115109111317[[#This Row],[Q]]&lt;0.1, " ",Inventory_List_Table341115109111317[[#This Row],[AQ RND USD]]*1.4)</f>
        <v xml:space="preserve"> </v>
      </c>
      <c r="U8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6" s="30" t="str">
        <f>IF(Inventory_List_Table341115109111317[[#This Row],[Q]]&lt;0.1, " ",Inventory_List_Table341115109111317[[#This Row],[LND RND USD]]*12)</f>
        <v xml:space="preserve"> </v>
      </c>
      <c r="W86" s="30" t="str">
        <f>IF(Inventory_List_Table341115109111317[[#This Row],[Q]]&lt;0.1, " ",Inventory_List_Table341115109111317[[#This Row],[AQ USD]])</f>
        <v xml:space="preserve"> </v>
      </c>
      <c r="X8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6" s="30" t="str">
        <f>IF(Inventory_List_Table341115109111317[[#This Row],[Q]]&lt;0.1, " ",Inventory_List_Table341115109111317[[#This Row],[PRICE]]/Z86*10000)</f>
        <v xml:space="preserve"> </v>
      </c>
      <c r="AB86" s="201"/>
      <c r="AC86" s="1"/>
      <c r="AD86" s="1"/>
    </row>
    <row r="87" spans="1:30" ht="24" customHeight="1" x14ac:dyDescent="0.3">
      <c r="A87" s="206">
        <v>85</v>
      </c>
      <c r="B87" s="1"/>
      <c r="C87" s="205"/>
      <c r="D87" s="205"/>
      <c r="E87" s="205"/>
      <c r="F8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7" s="202"/>
      <c r="H87" s="202"/>
      <c r="I87" s="202"/>
      <c r="J87" s="202"/>
      <c r="K87" s="202"/>
      <c r="L87" s="204"/>
      <c r="M87" s="30" t="str">
        <f>IF(Inventory_List_Table341115109111317[[#This Row],[Q]]&lt;0.1, " ", Inventory_List_Table341115109111317[[#This Row],[Q]]*Inventory_List_Table341115109111317[[#This Row],[PRICE]])</f>
        <v xml:space="preserve"> </v>
      </c>
      <c r="N87" s="35" t="str">
        <f>IF(Inventory_List_Table341115109111317[[#This Row],[Q]]&lt;0.1, " ", Inventory_List_Table341115109111317[[#This Row],[KG]]*2.20462)</f>
        <v xml:space="preserve"> </v>
      </c>
      <c r="O87" s="35" t="str">
        <f>IF(Inventory_List_Table341115109111317[[#This Row],[Q]]&lt;0.1, " ",Inventory_List_Table341115109111317[[#This Row],[H CM]]/2.54)</f>
        <v xml:space="preserve"> </v>
      </c>
      <c r="P87" s="35" t="str">
        <f>IF(Inventory_List_Table341115109111317[[#This Row],[Q]]&lt;0.1, " ",Inventory_List_Table341115109111317[[#This Row],[W CM]]/2.54)</f>
        <v xml:space="preserve"> </v>
      </c>
      <c r="Q87" s="35" t="str">
        <f>IF(Inventory_List_Table341115109111317[[#This Row],[Q]]&lt;0.1, " ",Inventory_List_Table341115109111317[[#This Row],[D CM ]]/2.54)</f>
        <v xml:space="preserve"> </v>
      </c>
      <c r="R87" s="30" t="str">
        <f>IF(Inventory_List_Table341115109111317[[#This Row],[Q]]&lt;0.1, " ",Inventory_List_Table341115109111317[[#This Row],[PRICE]]/$L$1)</f>
        <v xml:space="preserve"> </v>
      </c>
      <c r="S8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7" s="30" t="str">
        <f>IF(Inventory_List_Table341115109111317[[#This Row],[Q]]&lt;0.1, " ",Inventory_List_Table341115109111317[[#This Row],[AQ RND USD]]*1.4)</f>
        <v xml:space="preserve"> </v>
      </c>
      <c r="U8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7" s="30" t="str">
        <f>IF(Inventory_List_Table341115109111317[[#This Row],[Q]]&lt;0.1, " ",Inventory_List_Table341115109111317[[#This Row],[LND RND USD]]*12)</f>
        <v xml:space="preserve"> </v>
      </c>
      <c r="W87" s="30" t="str">
        <f>IF(Inventory_List_Table341115109111317[[#This Row],[Q]]&lt;0.1, " ",Inventory_List_Table341115109111317[[#This Row],[AQ USD]])</f>
        <v xml:space="preserve"> </v>
      </c>
      <c r="X8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7" s="30" t="str">
        <f>IF(Inventory_List_Table341115109111317[[#This Row],[Q]]&lt;0.1, " ",Inventory_List_Table341115109111317[[#This Row],[PRICE]]/Z87*10000)</f>
        <v xml:space="preserve"> </v>
      </c>
      <c r="AB87" s="201"/>
      <c r="AC87" s="1"/>
      <c r="AD87" s="1"/>
    </row>
    <row r="88" spans="1:30" ht="24" customHeight="1" x14ac:dyDescent="0.3">
      <c r="A88" s="206">
        <v>86</v>
      </c>
      <c r="B88" s="1"/>
      <c r="C88" s="205"/>
      <c r="D88" s="205"/>
      <c r="E88" s="205"/>
      <c r="F8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8" s="202"/>
      <c r="H88" s="202"/>
      <c r="I88" s="202"/>
      <c r="J88" s="202"/>
      <c r="K88" s="202"/>
      <c r="L88" s="204"/>
      <c r="M88" s="30" t="str">
        <f>IF(Inventory_List_Table341115109111317[[#This Row],[Q]]&lt;0.1, " ", Inventory_List_Table341115109111317[[#This Row],[Q]]*Inventory_List_Table341115109111317[[#This Row],[PRICE]])</f>
        <v xml:space="preserve"> </v>
      </c>
      <c r="N88" s="35" t="str">
        <f>IF(Inventory_List_Table341115109111317[[#This Row],[Q]]&lt;0.1, " ", Inventory_List_Table341115109111317[[#This Row],[KG]]*2.20462)</f>
        <v xml:space="preserve"> </v>
      </c>
      <c r="O88" s="35" t="str">
        <f>IF(Inventory_List_Table341115109111317[[#This Row],[Q]]&lt;0.1, " ",Inventory_List_Table341115109111317[[#This Row],[H CM]]/2.54)</f>
        <v xml:space="preserve"> </v>
      </c>
      <c r="P88" s="35" t="str">
        <f>IF(Inventory_List_Table341115109111317[[#This Row],[Q]]&lt;0.1, " ",Inventory_List_Table341115109111317[[#This Row],[W CM]]/2.54)</f>
        <v xml:space="preserve"> </v>
      </c>
      <c r="Q88" s="35" t="str">
        <f>IF(Inventory_List_Table341115109111317[[#This Row],[Q]]&lt;0.1, " ",Inventory_List_Table341115109111317[[#This Row],[D CM ]]/2.54)</f>
        <v xml:space="preserve"> </v>
      </c>
      <c r="R88" s="30" t="str">
        <f>IF(Inventory_List_Table341115109111317[[#This Row],[Q]]&lt;0.1, " ",Inventory_List_Table341115109111317[[#This Row],[PRICE]]/$L$1)</f>
        <v xml:space="preserve"> </v>
      </c>
      <c r="S8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8" s="30" t="str">
        <f>IF(Inventory_List_Table341115109111317[[#This Row],[Q]]&lt;0.1, " ",Inventory_List_Table341115109111317[[#This Row],[AQ RND USD]]*1.4)</f>
        <v xml:space="preserve"> </v>
      </c>
      <c r="U8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8" s="30" t="str">
        <f>IF(Inventory_List_Table341115109111317[[#This Row],[Q]]&lt;0.1, " ",Inventory_List_Table341115109111317[[#This Row],[LND RND USD]]*12)</f>
        <v xml:space="preserve"> </v>
      </c>
      <c r="W88" s="30" t="str">
        <f>IF(Inventory_List_Table341115109111317[[#This Row],[Q]]&lt;0.1, " ",Inventory_List_Table341115109111317[[#This Row],[AQ USD]])</f>
        <v xml:space="preserve"> </v>
      </c>
      <c r="X8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8" s="30" t="str">
        <f>IF(Inventory_List_Table341115109111317[[#This Row],[Q]]&lt;0.1, " ",Inventory_List_Table341115109111317[[#This Row],[PRICE]]/Z88*10000)</f>
        <v xml:space="preserve"> </v>
      </c>
      <c r="AB88" s="201"/>
      <c r="AC88" s="1"/>
      <c r="AD88" s="1"/>
    </row>
    <row r="89" spans="1:30" ht="24" customHeight="1" x14ac:dyDescent="0.3">
      <c r="A89" s="206">
        <v>87</v>
      </c>
      <c r="B89" s="1"/>
      <c r="C89" s="205"/>
      <c r="D89" s="205"/>
      <c r="E89" s="205"/>
      <c r="F8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89" s="202"/>
      <c r="H89" s="202"/>
      <c r="I89" s="202"/>
      <c r="J89" s="202"/>
      <c r="K89" s="202"/>
      <c r="L89" s="204"/>
      <c r="M89" s="30" t="str">
        <f>IF(Inventory_List_Table341115109111317[[#This Row],[Q]]&lt;0.1, " ", Inventory_List_Table341115109111317[[#This Row],[Q]]*Inventory_List_Table341115109111317[[#This Row],[PRICE]])</f>
        <v xml:space="preserve"> </v>
      </c>
      <c r="N89" s="35" t="str">
        <f>IF(Inventory_List_Table341115109111317[[#This Row],[Q]]&lt;0.1, " ", Inventory_List_Table341115109111317[[#This Row],[KG]]*2.20462)</f>
        <v xml:space="preserve"> </v>
      </c>
      <c r="O89" s="35" t="str">
        <f>IF(Inventory_List_Table341115109111317[[#This Row],[Q]]&lt;0.1, " ",Inventory_List_Table341115109111317[[#This Row],[H CM]]/2.54)</f>
        <v xml:space="preserve"> </v>
      </c>
      <c r="P89" s="35" t="str">
        <f>IF(Inventory_List_Table341115109111317[[#This Row],[Q]]&lt;0.1, " ",Inventory_List_Table341115109111317[[#This Row],[W CM]]/2.54)</f>
        <v xml:space="preserve"> </v>
      </c>
      <c r="Q89" s="35" t="str">
        <f>IF(Inventory_List_Table341115109111317[[#This Row],[Q]]&lt;0.1, " ",Inventory_List_Table341115109111317[[#This Row],[D CM ]]/2.54)</f>
        <v xml:space="preserve"> </v>
      </c>
      <c r="R89" s="30" t="str">
        <f>IF(Inventory_List_Table341115109111317[[#This Row],[Q]]&lt;0.1, " ",Inventory_List_Table341115109111317[[#This Row],[PRICE]]/$L$1)</f>
        <v xml:space="preserve"> </v>
      </c>
      <c r="S8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89" s="30" t="str">
        <f>IF(Inventory_List_Table341115109111317[[#This Row],[Q]]&lt;0.1, " ",Inventory_List_Table341115109111317[[#This Row],[AQ RND USD]]*1.4)</f>
        <v xml:space="preserve"> </v>
      </c>
      <c r="U8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89" s="30" t="str">
        <f>IF(Inventory_List_Table341115109111317[[#This Row],[Q]]&lt;0.1, " ",Inventory_List_Table341115109111317[[#This Row],[LND RND USD]]*12)</f>
        <v xml:space="preserve"> </v>
      </c>
      <c r="W89" s="30" t="str">
        <f>IF(Inventory_List_Table341115109111317[[#This Row],[Q]]&lt;0.1, " ",Inventory_List_Table341115109111317[[#This Row],[AQ USD]])</f>
        <v xml:space="preserve"> </v>
      </c>
      <c r="X8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8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8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89" s="30" t="str">
        <f>IF(Inventory_List_Table341115109111317[[#This Row],[Q]]&lt;0.1, " ",Inventory_List_Table341115109111317[[#This Row],[PRICE]]/Z89*10000)</f>
        <v xml:space="preserve"> </v>
      </c>
      <c r="AB89" s="201"/>
      <c r="AC89" s="1"/>
      <c r="AD89" s="1"/>
    </row>
    <row r="90" spans="1:30" ht="24" customHeight="1" x14ac:dyDescent="0.3">
      <c r="A90" s="206">
        <v>88</v>
      </c>
      <c r="B90" s="1"/>
      <c r="C90" s="205"/>
      <c r="D90" s="205"/>
      <c r="E90" s="205"/>
      <c r="F9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0" s="202"/>
      <c r="H90" s="202"/>
      <c r="I90" s="202"/>
      <c r="J90" s="202"/>
      <c r="K90" s="202"/>
      <c r="L90" s="204"/>
      <c r="M90" s="30" t="str">
        <f>IF(Inventory_List_Table341115109111317[[#This Row],[Q]]&lt;0.1, " ", Inventory_List_Table341115109111317[[#This Row],[Q]]*Inventory_List_Table341115109111317[[#This Row],[PRICE]])</f>
        <v xml:space="preserve"> </v>
      </c>
      <c r="N90" s="35" t="str">
        <f>IF(Inventory_List_Table341115109111317[[#This Row],[Q]]&lt;0.1, " ", Inventory_List_Table341115109111317[[#This Row],[KG]]*2.20462)</f>
        <v xml:space="preserve"> </v>
      </c>
      <c r="O90" s="35" t="str">
        <f>IF(Inventory_List_Table341115109111317[[#This Row],[Q]]&lt;0.1, " ",Inventory_List_Table341115109111317[[#This Row],[H CM]]/2.54)</f>
        <v xml:space="preserve"> </v>
      </c>
      <c r="P90" s="35" t="str">
        <f>IF(Inventory_List_Table341115109111317[[#This Row],[Q]]&lt;0.1, " ",Inventory_List_Table341115109111317[[#This Row],[W CM]]/2.54)</f>
        <v xml:space="preserve"> </v>
      </c>
      <c r="Q90" s="35" t="str">
        <f>IF(Inventory_List_Table341115109111317[[#This Row],[Q]]&lt;0.1, " ",Inventory_List_Table341115109111317[[#This Row],[D CM ]]/2.54)</f>
        <v xml:space="preserve"> </v>
      </c>
      <c r="R90" s="30" t="str">
        <f>IF(Inventory_List_Table341115109111317[[#This Row],[Q]]&lt;0.1, " ",Inventory_List_Table341115109111317[[#This Row],[PRICE]]/$L$1)</f>
        <v xml:space="preserve"> </v>
      </c>
      <c r="S9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0" s="30" t="str">
        <f>IF(Inventory_List_Table341115109111317[[#This Row],[Q]]&lt;0.1, " ",Inventory_List_Table341115109111317[[#This Row],[AQ RND USD]]*1.4)</f>
        <v xml:space="preserve"> </v>
      </c>
      <c r="U9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0" s="30" t="str">
        <f>IF(Inventory_List_Table341115109111317[[#This Row],[Q]]&lt;0.1, " ",Inventory_List_Table341115109111317[[#This Row],[LND RND USD]]*12)</f>
        <v xml:space="preserve"> </v>
      </c>
      <c r="W90" s="30" t="str">
        <f>IF(Inventory_List_Table341115109111317[[#This Row],[Q]]&lt;0.1, " ",Inventory_List_Table341115109111317[[#This Row],[AQ USD]])</f>
        <v xml:space="preserve"> </v>
      </c>
      <c r="X9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0" s="30" t="str">
        <f>IF(Inventory_List_Table341115109111317[[#This Row],[Q]]&lt;0.1, " ",Inventory_List_Table341115109111317[[#This Row],[PRICE]]/Z90*10000)</f>
        <v xml:space="preserve"> </v>
      </c>
      <c r="AB90" s="201"/>
      <c r="AC90" s="1"/>
      <c r="AD90" s="1"/>
    </row>
    <row r="91" spans="1:30" ht="24" customHeight="1" x14ac:dyDescent="0.3">
      <c r="A91" s="206">
        <v>89</v>
      </c>
      <c r="B91" s="1"/>
      <c r="C91" s="205"/>
      <c r="D91" s="205"/>
      <c r="E91" s="205"/>
      <c r="F9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1" s="202"/>
      <c r="H91" s="202"/>
      <c r="I91" s="202"/>
      <c r="J91" s="202"/>
      <c r="K91" s="202"/>
      <c r="L91" s="204"/>
      <c r="M91" s="30" t="str">
        <f>IF(Inventory_List_Table341115109111317[[#This Row],[Q]]&lt;0.1, " ", Inventory_List_Table341115109111317[[#This Row],[Q]]*Inventory_List_Table341115109111317[[#This Row],[PRICE]])</f>
        <v xml:space="preserve"> </v>
      </c>
      <c r="N91" s="35" t="str">
        <f>IF(Inventory_List_Table341115109111317[[#This Row],[Q]]&lt;0.1, " ", Inventory_List_Table341115109111317[[#This Row],[KG]]*2.20462)</f>
        <v xml:space="preserve"> </v>
      </c>
      <c r="O91" s="35" t="str">
        <f>IF(Inventory_List_Table341115109111317[[#This Row],[Q]]&lt;0.1, " ",Inventory_List_Table341115109111317[[#This Row],[H CM]]/2.54)</f>
        <v xml:space="preserve"> </v>
      </c>
      <c r="P91" s="35" t="str">
        <f>IF(Inventory_List_Table341115109111317[[#This Row],[Q]]&lt;0.1, " ",Inventory_List_Table341115109111317[[#This Row],[W CM]]/2.54)</f>
        <v xml:space="preserve"> </v>
      </c>
      <c r="Q91" s="35" t="str">
        <f>IF(Inventory_List_Table341115109111317[[#This Row],[Q]]&lt;0.1, " ",Inventory_List_Table341115109111317[[#This Row],[D CM ]]/2.54)</f>
        <v xml:space="preserve"> </v>
      </c>
      <c r="R91" s="30" t="str">
        <f>IF(Inventory_List_Table341115109111317[[#This Row],[Q]]&lt;0.1, " ",Inventory_List_Table341115109111317[[#This Row],[PRICE]]/$L$1)</f>
        <v xml:space="preserve"> </v>
      </c>
      <c r="S9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1" s="30" t="str">
        <f>IF(Inventory_List_Table341115109111317[[#This Row],[Q]]&lt;0.1, " ",Inventory_List_Table341115109111317[[#This Row],[AQ RND USD]]*1.4)</f>
        <v xml:space="preserve"> </v>
      </c>
      <c r="U9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1" s="30" t="str">
        <f>IF(Inventory_List_Table341115109111317[[#This Row],[Q]]&lt;0.1, " ",Inventory_List_Table341115109111317[[#This Row],[LND RND USD]]*12)</f>
        <v xml:space="preserve"> </v>
      </c>
      <c r="W91" s="30" t="str">
        <f>IF(Inventory_List_Table341115109111317[[#This Row],[Q]]&lt;0.1, " ",Inventory_List_Table341115109111317[[#This Row],[AQ USD]])</f>
        <v xml:space="preserve"> </v>
      </c>
      <c r="X9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1" s="30" t="str">
        <f>IF(Inventory_List_Table341115109111317[[#This Row],[Q]]&lt;0.1, " ",Inventory_List_Table341115109111317[[#This Row],[PRICE]]/Z91*10000)</f>
        <v xml:space="preserve"> </v>
      </c>
      <c r="AB91" s="201"/>
      <c r="AC91" s="1"/>
      <c r="AD91" s="1"/>
    </row>
    <row r="92" spans="1:30" ht="24" customHeight="1" x14ac:dyDescent="0.3">
      <c r="A92" s="206">
        <v>90</v>
      </c>
      <c r="B92" s="1"/>
      <c r="C92" s="205"/>
      <c r="D92" s="205"/>
      <c r="E92" s="205"/>
      <c r="F9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2" s="202"/>
      <c r="H92" s="202"/>
      <c r="I92" s="202"/>
      <c r="J92" s="202"/>
      <c r="K92" s="202"/>
      <c r="L92" s="204"/>
      <c r="M92" s="30" t="str">
        <f>IF(Inventory_List_Table341115109111317[[#This Row],[Q]]&lt;0.1, " ", Inventory_List_Table341115109111317[[#This Row],[Q]]*Inventory_List_Table341115109111317[[#This Row],[PRICE]])</f>
        <v xml:space="preserve"> </v>
      </c>
      <c r="N92" s="35" t="str">
        <f>IF(Inventory_List_Table341115109111317[[#This Row],[Q]]&lt;0.1, " ", Inventory_List_Table341115109111317[[#This Row],[KG]]*2.20462)</f>
        <v xml:space="preserve"> </v>
      </c>
      <c r="O92" s="35" t="str">
        <f>IF(Inventory_List_Table341115109111317[[#This Row],[Q]]&lt;0.1, " ",Inventory_List_Table341115109111317[[#This Row],[H CM]]/2.54)</f>
        <v xml:space="preserve"> </v>
      </c>
      <c r="P92" s="35" t="str">
        <f>IF(Inventory_List_Table341115109111317[[#This Row],[Q]]&lt;0.1, " ",Inventory_List_Table341115109111317[[#This Row],[W CM]]/2.54)</f>
        <v xml:space="preserve"> </v>
      </c>
      <c r="Q92" s="35" t="str">
        <f>IF(Inventory_List_Table341115109111317[[#This Row],[Q]]&lt;0.1, " ",Inventory_List_Table341115109111317[[#This Row],[D CM ]]/2.54)</f>
        <v xml:space="preserve"> </v>
      </c>
      <c r="R92" s="30" t="str">
        <f>IF(Inventory_List_Table341115109111317[[#This Row],[Q]]&lt;0.1, " ",Inventory_List_Table341115109111317[[#This Row],[PRICE]]/$L$1)</f>
        <v xml:space="preserve"> </v>
      </c>
      <c r="S9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2" s="30" t="str">
        <f>IF(Inventory_List_Table341115109111317[[#This Row],[Q]]&lt;0.1, " ",Inventory_List_Table341115109111317[[#This Row],[AQ RND USD]]*1.4)</f>
        <v xml:space="preserve"> </v>
      </c>
      <c r="U9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2" s="30" t="str">
        <f>IF(Inventory_List_Table341115109111317[[#This Row],[Q]]&lt;0.1, " ",Inventory_List_Table341115109111317[[#This Row],[LND RND USD]]*12)</f>
        <v xml:space="preserve"> </v>
      </c>
      <c r="W92" s="30" t="str">
        <f>IF(Inventory_List_Table341115109111317[[#This Row],[Q]]&lt;0.1, " ",Inventory_List_Table341115109111317[[#This Row],[AQ USD]])</f>
        <v xml:space="preserve"> </v>
      </c>
      <c r="X9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2" s="30" t="str">
        <f>IF(Inventory_List_Table341115109111317[[#This Row],[Q]]&lt;0.1, " ",Inventory_List_Table341115109111317[[#This Row],[PRICE]]/Z92*10000)</f>
        <v xml:space="preserve"> </v>
      </c>
      <c r="AB92" s="201"/>
      <c r="AC92" s="1"/>
      <c r="AD92" s="1"/>
    </row>
    <row r="93" spans="1:30" ht="24" customHeight="1" x14ac:dyDescent="0.3">
      <c r="A93" s="206">
        <v>91</v>
      </c>
      <c r="B93" s="1"/>
      <c r="C93" s="205"/>
      <c r="D93" s="205"/>
      <c r="E93" s="205"/>
      <c r="F93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3" s="202"/>
      <c r="H93" s="202"/>
      <c r="I93" s="202"/>
      <c r="J93" s="202"/>
      <c r="K93" s="202"/>
      <c r="L93" s="204"/>
      <c r="M93" s="30" t="str">
        <f>IF(Inventory_List_Table341115109111317[[#This Row],[Q]]&lt;0.1, " ", Inventory_List_Table341115109111317[[#This Row],[Q]]*Inventory_List_Table341115109111317[[#This Row],[PRICE]])</f>
        <v xml:space="preserve"> </v>
      </c>
      <c r="N93" s="35" t="str">
        <f>IF(Inventory_List_Table341115109111317[[#This Row],[Q]]&lt;0.1, " ", Inventory_List_Table341115109111317[[#This Row],[KG]]*2.20462)</f>
        <v xml:space="preserve"> </v>
      </c>
      <c r="O93" s="35" t="str">
        <f>IF(Inventory_List_Table341115109111317[[#This Row],[Q]]&lt;0.1, " ",Inventory_List_Table341115109111317[[#This Row],[H CM]]/2.54)</f>
        <v xml:space="preserve"> </v>
      </c>
      <c r="P93" s="35" t="str">
        <f>IF(Inventory_List_Table341115109111317[[#This Row],[Q]]&lt;0.1, " ",Inventory_List_Table341115109111317[[#This Row],[W CM]]/2.54)</f>
        <v xml:space="preserve"> </v>
      </c>
      <c r="Q93" s="35" t="str">
        <f>IF(Inventory_List_Table341115109111317[[#This Row],[Q]]&lt;0.1, " ",Inventory_List_Table341115109111317[[#This Row],[D CM ]]/2.54)</f>
        <v xml:space="preserve"> </v>
      </c>
      <c r="R93" s="30" t="str">
        <f>IF(Inventory_List_Table341115109111317[[#This Row],[Q]]&lt;0.1, " ",Inventory_List_Table341115109111317[[#This Row],[PRICE]]/$L$1)</f>
        <v xml:space="preserve"> </v>
      </c>
      <c r="S93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3" s="30" t="str">
        <f>IF(Inventory_List_Table341115109111317[[#This Row],[Q]]&lt;0.1, " ",Inventory_List_Table341115109111317[[#This Row],[AQ RND USD]]*1.4)</f>
        <v xml:space="preserve"> </v>
      </c>
      <c r="U93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3" s="30" t="str">
        <f>IF(Inventory_List_Table341115109111317[[#This Row],[Q]]&lt;0.1, " ",Inventory_List_Table341115109111317[[#This Row],[LND RND USD]]*12)</f>
        <v xml:space="preserve"> </v>
      </c>
      <c r="W93" s="30" t="str">
        <f>IF(Inventory_List_Table341115109111317[[#This Row],[Q]]&lt;0.1, " ",Inventory_List_Table341115109111317[[#This Row],[AQ USD]])</f>
        <v xml:space="preserve"> </v>
      </c>
      <c r="X93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3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3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3" s="30" t="str">
        <f>IF(Inventory_List_Table341115109111317[[#This Row],[Q]]&lt;0.1, " ",Inventory_List_Table341115109111317[[#This Row],[PRICE]]/Z93*10000)</f>
        <v xml:space="preserve"> </v>
      </c>
      <c r="AB93" s="201"/>
      <c r="AC93" s="1"/>
      <c r="AD93" s="1"/>
    </row>
    <row r="94" spans="1:30" ht="24" customHeight="1" x14ac:dyDescent="0.3">
      <c r="A94" s="206">
        <v>92</v>
      </c>
      <c r="B94" s="1"/>
      <c r="C94" s="205"/>
      <c r="D94" s="205"/>
      <c r="E94" s="205"/>
      <c r="F94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4" s="202"/>
      <c r="H94" s="202"/>
      <c r="I94" s="202"/>
      <c r="J94" s="202"/>
      <c r="K94" s="202"/>
      <c r="L94" s="204"/>
      <c r="M94" s="30" t="str">
        <f>IF(Inventory_List_Table341115109111317[[#This Row],[Q]]&lt;0.1, " ", Inventory_List_Table341115109111317[[#This Row],[Q]]*Inventory_List_Table341115109111317[[#This Row],[PRICE]])</f>
        <v xml:space="preserve"> </v>
      </c>
      <c r="N94" s="35" t="str">
        <f>IF(Inventory_List_Table341115109111317[[#This Row],[Q]]&lt;0.1, " ", Inventory_List_Table341115109111317[[#This Row],[KG]]*2.20462)</f>
        <v xml:space="preserve"> </v>
      </c>
      <c r="O94" s="35" t="str">
        <f>IF(Inventory_List_Table341115109111317[[#This Row],[Q]]&lt;0.1, " ",Inventory_List_Table341115109111317[[#This Row],[H CM]]/2.54)</f>
        <v xml:space="preserve"> </v>
      </c>
      <c r="P94" s="35" t="str">
        <f>IF(Inventory_List_Table341115109111317[[#This Row],[Q]]&lt;0.1, " ",Inventory_List_Table341115109111317[[#This Row],[W CM]]/2.54)</f>
        <v xml:space="preserve"> </v>
      </c>
      <c r="Q94" s="35" t="str">
        <f>IF(Inventory_List_Table341115109111317[[#This Row],[Q]]&lt;0.1, " ",Inventory_List_Table341115109111317[[#This Row],[D CM ]]/2.54)</f>
        <v xml:space="preserve"> </v>
      </c>
      <c r="R94" s="30" t="str">
        <f>IF(Inventory_List_Table341115109111317[[#This Row],[Q]]&lt;0.1, " ",Inventory_List_Table341115109111317[[#This Row],[PRICE]]/$L$1)</f>
        <v xml:space="preserve"> </v>
      </c>
      <c r="S94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4" s="30" t="str">
        <f>IF(Inventory_List_Table341115109111317[[#This Row],[Q]]&lt;0.1, " ",Inventory_List_Table341115109111317[[#This Row],[AQ RND USD]]*1.4)</f>
        <v xml:space="preserve"> </v>
      </c>
      <c r="U94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4" s="30" t="str">
        <f>IF(Inventory_List_Table341115109111317[[#This Row],[Q]]&lt;0.1, " ",Inventory_List_Table341115109111317[[#This Row],[LND RND USD]]*12)</f>
        <v xml:space="preserve"> </v>
      </c>
      <c r="W94" s="30" t="str">
        <f>IF(Inventory_List_Table341115109111317[[#This Row],[Q]]&lt;0.1, " ",Inventory_List_Table341115109111317[[#This Row],[AQ USD]])</f>
        <v xml:space="preserve"> </v>
      </c>
      <c r="X94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4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4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4" s="30" t="str">
        <f>IF(Inventory_List_Table341115109111317[[#This Row],[Q]]&lt;0.1, " ",Inventory_List_Table341115109111317[[#This Row],[PRICE]]/Z94*10000)</f>
        <v xml:space="preserve"> </v>
      </c>
      <c r="AB94" s="201"/>
      <c r="AC94" s="1"/>
      <c r="AD94" s="1"/>
    </row>
    <row r="95" spans="1:30" ht="24" customHeight="1" x14ac:dyDescent="0.3">
      <c r="A95" s="206">
        <v>93</v>
      </c>
      <c r="B95" s="1"/>
      <c r="C95" s="205"/>
      <c r="D95" s="205"/>
      <c r="E95" s="205"/>
      <c r="F95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5" s="202"/>
      <c r="H95" s="202"/>
      <c r="I95" s="202"/>
      <c r="J95" s="202"/>
      <c r="K95" s="202"/>
      <c r="L95" s="204"/>
      <c r="M95" s="30" t="str">
        <f>IF(Inventory_List_Table341115109111317[[#This Row],[Q]]&lt;0.1, " ", Inventory_List_Table341115109111317[[#This Row],[Q]]*Inventory_List_Table341115109111317[[#This Row],[PRICE]])</f>
        <v xml:space="preserve"> </v>
      </c>
      <c r="N95" s="35" t="str">
        <f>IF(Inventory_List_Table341115109111317[[#This Row],[Q]]&lt;0.1, " ", Inventory_List_Table341115109111317[[#This Row],[KG]]*2.20462)</f>
        <v xml:space="preserve"> </v>
      </c>
      <c r="O95" s="35" t="str">
        <f>IF(Inventory_List_Table341115109111317[[#This Row],[Q]]&lt;0.1, " ",Inventory_List_Table341115109111317[[#This Row],[H CM]]/2.54)</f>
        <v xml:space="preserve"> </v>
      </c>
      <c r="P95" s="35" t="str">
        <f>IF(Inventory_List_Table341115109111317[[#This Row],[Q]]&lt;0.1, " ",Inventory_List_Table341115109111317[[#This Row],[W CM]]/2.54)</f>
        <v xml:space="preserve"> </v>
      </c>
      <c r="Q95" s="35" t="str">
        <f>IF(Inventory_List_Table341115109111317[[#This Row],[Q]]&lt;0.1, " ",Inventory_List_Table341115109111317[[#This Row],[D CM ]]/2.54)</f>
        <v xml:space="preserve"> </v>
      </c>
      <c r="R95" s="30" t="str">
        <f>IF(Inventory_List_Table341115109111317[[#This Row],[Q]]&lt;0.1, " ",Inventory_List_Table341115109111317[[#This Row],[PRICE]]/$L$1)</f>
        <v xml:space="preserve"> </v>
      </c>
      <c r="S95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5" s="30" t="str">
        <f>IF(Inventory_List_Table341115109111317[[#This Row],[Q]]&lt;0.1, " ",Inventory_List_Table341115109111317[[#This Row],[AQ RND USD]]*1.4)</f>
        <v xml:space="preserve"> </v>
      </c>
      <c r="U95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5" s="30" t="str">
        <f>IF(Inventory_List_Table341115109111317[[#This Row],[Q]]&lt;0.1, " ",Inventory_List_Table341115109111317[[#This Row],[LND RND USD]]*12)</f>
        <v xml:space="preserve"> </v>
      </c>
      <c r="W95" s="30" t="str">
        <f>IF(Inventory_List_Table341115109111317[[#This Row],[Q]]&lt;0.1, " ",Inventory_List_Table341115109111317[[#This Row],[AQ USD]])</f>
        <v xml:space="preserve"> </v>
      </c>
      <c r="X95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5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5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5" s="30" t="str">
        <f>IF(Inventory_List_Table341115109111317[[#This Row],[Q]]&lt;0.1, " ",Inventory_List_Table341115109111317[[#This Row],[PRICE]]/Z95*10000)</f>
        <v xml:space="preserve"> </v>
      </c>
      <c r="AB95" s="201"/>
      <c r="AC95" s="1"/>
      <c r="AD95" s="1"/>
    </row>
    <row r="96" spans="1:30" ht="24" customHeight="1" x14ac:dyDescent="0.3">
      <c r="A96" s="206">
        <v>94</v>
      </c>
      <c r="B96" s="1"/>
      <c r="C96" s="205"/>
      <c r="D96" s="205"/>
      <c r="E96" s="205"/>
      <c r="F96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6" s="202"/>
      <c r="H96" s="202"/>
      <c r="I96" s="202"/>
      <c r="J96" s="202"/>
      <c r="K96" s="202"/>
      <c r="L96" s="204"/>
      <c r="M96" s="30" t="str">
        <f>IF(Inventory_List_Table341115109111317[[#This Row],[Q]]&lt;0.1, " ", Inventory_List_Table341115109111317[[#This Row],[Q]]*Inventory_List_Table341115109111317[[#This Row],[PRICE]])</f>
        <v xml:space="preserve"> </v>
      </c>
      <c r="N96" s="35" t="str">
        <f>IF(Inventory_List_Table341115109111317[[#This Row],[Q]]&lt;0.1, " ", Inventory_List_Table341115109111317[[#This Row],[KG]]*2.20462)</f>
        <v xml:space="preserve"> </v>
      </c>
      <c r="O96" s="35" t="str">
        <f>IF(Inventory_List_Table341115109111317[[#This Row],[Q]]&lt;0.1, " ",Inventory_List_Table341115109111317[[#This Row],[H CM]]/2.54)</f>
        <v xml:space="preserve"> </v>
      </c>
      <c r="P96" s="35" t="str">
        <f>IF(Inventory_List_Table341115109111317[[#This Row],[Q]]&lt;0.1, " ",Inventory_List_Table341115109111317[[#This Row],[W CM]]/2.54)</f>
        <v xml:space="preserve"> </v>
      </c>
      <c r="Q96" s="35" t="str">
        <f>IF(Inventory_List_Table341115109111317[[#This Row],[Q]]&lt;0.1, " ",Inventory_List_Table341115109111317[[#This Row],[D CM ]]/2.54)</f>
        <v xml:space="preserve"> </v>
      </c>
      <c r="R96" s="30" t="str">
        <f>IF(Inventory_List_Table341115109111317[[#This Row],[Q]]&lt;0.1, " ",Inventory_List_Table341115109111317[[#This Row],[PRICE]]/$L$1)</f>
        <v xml:space="preserve"> </v>
      </c>
      <c r="S96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6" s="30" t="str">
        <f>IF(Inventory_List_Table341115109111317[[#This Row],[Q]]&lt;0.1, " ",Inventory_List_Table341115109111317[[#This Row],[AQ RND USD]]*1.4)</f>
        <v xml:space="preserve"> </v>
      </c>
      <c r="U96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6" s="30" t="str">
        <f>IF(Inventory_List_Table341115109111317[[#This Row],[Q]]&lt;0.1, " ",Inventory_List_Table341115109111317[[#This Row],[LND RND USD]]*12)</f>
        <v xml:space="preserve"> </v>
      </c>
      <c r="W96" s="30" t="str">
        <f>IF(Inventory_List_Table341115109111317[[#This Row],[Q]]&lt;0.1, " ",Inventory_List_Table341115109111317[[#This Row],[AQ USD]])</f>
        <v xml:space="preserve"> </v>
      </c>
      <c r="X96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6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6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6" s="30" t="str">
        <f>IF(Inventory_List_Table341115109111317[[#This Row],[Q]]&lt;0.1, " ",Inventory_List_Table341115109111317[[#This Row],[PRICE]]/Z96*10000)</f>
        <v xml:space="preserve"> </v>
      </c>
      <c r="AB96" s="201"/>
      <c r="AC96" s="1"/>
      <c r="AD96" s="1"/>
    </row>
    <row r="97" spans="1:30" ht="24" customHeight="1" x14ac:dyDescent="0.3">
      <c r="A97" s="206">
        <v>95</v>
      </c>
      <c r="B97" s="1"/>
      <c r="C97" s="205"/>
      <c r="D97" s="205"/>
      <c r="E97" s="205"/>
      <c r="F97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7" s="202"/>
      <c r="H97" s="202"/>
      <c r="I97" s="202"/>
      <c r="J97" s="202"/>
      <c r="K97" s="202"/>
      <c r="L97" s="204"/>
      <c r="M97" s="30" t="str">
        <f>IF(Inventory_List_Table341115109111317[[#This Row],[Q]]&lt;0.1, " ", Inventory_List_Table341115109111317[[#This Row],[Q]]*Inventory_List_Table341115109111317[[#This Row],[PRICE]])</f>
        <v xml:space="preserve"> </v>
      </c>
      <c r="N97" s="35" t="str">
        <f>IF(Inventory_List_Table341115109111317[[#This Row],[Q]]&lt;0.1, " ", Inventory_List_Table341115109111317[[#This Row],[KG]]*2.20462)</f>
        <v xml:space="preserve"> </v>
      </c>
      <c r="O97" s="35" t="str">
        <f>IF(Inventory_List_Table341115109111317[[#This Row],[Q]]&lt;0.1, " ",Inventory_List_Table341115109111317[[#This Row],[H CM]]/2.54)</f>
        <v xml:space="preserve"> </v>
      </c>
      <c r="P97" s="35" t="str">
        <f>IF(Inventory_List_Table341115109111317[[#This Row],[Q]]&lt;0.1, " ",Inventory_List_Table341115109111317[[#This Row],[W CM]]/2.54)</f>
        <v xml:space="preserve"> </v>
      </c>
      <c r="Q97" s="35" t="str">
        <f>IF(Inventory_List_Table341115109111317[[#This Row],[Q]]&lt;0.1, " ",Inventory_List_Table341115109111317[[#This Row],[D CM ]]/2.54)</f>
        <v xml:space="preserve"> </v>
      </c>
      <c r="R97" s="30" t="str">
        <f>IF(Inventory_List_Table341115109111317[[#This Row],[Q]]&lt;0.1, " ",Inventory_List_Table341115109111317[[#This Row],[PRICE]]/$L$1)</f>
        <v xml:space="preserve"> </v>
      </c>
      <c r="S97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7" s="30" t="str">
        <f>IF(Inventory_List_Table341115109111317[[#This Row],[Q]]&lt;0.1, " ",Inventory_List_Table341115109111317[[#This Row],[AQ RND USD]]*1.4)</f>
        <v xml:space="preserve"> </v>
      </c>
      <c r="U97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7" s="30" t="str">
        <f>IF(Inventory_List_Table341115109111317[[#This Row],[Q]]&lt;0.1, " ",Inventory_List_Table341115109111317[[#This Row],[LND RND USD]]*12)</f>
        <v xml:space="preserve"> </v>
      </c>
      <c r="W97" s="30" t="str">
        <f>IF(Inventory_List_Table341115109111317[[#This Row],[Q]]&lt;0.1, " ",Inventory_List_Table341115109111317[[#This Row],[AQ USD]])</f>
        <v xml:space="preserve"> </v>
      </c>
      <c r="X97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7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7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7" s="30" t="str">
        <f>IF(Inventory_List_Table341115109111317[[#This Row],[Q]]&lt;0.1, " ",Inventory_List_Table341115109111317[[#This Row],[PRICE]]/Z97*10000)</f>
        <v xml:space="preserve"> </v>
      </c>
      <c r="AB97" s="201"/>
      <c r="AC97" s="1"/>
      <c r="AD97" s="1"/>
    </row>
    <row r="98" spans="1:30" ht="24" customHeight="1" x14ac:dyDescent="0.3">
      <c r="A98" s="206">
        <v>96</v>
      </c>
      <c r="B98" s="1"/>
      <c r="C98" s="205"/>
      <c r="D98" s="205"/>
      <c r="E98" s="205"/>
      <c r="F98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8" s="202"/>
      <c r="H98" s="202"/>
      <c r="I98" s="202"/>
      <c r="J98" s="202"/>
      <c r="K98" s="202"/>
      <c r="L98" s="204"/>
      <c r="M98" s="30" t="str">
        <f>IF(Inventory_List_Table341115109111317[[#This Row],[Q]]&lt;0.1, " ", Inventory_List_Table341115109111317[[#This Row],[Q]]*Inventory_List_Table341115109111317[[#This Row],[PRICE]])</f>
        <v xml:space="preserve"> </v>
      </c>
      <c r="N98" s="35" t="str">
        <f>IF(Inventory_List_Table341115109111317[[#This Row],[Q]]&lt;0.1, " ", Inventory_List_Table341115109111317[[#This Row],[KG]]*2.20462)</f>
        <v xml:space="preserve"> </v>
      </c>
      <c r="O98" s="35" t="str">
        <f>IF(Inventory_List_Table341115109111317[[#This Row],[Q]]&lt;0.1, " ",Inventory_List_Table341115109111317[[#This Row],[H CM]]/2.54)</f>
        <v xml:space="preserve"> </v>
      </c>
      <c r="P98" s="35" t="str">
        <f>IF(Inventory_List_Table341115109111317[[#This Row],[Q]]&lt;0.1, " ",Inventory_List_Table341115109111317[[#This Row],[W CM]]/2.54)</f>
        <v xml:space="preserve"> </v>
      </c>
      <c r="Q98" s="35" t="str">
        <f>IF(Inventory_List_Table341115109111317[[#This Row],[Q]]&lt;0.1, " ",Inventory_List_Table341115109111317[[#This Row],[D CM ]]/2.54)</f>
        <v xml:space="preserve"> </v>
      </c>
      <c r="R98" s="30" t="str">
        <f>IF(Inventory_List_Table341115109111317[[#This Row],[Q]]&lt;0.1, " ",Inventory_List_Table341115109111317[[#This Row],[PRICE]]/$L$1)</f>
        <v xml:space="preserve"> </v>
      </c>
      <c r="S98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8" s="30" t="str">
        <f>IF(Inventory_List_Table341115109111317[[#This Row],[Q]]&lt;0.1, " ",Inventory_List_Table341115109111317[[#This Row],[AQ RND USD]]*1.4)</f>
        <v xml:space="preserve"> </v>
      </c>
      <c r="U98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8" s="30" t="str">
        <f>IF(Inventory_List_Table341115109111317[[#This Row],[Q]]&lt;0.1, " ",Inventory_List_Table341115109111317[[#This Row],[LND RND USD]]*12)</f>
        <v xml:space="preserve"> </v>
      </c>
      <c r="W98" s="30" t="str">
        <f>IF(Inventory_List_Table341115109111317[[#This Row],[Q]]&lt;0.1, " ",Inventory_List_Table341115109111317[[#This Row],[AQ USD]])</f>
        <v xml:space="preserve"> </v>
      </c>
      <c r="X98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8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8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8" s="30" t="str">
        <f>IF(Inventory_List_Table341115109111317[[#This Row],[Q]]&lt;0.1, " ",Inventory_List_Table341115109111317[[#This Row],[PRICE]]/Z98*10000)</f>
        <v xml:space="preserve"> </v>
      </c>
      <c r="AB98" s="201"/>
      <c r="AC98" s="1"/>
      <c r="AD98" s="1"/>
    </row>
    <row r="99" spans="1:30" ht="24" customHeight="1" x14ac:dyDescent="0.3">
      <c r="A99" s="206">
        <v>97</v>
      </c>
      <c r="B99" s="1"/>
      <c r="C99" s="205"/>
      <c r="D99" s="205"/>
      <c r="E99" s="205"/>
      <c r="F99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99" s="202"/>
      <c r="H99" s="202"/>
      <c r="I99" s="202"/>
      <c r="J99" s="202"/>
      <c r="K99" s="202"/>
      <c r="L99" s="204"/>
      <c r="M99" s="30" t="str">
        <f>IF(Inventory_List_Table341115109111317[[#This Row],[Q]]&lt;0.1, " ", Inventory_List_Table341115109111317[[#This Row],[Q]]*Inventory_List_Table341115109111317[[#This Row],[PRICE]])</f>
        <v xml:space="preserve"> </v>
      </c>
      <c r="N99" s="35" t="str">
        <f>IF(Inventory_List_Table341115109111317[[#This Row],[Q]]&lt;0.1, " ", Inventory_List_Table341115109111317[[#This Row],[KG]]*2.20462)</f>
        <v xml:space="preserve"> </v>
      </c>
      <c r="O99" s="35" t="str">
        <f>IF(Inventory_List_Table341115109111317[[#This Row],[Q]]&lt;0.1, " ",Inventory_List_Table341115109111317[[#This Row],[H CM]]/2.54)</f>
        <v xml:space="preserve"> </v>
      </c>
      <c r="P99" s="35" t="str">
        <f>IF(Inventory_List_Table341115109111317[[#This Row],[Q]]&lt;0.1, " ",Inventory_List_Table341115109111317[[#This Row],[W CM]]/2.54)</f>
        <v xml:space="preserve"> </v>
      </c>
      <c r="Q99" s="35" t="str">
        <f>IF(Inventory_List_Table341115109111317[[#This Row],[Q]]&lt;0.1, " ",Inventory_List_Table341115109111317[[#This Row],[D CM ]]/2.54)</f>
        <v xml:space="preserve"> </v>
      </c>
      <c r="R99" s="30" t="str">
        <f>IF(Inventory_List_Table341115109111317[[#This Row],[Q]]&lt;0.1, " ",Inventory_List_Table341115109111317[[#This Row],[PRICE]]/$L$1)</f>
        <v xml:space="preserve"> </v>
      </c>
      <c r="S99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99" s="30" t="str">
        <f>IF(Inventory_List_Table341115109111317[[#This Row],[Q]]&lt;0.1, " ",Inventory_List_Table341115109111317[[#This Row],[AQ RND USD]]*1.4)</f>
        <v xml:space="preserve"> </v>
      </c>
      <c r="U99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99" s="30" t="str">
        <f>IF(Inventory_List_Table341115109111317[[#This Row],[Q]]&lt;0.1, " ",Inventory_List_Table341115109111317[[#This Row],[LND RND USD]]*12)</f>
        <v xml:space="preserve"> </v>
      </c>
      <c r="W99" s="30" t="str">
        <f>IF(Inventory_List_Table341115109111317[[#This Row],[Q]]&lt;0.1, " ",Inventory_List_Table341115109111317[[#This Row],[AQ USD]])</f>
        <v xml:space="preserve"> </v>
      </c>
      <c r="X99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99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99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99" s="30" t="str">
        <f>IF(Inventory_List_Table341115109111317[[#This Row],[Q]]&lt;0.1, " ",Inventory_List_Table341115109111317[[#This Row],[PRICE]]/Z99*10000)</f>
        <v xml:space="preserve"> </v>
      </c>
      <c r="AB99" s="201"/>
      <c r="AC99" s="1"/>
      <c r="AD99" s="1"/>
    </row>
    <row r="100" spans="1:30" ht="24" customHeight="1" x14ac:dyDescent="0.3">
      <c r="A100" s="206">
        <v>98</v>
      </c>
      <c r="B100" s="1"/>
      <c r="C100" s="205"/>
      <c r="D100" s="205"/>
      <c r="E100" s="205"/>
      <c r="F100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00" s="202"/>
      <c r="H100" s="202"/>
      <c r="I100" s="202"/>
      <c r="J100" s="202"/>
      <c r="K100" s="202"/>
      <c r="L100" s="204"/>
      <c r="M100" s="30" t="str">
        <f>IF(Inventory_List_Table341115109111317[[#This Row],[Q]]&lt;0.1, " ", Inventory_List_Table341115109111317[[#This Row],[Q]]*Inventory_List_Table341115109111317[[#This Row],[PRICE]])</f>
        <v xml:space="preserve"> </v>
      </c>
      <c r="N100" s="35" t="str">
        <f>IF(Inventory_List_Table341115109111317[[#This Row],[Q]]&lt;0.1, " ", Inventory_List_Table341115109111317[[#This Row],[KG]]*2.20462)</f>
        <v xml:space="preserve"> </v>
      </c>
      <c r="O100" s="35" t="str">
        <f>IF(Inventory_List_Table341115109111317[[#This Row],[Q]]&lt;0.1, " ",Inventory_List_Table341115109111317[[#This Row],[H CM]]/2.54)</f>
        <v xml:space="preserve"> </v>
      </c>
      <c r="P100" s="35" t="str">
        <f>IF(Inventory_List_Table341115109111317[[#This Row],[Q]]&lt;0.1, " ",Inventory_List_Table341115109111317[[#This Row],[W CM]]/2.54)</f>
        <v xml:space="preserve"> </v>
      </c>
      <c r="Q100" s="35" t="str">
        <f>IF(Inventory_List_Table341115109111317[[#This Row],[Q]]&lt;0.1, " ",Inventory_List_Table341115109111317[[#This Row],[D CM ]]/2.54)</f>
        <v xml:space="preserve"> </v>
      </c>
      <c r="R100" s="30" t="str">
        <f>IF(Inventory_List_Table341115109111317[[#This Row],[Q]]&lt;0.1, " ",Inventory_List_Table341115109111317[[#This Row],[PRICE]]/$L$1)</f>
        <v xml:space="preserve"> </v>
      </c>
      <c r="S100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00" s="30" t="str">
        <f>IF(Inventory_List_Table341115109111317[[#This Row],[Q]]&lt;0.1, " ",Inventory_List_Table341115109111317[[#This Row],[AQ RND USD]]*1.4)</f>
        <v xml:space="preserve"> </v>
      </c>
      <c r="U100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00" s="30" t="str">
        <f>IF(Inventory_List_Table341115109111317[[#This Row],[Q]]&lt;0.1, " ",Inventory_List_Table341115109111317[[#This Row],[LND RND USD]]*12)</f>
        <v xml:space="preserve"> </v>
      </c>
      <c r="W100" s="30" t="str">
        <f>IF(Inventory_List_Table341115109111317[[#This Row],[Q]]&lt;0.1, " ",Inventory_List_Table341115109111317[[#This Row],[AQ USD]])</f>
        <v xml:space="preserve"> </v>
      </c>
      <c r="X100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00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00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00" s="30" t="str">
        <f>IF(Inventory_List_Table341115109111317[[#This Row],[Q]]&lt;0.1, " ",Inventory_List_Table341115109111317[[#This Row],[PRICE]]/Z100*10000)</f>
        <v xml:space="preserve"> </v>
      </c>
      <c r="AB100" s="201"/>
      <c r="AC100" s="1"/>
      <c r="AD100" s="1"/>
    </row>
    <row r="101" spans="1:30" ht="24" customHeight="1" x14ac:dyDescent="0.3">
      <c r="A101" s="206">
        <v>99</v>
      </c>
      <c r="B101" s="1"/>
      <c r="C101" s="205"/>
      <c r="D101" s="205"/>
      <c r="E101" s="205"/>
      <c r="F101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01" s="202"/>
      <c r="H101" s="202"/>
      <c r="I101" s="202"/>
      <c r="J101" s="202"/>
      <c r="K101" s="202"/>
      <c r="L101" s="204"/>
      <c r="M101" s="30" t="str">
        <f>IF(Inventory_List_Table341115109111317[[#This Row],[Q]]&lt;0.1, " ", Inventory_List_Table341115109111317[[#This Row],[Q]]*Inventory_List_Table341115109111317[[#This Row],[PRICE]])</f>
        <v xml:space="preserve"> </v>
      </c>
      <c r="N101" s="35" t="str">
        <f>IF(Inventory_List_Table341115109111317[[#This Row],[Q]]&lt;0.1, " ", Inventory_List_Table341115109111317[[#This Row],[KG]]*2.20462)</f>
        <v xml:space="preserve"> </v>
      </c>
      <c r="O101" s="35" t="str">
        <f>IF(Inventory_List_Table341115109111317[[#This Row],[Q]]&lt;0.1, " ",Inventory_List_Table341115109111317[[#This Row],[H CM]]/2.54)</f>
        <v xml:space="preserve"> </v>
      </c>
      <c r="P101" s="35" t="str">
        <f>IF(Inventory_List_Table341115109111317[[#This Row],[Q]]&lt;0.1, " ",Inventory_List_Table341115109111317[[#This Row],[W CM]]/2.54)</f>
        <v xml:space="preserve"> </v>
      </c>
      <c r="Q101" s="35" t="str">
        <f>IF(Inventory_List_Table341115109111317[[#This Row],[Q]]&lt;0.1, " ",Inventory_List_Table341115109111317[[#This Row],[D CM ]]/2.54)</f>
        <v xml:space="preserve"> </v>
      </c>
      <c r="R101" s="30" t="str">
        <f>IF(Inventory_List_Table341115109111317[[#This Row],[Q]]&lt;0.1, " ",Inventory_List_Table341115109111317[[#This Row],[PRICE]]/$L$1)</f>
        <v xml:space="preserve"> </v>
      </c>
      <c r="S101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01" s="30" t="str">
        <f>IF(Inventory_List_Table341115109111317[[#This Row],[Q]]&lt;0.1, " ",Inventory_List_Table341115109111317[[#This Row],[AQ RND USD]]*1.4)</f>
        <v xml:space="preserve"> </v>
      </c>
      <c r="U101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01" s="30" t="str">
        <f>IF(Inventory_List_Table341115109111317[[#This Row],[Q]]&lt;0.1, " ",Inventory_List_Table341115109111317[[#This Row],[LND RND USD]]*12)</f>
        <v xml:space="preserve"> </v>
      </c>
      <c r="W101" s="30" t="str">
        <f>IF(Inventory_List_Table341115109111317[[#This Row],[Q]]&lt;0.1, " ",Inventory_List_Table341115109111317[[#This Row],[AQ USD]])</f>
        <v xml:space="preserve"> </v>
      </c>
      <c r="X101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01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01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01" s="30" t="str">
        <f>IF(Inventory_List_Table341115109111317[[#This Row],[Q]]&lt;0.1, " ",Inventory_List_Table341115109111317[[#This Row],[PRICE]]/Z101*10000)</f>
        <v xml:space="preserve"> </v>
      </c>
      <c r="AB101" s="201"/>
      <c r="AC101" s="1"/>
      <c r="AD101" s="1"/>
    </row>
    <row r="102" spans="1:30" ht="24" customHeight="1" x14ac:dyDescent="0.3">
      <c r="A102" s="206">
        <v>100</v>
      </c>
      <c r="B102" s="1"/>
      <c r="C102" s="205"/>
      <c r="D102" s="205"/>
      <c r="E102" s="205"/>
      <c r="F102" s="38" t="str">
        <f>IF(Inventory_List_Table341115109111317[[#This Row],[Q]]&lt;0.1, " ",$A$1&amp;$D$1&amp;Inventory_List_Table341115109111317[[#This Row],['#]]&amp;Inventory_List_Table341115109111317[[#This Row],[LC]])</f>
        <v xml:space="preserve"> </v>
      </c>
      <c r="G102" s="202"/>
      <c r="H102" s="202"/>
      <c r="I102" s="202"/>
      <c r="J102" s="202"/>
      <c r="K102" s="202"/>
      <c r="L102" s="204"/>
      <c r="M102" s="30" t="str">
        <f>IF(Inventory_List_Table341115109111317[[#This Row],[Q]]&lt;0.1, " ", Inventory_List_Table341115109111317[[#This Row],[Q]]*Inventory_List_Table341115109111317[[#This Row],[PRICE]])</f>
        <v xml:space="preserve"> </v>
      </c>
      <c r="N102" s="35" t="str">
        <f>IF(Inventory_List_Table341115109111317[[#This Row],[Q]]&lt;0.1, " ", Inventory_List_Table341115109111317[[#This Row],[KG]]*2.20462)</f>
        <v xml:space="preserve"> </v>
      </c>
      <c r="O102" s="35" t="str">
        <f>IF(Inventory_List_Table341115109111317[[#This Row],[Q]]&lt;0.1, " ",Inventory_List_Table341115109111317[[#This Row],[H CM]]/2.54)</f>
        <v xml:space="preserve"> </v>
      </c>
      <c r="P102" s="35" t="str">
        <f>IF(Inventory_List_Table341115109111317[[#This Row],[Q]]&lt;0.1, " ",Inventory_List_Table341115109111317[[#This Row],[W CM]]/2.54)</f>
        <v xml:space="preserve"> </v>
      </c>
      <c r="Q102" s="35" t="str">
        <f>IF(Inventory_List_Table341115109111317[[#This Row],[Q]]&lt;0.1, " ",Inventory_List_Table341115109111317[[#This Row],[D CM ]]/2.54)</f>
        <v xml:space="preserve"> </v>
      </c>
      <c r="R102" s="30" t="str">
        <f>IF(Inventory_List_Table341115109111317[[#This Row],[Q]]&lt;0.1, " ",Inventory_List_Table341115109111317[[#This Row],[PRICE]]/$L$1)</f>
        <v xml:space="preserve"> </v>
      </c>
      <c r="S102" s="30" t="str">
        <f>IF(Inventory_List_Table341115109111317[[#This Row],[Q]]&lt;0.1, " ",IF(MOD(Inventory_List_Table341115109111317[[#This Row],[AQ USD]],1)&gt;0.4,ROUNDUP(Inventory_List_Table341115109111317[[#This Row],[AQ USD]],0),ROUNDDOWN(Inventory_List_Table341115109111317[[#This Row],[AQ USD]],0)))</f>
        <v xml:space="preserve"> </v>
      </c>
      <c r="T102" s="30" t="str">
        <f>IF(Inventory_List_Table341115109111317[[#This Row],[Q]]&lt;0.1, " ",Inventory_List_Table341115109111317[[#This Row],[AQ RND USD]]*1.4)</f>
        <v xml:space="preserve"> </v>
      </c>
      <c r="U102" s="30" t="str">
        <f>IF(Inventory_List_Table341115109111317[[#This Row],[Q]]&lt;0.1, " ",IF(MOD(Inventory_List_Table341115109111317[[#This Row],[LND USD]],1)&gt;0.4,ROUNDUP(Inventory_List_Table341115109111317[[#This Row],[LND USD]],0),ROUNDDOWN(Inventory_List_Table341115109111317[[#This Row],[LND USD]],0)))</f>
        <v xml:space="preserve"> </v>
      </c>
      <c r="V102" s="30" t="str">
        <f>IF(Inventory_List_Table341115109111317[[#This Row],[Q]]&lt;0.1, " ",Inventory_List_Table341115109111317[[#This Row],[LND RND USD]]*12)</f>
        <v xml:space="preserve"> </v>
      </c>
      <c r="W102" s="30" t="str">
        <f>IF(Inventory_List_Table341115109111317[[#This Row],[Q]]&lt;0.1, " ",Inventory_List_Table341115109111317[[#This Row],[AQ USD]])</f>
        <v xml:space="preserve"> </v>
      </c>
      <c r="X102" s="1" t="str">
        <f>IF(Inventory_List_Table341115109111317[[#This Row],[Q]]&lt;0.1, " ",SUBSTITUTE(SUBSTITUTE(SUBSTITUTE(SUBSTITUTE(SUBSTITUTE(SUBSTITUTE(SUBSTITUTE(SUBSTITUTE(SUBSTITUTE(SUBSTITUTE(Inventory_List_Table341115109111317[[#This Row],[AQ RND USD]], "1", "M"), "2", "O"), "3", "X"), "4", "H"), "5", "E"), "6", "L"), "7", "F"), "8", "A"), "9", "N"), "0", "D"))</f>
        <v xml:space="preserve"> </v>
      </c>
      <c r="Y102" s="1" t="str">
        <f>IF(Inventory_List_Table341115109111317[[#This Row],[Q]]&lt;0.1, " ",SUBSTITUTE(SUBSTITUTE(SUBSTITUTE(SUBSTITUTE(SUBSTITUTE(SUBSTITUTE(SUBSTITUTE(SUBSTITUTE(SUBSTITUTE(SUBSTITUTE(Inventory_List_Table341115109111317[[#This Row],[LND RND USD]], "1", "M"), "2", "O"), "3", "X"), "4", "H"), "5", "E"), "6", "L"), "7", "F"), "8", "A"), "9", "N"), "0", "D"))</f>
        <v xml:space="preserve"> </v>
      </c>
      <c r="Z102" s="1" t="str">
        <f>IF(Inventory_List_Table341115109111317[[#This Row],[Q]]&lt;0.1, " ",Inventory_List_Table341115109111317[[#This Row],[H CM]]*Inventory_List_Table341115109111317[[#This Row],[D CM ]]*4+Inventory_List_Table341115109111317[[#This Row],[W CM]]*Inventory_List_Table341115109111317[[#This Row],[D CM ]]/10000)</f>
        <v xml:space="preserve"> </v>
      </c>
      <c r="AA102" s="30" t="str">
        <f>IF(Inventory_List_Table341115109111317[[#This Row],[Q]]&lt;0.1, " ",Inventory_List_Table341115109111317[[#This Row],[PRICE]]/Z102*10000)</f>
        <v xml:space="preserve"> </v>
      </c>
      <c r="AB102" s="201"/>
      <c r="AC102" s="1"/>
      <c r="AD102" s="1"/>
    </row>
  </sheetData>
  <dataValidations count="12">
    <dataValidation allowBlank="1" showInputMessage="1" showErrorMessage="1" prompt="Enter company name in this cell" sqref="B1" xr:uid="{E1B7FCF2-FCDE-4BDC-A4F8-BDD0479CC752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4CDAFF41-605E-46C9-98E5-0E15E6183C95}"/>
    <dataValidation allowBlank="1" showInputMessage="1" showErrorMessage="1" prompt="Enter the item inventory ID in this column" sqref="E2:E3" xr:uid="{D2B24B63-F7C8-4E51-BCC8-17F879112B54}"/>
    <dataValidation allowBlank="1" showInputMessage="1" showErrorMessage="1" prompt="Enter the name of the item in this column" sqref="F2:F102" xr:uid="{82FB03AE-D784-496E-99CC-E64335EC1FBC}"/>
    <dataValidation allowBlank="1" showInputMessage="1" showErrorMessage="1" prompt="Enter yes if the item has been discontinued. When a yes is entered, the corresponding row is highlighted a light grey and the font style changed to strikethrough" sqref="P2:P3" xr:uid="{0E4FD682-20D2-417B-A8CF-29E67995F525}"/>
    <dataValidation allowBlank="1" showInputMessage="1" showErrorMessage="1" prompt="Enter the quantity in reorder for each item in this column" sqref="O2:O3" xr:uid="{D1A2BEF5-BC03-4312-A89A-21D471EF4BBE}"/>
    <dataValidation allowBlank="1" showInputMessage="1" showErrorMessage="1" prompt="Enter the number of days it takes to reorder each item in this column" sqref="L2:N3" xr:uid="{73D7E58B-D94C-4B72-8DC7-0CCF6380CBB9}"/>
    <dataValidation allowBlank="1" showInputMessage="1" showErrorMessage="1" prompt="Enter the reorder level for each item in this column" sqref="K2:K3" xr:uid="{C378F65D-6963-4EE3-BB0D-B5D24366A871}"/>
    <dataValidation allowBlank="1" showInputMessage="1" showErrorMessage="1" prompt="This is an automated column._x000a__x000a_The inventory value for each item is automatically calculated in this column." sqref="J2:J3" xr:uid="{7ED0C749-5BA0-40CC-BCC8-39502FD83E23}"/>
    <dataValidation allowBlank="1" showInputMessage="1" showErrorMessage="1" prompt="Enter the quantity in stock for each item in this column" sqref="I2:I3" xr:uid="{2C2D6086-AC31-462C-AFD0-0C8BB313E076}"/>
    <dataValidation allowBlank="1" showInputMessage="1" showErrorMessage="1" prompt="Enter the unit price of each item in this column" sqref="H2:H3" xr:uid="{8FBEF22A-1F6D-4BF7-89FF-DA691C7F0D0E}"/>
    <dataValidation allowBlank="1" showInputMessage="1" showErrorMessage="1" prompt="Enter a description of the item in this column" sqref="G2:G3" xr:uid="{D90C58B6-145E-4285-9D77-B2960C408040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2914-1DCA-46D8-AC38-3A91FA9F0309}">
  <sheetPr>
    <tabColor rgb="FF8DC63F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208" t="s">
        <v>4</v>
      </c>
      <c r="B1" s="207" t="s">
        <v>5</v>
      </c>
      <c r="C1" s="207" t="s">
        <v>17</v>
      </c>
      <c r="D1" s="207">
        <v>326</v>
      </c>
      <c r="E1" s="207"/>
      <c r="F1" s="207"/>
      <c r="G1" s="207"/>
      <c r="H1" s="207"/>
      <c r="I1" s="207"/>
      <c r="J1" s="214"/>
      <c r="K1" s="207" t="s">
        <v>18</v>
      </c>
      <c r="L1" s="215">
        <v>18</v>
      </c>
      <c r="M1" s="221">
        <f>SUM(Inventory_List_Table34111510911131718[TOTAL PESOS])</f>
        <v>0</v>
      </c>
      <c r="N1" s="222"/>
      <c r="O1" s="222"/>
      <c r="P1" s="222"/>
      <c r="Q1" s="223"/>
      <c r="R1" s="219"/>
      <c r="S1" s="224"/>
      <c r="T1" s="225"/>
      <c r="U1" s="225"/>
      <c r="V1" s="225"/>
      <c r="W1" s="226">
        <f>SUM(Inventory_List_Table34111510911131718[TOTAL USD])</f>
        <v>0</v>
      </c>
      <c r="X1" s="227"/>
      <c r="Y1" s="227"/>
      <c r="Z1" s="227"/>
      <c r="AA1" s="228" t="str">
        <f>IF(G3&gt;0.1, AVERAGE(Inventory_List_Table34111510911131718[NOTES]), " ")</f>
        <v xml:space="preserve"> </v>
      </c>
      <c r="AB1" s="219"/>
    </row>
    <row r="2" spans="1:30" s="39" customFormat="1" ht="39" x14ac:dyDescent="0.25">
      <c r="A2" s="209" t="s">
        <v>19</v>
      </c>
      <c r="B2" s="212" t="s">
        <v>56</v>
      </c>
      <c r="C2" s="212" t="s">
        <v>146</v>
      </c>
      <c r="D2" s="212" t="s">
        <v>145</v>
      </c>
      <c r="E2" s="212" t="s">
        <v>55</v>
      </c>
      <c r="F2" s="209" t="s">
        <v>20</v>
      </c>
      <c r="G2" s="209" t="s">
        <v>9</v>
      </c>
      <c r="H2" s="209" t="s">
        <v>10</v>
      </c>
      <c r="I2" s="209" t="s">
        <v>15</v>
      </c>
      <c r="J2" s="209" t="s">
        <v>11</v>
      </c>
      <c r="K2" s="209" t="s">
        <v>12</v>
      </c>
      <c r="L2" s="212" t="s">
        <v>25</v>
      </c>
      <c r="M2" s="229" t="s">
        <v>21</v>
      </c>
      <c r="N2" s="230" t="s">
        <v>13</v>
      </c>
      <c r="O2" s="230" t="s">
        <v>22</v>
      </c>
      <c r="P2" s="230" t="s">
        <v>23</v>
      </c>
      <c r="Q2" s="230" t="s">
        <v>24</v>
      </c>
      <c r="R2" s="231" t="s">
        <v>57</v>
      </c>
      <c r="S2" s="212" t="s">
        <v>58</v>
      </c>
      <c r="T2" s="231" t="s">
        <v>59</v>
      </c>
      <c r="U2" s="231" t="s">
        <v>60</v>
      </c>
      <c r="V2" s="231" t="s">
        <v>61</v>
      </c>
      <c r="W2" s="232" t="s">
        <v>14</v>
      </c>
      <c r="X2" s="232" t="s">
        <v>16</v>
      </c>
      <c r="Y2" s="232" t="s">
        <v>1</v>
      </c>
      <c r="Z2" s="207" t="s">
        <v>62</v>
      </c>
      <c r="AA2" s="215" t="s">
        <v>63</v>
      </c>
      <c r="AB2" s="207" t="s">
        <v>64</v>
      </c>
    </row>
    <row r="3" spans="1:30" s="29" customFormat="1" ht="23.25" x14ac:dyDescent="0.35">
      <c r="A3" s="210">
        <v>1</v>
      </c>
      <c r="B3" s="1"/>
      <c r="C3" s="213"/>
      <c r="D3" s="213"/>
      <c r="E3" s="213"/>
      <c r="F3" s="38" t="str">
        <f>IF(Inventory_List_Table34111510911131718[[#This Row],[Q]]&lt;0.1, " ",A1&amp;$D$1&amp;Inventory_List_Table34111510911131718[[#This Row],['#]]&amp;Inventory_List_Table34111510911131718[[#This Row],[LC]])</f>
        <v xml:space="preserve"> </v>
      </c>
      <c r="G3" s="216"/>
      <c r="H3" s="216"/>
      <c r="I3" s="216"/>
      <c r="J3" s="216"/>
      <c r="K3" s="216"/>
      <c r="L3" s="217"/>
      <c r="M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" s="35" t="str">
        <f>IF(Inventory_List_Table34111510911131718[[#This Row],[Q]]&lt;0.1, " ", Inventory_List_Table34111510911131718[[#This Row],[KG]]*2.20462)</f>
        <v xml:space="preserve"> </v>
      </c>
      <c r="O3" s="35" t="str">
        <f>IF(Inventory_List_Table34111510911131718[[#This Row],[Q]]&lt;0.1, " ",Inventory_List_Table34111510911131718[[#This Row],[H CM]]/2.54)</f>
        <v xml:space="preserve"> </v>
      </c>
      <c r="P3" s="35" t="str">
        <f>IF(Inventory_List_Table34111510911131718[[#This Row],[Q]]&lt;0.1, " ",Inventory_List_Table34111510911131718[[#This Row],[W CM]]/2.54)</f>
        <v xml:space="preserve"> </v>
      </c>
      <c r="Q3" s="35" t="str">
        <f>IF(Inventory_List_Table34111510911131718[[#This Row],[Q]]&lt;0.1, " ",Inventory_List_Table34111510911131718[[#This Row],[D CM ]]/2.54)</f>
        <v xml:space="preserve"> </v>
      </c>
      <c r="R3" s="30" t="str">
        <f>IF(Inventory_List_Table34111510911131718[[#This Row],[Q]]&lt;0.1, " ",Inventory_List_Table34111510911131718[[#This Row],[PRICE]]/$L$1)</f>
        <v xml:space="preserve"> </v>
      </c>
      <c r="S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" s="30" t="str">
        <f>IF(Inventory_List_Table34111510911131718[[#This Row],[Q]]&lt;0.1, " ",Inventory_List_Table34111510911131718[[#This Row],[AQ RND USD]]*1.4)</f>
        <v xml:space="preserve"> </v>
      </c>
      <c r="U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" s="30" t="str">
        <f>IF(Inventory_List_Table34111510911131718[[#This Row],[Q]]&lt;0.1, " ",Inventory_List_Table34111510911131718[[#This Row],[LND RND USD]]*12)</f>
        <v xml:space="preserve"> </v>
      </c>
      <c r="W3" s="30" t="str">
        <f>IF(Inventory_List_Table34111510911131718[[#This Row],[Q]]&lt;0.1, " ",Inventory_List_Table34111510911131718[[#This Row],[AQ USD]])</f>
        <v xml:space="preserve"> </v>
      </c>
      <c r="X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" s="36" t="str">
        <f>IF(Inventory_List_Table34111510911131718[[#This Row],[Q]]&lt;0.1, " ",Inventory_List_Table34111510911131718[[#This Row],[PRICE]]/Z3*10000)</f>
        <v xml:space="preserve"> </v>
      </c>
      <c r="AB3" s="211"/>
      <c r="AC3" s="27"/>
      <c r="AD3" s="28"/>
    </row>
    <row r="4" spans="1:30" ht="21" x14ac:dyDescent="0.3">
      <c r="A4" s="210">
        <v>2</v>
      </c>
      <c r="B4" s="1"/>
      <c r="C4" s="213"/>
      <c r="D4" s="213"/>
      <c r="E4" s="213"/>
      <c r="F4" s="38" t="str">
        <f>IF(Inventory_List_Table34111510911131718[[#This Row],[Q]]&lt;0.1, " ",#REF!&amp;$D$1&amp;#REF!&amp;Inventory_List_Table34111510911131718[[#This Row],[NOTES]])</f>
        <v xml:space="preserve"> </v>
      </c>
      <c r="G4" s="216"/>
      <c r="H4" s="216"/>
      <c r="I4" s="216"/>
      <c r="J4" s="216"/>
      <c r="K4" s="216"/>
      <c r="L4" s="218"/>
      <c r="M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" s="35" t="str">
        <f>IF(Inventory_List_Table34111510911131718[[#This Row],[Q]]&lt;0.1, " ", Inventory_List_Table34111510911131718[[#This Row],[KG]]*2.20462)</f>
        <v xml:space="preserve"> </v>
      </c>
      <c r="O4" s="35" t="str">
        <f>IF(Inventory_List_Table34111510911131718[[#This Row],[Q]]&lt;0.1, " ",Inventory_List_Table34111510911131718[[#This Row],[H CM]]/2.54)</f>
        <v xml:space="preserve"> </v>
      </c>
      <c r="P4" s="35" t="str">
        <f>IF(Inventory_List_Table34111510911131718[[#This Row],[Q]]&lt;0.1, " ",Inventory_List_Table34111510911131718[[#This Row],[W CM]]/2.54)</f>
        <v xml:space="preserve"> </v>
      </c>
      <c r="Q4" s="35" t="str">
        <f>IF(Inventory_List_Table34111510911131718[[#This Row],[Q]]&lt;0.1, " ",Inventory_List_Table34111510911131718[[#This Row],[D CM ]]/2.54)</f>
        <v xml:space="preserve"> </v>
      </c>
      <c r="R4" s="30" t="str">
        <f>IF(Inventory_List_Table34111510911131718[[#This Row],[Q]]&lt;0.1, " ",Inventory_List_Table34111510911131718[[#This Row],[PRICE]]/$L$1)</f>
        <v xml:space="preserve"> </v>
      </c>
      <c r="S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" s="30" t="str">
        <f>IF(Inventory_List_Table34111510911131718[[#This Row],[Q]]&lt;0.1, " ",Inventory_List_Table34111510911131718[[#This Row],[AQ RND USD]]*1.4)</f>
        <v xml:space="preserve"> </v>
      </c>
      <c r="U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" s="30" t="str">
        <f>IF(Inventory_List_Table34111510911131718[[#This Row],[Q]]&lt;0.1, " ",Inventory_List_Table34111510911131718[[#This Row],[LND RND USD]]*12)</f>
        <v xml:space="preserve"> </v>
      </c>
      <c r="W4" s="30" t="str">
        <f>IF(Inventory_List_Table34111510911131718[[#This Row],[Q]]&lt;0.1, " ",Inventory_List_Table34111510911131718[[#This Row],[AQ USD]])</f>
        <v xml:space="preserve"> </v>
      </c>
      <c r="X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" s="30" t="str">
        <f>IF(Inventory_List_Table34111510911131718[[#This Row],[Q]]&lt;0.1, " ",Inventory_List_Table34111510911131718[[#This Row],[PRICE]]/Z4*10000)</f>
        <v xml:space="preserve"> </v>
      </c>
      <c r="AB4" s="220"/>
      <c r="AC4" s="1"/>
      <c r="AD4" s="1"/>
    </row>
    <row r="5" spans="1:30" ht="24" customHeight="1" x14ac:dyDescent="0.3">
      <c r="A5" s="210">
        <v>3</v>
      </c>
      <c r="B5" s="1"/>
      <c r="C5" s="213"/>
      <c r="D5" s="213"/>
      <c r="E5" s="213"/>
      <c r="F5" s="38" t="str">
        <f>IF(Inventory_List_Table34111510911131718[[#This Row],[Q]]&lt;0.1, " ",#REF!&amp;$D$1&amp;#REF!&amp;Inventory_List_Table34111510911131718[[#This Row],[NOTES]])</f>
        <v xml:space="preserve"> </v>
      </c>
      <c r="G5" s="216"/>
      <c r="H5" s="216"/>
      <c r="I5" s="216"/>
      <c r="J5" s="216"/>
      <c r="K5" s="216"/>
      <c r="L5" s="218"/>
      <c r="M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" s="35" t="str">
        <f>IF(Inventory_List_Table34111510911131718[[#This Row],[Q]]&lt;0.1, " ", Inventory_List_Table34111510911131718[[#This Row],[KG]]*2.20462)</f>
        <v xml:space="preserve"> </v>
      </c>
      <c r="O5" s="35" t="str">
        <f>IF(Inventory_List_Table34111510911131718[[#This Row],[Q]]&lt;0.1, " ",Inventory_List_Table34111510911131718[[#This Row],[H CM]]/2.54)</f>
        <v xml:space="preserve"> </v>
      </c>
      <c r="P5" s="35" t="str">
        <f>IF(Inventory_List_Table34111510911131718[[#This Row],[Q]]&lt;0.1, " ",Inventory_List_Table34111510911131718[[#This Row],[W CM]]/2.54)</f>
        <v xml:space="preserve"> </v>
      </c>
      <c r="Q5" s="35" t="str">
        <f>IF(Inventory_List_Table34111510911131718[[#This Row],[Q]]&lt;0.1, " ",Inventory_List_Table34111510911131718[[#This Row],[D CM ]]/2.54)</f>
        <v xml:space="preserve"> </v>
      </c>
      <c r="R5" s="30" t="str">
        <f>IF(Inventory_List_Table34111510911131718[[#This Row],[Q]]&lt;0.1, " ",Inventory_List_Table34111510911131718[[#This Row],[PRICE]]/$L$1)</f>
        <v xml:space="preserve"> </v>
      </c>
      <c r="S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" s="30" t="str">
        <f>IF(Inventory_List_Table34111510911131718[[#This Row],[Q]]&lt;0.1, " ",Inventory_List_Table34111510911131718[[#This Row],[AQ RND USD]]*1.4)</f>
        <v xml:space="preserve"> </v>
      </c>
      <c r="U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" s="30" t="str">
        <f>IF(Inventory_List_Table34111510911131718[[#This Row],[Q]]&lt;0.1, " ",Inventory_List_Table34111510911131718[[#This Row],[LND RND USD]]*12)</f>
        <v xml:space="preserve"> </v>
      </c>
      <c r="W5" s="30" t="str">
        <f>IF(Inventory_List_Table34111510911131718[[#This Row],[Q]]&lt;0.1, " ",Inventory_List_Table34111510911131718[[#This Row],[AQ USD]])</f>
        <v xml:space="preserve"> </v>
      </c>
      <c r="X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" s="30" t="str">
        <f>IF(Inventory_List_Table34111510911131718[[#This Row],[Q]]&lt;0.1, " ",Inventory_List_Table34111510911131718[[#This Row],[PRICE]]/Z5*10000)</f>
        <v xml:space="preserve"> </v>
      </c>
      <c r="AB5" s="220"/>
      <c r="AC5" s="1"/>
      <c r="AD5" s="1"/>
    </row>
    <row r="6" spans="1:30" ht="24" customHeight="1" x14ac:dyDescent="0.3">
      <c r="A6" s="210">
        <v>4</v>
      </c>
      <c r="B6" s="1"/>
      <c r="C6" s="213"/>
      <c r="D6" s="213"/>
      <c r="E6" s="213"/>
      <c r="F6" s="38" t="str">
        <f>IF(Inventory_List_Table34111510911131718[[#This Row],[Q]]&lt;0.1, " ",#REF!&amp;$D$1&amp;#REF!&amp;Inventory_List_Table34111510911131718[[#This Row],[NOTES]])</f>
        <v xml:space="preserve"> </v>
      </c>
      <c r="G6" s="216"/>
      <c r="H6" s="216"/>
      <c r="I6" s="216"/>
      <c r="J6" s="216"/>
      <c r="K6" s="216"/>
      <c r="L6" s="218"/>
      <c r="M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" s="35" t="str">
        <f>IF(Inventory_List_Table34111510911131718[[#This Row],[Q]]&lt;0.1, " ", Inventory_List_Table34111510911131718[[#This Row],[KG]]*2.20462)</f>
        <v xml:space="preserve"> </v>
      </c>
      <c r="O6" s="35" t="str">
        <f>IF(Inventory_List_Table34111510911131718[[#This Row],[Q]]&lt;0.1, " ",Inventory_List_Table34111510911131718[[#This Row],[H CM]]/2.54)</f>
        <v xml:space="preserve"> </v>
      </c>
      <c r="P6" s="35" t="str">
        <f>IF(Inventory_List_Table34111510911131718[[#This Row],[Q]]&lt;0.1, " ",Inventory_List_Table34111510911131718[[#This Row],[W CM]]/2.54)</f>
        <v xml:space="preserve"> </v>
      </c>
      <c r="Q6" s="35" t="str">
        <f>IF(Inventory_List_Table34111510911131718[[#This Row],[Q]]&lt;0.1, " ",Inventory_List_Table34111510911131718[[#This Row],[D CM ]]/2.54)</f>
        <v xml:space="preserve"> </v>
      </c>
      <c r="R6" s="30" t="str">
        <f>IF(Inventory_List_Table34111510911131718[[#This Row],[Q]]&lt;0.1, " ",Inventory_List_Table34111510911131718[[#This Row],[PRICE]]/$L$1)</f>
        <v xml:space="preserve"> </v>
      </c>
      <c r="S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" s="30" t="str">
        <f>IF(Inventory_List_Table34111510911131718[[#This Row],[Q]]&lt;0.1, " ",Inventory_List_Table34111510911131718[[#This Row],[AQ RND USD]]*1.4)</f>
        <v xml:space="preserve"> </v>
      </c>
      <c r="U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" s="30" t="str">
        <f>IF(Inventory_List_Table34111510911131718[[#This Row],[Q]]&lt;0.1, " ",Inventory_List_Table34111510911131718[[#This Row],[LND RND USD]]*12)</f>
        <v xml:space="preserve"> </v>
      </c>
      <c r="W6" s="30" t="str">
        <f>IF(Inventory_List_Table34111510911131718[[#This Row],[Q]]&lt;0.1, " ",Inventory_List_Table34111510911131718[[#This Row],[AQ USD]])</f>
        <v xml:space="preserve"> </v>
      </c>
      <c r="X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" s="30" t="str">
        <f>IF(Inventory_List_Table34111510911131718[[#This Row],[Q]]&lt;0.1, " ",Inventory_List_Table34111510911131718[[#This Row],[PRICE]]/Z6*10000)</f>
        <v xml:space="preserve"> </v>
      </c>
      <c r="AB6" s="220"/>
      <c r="AC6" s="1"/>
      <c r="AD6" s="1"/>
    </row>
    <row r="7" spans="1:30" ht="24" customHeight="1" x14ac:dyDescent="0.3">
      <c r="A7" s="210">
        <v>5</v>
      </c>
      <c r="B7" s="1"/>
      <c r="C7" s="213"/>
      <c r="D7" s="213"/>
      <c r="E7" s="213"/>
      <c r="F7" s="38" t="str">
        <f>IF(Inventory_List_Table34111510911131718[[#This Row],[Q]]&lt;0.1, " ",#REF!&amp;$D$1&amp;#REF!&amp;Inventory_List_Table34111510911131718[[#This Row],[NOTES]])</f>
        <v xml:space="preserve"> </v>
      </c>
      <c r="G7" s="216"/>
      <c r="H7" s="216"/>
      <c r="I7" s="216"/>
      <c r="J7" s="216"/>
      <c r="K7" s="216"/>
      <c r="L7" s="218"/>
      <c r="M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" s="35" t="str">
        <f>IF(Inventory_List_Table34111510911131718[[#This Row],[Q]]&lt;0.1, " ", Inventory_List_Table34111510911131718[[#This Row],[KG]]*2.20462)</f>
        <v xml:space="preserve"> </v>
      </c>
      <c r="O7" s="35" t="str">
        <f>IF(Inventory_List_Table34111510911131718[[#This Row],[Q]]&lt;0.1, " ",Inventory_List_Table34111510911131718[[#This Row],[H CM]]/2.54)</f>
        <v xml:space="preserve"> </v>
      </c>
      <c r="P7" s="35" t="str">
        <f>IF(Inventory_List_Table34111510911131718[[#This Row],[Q]]&lt;0.1, " ",Inventory_List_Table34111510911131718[[#This Row],[W CM]]/2.54)</f>
        <v xml:space="preserve"> </v>
      </c>
      <c r="Q7" s="35" t="str">
        <f>IF(Inventory_List_Table34111510911131718[[#This Row],[Q]]&lt;0.1, " ",Inventory_List_Table34111510911131718[[#This Row],[D CM ]]/2.54)</f>
        <v xml:space="preserve"> </v>
      </c>
      <c r="R7" s="30" t="str">
        <f>IF(Inventory_List_Table34111510911131718[[#This Row],[Q]]&lt;0.1, " ",Inventory_List_Table34111510911131718[[#This Row],[PRICE]]/$L$1)</f>
        <v xml:space="preserve"> </v>
      </c>
      <c r="S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" s="30" t="str">
        <f>IF(Inventory_List_Table34111510911131718[[#This Row],[Q]]&lt;0.1, " ",Inventory_List_Table34111510911131718[[#This Row],[AQ RND USD]]*1.4)</f>
        <v xml:space="preserve"> </v>
      </c>
      <c r="U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" s="30" t="str">
        <f>IF(Inventory_List_Table34111510911131718[[#This Row],[Q]]&lt;0.1, " ",Inventory_List_Table34111510911131718[[#This Row],[LND RND USD]]*12)</f>
        <v xml:space="preserve"> </v>
      </c>
      <c r="W7" s="30" t="str">
        <f>IF(Inventory_List_Table34111510911131718[[#This Row],[Q]]&lt;0.1, " ",Inventory_List_Table34111510911131718[[#This Row],[AQ USD]])</f>
        <v xml:space="preserve"> </v>
      </c>
      <c r="X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" s="30" t="str">
        <f>IF(Inventory_List_Table34111510911131718[[#This Row],[Q]]&lt;0.1, " ",Inventory_List_Table34111510911131718[[#This Row],[PRICE]]/Z7*10000)</f>
        <v xml:space="preserve"> </v>
      </c>
      <c r="AB7" s="220"/>
      <c r="AC7" s="1"/>
      <c r="AD7" s="1"/>
    </row>
    <row r="8" spans="1:30" ht="24" customHeight="1" x14ac:dyDescent="0.3">
      <c r="A8" s="210">
        <v>6</v>
      </c>
      <c r="B8" s="1"/>
      <c r="C8" s="213"/>
      <c r="D8" s="213"/>
      <c r="E8" s="213"/>
      <c r="F8" s="38" t="str">
        <f>IF(Inventory_List_Table34111510911131718[[#This Row],[Q]]&lt;0.1, " ",#REF!&amp;$D$1&amp;#REF!&amp;Inventory_List_Table34111510911131718[[#This Row],[NOTES]])</f>
        <v xml:space="preserve"> </v>
      </c>
      <c r="G8" s="216"/>
      <c r="H8" s="216"/>
      <c r="I8" s="216"/>
      <c r="J8" s="216"/>
      <c r="K8" s="216"/>
      <c r="L8" s="218"/>
      <c r="M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" s="35" t="str">
        <f>IF(Inventory_List_Table34111510911131718[[#This Row],[Q]]&lt;0.1, " ", Inventory_List_Table34111510911131718[[#This Row],[KG]]*2.20462)</f>
        <v xml:space="preserve"> </v>
      </c>
      <c r="O8" s="35" t="str">
        <f>IF(Inventory_List_Table34111510911131718[[#This Row],[Q]]&lt;0.1, " ",Inventory_List_Table34111510911131718[[#This Row],[H CM]]/2.54)</f>
        <v xml:space="preserve"> </v>
      </c>
      <c r="P8" s="35" t="str">
        <f>IF(Inventory_List_Table34111510911131718[[#This Row],[Q]]&lt;0.1, " ",Inventory_List_Table34111510911131718[[#This Row],[W CM]]/2.54)</f>
        <v xml:space="preserve"> </v>
      </c>
      <c r="Q8" s="35" t="str">
        <f>IF(Inventory_List_Table34111510911131718[[#This Row],[Q]]&lt;0.1, " ",Inventory_List_Table34111510911131718[[#This Row],[D CM ]]/2.54)</f>
        <v xml:space="preserve"> </v>
      </c>
      <c r="R8" s="30" t="str">
        <f>IF(Inventory_List_Table34111510911131718[[#This Row],[Q]]&lt;0.1, " ",Inventory_List_Table34111510911131718[[#This Row],[PRICE]]/$L$1)</f>
        <v xml:space="preserve"> </v>
      </c>
      <c r="S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" s="30" t="str">
        <f>IF(Inventory_List_Table34111510911131718[[#This Row],[Q]]&lt;0.1, " ",Inventory_List_Table34111510911131718[[#This Row],[AQ RND USD]]*1.4)</f>
        <v xml:space="preserve"> </v>
      </c>
      <c r="U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" s="30" t="str">
        <f>IF(Inventory_List_Table34111510911131718[[#This Row],[Q]]&lt;0.1, " ",Inventory_List_Table34111510911131718[[#This Row],[LND RND USD]]*12)</f>
        <v xml:space="preserve"> </v>
      </c>
      <c r="W8" s="30" t="str">
        <f>IF(Inventory_List_Table34111510911131718[[#This Row],[Q]]&lt;0.1, " ",Inventory_List_Table34111510911131718[[#This Row],[AQ USD]])</f>
        <v xml:space="preserve"> </v>
      </c>
      <c r="X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" s="30" t="str">
        <f>IF(Inventory_List_Table34111510911131718[[#This Row],[Q]]&lt;0.1, " ",Inventory_List_Table34111510911131718[[#This Row],[PRICE]]/Z8*10000)</f>
        <v xml:space="preserve"> </v>
      </c>
      <c r="AB8" s="220"/>
      <c r="AC8" s="1"/>
      <c r="AD8" s="1"/>
    </row>
    <row r="9" spans="1:30" ht="24" customHeight="1" x14ac:dyDescent="0.3">
      <c r="A9" s="210">
        <v>7</v>
      </c>
      <c r="B9" s="1"/>
      <c r="C9" s="213"/>
      <c r="D9" s="213"/>
      <c r="E9" s="213"/>
      <c r="F9" s="38" t="str">
        <f>IF(Inventory_List_Table34111510911131718[[#This Row],[Q]]&lt;0.1, " ",#REF!&amp;$D$1&amp;#REF!&amp;Inventory_List_Table34111510911131718[[#This Row],[NOTES]])</f>
        <v xml:space="preserve"> </v>
      </c>
      <c r="G9" s="216"/>
      <c r="H9" s="216"/>
      <c r="I9" s="216"/>
      <c r="J9" s="216"/>
      <c r="K9" s="216"/>
      <c r="L9" s="218"/>
      <c r="M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" s="35" t="str">
        <f>IF(Inventory_List_Table34111510911131718[[#This Row],[Q]]&lt;0.1, " ", Inventory_List_Table34111510911131718[[#This Row],[KG]]*2.20462)</f>
        <v xml:space="preserve"> </v>
      </c>
      <c r="O9" s="35" t="str">
        <f>IF(Inventory_List_Table34111510911131718[[#This Row],[Q]]&lt;0.1, " ",Inventory_List_Table34111510911131718[[#This Row],[H CM]]/2.54)</f>
        <v xml:space="preserve"> </v>
      </c>
      <c r="P9" s="35" t="str">
        <f>IF(Inventory_List_Table34111510911131718[[#This Row],[Q]]&lt;0.1, " ",Inventory_List_Table34111510911131718[[#This Row],[W CM]]/2.54)</f>
        <v xml:space="preserve"> </v>
      </c>
      <c r="Q9" s="35" t="str">
        <f>IF(Inventory_List_Table34111510911131718[[#This Row],[Q]]&lt;0.1, " ",Inventory_List_Table34111510911131718[[#This Row],[D CM ]]/2.54)</f>
        <v xml:space="preserve"> </v>
      </c>
      <c r="R9" s="30" t="str">
        <f>IF(Inventory_List_Table34111510911131718[[#This Row],[Q]]&lt;0.1, " ",Inventory_List_Table34111510911131718[[#This Row],[PRICE]]/$L$1)</f>
        <v xml:space="preserve"> </v>
      </c>
      <c r="S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" s="30" t="str">
        <f>IF(Inventory_List_Table34111510911131718[[#This Row],[Q]]&lt;0.1, " ",Inventory_List_Table34111510911131718[[#This Row],[AQ RND USD]]*1.4)</f>
        <v xml:space="preserve"> </v>
      </c>
      <c r="U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" s="30" t="str">
        <f>IF(Inventory_List_Table34111510911131718[[#This Row],[Q]]&lt;0.1, " ",Inventory_List_Table34111510911131718[[#This Row],[LND RND USD]]*12)</f>
        <v xml:space="preserve"> </v>
      </c>
      <c r="W9" s="30" t="str">
        <f>IF(Inventory_List_Table34111510911131718[[#This Row],[Q]]&lt;0.1, " ",Inventory_List_Table34111510911131718[[#This Row],[AQ USD]])</f>
        <v xml:space="preserve"> </v>
      </c>
      <c r="X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" s="30" t="str">
        <f>IF(Inventory_List_Table34111510911131718[[#This Row],[Q]]&lt;0.1, " ",Inventory_List_Table34111510911131718[[#This Row],[PRICE]]/Z9*10000)</f>
        <v xml:space="preserve"> </v>
      </c>
      <c r="AB9" s="220"/>
      <c r="AC9" s="1"/>
      <c r="AD9" s="1"/>
    </row>
    <row r="10" spans="1:30" ht="24" customHeight="1" x14ac:dyDescent="0.3">
      <c r="A10" s="210">
        <v>8</v>
      </c>
      <c r="B10" s="1"/>
      <c r="C10" s="213"/>
      <c r="D10" s="213"/>
      <c r="E10" s="213"/>
      <c r="F10" s="38" t="str">
        <f>IF(Inventory_List_Table34111510911131718[[#This Row],[Q]]&lt;0.1, " ",#REF!&amp;$D$1&amp;#REF!&amp;Inventory_List_Table34111510911131718[[#This Row],[NOTES]])</f>
        <v xml:space="preserve"> </v>
      </c>
      <c r="G10" s="216"/>
      <c r="H10" s="216"/>
      <c r="I10" s="216"/>
      <c r="J10" s="216"/>
      <c r="K10" s="216"/>
      <c r="L10" s="218"/>
      <c r="M1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0" s="35" t="str">
        <f>IF(Inventory_List_Table34111510911131718[[#This Row],[Q]]&lt;0.1, " ", Inventory_List_Table34111510911131718[[#This Row],[KG]]*2.20462)</f>
        <v xml:space="preserve"> </v>
      </c>
      <c r="O10" s="35" t="str">
        <f>IF(Inventory_List_Table34111510911131718[[#This Row],[Q]]&lt;0.1, " ",Inventory_List_Table34111510911131718[[#This Row],[H CM]]/2.54)</f>
        <v xml:space="preserve"> </v>
      </c>
      <c r="P10" s="35" t="str">
        <f>IF(Inventory_List_Table34111510911131718[[#This Row],[Q]]&lt;0.1, " ",Inventory_List_Table34111510911131718[[#This Row],[W CM]]/2.54)</f>
        <v xml:space="preserve"> </v>
      </c>
      <c r="Q10" s="35" t="str">
        <f>IF(Inventory_List_Table34111510911131718[[#This Row],[Q]]&lt;0.1, " ",Inventory_List_Table34111510911131718[[#This Row],[D CM ]]/2.54)</f>
        <v xml:space="preserve"> </v>
      </c>
      <c r="R10" s="30" t="str">
        <f>IF(Inventory_List_Table34111510911131718[[#This Row],[Q]]&lt;0.1, " ",Inventory_List_Table34111510911131718[[#This Row],[PRICE]]/$L$1)</f>
        <v xml:space="preserve"> </v>
      </c>
      <c r="S1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0" s="30" t="str">
        <f>IF(Inventory_List_Table34111510911131718[[#This Row],[Q]]&lt;0.1, " ",Inventory_List_Table34111510911131718[[#This Row],[AQ RND USD]]*1.4)</f>
        <v xml:space="preserve"> </v>
      </c>
      <c r="U1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0" s="30" t="str">
        <f>IF(Inventory_List_Table34111510911131718[[#This Row],[Q]]&lt;0.1, " ",Inventory_List_Table34111510911131718[[#This Row],[LND RND USD]]*12)</f>
        <v xml:space="preserve"> </v>
      </c>
      <c r="W10" s="30" t="str">
        <f>IF(Inventory_List_Table34111510911131718[[#This Row],[Q]]&lt;0.1, " ",Inventory_List_Table34111510911131718[[#This Row],[AQ USD]])</f>
        <v xml:space="preserve"> </v>
      </c>
      <c r="X1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0" s="30" t="str">
        <f>IF(Inventory_List_Table34111510911131718[[#This Row],[Q]]&lt;0.1, " ",Inventory_List_Table34111510911131718[[#This Row],[PRICE]]/Z10*10000)</f>
        <v xml:space="preserve"> </v>
      </c>
      <c r="AB10" s="220"/>
      <c r="AC10" s="1"/>
      <c r="AD10" s="1"/>
    </row>
    <row r="11" spans="1:30" ht="24" customHeight="1" x14ac:dyDescent="0.3">
      <c r="A11" s="210">
        <v>9</v>
      </c>
      <c r="B11" s="1"/>
      <c r="C11" s="213"/>
      <c r="D11" s="213"/>
      <c r="E11" s="213"/>
      <c r="F11" s="38" t="str">
        <f>IF(Inventory_List_Table34111510911131718[[#This Row],[Q]]&lt;0.1, " ",#REF!&amp;$D$1&amp;#REF!&amp;Inventory_List_Table34111510911131718[[#This Row],[NOTES]])</f>
        <v xml:space="preserve"> </v>
      </c>
      <c r="G11" s="216"/>
      <c r="H11" s="216"/>
      <c r="I11" s="216"/>
      <c r="J11" s="216"/>
      <c r="K11" s="216"/>
      <c r="L11" s="218"/>
      <c r="M1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1" s="35" t="str">
        <f>IF(Inventory_List_Table34111510911131718[[#This Row],[Q]]&lt;0.1, " ", Inventory_List_Table34111510911131718[[#This Row],[KG]]*2.20462)</f>
        <v xml:space="preserve"> </v>
      </c>
      <c r="O11" s="35" t="str">
        <f>IF(Inventory_List_Table34111510911131718[[#This Row],[Q]]&lt;0.1, " ",Inventory_List_Table34111510911131718[[#This Row],[H CM]]/2.54)</f>
        <v xml:space="preserve"> </v>
      </c>
      <c r="P11" s="35" t="str">
        <f>IF(Inventory_List_Table34111510911131718[[#This Row],[Q]]&lt;0.1, " ",Inventory_List_Table34111510911131718[[#This Row],[W CM]]/2.54)</f>
        <v xml:space="preserve"> </v>
      </c>
      <c r="Q11" s="35" t="str">
        <f>IF(Inventory_List_Table34111510911131718[[#This Row],[Q]]&lt;0.1, " ",Inventory_List_Table34111510911131718[[#This Row],[D CM ]]/2.54)</f>
        <v xml:space="preserve"> </v>
      </c>
      <c r="R11" s="30" t="str">
        <f>IF(Inventory_List_Table34111510911131718[[#This Row],[Q]]&lt;0.1, " ",Inventory_List_Table34111510911131718[[#This Row],[PRICE]]/$L$1)</f>
        <v xml:space="preserve"> </v>
      </c>
      <c r="S1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1" s="30" t="str">
        <f>IF(Inventory_List_Table34111510911131718[[#This Row],[Q]]&lt;0.1, " ",Inventory_List_Table34111510911131718[[#This Row],[AQ RND USD]]*1.4)</f>
        <v xml:space="preserve"> </v>
      </c>
      <c r="U1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1" s="30" t="str">
        <f>IF(Inventory_List_Table34111510911131718[[#This Row],[Q]]&lt;0.1, " ",Inventory_List_Table34111510911131718[[#This Row],[LND RND USD]]*12)</f>
        <v xml:space="preserve"> </v>
      </c>
      <c r="W11" s="30" t="str">
        <f>IF(Inventory_List_Table34111510911131718[[#This Row],[Q]]&lt;0.1, " ",Inventory_List_Table34111510911131718[[#This Row],[AQ USD]])</f>
        <v xml:space="preserve"> </v>
      </c>
      <c r="X1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1" s="30" t="str">
        <f>IF(Inventory_List_Table34111510911131718[[#This Row],[Q]]&lt;0.1, " ",Inventory_List_Table34111510911131718[[#This Row],[PRICE]]/Z11*10000)</f>
        <v xml:space="preserve"> </v>
      </c>
      <c r="AB11" s="220"/>
      <c r="AC11" s="1"/>
      <c r="AD11" s="1"/>
    </row>
    <row r="12" spans="1:30" ht="24" customHeight="1" x14ac:dyDescent="0.3">
      <c r="A12" s="210">
        <v>10</v>
      </c>
      <c r="B12" s="1"/>
      <c r="C12" s="213"/>
      <c r="D12" s="213"/>
      <c r="E12" s="213"/>
      <c r="F12" s="38" t="str">
        <f>IF(Inventory_List_Table34111510911131718[[#This Row],[Q]]&lt;0.1, " ",#REF!&amp;$D$1&amp;#REF!&amp;Inventory_List_Table34111510911131718[[#This Row],[NOTES]])</f>
        <v xml:space="preserve"> </v>
      </c>
      <c r="G12" s="216"/>
      <c r="H12" s="216"/>
      <c r="I12" s="216"/>
      <c r="J12" s="216"/>
      <c r="K12" s="216"/>
      <c r="L12" s="218"/>
      <c r="M1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2" s="35" t="str">
        <f>IF(Inventory_List_Table34111510911131718[[#This Row],[Q]]&lt;0.1, " ", Inventory_List_Table34111510911131718[[#This Row],[KG]]*2.20462)</f>
        <v xml:space="preserve"> </v>
      </c>
      <c r="O12" s="35" t="str">
        <f>IF(Inventory_List_Table34111510911131718[[#This Row],[Q]]&lt;0.1, " ",Inventory_List_Table34111510911131718[[#This Row],[H CM]]/2.54)</f>
        <v xml:space="preserve"> </v>
      </c>
      <c r="P12" s="35" t="str">
        <f>IF(Inventory_List_Table34111510911131718[[#This Row],[Q]]&lt;0.1, " ",Inventory_List_Table34111510911131718[[#This Row],[W CM]]/2.54)</f>
        <v xml:space="preserve"> </v>
      </c>
      <c r="Q12" s="35" t="str">
        <f>IF(Inventory_List_Table34111510911131718[[#This Row],[Q]]&lt;0.1, " ",Inventory_List_Table34111510911131718[[#This Row],[D CM ]]/2.54)</f>
        <v xml:space="preserve"> </v>
      </c>
      <c r="R12" s="30" t="str">
        <f>IF(Inventory_List_Table34111510911131718[[#This Row],[Q]]&lt;0.1, " ",Inventory_List_Table34111510911131718[[#This Row],[PRICE]]/$L$1)</f>
        <v xml:space="preserve"> </v>
      </c>
      <c r="S1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2" s="30" t="str">
        <f>IF(Inventory_List_Table34111510911131718[[#This Row],[Q]]&lt;0.1, " ",Inventory_List_Table34111510911131718[[#This Row],[AQ RND USD]]*1.4)</f>
        <v xml:space="preserve"> </v>
      </c>
      <c r="U1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2" s="30" t="str">
        <f>IF(Inventory_List_Table34111510911131718[[#This Row],[Q]]&lt;0.1, " ",Inventory_List_Table34111510911131718[[#This Row],[LND RND USD]]*12)</f>
        <v xml:space="preserve"> </v>
      </c>
      <c r="W12" s="30" t="str">
        <f>IF(Inventory_List_Table34111510911131718[[#This Row],[Q]]&lt;0.1, " ",Inventory_List_Table34111510911131718[[#This Row],[AQ USD]])</f>
        <v xml:space="preserve"> </v>
      </c>
      <c r="X1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2" s="30" t="str">
        <f>IF(Inventory_List_Table34111510911131718[[#This Row],[Q]]&lt;0.1, " ",Inventory_List_Table34111510911131718[[#This Row],[PRICE]]/Z12*10000)</f>
        <v xml:space="preserve"> </v>
      </c>
      <c r="AB12" s="220"/>
      <c r="AC12" s="1"/>
      <c r="AD12" s="1"/>
    </row>
    <row r="13" spans="1:30" ht="24" customHeight="1" x14ac:dyDescent="0.3">
      <c r="A13" s="210">
        <v>11</v>
      </c>
      <c r="B13" s="1"/>
      <c r="C13" s="213"/>
      <c r="D13" s="213"/>
      <c r="E13" s="213"/>
      <c r="F13" s="38" t="str">
        <f>IF(Inventory_List_Table34111510911131718[[#This Row],[Q]]&lt;0.1, " ",#REF!&amp;$D$1&amp;#REF!&amp;Inventory_List_Table34111510911131718[[#This Row],[NOTES]])</f>
        <v xml:space="preserve"> </v>
      </c>
      <c r="G13" s="216"/>
      <c r="H13" s="216"/>
      <c r="I13" s="216"/>
      <c r="J13" s="216"/>
      <c r="K13" s="216"/>
      <c r="L13" s="218"/>
      <c r="M1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3" s="35" t="str">
        <f>IF(Inventory_List_Table34111510911131718[[#This Row],[Q]]&lt;0.1, " ", Inventory_List_Table34111510911131718[[#This Row],[KG]]*2.20462)</f>
        <v xml:space="preserve"> </v>
      </c>
      <c r="O13" s="35" t="str">
        <f>IF(Inventory_List_Table34111510911131718[[#This Row],[Q]]&lt;0.1, " ",Inventory_List_Table34111510911131718[[#This Row],[H CM]]/2.54)</f>
        <v xml:space="preserve"> </v>
      </c>
      <c r="P13" s="35" t="str">
        <f>IF(Inventory_List_Table34111510911131718[[#This Row],[Q]]&lt;0.1, " ",Inventory_List_Table34111510911131718[[#This Row],[W CM]]/2.54)</f>
        <v xml:space="preserve"> </v>
      </c>
      <c r="Q13" s="35" t="str">
        <f>IF(Inventory_List_Table34111510911131718[[#This Row],[Q]]&lt;0.1, " ",Inventory_List_Table34111510911131718[[#This Row],[D CM ]]/2.54)</f>
        <v xml:space="preserve"> </v>
      </c>
      <c r="R13" s="30" t="str">
        <f>IF(Inventory_List_Table34111510911131718[[#This Row],[Q]]&lt;0.1, " ",Inventory_List_Table34111510911131718[[#This Row],[PRICE]]/$L$1)</f>
        <v xml:space="preserve"> </v>
      </c>
      <c r="S1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3" s="30" t="str">
        <f>IF(Inventory_List_Table34111510911131718[[#This Row],[Q]]&lt;0.1, " ",Inventory_List_Table34111510911131718[[#This Row],[AQ RND USD]]*1.4)</f>
        <v xml:space="preserve"> </v>
      </c>
      <c r="U1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3" s="30" t="str">
        <f>IF(Inventory_List_Table34111510911131718[[#This Row],[Q]]&lt;0.1, " ",Inventory_List_Table34111510911131718[[#This Row],[LND RND USD]]*12)</f>
        <v xml:space="preserve"> </v>
      </c>
      <c r="W13" s="30" t="str">
        <f>IF(Inventory_List_Table34111510911131718[[#This Row],[Q]]&lt;0.1, " ",Inventory_List_Table34111510911131718[[#This Row],[AQ USD]])</f>
        <v xml:space="preserve"> </v>
      </c>
      <c r="X1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3" s="30" t="str">
        <f>IF(Inventory_List_Table34111510911131718[[#This Row],[Q]]&lt;0.1, " ",Inventory_List_Table34111510911131718[[#This Row],[PRICE]]/Z13*10000)</f>
        <v xml:space="preserve"> </v>
      </c>
      <c r="AB13" s="220"/>
      <c r="AC13" s="1"/>
      <c r="AD13" s="1"/>
    </row>
    <row r="14" spans="1:30" ht="24" customHeight="1" x14ac:dyDescent="0.3">
      <c r="A14" s="210">
        <v>12</v>
      </c>
      <c r="B14" s="1"/>
      <c r="C14" s="213"/>
      <c r="D14" s="213"/>
      <c r="E14" s="213"/>
      <c r="F14" s="38" t="str">
        <f>IF(Inventory_List_Table34111510911131718[[#This Row],[Q]]&lt;0.1, " ",#REF!&amp;$D$1&amp;#REF!&amp;Inventory_List_Table34111510911131718[[#This Row],[NOTES]])</f>
        <v xml:space="preserve"> </v>
      </c>
      <c r="G14" s="216"/>
      <c r="H14" s="216"/>
      <c r="I14" s="216"/>
      <c r="J14" s="216"/>
      <c r="K14" s="216"/>
      <c r="L14" s="218"/>
      <c r="M1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4" s="35" t="str">
        <f>IF(Inventory_List_Table34111510911131718[[#This Row],[Q]]&lt;0.1, " ", Inventory_List_Table34111510911131718[[#This Row],[KG]]*2.20462)</f>
        <v xml:space="preserve"> </v>
      </c>
      <c r="O14" s="35" t="str">
        <f>IF(Inventory_List_Table34111510911131718[[#This Row],[Q]]&lt;0.1, " ",Inventory_List_Table34111510911131718[[#This Row],[H CM]]/2.54)</f>
        <v xml:space="preserve"> </v>
      </c>
      <c r="P14" s="35" t="str">
        <f>IF(Inventory_List_Table34111510911131718[[#This Row],[Q]]&lt;0.1, " ",Inventory_List_Table34111510911131718[[#This Row],[W CM]]/2.54)</f>
        <v xml:space="preserve"> </v>
      </c>
      <c r="Q14" s="35" t="str">
        <f>IF(Inventory_List_Table34111510911131718[[#This Row],[Q]]&lt;0.1, " ",Inventory_List_Table34111510911131718[[#This Row],[D CM ]]/2.54)</f>
        <v xml:space="preserve"> </v>
      </c>
      <c r="R14" s="30" t="str">
        <f>IF(Inventory_List_Table34111510911131718[[#This Row],[Q]]&lt;0.1, " ",Inventory_List_Table34111510911131718[[#This Row],[PRICE]]/$L$1)</f>
        <v xml:space="preserve"> </v>
      </c>
      <c r="S1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4" s="30" t="str">
        <f>IF(Inventory_List_Table34111510911131718[[#This Row],[Q]]&lt;0.1, " ",Inventory_List_Table34111510911131718[[#This Row],[AQ RND USD]]*1.4)</f>
        <v xml:space="preserve"> </v>
      </c>
      <c r="U1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4" s="30" t="str">
        <f>IF(Inventory_List_Table34111510911131718[[#This Row],[Q]]&lt;0.1, " ",Inventory_List_Table34111510911131718[[#This Row],[LND RND USD]]*12)</f>
        <v xml:space="preserve"> </v>
      </c>
      <c r="W14" s="30" t="str">
        <f>IF(Inventory_List_Table34111510911131718[[#This Row],[Q]]&lt;0.1, " ",Inventory_List_Table34111510911131718[[#This Row],[AQ USD]])</f>
        <v xml:space="preserve"> </v>
      </c>
      <c r="X1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4" s="30" t="str">
        <f>IF(Inventory_List_Table34111510911131718[[#This Row],[Q]]&lt;0.1, " ",Inventory_List_Table34111510911131718[[#This Row],[PRICE]]/Z14*10000)</f>
        <v xml:space="preserve"> </v>
      </c>
      <c r="AB14" s="220"/>
      <c r="AC14" s="1"/>
      <c r="AD14" s="1"/>
    </row>
    <row r="15" spans="1:30" ht="24" customHeight="1" x14ac:dyDescent="0.3">
      <c r="A15" s="210">
        <v>13</v>
      </c>
      <c r="B15" s="1"/>
      <c r="C15" s="213"/>
      <c r="D15" s="213"/>
      <c r="E15" s="213"/>
      <c r="F15" s="38" t="str">
        <f>IF(Inventory_List_Table34111510911131718[[#This Row],[Q]]&lt;0.1, " ",#REF!&amp;$D$1&amp;#REF!&amp;Inventory_List_Table34111510911131718[[#This Row],[NOTES]])</f>
        <v xml:space="preserve"> </v>
      </c>
      <c r="G15" s="216"/>
      <c r="H15" s="216"/>
      <c r="I15" s="216"/>
      <c r="J15" s="216"/>
      <c r="K15" s="216"/>
      <c r="L15" s="218"/>
      <c r="M1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5" s="35" t="str">
        <f>IF(Inventory_List_Table34111510911131718[[#This Row],[Q]]&lt;0.1, " ", Inventory_List_Table34111510911131718[[#This Row],[KG]]*2.20462)</f>
        <v xml:space="preserve"> </v>
      </c>
      <c r="O15" s="35" t="str">
        <f>IF(Inventory_List_Table34111510911131718[[#This Row],[Q]]&lt;0.1, " ",Inventory_List_Table34111510911131718[[#This Row],[H CM]]/2.54)</f>
        <v xml:space="preserve"> </v>
      </c>
      <c r="P15" s="35" t="str">
        <f>IF(Inventory_List_Table34111510911131718[[#This Row],[Q]]&lt;0.1, " ",Inventory_List_Table34111510911131718[[#This Row],[W CM]]/2.54)</f>
        <v xml:space="preserve"> </v>
      </c>
      <c r="Q15" s="35" t="str">
        <f>IF(Inventory_List_Table34111510911131718[[#This Row],[Q]]&lt;0.1, " ",Inventory_List_Table34111510911131718[[#This Row],[D CM ]]/2.54)</f>
        <v xml:space="preserve"> </v>
      </c>
      <c r="R15" s="30" t="str">
        <f>IF(Inventory_List_Table34111510911131718[[#This Row],[Q]]&lt;0.1, " ",Inventory_List_Table34111510911131718[[#This Row],[PRICE]]/$L$1)</f>
        <v xml:space="preserve"> </v>
      </c>
      <c r="S1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5" s="30" t="str">
        <f>IF(Inventory_List_Table34111510911131718[[#This Row],[Q]]&lt;0.1, " ",Inventory_List_Table34111510911131718[[#This Row],[AQ RND USD]]*1.4)</f>
        <v xml:space="preserve"> </v>
      </c>
      <c r="U1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5" s="30" t="str">
        <f>IF(Inventory_List_Table34111510911131718[[#This Row],[Q]]&lt;0.1, " ",Inventory_List_Table34111510911131718[[#This Row],[LND RND USD]]*12)</f>
        <v xml:space="preserve"> </v>
      </c>
      <c r="W15" s="30" t="str">
        <f>IF(Inventory_List_Table34111510911131718[[#This Row],[Q]]&lt;0.1, " ",Inventory_List_Table34111510911131718[[#This Row],[AQ USD]])</f>
        <v xml:space="preserve"> </v>
      </c>
      <c r="X1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5" s="30" t="str">
        <f>IF(Inventory_List_Table34111510911131718[[#This Row],[Q]]&lt;0.1, " ",Inventory_List_Table34111510911131718[[#This Row],[PRICE]]/Z15*10000)</f>
        <v xml:space="preserve"> </v>
      </c>
      <c r="AB15" s="220"/>
      <c r="AC15" s="1"/>
      <c r="AD15" s="1"/>
    </row>
    <row r="16" spans="1:30" ht="24" customHeight="1" x14ac:dyDescent="0.3">
      <c r="A16" s="210">
        <v>14</v>
      </c>
      <c r="B16" s="1"/>
      <c r="C16" s="213"/>
      <c r="D16" s="213"/>
      <c r="E16" s="213"/>
      <c r="F16" s="38" t="str">
        <f>IF(Inventory_List_Table34111510911131718[[#This Row],[Q]]&lt;0.1, " ",#REF!&amp;$D$1&amp;#REF!&amp;Inventory_List_Table34111510911131718[[#This Row],[NOTES]])</f>
        <v xml:space="preserve"> </v>
      </c>
      <c r="G16" s="216"/>
      <c r="H16" s="216"/>
      <c r="I16" s="216"/>
      <c r="J16" s="216"/>
      <c r="K16" s="216"/>
      <c r="L16" s="218"/>
      <c r="M1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6" s="35" t="str">
        <f>IF(Inventory_List_Table34111510911131718[[#This Row],[Q]]&lt;0.1, " ", Inventory_List_Table34111510911131718[[#This Row],[KG]]*2.20462)</f>
        <v xml:space="preserve"> </v>
      </c>
      <c r="O16" s="35" t="str">
        <f>IF(Inventory_List_Table34111510911131718[[#This Row],[Q]]&lt;0.1, " ",Inventory_List_Table34111510911131718[[#This Row],[H CM]]/2.54)</f>
        <v xml:space="preserve"> </v>
      </c>
      <c r="P16" s="35" t="str">
        <f>IF(Inventory_List_Table34111510911131718[[#This Row],[Q]]&lt;0.1, " ",Inventory_List_Table34111510911131718[[#This Row],[W CM]]/2.54)</f>
        <v xml:space="preserve"> </v>
      </c>
      <c r="Q16" s="35" t="str">
        <f>IF(Inventory_List_Table34111510911131718[[#This Row],[Q]]&lt;0.1, " ",Inventory_List_Table34111510911131718[[#This Row],[D CM ]]/2.54)</f>
        <v xml:space="preserve"> </v>
      </c>
      <c r="R16" s="30" t="str">
        <f>IF(Inventory_List_Table34111510911131718[[#This Row],[Q]]&lt;0.1, " ",Inventory_List_Table34111510911131718[[#This Row],[PRICE]]/$L$1)</f>
        <v xml:space="preserve"> </v>
      </c>
      <c r="S1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6" s="30" t="str">
        <f>IF(Inventory_List_Table34111510911131718[[#This Row],[Q]]&lt;0.1, " ",Inventory_List_Table34111510911131718[[#This Row],[AQ RND USD]]*1.4)</f>
        <v xml:space="preserve"> </v>
      </c>
      <c r="U1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6" s="30" t="str">
        <f>IF(Inventory_List_Table34111510911131718[[#This Row],[Q]]&lt;0.1, " ",Inventory_List_Table34111510911131718[[#This Row],[LND RND USD]]*12)</f>
        <v xml:space="preserve"> </v>
      </c>
      <c r="W16" s="30" t="str">
        <f>IF(Inventory_List_Table34111510911131718[[#This Row],[Q]]&lt;0.1, " ",Inventory_List_Table34111510911131718[[#This Row],[AQ USD]])</f>
        <v xml:space="preserve"> </v>
      </c>
      <c r="X1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6" s="30" t="str">
        <f>IF(Inventory_List_Table34111510911131718[[#This Row],[Q]]&lt;0.1, " ",Inventory_List_Table34111510911131718[[#This Row],[PRICE]]/Z16*10000)</f>
        <v xml:space="preserve"> </v>
      </c>
      <c r="AB16" s="220"/>
      <c r="AC16" s="1"/>
      <c r="AD16" s="1"/>
    </row>
    <row r="17" spans="1:30" ht="24" customHeight="1" x14ac:dyDescent="0.3">
      <c r="A17" s="210">
        <v>15</v>
      </c>
      <c r="B17" s="1"/>
      <c r="C17" s="213"/>
      <c r="D17" s="213"/>
      <c r="E17" s="213"/>
      <c r="F17" s="38" t="str">
        <f>IF(Inventory_List_Table34111510911131718[[#This Row],[Q]]&lt;0.1, " ",#REF!&amp;$D$1&amp;#REF!&amp;Inventory_List_Table34111510911131718[[#This Row],[NOTES]])</f>
        <v xml:space="preserve"> </v>
      </c>
      <c r="G17" s="216"/>
      <c r="H17" s="216"/>
      <c r="I17" s="216"/>
      <c r="J17" s="216"/>
      <c r="K17" s="216"/>
      <c r="L17" s="218"/>
      <c r="M1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7" s="35" t="str">
        <f>IF(Inventory_List_Table34111510911131718[[#This Row],[Q]]&lt;0.1, " ", Inventory_List_Table34111510911131718[[#This Row],[KG]]*2.20462)</f>
        <v xml:space="preserve"> </v>
      </c>
      <c r="O17" s="35" t="str">
        <f>IF(Inventory_List_Table34111510911131718[[#This Row],[Q]]&lt;0.1, " ",Inventory_List_Table34111510911131718[[#This Row],[H CM]]/2.54)</f>
        <v xml:space="preserve"> </v>
      </c>
      <c r="P17" s="35" t="str">
        <f>IF(Inventory_List_Table34111510911131718[[#This Row],[Q]]&lt;0.1, " ",Inventory_List_Table34111510911131718[[#This Row],[W CM]]/2.54)</f>
        <v xml:space="preserve"> </v>
      </c>
      <c r="Q17" s="35" t="str">
        <f>IF(Inventory_List_Table34111510911131718[[#This Row],[Q]]&lt;0.1, " ",Inventory_List_Table34111510911131718[[#This Row],[D CM ]]/2.54)</f>
        <v xml:space="preserve"> </v>
      </c>
      <c r="R17" s="30" t="str">
        <f>IF(Inventory_List_Table34111510911131718[[#This Row],[Q]]&lt;0.1, " ",Inventory_List_Table34111510911131718[[#This Row],[PRICE]]/$L$1)</f>
        <v xml:space="preserve"> </v>
      </c>
      <c r="S1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7" s="30" t="str">
        <f>IF(Inventory_List_Table34111510911131718[[#This Row],[Q]]&lt;0.1, " ",Inventory_List_Table34111510911131718[[#This Row],[AQ RND USD]]*1.4)</f>
        <v xml:space="preserve"> </v>
      </c>
      <c r="U1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7" s="30" t="str">
        <f>IF(Inventory_List_Table34111510911131718[[#This Row],[Q]]&lt;0.1, " ",Inventory_List_Table34111510911131718[[#This Row],[LND RND USD]]*12)</f>
        <v xml:space="preserve"> </v>
      </c>
      <c r="W17" s="30" t="str">
        <f>IF(Inventory_List_Table34111510911131718[[#This Row],[Q]]&lt;0.1, " ",Inventory_List_Table34111510911131718[[#This Row],[AQ USD]])</f>
        <v xml:space="preserve"> </v>
      </c>
      <c r="X1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7" s="30" t="str">
        <f>IF(Inventory_List_Table34111510911131718[[#This Row],[Q]]&lt;0.1, " ",Inventory_List_Table34111510911131718[[#This Row],[PRICE]]/Z17*10000)</f>
        <v xml:space="preserve"> </v>
      </c>
      <c r="AB17" s="220"/>
      <c r="AC17" s="1"/>
      <c r="AD17" s="1"/>
    </row>
    <row r="18" spans="1:30" ht="24" customHeight="1" x14ac:dyDescent="0.3">
      <c r="A18" s="210">
        <v>16</v>
      </c>
      <c r="B18" s="1"/>
      <c r="C18" s="213"/>
      <c r="D18" s="213"/>
      <c r="E18" s="213"/>
      <c r="F18" s="38" t="str">
        <f>IF(Inventory_List_Table34111510911131718[[#This Row],[Q]]&lt;0.1, " ",#REF!&amp;$D$1&amp;#REF!&amp;Inventory_List_Table34111510911131718[[#This Row],[NOTES]])</f>
        <v xml:space="preserve"> </v>
      </c>
      <c r="G18" s="216"/>
      <c r="H18" s="216"/>
      <c r="I18" s="216"/>
      <c r="J18" s="216"/>
      <c r="K18" s="216"/>
      <c r="L18" s="218"/>
      <c r="M1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8" s="35" t="str">
        <f>IF(Inventory_List_Table34111510911131718[[#This Row],[Q]]&lt;0.1, " ", Inventory_List_Table34111510911131718[[#This Row],[KG]]*2.20462)</f>
        <v xml:space="preserve"> </v>
      </c>
      <c r="O18" s="35" t="str">
        <f>IF(Inventory_List_Table34111510911131718[[#This Row],[Q]]&lt;0.1, " ",Inventory_List_Table34111510911131718[[#This Row],[H CM]]/2.54)</f>
        <v xml:space="preserve"> </v>
      </c>
      <c r="P18" s="35" t="str">
        <f>IF(Inventory_List_Table34111510911131718[[#This Row],[Q]]&lt;0.1, " ",Inventory_List_Table34111510911131718[[#This Row],[W CM]]/2.54)</f>
        <v xml:space="preserve"> </v>
      </c>
      <c r="Q18" s="35" t="str">
        <f>IF(Inventory_List_Table34111510911131718[[#This Row],[Q]]&lt;0.1, " ",Inventory_List_Table34111510911131718[[#This Row],[D CM ]]/2.54)</f>
        <v xml:space="preserve"> </v>
      </c>
      <c r="R18" s="30" t="str">
        <f>IF(Inventory_List_Table34111510911131718[[#This Row],[Q]]&lt;0.1, " ",Inventory_List_Table34111510911131718[[#This Row],[PRICE]]/$L$1)</f>
        <v xml:space="preserve"> </v>
      </c>
      <c r="S1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8" s="30" t="str">
        <f>IF(Inventory_List_Table34111510911131718[[#This Row],[Q]]&lt;0.1, " ",Inventory_List_Table34111510911131718[[#This Row],[AQ RND USD]]*1.4)</f>
        <v xml:space="preserve"> </v>
      </c>
      <c r="U1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8" s="30" t="str">
        <f>IF(Inventory_List_Table34111510911131718[[#This Row],[Q]]&lt;0.1, " ",Inventory_List_Table34111510911131718[[#This Row],[LND RND USD]]*12)</f>
        <v xml:space="preserve"> </v>
      </c>
      <c r="W18" s="30" t="str">
        <f>IF(Inventory_List_Table34111510911131718[[#This Row],[Q]]&lt;0.1, " ",Inventory_List_Table34111510911131718[[#This Row],[AQ USD]])</f>
        <v xml:space="preserve"> </v>
      </c>
      <c r="X1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8" s="30" t="str">
        <f>IF(Inventory_List_Table34111510911131718[[#This Row],[Q]]&lt;0.1, " ",Inventory_List_Table34111510911131718[[#This Row],[PRICE]]/Z18*10000)</f>
        <v xml:space="preserve"> </v>
      </c>
      <c r="AB18" s="220"/>
      <c r="AC18" s="1"/>
      <c r="AD18" s="1"/>
    </row>
    <row r="19" spans="1:30" ht="24" customHeight="1" x14ac:dyDescent="0.3">
      <c r="A19" s="210">
        <v>17</v>
      </c>
      <c r="B19" s="1"/>
      <c r="C19" s="213"/>
      <c r="D19" s="213"/>
      <c r="E19" s="213"/>
      <c r="F19" s="38" t="str">
        <f>IF(Inventory_List_Table34111510911131718[[#This Row],[Q]]&lt;0.1, " ",#REF!&amp;$D$1&amp;#REF!&amp;Inventory_List_Table34111510911131718[[#This Row],[NOTES]])</f>
        <v xml:space="preserve"> </v>
      </c>
      <c r="G19" s="216"/>
      <c r="H19" s="216"/>
      <c r="I19" s="216"/>
      <c r="J19" s="216"/>
      <c r="K19" s="216"/>
      <c r="L19" s="218"/>
      <c r="M1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9" s="35" t="str">
        <f>IF(Inventory_List_Table34111510911131718[[#This Row],[Q]]&lt;0.1, " ", Inventory_List_Table34111510911131718[[#This Row],[KG]]*2.20462)</f>
        <v xml:space="preserve"> </v>
      </c>
      <c r="O19" s="35" t="str">
        <f>IF(Inventory_List_Table34111510911131718[[#This Row],[Q]]&lt;0.1, " ",Inventory_List_Table34111510911131718[[#This Row],[H CM]]/2.54)</f>
        <v xml:space="preserve"> </v>
      </c>
      <c r="P19" s="35" t="str">
        <f>IF(Inventory_List_Table34111510911131718[[#This Row],[Q]]&lt;0.1, " ",Inventory_List_Table34111510911131718[[#This Row],[W CM]]/2.54)</f>
        <v xml:space="preserve"> </v>
      </c>
      <c r="Q19" s="35" t="str">
        <f>IF(Inventory_List_Table34111510911131718[[#This Row],[Q]]&lt;0.1, " ",Inventory_List_Table34111510911131718[[#This Row],[D CM ]]/2.54)</f>
        <v xml:space="preserve"> </v>
      </c>
      <c r="R19" s="30" t="str">
        <f>IF(Inventory_List_Table34111510911131718[[#This Row],[Q]]&lt;0.1, " ",Inventory_List_Table34111510911131718[[#This Row],[PRICE]]/$L$1)</f>
        <v xml:space="preserve"> </v>
      </c>
      <c r="S1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9" s="30" t="str">
        <f>IF(Inventory_List_Table34111510911131718[[#This Row],[Q]]&lt;0.1, " ",Inventory_List_Table34111510911131718[[#This Row],[AQ RND USD]]*1.4)</f>
        <v xml:space="preserve"> </v>
      </c>
      <c r="U1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9" s="30" t="str">
        <f>IF(Inventory_List_Table34111510911131718[[#This Row],[Q]]&lt;0.1, " ",Inventory_List_Table34111510911131718[[#This Row],[LND RND USD]]*12)</f>
        <v xml:space="preserve"> </v>
      </c>
      <c r="W19" s="30" t="str">
        <f>IF(Inventory_List_Table34111510911131718[[#This Row],[Q]]&lt;0.1, " ",Inventory_List_Table34111510911131718[[#This Row],[AQ USD]])</f>
        <v xml:space="preserve"> </v>
      </c>
      <c r="X1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9" s="30" t="str">
        <f>IF(Inventory_List_Table34111510911131718[[#This Row],[Q]]&lt;0.1, " ",Inventory_List_Table34111510911131718[[#This Row],[PRICE]]/Z19*10000)</f>
        <v xml:space="preserve"> </v>
      </c>
      <c r="AB19" s="220"/>
      <c r="AC19" s="1"/>
      <c r="AD19" s="1"/>
    </row>
    <row r="20" spans="1:30" ht="24" customHeight="1" x14ac:dyDescent="0.3">
      <c r="A20" s="210">
        <v>18</v>
      </c>
      <c r="B20" s="1"/>
      <c r="C20" s="213"/>
      <c r="D20" s="213"/>
      <c r="E20" s="213"/>
      <c r="F20" s="38" t="str">
        <f>IF(Inventory_List_Table34111510911131718[[#This Row],[Q]]&lt;0.1, " ",#REF!&amp;$D$1&amp;#REF!&amp;Inventory_List_Table34111510911131718[[#This Row],[NOTES]])</f>
        <v xml:space="preserve"> </v>
      </c>
      <c r="G20" s="216"/>
      <c r="H20" s="216"/>
      <c r="I20" s="216"/>
      <c r="J20" s="216"/>
      <c r="K20" s="216"/>
      <c r="L20" s="218"/>
      <c r="M2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0" s="35" t="str">
        <f>IF(Inventory_List_Table34111510911131718[[#This Row],[Q]]&lt;0.1, " ", Inventory_List_Table34111510911131718[[#This Row],[KG]]*2.20462)</f>
        <v xml:space="preserve"> </v>
      </c>
      <c r="O20" s="35" t="str">
        <f>IF(Inventory_List_Table34111510911131718[[#This Row],[Q]]&lt;0.1, " ",Inventory_List_Table34111510911131718[[#This Row],[H CM]]/2.54)</f>
        <v xml:space="preserve"> </v>
      </c>
      <c r="P20" s="35" t="str">
        <f>IF(Inventory_List_Table34111510911131718[[#This Row],[Q]]&lt;0.1, " ",Inventory_List_Table34111510911131718[[#This Row],[W CM]]/2.54)</f>
        <v xml:space="preserve"> </v>
      </c>
      <c r="Q20" s="35" t="str">
        <f>IF(Inventory_List_Table34111510911131718[[#This Row],[Q]]&lt;0.1, " ",Inventory_List_Table34111510911131718[[#This Row],[D CM ]]/2.54)</f>
        <v xml:space="preserve"> </v>
      </c>
      <c r="R20" s="30" t="str">
        <f>IF(Inventory_List_Table34111510911131718[[#This Row],[Q]]&lt;0.1, " ",Inventory_List_Table34111510911131718[[#This Row],[PRICE]]/$L$1)</f>
        <v xml:space="preserve"> </v>
      </c>
      <c r="S2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0" s="30" t="str">
        <f>IF(Inventory_List_Table34111510911131718[[#This Row],[Q]]&lt;0.1, " ",Inventory_List_Table34111510911131718[[#This Row],[AQ RND USD]]*1.4)</f>
        <v xml:space="preserve"> </v>
      </c>
      <c r="U2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0" s="30" t="str">
        <f>IF(Inventory_List_Table34111510911131718[[#This Row],[Q]]&lt;0.1, " ",Inventory_List_Table34111510911131718[[#This Row],[LND RND USD]]*12)</f>
        <v xml:space="preserve"> </v>
      </c>
      <c r="W20" s="30" t="str">
        <f>IF(Inventory_List_Table34111510911131718[[#This Row],[Q]]&lt;0.1, " ",Inventory_List_Table34111510911131718[[#This Row],[AQ USD]])</f>
        <v xml:space="preserve"> </v>
      </c>
      <c r="X2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0" s="30" t="str">
        <f>IF(Inventory_List_Table34111510911131718[[#This Row],[Q]]&lt;0.1, " ",Inventory_List_Table34111510911131718[[#This Row],[PRICE]]/Z20*10000)</f>
        <v xml:space="preserve"> </v>
      </c>
      <c r="AB20" s="220"/>
      <c r="AC20" s="1"/>
      <c r="AD20" s="1"/>
    </row>
    <row r="21" spans="1:30" ht="24" customHeight="1" x14ac:dyDescent="0.3">
      <c r="A21" s="210">
        <v>19</v>
      </c>
      <c r="B21" s="1"/>
      <c r="C21" s="213"/>
      <c r="D21" s="213"/>
      <c r="E21" s="213"/>
      <c r="F21" s="38" t="str">
        <f>IF(Inventory_List_Table34111510911131718[[#This Row],[Q]]&lt;0.1, " ",#REF!&amp;$D$1&amp;#REF!&amp;Inventory_List_Table34111510911131718[[#This Row],[NOTES]])</f>
        <v xml:space="preserve"> </v>
      </c>
      <c r="G21" s="216"/>
      <c r="H21" s="216"/>
      <c r="I21" s="216"/>
      <c r="J21" s="216"/>
      <c r="K21" s="216"/>
      <c r="L21" s="218"/>
      <c r="M2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1" s="35" t="str">
        <f>IF(Inventory_List_Table34111510911131718[[#This Row],[Q]]&lt;0.1, " ", Inventory_List_Table34111510911131718[[#This Row],[KG]]*2.20462)</f>
        <v xml:space="preserve"> </v>
      </c>
      <c r="O21" s="35" t="str">
        <f>IF(Inventory_List_Table34111510911131718[[#This Row],[Q]]&lt;0.1, " ",Inventory_List_Table34111510911131718[[#This Row],[H CM]]/2.54)</f>
        <v xml:space="preserve"> </v>
      </c>
      <c r="P21" s="35" t="str">
        <f>IF(Inventory_List_Table34111510911131718[[#This Row],[Q]]&lt;0.1, " ",Inventory_List_Table34111510911131718[[#This Row],[W CM]]/2.54)</f>
        <v xml:space="preserve"> </v>
      </c>
      <c r="Q21" s="35" t="str">
        <f>IF(Inventory_List_Table34111510911131718[[#This Row],[Q]]&lt;0.1, " ",Inventory_List_Table34111510911131718[[#This Row],[D CM ]]/2.54)</f>
        <v xml:space="preserve"> </v>
      </c>
      <c r="R21" s="30" t="str">
        <f>IF(Inventory_List_Table34111510911131718[[#This Row],[Q]]&lt;0.1, " ",Inventory_List_Table34111510911131718[[#This Row],[PRICE]]/$L$1)</f>
        <v xml:space="preserve"> </v>
      </c>
      <c r="S2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1" s="30" t="str">
        <f>IF(Inventory_List_Table34111510911131718[[#This Row],[Q]]&lt;0.1, " ",Inventory_List_Table34111510911131718[[#This Row],[AQ RND USD]]*1.4)</f>
        <v xml:space="preserve"> </v>
      </c>
      <c r="U2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1" s="30" t="str">
        <f>IF(Inventory_List_Table34111510911131718[[#This Row],[Q]]&lt;0.1, " ",Inventory_List_Table34111510911131718[[#This Row],[LND RND USD]]*12)</f>
        <v xml:space="preserve"> </v>
      </c>
      <c r="W21" s="30" t="str">
        <f>IF(Inventory_List_Table34111510911131718[[#This Row],[Q]]&lt;0.1, " ",Inventory_List_Table34111510911131718[[#This Row],[AQ USD]])</f>
        <v xml:space="preserve"> </v>
      </c>
      <c r="X2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1" s="30" t="str">
        <f>IF(Inventory_List_Table34111510911131718[[#This Row],[Q]]&lt;0.1, " ",Inventory_List_Table34111510911131718[[#This Row],[PRICE]]/Z21*10000)</f>
        <v xml:space="preserve"> </v>
      </c>
      <c r="AB21" s="220"/>
      <c r="AC21" s="1"/>
      <c r="AD21" s="1"/>
    </row>
    <row r="22" spans="1:30" ht="24" customHeight="1" x14ac:dyDescent="0.3">
      <c r="A22" s="210">
        <v>20</v>
      </c>
      <c r="B22" s="1"/>
      <c r="C22" s="213"/>
      <c r="D22" s="213"/>
      <c r="E22" s="213"/>
      <c r="F22" s="38" t="str">
        <f>IF(Inventory_List_Table34111510911131718[[#This Row],[Q]]&lt;0.1, " ",#REF!&amp;$D$1&amp;#REF!&amp;Inventory_List_Table34111510911131718[[#This Row],[NOTES]])</f>
        <v xml:space="preserve"> </v>
      </c>
      <c r="G22" s="216"/>
      <c r="H22" s="216"/>
      <c r="I22" s="216"/>
      <c r="J22" s="216"/>
      <c r="K22" s="216"/>
      <c r="L22" s="218"/>
      <c r="M2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2" s="35" t="str">
        <f>IF(Inventory_List_Table34111510911131718[[#This Row],[Q]]&lt;0.1, " ", Inventory_List_Table34111510911131718[[#This Row],[KG]]*2.20462)</f>
        <v xml:space="preserve"> </v>
      </c>
      <c r="O22" s="35" t="str">
        <f>IF(Inventory_List_Table34111510911131718[[#This Row],[Q]]&lt;0.1, " ",Inventory_List_Table34111510911131718[[#This Row],[H CM]]/2.54)</f>
        <v xml:space="preserve"> </v>
      </c>
      <c r="P22" s="35" t="str">
        <f>IF(Inventory_List_Table34111510911131718[[#This Row],[Q]]&lt;0.1, " ",Inventory_List_Table34111510911131718[[#This Row],[W CM]]/2.54)</f>
        <v xml:space="preserve"> </v>
      </c>
      <c r="Q22" s="35" t="str">
        <f>IF(Inventory_List_Table34111510911131718[[#This Row],[Q]]&lt;0.1, " ",Inventory_List_Table34111510911131718[[#This Row],[D CM ]]/2.54)</f>
        <v xml:space="preserve"> </v>
      </c>
      <c r="R22" s="30" t="str">
        <f>IF(Inventory_List_Table34111510911131718[[#This Row],[Q]]&lt;0.1, " ",Inventory_List_Table34111510911131718[[#This Row],[PRICE]]/$L$1)</f>
        <v xml:space="preserve"> </v>
      </c>
      <c r="S2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2" s="30" t="str">
        <f>IF(Inventory_List_Table34111510911131718[[#This Row],[Q]]&lt;0.1, " ",Inventory_List_Table34111510911131718[[#This Row],[AQ RND USD]]*1.4)</f>
        <v xml:space="preserve"> </v>
      </c>
      <c r="U2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2" s="30" t="str">
        <f>IF(Inventory_List_Table34111510911131718[[#This Row],[Q]]&lt;0.1, " ",Inventory_List_Table34111510911131718[[#This Row],[LND RND USD]]*12)</f>
        <v xml:space="preserve"> </v>
      </c>
      <c r="W22" s="30" t="str">
        <f>IF(Inventory_List_Table34111510911131718[[#This Row],[Q]]&lt;0.1, " ",Inventory_List_Table34111510911131718[[#This Row],[AQ USD]])</f>
        <v xml:space="preserve"> </v>
      </c>
      <c r="X2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2" s="30" t="str">
        <f>IF(Inventory_List_Table34111510911131718[[#This Row],[Q]]&lt;0.1, " ",Inventory_List_Table34111510911131718[[#This Row],[PRICE]]/Z22*10000)</f>
        <v xml:space="preserve"> </v>
      </c>
      <c r="AB22" s="220"/>
      <c r="AC22" s="1"/>
      <c r="AD22" s="1"/>
    </row>
    <row r="23" spans="1:30" ht="24" customHeight="1" x14ac:dyDescent="0.3">
      <c r="A23" s="210">
        <v>21</v>
      </c>
      <c r="B23" s="1"/>
      <c r="C23" s="213"/>
      <c r="D23" s="213"/>
      <c r="E23" s="213"/>
      <c r="F23" s="38" t="str">
        <f>IF(Inventory_List_Table34111510911131718[[#This Row],[Q]]&lt;0.1, " ",#REF!&amp;$D$1&amp;#REF!&amp;Inventory_List_Table34111510911131718[[#This Row],[NOTES]])</f>
        <v xml:space="preserve"> </v>
      </c>
      <c r="G23" s="216"/>
      <c r="H23" s="216"/>
      <c r="I23" s="216"/>
      <c r="J23" s="216"/>
      <c r="K23" s="216"/>
      <c r="L23" s="218"/>
      <c r="M2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3" s="35" t="str">
        <f>IF(Inventory_List_Table34111510911131718[[#This Row],[Q]]&lt;0.1, " ", Inventory_List_Table34111510911131718[[#This Row],[KG]]*2.20462)</f>
        <v xml:space="preserve"> </v>
      </c>
      <c r="O23" s="35" t="str">
        <f>IF(Inventory_List_Table34111510911131718[[#This Row],[Q]]&lt;0.1, " ",Inventory_List_Table34111510911131718[[#This Row],[H CM]]/2.54)</f>
        <v xml:space="preserve"> </v>
      </c>
      <c r="P23" s="35" t="str">
        <f>IF(Inventory_List_Table34111510911131718[[#This Row],[Q]]&lt;0.1, " ",Inventory_List_Table34111510911131718[[#This Row],[W CM]]/2.54)</f>
        <v xml:space="preserve"> </v>
      </c>
      <c r="Q23" s="35" t="str">
        <f>IF(Inventory_List_Table34111510911131718[[#This Row],[Q]]&lt;0.1, " ",Inventory_List_Table34111510911131718[[#This Row],[D CM ]]/2.54)</f>
        <v xml:space="preserve"> </v>
      </c>
      <c r="R23" s="30" t="str">
        <f>IF(Inventory_List_Table34111510911131718[[#This Row],[Q]]&lt;0.1, " ",Inventory_List_Table34111510911131718[[#This Row],[PRICE]]/$L$1)</f>
        <v xml:space="preserve"> </v>
      </c>
      <c r="S2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3" s="30" t="str">
        <f>IF(Inventory_List_Table34111510911131718[[#This Row],[Q]]&lt;0.1, " ",Inventory_List_Table34111510911131718[[#This Row],[AQ RND USD]]*1.4)</f>
        <v xml:space="preserve"> </v>
      </c>
      <c r="U2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3" s="30" t="str">
        <f>IF(Inventory_List_Table34111510911131718[[#This Row],[Q]]&lt;0.1, " ",Inventory_List_Table34111510911131718[[#This Row],[LND RND USD]]*12)</f>
        <v xml:space="preserve"> </v>
      </c>
      <c r="W23" s="30" t="str">
        <f>IF(Inventory_List_Table34111510911131718[[#This Row],[Q]]&lt;0.1, " ",Inventory_List_Table34111510911131718[[#This Row],[AQ USD]])</f>
        <v xml:space="preserve"> </v>
      </c>
      <c r="X2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3" s="30" t="str">
        <f>IF(Inventory_List_Table34111510911131718[[#This Row],[Q]]&lt;0.1, " ",Inventory_List_Table34111510911131718[[#This Row],[PRICE]]/Z23*10000)</f>
        <v xml:space="preserve"> </v>
      </c>
      <c r="AB23" s="220"/>
      <c r="AC23" s="1"/>
      <c r="AD23" s="1"/>
    </row>
    <row r="24" spans="1:30" ht="24" customHeight="1" x14ac:dyDescent="0.3">
      <c r="A24" s="210">
        <v>22</v>
      </c>
      <c r="B24" s="1"/>
      <c r="C24" s="213"/>
      <c r="D24" s="213"/>
      <c r="E24" s="213"/>
      <c r="F24" s="38" t="str">
        <f>IF(Inventory_List_Table34111510911131718[[#This Row],[Q]]&lt;0.1, " ",#REF!&amp;$D$1&amp;#REF!&amp;Inventory_List_Table34111510911131718[[#This Row],[NOTES]])</f>
        <v xml:space="preserve"> </v>
      </c>
      <c r="G24" s="216"/>
      <c r="H24" s="216"/>
      <c r="I24" s="216"/>
      <c r="J24" s="216"/>
      <c r="K24" s="216"/>
      <c r="L24" s="218"/>
      <c r="M2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4" s="35" t="str">
        <f>IF(Inventory_List_Table34111510911131718[[#This Row],[Q]]&lt;0.1, " ", Inventory_List_Table34111510911131718[[#This Row],[KG]]*2.20462)</f>
        <v xml:space="preserve"> </v>
      </c>
      <c r="O24" s="35" t="str">
        <f>IF(Inventory_List_Table34111510911131718[[#This Row],[Q]]&lt;0.1, " ",Inventory_List_Table34111510911131718[[#This Row],[H CM]]/2.54)</f>
        <v xml:space="preserve"> </v>
      </c>
      <c r="P24" s="35" t="str">
        <f>IF(Inventory_List_Table34111510911131718[[#This Row],[Q]]&lt;0.1, " ",Inventory_List_Table34111510911131718[[#This Row],[W CM]]/2.54)</f>
        <v xml:space="preserve"> </v>
      </c>
      <c r="Q24" s="35" t="str">
        <f>IF(Inventory_List_Table34111510911131718[[#This Row],[Q]]&lt;0.1, " ",Inventory_List_Table34111510911131718[[#This Row],[D CM ]]/2.54)</f>
        <v xml:space="preserve"> </v>
      </c>
      <c r="R24" s="30" t="str">
        <f>IF(Inventory_List_Table34111510911131718[[#This Row],[Q]]&lt;0.1, " ",Inventory_List_Table34111510911131718[[#This Row],[PRICE]]/$L$1)</f>
        <v xml:space="preserve"> </v>
      </c>
      <c r="S2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4" s="30" t="str">
        <f>IF(Inventory_List_Table34111510911131718[[#This Row],[Q]]&lt;0.1, " ",Inventory_List_Table34111510911131718[[#This Row],[AQ RND USD]]*1.4)</f>
        <v xml:space="preserve"> </v>
      </c>
      <c r="U2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4" s="30" t="str">
        <f>IF(Inventory_List_Table34111510911131718[[#This Row],[Q]]&lt;0.1, " ",Inventory_List_Table34111510911131718[[#This Row],[LND RND USD]]*12)</f>
        <v xml:space="preserve"> </v>
      </c>
      <c r="W24" s="30" t="str">
        <f>IF(Inventory_List_Table34111510911131718[[#This Row],[Q]]&lt;0.1, " ",Inventory_List_Table34111510911131718[[#This Row],[AQ USD]])</f>
        <v xml:space="preserve"> </v>
      </c>
      <c r="X2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4" s="30" t="str">
        <f>IF(Inventory_List_Table34111510911131718[[#This Row],[Q]]&lt;0.1, " ",Inventory_List_Table34111510911131718[[#This Row],[PRICE]]/Z24*10000)</f>
        <v xml:space="preserve"> </v>
      </c>
      <c r="AB24" s="220"/>
      <c r="AC24" s="1"/>
      <c r="AD24" s="1"/>
    </row>
    <row r="25" spans="1:30" ht="24" customHeight="1" x14ac:dyDescent="0.3">
      <c r="A25" s="210">
        <v>23</v>
      </c>
      <c r="B25" s="1"/>
      <c r="C25" s="213"/>
      <c r="D25" s="213"/>
      <c r="E25" s="213"/>
      <c r="F25" s="38" t="str">
        <f>IF(Inventory_List_Table34111510911131718[[#This Row],[Q]]&lt;0.1, " ",#REF!&amp;$D$1&amp;#REF!&amp;Inventory_List_Table34111510911131718[[#This Row],[NOTES]])</f>
        <v xml:space="preserve"> </v>
      </c>
      <c r="G25" s="216"/>
      <c r="H25" s="216"/>
      <c r="I25" s="216"/>
      <c r="J25" s="216"/>
      <c r="K25" s="216"/>
      <c r="L25" s="218"/>
      <c r="M2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5" s="35" t="str">
        <f>IF(Inventory_List_Table34111510911131718[[#This Row],[Q]]&lt;0.1, " ", Inventory_List_Table34111510911131718[[#This Row],[KG]]*2.20462)</f>
        <v xml:space="preserve"> </v>
      </c>
      <c r="O25" s="35" t="str">
        <f>IF(Inventory_List_Table34111510911131718[[#This Row],[Q]]&lt;0.1, " ",Inventory_List_Table34111510911131718[[#This Row],[H CM]]/2.54)</f>
        <v xml:space="preserve"> </v>
      </c>
      <c r="P25" s="35" t="str">
        <f>IF(Inventory_List_Table34111510911131718[[#This Row],[Q]]&lt;0.1, " ",Inventory_List_Table34111510911131718[[#This Row],[W CM]]/2.54)</f>
        <v xml:space="preserve"> </v>
      </c>
      <c r="Q25" s="35" t="str">
        <f>IF(Inventory_List_Table34111510911131718[[#This Row],[Q]]&lt;0.1, " ",Inventory_List_Table34111510911131718[[#This Row],[D CM ]]/2.54)</f>
        <v xml:space="preserve"> </v>
      </c>
      <c r="R25" s="30" t="str">
        <f>IF(Inventory_List_Table34111510911131718[[#This Row],[Q]]&lt;0.1, " ",Inventory_List_Table34111510911131718[[#This Row],[PRICE]]/$L$1)</f>
        <v xml:space="preserve"> </v>
      </c>
      <c r="S2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5" s="30" t="str">
        <f>IF(Inventory_List_Table34111510911131718[[#This Row],[Q]]&lt;0.1, " ",Inventory_List_Table34111510911131718[[#This Row],[AQ RND USD]]*1.4)</f>
        <v xml:space="preserve"> </v>
      </c>
      <c r="U2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5" s="30" t="str">
        <f>IF(Inventory_List_Table34111510911131718[[#This Row],[Q]]&lt;0.1, " ",Inventory_List_Table34111510911131718[[#This Row],[LND RND USD]]*12)</f>
        <v xml:space="preserve"> </v>
      </c>
      <c r="W25" s="30" t="str">
        <f>IF(Inventory_List_Table34111510911131718[[#This Row],[Q]]&lt;0.1, " ",Inventory_List_Table34111510911131718[[#This Row],[AQ USD]])</f>
        <v xml:space="preserve"> </v>
      </c>
      <c r="X2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5" s="30" t="str">
        <f>IF(Inventory_List_Table34111510911131718[[#This Row],[Q]]&lt;0.1, " ",Inventory_List_Table34111510911131718[[#This Row],[PRICE]]/Z25*10000)</f>
        <v xml:space="preserve"> </v>
      </c>
      <c r="AB25" s="220"/>
      <c r="AC25" s="1"/>
      <c r="AD25" s="1"/>
    </row>
    <row r="26" spans="1:30" ht="24" customHeight="1" x14ac:dyDescent="0.3">
      <c r="A26" s="210">
        <v>24</v>
      </c>
      <c r="B26" s="1"/>
      <c r="C26" s="213"/>
      <c r="D26" s="213"/>
      <c r="E26" s="213"/>
      <c r="F26" s="38" t="str">
        <f>IF(Inventory_List_Table34111510911131718[[#This Row],[Q]]&lt;0.1, " ",#REF!&amp;$D$1&amp;#REF!&amp;Inventory_List_Table34111510911131718[[#This Row],[NOTES]])</f>
        <v xml:space="preserve"> </v>
      </c>
      <c r="G26" s="216"/>
      <c r="H26" s="216"/>
      <c r="I26" s="216"/>
      <c r="J26" s="216"/>
      <c r="K26" s="216"/>
      <c r="L26" s="218"/>
      <c r="M2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6" s="35" t="str">
        <f>IF(Inventory_List_Table34111510911131718[[#This Row],[Q]]&lt;0.1, " ", Inventory_List_Table34111510911131718[[#This Row],[KG]]*2.20462)</f>
        <v xml:space="preserve"> </v>
      </c>
      <c r="O26" s="35" t="str">
        <f>IF(Inventory_List_Table34111510911131718[[#This Row],[Q]]&lt;0.1, " ",Inventory_List_Table34111510911131718[[#This Row],[H CM]]/2.54)</f>
        <v xml:space="preserve"> </v>
      </c>
      <c r="P26" s="35" t="str">
        <f>IF(Inventory_List_Table34111510911131718[[#This Row],[Q]]&lt;0.1, " ",Inventory_List_Table34111510911131718[[#This Row],[W CM]]/2.54)</f>
        <v xml:space="preserve"> </v>
      </c>
      <c r="Q26" s="35" t="str">
        <f>IF(Inventory_List_Table34111510911131718[[#This Row],[Q]]&lt;0.1, " ",Inventory_List_Table34111510911131718[[#This Row],[D CM ]]/2.54)</f>
        <v xml:space="preserve"> </v>
      </c>
      <c r="R26" s="30" t="str">
        <f>IF(Inventory_List_Table34111510911131718[[#This Row],[Q]]&lt;0.1, " ",Inventory_List_Table34111510911131718[[#This Row],[PRICE]]/$L$1)</f>
        <v xml:space="preserve"> </v>
      </c>
      <c r="S2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6" s="30" t="str">
        <f>IF(Inventory_List_Table34111510911131718[[#This Row],[Q]]&lt;0.1, " ",Inventory_List_Table34111510911131718[[#This Row],[AQ RND USD]]*1.4)</f>
        <v xml:space="preserve"> </v>
      </c>
      <c r="U2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6" s="30" t="str">
        <f>IF(Inventory_List_Table34111510911131718[[#This Row],[Q]]&lt;0.1, " ",Inventory_List_Table34111510911131718[[#This Row],[LND RND USD]]*12)</f>
        <v xml:space="preserve"> </v>
      </c>
      <c r="W26" s="30" t="str">
        <f>IF(Inventory_List_Table34111510911131718[[#This Row],[Q]]&lt;0.1, " ",Inventory_List_Table34111510911131718[[#This Row],[AQ USD]])</f>
        <v xml:space="preserve"> </v>
      </c>
      <c r="X2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6" s="30" t="str">
        <f>IF(Inventory_List_Table34111510911131718[[#This Row],[Q]]&lt;0.1, " ",Inventory_List_Table34111510911131718[[#This Row],[PRICE]]/Z26*10000)</f>
        <v xml:space="preserve"> </v>
      </c>
      <c r="AB26" s="220"/>
      <c r="AC26" s="1"/>
      <c r="AD26" s="1"/>
    </row>
    <row r="27" spans="1:30" ht="24" customHeight="1" x14ac:dyDescent="0.3">
      <c r="A27" s="210">
        <v>25</v>
      </c>
      <c r="B27" s="1"/>
      <c r="C27" s="213"/>
      <c r="D27" s="213"/>
      <c r="E27" s="213"/>
      <c r="F27" s="38" t="str">
        <f>IF(Inventory_List_Table34111510911131718[[#This Row],[Q]]&lt;0.1, " ",#REF!&amp;$D$1&amp;#REF!&amp;Inventory_List_Table34111510911131718[[#This Row],[NOTES]])</f>
        <v xml:space="preserve"> </v>
      </c>
      <c r="G27" s="216"/>
      <c r="H27" s="216"/>
      <c r="I27" s="216"/>
      <c r="J27" s="216"/>
      <c r="K27" s="216"/>
      <c r="L27" s="218"/>
      <c r="M2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7" s="35" t="str">
        <f>IF(Inventory_List_Table34111510911131718[[#This Row],[Q]]&lt;0.1, " ", Inventory_List_Table34111510911131718[[#This Row],[KG]]*2.20462)</f>
        <v xml:space="preserve"> </v>
      </c>
      <c r="O27" s="35" t="str">
        <f>IF(Inventory_List_Table34111510911131718[[#This Row],[Q]]&lt;0.1, " ",Inventory_List_Table34111510911131718[[#This Row],[H CM]]/2.54)</f>
        <v xml:space="preserve"> </v>
      </c>
      <c r="P27" s="35" t="str">
        <f>IF(Inventory_List_Table34111510911131718[[#This Row],[Q]]&lt;0.1, " ",Inventory_List_Table34111510911131718[[#This Row],[W CM]]/2.54)</f>
        <v xml:space="preserve"> </v>
      </c>
      <c r="Q27" s="35" t="str">
        <f>IF(Inventory_List_Table34111510911131718[[#This Row],[Q]]&lt;0.1, " ",Inventory_List_Table34111510911131718[[#This Row],[D CM ]]/2.54)</f>
        <v xml:space="preserve"> </v>
      </c>
      <c r="R27" s="30" t="str">
        <f>IF(Inventory_List_Table34111510911131718[[#This Row],[Q]]&lt;0.1, " ",Inventory_List_Table34111510911131718[[#This Row],[PRICE]]/$L$1)</f>
        <v xml:space="preserve"> </v>
      </c>
      <c r="S2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7" s="30" t="str">
        <f>IF(Inventory_List_Table34111510911131718[[#This Row],[Q]]&lt;0.1, " ",Inventory_List_Table34111510911131718[[#This Row],[AQ RND USD]]*1.4)</f>
        <v xml:space="preserve"> </v>
      </c>
      <c r="U2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7" s="30" t="str">
        <f>IF(Inventory_List_Table34111510911131718[[#This Row],[Q]]&lt;0.1, " ",Inventory_List_Table34111510911131718[[#This Row],[LND RND USD]]*12)</f>
        <v xml:space="preserve"> </v>
      </c>
      <c r="W27" s="30" t="str">
        <f>IF(Inventory_List_Table34111510911131718[[#This Row],[Q]]&lt;0.1, " ",Inventory_List_Table34111510911131718[[#This Row],[AQ USD]])</f>
        <v xml:space="preserve"> </v>
      </c>
      <c r="X2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7" s="30" t="str">
        <f>IF(Inventory_List_Table34111510911131718[[#This Row],[Q]]&lt;0.1, " ",Inventory_List_Table34111510911131718[[#This Row],[PRICE]]/Z27*10000)</f>
        <v xml:space="preserve"> </v>
      </c>
      <c r="AB27" s="220"/>
      <c r="AC27" s="1"/>
      <c r="AD27" s="1"/>
    </row>
    <row r="28" spans="1:30" ht="24" customHeight="1" x14ac:dyDescent="0.3">
      <c r="A28" s="210">
        <v>26</v>
      </c>
      <c r="B28" s="1"/>
      <c r="C28" s="213"/>
      <c r="D28" s="213"/>
      <c r="E28" s="213"/>
      <c r="F28" s="38" t="str">
        <f>IF(Inventory_List_Table34111510911131718[[#This Row],[Q]]&lt;0.1, " ",#REF!&amp;$D$1&amp;#REF!&amp;Inventory_List_Table34111510911131718[[#This Row],[NOTES]])</f>
        <v xml:space="preserve"> </v>
      </c>
      <c r="G28" s="216"/>
      <c r="H28" s="216"/>
      <c r="I28" s="216"/>
      <c r="J28" s="216"/>
      <c r="K28" s="216"/>
      <c r="L28" s="218"/>
      <c r="M2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8" s="35" t="str">
        <f>IF(Inventory_List_Table34111510911131718[[#This Row],[Q]]&lt;0.1, " ", Inventory_List_Table34111510911131718[[#This Row],[KG]]*2.20462)</f>
        <v xml:space="preserve"> </v>
      </c>
      <c r="O28" s="35" t="str">
        <f>IF(Inventory_List_Table34111510911131718[[#This Row],[Q]]&lt;0.1, " ",Inventory_List_Table34111510911131718[[#This Row],[H CM]]/2.54)</f>
        <v xml:space="preserve"> </v>
      </c>
      <c r="P28" s="35" t="str">
        <f>IF(Inventory_List_Table34111510911131718[[#This Row],[Q]]&lt;0.1, " ",Inventory_List_Table34111510911131718[[#This Row],[W CM]]/2.54)</f>
        <v xml:space="preserve"> </v>
      </c>
      <c r="Q28" s="35" t="str">
        <f>IF(Inventory_List_Table34111510911131718[[#This Row],[Q]]&lt;0.1, " ",Inventory_List_Table34111510911131718[[#This Row],[D CM ]]/2.54)</f>
        <v xml:space="preserve"> </v>
      </c>
      <c r="R28" s="30" t="str">
        <f>IF(Inventory_List_Table34111510911131718[[#This Row],[Q]]&lt;0.1, " ",Inventory_List_Table34111510911131718[[#This Row],[PRICE]]/$L$1)</f>
        <v xml:space="preserve"> </v>
      </c>
      <c r="S2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8" s="30" t="str">
        <f>IF(Inventory_List_Table34111510911131718[[#This Row],[Q]]&lt;0.1, " ",Inventory_List_Table34111510911131718[[#This Row],[AQ RND USD]]*1.4)</f>
        <v xml:space="preserve"> </v>
      </c>
      <c r="U2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8" s="30" t="str">
        <f>IF(Inventory_List_Table34111510911131718[[#This Row],[Q]]&lt;0.1, " ",Inventory_List_Table34111510911131718[[#This Row],[LND RND USD]]*12)</f>
        <v xml:space="preserve"> </v>
      </c>
      <c r="W28" s="30" t="str">
        <f>IF(Inventory_List_Table34111510911131718[[#This Row],[Q]]&lt;0.1, " ",Inventory_List_Table34111510911131718[[#This Row],[AQ USD]])</f>
        <v xml:space="preserve"> </v>
      </c>
      <c r="X2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8" s="30" t="str">
        <f>IF(Inventory_List_Table34111510911131718[[#This Row],[Q]]&lt;0.1, " ",Inventory_List_Table34111510911131718[[#This Row],[PRICE]]/Z28*10000)</f>
        <v xml:space="preserve"> </v>
      </c>
      <c r="AB28" s="220"/>
      <c r="AC28" s="1"/>
      <c r="AD28" s="1"/>
    </row>
    <row r="29" spans="1:30" ht="24" customHeight="1" x14ac:dyDescent="0.3">
      <c r="A29" s="210">
        <v>27</v>
      </c>
      <c r="B29" s="1"/>
      <c r="C29" s="213"/>
      <c r="D29" s="213"/>
      <c r="E29" s="213"/>
      <c r="F29" s="38" t="str">
        <f>IF(Inventory_List_Table34111510911131718[[#This Row],[Q]]&lt;0.1, " ",#REF!&amp;$D$1&amp;#REF!&amp;Inventory_List_Table34111510911131718[[#This Row],[NOTES]])</f>
        <v xml:space="preserve"> </v>
      </c>
      <c r="G29" s="216"/>
      <c r="H29" s="216"/>
      <c r="I29" s="216"/>
      <c r="J29" s="216"/>
      <c r="K29" s="216"/>
      <c r="L29" s="218"/>
      <c r="M2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29" s="35" t="str">
        <f>IF(Inventory_List_Table34111510911131718[[#This Row],[Q]]&lt;0.1, " ", Inventory_List_Table34111510911131718[[#This Row],[KG]]*2.20462)</f>
        <v xml:space="preserve"> </v>
      </c>
      <c r="O29" s="35" t="str">
        <f>IF(Inventory_List_Table34111510911131718[[#This Row],[Q]]&lt;0.1, " ",Inventory_List_Table34111510911131718[[#This Row],[H CM]]/2.54)</f>
        <v xml:space="preserve"> </v>
      </c>
      <c r="P29" s="35" t="str">
        <f>IF(Inventory_List_Table34111510911131718[[#This Row],[Q]]&lt;0.1, " ",Inventory_List_Table34111510911131718[[#This Row],[W CM]]/2.54)</f>
        <v xml:space="preserve"> </v>
      </c>
      <c r="Q29" s="35" t="str">
        <f>IF(Inventory_List_Table34111510911131718[[#This Row],[Q]]&lt;0.1, " ",Inventory_List_Table34111510911131718[[#This Row],[D CM ]]/2.54)</f>
        <v xml:space="preserve"> </v>
      </c>
      <c r="R29" s="30" t="str">
        <f>IF(Inventory_List_Table34111510911131718[[#This Row],[Q]]&lt;0.1, " ",Inventory_List_Table34111510911131718[[#This Row],[PRICE]]/$L$1)</f>
        <v xml:space="preserve"> </v>
      </c>
      <c r="S2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29" s="30" t="str">
        <f>IF(Inventory_List_Table34111510911131718[[#This Row],[Q]]&lt;0.1, " ",Inventory_List_Table34111510911131718[[#This Row],[AQ RND USD]]*1.4)</f>
        <v xml:space="preserve"> </v>
      </c>
      <c r="U2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29" s="30" t="str">
        <f>IF(Inventory_List_Table34111510911131718[[#This Row],[Q]]&lt;0.1, " ",Inventory_List_Table34111510911131718[[#This Row],[LND RND USD]]*12)</f>
        <v xml:space="preserve"> </v>
      </c>
      <c r="W29" s="30" t="str">
        <f>IF(Inventory_List_Table34111510911131718[[#This Row],[Q]]&lt;0.1, " ",Inventory_List_Table34111510911131718[[#This Row],[AQ USD]])</f>
        <v xml:space="preserve"> </v>
      </c>
      <c r="X2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2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2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29" s="30" t="str">
        <f>IF(Inventory_List_Table34111510911131718[[#This Row],[Q]]&lt;0.1, " ",Inventory_List_Table34111510911131718[[#This Row],[PRICE]]/Z29*10000)</f>
        <v xml:space="preserve"> </v>
      </c>
      <c r="AB29" s="220"/>
      <c r="AC29" s="1"/>
      <c r="AD29" s="1"/>
    </row>
    <row r="30" spans="1:30" ht="24" customHeight="1" x14ac:dyDescent="0.3">
      <c r="A30" s="210">
        <v>28</v>
      </c>
      <c r="B30" s="1"/>
      <c r="C30" s="213"/>
      <c r="D30" s="213"/>
      <c r="E30" s="213"/>
      <c r="F30" s="38" t="str">
        <f>IF(Inventory_List_Table34111510911131718[[#This Row],[Q]]&lt;0.1, " ",#REF!&amp;$D$1&amp;#REF!&amp;Inventory_List_Table34111510911131718[[#This Row],[NOTES]])</f>
        <v xml:space="preserve"> </v>
      </c>
      <c r="G30" s="216"/>
      <c r="H30" s="216"/>
      <c r="I30" s="216"/>
      <c r="J30" s="216"/>
      <c r="K30" s="216"/>
      <c r="L30" s="218"/>
      <c r="M3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0" s="35" t="str">
        <f>IF(Inventory_List_Table34111510911131718[[#This Row],[Q]]&lt;0.1, " ", Inventory_List_Table34111510911131718[[#This Row],[KG]]*2.20462)</f>
        <v xml:space="preserve"> </v>
      </c>
      <c r="O30" s="35" t="str">
        <f>IF(Inventory_List_Table34111510911131718[[#This Row],[Q]]&lt;0.1, " ",Inventory_List_Table34111510911131718[[#This Row],[H CM]]/2.54)</f>
        <v xml:space="preserve"> </v>
      </c>
      <c r="P30" s="35" t="str">
        <f>IF(Inventory_List_Table34111510911131718[[#This Row],[Q]]&lt;0.1, " ",Inventory_List_Table34111510911131718[[#This Row],[W CM]]/2.54)</f>
        <v xml:space="preserve"> </v>
      </c>
      <c r="Q30" s="35" t="str">
        <f>IF(Inventory_List_Table34111510911131718[[#This Row],[Q]]&lt;0.1, " ",Inventory_List_Table34111510911131718[[#This Row],[D CM ]]/2.54)</f>
        <v xml:space="preserve"> </v>
      </c>
      <c r="R30" s="30" t="str">
        <f>IF(Inventory_List_Table34111510911131718[[#This Row],[Q]]&lt;0.1, " ",Inventory_List_Table34111510911131718[[#This Row],[PRICE]]/$L$1)</f>
        <v xml:space="preserve"> </v>
      </c>
      <c r="S3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0" s="30" t="str">
        <f>IF(Inventory_List_Table34111510911131718[[#This Row],[Q]]&lt;0.1, " ",Inventory_List_Table34111510911131718[[#This Row],[AQ RND USD]]*1.4)</f>
        <v xml:space="preserve"> </v>
      </c>
      <c r="U3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0" s="30" t="str">
        <f>IF(Inventory_List_Table34111510911131718[[#This Row],[Q]]&lt;0.1, " ",Inventory_List_Table34111510911131718[[#This Row],[LND RND USD]]*12)</f>
        <v xml:space="preserve"> </v>
      </c>
      <c r="W30" s="30" t="str">
        <f>IF(Inventory_List_Table34111510911131718[[#This Row],[Q]]&lt;0.1, " ",Inventory_List_Table34111510911131718[[#This Row],[AQ USD]])</f>
        <v xml:space="preserve"> </v>
      </c>
      <c r="X3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0" s="30" t="str">
        <f>IF(Inventory_List_Table34111510911131718[[#This Row],[Q]]&lt;0.1, " ",Inventory_List_Table34111510911131718[[#This Row],[PRICE]]/Z30*10000)</f>
        <v xml:space="preserve"> </v>
      </c>
      <c r="AB30" s="220"/>
      <c r="AC30" s="1"/>
      <c r="AD30" s="1"/>
    </row>
    <row r="31" spans="1:30" ht="24" customHeight="1" x14ac:dyDescent="0.3">
      <c r="A31" s="210">
        <v>29</v>
      </c>
      <c r="B31" s="1"/>
      <c r="C31" s="213"/>
      <c r="D31" s="213"/>
      <c r="E31" s="213"/>
      <c r="F31" s="38" t="str">
        <f>IF(Inventory_List_Table34111510911131718[[#This Row],[Q]]&lt;0.1, " ",#REF!&amp;$D$1&amp;#REF!&amp;Inventory_List_Table34111510911131718[[#This Row],[NOTES]])</f>
        <v xml:space="preserve"> </v>
      </c>
      <c r="G31" s="216"/>
      <c r="H31" s="216"/>
      <c r="I31" s="216"/>
      <c r="J31" s="216"/>
      <c r="K31" s="216"/>
      <c r="L31" s="218"/>
      <c r="M3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1" s="35" t="str">
        <f>IF(Inventory_List_Table34111510911131718[[#This Row],[Q]]&lt;0.1, " ", Inventory_List_Table34111510911131718[[#This Row],[KG]]*2.20462)</f>
        <v xml:space="preserve"> </v>
      </c>
      <c r="O31" s="35" t="str">
        <f>IF(Inventory_List_Table34111510911131718[[#This Row],[Q]]&lt;0.1, " ",Inventory_List_Table34111510911131718[[#This Row],[H CM]]/2.54)</f>
        <v xml:space="preserve"> </v>
      </c>
      <c r="P31" s="35" t="str">
        <f>IF(Inventory_List_Table34111510911131718[[#This Row],[Q]]&lt;0.1, " ",Inventory_List_Table34111510911131718[[#This Row],[W CM]]/2.54)</f>
        <v xml:space="preserve"> </v>
      </c>
      <c r="Q31" s="35" t="str">
        <f>IF(Inventory_List_Table34111510911131718[[#This Row],[Q]]&lt;0.1, " ",Inventory_List_Table34111510911131718[[#This Row],[D CM ]]/2.54)</f>
        <v xml:space="preserve"> </v>
      </c>
      <c r="R31" s="30" t="str">
        <f>IF(Inventory_List_Table34111510911131718[[#This Row],[Q]]&lt;0.1, " ",Inventory_List_Table34111510911131718[[#This Row],[PRICE]]/$L$1)</f>
        <v xml:space="preserve"> </v>
      </c>
      <c r="S3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1" s="30" t="str">
        <f>IF(Inventory_List_Table34111510911131718[[#This Row],[Q]]&lt;0.1, " ",Inventory_List_Table34111510911131718[[#This Row],[AQ RND USD]]*1.4)</f>
        <v xml:space="preserve"> </v>
      </c>
      <c r="U3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1" s="30" t="str">
        <f>IF(Inventory_List_Table34111510911131718[[#This Row],[Q]]&lt;0.1, " ",Inventory_List_Table34111510911131718[[#This Row],[LND RND USD]]*12)</f>
        <v xml:space="preserve"> </v>
      </c>
      <c r="W31" s="30" t="str">
        <f>IF(Inventory_List_Table34111510911131718[[#This Row],[Q]]&lt;0.1, " ",Inventory_List_Table34111510911131718[[#This Row],[AQ USD]])</f>
        <v xml:space="preserve"> </v>
      </c>
      <c r="X3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1" s="30" t="str">
        <f>IF(Inventory_List_Table34111510911131718[[#This Row],[Q]]&lt;0.1, " ",Inventory_List_Table34111510911131718[[#This Row],[PRICE]]/Z31*10000)</f>
        <v xml:space="preserve"> </v>
      </c>
      <c r="AB31" s="220"/>
      <c r="AC31" s="1"/>
      <c r="AD31" s="1"/>
    </row>
    <row r="32" spans="1:30" ht="24" customHeight="1" x14ac:dyDescent="0.3">
      <c r="A32" s="210">
        <v>30</v>
      </c>
      <c r="B32" s="1"/>
      <c r="C32" s="213"/>
      <c r="D32" s="213"/>
      <c r="E32" s="213"/>
      <c r="F32" s="38" t="str">
        <f>IF(Inventory_List_Table34111510911131718[[#This Row],[Q]]&lt;0.1, " ",#REF!&amp;$D$1&amp;#REF!&amp;Inventory_List_Table34111510911131718[[#This Row],[NOTES]])</f>
        <v xml:space="preserve"> </v>
      </c>
      <c r="G32" s="216"/>
      <c r="H32" s="216"/>
      <c r="I32" s="216"/>
      <c r="J32" s="216"/>
      <c r="K32" s="216"/>
      <c r="L32" s="218"/>
      <c r="M3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2" s="35" t="str">
        <f>IF(Inventory_List_Table34111510911131718[[#This Row],[Q]]&lt;0.1, " ", Inventory_List_Table34111510911131718[[#This Row],[KG]]*2.20462)</f>
        <v xml:space="preserve"> </v>
      </c>
      <c r="O32" s="35" t="str">
        <f>IF(Inventory_List_Table34111510911131718[[#This Row],[Q]]&lt;0.1, " ",Inventory_List_Table34111510911131718[[#This Row],[H CM]]/2.54)</f>
        <v xml:space="preserve"> </v>
      </c>
      <c r="P32" s="35" t="str">
        <f>IF(Inventory_List_Table34111510911131718[[#This Row],[Q]]&lt;0.1, " ",Inventory_List_Table34111510911131718[[#This Row],[W CM]]/2.54)</f>
        <v xml:space="preserve"> </v>
      </c>
      <c r="Q32" s="35" t="str">
        <f>IF(Inventory_List_Table34111510911131718[[#This Row],[Q]]&lt;0.1, " ",Inventory_List_Table34111510911131718[[#This Row],[D CM ]]/2.54)</f>
        <v xml:space="preserve"> </v>
      </c>
      <c r="R32" s="30" t="str">
        <f>IF(Inventory_List_Table34111510911131718[[#This Row],[Q]]&lt;0.1, " ",Inventory_List_Table34111510911131718[[#This Row],[PRICE]]/$L$1)</f>
        <v xml:space="preserve"> </v>
      </c>
      <c r="S3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2" s="30" t="str">
        <f>IF(Inventory_List_Table34111510911131718[[#This Row],[Q]]&lt;0.1, " ",Inventory_List_Table34111510911131718[[#This Row],[AQ RND USD]]*1.4)</f>
        <v xml:space="preserve"> </v>
      </c>
      <c r="U3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2" s="30" t="str">
        <f>IF(Inventory_List_Table34111510911131718[[#This Row],[Q]]&lt;0.1, " ",Inventory_List_Table34111510911131718[[#This Row],[LND RND USD]]*12)</f>
        <v xml:space="preserve"> </v>
      </c>
      <c r="W32" s="30" t="str">
        <f>IF(Inventory_List_Table34111510911131718[[#This Row],[Q]]&lt;0.1, " ",Inventory_List_Table34111510911131718[[#This Row],[AQ USD]])</f>
        <v xml:space="preserve"> </v>
      </c>
      <c r="X3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2" s="30" t="str">
        <f>IF(Inventory_List_Table34111510911131718[[#This Row],[Q]]&lt;0.1, " ",Inventory_List_Table34111510911131718[[#This Row],[PRICE]]/Z32*10000)</f>
        <v xml:space="preserve"> </v>
      </c>
      <c r="AB32" s="220"/>
      <c r="AC32" s="1"/>
      <c r="AD32" s="1"/>
    </row>
    <row r="33" spans="1:30" ht="24" customHeight="1" x14ac:dyDescent="0.3">
      <c r="A33" s="210">
        <v>31</v>
      </c>
      <c r="B33" s="1"/>
      <c r="C33" s="213"/>
      <c r="D33" s="213"/>
      <c r="E33" s="213"/>
      <c r="F33" s="38" t="str">
        <f>IF(Inventory_List_Table34111510911131718[[#This Row],[Q]]&lt;0.1, " ",#REF!&amp;$D$1&amp;#REF!&amp;Inventory_List_Table34111510911131718[[#This Row],[NOTES]])</f>
        <v xml:space="preserve"> </v>
      </c>
      <c r="G33" s="216"/>
      <c r="H33" s="216"/>
      <c r="I33" s="216"/>
      <c r="J33" s="216"/>
      <c r="K33" s="216"/>
      <c r="L33" s="218"/>
      <c r="M3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3" s="35" t="str">
        <f>IF(Inventory_List_Table34111510911131718[[#This Row],[Q]]&lt;0.1, " ", Inventory_List_Table34111510911131718[[#This Row],[KG]]*2.20462)</f>
        <v xml:space="preserve"> </v>
      </c>
      <c r="O33" s="35" t="str">
        <f>IF(Inventory_List_Table34111510911131718[[#This Row],[Q]]&lt;0.1, " ",Inventory_List_Table34111510911131718[[#This Row],[H CM]]/2.54)</f>
        <v xml:space="preserve"> </v>
      </c>
      <c r="P33" s="35" t="str">
        <f>IF(Inventory_List_Table34111510911131718[[#This Row],[Q]]&lt;0.1, " ",Inventory_List_Table34111510911131718[[#This Row],[W CM]]/2.54)</f>
        <v xml:space="preserve"> </v>
      </c>
      <c r="Q33" s="35" t="str">
        <f>IF(Inventory_List_Table34111510911131718[[#This Row],[Q]]&lt;0.1, " ",Inventory_List_Table34111510911131718[[#This Row],[D CM ]]/2.54)</f>
        <v xml:space="preserve"> </v>
      </c>
      <c r="R33" s="30" t="str">
        <f>IF(Inventory_List_Table34111510911131718[[#This Row],[Q]]&lt;0.1, " ",Inventory_List_Table34111510911131718[[#This Row],[PRICE]]/$L$1)</f>
        <v xml:space="preserve"> </v>
      </c>
      <c r="S3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3" s="30" t="str">
        <f>IF(Inventory_List_Table34111510911131718[[#This Row],[Q]]&lt;0.1, " ",Inventory_List_Table34111510911131718[[#This Row],[AQ RND USD]]*1.4)</f>
        <v xml:space="preserve"> </v>
      </c>
      <c r="U3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3" s="30" t="str">
        <f>IF(Inventory_List_Table34111510911131718[[#This Row],[Q]]&lt;0.1, " ",Inventory_List_Table34111510911131718[[#This Row],[LND RND USD]]*12)</f>
        <v xml:space="preserve"> </v>
      </c>
      <c r="W33" s="30" t="str">
        <f>IF(Inventory_List_Table34111510911131718[[#This Row],[Q]]&lt;0.1, " ",Inventory_List_Table34111510911131718[[#This Row],[AQ USD]])</f>
        <v xml:space="preserve"> </v>
      </c>
      <c r="X3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3" s="30" t="str">
        <f>IF(Inventory_List_Table34111510911131718[[#This Row],[Q]]&lt;0.1, " ",Inventory_List_Table34111510911131718[[#This Row],[PRICE]]/Z33*10000)</f>
        <v xml:space="preserve"> </v>
      </c>
      <c r="AB33" s="220"/>
      <c r="AC33" s="1"/>
      <c r="AD33" s="1"/>
    </row>
    <row r="34" spans="1:30" ht="24" customHeight="1" x14ac:dyDescent="0.3">
      <c r="A34" s="210">
        <v>32</v>
      </c>
      <c r="B34" s="1"/>
      <c r="C34" s="213"/>
      <c r="D34" s="213"/>
      <c r="E34" s="213"/>
      <c r="F34" s="38" t="str">
        <f>IF(Inventory_List_Table34111510911131718[[#This Row],[Q]]&lt;0.1, " ",#REF!&amp;$D$1&amp;#REF!&amp;Inventory_List_Table34111510911131718[[#This Row],[NOTES]])</f>
        <v xml:space="preserve"> </v>
      </c>
      <c r="G34" s="216"/>
      <c r="H34" s="216"/>
      <c r="I34" s="216"/>
      <c r="J34" s="216"/>
      <c r="K34" s="216"/>
      <c r="L34" s="218"/>
      <c r="M3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4" s="35" t="str">
        <f>IF(Inventory_List_Table34111510911131718[[#This Row],[Q]]&lt;0.1, " ", Inventory_List_Table34111510911131718[[#This Row],[KG]]*2.20462)</f>
        <v xml:space="preserve"> </v>
      </c>
      <c r="O34" s="35" t="str">
        <f>IF(Inventory_List_Table34111510911131718[[#This Row],[Q]]&lt;0.1, " ",Inventory_List_Table34111510911131718[[#This Row],[H CM]]/2.54)</f>
        <v xml:space="preserve"> </v>
      </c>
      <c r="P34" s="35" t="str">
        <f>IF(Inventory_List_Table34111510911131718[[#This Row],[Q]]&lt;0.1, " ",Inventory_List_Table34111510911131718[[#This Row],[W CM]]/2.54)</f>
        <v xml:space="preserve"> </v>
      </c>
      <c r="Q34" s="35" t="str">
        <f>IF(Inventory_List_Table34111510911131718[[#This Row],[Q]]&lt;0.1, " ",Inventory_List_Table34111510911131718[[#This Row],[D CM ]]/2.54)</f>
        <v xml:space="preserve"> </v>
      </c>
      <c r="R34" s="30" t="str">
        <f>IF(Inventory_List_Table34111510911131718[[#This Row],[Q]]&lt;0.1, " ",Inventory_List_Table34111510911131718[[#This Row],[PRICE]]/$L$1)</f>
        <v xml:space="preserve"> </v>
      </c>
      <c r="S3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4" s="30" t="str">
        <f>IF(Inventory_List_Table34111510911131718[[#This Row],[Q]]&lt;0.1, " ",Inventory_List_Table34111510911131718[[#This Row],[AQ RND USD]]*1.4)</f>
        <v xml:space="preserve"> </v>
      </c>
      <c r="U3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4" s="30" t="str">
        <f>IF(Inventory_List_Table34111510911131718[[#This Row],[Q]]&lt;0.1, " ",Inventory_List_Table34111510911131718[[#This Row],[LND RND USD]]*12)</f>
        <v xml:space="preserve"> </v>
      </c>
      <c r="W34" s="30" t="str">
        <f>IF(Inventory_List_Table34111510911131718[[#This Row],[Q]]&lt;0.1, " ",Inventory_List_Table34111510911131718[[#This Row],[AQ USD]])</f>
        <v xml:space="preserve"> </v>
      </c>
      <c r="X3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4" s="30" t="str">
        <f>IF(Inventory_List_Table34111510911131718[[#This Row],[Q]]&lt;0.1, " ",Inventory_List_Table34111510911131718[[#This Row],[PRICE]]/Z34*10000)</f>
        <v xml:space="preserve"> </v>
      </c>
      <c r="AB34" s="220"/>
      <c r="AC34" s="1"/>
      <c r="AD34" s="1"/>
    </row>
    <row r="35" spans="1:30" ht="24" customHeight="1" x14ac:dyDescent="0.3">
      <c r="A35" s="210">
        <v>33</v>
      </c>
      <c r="B35" s="1"/>
      <c r="C35" s="213"/>
      <c r="D35" s="213"/>
      <c r="E35" s="213"/>
      <c r="F35" s="38" t="str">
        <f>IF(Inventory_List_Table34111510911131718[[#This Row],[Q]]&lt;0.1, " ",#REF!&amp;$D$1&amp;#REF!&amp;Inventory_List_Table34111510911131718[[#This Row],[NOTES]])</f>
        <v xml:space="preserve"> </v>
      </c>
      <c r="G35" s="216"/>
      <c r="H35" s="216"/>
      <c r="I35" s="216"/>
      <c r="J35" s="216"/>
      <c r="K35" s="216"/>
      <c r="L35" s="218"/>
      <c r="M3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5" s="35" t="str">
        <f>IF(Inventory_List_Table34111510911131718[[#This Row],[Q]]&lt;0.1, " ", Inventory_List_Table34111510911131718[[#This Row],[KG]]*2.20462)</f>
        <v xml:space="preserve"> </v>
      </c>
      <c r="O35" s="35" t="str">
        <f>IF(Inventory_List_Table34111510911131718[[#This Row],[Q]]&lt;0.1, " ",Inventory_List_Table34111510911131718[[#This Row],[H CM]]/2.54)</f>
        <v xml:space="preserve"> </v>
      </c>
      <c r="P35" s="35" t="str">
        <f>IF(Inventory_List_Table34111510911131718[[#This Row],[Q]]&lt;0.1, " ",Inventory_List_Table34111510911131718[[#This Row],[W CM]]/2.54)</f>
        <v xml:space="preserve"> </v>
      </c>
      <c r="Q35" s="35" t="str">
        <f>IF(Inventory_List_Table34111510911131718[[#This Row],[Q]]&lt;0.1, " ",Inventory_List_Table34111510911131718[[#This Row],[D CM ]]/2.54)</f>
        <v xml:space="preserve"> </v>
      </c>
      <c r="R35" s="30" t="str">
        <f>IF(Inventory_List_Table34111510911131718[[#This Row],[Q]]&lt;0.1, " ",Inventory_List_Table34111510911131718[[#This Row],[PRICE]]/$L$1)</f>
        <v xml:space="preserve"> </v>
      </c>
      <c r="S3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5" s="30" t="str">
        <f>IF(Inventory_List_Table34111510911131718[[#This Row],[Q]]&lt;0.1, " ",Inventory_List_Table34111510911131718[[#This Row],[AQ RND USD]]*1.4)</f>
        <v xml:space="preserve"> </v>
      </c>
      <c r="U3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5" s="30" t="str">
        <f>IF(Inventory_List_Table34111510911131718[[#This Row],[Q]]&lt;0.1, " ",Inventory_List_Table34111510911131718[[#This Row],[LND RND USD]]*12)</f>
        <v xml:space="preserve"> </v>
      </c>
      <c r="W35" s="30" t="str">
        <f>IF(Inventory_List_Table34111510911131718[[#This Row],[Q]]&lt;0.1, " ",Inventory_List_Table34111510911131718[[#This Row],[AQ USD]])</f>
        <v xml:space="preserve"> </v>
      </c>
      <c r="X3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5" s="30" t="str">
        <f>IF(Inventory_List_Table34111510911131718[[#This Row],[Q]]&lt;0.1, " ",Inventory_List_Table34111510911131718[[#This Row],[PRICE]]/Z35*10000)</f>
        <v xml:space="preserve"> </v>
      </c>
      <c r="AB35" s="220"/>
      <c r="AC35" s="1"/>
      <c r="AD35" s="1"/>
    </row>
    <row r="36" spans="1:30" ht="24" customHeight="1" x14ac:dyDescent="0.3">
      <c r="A36" s="210">
        <v>34</v>
      </c>
      <c r="B36" s="1"/>
      <c r="C36" s="213"/>
      <c r="D36" s="213"/>
      <c r="E36" s="213"/>
      <c r="F36" s="38" t="str">
        <f>IF(Inventory_List_Table34111510911131718[[#This Row],[Q]]&lt;0.1, " ",#REF!&amp;$D$1&amp;#REF!&amp;Inventory_List_Table34111510911131718[[#This Row],[NOTES]])</f>
        <v xml:space="preserve"> </v>
      </c>
      <c r="G36" s="216"/>
      <c r="H36" s="216"/>
      <c r="I36" s="216"/>
      <c r="J36" s="216"/>
      <c r="K36" s="216"/>
      <c r="L36" s="218"/>
      <c r="M3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6" s="35" t="str">
        <f>IF(Inventory_List_Table34111510911131718[[#This Row],[Q]]&lt;0.1, " ", Inventory_List_Table34111510911131718[[#This Row],[KG]]*2.20462)</f>
        <v xml:space="preserve"> </v>
      </c>
      <c r="O36" s="35" t="str">
        <f>IF(Inventory_List_Table34111510911131718[[#This Row],[Q]]&lt;0.1, " ",Inventory_List_Table34111510911131718[[#This Row],[H CM]]/2.54)</f>
        <v xml:space="preserve"> </v>
      </c>
      <c r="P36" s="35" t="str">
        <f>IF(Inventory_List_Table34111510911131718[[#This Row],[Q]]&lt;0.1, " ",Inventory_List_Table34111510911131718[[#This Row],[W CM]]/2.54)</f>
        <v xml:space="preserve"> </v>
      </c>
      <c r="Q36" s="35" t="str">
        <f>IF(Inventory_List_Table34111510911131718[[#This Row],[Q]]&lt;0.1, " ",Inventory_List_Table34111510911131718[[#This Row],[D CM ]]/2.54)</f>
        <v xml:space="preserve"> </v>
      </c>
      <c r="R36" s="30" t="str">
        <f>IF(Inventory_List_Table34111510911131718[[#This Row],[Q]]&lt;0.1, " ",Inventory_List_Table34111510911131718[[#This Row],[PRICE]]/$L$1)</f>
        <v xml:space="preserve"> </v>
      </c>
      <c r="S3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6" s="30" t="str">
        <f>IF(Inventory_List_Table34111510911131718[[#This Row],[Q]]&lt;0.1, " ",Inventory_List_Table34111510911131718[[#This Row],[AQ RND USD]]*1.4)</f>
        <v xml:space="preserve"> </v>
      </c>
      <c r="U3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6" s="30" t="str">
        <f>IF(Inventory_List_Table34111510911131718[[#This Row],[Q]]&lt;0.1, " ",Inventory_List_Table34111510911131718[[#This Row],[LND RND USD]]*12)</f>
        <v xml:space="preserve"> </v>
      </c>
      <c r="W36" s="30" t="str">
        <f>IF(Inventory_List_Table34111510911131718[[#This Row],[Q]]&lt;0.1, " ",Inventory_List_Table34111510911131718[[#This Row],[AQ USD]])</f>
        <v xml:space="preserve"> </v>
      </c>
      <c r="X3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6" s="30" t="str">
        <f>IF(Inventory_List_Table34111510911131718[[#This Row],[Q]]&lt;0.1, " ",Inventory_List_Table34111510911131718[[#This Row],[PRICE]]/Z36*10000)</f>
        <v xml:space="preserve"> </v>
      </c>
      <c r="AB36" s="220"/>
      <c r="AC36" s="1"/>
      <c r="AD36" s="1"/>
    </row>
    <row r="37" spans="1:30" ht="24" customHeight="1" x14ac:dyDescent="0.3">
      <c r="A37" s="210">
        <v>35</v>
      </c>
      <c r="B37" s="1"/>
      <c r="C37" s="213"/>
      <c r="D37" s="213"/>
      <c r="E37" s="213"/>
      <c r="F37" s="38" t="str">
        <f>IF(Inventory_List_Table34111510911131718[[#This Row],[Q]]&lt;0.1, " ",#REF!&amp;$D$1&amp;#REF!&amp;Inventory_List_Table34111510911131718[[#This Row],[NOTES]])</f>
        <v xml:space="preserve"> </v>
      </c>
      <c r="G37" s="216"/>
      <c r="H37" s="216"/>
      <c r="I37" s="216"/>
      <c r="J37" s="216"/>
      <c r="K37" s="216"/>
      <c r="L37" s="218"/>
      <c r="M3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7" s="35" t="str">
        <f>IF(Inventory_List_Table34111510911131718[[#This Row],[Q]]&lt;0.1, " ", Inventory_List_Table34111510911131718[[#This Row],[KG]]*2.20462)</f>
        <v xml:space="preserve"> </v>
      </c>
      <c r="O37" s="35" t="str">
        <f>IF(Inventory_List_Table34111510911131718[[#This Row],[Q]]&lt;0.1, " ",Inventory_List_Table34111510911131718[[#This Row],[H CM]]/2.54)</f>
        <v xml:space="preserve"> </v>
      </c>
      <c r="P37" s="35" t="str">
        <f>IF(Inventory_List_Table34111510911131718[[#This Row],[Q]]&lt;0.1, " ",Inventory_List_Table34111510911131718[[#This Row],[W CM]]/2.54)</f>
        <v xml:space="preserve"> </v>
      </c>
      <c r="Q37" s="35" t="str">
        <f>IF(Inventory_List_Table34111510911131718[[#This Row],[Q]]&lt;0.1, " ",Inventory_List_Table34111510911131718[[#This Row],[D CM ]]/2.54)</f>
        <v xml:space="preserve"> </v>
      </c>
      <c r="R37" s="30" t="str">
        <f>IF(Inventory_List_Table34111510911131718[[#This Row],[Q]]&lt;0.1, " ",Inventory_List_Table34111510911131718[[#This Row],[PRICE]]/$L$1)</f>
        <v xml:space="preserve"> </v>
      </c>
      <c r="S3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7" s="30" t="str">
        <f>IF(Inventory_List_Table34111510911131718[[#This Row],[Q]]&lt;0.1, " ",Inventory_List_Table34111510911131718[[#This Row],[AQ RND USD]]*1.4)</f>
        <v xml:space="preserve"> </v>
      </c>
      <c r="U3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7" s="30" t="str">
        <f>IF(Inventory_List_Table34111510911131718[[#This Row],[Q]]&lt;0.1, " ",Inventory_List_Table34111510911131718[[#This Row],[LND RND USD]]*12)</f>
        <v xml:space="preserve"> </v>
      </c>
      <c r="W37" s="30" t="str">
        <f>IF(Inventory_List_Table34111510911131718[[#This Row],[Q]]&lt;0.1, " ",Inventory_List_Table34111510911131718[[#This Row],[AQ USD]])</f>
        <v xml:space="preserve"> </v>
      </c>
      <c r="X3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7" s="30" t="str">
        <f>IF(Inventory_List_Table34111510911131718[[#This Row],[Q]]&lt;0.1, " ",Inventory_List_Table34111510911131718[[#This Row],[PRICE]]/Z37*10000)</f>
        <v xml:space="preserve"> </v>
      </c>
      <c r="AB37" s="220"/>
      <c r="AC37" s="1"/>
      <c r="AD37" s="1"/>
    </row>
    <row r="38" spans="1:30" ht="24" customHeight="1" x14ac:dyDescent="0.3">
      <c r="A38" s="210">
        <v>36</v>
      </c>
      <c r="B38" s="1"/>
      <c r="C38" s="213"/>
      <c r="D38" s="213"/>
      <c r="E38" s="213"/>
      <c r="F38" s="38" t="str">
        <f>IF(Inventory_List_Table34111510911131718[[#This Row],[Q]]&lt;0.1, " ",#REF!&amp;$D$1&amp;#REF!&amp;Inventory_List_Table34111510911131718[[#This Row],[NOTES]])</f>
        <v xml:space="preserve"> </v>
      </c>
      <c r="G38" s="216"/>
      <c r="H38" s="216"/>
      <c r="I38" s="216"/>
      <c r="J38" s="216"/>
      <c r="K38" s="216"/>
      <c r="L38" s="218"/>
      <c r="M3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8" s="35" t="str">
        <f>IF(Inventory_List_Table34111510911131718[[#This Row],[Q]]&lt;0.1, " ", Inventory_List_Table34111510911131718[[#This Row],[KG]]*2.20462)</f>
        <v xml:space="preserve"> </v>
      </c>
      <c r="O38" s="35" t="str">
        <f>IF(Inventory_List_Table34111510911131718[[#This Row],[Q]]&lt;0.1, " ",Inventory_List_Table34111510911131718[[#This Row],[H CM]]/2.54)</f>
        <v xml:space="preserve"> </v>
      </c>
      <c r="P38" s="35" t="str">
        <f>IF(Inventory_List_Table34111510911131718[[#This Row],[Q]]&lt;0.1, " ",Inventory_List_Table34111510911131718[[#This Row],[W CM]]/2.54)</f>
        <v xml:space="preserve"> </v>
      </c>
      <c r="Q38" s="35" t="str">
        <f>IF(Inventory_List_Table34111510911131718[[#This Row],[Q]]&lt;0.1, " ",Inventory_List_Table34111510911131718[[#This Row],[D CM ]]/2.54)</f>
        <v xml:space="preserve"> </v>
      </c>
      <c r="R38" s="30" t="str">
        <f>IF(Inventory_List_Table34111510911131718[[#This Row],[Q]]&lt;0.1, " ",Inventory_List_Table34111510911131718[[#This Row],[PRICE]]/$L$1)</f>
        <v xml:space="preserve"> </v>
      </c>
      <c r="S3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8" s="30" t="str">
        <f>IF(Inventory_List_Table34111510911131718[[#This Row],[Q]]&lt;0.1, " ",Inventory_List_Table34111510911131718[[#This Row],[AQ RND USD]]*1.4)</f>
        <v xml:space="preserve"> </v>
      </c>
      <c r="U3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8" s="30" t="str">
        <f>IF(Inventory_List_Table34111510911131718[[#This Row],[Q]]&lt;0.1, " ",Inventory_List_Table34111510911131718[[#This Row],[LND RND USD]]*12)</f>
        <v xml:space="preserve"> </v>
      </c>
      <c r="W38" s="30" t="str">
        <f>IF(Inventory_List_Table34111510911131718[[#This Row],[Q]]&lt;0.1, " ",Inventory_List_Table34111510911131718[[#This Row],[AQ USD]])</f>
        <v xml:space="preserve"> </v>
      </c>
      <c r="X3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8" s="30" t="str">
        <f>IF(Inventory_List_Table34111510911131718[[#This Row],[Q]]&lt;0.1, " ",Inventory_List_Table34111510911131718[[#This Row],[PRICE]]/Z38*10000)</f>
        <v xml:space="preserve"> </v>
      </c>
      <c r="AB38" s="220"/>
      <c r="AC38" s="1"/>
      <c r="AD38" s="1"/>
    </row>
    <row r="39" spans="1:30" ht="24" customHeight="1" x14ac:dyDescent="0.3">
      <c r="A39" s="210">
        <v>37</v>
      </c>
      <c r="B39" s="1"/>
      <c r="C39" s="213"/>
      <c r="D39" s="213"/>
      <c r="E39" s="213"/>
      <c r="F39" s="38" t="str">
        <f>IF(Inventory_List_Table34111510911131718[[#This Row],[Q]]&lt;0.1, " ",#REF!&amp;$D$1&amp;#REF!&amp;Inventory_List_Table34111510911131718[[#This Row],[NOTES]])</f>
        <v xml:space="preserve"> </v>
      </c>
      <c r="G39" s="216"/>
      <c r="H39" s="216"/>
      <c r="I39" s="216"/>
      <c r="J39" s="216"/>
      <c r="K39" s="216"/>
      <c r="L39" s="218"/>
      <c r="M3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39" s="35" t="str">
        <f>IF(Inventory_List_Table34111510911131718[[#This Row],[Q]]&lt;0.1, " ", Inventory_List_Table34111510911131718[[#This Row],[KG]]*2.20462)</f>
        <v xml:space="preserve"> </v>
      </c>
      <c r="O39" s="35" t="str">
        <f>IF(Inventory_List_Table34111510911131718[[#This Row],[Q]]&lt;0.1, " ",Inventory_List_Table34111510911131718[[#This Row],[H CM]]/2.54)</f>
        <v xml:space="preserve"> </v>
      </c>
      <c r="P39" s="35" t="str">
        <f>IF(Inventory_List_Table34111510911131718[[#This Row],[Q]]&lt;0.1, " ",Inventory_List_Table34111510911131718[[#This Row],[W CM]]/2.54)</f>
        <v xml:space="preserve"> </v>
      </c>
      <c r="Q39" s="35" t="str">
        <f>IF(Inventory_List_Table34111510911131718[[#This Row],[Q]]&lt;0.1, " ",Inventory_List_Table34111510911131718[[#This Row],[D CM ]]/2.54)</f>
        <v xml:space="preserve"> </v>
      </c>
      <c r="R39" s="30" t="str">
        <f>IF(Inventory_List_Table34111510911131718[[#This Row],[Q]]&lt;0.1, " ",Inventory_List_Table34111510911131718[[#This Row],[PRICE]]/$L$1)</f>
        <v xml:space="preserve"> </v>
      </c>
      <c r="S3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39" s="30" t="str">
        <f>IF(Inventory_List_Table34111510911131718[[#This Row],[Q]]&lt;0.1, " ",Inventory_List_Table34111510911131718[[#This Row],[AQ RND USD]]*1.4)</f>
        <v xml:space="preserve"> </v>
      </c>
      <c r="U3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39" s="30" t="str">
        <f>IF(Inventory_List_Table34111510911131718[[#This Row],[Q]]&lt;0.1, " ",Inventory_List_Table34111510911131718[[#This Row],[LND RND USD]]*12)</f>
        <v xml:space="preserve"> </v>
      </c>
      <c r="W39" s="30" t="str">
        <f>IF(Inventory_List_Table34111510911131718[[#This Row],[Q]]&lt;0.1, " ",Inventory_List_Table34111510911131718[[#This Row],[AQ USD]])</f>
        <v xml:space="preserve"> </v>
      </c>
      <c r="X3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3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3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39" s="30" t="str">
        <f>IF(Inventory_List_Table34111510911131718[[#This Row],[Q]]&lt;0.1, " ",Inventory_List_Table34111510911131718[[#This Row],[PRICE]]/Z39*10000)</f>
        <v xml:space="preserve"> </v>
      </c>
      <c r="AB39" s="220"/>
      <c r="AC39" s="1"/>
      <c r="AD39" s="1"/>
    </row>
    <row r="40" spans="1:30" ht="24" customHeight="1" x14ac:dyDescent="0.3">
      <c r="A40" s="210">
        <v>38</v>
      </c>
      <c r="B40" s="1"/>
      <c r="C40" s="213"/>
      <c r="D40" s="213"/>
      <c r="E40" s="213"/>
      <c r="F40" s="38" t="str">
        <f>IF(Inventory_List_Table34111510911131718[[#This Row],[Q]]&lt;0.1, " ",#REF!&amp;$D$1&amp;#REF!&amp;Inventory_List_Table34111510911131718[[#This Row],[NOTES]])</f>
        <v xml:space="preserve"> </v>
      </c>
      <c r="G40" s="216"/>
      <c r="H40" s="216"/>
      <c r="I40" s="216"/>
      <c r="J40" s="216"/>
      <c r="K40" s="216"/>
      <c r="L40" s="218"/>
      <c r="M4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0" s="35" t="str">
        <f>IF(Inventory_List_Table34111510911131718[[#This Row],[Q]]&lt;0.1, " ", Inventory_List_Table34111510911131718[[#This Row],[KG]]*2.20462)</f>
        <v xml:space="preserve"> </v>
      </c>
      <c r="O40" s="35" t="str">
        <f>IF(Inventory_List_Table34111510911131718[[#This Row],[Q]]&lt;0.1, " ",Inventory_List_Table34111510911131718[[#This Row],[H CM]]/2.54)</f>
        <v xml:space="preserve"> </v>
      </c>
      <c r="P40" s="35" t="str">
        <f>IF(Inventory_List_Table34111510911131718[[#This Row],[Q]]&lt;0.1, " ",Inventory_List_Table34111510911131718[[#This Row],[W CM]]/2.54)</f>
        <v xml:space="preserve"> </v>
      </c>
      <c r="Q40" s="35" t="str">
        <f>IF(Inventory_List_Table34111510911131718[[#This Row],[Q]]&lt;0.1, " ",Inventory_List_Table34111510911131718[[#This Row],[D CM ]]/2.54)</f>
        <v xml:space="preserve"> </v>
      </c>
      <c r="R40" s="30" t="str">
        <f>IF(Inventory_List_Table34111510911131718[[#This Row],[Q]]&lt;0.1, " ",Inventory_List_Table34111510911131718[[#This Row],[PRICE]]/$L$1)</f>
        <v xml:space="preserve"> </v>
      </c>
      <c r="S4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0" s="30" t="str">
        <f>IF(Inventory_List_Table34111510911131718[[#This Row],[Q]]&lt;0.1, " ",Inventory_List_Table34111510911131718[[#This Row],[AQ RND USD]]*1.4)</f>
        <v xml:space="preserve"> </v>
      </c>
      <c r="U4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0" s="30" t="str">
        <f>IF(Inventory_List_Table34111510911131718[[#This Row],[Q]]&lt;0.1, " ",Inventory_List_Table34111510911131718[[#This Row],[LND RND USD]]*12)</f>
        <v xml:space="preserve"> </v>
      </c>
      <c r="W40" s="30" t="str">
        <f>IF(Inventory_List_Table34111510911131718[[#This Row],[Q]]&lt;0.1, " ",Inventory_List_Table34111510911131718[[#This Row],[AQ USD]])</f>
        <v xml:space="preserve"> </v>
      </c>
      <c r="X4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0" s="30" t="str">
        <f>IF(Inventory_List_Table34111510911131718[[#This Row],[Q]]&lt;0.1, " ",Inventory_List_Table34111510911131718[[#This Row],[PRICE]]/Z40*10000)</f>
        <v xml:space="preserve"> </v>
      </c>
      <c r="AB40" s="220"/>
      <c r="AC40" s="1"/>
      <c r="AD40" s="1"/>
    </row>
    <row r="41" spans="1:30" ht="24" customHeight="1" x14ac:dyDescent="0.3">
      <c r="A41" s="210">
        <v>39</v>
      </c>
      <c r="B41" s="1"/>
      <c r="C41" s="213"/>
      <c r="D41" s="213"/>
      <c r="E41" s="213"/>
      <c r="F41" s="38" t="str">
        <f>IF(Inventory_List_Table34111510911131718[[#This Row],[Q]]&lt;0.1, " ",#REF!&amp;$D$1&amp;#REF!&amp;Inventory_List_Table34111510911131718[[#This Row],[NOTES]])</f>
        <v xml:space="preserve"> </v>
      </c>
      <c r="G41" s="216"/>
      <c r="H41" s="216"/>
      <c r="I41" s="216"/>
      <c r="J41" s="216"/>
      <c r="K41" s="216"/>
      <c r="L41" s="218"/>
      <c r="M4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1" s="35" t="str">
        <f>IF(Inventory_List_Table34111510911131718[[#This Row],[Q]]&lt;0.1, " ", Inventory_List_Table34111510911131718[[#This Row],[KG]]*2.20462)</f>
        <v xml:space="preserve"> </v>
      </c>
      <c r="O41" s="35" t="str">
        <f>IF(Inventory_List_Table34111510911131718[[#This Row],[Q]]&lt;0.1, " ",Inventory_List_Table34111510911131718[[#This Row],[H CM]]/2.54)</f>
        <v xml:space="preserve"> </v>
      </c>
      <c r="P41" s="35" t="str">
        <f>IF(Inventory_List_Table34111510911131718[[#This Row],[Q]]&lt;0.1, " ",Inventory_List_Table34111510911131718[[#This Row],[W CM]]/2.54)</f>
        <v xml:space="preserve"> </v>
      </c>
      <c r="Q41" s="35" t="str">
        <f>IF(Inventory_List_Table34111510911131718[[#This Row],[Q]]&lt;0.1, " ",Inventory_List_Table34111510911131718[[#This Row],[D CM ]]/2.54)</f>
        <v xml:space="preserve"> </v>
      </c>
      <c r="R41" s="30" t="str">
        <f>IF(Inventory_List_Table34111510911131718[[#This Row],[Q]]&lt;0.1, " ",Inventory_List_Table34111510911131718[[#This Row],[PRICE]]/$L$1)</f>
        <v xml:space="preserve"> </v>
      </c>
      <c r="S4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1" s="30" t="str">
        <f>IF(Inventory_List_Table34111510911131718[[#This Row],[Q]]&lt;0.1, " ",Inventory_List_Table34111510911131718[[#This Row],[AQ RND USD]]*1.4)</f>
        <v xml:space="preserve"> </v>
      </c>
      <c r="U4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1" s="30" t="str">
        <f>IF(Inventory_List_Table34111510911131718[[#This Row],[Q]]&lt;0.1, " ",Inventory_List_Table34111510911131718[[#This Row],[LND RND USD]]*12)</f>
        <v xml:space="preserve"> </v>
      </c>
      <c r="W41" s="30" t="str">
        <f>IF(Inventory_List_Table34111510911131718[[#This Row],[Q]]&lt;0.1, " ",Inventory_List_Table34111510911131718[[#This Row],[AQ USD]])</f>
        <v xml:space="preserve"> </v>
      </c>
      <c r="X4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1" s="30" t="str">
        <f>IF(Inventory_List_Table34111510911131718[[#This Row],[Q]]&lt;0.1, " ",Inventory_List_Table34111510911131718[[#This Row],[PRICE]]/Z41*10000)</f>
        <v xml:space="preserve"> </v>
      </c>
      <c r="AB41" s="220"/>
      <c r="AC41" s="1"/>
      <c r="AD41" s="1"/>
    </row>
    <row r="42" spans="1:30" ht="24" customHeight="1" x14ac:dyDescent="0.3">
      <c r="A42" s="210">
        <v>40</v>
      </c>
      <c r="B42" s="1"/>
      <c r="C42" s="213"/>
      <c r="D42" s="213"/>
      <c r="E42" s="213"/>
      <c r="F42" s="38" t="str">
        <f>IF(Inventory_List_Table34111510911131718[[#This Row],[Q]]&lt;0.1, " ",#REF!&amp;$D$1&amp;#REF!&amp;Inventory_List_Table34111510911131718[[#This Row],[NOTES]])</f>
        <v xml:space="preserve"> </v>
      </c>
      <c r="G42" s="216"/>
      <c r="H42" s="216"/>
      <c r="I42" s="216"/>
      <c r="J42" s="216"/>
      <c r="K42" s="216"/>
      <c r="L42" s="218"/>
      <c r="M4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2" s="35" t="str">
        <f>IF(Inventory_List_Table34111510911131718[[#This Row],[Q]]&lt;0.1, " ", Inventory_List_Table34111510911131718[[#This Row],[KG]]*2.20462)</f>
        <v xml:space="preserve"> </v>
      </c>
      <c r="O42" s="35" t="str">
        <f>IF(Inventory_List_Table34111510911131718[[#This Row],[Q]]&lt;0.1, " ",Inventory_List_Table34111510911131718[[#This Row],[H CM]]/2.54)</f>
        <v xml:space="preserve"> </v>
      </c>
      <c r="P42" s="35" t="str">
        <f>IF(Inventory_List_Table34111510911131718[[#This Row],[Q]]&lt;0.1, " ",Inventory_List_Table34111510911131718[[#This Row],[W CM]]/2.54)</f>
        <v xml:space="preserve"> </v>
      </c>
      <c r="Q42" s="35" t="str">
        <f>IF(Inventory_List_Table34111510911131718[[#This Row],[Q]]&lt;0.1, " ",Inventory_List_Table34111510911131718[[#This Row],[D CM ]]/2.54)</f>
        <v xml:space="preserve"> </v>
      </c>
      <c r="R42" s="30" t="str">
        <f>IF(Inventory_List_Table34111510911131718[[#This Row],[Q]]&lt;0.1, " ",Inventory_List_Table34111510911131718[[#This Row],[PRICE]]/$L$1)</f>
        <v xml:space="preserve"> </v>
      </c>
      <c r="S4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2" s="30" t="str">
        <f>IF(Inventory_List_Table34111510911131718[[#This Row],[Q]]&lt;0.1, " ",Inventory_List_Table34111510911131718[[#This Row],[AQ RND USD]]*1.4)</f>
        <v xml:space="preserve"> </v>
      </c>
      <c r="U4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2" s="30" t="str">
        <f>IF(Inventory_List_Table34111510911131718[[#This Row],[Q]]&lt;0.1, " ",Inventory_List_Table34111510911131718[[#This Row],[LND RND USD]]*12)</f>
        <v xml:space="preserve"> </v>
      </c>
      <c r="W42" s="30" t="str">
        <f>IF(Inventory_List_Table34111510911131718[[#This Row],[Q]]&lt;0.1, " ",Inventory_List_Table34111510911131718[[#This Row],[AQ USD]])</f>
        <v xml:space="preserve"> </v>
      </c>
      <c r="X4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2" s="30" t="str">
        <f>IF(Inventory_List_Table34111510911131718[[#This Row],[Q]]&lt;0.1, " ",Inventory_List_Table34111510911131718[[#This Row],[PRICE]]/Z42*10000)</f>
        <v xml:space="preserve"> </v>
      </c>
      <c r="AB42" s="220"/>
      <c r="AC42" s="1"/>
      <c r="AD42" s="1"/>
    </row>
    <row r="43" spans="1:30" ht="24" customHeight="1" x14ac:dyDescent="0.3">
      <c r="A43" s="210">
        <v>41</v>
      </c>
      <c r="B43" s="1"/>
      <c r="C43" s="213"/>
      <c r="D43" s="213"/>
      <c r="E43" s="213"/>
      <c r="F43" s="38" t="str">
        <f>IF(Inventory_List_Table34111510911131718[[#This Row],[Q]]&lt;0.1, " ",#REF!&amp;$D$1&amp;#REF!&amp;Inventory_List_Table34111510911131718[[#This Row],[NOTES]])</f>
        <v xml:space="preserve"> </v>
      </c>
      <c r="G43" s="216"/>
      <c r="H43" s="216"/>
      <c r="I43" s="216"/>
      <c r="J43" s="216"/>
      <c r="K43" s="216"/>
      <c r="L43" s="218"/>
      <c r="M4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3" s="35" t="str">
        <f>IF(Inventory_List_Table34111510911131718[[#This Row],[Q]]&lt;0.1, " ", Inventory_List_Table34111510911131718[[#This Row],[KG]]*2.20462)</f>
        <v xml:space="preserve"> </v>
      </c>
      <c r="O43" s="35" t="str">
        <f>IF(Inventory_List_Table34111510911131718[[#This Row],[Q]]&lt;0.1, " ",Inventory_List_Table34111510911131718[[#This Row],[H CM]]/2.54)</f>
        <v xml:space="preserve"> </v>
      </c>
      <c r="P43" s="35" t="str">
        <f>IF(Inventory_List_Table34111510911131718[[#This Row],[Q]]&lt;0.1, " ",Inventory_List_Table34111510911131718[[#This Row],[W CM]]/2.54)</f>
        <v xml:space="preserve"> </v>
      </c>
      <c r="Q43" s="35" t="str">
        <f>IF(Inventory_List_Table34111510911131718[[#This Row],[Q]]&lt;0.1, " ",Inventory_List_Table34111510911131718[[#This Row],[D CM ]]/2.54)</f>
        <v xml:space="preserve"> </v>
      </c>
      <c r="R43" s="30" t="str">
        <f>IF(Inventory_List_Table34111510911131718[[#This Row],[Q]]&lt;0.1, " ",Inventory_List_Table34111510911131718[[#This Row],[PRICE]]/$L$1)</f>
        <v xml:space="preserve"> </v>
      </c>
      <c r="S4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3" s="30" t="str">
        <f>IF(Inventory_List_Table34111510911131718[[#This Row],[Q]]&lt;0.1, " ",Inventory_List_Table34111510911131718[[#This Row],[AQ RND USD]]*1.4)</f>
        <v xml:space="preserve"> </v>
      </c>
      <c r="U4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3" s="30" t="str">
        <f>IF(Inventory_List_Table34111510911131718[[#This Row],[Q]]&lt;0.1, " ",Inventory_List_Table34111510911131718[[#This Row],[LND RND USD]]*12)</f>
        <v xml:space="preserve"> </v>
      </c>
      <c r="W43" s="30" t="str">
        <f>IF(Inventory_List_Table34111510911131718[[#This Row],[Q]]&lt;0.1, " ",Inventory_List_Table34111510911131718[[#This Row],[AQ USD]])</f>
        <v xml:space="preserve"> </v>
      </c>
      <c r="X4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3" s="30" t="str">
        <f>IF(Inventory_List_Table34111510911131718[[#This Row],[Q]]&lt;0.1, " ",Inventory_List_Table34111510911131718[[#This Row],[PRICE]]/Z43*10000)</f>
        <v xml:space="preserve"> </v>
      </c>
      <c r="AB43" s="220"/>
      <c r="AC43" s="1"/>
      <c r="AD43" s="1"/>
    </row>
    <row r="44" spans="1:30" ht="24" customHeight="1" x14ac:dyDescent="0.3">
      <c r="A44" s="210">
        <v>42</v>
      </c>
      <c r="B44" s="1"/>
      <c r="C44" s="213"/>
      <c r="D44" s="213"/>
      <c r="E44" s="213"/>
      <c r="F44" s="38" t="str">
        <f>IF(Inventory_List_Table34111510911131718[[#This Row],[Q]]&lt;0.1, " ",#REF!&amp;$D$1&amp;#REF!&amp;Inventory_List_Table34111510911131718[[#This Row],[NOTES]])</f>
        <v xml:space="preserve"> </v>
      </c>
      <c r="G44" s="216"/>
      <c r="H44" s="216"/>
      <c r="I44" s="216"/>
      <c r="J44" s="216"/>
      <c r="K44" s="216"/>
      <c r="L44" s="218"/>
      <c r="M4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4" s="35" t="str">
        <f>IF(Inventory_List_Table34111510911131718[[#This Row],[Q]]&lt;0.1, " ", Inventory_List_Table34111510911131718[[#This Row],[KG]]*2.20462)</f>
        <v xml:space="preserve"> </v>
      </c>
      <c r="O44" s="35" t="str">
        <f>IF(Inventory_List_Table34111510911131718[[#This Row],[Q]]&lt;0.1, " ",Inventory_List_Table34111510911131718[[#This Row],[H CM]]/2.54)</f>
        <v xml:space="preserve"> </v>
      </c>
      <c r="P44" s="35" t="str">
        <f>IF(Inventory_List_Table34111510911131718[[#This Row],[Q]]&lt;0.1, " ",Inventory_List_Table34111510911131718[[#This Row],[W CM]]/2.54)</f>
        <v xml:space="preserve"> </v>
      </c>
      <c r="Q44" s="35" t="str">
        <f>IF(Inventory_List_Table34111510911131718[[#This Row],[Q]]&lt;0.1, " ",Inventory_List_Table34111510911131718[[#This Row],[D CM ]]/2.54)</f>
        <v xml:space="preserve"> </v>
      </c>
      <c r="R44" s="30" t="str">
        <f>IF(Inventory_List_Table34111510911131718[[#This Row],[Q]]&lt;0.1, " ",Inventory_List_Table34111510911131718[[#This Row],[PRICE]]/$L$1)</f>
        <v xml:space="preserve"> </v>
      </c>
      <c r="S4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4" s="30" t="str">
        <f>IF(Inventory_List_Table34111510911131718[[#This Row],[Q]]&lt;0.1, " ",Inventory_List_Table34111510911131718[[#This Row],[AQ RND USD]]*1.4)</f>
        <v xml:space="preserve"> </v>
      </c>
      <c r="U4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4" s="30" t="str">
        <f>IF(Inventory_List_Table34111510911131718[[#This Row],[Q]]&lt;0.1, " ",Inventory_List_Table34111510911131718[[#This Row],[LND RND USD]]*12)</f>
        <v xml:space="preserve"> </v>
      </c>
      <c r="W44" s="30" t="str">
        <f>IF(Inventory_List_Table34111510911131718[[#This Row],[Q]]&lt;0.1, " ",Inventory_List_Table34111510911131718[[#This Row],[AQ USD]])</f>
        <v xml:space="preserve"> </v>
      </c>
      <c r="X4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4" s="30" t="str">
        <f>IF(Inventory_List_Table34111510911131718[[#This Row],[Q]]&lt;0.1, " ",Inventory_List_Table34111510911131718[[#This Row],[PRICE]]/Z44*10000)</f>
        <v xml:space="preserve"> </v>
      </c>
      <c r="AB44" s="220"/>
      <c r="AC44" s="1"/>
      <c r="AD44" s="1"/>
    </row>
    <row r="45" spans="1:30" ht="24" customHeight="1" x14ac:dyDescent="0.3">
      <c r="A45" s="210">
        <v>43</v>
      </c>
      <c r="B45" s="1"/>
      <c r="C45" s="213"/>
      <c r="D45" s="213"/>
      <c r="E45" s="213"/>
      <c r="F45" s="38" t="str">
        <f>IF(Inventory_List_Table34111510911131718[[#This Row],[Q]]&lt;0.1, " ",#REF!&amp;$D$1&amp;#REF!&amp;Inventory_List_Table34111510911131718[[#This Row],[NOTES]])</f>
        <v xml:space="preserve"> </v>
      </c>
      <c r="G45" s="216"/>
      <c r="H45" s="216"/>
      <c r="I45" s="216"/>
      <c r="J45" s="216"/>
      <c r="K45" s="216"/>
      <c r="L45" s="218"/>
      <c r="M4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5" s="35" t="str">
        <f>IF(Inventory_List_Table34111510911131718[[#This Row],[Q]]&lt;0.1, " ", Inventory_List_Table34111510911131718[[#This Row],[KG]]*2.20462)</f>
        <v xml:space="preserve"> </v>
      </c>
      <c r="O45" s="35" t="str">
        <f>IF(Inventory_List_Table34111510911131718[[#This Row],[Q]]&lt;0.1, " ",Inventory_List_Table34111510911131718[[#This Row],[H CM]]/2.54)</f>
        <v xml:space="preserve"> </v>
      </c>
      <c r="P45" s="35" t="str">
        <f>IF(Inventory_List_Table34111510911131718[[#This Row],[Q]]&lt;0.1, " ",Inventory_List_Table34111510911131718[[#This Row],[W CM]]/2.54)</f>
        <v xml:space="preserve"> </v>
      </c>
      <c r="Q45" s="35" t="str">
        <f>IF(Inventory_List_Table34111510911131718[[#This Row],[Q]]&lt;0.1, " ",Inventory_List_Table34111510911131718[[#This Row],[D CM ]]/2.54)</f>
        <v xml:space="preserve"> </v>
      </c>
      <c r="R45" s="30" t="str">
        <f>IF(Inventory_List_Table34111510911131718[[#This Row],[Q]]&lt;0.1, " ",Inventory_List_Table34111510911131718[[#This Row],[PRICE]]/$L$1)</f>
        <v xml:space="preserve"> </v>
      </c>
      <c r="S4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5" s="30" t="str">
        <f>IF(Inventory_List_Table34111510911131718[[#This Row],[Q]]&lt;0.1, " ",Inventory_List_Table34111510911131718[[#This Row],[AQ RND USD]]*1.4)</f>
        <v xml:space="preserve"> </v>
      </c>
      <c r="U4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5" s="30" t="str">
        <f>IF(Inventory_List_Table34111510911131718[[#This Row],[Q]]&lt;0.1, " ",Inventory_List_Table34111510911131718[[#This Row],[LND RND USD]]*12)</f>
        <v xml:space="preserve"> </v>
      </c>
      <c r="W45" s="30" t="str">
        <f>IF(Inventory_List_Table34111510911131718[[#This Row],[Q]]&lt;0.1, " ",Inventory_List_Table34111510911131718[[#This Row],[AQ USD]])</f>
        <v xml:space="preserve"> </v>
      </c>
      <c r="X4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5" s="30" t="str">
        <f>IF(Inventory_List_Table34111510911131718[[#This Row],[Q]]&lt;0.1, " ",Inventory_List_Table34111510911131718[[#This Row],[PRICE]]/Z45*10000)</f>
        <v xml:space="preserve"> </v>
      </c>
      <c r="AB45" s="220"/>
      <c r="AC45" s="1"/>
      <c r="AD45" s="1"/>
    </row>
    <row r="46" spans="1:30" ht="24" customHeight="1" x14ac:dyDescent="0.3">
      <c r="A46" s="210">
        <v>44</v>
      </c>
      <c r="B46" s="1"/>
      <c r="C46" s="213"/>
      <c r="D46" s="213"/>
      <c r="E46" s="213"/>
      <c r="F46" s="38" t="str">
        <f>IF(Inventory_List_Table34111510911131718[[#This Row],[Q]]&lt;0.1, " ",#REF!&amp;$D$1&amp;#REF!&amp;Inventory_List_Table34111510911131718[[#This Row],[NOTES]])</f>
        <v xml:space="preserve"> </v>
      </c>
      <c r="G46" s="216"/>
      <c r="H46" s="216"/>
      <c r="I46" s="216"/>
      <c r="J46" s="216"/>
      <c r="K46" s="216"/>
      <c r="L46" s="218"/>
      <c r="M4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6" s="35" t="str">
        <f>IF(Inventory_List_Table34111510911131718[[#This Row],[Q]]&lt;0.1, " ", Inventory_List_Table34111510911131718[[#This Row],[KG]]*2.20462)</f>
        <v xml:space="preserve"> </v>
      </c>
      <c r="O46" s="35" t="str">
        <f>IF(Inventory_List_Table34111510911131718[[#This Row],[Q]]&lt;0.1, " ",Inventory_List_Table34111510911131718[[#This Row],[H CM]]/2.54)</f>
        <v xml:space="preserve"> </v>
      </c>
      <c r="P46" s="35" t="str">
        <f>IF(Inventory_List_Table34111510911131718[[#This Row],[Q]]&lt;0.1, " ",Inventory_List_Table34111510911131718[[#This Row],[W CM]]/2.54)</f>
        <v xml:space="preserve"> </v>
      </c>
      <c r="Q46" s="35" t="str">
        <f>IF(Inventory_List_Table34111510911131718[[#This Row],[Q]]&lt;0.1, " ",Inventory_List_Table34111510911131718[[#This Row],[D CM ]]/2.54)</f>
        <v xml:space="preserve"> </v>
      </c>
      <c r="R46" s="30" t="str">
        <f>IF(Inventory_List_Table34111510911131718[[#This Row],[Q]]&lt;0.1, " ",Inventory_List_Table34111510911131718[[#This Row],[PRICE]]/$L$1)</f>
        <v xml:space="preserve"> </v>
      </c>
      <c r="S4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6" s="30" t="str">
        <f>IF(Inventory_List_Table34111510911131718[[#This Row],[Q]]&lt;0.1, " ",Inventory_List_Table34111510911131718[[#This Row],[AQ RND USD]]*1.4)</f>
        <v xml:space="preserve"> </v>
      </c>
      <c r="U4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6" s="30" t="str">
        <f>IF(Inventory_List_Table34111510911131718[[#This Row],[Q]]&lt;0.1, " ",Inventory_List_Table34111510911131718[[#This Row],[LND RND USD]]*12)</f>
        <v xml:space="preserve"> </v>
      </c>
      <c r="W46" s="30" t="str">
        <f>IF(Inventory_List_Table34111510911131718[[#This Row],[Q]]&lt;0.1, " ",Inventory_List_Table34111510911131718[[#This Row],[AQ USD]])</f>
        <v xml:space="preserve"> </v>
      </c>
      <c r="X4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6" s="30" t="str">
        <f>IF(Inventory_List_Table34111510911131718[[#This Row],[Q]]&lt;0.1, " ",Inventory_List_Table34111510911131718[[#This Row],[PRICE]]/Z46*10000)</f>
        <v xml:space="preserve"> </v>
      </c>
      <c r="AB46" s="220"/>
      <c r="AC46" s="1"/>
      <c r="AD46" s="1"/>
    </row>
    <row r="47" spans="1:30" ht="24" customHeight="1" x14ac:dyDescent="0.3">
      <c r="A47" s="210">
        <v>45</v>
      </c>
      <c r="B47" s="1"/>
      <c r="C47" s="213"/>
      <c r="D47" s="213"/>
      <c r="E47" s="213"/>
      <c r="F47" s="38" t="str">
        <f>IF(Inventory_List_Table34111510911131718[[#This Row],[Q]]&lt;0.1, " ",#REF!&amp;$D$1&amp;#REF!&amp;Inventory_List_Table34111510911131718[[#This Row],[NOTES]])</f>
        <v xml:space="preserve"> </v>
      </c>
      <c r="G47" s="216"/>
      <c r="H47" s="216"/>
      <c r="I47" s="216"/>
      <c r="J47" s="216"/>
      <c r="K47" s="216"/>
      <c r="L47" s="218"/>
      <c r="M4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7" s="35" t="str">
        <f>IF(Inventory_List_Table34111510911131718[[#This Row],[Q]]&lt;0.1, " ", Inventory_List_Table34111510911131718[[#This Row],[KG]]*2.20462)</f>
        <v xml:space="preserve"> </v>
      </c>
      <c r="O47" s="35" t="str">
        <f>IF(Inventory_List_Table34111510911131718[[#This Row],[Q]]&lt;0.1, " ",Inventory_List_Table34111510911131718[[#This Row],[H CM]]/2.54)</f>
        <v xml:space="preserve"> </v>
      </c>
      <c r="P47" s="35" t="str">
        <f>IF(Inventory_List_Table34111510911131718[[#This Row],[Q]]&lt;0.1, " ",Inventory_List_Table34111510911131718[[#This Row],[W CM]]/2.54)</f>
        <v xml:space="preserve"> </v>
      </c>
      <c r="Q47" s="35" t="str">
        <f>IF(Inventory_List_Table34111510911131718[[#This Row],[Q]]&lt;0.1, " ",Inventory_List_Table34111510911131718[[#This Row],[D CM ]]/2.54)</f>
        <v xml:space="preserve"> </v>
      </c>
      <c r="R47" s="30" t="str">
        <f>IF(Inventory_List_Table34111510911131718[[#This Row],[Q]]&lt;0.1, " ",Inventory_List_Table34111510911131718[[#This Row],[PRICE]]/$L$1)</f>
        <v xml:space="preserve"> </v>
      </c>
      <c r="S4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7" s="30" t="str">
        <f>IF(Inventory_List_Table34111510911131718[[#This Row],[Q]]&lt;0.1, " ",Inventory_List_Table34111510911131718[[#This Row],[AQ RND USD]]*1.4)</f>
        <v xml:space="preserve"> </v>
      </c>
      <c r="U4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7" s="30" t="str">
        <f>IF(Inventory_List_Table34111510911131718[[#This Row],[Q]]&lt;0.1, " ",Inventory_List_Table34111510911131718[[#This Row],[LND RND USD]]*12)</f>
        <v xml:space="preserve"> </v>
      </c>
      <c r="W47" s="30" t="str">
        <f>IF(Inventory_List_Table34111510911131718[[#This Row],[Q]]&lt;0.1, " ",Inventory_List_Table34111510911131718[[#This Row],[AQ USD]])</f>
        <v xml:space="preserve"> </v>
      </c>
      <c r="X4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7" s="30" t="str">
        <f>IF(Inventory_List_Table34111510911131718[[#This Row],[Q]]&lt;0.1, " ",Inventory_List_Table34111510911131718[[#This Row],[PRICE]]/Z47*10000)</f>
        <v xml:space="preserve"> </v>
      </c>
      <c r="AB47" s="220"/>
      <c r="AC47" s="1"/>
      <c r="AD47" s="1"/>
    </row>
    <row r="48" spans="1:30" ht="24" customHeight="1" x14ac:dyDescent="0.3">
      <c r="A48" s="210">
        <v>46</v>
      </c>
      <c r="B48" s="1"/>
      <c r="C48" s="213"/>
      <c r="D48" s="213"/>
      <c r="E48" s="213"/>
      <c r="F48" s="38" t="str">
        <f>IF(Inventory_List_Table34111510911131718[[#This Row],[Q]]&lt;0.1, " ",#REF!&amp;$D$1&amp;#REF!&amp;Inventory_List_Table34111510911131718[[#This Row],[NOTES]])</f>
        <v xml:space="preserve"> </v>
      </c>
      <c r="G48" s="216"/>
      <c r="H48" s="216"/>
      <c r="I48" s="216"/>
      <c r="J48" s="216"/>
      <c r="K48" s="216"/>
      <c r="L48" s="218"/>
      <c r="M4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8" s="35" t="str">
        <f>IF(Inventory_List_Table34111510911131718[[#This Row],[Q]]&lt;0.1, " ", Inventory_List_Table34111510911131718[[#This Row],[KG]]*2.20462)</f>
        <v xml:space="preserve"> </v>
      </c>
      <c r="O48" s="35" t="str">
        <f>IF(Inventory_List_Table34111510911131718[[#This Row],[Q]]&lt;0.1, " ",Inventory_List_Table34111510911131718[[#This Row],[H CM]]/2.54)</f>
        <v xml:space="preserve"> </v>
      </c>
      <c r="P48" s="35" t="str">
        <f>IF(Inventory_List_Table34111510911131718[[#This Row],[Q]]&lt;0.1, " ",Inventory_List_Table34111510911131718[[#This Row],[W CM]]/2.54)</f>
        <v xml:space="preserve"> </v>
      </c>
      <c r="Q48" s="35" t="str">
        <f>IF(Inventory_List_Table34111510911131718[[#This Row],[Q]]&lt;0.1, " ",Inventory_List_Table34111510911131718[[#This Row],[D CM ]]/2.54)</f>
        <v xml:space="preserve"> </v>
      </c>
      <c r="R48" s="30" t="str">
        <f>IF(Inventory_List_Table34111510911131718[[#This Row],[Q]]&lt;0.1, " ",Inventory_List_Table34111510911131718[[#This Row],[PRICE]]/$L$1)</f>
        <v xml:space="preserve"> </v>
      </c>
      <c r="S4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8" s="30" t="str">
        <f>IF(Inventory_List_Table34111510911131718[[#This Row],[Q]]&lt;0.1, " ",Inventory_List_Table34111510911131718[[#This Row],[AQ RND USD]]*1.4)</f>
        <v xml:space="preserve"> </v>
      </c>
      <c r="U4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8" s="30" t="str">
        <f>IF(Inventory_List_Table34111510911131718[[#This Row],[Q]]&lt;0.1, " ",Inventory_List_Table34111510911131718[[#This Row],[LND RND USD]]*12)</f>
        <v xml:space="preserve"> </v>
      </c>
      <c r="W48" s="30" t="str">
        <f>IF(Inventory_List_Table34111510911131718[[#This Row],[Q]]&lt;0.1, " ",Inventory_List_Table34111510911131718[[#This Row],[AQ USD]])</f>
        <v xml:space="preserve"> </v>
      </c>
      <c r="X4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8" s="30" t="str">
        <f>IF(Inventory_List_Table34111510911131718[[#This Row],[Q]]&lt;0.1, " ",Inventory_List_Table34111510911131718[[#This Row],[PRICE]]/Z48*10000)</f>
        <v xml:space="preserve"> </v>
      </c>
      <c r="AB48" s="220"/>
      <c r="AC48" s="1"/>
      <c r="AD48" s="1"/>
    </row>
    <row r="49" spans="1:30" ht="24" customHeight="1" x14ac:dyDescent="0.3">
      <c r="A49" s="210">
        <v>47</v>
      </c>
      <c r="B49" s="1"/>
      <c r="C49" s="213"/>
      <c r="D49" s="213"/>
      <c r="E49" s="213"/>
      <c r="F49" s="38" t="str">
        <f>IF(Inventory_List_Table34111510911131718[[#This Row],[Q]]&lt;0.1, " ",#REF!&amp;$D$1&amp;#REF!&amp;Inventory_List_Table34111510911131718[[#This Row],[NOTES]])</f>
        <v xml:space="preserve"> </v>
      </c>
      <c r="G49" s="216"/>
      <c r="H49" s="216"/>
      <c r="I49" s="216"/>
      <c r="J49" s="216"/>
      <c r="K49" s="216"/>
      <c r="L49" s="218"/>
      <c r="M4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49" s="35" t="str">
        <f>IF(Inventory_List_Table34111510911131718[[#This Row],[Q]]&lt;0.1, " ", Inventory_List_Table34111510911131718[[#This Row],[KG]]*2.20462)</f>
        <v xml:space="preserve"> </v>
      </c>
      <c r="O49" s="35" t="str">
        <f>IF(Inventory_List_Table34111510911131718[[#This Row],[Q]]&lt;0.1, " ",Inventory_List_Table34111510911131718[[#This Row],[H CM]]/2.54)</f>
        <v xml:space="preserve"> </v>
      </c>
      <c r="P49" s="35" t="str">
        <f>IF(Inventory_List_Table34111510911131718[[#This Row],[Q]]&lt;0.1, " ",Inventory_List_Table34111510911131718[[#This Row],[W CM]]/2.54)</f>
        <v xml:space="preserve"> </v>
      </c>
      <c r="Q49" s="35" t="str">
        <f>IF(Inventory_List_Table34111510911131718[[#This Row],[Q]]&lt;0.1, " ",Inventory_List_Table34111510911131718[[#This Row],[D CM ]]/2.54)</f>
        <v xml:space="preserve"> </v>
      </c>
      <c r="R49" s="30" t="str">
        <f>IF(Inventory_List_Table34111510911131718[[#This Row],[Q]]&lt;0.1, " ",Inventory_List_Table34111510911131718[[#This Row],[PRICE]]/$L$1)</f>
        <v xml:space="preserve"> </v>
      </c>
      <c r="S4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49" s="30" t="str">
        <f>IF(Inventory_List_Table34111510911131718[[#This Row],[Q]]&lt;0.1, " ",Inventory_List_Table34111510911131718[[#This Row],[AQ RND USD]]*1.4)</f>
        <v xml:space="preserve"> </v>
      </c>
      <c r="U4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49" s="30" t="str">
        <f>IF(Inventory_List_Table34111510911131718[[#This Row],[Q]]&lt;0.1, " ",Inventory_List_Table34111510911131718[[#This Row],[LND RND USD]]*12)</f>
        <v xml:space="preserve"> </v>
      </c>
      <c r="W49" s="30" t="str">
        <f>IF(Inventory_List_Table34111510911131718[[#This Row],[Q]]&lt;0.1, " ",Inventory_List_Table34111510911131718[[#This Row],[AQ USD]])</f>
        <v xml:space="preserve"> </v>
      </c>
      <c r="X4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4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4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49" s="30" t="str">
        <f>IF(Inventory_List_Table34111510911131718[[#This Row],[Q]]&lt;0.1, " ",Inventory_List_Table34111510911131718[[#This Row],[PRICE]]/Z49*10000)</f>
        <v xml:space="preserve"> </v>
      </c>
      <c r="AB49" s="220"/>
      <c r="AC49" s="1"/>
      <c r="AD49" s="1"/>
    </row>
    <row r="50" spans="1:30" ht="24" customHeight="1" x14ac:dyDescent="0.3">
      <c r="A50" s="210">
        <v>48</v>
      </c>
      <c r="B50" s="1"/>
      <c r="C50" s="213"/>
      <c r="D50" s="213"/>
      <c r="E50" s="213"/>
      <c r="F50" s="38" t="str">
        <f>IF(Inventory_List_Table34111510911131718[[#This Row],[Q]]&lt;0.1, " ",#REF!&amp;$D$1&amp;#REF!&amp;Inventory_List_Table34111510911131718[[#This Row],[NOTES]])</f>
        <v xml:space="preserve"> </v>
      </c>
      <c r="G50" s="216"/>
      <c r="H50" s="216"/>
      <c r="I50" s="216"/>
      <c r="J50" s="216"/>
      <c r="K50" s="216"/>
      <c r="L50" s="218"/>
      <c r="M5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0" s="35" t="str">
        <f>IF(Inventory_List_Table34111510911131718[[#This Row],[Q]]&lt;0.1, " ", Inventory_List_Table34111510911131718[[#This Row],[KG]]*2.20462)</f>
        <v xml:space="preserve"> </v>
      </c>
      <c r="O50" s="35" t="str">
        <f>IF(Inventory_List_Table34111510911131718[[#This Row],[Q]]&lt;0.1, " ",Inventory_List_Table34111510911131718[[#This Row],[H CM]]/2.54)</f>
        <v xml:space="preserve"> </v>
      </c>
      <c r="P50" s="35" t="str">
        <f>IF(Inventory_List_Table34111510911131718[[#This Row],[Q]]&lt;0.1, " ",Inventory_List_Table34111510911131718[[#This Row],[W CM]]/2.54)</f>
        <v xml:space="preserve"> </v>
      </c>
      <c r="Q50" s="35" t="str">
        <f>IF(Inventory_List_Table34111510911131718[[#This Row],[Q]]&lt;0.1, " ",Inventory_List_Table34111510911131718[[#This Row],[D CM ]]/2.54)</f>
        <v xml:space="preserve"> </v>
      </c>
      <c r="R50" s="30" t="str">
        <f>IF(Inventory_List_Table34111510911131718[[#This Row],[Q]]&lt;0.1, " ",Inventory_List_Table34111510911131718[[#This Row],[PRICE]]/$L$1)</f>
        <v xml:space="preserve"> </v>
      </c>
      <c r="S5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0" s="30" t="str">
        <f>IF(Inventory_List_Table34111510911131718[[#This Row],[Q]]&lt;0.1, " ",Inventory_List_Table34111510911131718[[#This Row],[AQ RND USD]]*1.4)</f>
        <v xml:space="preserve"> </v>
      </c>
      <c r="U5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0" s="30" t="str">
        <f>IF(Inventory_List_Table34111510911131718[[#This Row],[Q]]&lt;0.1, " ",Inventory_List_Table34111510911131718[[#This Row],[LND RND USD]]*12)</f>
        <v xml:space="preserve"> </v>
      </c>
      <c r="W50" s="30" t="str">
        <f>IF(Inventory_List_Table34111510911131718[[#This Row],[Q]]&lt;0.1, " ",Inventory_List_Table34111510911131718[[#This Row],[AQ USD]])</f>
        <v xml:space="preserve"> </v>
      </c>
      <c r="X5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0" s="30" t="str">
        <f>IF(Inventory_List_Table34111510911131718[[#This Row],[Q]]&lt;0.1, " ",Inventory_List_Table34111510911131718[[#This Row],[PRICE]]/Z50*10000)</f>
        <v xml:space="preserve"> </v>
      </c>
      <c r="AB50" s="220"/>
      <c r="AC50" s="1"/>
      <c r="AD50" s="1"/>
    </row>
    <row r="51" spans="1:30" ht="24" customHeight="1" x14ac:dyDescent="0.3">
      <c r="A51" s="210">
        <v>49</v>
      </c>
      <c r="B51" s="1"/>
      <c r="C51" s="213"/>
      <c r="D51" s="213"/>
      <c r="E51" s="213"/>
      <c r="F51" s="38" t="str">
        <f>IF(Inventory_List_Table34111510911131718[[#This Row],[Q]]&lt;0.1, " ",#REF!&amp;$D$1&amp;#REF!&amp;Inventory_List_Table34111510911131718[[#This Row],[NOTES]])</f>
        <v xml:space="preserve"> </v>
      </c>
      <c r="G51" s="216"/>
      <c r="H51" s="216"/>
      <c r="I51" s="216"/>
      <c r="J51" s="216"/>
      <c r="K51" s="216"/>
      <c r="L51" s="218"/>
      <c r="M5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1" s="35" t="str">
        <f>IF(Inventory_List_Table34111510911131718[[#This Row],[Q]]&lt;0.1, " ", Inventory_List_Table34111510911131718[[#This Row],[KG]]*2.20462)</f>
        <v xml:space="preserve"> </v>
      </c>
      <c r="O51" s="35" t="str">
        <f>IF(Inventory_List_Table34111510911131718[[#This Row],[Q]]&lt;0.1, " ",Inventory_List_Table34111510911131718[[#This Row],[H CM]]/2.54)</f>
        <v xml:space="preserve"> </v>
      </c>
      <c r="P51" s="35" t="str">
        <f>IF(Inventory_List_Table34111510911131718[[#This Row],[Q]]&lt;0.1, " ",Inventory_List_Table34111510911131718[[#This Row],[W CM]]/2.54)</f>
        <v xml:space="preserve"> </v>
      </c>
      <c r="Q51" s="35" t="str">
        <f>IF(Inventory_List_Table34111510911131718[[#This Row],[Q]]&lt;0.1, " ",Inventory_List_Table34111510911131718[[#This Row],[D CM ]]/2.54)</f>
        <v xml:space="preserve"> </v>
      </c>
      <c r="R51" s="30" t="str">
        <f>IF(Inventory_List_Table34111510911131718[[#This Row],[Q]]&lt;0.1, " ",Inventory_List_Table34111510911131718[[#This Row],[PRICE]]/$L$1)</f>
        <v xml:space="preserve"> </v>
      </c>
      <c r="S5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1" s="30" t="str">
        <f>IF(Inventory_List_Table34111510911131718[[#This Row],[Q]]&lt;0.1, " ",Inventory_List_Table34111510911131718[[#This Row],[AQ RND USD]]*1.4)</f>
        <v xml:space="preserve"> </v>
      </c>
      <c r="U5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1" s="30" t="str">
        <f>IF(Inventory_List_Table34111510911131718[[#This Row],[Q]]&lt;0.1, " ",Inventory_List_Table34111510911131718[[#This Row],[LND RND USD]]*12)</f>
        <v xml:space="preserve"> </v>
      </c>
      <c r="W51" s="30" t="str">
        <f>IF(Inventory_List_Table34111510911131718[[#This Row],[Q]]&lt;0.1, " ",Inventory_List_Table34111510911131718[[#This Row],[AQ USD]])</f>
        <v xml:space="preserve"> </v>
      </c>
      <c r="X5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1" s="30" t="str">
        <f>IF(Inventory_List_Table34111510911131718[[#This Row],[Q]]&lt;0.1, " ",Inventory_List_Table34111510911131718[[#This Row],[PRICE]]/Z51*10000)</f>
        <v xml:space="preserve"> </v>
      </c>
      <c r="AB51" s="220"/>
      <c r="AC51" s="1"/>
      <c r="AD51" s="1"/>
    </row>
    <row r="52" spans="1:30" ht="24" customHeight="1" x14ac:dyDescent="0.3">
      <c r="A52" s="210">
        <v>50</v>
      </c>
      <c r="B52" s="1"/>
      <c r="C52" s="213"/>
      <c r="D52" s="213"/>
      <c r="E52" s="213"/>
      <c r="F52" s="38" t="str">
        <f>IF(Inventory_List_Table34111510911131718[[#This Row],[Q]]&lt;0.1, " ",#REF!&amp;$D$1&amp;#REF!&amp;Inventory_List_Table34111510911131718[[#This Row],[NOTES]])</f>
        <v xml:space="preserve"> </v>
      </c>
      <c r="G52" s="216"/>
      <c r="H52" s="216"/>
      <c r="I52" s="216"/>
      <c r="J52" s="216"/>
      <c r="K52" s="216"/>
      <c r="L52" s="218"/>
      <c r="M5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2" s="35" t="str">
        <f>IF(Inventory_List_Table34111510911131718[[#This Row],[Q]]&lt;0.1, " ", Inventory_List_Table34111510911131718[[#This Row],[KG]]*2.20462)</f>
        <v xml:space="preserve"> </v>
      </c>
      <c r="O52" s="35" t="str">
        <f>IF(Inventory_List_Table34111510911131718[[#This Row],[Q]]&lt;0.1, " ",Inventory_List_Table34111510911131718[[#This Row],[H CM]]/2.54)</f>
        <v xml:space="preserve"> </v>
      </c>
      <c r="P52" s="35" t="str">
        <f>IF(Inventory_List_Table34111510911131718[[#This Row],[Q]]&lt;0.1, " ",Inventory_List_Table34111510911131718[[#This Row],[W CM]]/2.54)</f>
        <v xml:space="preserve"> </v>
      </c>
      <c r="Q52" s="35" t="str">
        <f>IF(Inventory_List_Table34111510911131718[[#This Row],[Q]]&lt;0.1, " ",Inventory_List_Table34111510911131718[[#This Row],[D CM ]]/2.54)</f>
        <v xml:space="preserve"> </v>
      </c>
      <c r="R52" s="30" t="str">
        <f>IF(Inventory_List_Table34111510911131718[[#This Row],[Q]]&lt;0.1, " ",Inventory_List_Table34111510911131718[[#This Row],[PRICE]]/$L$1)</f>
        <v xml:space="preserve"> </v>
      </c>
      <c r="S5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2" s="30" t="str">
        <f>IF(Inventory_List_Table34111510911131718[[#This Row],[Q]]&lt;0.1, " ",Inventory_List_Table34111510911131718[[#This Row],[AQ RND USD]]*1.4)</f>
        <v xml:space="preserve"> </v>
      </c>
      <c r="U5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2" s="30" t="str">
        <f>IF(Inventory_List_Table34111510911131718[[#This Row],[Q]]&lt;0.1, " ",Inventory_List_Table34111510911131718[[#This Row],[LND RND USD]]*12)</f>
        <v xml:space="preserve"> </v>
      </c>
      <c r="W52" s="30" t="str">
        <f>IF(Inventory_List_Table34111510911131718[[#This Row],[Q]]&lt;0.1, " ",Inventory_List_Table34111510911131718[[#This Row],[AQ USD]])</f>
        <v xml:space="preserve"> </v>
      </c>
      <c r="X5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2" s="30" t="str">
        <f>IF(Inventory_List_Table34111510911131718[[#This Row],[Q]]&lt;0.1, " ",Inventory_List_Table34111510911131718[[#This Row],[PRICE]]/Z52*10000)</f>
        <v xml:space="preserve"> </v>
      </c>
      <c r="AB52" s="220"/>
      <c r="AC52" s="1"/>
      <c r="AD52" s="1"/>
    </row>
    <row r="53" spans="1:30" ht="24" customHeight="1" x14ac:dyDescent="0.3">
      <c r="A53" s="210">
        <v>51</v>
      </c>
      <c r="B53" s="1"/>
      <c r="C53" s="213"/>
      <c r="D53" s="213"/>
      <c r="E53" s="213"/>
      <c r="F53" s="38" t="str">
        <f>IF(Inventory_List_Table34111510911131718[[#This Row],[Q]]&lt;0.1, " ",#REF!&amp;$D$1&amp;#REF!&amp;Inventory_List_Table34111510911131718[[#This Row],[NOTES]])</f>
        <v xml:space="preserve"> </v>
      </c>
      <c r="G53" s="216"/>
      <c r="H53" s="216"/>
      <c r="I53" s="216"/>
      <c r="J53" s="216"/>
      <c r="K53" s="216"/>
      <c r="L53" s="218"/>
      <c r="M5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3" s="35" t="str">
        <f>IF(Inventory_List_Table34111510911131718[[#This Row],[Q]]&lt;0.1, " ", Inventory_List_Table34111510911131718[[#This Row],[KG]]*2.20462)</f>
        <v xml:space="preserve"> </v>
      </c>
      <c r="O53" s="35" t="str">
        <f>IF(Inventory_List_Table34111510911131718[[#This Row],[Q]]&lt;0.1, " ",Inventory_List_Table34111510911131718[[#This Row],[H CM]]/2.54)</f>
        <v xml:space="preserve"> </v>
      </c>
      <c r="P53" s="35" t="str">
        <f>IF(Inventory_List_Table34111510911131718[[#This Row],[Q]]&lt;0.1, " ",Inventory_List_Table34111510911131718[[#This Row],[W CM]]/2.54)</f>
        <v xml:space="preserve"> </v>
      </c>
      <c r="Q53" s="35" t="str">
        <f>IF(Inventory_List_Table34111510911131718[[#This Row],[Q]]&lt;0.1, " ",Inventory_List_Table34111510911131718[[#This Row],[D CM ]]/2.54)</f>
        <v xml:space="preserve"> </v>
      </c>
      <c r="R53" s="30" t="str">
        <f>IF(Inventory_List_Table34111510911131718[[#This Row],[Q]]&lt;0.1, " ",Inventory_List_Table34111510911131718[[#This Row],[PRICE]]/$L$1)</f>
        <v xml:space="preserve"> </v>
      </c>
      <c r="S5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3" s="30" t="str">
        <f>IF(Inventory_List_Table34111510911131718[[#This Row],[Q]]&lt;0.1, " ",Inventory_List_Table34111510911131718[[#This Row],[AQ RND USD]]*1.4)</f>
        <v xml:space="preserve"> </v>
      </c>
      <c r="U5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3" s="30" t="str">
        <f>IF(Inventory_List_Table34111510911131718[[#This Row],[Q]]&lt;0.1, " ",Inventory_List_Table34111510911131718[[#This Row],[LND RND USD]]*12)</f>
        <v xml:space="preserve"> </v>
      </c>
      <c r="W53" s="30" t="str">
        <f>IF(Inventory_List_Table34111510911131718[[#This Row],[Q]]&lt;0.1, " ",Inventory_List_Table34111510911131718[[#This Row],[AQ USD]])</f>
        <v xml:space="preserve"> </v>
      </c>
      <c r="X5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3" s="30" t="str">
        <f>IF(Inventory_List_Table34111510911131718[[#This Row],[Q]]&lt;0.1, " ",Inventory_List_Table34111510911131718[[#This Row],[PRICE]]/Z53*10000)</f>
        <v xml:space="preserve"> </v>
      </c>
      <c r="AB53" s="220"/>
      <c r="AC53" s="1"/>
      <c r="AD53" s="1"/>
    </row>
    <row r="54" spans="1:30" ht="24" customHeight="1" x14ac:dyDescent="0.3">
      <c r="A54" s="210">
        <v>52</v>
      </c>
      <c r="B54" s="1"/>
      <c r="C54" s="213"/>
      <c r="D54" s="213"/>
      <c r="E54" s="213"/>
      <c r="F54" s="38" t="str">
        <f>IF(Inventory_List_Table34111510911131718[[#This Row],[Q]]&lt;0.1, " ",#REF!&amp;$D$1&amp;#REF!&amp;Inventory_List_Table34111510911131718[[#This Row],[NOTES]])</f>
        <v xml:space="preserve"> </v>
      </c>
      <c r="G54" s="216"/>
      <c r="H54" s="216"/>
      <c r="I54" s="216"/>
      <c r="J54" s="216"/>
      <c r="K54" s="216"/>
      <c r="L54" s="218"/>
      <c r="M5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4" s="35" t="str">
        <f>IF(Inventory_List_Table34111510911131718[[#This Row],[Q]]&lt;0.1, " ", Inventory_List_Table34111510911131718[[#This Row],[KG]]*2.20462)</f>
        <v xml:space="preserve"> </v>
      </c>
      <c r="O54" s="35" t="str">
        <f>IF(Inventory_List_Table34111510911131718[[#This Row],[Q]]&lt;0.1, " ",Inventory_List_Table34111510911131718[[#This Row],[H CM]]/2.54)</f>
        <v xml:space="preserve"> </v>
      </c>
      <c r="P54" s="35" t="str">
        <f>IF(Inventory_List_Table34111510911131718[[#This Row],[Q]]&lt;0.1, " ",Inventory_List_Table34111510911131718[[#This Row],[W CM]]/2.54)</f>
        <v xml:space="preserve"> </v>
      </c>
      <c r="Q54" s="35" t="str">
        <f>IF(Inventory_List_Table34111510911131718[[#This Row],[Q]]&lt;0.1, " ",Inventory_List_Table34111510911131718[[#This Row],[D CM ]]/2.54)</f>
        <v xml:space="preserve"> </v>
      </c>
      <c r="R54" s="30" t="str">
        <f>IF(Inventory_List_Table34111510911131718[[#This Row],[Q]]&lt;0.1, " ",Inventory_List_Table34111510911131718[[#This Row],[PRICE]]/$L$1)</f>
        <v xml:space="preserve"> </v>
      </c>
      <c r="S5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4" s="30" t="str">
        <f>IF(Inventory_List_Table34111510911131718[[#This Row],[Q]]&lt;0.1, " ",Inventory_List_Table34111510911131718[[#This Row],[AQ RND USD]]*1.4)</f>
        <v xml:space="preserve"> </v>
      </c>
      <c r="U5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4" s="30" t="str">
        <f>IF(Inventory_List_Table34111510911131718[[#This Row],[Q]]&lt;0.1, " ",Inventory_List_Table34111510911131718[[#This Row],[LND RND USD]]*12)</f>
        <v xml:space="preserve"> </v>
      </c>
      <c r="W54" s="30" t="str">
        <f>IF(Inventory_List_Table34111510911131718[[#This Row],[Q]]&lt;0.1, " ",Inventory_List_Table34111510911131718[[#This Row],[AQ USD]])</f>
        <v xml:space="preserve"> </v>
      </c>
      <c r="X5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4" s="30" t="str">
        <f>IF(Inventory_List_Table34111510911131718[[#This Row],[Q]]&lt;0.1, " ",Inventory_List_Table34111510911131718[[#This Row],[PRICE]]/Z54*10000)</f>
        <v xml:space="preserve"> </v>
      </c>
      <c r="AB54" s="220"/>
      <c r="AC54" s="1"/>
      <c r="AD54" s="1"/>
    </row>
    <row r="55" spans="1:30" ht="24" customHeight="1" x14ac:dyDescent="0.3">
      <c r="A55" s="210">
        <v>53</v>
      </c>
      <c r="B55" s="1"/>
      <c r="C55" s="213"/>
      <c r="D55" s="213"/>
      <c r="E55" s="213"/>
      <c r="F55" s="38" t="str">
        <f>IF(Inventory_List_Table34111510911131718[[#This Row],[Q]]&lt;0.1, " ",#REF!&amp;$D$1&amp;#REF!&amp;Inventory_List_Table34111510911131718[[#This Row],[NOTES]])</f>
        <v xml:space="preserve"> </v>
      </c>
      <c r="G55" s="216"/>
      <c r="H55" s="216"/>
      <c r="I55" s="216"/>
      <c r="J55" s="216"/>
      <c r="K55" s="216"/>
      <c r="L55" s="218"/>
      <c r="M5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5" s="35" t="str">
        <f>IF(Inventory_List_Table34111510911131718[[#This Row],[Q]]&lt;0.1, " ", Inventory_List_Table34111510911131718[[#This Row],[KG]]*2.20462)</f>
        <v xml:space="preserve"> </v>
      </c>
      <c r="O55" s="35" t="str">
        <f>IF(Inventory_List_Table34111510911131718[[#This Row],[Q]]&lt;0.1, " ",Inventory_List_Table34111510911131718[[#This Row],[H CM]]/2.54)</f>
        <v xml:space="preserve"> </v>
      </c>
      <c r="P55" s="35" t="str">
        <f>IF(Inventory_List_Table34111510911131718[[#This Row],[Q]]&lt;0.1, " ",Inventory_List_Table34111510911131718[[#This Row],[W CM]]/2.54)</f>
        <v xml:space="preserve"> </v>
      </c>
      <c r="Q55" s="35" t="str">
        <f>IF(Inventory_List_Table34111510911131718[[#This Row],[Q]]&lt;0.1, " ",Inventory_List_Table34111510911131718[[#This Row],[D CM ]]/2.54)</f>
        <v xml:space="preserve"> </v>
      </c>
      <c r="R55" s="30" t="str">
        <f>IF(Inventory_List_Table34111510911131718[[#This Row],[Q]]&lt;0.1, " ",Inventory_List_Table34111510911131718[[#This Row],[PRICE]]/$L$1)</f>
        <v xml:space="preserve"> </v>
      </c>
      <c r="S5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5" s="30" t="str">
        <f>IF(Inventory_List_Table34111510911131718[[#This Row],[Q]]&lt;0.1, " ",Inventory_List_Table34111510911131718[[#This Row],[AQ RND USD]]*1.4)</f>
        <v xml:space="preserve"> </v>
      </c>
      <c r="U5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5" s="30" t="str">
        <f>IF(Inventory_List_Table34111510911131718[[#This Row],[Q]]&lt;0.1, " ",Inventory_List_Table34111510911131718[[#This Row],[LND RND USD]]*12)</f>
        <v xml:space="preserve"> </v>
      </c>
      <c r="W55" s="30" t="str">
        <f>IF(Inventory_List_Table34111510911131718[[#This Row],[Q]]&lt;0.1, " ",Inventory_List_Table34111510911131718[[#This Row],[AQ USD]])</f>
        <v xml:space="preserve"> </v>
      </c>
      <c r="X5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5" s="30" t="str">
        <f>IF(Inventory_List_Table34111510911131718[[#This Row],[Q]]&lt;0.1, " ",Inventory_List_Table34111510911131718[[#This Row],[PRICE]]/Z55*10000)</f>
        <v xml:space="preserve"> </v>
      </c>
      <c r="AB55" s="220"/>
      <c r="AC55" s="1"/>
      <c r="AD55" s="1"/>
    </row>
    <row r="56" spans="1:30" ht="24" customHeight="1" x14ac:dyDescent="0.3">
      <c r="A56" s="210">
        <v>54</v>
      </c>
      <c r="B56" s="1"/>
      <c r="C56" s="213"/>
      <c r="D56" s="213"/>
      <c r="E56" s="213"/>
      <c r="F56" s="38" t="str">
        <f>IF(Inventory_List_Table34111510911131718[[#This Row],[Q]]&lt;0.1, " ",#REF!&amp;$D$1&amp;#REF!&amp;Inventory_List_Table34111510911131718[[#This Row],[NOTES]])</f>
        <v xml:space="preserve"> </v>
      </c>
      <c r="G56" s="216"/>
      <c r="H56" s="216"/>
      <c r="I56" s="216"/>
      <c r="J56" s="216"/>
      <c r="K56" s="216"/>
      <c r="L56" s="218"/>
      <c r="M5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6" s="35" t="str">
        <f>IF(Inventory_List_Table34111510911131718[[#This Row],[Q]]&lt;0.1, " ", Inventory_List_Table34111510911131718[[#This Row],[KG]]*2.20462)</f>
        <v xml:space="preserve"> </v>
      </c>
      <c r="O56" s="35" t="str">
        <f>IF(Inventory_List_Table34111510911131718[[#This Row],[Q]]&lt;0.1, " ",Inventory_List_Table34111510911131718[[#This Row],[H CM]]/2.54)</f>
        <v xml:space="preserve"> </v>
      </c>
      <c r="P56" s="35" t="str">
        <f>IF(Inventory_List_Table34111510911131718[[#This Row],[Q]]&lt;0.1, " ",Inventory_List_Table34111510911131718[[#This Row],[W CM]]/2.54)</f>
        <v xml:space="preserve"> </v>
      </c>
      <c r="Q56" s="35" t="str">
        <f>IF(Inventory_List_Table34111510911131718[[#This Row],[Q]]&lt;0.1, " ",Inventory_List_Table34111510911131718[[#This Row],[D CM ]]/2.54)</f>
        <v xml:space="preserve"> </v>
      </c>
      <c r="R56" s="30" t="str">
        <f>IF(Inventory_List_Table34111510911131718[[#This Row],[Q]]&lt;0.1, " ",Inventory_List_Table34111510911131718[[#This Row],[PRICE]]/$L$1)</f>
        <v xml:space="preserve"> </v>
      </c>
      <c r="S5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6" s="30" t="str">
        <f>IF(Inventory_List_Table34111510911131718[[#This Row],[Q]]&lt;0.1, " ",Inventory_List_Table34111510911131718[[#This Row],[AQ RND USD]]*1.4)</f>
        <v xml:space="preserve"> </v>
      </c>
      <c r="U5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6" s="30" t="str">
        <f>IF(Inventory_List_Table34111510911131718[[#This Row],[Q]]&lt;0.1, " ",Inventory_List_Table34111510911131718[[#This Row],[LND RND USD]]*12)</f>
        <v xml:space="preserve"> </v>
      </c>
      <c r="W56" s="30" t="str">
        <f>IF(Inventory_List_Table34111510911131718[[#This Row],[Q]]&lt;0.1, " ",Inventory_List_Table34111510911131718[[#This Row],[AQ USD]])</f>
        <v xml:space="preserve"> </v>
      </c>
      <c r="X5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6" s="30" t="str">
        <f>IF(Inventory_List_Table34111510911131718[[#This Row],[Q]]&lt;0.1, " ",Inventory_List_Table34111510911131718[[#This Row],[PRICE]]/Z56*10000)</f>
        <v xml:space="preserve"> </v>
      </c>
      <c r="AB56" s="220"/>
      <c r="AC56" s="1"/>
      <c r="AD56" s="1"/>
    </row>
    <row r="57" spans="1:30" ht="24" customHeight="1" x14ac:dyDescent="0.3">
      <c r="A57" s="210">
        <v>55</v>
      </c>
      <c r="B57" s="1"/>
      <c r="C57" s="213"/>
      <c r="D57" s="213"/>
      <c r="E57" s="213"/>
      <c r="F57" s="38" t="str">
        <f>IF(Inventory_List_Table34111510911131718[[#This Row],[Q]]&lt;0.1, " ",#REF!&amp;$D$1&amp;#REF!&amp;Inventory_List_Table34111510911131718[[#This Row],[NOTES]])</f>
        <v xml:space="preserve"> </v>
      </c>
      <c r="G57" s="216"/>
      <c r="H57" s="216"/>
      <c r="I57" s="216"/>
      <c r="J57" s="216"/>
      <c r="K57" s="216"/>
      <c r="L57" s="218"/>
      <c r="M5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7" s="35" t="str">
        <f>IF(Inventory_List_Table34111510911131718[[#This Row],[Q]]&lt;0.1, " ", Inventory_List_Table34111510911131718[[#This Row],[KG]]*2.20462)</f>
        <v xml:space="preserve"> </v>
      </c>
      <c r="O57" s="35" t="str">
        <f>IF(Inventory_List_Table34111510911131718[[#This Row],[Q]]&lt;0.1, " ",Inventory_List_Table34111510911131718[[#This Row],[H CM]]/2.54)</f>
        <v xml:space="preserve"> </v>
      </c>
      <c r="P57" s="35" t="str">
        <f>IF(Inventory_List_Table34111510911131718[[#This Row],[Q]]&lt;0.1, " ",Inventory_List_Table34111510911131718[[#This Row],[W CM]]/2.54)</f>
        <v xml:space="preserve"> </v>
      </c>
      <c r="Q57" s="35" t="str">
        <f>IF(Inventory_List_Table34111510911131718[[#This Row],[Q]]&lt;0.1, " ",Inventory_List_Table34111510911131718[[#This Row],[D CM ]]/2.54)</f>
        <v xml:space="preserve"> </v>
      </c>
      <c r="R57" s="30" t="str">
        <f>IF(Inventory_List_Table34111510911131718[[#This Row],[Q]]&lt;0.1, " ",Inventory_List_Table34111510911131718[[#This Row],[PRICE]]/$L$1)</f>
        <v xml:space="preserve"> </v>
      </c>
      <c r="S5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7" s="30" t="str">
        <f>IF(Inventory_List_Table34111510911131718[[#This Row],[Q]]&lt;0.1, " ",Inventory_List_Table34111510911131718[[#This Row],[AQ RND USD]]*1.4)</f>
        <v xml:space="preserve"> </v>
      </c>
      <c r="U5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7" s="30" t="str">
        <f>IF(Inventory_List_Table34111510911131718[[#This Row],[Q]]&lt;0.1, " ",Inventory_List_Table34111510911131718[[#This Row],[LND RND USD]]*12)</f>
        <v xml:space="preserve"> </v>
      </c>
      <c r="W57" s="30" t="str">
        <f>IF(Inventory_List_Table34111510911131718[[#This Row],[Q]]&lt;0.1, " ",Inventory_List_Table34111510911131718[[#This Row],[AQ USD]])</f>
        <v xml:space="preserve"> </v>
      </c>
      <c r="X5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7" s="30" t="str">
        <f>IF(Inventory_List_Table34111510911131718[[#This Row],[Q]]&lt;0.1, " ",Inventory_List_Table34111510911131718[[#This Row],[PRICE]]/Z57*10000)</f>
        <v xml:space="preserve"> </v>
      </c>
      <c r="AB57" s="220"/>
      <c r="AC57" s="1"/>
      <c r="AD57" s="1"/>
    </row>
    <row r="58" spans="1:30" ht="24" customHeight="1" x14ac:dyDescent="0.3">
      <c r="A58" s="210">
        <v>56</v>
      </c>
      <c r="B58" s="1"/>
      <c r="C58" s="213"/>
      <c r="D58" s="213"/>
      <c r="E58" s="213"/>
      <c r="F58" s="38" t="str">
        <f>IF(Inventory_List_Table34111510911131718[[#This Row],[Q]]&lt;0.1, " ",#REF!&amp;$D$1&amp;#REF!&amp;Inventory_List_Table34111510911131718[[#This Row],[NOTES]])</f>
        <v xml:space="preserve"> </v>
      </c>
      <c r="G58" s="216"/>
      <c r="H58" s="216"/>
      <c r="I58" s="216"/>
      <c r="J58" s="216"/>
      <c r="K58" s="216"/>
      <c r="L58" s="218"/>
      <c r="M5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8" s="35" t="str">
        <f>IF(Inventory_List_Table34111510911131718[[#This Row],[Q]]&lt;0.1, " ", Inventory_List_Table34111510911131718[[#This Row],[KG]]*2.20462)</f>
        <v xml:space="preserve"> </v>
      </c>
      <c r="O58" s="35" t="str">
        <f>IF(Inventory_List_Table34111510911131718[[#This Row],[Q]]&lt;0.1, " ",Inventory_List_Table34111510911131718[[#This Row],[H CM]]/2.54)</f>
        <v xml:space="preserve"> </v>
      </c>
      <c r="P58" s="35" t="str">
        <f>IF(Inventory_List_Table34111510911131718[[#This Row],[Q]]&lt;0.1, " ",Inventory_List_Table34111510911131718[[#This Row],[W CM]]/2.54)</f>
        <v xml:space="preserve"> </v>
      </c>
      <c r="Q58" s="35" t="str">
        <f>IF(Inventory_List_Table34111510911131718[[#This Row],[Q]]&lt;0.1, " ",Inventory_List_Table34111510911131718[[#This Row],[D CM ]]/2.54)</f>
        <v xml:space="preserve"> </v>
      </c>
      <c r="R58" s="30" t="str">
        <f>IF(Inventory_List_Table34111510911131718[[#This Row],[Q]]&lt;0.1, " ",Inventory_List_Table34111510911131718[[#This Row],[PRICE]]/$L$1)</f>
        <v xml:space="preserve"> </v>
      </c>
      <c r="S5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8" s="30" t="str">
        <f>IF(Inventory_List_Table34111510911131718[[#This Row],[Q]]&lt;0.1, " ",Inventory_List_Table34111510911131718[[#This Row],[AQ RND USD]]*1.4)</f>
        <v xml:space="preserve"> </v>
      </c>
      <c r="U5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8" s="30" t="str">
        <f>IF(Inventory_List_Table34111510911131718[[#This Row],[Q]]&lt;0.1, " ",Inventory_List_Table34111510911131718[[#This Row],[LND RND USD]]*12)</f>
        <v xml:space="preserve"> </v>
      </c>
      <c r="W58" s="30" t="str">
        <f>IF(Inventory_List_Table34111510911131718[[#This Row],[Q]]&lt;0.1, " ",Inventory_List_Table34111510911131718[[#This Row],[AQ USD]])</f>
        <v xml:space="preserve"> </v>
      </c>
      <c r="X5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8" s="30" t="str">
        <f>IF(Inventory_List_Table34111510911131718[[#This Row],[Q]]&lt;0.1, " ",Inventory_List_Table34111510911131718[[#This Row],[PRICE]]/Z58*10000)</f>
        <v xml:space="preserve"> </v>
      </c>
      <c r="AB58" s="220"/>
      <c r="AC58" s="1"/>
      <c r="AD58" s="1"/>
    </row>
    <row r="59" spans="1:30" ht="24" customHeight="1" x14ac:dyDescent="0.3">
      <c r="A59" s="210">
        <v>57</v>
      </c>
      <c r="B59" s="1"/>
      <c r="C59" s="213"/>
      <c r="D59" s="213"/>
      <c r="E59" s="213"/>
      <c r="F59" s="38" t="str">
        <f>IF(Inventory_List_Table34111510911131718[[#This Row],[Q]]&lt;0.1, " ",#REF!&amp;$D$1&amp;#REF!&amp;Inventory_List_Table34111510911131718[[#This Row],[NOTES]])</f>
        <v xml:space="preserve"> </v>
      </c>
      <c r="G59" s="216"/>
      <c r="H59" s="216"/>
      <c r="I59" s="216"/>
      <c r="J59" s="216"/>
      <c r="K59" s="216"/>
      <c r="L59" s="218"/>
      <c r="M5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59" s="35" t="str">
        <f>IF(Inventory_List_Table34111510911131718[[#This Row],[Q]]&lt;0.1, " ", Inventory_List_Table34111510911131718[[#This Row],[KG]]*2.20462)</f>
        <v xml:space="preserve"> </v>
      </c>
      <c r="O59" s="35" t="str">
        <f>IF(Inventory_List_Table34111510911131718[[#This Row],[Q]]&lt;0.1, " ",Inventory_List_Table34111510911131718[[#This Row],[H CM]]/2.54)</f>
        <v xml:space="preserve"> </v>
      </c>
      <c r="P59" s="35" t="str">
        <f>IF(Inventory_List_Table34111510911131718[[#This Row],[Q]]&lt;0.1, " ",Inventory_List_Table34111510911131718[[#This Row],[W CM]]/2.54)</f>
        <v xml:space="preserve"> </v>
      </c>
      <c r="Q59" s="35" t="str">
        <f>IF(Inventory_List_Table34111510911131718[[#This Row],[Q]]&lt;0.1, " ",Inventory_List_Table34111510911131718[[#This Row],[D CM ]]/2.54)</f>
        <v xml:space="preserve"> </v>
      </c>
      <c r="R59" s="30" t="str">
        <f>IF(Inventory_List_Table34111510911131718[[#This Row],[Q]]&lt;0.1, " ",Inventory_List_Table34111510911131718[[#This Row],[PRICE]]/$L$1)</f>
        <v xml:space="preserve"> </v>
      </c>
      <c r="S5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59" s="30" t="str">
        <f>IF(Inventory_List_Table34111510911131718[[#This Row],[Q]]&lt;0.1, " ",Inventory_List_Table34111510911131718[[#This Row],[AQ RND USD]]*1.4)</f>
        <v xml:space="preserve"> </v>
      </c>
      <c r="U5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59" s="30" t="str">
        <f>IF(Inventory_List_Table34111510911131718[[#This Row],[Q]]&lt;0.1, " ",Inventory_List_Table34111510911131718[[#This Row],[LND RND USD]]*12)</f>
        <v xml:space="preserve"> </v>
      </c>
      <c r="W59" s="30" t="str">
        <f>IF(Inventory_List_Table34111510911131718[[#This Row],[Q]]&lt;0.1, " ",Inventory_List_Table34111510911131718[[#This Row],[AQ USD]])</f>
        <v xml:space="preserve"> </v>
      </c>
      <c r="X5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5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5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59" s="30" t="str">
        <f>IF(Inventory_List_Table34111510911131718[[#This Row],[Q]]&lt;0.1, " ",Inventory_List_Table34111510911131718[[#This Row],[PRICE]]/Z59*10000)</f>
        <v xml:space="preserve"> </v>
      </c>
      <c r="AB59" s="220"/>
      <c r="AC59" s="1"/>
      <c r="AD59" s="1"/>
    </row>
    <row r="60" spans="1:30" ht="24" customHeight="1" x14ac:dyDescent="0.3">
      <c r="A60" s="210">
        <v>58</v>
      </c>
      <c r="B60" s="1"/>
      <c r="C60" s="213"/>
      <c r="D60" s="213"/>
      <c r="E60" s="213"/>
      <c r="F60" s="38" t="str">
        <f>IF(Inventory_List_Table34111510911131718[[#This Row],[Q]]&lt;0.1, " ",#REF!&amp;$D$1&amp;#REF!&amp;Inventory_List_Table34111510911131718[[#This Row],[NOTES]])</f>
        <v xml:space="preserve"> </v>
      </c>
      <c r="G60" s="216"/>
      <c r="H60" s="216"/>
      <c r="I60" s="216"/>
      <c r="J60" s="216"/>
      <c r="K60" s="216"/>
      <c r="L60" s="218"/>
      <c r="M6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0" s="35" t="str">
        <f>IF(Inventory_List_Table34111510911131718[[#This Row],[Q]]&lt;0.1, " ", Inventory_List_Table34111510911131718[[#This Row],[KG]]*2.20462)</f>
        <v xml:space="preserve"> </v>
      </c>
      <c r="O60" s="35" t="str">
        <f>IF(Inventory_List_Table34111510911131718[[#This Row],[Q]]&lt;0.1, " ",Inventory_List_Table34111510911131718[[#This Row],[H CM]]/2.54)</f>
        <v xml:space="preserve"> </v>
      </c>
      <c r="P60" s="35" t="str">
        <f>IF(Inventory_List_Table34111510911131718[[#This Row],[Q]]&lt;0.1, " ",Inventory_List_Table34111510911131718[[#This Row],[W CM]]/2.54)</f>
        <v xml:space="preserve"> </v>
      </c>
      <c r="Q60" s="35" t="str">
        <f>IF(Inventory_List_Table34111510911131718[[#This Row],[Q]]&lt;0.1, " ",Inventory_List_Table34111510911131718[[#This Row],[D CM ]]/2.54)</f>
        <v xml:space="preserve"> </v>
      </c>
      <c r="R60" s="30" t="str">
        <f>IF(Inventory_List_Table34111510911131718[[#This Row],[Q]]&lt;0.1, " ",Inventory_List_Table34111510911131718[[#This Row],[PRICE]]/$L$1)</f>
        <v xml:space="preserve"> </v>
      </c>
      <c r="S6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0" s="30" t="str">
        <f>IF(Inventory_List_Table34111510911131718[[#This Row],[Q]]&lt;0.1, " ",Inventory_List_Table34111510911131718[[#This Row],[AQ RND USD]]*1.4)</f>
        <v xml:space="preserve"> </v>
      </c>
      <c r="U6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0" s="30" t="str">
        <f>IF(Inventory_List_Table34111510911131718[[#This Row],[Q]]&lt;0.1, " ",Inventory_List_Table34111510911131718[[#This Row],[LND RND USD]]*12)</f>
        <v xml:space="preserve"> </v>
      </c>
      <c r="W60" s="30" t="str">
        <f>IF(Inventory_List_Table34111510911131718[[#This Row],[Q]]&lt;0.1, " ",Inventory_List_Table34111510911131718[[#This Row],[AQ USD]])</f>
        <v xml:space="preserve"> </v>
      </c>
      <c r="X6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0" s="30" t="str">
        <f>IF(Inventory_List_Table34111510911131718[[#This Row],[Q]]&lt;0.1, " ",Inventory_List_Table34111510911131718[[#This Row],[PRICE]]/Z60*10000)</f>
        <v xml:space="preserve"> </v>
      </c>
      <c r="AB60" s="220"/>
      <c r="AC60" s="1"/>
      <c r="AD60" s="1"/>
    </row>
    <row r="61" spans="1:30" ht="24" customHeight="1" x14ac:dyDescent="0.3">
      <c r="A61" s="210">
        <v>59</v>
      </c>
      <c r="B61" s="1"/>
      <c r="C61" s="213"/>
      <c r="D61" s="213"/>
      <c r="E61" s="213"/>
      <c r="F61" s="38" t="str">
        <f>IF(Inventory_List_Table34111510911131718[[#This Row],[Q]]&lt;0.1, " ",#REF!&amp;$D$1&amp;#REF!&amp;Inventory_List_Table34111510911131718[[#This Row],[NOTES]])</f>
        <v xml:space="preserve"> </v>
      </c>
      <c r="G61" s="216"/>
      <c r="H61" s="216"/>
      <c r="I61" s="216"/>
      <c r="J61" s="216"/>
      <c r="K61" s="216"/>
      <c r="L61" s="218"/>
      <c r="M6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1" s="35" t="str">
        <f>IF(Inventory_List_Table34111510911131718[[#This Row],[Q]]&lt;0.1, " ", Inventory_List_Table34111510911131718[[#This Row],[KG]]*2.20462)</f>
        <v xml:space="preserve"> </v>
      </c>
      <c r="O61" s="35" t="str">
        <f>IF(Inventory_List_Table34111510911131718[[#This Row],[Q]]&lt;0.1, " ",Inventory_List_Table34111510911131718[[#This Row],[H CM]]/2.54)</f>
        <v xml:space="preserve"> </v>
      </c>
      <c r="P61" s="35" t="str">
        <f>IF(Inventory_List_Table34111510911131718[[#This Row],[Q]]&lt;0.1, " ",Inventory_List_Table34111510911131718[[#This Row],[W CM]]/2.54)</f>
        <v xml:space="preserve"> </v>
      </c>
      <c r="Q61" s="35" t="str">
        <f>IF(Inventory_List_Table34111510911131718[[#This Row],[Q]]&lt;0.1, " ",Inventory_List_Table34111510911131718[[#This Row],[D CM ]]/2.54)</f>
        <v xml:space="preserve"> </v>
      </c>
      <c r="R61" s="30" t="str">
        <f>IF(Inventory_List_Table34111510911131718[[#This Row],[Q]]&lt;0.1, " ",Inventory_List_Table34111510911131718[[#This Row],[PRICE]]/$L$1)</f>
        <v xml:space="preserve"> </v>
      </c>
      <c r="S6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1" s="30" t="str">
        <f>IF(Inventory_List_Table34111510911131718[[#This Row],[Q]]&lt;0.1, " ",Inventory_List_Table34111510911131718[[#This Row],[AQ RND USD]]*1.4)</f>
        <v xml:space="preserve"> </v>
      </c>
      <c r="U6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1" s="30" t="str">
        <f>IF(Inventory_List_Table34111510911131718[[#This Row],[Q]]&lt;0.1, " ",Inventory_List_Table34111510911131718[[#This Row],[LND RND USD]]*12)</f>
        <v xml:space="preserve"> </v>
      </c>
      <c r="W61" s="30" t="str">
        <f>IF(Inventory_List_Table34111510911131718[[#This Row],[Q]]&lt;0.1, " ",Inventory_List_Table34111510911131718[[#This Row],[AQ USD]])</f>
        <v xml:space="preserve"> </v>
      </c>
      <c r="X6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1" s="30" t="str">
        <f>IF(Inventory_List_Table34111510911131718[[#This Row],[Q]]&lt;0.1, " ",Inventory_List_Table34111510911131718[[#This Row],[PRICE]]/Z61*10000)</f>
        <v xml:space="preserve"> </v>
      </c>
      <c r="AB61" s="220"/>
      <c r="AC61" s="1"/>
      <c r="AD61" s="1"/>
    </row>
    <row r="62" spans="1:30" ht="24" customHeight="1" x14ac:dyDescent="0.3">
      <c r="A62" s="210">
        <v>60</v>
      </c>
      <c r="B62" s="1"/>
      <c r="C62" s="213"/>
      <c r="D62" s="213"/>
      <c r="E62" s="213"/>
      <c r="F62" s="38" t="str">
        <f>IF(Inventory_List_Table34111510911131718[[#This Row],[Q]]&lt;0.1, " ",#REF!&amp;$D$1&amp;#REF!&amp;Inventory_List_Table34111510911131718[[#This Row],[NOTES]])</f>
        <v xml:space="preserve"> </v>
      </c>
      <c r="G62" s="216"/>
      <c r="H62" s="216"/>
      <c r="I62" s="216"/>
      <c r="J62" s="216"/>
      <c r="K62" s="216"/>
      <c r="L62" s="218"/>
      <c r="M6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2" s="35" t="str">
        <f>IF(Inventory_List_Table34111510911131718[[#This Row],[Q]]&lt;0.1, " ", Inventory_List_Table34111510911131718[[#This Row],[KG]]*2.20462)</f>
        <v xml:space="preserve"> </v>
      </c>
      <c r="O62" s="35" t="str">
        <f>IF(Inventory_List_Table34111510911131718[[#This Row],[Q]]&lt;0.1, " ",Inventory_List_Table34111510911131718[[#This Row],[H CM]]/2.54)</f>
        <v xml:space="preserve"> </v>
      </c>
      <c r="P62" s="35" t="str">
        <f>IF(Inventory_List_Table34111510911131718[[#This Row],[Q]]&lt;0.1, " ",Inventory_List_Table34111510911131718[[#This Row],[W CM]]/2.54)</f>
        <v xml:space="preserve"> </v>
      </c>
      <c r="Q62" s="35" t="str">
        <f>IF(Inventory_List_Table34111510911131718[[#This Row],[Q]]&lt;0.1, " ",Inventory_List_Table34111510911131718[[#This Row],[D CM ]]/2.54)</f>
        <v xml:space="preserve"> </v>
      </c>
      <c r="R62" s="30" t="str">
        <f>IF(Inventory_List_Table34111510911131718[[#This Row],[Q]]&lt;0.1, " ",Inventory_List_Table34111510911131718[[#This Row],[PRICE]]/$L$1)</f>
        <v xml:space="preserve"> </v>
      </c>
      <c r="S6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2" s="30" t="str">
        <f>IF(Inventory_List_Table34111510911131718[[#This Row],[Q]]&lt;0.1, " ",Inventory_List_Table34111510911131718[[#This Row],[AQ RND USD]]*1.4)</f>
        <v xml:space="preserve"> </v>
      </c>
      <c r="U6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2" s="30" t="str">
        <f>IF(Inventory_List_Table34111510911131718[[#This Row],[Q]]&lt;0.1, " ",Inventory_List_Table34111510911131718[[#This Row],[LND RND USD]]*12)</f>
        <v xml:space="preserve"> </v>
      </c>
      <c r="W62" s="30" t="str">
        <f>IF(Inventory_List_Table34111510911131718[[#This Row],[Q]]&lt;0.1, " ",Inventory_List_Table34111510911131718[[#This Row],[AQ USD]])</f>
        <v xml:space="preserve"> </v>
      </c>
      <c r="X6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2" s="30" t="str">
        <f>IF(Inventory_List_Table34111510911131718[[#This Row],[Q]]&lt;0.1, " ",Inventory_List_Table34111510911131718[[#This Row],[PRICE]]/Z62*10000)</f>
        <v xml:space="preserve"> </v>
      </c>
      <c r="AB62" s="220"/>
      <c r="AC62" s="1"/>
      <c r="AD62" s="1"/>
    </row>
    <row r="63" spans="1:30" ht="24" customHeight="1" x14ac:dyDescent="0.3">
      <c r="A63" s="210">
        <v>61</v>
      </c>
      <c r="B63" s="1"/>
      <c r="C63" s="213"/>
      <c r="D63" s="213"/>
      <c r="E63" s="213"/>
      <c r="F63" s="38" t="str">
        <f>IF(Inventory_List_Table34111510911131718[[#This Row],[Q]]&lt;0.1, " ",#REF!&amp;$D$1&amp;#REF!&amp;Inventory_List_Table34111510911131718[[#This Row],[NOTES]])</f>
        <v xml:space="preserve"> </v>
      </c>
      <c r="G63" s="216"/>
      <c r="H63" s="216"/>
      <c r="I63" s="216"/>
      <c r="J63" s="216"/>
      <c r="K63" s="216"/>
      <c r="L63" s="218"/>
      <c r="M6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3" s="35" t="str">
        <f>IF(Inventory_List_Table34111510911131718[[#This Row],[Q]]&lt;0.1, " ", Inventory_List_Table34111510911131718[[#This Row],[KG]]*2.20462)</f>
        <v xml:space="preserve"> </v>
      </c>
      <c r="O63" s="35" t="str">
        <f>IF(Inventory_List_Table34111510911131718[[#This Row],[Q]]&lt;0.1, " ",Inventory_List_Table34111510911131718[[#This Row],[H CM]]/2.54)</f>
        <v xml:space="preserve"> </v>
      </c>
      <c r="P63" s="35" t="str">
        <f>IF(Inventory_List_Table34111510911131718[[#This Row],[Q]]&lt;0.1, " ",Inventory_List_Table34111510911131718[[#This Row],[W CM]]/2.54)</f>
        <v xml:space="preserve"> </v>
      </c>
      <c r="Q63" s="35" t="str">
        <f>IF(Inventory_List_Table34111510911131718[[#This Row],[Q]]&lt;0.1, " ",Inventory_List_Table34111510911131718[[#This Row],[D CM ]]/2.54)</f>
        <v xml:space="preserve"> </v>
      </c>
      <c r="R63" s="30" t="str">
        <f>IF(Inventory_List_Table34111510911131718[[#This Row],[Q]]&lt;0.1, " ",Inventory_List_Table34111510911131718[[#This Row],[PRICE]]/$L$1)</f>
        <v xml:space="preserve"> </v>
      </c>
      <c r="S6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3" s="30" t="str">
        <f>IF(Inventory_List_Table34111510911131718[[#This Row],[Q]]&lt;0.1, " ",Inventory_List_Table34111510911131718[[#This Row],[AQ RND USD]]*1.4)</f>
        <v xml:space="preserve"> </v>
      </c>
      <c r="U6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3" s="30" t="str">
        <f>IF(Inventory_List_Table34111510911131718[[#This Row],[Q]]&lt;0.1, " ",Inventory_List_Table34111510911131718[[#This Row],[LND RND USD]]*12)</f>
        <v xml:space="preserve"> </v>
      </c>
      <c r="W63" s="30" t="str">
        <f>IF(Inventory_List_Table34111510911131718[[#This Row],[Q]]&lt;0.1, " ",Inventory_List_Table34111510911131718[[#This Row],[AQ USD]])</f>
        <v xml:space="preserve"> </v>
      </c>
      <c r="X6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3" s="30" t="str">
        <f>IF(Inventory_List_Table34111510911131718[[#This Row],[Q]]&lt;0.1, " ",Inventory_List_Table34111510911131718[[#This Row],[PRICE]]/Z63*10000)</f>
        <v xml:space="preserve"> </v>
      </c>
      <c r="AB63" s="220"/>
      <c r="AC63" s="1"/>
      <c r="AD63" s="1"/>
    </row>
    <row r="64" spans="1:30" ht="24" customHeight="1" x14ac:dyDescent="0.3">
      <c r="A64" s="210">
        <v>62</v>
      </c>
      <c r="B64" s="1"/>
      <c r="C64" s="213"/>
      <c r="D64" s="213"/>
      <c r="E64" s="213"/>
      <c r="F64" s="38" t="str">
        <f>IF(Inventory_List_Table34111510911131718[[#This Row],[Q]]&lt;0.1, " ",#REF!&amp;$D$1&amp;#REF!&amp;Inventory_List_Table34111510911131718[[#This Row],[NOTES]])</f>
        <v xml:space="preserve"> </v>
      </c>
      <c r="G64" s="216"/>
      <c r="H64" s="216"/>
      <c r="I64" s="216"/>
      <c r="J64" s="216"/>
      <c r="K64" s="216"/>
      <c r="L64" s="218"/>
      <c r="M6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4" s="35" t="str">
        <f>IF(Inventory_List_Table34111510911131718[[#This Row],[Q]]&lt;0.1, " ", Inventory_List_Table34111510911131718[[#This Row],[KG]]*2.20462)</f>
        <v xml:space="preserve"> </v>
      </c>
      <c r="O64" s="35" t="str">
        <f>IF(Inventory_List_Table34111510911131718[[#This Row],[Q]]&lt;0.1, " ",Inventory_List_Table34111510911131718[[#This Row],[H CM]]/2.54)</f>
        <v xml:space="preserve"> </v>
      </c>
      <c r="P64" s="35" t="str">
        <f>IF(Inventory_List_Table34111510911131718[[#This Row],[Q]]&lt;0.1, " ",Inventory_List_Table34111510911131718[[#This Row],[W CM]]/2.54)</f>
        <v xml:space="preserve"> </v>
      </c>
      <c r="Q64" s="35" t="str">
        <f>IF(Inventory_List_Table34111510911131718[[#This Row],[Q]]&lt;0.1, " ",Inventory_List_Table34111510911131718[[#This Row],[D CM ]]/2.54)</f>
        <v xml:space="preserve"> </v>
      </c>
      <c r="R64" s="30" t="str">
        <f>IF(Inventory_List_Table34111510911131718[[#This Row],[Q]]&lt;0.1, " ",Inventory_List_Table34111510911131718[[#This Row],[PRICE]]/$L$1)</f>
        <v xml:space="preserve"> </v>
      </c>
      <c r="S6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4" s="30" t="str">
        <f>IF(Inventory_List_Table34111510911131718[[#This Row],[Q]]&lt;0.1, " ",Inventory_List_Table34111510911131718[[#This Row],[AQ RND USD]]*1.4)</f>
        <v xml:space="preserve"> </v>
      </c>
      <c r="U6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4" s="30" t="str">
        <f>IF(Inventory_List_Table34111510911131718[[#This Row],[Q]]&lt;0.1, " ",Inventory_List_Table34111510911131718[[#This Row],[LND RND USD]]*12)</f>
        <v xml:space="preserve"> </v>
      </c>
      <c r="W64" s="30" t="str">
        <f>IF(Inventory_List_Table34111510911131718[[#This Row],[Q]]&lt;0.1, " ",Inventory_List_Table34111510911131718[[#This Row],[AQ USD]])</f>
        <v xml:space="preserve"> </v>
      </c>
      <c r="X6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4" s="30" t="str">
        <f>IF(Inventory_List_Table34111510911131718[[#This Row],[Q]]&lt;0.1, " ",Inventory_List_Table34111510911131718[[#This Row],[PRICE]]/Z64*10000)</f>
        <v xml:space="preserve"> </v>
      </c>
      <c r="AB64" s="220"/>
      <c r="AC64" s="1"/>
      <c r="AD64" s="1"/>
    </row>
    <row r="65" spans="1:30" ht="24" customHeight="1" x14ac:dyDescent="0.3">
      <c r="A65" s="210">
        <v>63</v>
      </c>
      <c r="B65" s="1"/>
      <c r="C65" s="213"/>
      <c r="D65" s="213"/>
      <c r="E65" s="213"/>
      <c r="F65" s="38" t="str">
        <f>IF(Inventory_List_Table34111510911131718[[#This Row],[Q]]&lt;0.1, " ",#REF!&amp;$D$1&amp;#REF!&amp;Inventory_List_Table34111510911131718[[#This Row],[NOTES]])</f>
        <v xml:space="preserve"> </v>
      </c>
      <c r="G65" s="216"/>
      <c r="H65" s="216"/>
      <c r="I65" s="216"/>
      <c r="J65" s="216"/>
      <c r="K65" s="216"/>
      <c r="L65" s="218"/>
      <c r="M6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5" s="35" t="str">
        <f>IF(Inventory_List_Table34111510911131718[[#This Row],[Q]]&lt;0.1, " ", Inventory_List_Table34111510911131718[[#This Row],[KG]]*2.20462)</f>
        <v xml:space="preserve"> </v>
      </c>
      <c r="O65" s="35" t="str">
        <f>IF(Inventory_List_Table34111510911131718[[#This Row],[Q]]&lt;0.1, " ",Inventory_List_Table34111510911131718[[#This Row],[H CM]]/2.54)</f>
        <v xml:space="preserve"> </v>
      </c>
      <c r="P65" s="35" t="str">
        <f>IF(Inventory_List_Table34111510911131718[[#This Row],[Q]]&lt;0.1, " ",Inventory_List_Table34111510911131718[[#This Row],[W CM]]/2.54)</f>
        <v xml:space="preserve"> </v>
      </c>
      <c r="Q65" s="35" t="str">
        <f>IF(Inventory_List_Table34111510911131718[[#This Row],[Q]]&lt;0.1, " ",Inventory_List_Table34111510911131718[[#This Row],[D CM ]]/2.54)</f>
        <v xml:space="preserve"> </v>
      </c>
      <c r="R65" s="30" t="str">
        <f>IF(Inventory_List_Table34111510911131718[[#This Row],[Q]]&lt;0.1, " ",Inventory_List_Table34111510911131718[[#This Row],[PRICE]]/$L$1)</f>
        <v xml:space="preserve"> </v>
      </c>
      <c r="S6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5" s="30" t="str">
        <f>IF(Inventory_List_Table34111510911131718[[#This Row],[Q]]&lt;0.1, " ",Inventory_List_Table34111510911131718[[#This Row],[AQ RND USD]]*1.4)</f>
        <v xml:space="preserve"> </v>
      </c>
      <c r="U6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5" s="30" t="str">
        <f>IF(Inventory_List_Table34111510911131718[[#This Row],[Q]]&lt;0.1, " ",Inventory_List_Table34111510911131718[[#This Row],[LND RND USD]]*12)</f>
        <v xml:space="preserve"> </v>
      </c>
      <c r="W65" s="30" t="str">
        <f>IF(Inventory_List_Table34111510911131718[[#This Row],[Q]]&lt;0.1, " ",Inventory_List_Table34111510911131718[[#This Row],[AQ USD]])</f>
        <v xml:space="preserve"> </v>
      </c>
      <c r="X6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5" s="30" t="str">
        <f>IF(Inventory_List_Table34111510911131718[[#This Row],[Q]]&lt;0.1, " ",Inventory_List_Table34111510911131718[[#This Row],[PRICE]]/Z65*10000)</f>
        <v xml:space="preserve"> </v>
      </c>
      <c r="AB65" s="220"/>
      <c r="AC65" s="1"/>
      <c r="AD65" s="1"/>
    </row>
    <row r="66" spans="1:30" ht="24" customHeight="1" x14ac:dyDescent="0.3">
      <c r="A66" s="210">
        <v>64</v>
      </c>
      <c r="B66" s="1"/>
      <c r="C66" s="213"/>
      <c r="D66" s="213"/>
      <c r="E66" s="213"/>
      <c r="F66" s="38" t="str">
        <f>IF(Inventory_List_Table34111510911131718[[#This Row],[Q]]&lt;0.1, " ",#REF!&amp;$D$1&amp;#REF!&amp;Inventory_List_Table34111510911131718[[#This Row],[NOTES]])</f>
        <v xml:space="preserve"> </v>
      </c>
      <c r="G66" s="216"/>
      <c r="H66" s="216"/>
      <c r="I66" s="216"/>
      <c r="J66" s="216"/>
      <c r="K66" s="216"/>
      <c r="L66" s="218"/>
      <c r="M6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6" s="35" t="str">
        <f>IF(Inventory_List_Table34111510911131718[[#This Row],[Q]]&lt;0.1, " ", Inventory_List_Table34111510911131718[[#This Row],[KG]]*2.20462)</f>
        <v xml:space="preserve"> </v>
      </c>
      <c r="O66" s="35" t="str">
        <f>IF(Inventory_List_Table34111510911131718[[#This Row],[Q]]&lt;0.1, " ",Inventory_List_Table34111510911131718[[#This Row],[H CM]]/2.54)</f>
        <v xml:space="preserve"> </v>
      </c>
      <c r="P66" s="35" t="str">
        <f>IF(Inventory_List_Table34111510911131718[[#This Row],[Q]]&lt;0.1, " ",Inventory_List_Table34111510911131718[[#This Row],[W CM]]/2.54)</f>
        <v xml:space="preserve"> </v>
      </c>
      <c r="Q66" s="35" t="str">
        <f>IF(Inventory_List_Table34111510911131718[[#This Row],[Q]]&lt;0.1, " ",Inventory_List_Table34111510911131718[[#This Row],[D CM ]]/2.54)</f>
        <v xml:space="preserve"> </v>
      </c>
      <c r="R66" s="30" t="str">
        <f>IF(Inventory_List_Table34111510911131718[[#This Row],[Q]]&lt;0.1, " ",Inventory_List_Table34111510911131718[[#This Row],[PRICE]]/$L$1)</f>
        <v xml:space="preserve"> </v>
      </c>
      <c r="S6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6" s="30" t="str">
        <f>IF(Inventory_List_Table34111510911131718[[#This Row],[Q]]&lt;0.1, " ",Inventory_List_Table34111510911131718[[#This Row],[AQ RND USD]]*1.4)</f>
        <v xml:space="preserve"> </v>
      </c>
      <c r="U6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6" s="30" t="str">
        <f>IF(Inventory_List_Table34111510911131718[[#This Row],[Q]]&lt;0.1, " ",Inventory_List_Table34111510911131718[[#This Row],[LND RND USD]]*12)</f>
        <v xml:space="preserve"> </v>
      </c>
      <c r="W66" s="30" t="str">
        <f>IF(Inventory_List_Table34111510911131718[[#This Row],[Q]]&lt;0.1, " ",Inventory_List_Table34111510911131718[[#This Row],[AQ USD]])</f>
        <v xml:space="preserve"> </v>
      </c>
      <c r="X6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6" s="30" t="str">
        <f>IF(Inventory_List_Table34111510911131718[[#This Row],[Q]]&lt;0.1, " ",Inventory_List_Table34111510911131718[[#This Row],[PRICE]]/Z66*10000)</f>
        <v xml:space="preserve"> </v>
      </c>
      <c r="AB66" s="220"/>
      <c r="AC66" s="1"/>
      <c r="AD66" s="1"/>
    </row>
    <row r="67" spans="1:30" ht="24" customHeight="1" x14ac:dyDescent="0.3">
      <c r="A67" s="210">
        <v>65</v>
      </c>
      <c r="B67" s="1"/>
      <c r="C67" s="213"/>
      <c r="D67" s="213"/>
      <c r="E67" s="213"/>
      <c r="F67" s="38" t="str">
        <f>IF(Inventory_List_Table34111510911131718[[#This Row],[Q]]&lt;0.1, " ",#REF!&amp;$D$1&amp;#REF!&amp;Inventory_List_Table34111510911131718[[#This Row],[NOTES]])</f>
        <v xml:space="preserve"> </v>
      </c>
      <c r="G67" s="216"/>
      <c r="H67" s="216"/>
      <c r="I67" s="216"/>
      <c r="J67" s="216"/>
      <c r="K67" s="216"/>
      <c r="L67" s="218"/>
      <c r="M6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7" s="35" t="str">
        <f>IF(Inventory_List_Table34111510911131718[[#This Row],[Q]]&lt;0.1, " ", Inventory_List_Table34111510911131718[[#This Row],[KG]]*2.20462)</f>
        <v xml:space="preserve"> </v>
      </c>
      <c r="O67" s="35" t="str">
        <f>IF(Inventory_List_Table34111510911131718[[#This Row],[Q]]&lt;0.1, " ",Inventory_List_Table34111510911131718[[#This Row],[H CM]]/2.54)</f>
        <v xml:space="preserve"> </v>
      </c>
      <c r="P67" s="35" t="str">
        <f>IF(Inventory_List_Table34111510911131718[[#This Row],[Q]]&lt;0.1, " ",Inventory_List_Table34111510911131718[[#This Row],[W CM]]/2.54)</f>
        <v xml:space="preserve"> </v>
      </c>
      <c r="Q67" s="35" t="str">
        <f>IF(Inventory_List_Table34111510911131718[[#This Row],[Q]]&lt;0.1, " ",Inventory_List_Table34111510911131718[[#This Row],[D CM ]]/2.54)</f>
        <v xml:space="preserve"> </v>
      </c>
      <c r="R67" s="30" t="str">
        <f>IF(Inventory_List_Table34111510911131718[[#This Row],[Q]]&lt;0.1, " ",Inventory_List_Table34111510911131718[[#This Row],[PRICE]]/$L$1)</f>
        <v xml:space="preserve"> </v>
      </c>
      <c r="S6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7" s="30" t="str">
        <f>IF(Inventory_List_Table34111510911131718[[#This Row],[Q]]&lt;0.1, " ",Inventory_List_Table34111510911131718[[#This Row],[AQ RND USD]]*1.4)</f>
        <v xml:space="preserve"> </v>
      </c>
      <c r="U6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7" s="30" t="str">
        <f>IF(Inventory_List_Table34111510911131718[[#This Row],[Q]]&lt;0.1, " ",Inventory_List_Table34111510911131718[[#This Row],[LND RND USD]]*12)</f>
        <v xml:space="preserve"> </v>
      </c>
      <c r="W67" s="30" t="str">
        <f>IF(Inventory_List_Table34111510911131718[[#This Row],[Q]]&lt;0.1, " ",Inventory_List_Table34111510911131718[[#This Row],[AQ USD]])</f>
        <v xml:space="preserve"> </v>
      </c>
      <c r="X6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7" s="30" t="str">
        <f>IF(Inventory_List_Table34111510911131718[[#This Row],[Q]]&lt;0.1, " ",Inventory_List_Table34111510911131718[[#This Row],[PRICE]]/Z67*10000)</f>
        <v xml:space="preserve"> </v>
      </c>
      <c r="AB67" s="220"/>
      <c r="AC67" s="1"/>
      <c r="AD67" s="1"/>
    </row>
    <row r="68" spans="1:30" ht="24" customHeight="1" x14ac:dyDescent="0.3">
      <c r="A68" s="210">
        <v>66</v>
      </c>
      <c r="B68" s="1"/>
      <c r="C68" s="213"/>
      <c r="D68" s="213"/>
      <c r="E68" s="213"/>
      <c r="F68" s="38" t="str">
        <f>IF(Inventory_List_Table34111510911131718[[#This Row],[Q]]&lt;0.1, " ",#REF!&amp;$D$1&amp;#REF!&amp;Inventory_List_Table34111510911131718[[#This Row],[NOTES]])</f>
        <v xml:space="preserve"> </v>
      </c>
      <c r="G68" s="216"/>
      <c r="H68" s="216"/>
      <c r="I68" s="216"/>
      <c r="J68" s="216"/>
      <c r="K68" s="216"/>
      <c r="L68" s="218"/>
      <c r="M6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8" s="35" t="str">
        <f>IF(Inventory_List_Table34111510911131718[[#This Row],[Q]]&lt;0.1, " ", Inventory_List_Table34111510911131718[[#This Row],[KG]]*2.20462)</f>
        <v xml:space="preserve"> </v>
      </c>
      <c r="O68" s="35" t="str">
        <f>IF(Inventory_List_Table34111510911131718[[#This Row],[Q]]&lt;0.1, " ",Inventory_List_Table34111510911131718[[#This Row],[H CM]]/2.54)</f>
        <v xml:space="preserve"> </v>
      </c>
      <c r="P68" s="35" t="str">
        <f>IF(Inventory_List_Table34111510911131718[[#This Row],[Q]]&lt;0.1, " ",Inventory_List_Table34111510911131718[[#This Row],[W CM]]/2.54)</f>
        <v xml:space="preserve"> </v>
      </c>
      <c r="Q68" s="35" t="str">
        <f>IF(Inventory_List_Table34111510911131718[[#This Row],[Q]]&lt;0.1, " ",Inventory_List_Table34111510911131718[[#This Row],[D CM ]]/2.54)</f>
        <v xml:space="preserve"> </v>
      </c>
      <c r="R68" s="30" t="str">
        <f>IF(Inventory_List_Table34111510911131718[[#This Row],[Q]]&lt;0.1, " ",Inventory_List_Table34111510911131718[[#This Row],[PRICE]]/$L$1)</f>
        <v xml:space="preserve"> </v>
      </c>
      <c r="S6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8" s="30" t="str">
        <f>IF(Inventory_List_Table34111510911131718[[#This Row],[Q]]&lt;0.1, " ",Inventory_List_Table34111510911131718[[#This Row],[AQ RND USD]]*1.4)</f>
        <v xml:space="preserve"> </v>
      </c>
      <c r="U6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8" s="30" t="str">
        <f>IF(Inventory_List_Table34111510911131718[[#This Row],[Q]]&lt;0.1, " ",Inventory_List_Table34111510911131718[[#This Row],[LND RND USD]]*12)</f>
        <v xml:space="preserve"> </v>
      </c>
      <c r="W68" s="30" t="str">
        <f>IF(Inventory_List_Table34111510911131718[[#This Row],[Q]]&lt;0.1, " ",Inventory_List_Table34111510911131718[[#This Row],[AQ USD]])</f>
        <v xml:space="preserve"> </v>
      </c>
      <c r="X6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8" s="30" t="str">
        <f>IF(Inventory_List_Table34111510911131718[[#This Row],[Q]]&lt;0.1, " ",Inventory_List_Table34111510911131718[[#This Row],[PRICE]]/Z68*10000)</f>
        <v xml:space="preserve"> </v>
      </c>
      <c r="AB68" s="220"/>
      <c r="AC68" s="1"/>
      <c r="AD68" s="1"/>
    </row>
    <row r="69" spans="1:30" ht="24" customHeight="1" x14ac:dyDescent="0.3">
      <c r="A69" s="210">
        <v>67</v>
      </c>
      <c r="B69" s="1"/>
      <c r="C69" s="213"/>
      <c r="D69" s="213"/>
      <c r="E69" s="213"/>
      <c r="F69" s="38" t="str">
        <f>IF(Inventory_List_Table34111510911131718[[#This Row],[Q]]&lt;0.1, " ",#REF!&amp;$D$1&amp;#REF!&amp;Inventory_List_Table34111510911131718[[#This Row],[NOTES]])</f>
        <v xml:space="preserve"> </v>
      </c>
      <c r="G69" s="216"/>
      <c r="H69" s="216"/>
      <c r="I69" s="216"/>
      <c r="J69" s="216"/>
      <c r="K69" s="216"/>
      <c r="L69" s="218"/>
      <c r="M6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69" s="35" t="str">
        <f>IF(Inventory_List_Table34111510911131718[[#This Row],[Q]]&lt;0.1, " ", Inventory_List_Table34111510911131718[[#This Row],[KG]]*2.20462)</f>
        <v xml:space="preserve"> </v>
      </c>
      <c r="O69" s="35" t="str">
        <f>IF(Inventory_List_Table34111510911131718[[#This Row],[Q]]&lt;0.1, " ",Inventory_List_Table34111510911131718[[#This Row],[H CM]]/2.54)</f>
        <v xml:space="preserve"> </v>
      </c>
      <c r="P69" s="35" t="str">
        <f>IF(Inventory_List_Table34111510911131718[[#This Row],[Q]]&lt;0.1, " ",Inventory_List_Table34111510911131718[[#This Row],[W CM]]/2.54)</f>
        <v xml:space="preserve"> </v>
      </c>
      <c r="Q69" s="35" t="str">
        <f>IF(Inventory_List_Table34111510911131718[[#This Row],[Q]]&lt;0.1, " ",Inventory_List_Table34111510911131718[[#This Row],[D CM ]]/2.54)</f>
        <v xml:space="preserve"> </v>
      </c>
      <c r="R69" s="30" t="str">
        <f>IF(Inventory_List_Table34111510911131718[[#This Row],[Q]]&lt;0.1, " ",Inventory_List_Table34111510911131718[[#This Row],[PRICE]]/$L$1)</f>
        <v xml:space="preserve"> </v>
      </c>
      <c r="S6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69" s="30" t="str">
        <f>IF(Inventory_List_Table34111510911131718[[#This Row],[Q]]&lt;0.1, " ",Inventory_List_Table34111510911131718[[#This Row],[AQ RND USD]]*1.4)</f>
        <v xml:space="preserve"> </v>
      </c>
      <c r="U6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69" s="30" t="str">
        <f>IF(Inventory_List_Table34111510911131718[[#This Row],[Q]]&lt;0.1, " ",Inventory_List_Table34111510911131718[[#This Row],[LND RND USD]]*12)</f>
        <v xml:space="preserve"> </v>
      </c>
      <c r="W69" s="30" t="str">
        <f>IF(Inventory_List_Table34111510911131718[[#This Row],[Q]]&lt;0.1, " ",Inventory_List_Table34111510911131718[[#This Row],[AQ USD]])</f>
        <v xml:space="preserve"> </v>
      </c>
      <c r="X6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6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6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69" s="30" t="str">
        <f>IF(Inventory_List_Table34111510911131718[[#This Row],[Q]]&lt;0.1, " ",Inventory_List_Table34111510911131718[[#This Row],[PRICE]]/Z69*10000)</f>
        <v xml:space="preserve"> </v>
      </c>
      <c r="AB69" s="220"/>
      <c r="AC69" s="1"/>
      <c r="AD69" s="1"/>
    </row>
    <row r="70" spans="1:30" ht="24" customHeight="1" x14ac:dyDescent="0.3">
      <c r="A70" s="210">
        <v>68</v>
      </c>
      <c r="B70" s="1"/>
      <c r="C70" s="213"/>
      <c r="D70" s="213"/>
      <c r="E70" s="213"/>
      <c r="F70" s="38" t="str">
        <f>IF(Inventory_List_Table34111510911131718[[#This Row],[Q]]&lt;0.1, " ",#REF!&amp;$D$1&amp;#REF!&amp;Inventory_List_Table34111510911131718[[#This Row],[NOTES]])</f>
        <v xml:space="preserve"> </v>
      </c>
      <c r="G70" s="216"/>
      <c r="H70" s="216"/>
      <c r="I70" s="216"/>
      <c r="J70" s="216"/>
      <c r="K70" s="216"/>
      <c r="L70" s="218"/>
      <c r="M7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0" s="35" t="str">
        <f>IF(Inventory_List_Table34111510911131718[[#This Row],[Q]]&lt;0.1, " ", Inventory_List_Table34111510911131718[[#This Row],[KG]]*2.20462)</f>
        <v xml:space="preserve"> </v>
      </c>
      <c r="O70" s="35" t="str">
        <f>IF(Inventory_List_Table34111510911131718[[#This Row],[Q]]&lt;0.1, " ",Inventory_List_Table34111510911131718[[#This Row],[H CM]]/2.54)</f>
        <v xml:space="preserve"> </v>
      </c>
      <c r="P70" s="35" t="str">
        <f>IF(Inventory_List_Table34111510911131718[[#This Row],[Q]]&lt;0.1, " ",Inventory_List_Table34111510911131718[[#This Row],[W CM]]/2.54)</f>
        <v xml:space="preserve"> </v>
      </c>
      <c r="Q70" s="35" t="str">
        <f>IF(Inventory_List_Table34111510911131718[[#This Row],[Q]]&lt;0.1, " ",Inventory_List_Table34111510911131718[[#This Row],[D CM ]]/2.54)</f>
        <v xml:space="preserve"> </v>
      </c>
      <c r="R70" s="30" t="str">
        <f>IF(Inventory_List_Table34111510911131718[[#This Row],[Q]]&lt;0.1, " ",Inventory_List_Table34111510911131718[[#This Row],[PRICE]]/$L$1)</f>
        <v xml:space="preserve"> </v>
      </c>
      <c r="S7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0" s="30" t="str">
        <f>IF(Inventory_List_Table34111510911131718[[#This Row],[Q]]&lt;0.1, " ",Inventory_List_Table34111510911131718[[#This Row],[AQ RND USD]]*1.4)</f>
        <v xml:space="preserve"> </v>
      </c>
      <c r="U7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0" s="30" t="str">
        <f>IF(Inventory_List_Table34111510911131718[[#This Row],[Q]]&lt;0.1, " ",Inventory_List_Table34111510911131718[[#This Row],[LND RND USD]]*12)</f>
        <v xml:space="preserve"> </v>
      </c>
      <c r="W70" s="30" t="str">
        <f>IF(Inventory_List_Table34111510911131718[[#This Row],[Q]]&lt;0.1, " ",Inventory_List_Table34111510911131718[[#This Row],[AQ USD]])</f>
        <v xml:space="preserve"> </v>
      </c>
      <c r="X7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0" s="30" t="str">
        <f>IF(Inventory_List_Table34111510911131718[[#This Row],[Q]]&lt;0.1, " ",Inventory_List_Table34111510911131718[[#This Row],[PRICE]]/Z70*10000)</f>
        <v xml:space="preserve"> </v>
      </c>
      <c r="AB70" s="220"/>
      <c r="AC70" s="1"/>
      <c r="AD70" s="1"/>
    </row>
    <row r="71" spans="1:30" ht="24" customHeight="1" x14ac:dyDescent="0.3">
      <c r="A71" s="210">
        <v>69</v>
      </c>
      <c r="B71" s="1"/>
      <c r="C71" s="213"/>
      <c r="D71" s="213"/>
      <c r="E71" s="213"/>
      <c r="F71" s="38" t="str">
        <f>IF(Inventory_List_Table34111510911131718[[#This Row],[Q]]&lt;0.1, " ",#REF!&amp;$D$1&amp;#REF!&amp;Inventory_List_Table34111510911131718[[#This Row],[NOTES]])</f>
        <v xml:space="preserve"> </v>
      </c>
      <c r="G71" s="216"/>
      <c r="H71" s="216"/>
      <c r="I71" s="216"/>
      <c r="J71" s="216"/>
      <c r="K71" s="216"/>
      <c r="L71" s="218"/>
      <c r="M7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1" s="35" t="str">
        <f>IF(Inventory_List_Table34111510911131718[[#This Row],[Q]]&lt;0.1, " ", Inventory_List_Table34111510911131718[[#This Row],[KG]]*2.20462)</f>
        <v xml:space="preserve"> </v>
      </c>
      <c r="O71" s="35" t="str">
        <f>IF(Inventory_List_Table34111510911131718[[#This Row],[Q]]&lt;0.1, " ",Inventory_List_Table34111510911131718[[#This Row],[H CM]]/2.54)</f>
        <v xml:space="preserve"> </v>
      </c>
      <c r="P71" s="35" t="str">
        <f>IF(Inventory_List_Table34111510911131718[[#This Row],[Q]]&lt;0.1, " ",Inventory_List_Table34111510911131718[[#This Row],[W CM]]/2.54)</f>
        <v xml:space="preserve"> </v>
      </c>
      <c r="Q71" s="35" t="str">
        <f>IF(Inventory_List_Table34111510911131718[[#This Row],[Q]]&lt;0.1, " ",Inventory_List_Table34111510911131718[[#This Row],[D CM ]]/2.54)</f>
        <v xml:space="preserve"> </v>
      </c>
      <c r="R71" s="30" t="str">
        <f>IF(Inventory_List_Table34111510911131718[[#This Row],[Q]]&lt;0.1, " ",Inventory_List_Table34111510911131718[[#This Row],[PRICE]]/$L$1)</f>
        <v xml:space="preserve"> </v>
      </c>
      <c r="S7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1" s="30" t="str">
        <f>IF(Inventory_List_Table34111510911131718[[#This Row],[Q]]&lt;0.1, " ",Inventory_List_Table34111510911131718[[#This Row],[AQ RND USD]]*1.4)</f>
        <v xml:space="preserve"> </v>
      </c>
      <c r="U7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1" s="30" t="str">
        <f>IF(Inventory_List_Table34111510911131718[[#This Row],[Q]]&lt;0.1, " ",Inventory_List_Table34111510911131718[[#This Row],[LND RND USD]]*12)</f>
        <v xml:space="preserve"> </v>
      </c>
      <c r="W71" s="30" t="str">
        <f>IF(Inventory_List_Table34111510911131718[[#This Row],[Q]]&lt;0.1, " ",Inventory_List_Table34111510911131718[[#This Row],[AQ USD]])</f>
        <v xml:space="preserve"> </v>
      </c>
      <c r="X7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1" s="30" t="str">
        <f>IF(Inventory_List_Table34111510911131718[[#This Row],[Q]]&lt;0.1, " ",Inventory_List_Table34111510911131718[[#This Row],[PRICE]]/Z71*10000)</f>
        <v xml:space="preserve"> </v>
      </c>
      <c r="AB71" s="220"/>
      <c r="AC71" s="1"/>
      <c r="AD71" s="1"/>
    </row>
    <row r="72" spans="1:30" ht="24" customHeight="1" x14ac:dyDescent="0.3">
      <c r="A72" s="210">
        <v>70</v>
      </c>
      <c r="B72" s="1"/>
      <c r="C72" s="213"/>
      <c r="D72" s="213"/>
      <c r="E72" s="213"/>
      <c r="F72" s="38" t="str">
        <f>IF(Inventory_List_Table34111510911131718[[#This Row],[Q]]&lt;0.1, " ",#REF!&amp;$D$1&amp;#REF!&amp;Inventory_List_Table34111510911131718[[#This Row],[NOTES]])</f>
        <v xml:space="preserve"> </v>
      </c>
      <c r="G72" s="216"/>
      <c r="H72" s="216"/>
      <c r="I72" s="216"/>
      <c r="J72" s="216"/>
      <c r="K72" s="216"/>
      <c r="L72" s="218"/>
      <c r="M7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2" s="35" t="str">
        <f>IF(Inventory_List_Table34111510911131718[[#This Row],[Q]]&lt;0.1, " ", Inventory_List_Table34111510911131718[[#This Row],[KG]]*2.20462)</f>
        <v xml:space="preserve"> </v>
      </c>
      <c r="O72" s="35" t="str">
        <f>IF(Inventory_List_Table34111510911131718[[#This Row],[Q]]&lt;0.1, " ",Inventory_List_Table34111510911131718[[#This Row],[H CM]]/2.54)</f>
        <v xml:space="preserve"> </v>
      </c>
      <c r="P72" s="35" t="str">
        <f>IF(Inventory_List_Table34111510911131718[[#This Row],[Q]]&lt;0.1, " ",Inventory_List_Table34111510911131718[[#This Row],[W CM]]/2.54)</f>
        <v xml:space="preserve"> </v>
      </c>
      <c r="Q72" s="35" t="str">
        <f>IF(Inventory_List_Table34111510911131718[[#This Row],[Q]]&lt;0.1, " ",Inventory_List_Table34111510911131718[[#This Row],[D CM ]]/2.54)</f>
        <v xml:space="preserve"> </v>
      </c>
      <c r="R72" s="30" t="str">
        <f>IF(Inventory_List_Table34111510911131718[[#This Row],[Q]]&lt;0.1, " ",Inventory_List_Table34111510911131718[[#This Row],[PRICE]]/$L$1)</f>
        <v xml:space="preserve"> </v>
      </c>
      <c r="S7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2" s="30" t="str">
        <f>IF(Inventory_List_Table34111510911131718[[#This Row],[Q]]&lt;0.1, " ",Inventory_List_Table34111510911131718[[#This Row],[AQ RND USD]]*1.4)</f>
        <v xml:space="preserve"> </v>
      </c>
      <c r="U7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2" s="30" t="str">
        <f>IF(Inventory_List_Table34111510911131718[[#This Row],[Q]]&lt;0.1, " ",Inventory_List_Table34111510911131718[[#This Row],[LND RND USD]]*12)</f>
        <v xml:space="preserve"> </v>
      </c>
      <c r="W72" s="30" t="str">
        <f>IF(Inventory_List_Table34111510911131718[[#This Row],[Q]]&lt;0.1, " ",Inventory_List_Table34111510911131718[[#This Row],[AQ USD]])</f>
        <v xml:space="preserve"> </v>
      </c>
      <c r="X7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2" s="30" t="str">
        <f>IF(Inventory_List_Table34111510911131718[[#This Row],[Q]]&lt;0.1, " ",Inventory_List_Table34111510911131718[[#This Row],[PRICE]]/Z72*10000)</f>
        <v xml:space="preserve"> </v>
      </c>
      <c r="AB72" s="220"/>
      <c r="AC72" s="1"/>
      <c r="AD72" s="1"/>
    </row>
    <row r="73" spans="1:30" ht="24" customHeight="1" x14ac:dyDescent="0.3">
      <c r="A73" s="210">
        <v>71</v>
      </c>
      <c r="B73" s="1"/>
      <c r="C73" s="213"/>
      <c r="D73" s="213"/>
      <c r="E73" s="213"/>
      <c r="F73" s="38" t="str">
        <f>IF(Inventory_List_Table34111510911131718[[#This Row],[Q]]&lt;0.1, " ",#REF!&amp;$D$1&amp;#REF!&amp;Inventory_List_Table34111510911131718[[#This Row],[NOTES]])</f>
        <v xml:space="preserve"> </v>
      </c>
      <c r="G73" s="216"/>
      <c r="H73" s="216"/>
      <c r="I73" s="216"/>
      <c r="J73" s="216"/>
      <c r="K73" s="216"/>
      <c r="L73" s="218"/>
      <c r="M7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3" s="35" t="str">
        <f>IF(Inventory_List_Table34111510911131718[[#This Row],[Q]]&lt;0.1, " ", Inventory_List_Table34111510911131718[[#This Row],[KG]]*2.20462)</f>
        <v xml:space="preserve"> </v>
      </c>
      <c r="O73" s="35" t="str">
        <f>IF(Inventory_List_Table34111510911131718[[#This Row],[Q]]&lt;0.1, " ",Inventory_List_Table34111510911131718[[#This Row],[H CM]]/2.54)</f>
        <v xml:space="preserve"> </v>
      </c>
      <c r="P73" s="35" t="str">
        <f>IF(Inventory_List_Table34111510911131718[[#This Row],[Q]]&lt;0.1, " ",Inventory_List_Table34111510911131718[[#This Row],[W CM]]/2.54)</f>
        <v xml:space="preserve"> </v>
      </c>
      <c r="Q73" s="35" t="str">
        <f>IF(Inventory_List_Table34111510911131718[[#This Row],[Q]]&lt;0.1, " ",Inventory_List_Table34111510911131718[[#This Row],[D CM ]]/2.54)</f>
        <v xml:space="preserve"> </v>
      </c>
      <c r="R73" s="30" t="str">
        <f>IF(Inventory_List_Table34111510911131718[[#This Row],[Q]]&lt;0.1, " ",Inventory_List_Table34111510911131718[[#This Row],[PRICE]]/$L$1)</f>
        <v xml:space="preserve"> </v>
      </c>
      <c r="S7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3" s="30" t="str">
        <f>IF(Inventory_List_Table34111510911131718[[#This Row],[Q]]&lt;0.1, " ",Inventory_List_Table34111510911131718[[#This Row],[AQ RND USD]]*1.4)</f>
        <v xml:space="preserve"> </v>
      </c>
      <c r="U7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3" s="30" t="str">
        <f>IF(Inventory_List_Table34111510911131718[[#This Row],[Q]]&lt;0.1, " ",Inventory_List_Table34111510911131718[[#This Row],[LND RND USD]]*12)</f>
        <v xml:space="preserve"> </v>
      </c>
      <c r="W73" s="30" t="str">
        <f>IF(Inventory_List_Table34111510911131718[[#This Row],[Q]]&lt;0.1, " ",Inventory_List_Table34111510911131718[[#This Row],[AQ USD]])</f>
        <v xml:space="preserve"> </v>
      </c>
      <c r="X7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3" s="30" t="str">
        <f>IF(Inventory_List_Table34111510911131718[[#This Row],[Q]]&lt;0.1, " ",Inventory_List_Table34111510911131718[[#This Row],[PRICE]]/Z73*10000)</f>
        <v xml:space="preserve"> </v>
      </c>
      <c r="AB73" s="220"/>
      <c r="AC73" s="1"/>
      <c r="AD73" s="1"/>
    </row>
    <row r="74" spans="1:30" ht="24" customHeight="1" x14ac:dyDescent="0.3">
      <c r="A74" s="210">
        <v>72</v>
      </c>
      <c r="B74" s="1"/>
      <c r="C74" s="213"/>
      <c r="D74" s="213"/>
      <c r="E74" s="213"/>
      <c r="F74" s="38" t="str">
        <f>IF(Inventory_List_Table34111510911131718[[#This Row],[Q]]&lt;0.1, " ",#REF!&amp;$D$1&amp;#REF!&amp;Inventory_List_Table34111510911131718[[#This Row],[NOTES]])</f>
        <v xml:space="preserve"> </v>
      </c>
      <c r="G74" s="216"/>
      <c r="H74" s="216"/>
      <c r="I74" s="216"/>
      <c r="J74" s="216"/>
      <c r="K74" s="216"/>
      <c r="L74" s="218"/>
      <c r="M7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4" s="35" t="str">
        <f>IF(Inventory_List_Table34111510911131718[[#This Row],[Q]]&lt;0.1, " ", Inventory_List_Table34111510911131718[[#This Row],[KG]]*2.20462)</f>
        <v xml:space="preserve"> </v>
      </c>
      <c r="O74" s="35" t="str">
        <f>IF(Inventory_List_Table34111510911131718[[#This Row],[Q]]&lt;0.1, " ",Inventory_List_Table34111510911131718[[#This Row],[H CM]]/2.54)</f>
        <v xml:space="preserve"> </v>
      </c>
      <c r="P74" s="35" t="str">
        <f>IF(Inventory_List_Table34111510911131718[[#This Row],[Q]]&lt;0.1, " ",Inventory_List_Table34111510911131718[[#This Row],[W CM]]/2.54)</f>
        <v xml:space="preserve"> </v>
      </c>
      <c r="Q74" s="35" t="str">
        <f>IF(Inventory_List_Table34111510911131718[[#This Row],[Q]]&lt;0.1, " ",Inventory_List_Table34111510911131718[[#This Row],[D CM ]]/2.54)</f>
        <v xml:space="preserve"> </v>
      </c>
      <c r="R74" s="30" t="str">
        <f>IF(Inventory_List_Table34111510911131718[[#This Row],[Q]]&lt;0.1, " ",Inventory_List_Table34111510911131718[[#This Row],[PRICE]]/$L$1)</f>
        <v xml:space="preserve"> </v>
      </c>
      <c r="S7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4" s="30" t="str">
        <f>IF(Inventory_List_Table34111510911131718[[#This Row],[Q]]&lt;0.1, " ",Inventory_List_Table34111510911131718[[#This Row],[AQ RND USD]]*1.4)</f>
        <v xml:space="preserve"> </v>
      </c>
      <c r="U7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4" s="30" t="str">
        <f>IF(Inventory_List_Table34111510911131718[[#This Row],[Q]]&lt;0.1, " ",Inventory_List_Table34111510911131718[[#This Row],[LND RND USD]]*12)</f>
        <v xml:space="preserve"> </v>
      </c>
      <c r="W74" s="30" t="str">
        <f>IF(Inventory_List_Table34111510911131718[[#This Row],[Q]]&lt;0.1, " ",Inventory_List_Table34111510911131718[[#This Row],[AQ USD]])</f>
        <v xml:space="preserve"> </v>
      </c>
      <c r="X7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4" s="30" t="str">
        <f>IF(Inventory_List_Table34111510911131718[[#This Row],[Q]]&lt;0.1, " ",Inventory_List_Table34111510911131718[[#This Row],[PRICE]]/Z74*10000)</f>
        <v xml:space="preserve"> </v>
      </c>
      <c r="AB74" s="220"/>
      <c r="AC74" s="1"/>
      <c r="AD74" s="1"/>
    </row>
    <row r="75" spans="1:30" ht="24" customHeight="1" x14ac:dyDescent="0.3">
      <c r="A75" s="210">
        <v>73</v>
      </c>
      <c r="B75" s="1"/>
      <c r="C75" s="213"/>
      <c r="D75" s="213"/>
      <c r="E75" s="213"/>
      <c r="F75" s="38" t="str">
        <f>IF(Inventory_List_Table34111510911131718[[#This Row],[Q]]&lt;0.1, " ",#REF!&amp;$D$1&amp;#REF!&amp;Inventory_List_Table34111510911131718[[#This Row],[NOTES]])</f>
        <v xml:space="preserve"> </v>
      </c>
      <c r="G75" s="216"/>
      <c r="H75" s="216"/>
      <c r="I75" s="216"/>
      <c r="J75" s="216"/>
      <c r="K75" s="216"/>
      <c r="L75" s="218"/>
      <c r="M7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5" s="35" t="str">
        <f>IF(Inventory_List_Table34111510911131718[[#This Row],[Q]]&lt;0.1, " ", Inventory_List_Table34111510911131718[[#This Row],[KG]]*2.20462)</f>
        <v xml:space="preserve"> </v>
      </c>
      <c r="O75" s="35" t="str">
        <f>IF(Inventory_List_Table34111510911131718[[#This Row],[Q]]&lt;0.1, " ",Inventory_List_Table34111510911131718[[#This Row],[H CM]]/2.54)</f>
        <v xml:space="preserve"> </v>
      </c>
      <c r="P75" s="35" t="str">
        <f>IF(Inventory_List_Table34111510911131718[[#This Row],[Q]]&lt;0.1, " ",Inventory_List_Table34111510911131718[[#This Row],[W CM]]/2.54)</f>
        <v xml:space="preserve"> </v>
      </c>
      <c r="Q75" s="35" t="str">
        <f>IF(Inventory_List_Table34111510911131718[[#This Row],[Q]]&lt;0.1, " ",Inventory_List_Table34111510911131718[[#This Row],[D CM ]]/2.54)</f>
        <v xml:space="preserve"> </v>
      </c>
      <c r="R75" s="30" t="str">
        <f>IF(Inventory_List_Table34111510911131718[[#This Row],[Q]]&lt;0.1, " ",Inventory_List_Table34111510911131718[[#This Row],[PRICE]]/$L$1)</f>
        <v xml:space="preserve"> </v>
      </c>
      <c r="S7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5" s="30" t="str">
        <f>IF(Inventory_List_Table34111510911131718[[#This Row],[Q]]&lt;0.1, " ",Inventory_List_Table34111510911131718[[#This Row],[AQ RND USD]]*1.4)</f>
        <v xml:space="preserve"> </v>
      </c>
      <c r="U7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5" s="30" t="str">
        <f>IF(Inventory_List_Table34111510911131718[[#This Row],[Q]]&lt;0.1, " ",Inventory_List_Table34111510911131718[[#This Row],[LND RND USD]]*12)</f>
        <v xml:space="preserve"> </v>
      </c>
      <c r="W75" s="30" t="str">
        <f>IF(Inventory_List_Table34111510911131718[[#This Row],[Q]]&lt;0.1, " ",Inventory_List_Table34111510911131718[[#This Row],[AQ USD]])</f>
        <v xml:space="preserve"> </v>
      </c>
      <c r="X7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5" s="30" t="str">
        <f>IF(Inventory_List_Table34111510911131718[[#This Row],[Q]]&lt;0.1, " ",Inventory_List_Table34111510911131718[[#This Row],[PRICE]]/Z75*10000)</f>
        <v xml:space="preserve"> </v>
      </c>
      <c r="AB75" s="220"/>
      <c r="AC75" s="1"/>
      <c r="AD75" s="1"/>
    </row>
    <row r="76" spans="1:30" ht="24" customHeight="1" x14ac:dyDescent="0.3">
      <c r="A76" s="210">
        <v>74</v>
      </c>
      <c r="B76" s="1"/>
      <c r="C76" s="213"/>
      <c r="D76" s="213"/>
      <c r="E76" s="213"/>
      <c r="F76" s="38" t="str">
        <f>IF(Inventory_List_Table34111510911131718[[#This Row],[Q]]&lt;0.1, " ",#REF!&amp;$D$1&amp;#REF!&amp;Inventory_List_Table34111510911131718[[#This Row],[NOTES]])</f>
        <v xml:space="preserve"> </v>
      </c>
      <c r="G76" s="216"/>
      <c r="H76" s="216"/>
      <c r="I76" s="216"/>
      <c r="J76" s="216"/>
      <c r="K76" s="216"/>
      <c r="L76" s="218"/>
      <c r="M7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6" s="35" t="str">
        <f>IF(Inventory_List_Table34111510911131718[[#This Row],[Q]]&lt;0.1, " ", Inventory_List_Table34111510911131718[[#This Row],[KG]]*2.20462)</f>
        <v xml:space="preserve"> </v>
      </c>
      <c r="O76" s="35" t="str">
        <f>IF(Inventory_List_Table34111510911131718[[#This Row],[Q]]&lt;0.1, " ",Inventory_List_Table34111510911131718[[#This Row],[H CM]]/2.54)</f>
        <v xml:space="preserve"> </v>
      </c>
      <c r="P76" s="35" t="str">
        <f>IF(Inventory_List_Table34111510911131718[[#This Row],[Q]]&lt;0.1, " ",Inventory_List_Table34111510911131718[[#This Row],[W CM]]/2.54)</f>
        <v xml:space="preserve"> </v>
      </c>
      <c r="Q76" s="35" t="str">
        <f>IF(Inventory_List_Table34111510911131718[[#This Row],[Q]]&lt;0.1, " ",Inventory_List_Table34111510911131718[[#This Row],[D CM ]]/2.54)</f>
        <v xml:space="preserve"> </v>
      </c>
      <c r="R76" s="30" t="str">
        <f>IF(Inventory_List_Table34111510911131718[[#This Row],[Q]]&lt;0.1, " ",Inventory_List_Table34111510911131718[[#This Row],[PRICE]]/$L$1)</f>
        <v xml:space="preserve"> </v>
      </c>
      <c r="S7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6" s="30" t="str">
        <f>IF(Inventory_List_Table34111510911131718[[#This Row],[Q]]&lt;0.1, " ",Inventory_List_Table34111510911131718[[#This Row],[AQ RND USD]]*1.4)</f>
        <v xml:space="preserve"> </v>
      </c>
      <c r="U7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6" s="30" t="str">
        <f>IF(Inventory_List_Table34111510911131718[[#This Row],[Q]]&lt;0.1, " ",Inventory_List_Table34111510911131718[[#This Row],[LND RND USD]]*12)</f>
        <v xml:space="preserve"> </v>
      </c>
      <c r="W76" s="30" t="str">
        <f>IF(Inventory_List_Table34111510911131718[[#This Row],[Q]]&lt;0.1, " ",Inventory_List_Table34111510911131718[[#This Row],[AQ USD]])</f>
        <v xml:space="preserve"> </v>
      </c>
      <c r="X7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6" s="30" t="str">
        <f>IF(Inventory_List_Table34111510911131718[[#This Row],[Q]]&lt;0.1, " ",Inventory_List_Table34111510911131718[[#This Row],[PRICE]]/Z76*10000)</f>
        <v xml:space="preserve"> </v>
      </c>
      <c r="AB76" s="220"/>
      <c r="AC76" s="1"/>
      <c r="AD76" s="1"/>
    </row>
    <row r="77" spans="1:30" ht="24" customHeight="1" x14ac:dyDescent="0.3">
      <c r="A77" s="210">
        <v>75</v>
      </c>
      <c r="B77" s="1"/>
      <c r="C77" s="213"/>
      <c r="D77" s="213"/>
      <c r="E77" s="213"/>
      <c r="F77" s="38" t="str">
        <f>IF(Inventory_List_Table34111510911131718[[#This Row],[Q]]&lt;0.1, " ",#REF!&amp;$D$1&amp;#REF!&amp;Inventory_List_Table34111510911131718[[#This Row],[NOTES]])</f>
        <v xml:space="preserve"> </v>
      </c>
      <c r="G77" s="216"/>
      <c r="H77" s="216"/>
      <c r="I77" s="216"/>
      <c r="J77" s="216"/>
      <c r="K77" s="216"/>
      <c r="L77" s="218"/>
      <c r="M7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7" s="35" t="str">
        <f>IF(Inventory_List_Table34111510911131718[[#This Row],[Q]]&lt;0.1, " ", Inventory_List_Table34111510911131718[[#This Row],[KG]]*2.20462)</f>
        <v xml:space="preserve"> </v>
      </c>
      <c r="O77" s="35" t="str">
        <f>IF(Inventory_List_Table34111510911131718[[#This Row],[Q]]&lt;0.1, " ",Inventory_List_Table34111510911131718[[#This Row],[H CM]]/2.54)</f>
        <v xml:space="preserve"> </v>
      </c>
      <c r="P77" s="35" t="str">
        <f>IF(Inventory_List_Table34111510911131718[[#This Row],[Q]]&lt;0.1, " ",Inventory_List_Table34111510911131718[[#This Row],[W CM]]/2.54)</f>
        <v xml:space="preserve"> </v>
      </c>
      <c r="Q77" s="35" t="str">
        <f>IF(Inventory_List_Table34111510911131718[[#This Row],[Q]]&lt;0.1, " ",Inventory_List_Table34111510911131718[[#This Row],[D CM ]]/2.54)</f>
        <v xml:space="preserve"> </v>
      </c>
      <c r="R77" s="30" t="str">
        <f>IF(Inventory_List_Table34111510911131718[[#This Row],[Q]]&lt;0.1, " ",Inventory_List_Table34111510911131718[[#This Row],[PRICE]]/$L$1)</f>
        <v xml:space="preserve"> </v>
      </c>
      <c r="S7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7" s="30" t="str">
        <f>IF(Inventory_List_Table34111510911131718[[#This Row],[Q]]&lt;0.1, " ",Inventory_List_Table34111510911131718[[#This Row],[AQ RND USD]]*1.4)</f>
        <v xml:space="preserve"> </v>
      </c>
      <c r="U7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7" s="30" t="str">
        <f>IF(Inventory_List_Table34111510911131718[[#This Row],[Q]]&lt;0.1, " ",Inventory_List_Table34111510911131718[[#This Row],[LND RND USD]]*12)</f>
        <v xml:space="preserve"> </v>
      </c>
      <c r="W77" s="30" t="str">
        <f>IF(Inventory_List_Table34111510911131718[[#This Row],[Q]]&lt;0.1, " ",Inventory_List_Table34111510911131718[[#This Row],[AQ USD]])</f>
        <v xml:space="preserve"> </v>
      </c>
      <c r="X7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7" s="30" t="str">
        <f>IF(Inventory_List_Table34111510911131718[[#This Row],[Q]]&lt;0.1, " ",Inventory_List_Table34111510911131718[[#This Row],[PRICE]]/Z77*10000)</f>
        <v xml:space="preserve"> </v>
      </c>
      <c r="AB77" s="220"/>
      <c r="AC77" s="1"/>
      <c r="AD77" s="1"/>
    </row>
    <row r="78" spans="1:30" ht="24" customHeight="1" x14ac:dyDescent="0.3">
      <c r="A78" s="210">
        <v>76</v>
      </c>
      <c r="B78" s="1"/>
      <c r="C78" s="213"/>
      <c r="D78" s="213"/>
      <c r="E78" s="213"/>
      <c r="F78" s="38" t="str">
        <f>IF(Inventory_List_Table34111510911131718[[#This Row],[Q]]&lt;0.1, " ",#REF!&amp;$D$1&amp;#REF!&amp;Inventory_List_Table34111510911131718[[#This Row],[NOTES]])</f>
        <v xml:space="preserve"> </v>
      </c>
      <c r="G78" s="216"/>
      <c r="H78" s="216"/>
      <c r="I78" s="216"/>
      <c r="J78" s="216"/>
      <c r="K78" s="216"/>
      <c r="L78" s="218"/>
      <c r="M7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8" s="35" t="str">
        <f>IF(Inventory_List_Table34111510911131718[[#This Row],[Q]]&lt;0.1, " ", Inventory_List_Table34111510911131718[[#This Row],[KG]]*2.20462)</f>
        <v xml:space="preserve"> </v>
      </c>
      <c r="O78" s="35" t="str">
        <f>IF(Inventory_List_Table34111510911131718[[#This Row],[Q]]&lt;0.1, " ",Inventory_List_Table34111510911131718[[#This Row],[H CM]]/2.54)</f>
        <v xml:space="preserve"> </v>
      </c>
      <c r="P78" s="35" t="str">
        <f>IF(Inventory_List_Table34111510911131718[[#This Row],[Q]]&lt;0.1, " ",Inventory_List_Table34111510911131718[[#This Row],[W CM]]/2.54)</f>
        <v xml:space="preserve"> </v>
      </c>
      <c r="Q78" s="35" t="str">
        <f>IF(Inventory_List_Table34111510911131718[[#This Row],[Q]]&lt;0.1, " ",Inventory_List_Table34111510911131718[[#This Row],[D CM ]]/2.54)</f>
        <v xml:space="preserve"> </v>
      </c>
      <c r="R78" s="30" t="str">
        <f>IF(Inventory_List_Table34111510911131718[[#This Row],[Q]]&lt;0.1, " ",Inventory_List_Table34111510911131718[[#This Row],[PRICE]]/$L$1)</f>
        <v xml:space="preserve"> </v>
      </c>
      <c r="S7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8" s="30" t="str">
        <f>IF(Inventory_List_Table34111510911131718[[#This Row],[Q]]&lt;0.1, " ",Inventory_List_Table34111510911131718[[#This Row],[AQ RND USD]]*1.4)</f>
        <v xml:space="preserve"> </v>
      </c>
      <c r="U7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8" s="30" t="str">
        <f>IF(Inventory_List_Table34111510911131718[[#This Row],[Q]]&lt;0.1, " ",Inventory_List_Table34111510911131718[[#This Row],[LND RND USD]]*12)</f>
        <v xml:space="preserve"> </v>
      </c>
      <c r="W78" s="30" t="str">
        <f>IF(Inventory_List_Table34111510911131718[[#This Row],[Q]]&lt;0.1, " ",Inventory_List_Table34111510911131718[[#This Row],[AQ USD]])</f>
        <v xml:space="preserve"> </v>
      </c>
      <c r="X7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8" s="30" t="str">
        <f>IF(Inventory_List_Table34111510911131718[[#This Row],[Q]]&lt;0.1, " ",Inventory_List_Table34111510911131718[[#This Row],[PRICE]]/Z78*10000)</f>
        <v xml:space="preserve"> </v>
      </c>
      <c r="AB78" s="220"/>
      <c r="AC78" s="1"/>
      <c r="AD78" s="1"/>
    </row>
    <row r="79" spans="1:30" ht="24" customHeight="1" x14ac:dyDescent="0.3">
      <c r="A79" s="210">
        <v>77</v>
      </c>
      <c r="B79" s="1"/>
      <c r="C79" s="213"/>
      <c r="D79" s="213"/>
      <c r="E79" s="213"/>
      <c r="F79" s="38" t="str">
        <f>IF(Inventory_List_Table34111510911131718[[#This Row],[Q]]&lt;0.1, " ",#REF!&amp;$D$1&amp;#REF!&amp;Inventory_List_Table34111510911131718[[#This Row],[NOTES]])</f>
        <v xml:space="preserve"> </v>
      </c>
      <c r="G79" s="216"/>
      <c r="H79" s="216"/>
      <c r="I79" s="216"/>
      <c r="J79" s="216"/>
      <c r="K79" s="216"/>
      <c r="L79" s="218"/>
      <c r="M7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79" s="35" t="str">
        <f>IF(Inventory_List_Table34111510911131718[[#This Row],[Q]]&lt;0.1, " ", Inventory_List_Table34111510911131718[[#This Row],[KG]]*2.20462)</f>
        <v xml:space="preserve"> </v>
      </c>
      <c r="O79" s="35" t="str">
        <f>IF(Inventory_List_Table34111510911131718[[#This Row],[Q]]&lt;0.1, " ",Inventory_List_Table34111510911131718[[#This Row],[H CM]]/2.54)</f>
        <v xml:space="preserve"> </v>
      </c>
      <c r="P79" s="35" t="str">
        <f>IF(Inventory_List_Table34111510911131718[[#This Row],[Q]]&lt;0.1, " ",Inventory_List_Table34111510911131718[[#This Row],[W CM]]/2.54)</f>
        <v xml:space="preserve"> </v>
      </c>
      <c r="Q79" s="35" t="str">
        <f>IF(Inventory_List_Table34111510911131718[[#This Row],[Q]]&lt;0.1, " ",Inventory_List_Table34111510911131718[[#This Row],[D CM ]]/2.54)</f>
        <v xml:space="preserve"> </v>
      </c>
      <c r="R79" s="30" t="str">
        <f>IF(Inventory_List_Table34111510911131718[[#This Row],[Q]]&lt;0.1, " ",Inventory_List_Table34111510911131718[[#This Row],[PRICE]]/$L$1)</f>
        <v xml:space="preserve"> </v>
      </c>
      <c r="S7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79" s="30" t="str">
        <f>IF(Inventory_List_Table34111510911131718[[#This Row],[Q]]&lt;0.1, " ",Inventory_List_Table34111510911131718[[#This Row],[AQ RND USD]]*1.4)</f>
        <v xml:space="preserve"> </v>
      </c>
      <c r="U7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79" s="30" t="str">
        <f>IF(Inventory_List_Table34111510911131718[[#This Row],[Q]]&lt;0.1, " ",Inventory_List_Table34111510911131718[[#This Row],[LND RND USD]]*12)</f>
        <v xml:space="preserve"> </v>
      </c>
      <c r="W79" s="30" t="str">
        <f>IF(Inventory_List_Table34111510911131718[[#This Row],[Q]]&lt;0.1, " ",Inventory_List_Table34111510911131718[[#This Row],[AQ USD]])</f>
        <v xml:space="preserve"> </v>
      </c>
      <c r="X7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7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7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79" s="30" t="str">
        <f>IF(Inventory_List_Table34111510911131718[[#This Row],[Q]]&lt;0.1, " ",Inventory_List_Table34111510911131718[[#This Row],[PRICE]]/Z79*10000)</f>
        <v xml:space="preserve"> </v>
      </c>
      <c r="AB79" s="220"/>
      <c r="AC79" s="1"/>
      <c r="AD79" s="1"/>
    </row>
    <row r="80" spans="1:30" ht="24" customHeight="1" x14ac:dyDescent="0.3">
      <c r="A80" s="210">
        <v>78</v>
      </c>
      <c r="B80" s="1"/>
      <c r="C80" s="213"/>
      <c r="D80" s="213"/>
      <c r="E80" s="213"/>
      <c r="F80" s="38" t="str">
        <f>IF(Inventory_List_Table34111510911131718[[#This Row],[Q]]&lt;0.1, " ",#REF!&amp;$D$1&amp;#REF!&amp;Inventory_List_Table34111510911131718[[#This Row],[NOTES]])</f>
        <v xml:space="preserve"> </v>
      </c>
      <c r="G80" s="216"/>
      <c r="H80" s="216"/>
      <c r="I80" s="216"/>
      <c r="J80" s="216"/>
      <c r="K80" s="216"/>
      <c r="L80" s="218"/>
      <c r="M8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0" s="35" t="str">
        <f>IF(Inventory_List_Table34111510911131718[[#This Row],[Q]]&lt;0.1, " ", Inventory_List_Table34111510911131718[[#This Row],[KG]]*2.20462)</f>
        <v xml:space="preserve"> </v>
      </c>
      <c r="O80" s="35" t="str">
        <f>IF(Inventory_List_Table34111510911131718[[#This Row],[Q]]&lt;0.1, " ",Inventory_List_Table34111510911131718[[#This Row],[H CM]]/2.54)</f>
        <v xml:space="preserve"> </v>
      </c>
      <c r="P80" s="35" t="str">
        <f>IF(Inventory_List_Table34111510911131718[[#This Row],[Q]]&lt;0.1, " ",Inventory_List_Table34111510911131718[[#This Row],[W CM]]/2.54)</f>
        <v xml:space="preserve"> </v>
      </c>
      <c r="Q80" s="35" t="str">
        <f>IF(Inventory_List_Table34111510911131718[[#This Row],[Q]]&lt;0.1, " ",Inventory_List_Table34111510911131718[[#This Row],[D CM ]]/2.54)</f>
        <v xml:space="preserve"> </v>
      </c>
      <c r="R80" s="30" t="str">
        <f>IF(Inventory_List_Table34111510911131718[[#This Row],[Q]]&lt;0.1, " ",Inventory_List_Table34111510911131718[[#This Row],[PRICE]]/$L$1)</f>
        <v xml:space="preserve"> </v>
      </c>
      <c r="S8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0" s="30" t="str">
        <f>IF(Inventory_List_Table34111510911131718[[#This Row],[Q]]&lt;0.1, " ",Inventory_List_Table34111510911131718[[#This Row],[AQ RND USD]]*1.4)</f>
        <v xml:space="preserve"> </v>
      </c>
      <c r="U8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0" s="30" t="str">
        <f>IF(Inventory_List_Table34111510911131718[[#This Row],[Q]]&lt;0.1, " ",Inventory_List_Table34111510911131718[[#This Row],[LND RND USD]]*12)</f>
        <v xml:space="preserve"> </v>
      </c>
      <c r="W80" s="30" t="str">
        <f>IF(Inventory_List_Table34111510911131718[[#This Row],[Q]]&lt;0.1, " ",Inventory_List_Table34111510911131718[[#This Row],[AQ USD]])</f>
        <v xml:space="preserve"> </v>
      </c>
      <c r="X8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0" s="30" t="str">
        <f>IF(Inventory_List_Table34111510911131718[[#This Row],[Q]]&lt;0.1, " ",Inventory_List_Table34111510911131718[[#This Row],[PRICE]]/Z80*10000)</f>
        <v xml:space="preserve"> </v>
      </c>
      <c r="AB80" s="220"/>
      <c r="AC80" s="1"/>
      <c r="AD80" s="1"/>
    </row>
    <row r="81" spans="1:30" ht="24" customHeight="1" x14ac:dyDescent="0.3">
      <c r="A81" s="210">
        <v>79</v>
      </c>
      <c r="B81" s="1"/>
      <c r="C81" s="213"/>
      <c r="D81" s="213"/>
      <c r="E81" s="213"/>
      <c r="F81" s="38" t="str">
        <f>IF(Inventory_List_Table34111510911131718[[#This Row],[Q]]&lt;0.1, " ",#REF!&amp;$D$1&amp;#REF!&amp;Inventory_List_Table34111510911131718[[#This Row],[NOTES]])</f>
        <v xml:space="preserve"> </v>
      </c>
      <c r="G81" s="216"/>
      <c r="H81" s="216"/>
      <c r="I81" s="216"/>
      <c r="J81" s="216"/>
      <c r="K81" s="216"/>
      <c r="L81" s="218"/>
      <c r="M8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1" s="35" t="str">
        <f>IF(Inventory_List_Table34111510911131718[[#This Row],[Q]]&lt;0.1, " ", Inventory_List_Table34111510911131718[[#This Row],[KG]]*2.20462)</f>
        <v xml:space="preserve"> </v>
      </c>
      <c r="O81" s="35" t="str">
        <f>IF(Inventory_List_Table34111510911131718[[#This Row],[Q]]&lt;0.1, " ",Inventory_List_Table34111510911131718[[#This Row],[H CM]]/2.54)</f>
        <v xml:space="preserve"> </v>
      </c>
      <c r="P81" s="35" t="str">
        <f>IF(Inventory_List_Table34111510911131718[[#This Row],[Q]]&lt;0.1, " ",Inventory_List_Table34111510911131718[[#This Row],[W CM]]/2.54)</f>
        <v xml:space="preserve"> </v>
      </c>
      <c r="Q81" s="35" t="str">
        <f>IF(Inventory_List_Table34111510911131718[[#This Row],[Q]]&lt;0.1, " ",Inventory_List_Table34111510911131718[[#This Row],[D CM ]]/2.54)</f>
        <v xml:space="preserve"> </v>
      </c>
      <c r="R81" s="30" t="str">
        <f>IF(Inventory_List_Table34111510911131718[[#This Row],[Q]]&lt;0.1, " ",Inventory_List_Table34111510911131718[[#This Row],[PRICE]]/$L$1)</f>
        <v xml:space="preserve"> </v>
      </c>
      <c r="S8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1" s="30" t="str">
        <f>IF(Inventory_List_Table34111510911131718[[#This Row],[Q]]&lt;0.1, " ",Inventory_List_Table34111510911131718[[#This Row],[AQ RND USD]]*1.4)</f>
        <v xml:space="preserve"> </v>
      </c>
      <c r="U8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1" s="30" t="str">
        <f>IF(Inventory_List_Table34111510911131718[[#This Row],[Q]]&lt;0.1, " ",Inventory_List_Table34111510911131718[[#This Row],[LND RND USD]]*12)</f>
        <v xml:space="preserve"> </v>
      </c>
      <c r="W81" s="30" t="str">
        <f>IF(Inventory_List_Table34111510911131718[[#This Row],[Q]]&lt;0.1, " ",Inventory_List_Table34111510911131718[[#This Row],[AQ USD]])</f>
        <v xml:space="preserve"> </v>
      </c>
      <c r="X8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1" s="30" t="str">
        <f>IF(Inventory_List_Table34111510911131718[[#This Row],[Q]]&lt;0.1, " ",Inventory_List_Table34111510911131718[[#This Row],[PRICE]]/Z81*10000)</f>
        <v xml:space="preserve"> </v>
      </c>
      <c r="AB81" s="220"/>
      <c r="AC81" s="1"/>
      <c r="AD81" s="1"/>
    </row>
    <row r="82" spans="1:30" ht="24" customHeight="1" x14ac:dyDescent="0.3">
      <c r="A82" s="210">
        <v>80</v>
      </c>
      <c r="B82" s="1"/>
      <c r="C82" s="213"/>
      <c r="D82" s="213"/>
      <c r="E82" s="213"/>
      <c r="F82" s="38" t="str">
        <f>IF(Inventory_List_Table34111510911131718[[#This Row],[Q]]&lt;0.1, " ",#REF!&amp;$D$1&amp;#REF!&amp;Inventory_List_Table34111510911131718[[#This Row],[NOTES]])</f>
        <v xml:space="preserve"> </v>
      </c>
      <c r="G82" s="216"/>
      <c r="H82" s="216"/>
      <c r="I82" s="216"/>
      <c r="J82" s="216"/>
      <c r="K82" s="216"/>
      <c r="L82" s="218"/>
      <c r="M8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2" s="35" t="str">
        <f>IF(Inventory_List_Table34111510911131718[[#This Row],[Q]]&lt;0.1, " ", Inventory_List_Table34111510911131718[[#This Row],[KG]]*2.20462)</f>
        <v xml:space="preserve"> </v>
      </c>
      <c r="O82" s="35" t="str">
        <f>IF(Inventory_List_Table34111510911131718[[#This Row],[Q]]&lt;0.1, " ",Inventory_List_Table34111510911131718[[#This Row],[H CM]]/2.54)</f>
        <v xml:space="preserve"> </v>
      </c>
      <c r="P82" s="35" t="str">
        <f>IF(Inventory_List_Table34111510911131718[[#This Row],[Q]]&lt;0.1, " ",Inventory_List_Table34111510911131718[[#This Row],[W CM]]/2.54)</f>
        <v xml:space="preserve"> </v>
      </c>
      <c r="Q82" s="35" t="str">
        <f>IF(Inventory_List_Table34111510911131718[[#This Row],[Q]]&lt;0.1, " ",Inventory_List_Table34111510911131718[[#This Row],[D CM ]]/2.54)</f>
        <v xml:space="preserve"> </v>
      </c>
      <c r="R82" s="30" t="str">
        <f>IF(Inventory_List_Table34111510911131718[[#This Row],[Q]]&lt;0.1, " ",Inventory_List_Table34111510911131718[[#This Row],[PRICE]]/$L$1)</f>
        <v xml:space="preserve"> </v>
      </c>
      <c r="S8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2" s="30" t="str">
        <f>IF(Inventory_List_Table34111510911131718[[#This Row],[Q]]&lt;0.1, " ",Inventory_List_Table34111510911131718[[#This Row],[AQ RND USD]]*1.4)</f>
        <v xml:space="preserve"> </v>
      </c>
      <c r="U8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2" s="30" t="str">
        <f>IF(Inventory_List_Table34111510911131718[[#This Row],[Q]]&lt;0.1, " ",Inventory_List_Table34111510911131718[[#This Row],[LND RND USD]]*12)</f>
        <v xml:space="preserve"> </v>
      </c>
      <c r="W82" s="30" t="str">
        <f>IF(Inventory_List_Table34111510911131718[[#This Row],[Q]]&lt;0.1, " ",Inventory_List_Table34111510911131718[[#This Row],[AQ USD]])</f>
        <v xml:space="preserve"> </v>
      </c>
      <c r="X8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2" s="30" t="str">
        <f>IF(Inventory_List_Table34111510911131718[[#This Row],[Q]]&lt;0.1, " ",Inventory_List_Table34111510911131718[[#This Row],[PRICE]]/Z82*10000)</f>
        <v xml:space="preserve"> </v>
      </c>
      <c r="AB82" s="220"/>
      <c r="AC82" s="1"/>
      <c r="AD82" s="1"/>
    </row>
    <row r="83" spans="1:30" ht="24" customHeight="1" x14ac:dyDescent="0.3">
      <c r="A83" s="210">
        <v>81</v>
      </c>
      <c r="B83" s="1"/>
      <c r="C83" s="213"/>
      <c r="D83" s="213"/>
      <c r="E83" s="213"/>
      <c r="F83" s="38" t="str">
        <f>IF(Inventory_List_Table34111510911131718[[#This Row],[Q]]&lt;0.1, " ",#REF!&amp;$D$1&amp;#REF!&amp;Inventory_List_Table34111510911131718[[#This Row],[NOTES]])</f>
        <v xml:space="preserve"> </v>
      </c>
      <c r="G83" s="216"/>
      <c r="H83" s="216"/>
      <c r="I83" s="216"/>
      <c r="J83" s="216"/>
      <c r="K83" s="216"/>
      <c r="L83" s="218"/>
      <c r="M8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3" s="35" t="str">
        <f>IF(Inventory_List_Table34111510911131718[[#This Row],[Q]]&lt;0.1, " ", Inventory_List_Table34111510911131718[[#This Row],[KG]]*2.20462)</f>
        <v xml:space="preserve"> </v>
      </c>
      <c r="O83" s="35" t="str">
        <f>IF(Inventory_List_Table34111510911131718[[#This Row],[Q]]&lt;0.1, " ",Inventory_List_Table34111510911131718[[#This Row],[H CM]]/2.54)</f>
        <v xml:space="preserve"> </v>
      </c>
      <c r="P83" s="35" t="str">
        <f>IF(Inventory_List_Table34111510911131718[[#This Row],[Q]]&lt;0.1, " ",Inventory_List_Table34111510911131718[[#This Row],[W CM]]/2.54)</f>
        <v xml:space="preserve"> </v>
      </c>
      <c r="Q83" s="35" t="str">
        <f>IF(Inventory_List_Table34111510911131718[[#This Row],[Q]]&lt;0.1, " ",Inventory_List_Table34111510911131718[[#This Row],[D CM ]]/2.54)</f>
        <v xml:space="preserve"> </v>
      </c>
      <c r="R83" s="30" t="str">
        <f>IF(Inventory_List_Table34111510911131718[[#This Row],[Q]]&lt;0.1, " ",Inventory_List_Table34111510911131718[[#This Row],[PRICE]]/$L$1)</f>
        <v xml:space="preserve"> </v>
      </c>
      <c r="S8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3" s="30" t="str">
        <f>IF(Inventory_List_Table34111510911131718[[#This Row],[Q]]&lt;0.1, " ",Inventory_List_Table34111510911131718[[#This Row],[AQ RND USD]]*1.4)</f>
        <v xml:space="preserve"> </v>
      </c>
      <c r="U8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3" s="30" t="str">
        <f>IF(Inventory_List_Table34111510911131718[[#This Row],[Q]]&lt;0.1, " ",Inventory_List_Table34111510911131718[[#This Row],[LND RND USD]]*12)</f>
        <v xml:space="preserve"> </v>
      </c>
      <c r="W83" s="30" t="str">
        <f>IF(Inventory_List_Table34111510911131718[[#This Row],[Q]]&lt;0.1, " ",Inventory_List_Table34111510911131718[[#This Row],[AQ USD]])</f>
        <v xml:space="preserve"> </v>
      </c>
      <c r="X8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3" s="30" t="str">
        <f>IF(Inventory_List_Table34111510911131718[[#This Row],[Q]]&lt;0.1, " ",Inventory_List_Table34111510911131718[[#This Row],[PRICE]]/Z83*10000)</f>
        <v xml:space="preserve"> </v>
      </c>
      <c r="AB83" s="220"/>
      <c r="AC83" s="1"/>
      <c r="AD83" s="1"/>
    </row>
    <row r="84" spans="1:30" ht="24" customHeight="1" x14ac:dyDescent="0.3">
      <c r="A84" s="210">
        <v>82</v>
      </c>
      <c r="B84" s="1"/>
      <c r="C84" s="213"/>
      <c r="D84" s="213"/>
      <c r="E84" s="213"/>
      <c r="F84" s="38" t="str">
        <f>IF(Inventory_List_Table34111510911131718[[#This Row],[Q]]&lt;0.1, " ",#REF!&amp;$D$1&amp;#REF!&amp;Inventory_List_Table34111510911131718[[#This Row],[NOTES]])</f>
        <v xml:space="preserve"> </v>
      </c>
      <c r="G84" s="216"/>
      <c r="H84" s="216"/>
      <c r="I84" s="216"/>
      <c r="J84" s="216"/>
      <c r="K84" s="216"/>
      <c r="L84" s="218"/>
      <c r="M8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4" s="35" t="str">
        <f>IF(Inventory_List_Table34111510911131718[[#This Row],[Q]]&lt;0.1, " ", Inventory_List_Table34111510911131718[[#This Row],[KG]]*2.20462)</f>
        <v xml:space="preserve"> </v>
      </c>
      <c r="O84" s="35" t="str">
        <f>IF(Inventory_List_Table34111510911131718[[#This Row],[Q]]&lt;0.1, " ",Inventory_List_Table34111510911131718[[#This Row],[H CM]]/2.54)</f>
        <v xml:space="preserve"> </v>
      </c>
      <c r="P84" s="35" t="str">
        <f>IF(Inventory_List_Table34111510911131718[[#This Row],[Q]]&lt;0.1, " ",Inventory_List_Table34111510911131718[[#This Row],[W CM]]/2.54)</f>
        <v xml:space="preserve"> </v>
      </c>
      <c r="Q84" s="35" t="str">
        <f>IF(Inventory_List_Table34111510911131718[[#This Row],[Q]]&lt;0.1, " ",Inventory_List_Table34111510911131718[[#This Row],[D CM ]]/2.54)</f>
        <v xml:space="preserve"> </v>
      </c>
      <c r="R84" s="30" t="str">
        <f>IF(Inventory_List_Table34111510911131718[[#This Row],[Q]]&lt;0.1, " ",Inventory_List_Table34111510911131718[[#This Row],[PRICE]]/$L$1)</f>
        <v xml:space="preserve"> </v>
      </c>
      <c r="S8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4" s="30" t="str">
        <f>IF(Inventory_List_Table34111510911131718[[#This Row],[Q]]&lt;0.1, " ",Inventory_List_Table34111510911131718[[#This Row],[AQ RND USD]]*1.4)</f>
        <v xml:space="preserve"> </v>
      </c>
      <c r="U8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4" s="30" t="str">
        <f>IF(Inventory_List_Table34111510911131718[[#This Row],[Q]]&lt;0.1, " ",Inventory_List_Table34111510911131718[[#This Row],[LND RND USD]]*12)</f>
        <v xml:space="preserve"> </v>
      </c>
      <c r="W84" s="30" t="str">
        <f>IF(Inventory_List_Table34111510911131718[[#This Row],[Q]]&lt;0.1, " ",Inventory_List_Table34111510911131718[[#This Row],[AQ USD]])</f>
        <v xml:space="preserve"> </v>
      </c>
      <c r="X8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4" s="30" t="str">
        <f>IF(Inventory_List_Table34111510911131718[[#This Row],[Q]]&lt;0.1, " ",Inventory_List_Table34111510911131718[[#This Row],[PRICE]]/Z84*10000)</f>
        <v xml:space="preserve"> </v>
      </c>
      <c r="AB84" s="220"/>
      <c r="AC84" s="1"/>
      <c r="AD84" s="1"/>
    </row>
    <row r="85" spans="1:30" ht="24" customHeight="1" x14ac:dyDescent="0.3">
      <c r="A85" s="210">
        <v>83</v>
      </c>
      <c r="B85" s="1"/>
      <c r="C85" s="213"/>
      <c r="D85" s="213"/>
      <c r="E85" s="213"/>
      <c r="F85" s="38" t="str">
        <f>IF(Inventory_List_Table34111510911131718[[#This Row],[Q]]&lt;0.1, " ",#REF!&amp;$D$1&amp;#REF!&amp;Inventory_List_Table34111510911131718[[#This Row],[NOTES]])</f>
        <v xml:space="preserve"> </v>
      </c>
      <c r="G85" s="216"/>
      <c r="H85" s="216"/>
      <c r="I85" s="216"/>
      <c r="J85" s="216"/>
      <c r="K85" s="216"/>
      <c r="L85" s="218"/>
      <c r="M8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5" s="35" t="str">
        <f>IF(Inventory_List_Table34111510911131718[[#This Row],[Q]]&lt;0.1, " ", Inventory_List_Table34111510911131718[[#This Row],[KG]]*2.20462)</f>
        <v xml:space="preserve"> </v>
      </c>
      <c r="O85" s="35" t="str">
        <f>IF(Inventory_List_Table34111510911131718[[#This Row],[Q]]&lt;0.1, " ",Inventory_List_Table34111510911131718[[#This Row],[H CM]]/2.54)</f>
        <v xml:space="preserve"> </v>
      </c>
      <c r="P85" s="35" t="str">
        <f>IF(Inventory_List_Table34111510911131718[[#This Row],[Q]]&lt;0.1, " ",Inventory_List_Table34111510911131718[[#This Row],[W CM]]/2.54)</f>
        <v xml:space="preserve"> </v>
      </c>
      <c r="Q85" s="35" t="str">
        <f>IF(Inventory_List_Table34111510911131718[[#This Row],[Q]]&lt;0.1, " ",Inventory_List_Table34111510911131718[[#This Row],[D CM ]]/2.54)</f>
        <v xml:space="preserve"> </v>
      </c>
      <c r="R85" s="30" t="str">
        <f>IF(Inventory_List_Table34111510911131718[[#This Row],[Q]]&lt;0.1, " ",Inventory_List_Table34111510911131718[[#This Row],[PRICE]]/$L$1)</f>
        <v xml:space="preserve"> </v>
      </c>
      <c r="S8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5" s="30" t="str">
        <f>IF(Inventory_List_Table34111510911131718[[#This Row],[Q]]&lt;0.1, " ",Inventory_List_Table34111510911131718[[#This Row],[AQ RND USD]]*1.4)</f>
        <v xml:space="preserve"> </v>
      </c>
      <c r="U8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5" s="30" t="str">
        <f>IF(Inventory_List_Table34111510911131718[[#This Row],[Q]]&lt;0.1, " ",Inventory_List_Table34111510911131718[[#This Row],[LND RND USD]]*12)</f>
        <v xml:space="preserve"> </v>
      </c>
      <c r="W85" s="30" t="str">
        <f>IF(Inventory_List_Table34111510911131718[[#This Row],[Q]]&lt;0.1, " ",Inventory_List_Table34111510911131718[[#This Row],[AQ USD]])</f>
        <v xml:space="preserve"> </v>
      </c>
      <c r="X8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5" s="30" t="str">
        <f>IF(Inventory_List_Table34111510911131718[[#This Row],[Q]]&lt;0.1, " ",Inventory_List_Table34111510911131718[[#This Row],[PRICE]]/Z85*10000)</f>
        <v xml:space="preserve"> </v>
      </c>
      <c r="AB85" s="220"/>
      <c r="AC85" s="1"/>
      <c r="AD85" s="1"/>
    </row>
    <row r="86" spans="1:30" ht="24" customHeight="1" x14ac:dyDescent="0.3">
      <c r="A86" s="210">
        <v>84</v>
      </c>
      <c r="B86" s="1"/>
      <c r="C86" s="213"/>
      <c r="D86" s="213"/>
      <c r="E86" s="213"/>
      <c r="F86" s="38" t="str">
        <f>IF(Inventory_List_Table34111510911131718[[#This Row],[Q]]&lt;0.1, " ",#REF!&amp;$D$1&amp;#REF!&amp;Inventory_List_Table34111510911131718[[#This Row],[NOTES]])</f>
        <v xml:space="preserve"> </v>
      </c>
      <c r="G86" s="216"/>
      <c r="H86" s="216"/>
      <c r="I86" s="216"/>
      <c r="J86" s="216"/>
      <c r="K86" s="216"/>
      <c r="L86" s="218"/>
      <c r="M8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6" s="35" t="str">
        <f>IF(Inventory_List_Table34111510911131718[[#This Row],[Q]]&lt;0.1, " ", Inventory_List_Table34111510911131718[[#This Row],[KG]]*2.20462)</f>
        <v xml:space="preserve"> </v>
      </c>
      <c r="O86" s="35" t="str">
        <f>IF(Inventory_List_Table34111510911131718[[#This Row],[Q]]&lt;0.1, " ",Inventory_List_Table34111510911131718[[#This Row],[H CM]]/2.54)</f>
        <v xml:space="preserve"> </v>
      </c>
      <c r="P86" s="35" t="str">
        <f>IF(Inventory_List_Table34111510911131718[[#This Row],[Q]]&lt;0.1, " ",Inventory_List_Table34111510911131718[[#This Row],[W CM]]/2.54)</f>
        <v xml:space="preserve"> </v>
      </c>
      <c r="Q86" s="35" t="str">
        <f>IF(Inventory_List_Table34111510911131718[[#This Row],[Q]]&lt;0.1, " ",Inventory_List_Table34111510911131718[[#This Row],[D CM ]]/2.54)</f>
        <v xml:space="preserve"> </v>
      </c>
      <c r="R86" s="30" t="str">
        <f>IF(Inventory_List_Table34111510911131718[[#This Row],[Q]]&lt;0.1, " ",Inventory_List_Table34111510911131718[[#This Row],[PRICE]]/$L$1)</f>
        <v xml:space="preserve"> </v>
      </c>
      <c r="S8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6" s="30" t="str">
        <f>IF(Inventory_List_Table34111510911131718[[#This Row],[Q]]&lt;0.1, " ",Inventory_List_Table34111510911131718[[#This Row],[AQ RND USD]]*1.4)</f>
        <v xml:space="preserve"> </v>
      </c>
      <c r="U8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6" s="30" t="str">
        <f>IF(Inventory_List_Table34111510911131718[[#This Row],[Q]]&lt;0.1, " ",Inventory_List_Table34111510911131718[[#This Row],[LND RND USD]]*12)</f>
        <v xml:space="preserve"> </v>
      </c>
      <c r="W86" s="30" t="str">
        <f>IF(Inventory_List_Table34111510911131718[[#This Row],[Q]]&lt;0.1, " ",Inventory_List_Table34111510911131718[[#This Row],[AQ USD]])</f>
        <v xml:space="preserve"> </v>
      </c>
      <c r="X8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6" s="30" t="str">
        <f>IF(Inventory_List_Table34111510911131718[[#This Row],[Q]]&lt;0.1, " ",Inventory_List_Table34111510911131718[[#This Row],[PRICE]]/Z86*10000)</f>
        <v xml:space="preserve"> </v>
      </c>
      <c r="AB86" s="220"/>
      <c r="AC86" s="1"/>
      <c r="AD86" s="1"/>
    </row>
    <row r="87" spans="1:30" ht="24" customHeight="1" x14ac:dyDescent="0.3">
      <c r="A87" s="210">
        <v>85</v>
      </c>
      <c r="B87" s="1"/>
      <c r="C87" s="213"/>
      <c r="D87" s="213"/>
      <c r="E87" s="213"/>
      <c r="F87" s="38" t="str">
        <f>IF(Inventory_List_Table34111510911131718[[#This Row],[Q]]&lt;0.1, " ",#REF!&amp;$D$1&amp;#REF!&amp;Inventory_List_Table34111510911131718[[#This Row],[NOTES]])</f>
        <v xml:space="preserve"> </v>
      </c>
      <c r="G87" s="216"/>
      <c r="H87" s="216"/>
      <c r="I87" s="216"/>
      <c r="J87" s="216"/>
      <c r="K87" s="216"/>
      <c r="L87" s="218"/>
      <c r="M8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7" s="35" t="str">
        <f>IF(Inventory_List_Table34111510911131718[[#This Row],[Q]]&lt;0.1, " ", Inventory_List_Table34111510911131718[[#This Row],[KG]]*2.20462)</f>
        <v xml:space="preserve"> </v>
      </c>
      <c r="O87" s="35" t="str">
        <f>IF(Inventory_List_Table34111510911131718[[#This Row],[Q]]&lt;0.1, " ",Inventory_List_Table34111510911131718[[#This Row],[H CM]]/2.54)</f>
        <v xml:space="preserve"> </v>
      </c>
      <c r="P87" s="35" t="str">
        <f>IF(Inventory_List_Table34111510911131718[[#This Row],[Q]]&lt;0.1, " ",Inventory_List_Table34111510911131718[[#This Row],[W CM]]/2.54)</f>
        <v xml:space="preserve"> </v>
      </c>
      <c r="Q87" s="35" t="str">
        <f>IF(Inventory_List_Table34111510911131718[[#This Row],[Q]]&lt;0.1, " ",Inventory_List_Table34111510911131718[[#This Row],[D CM ]]/2.54)</f>
        <v xml:space="preserve"> </v>
      </c>
      <c r="R87" s="30" t="str">
        <f>IF(Inventory_List_Table34111510911131718[[#This Row],[Q]]&lt;0.1, " ",Inventory_List_Table34111510911131718[[#This Row],[PRICE]]/$L$1)</f>
        <v xml:space="preserve"> </v>
      </c>
      <c r="S8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7" s="30" t="str">
        <f>IF(Inventory_List_Table34111510911131718[[#This Row],[Q]]&lt;0.1, " ",Inventory_List_Table34111510911131718[[#This Row],[AQ RND USD]]*1.4)</f>
        <v xml:space="preserve"> </v>
      </c>
      <c r="U8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7" s="30" t="str">
        <f>IF(Inventory_List_Table34111510911131718[[#This Row],[Q]]&lt;0.1, " ",Inventory_List_Table34111510911131718[[#This Row],[LND RND USD]]*12)</f>
        <v xml:space="preserve"> </v>
      </c>
      <c r="W87" s="30" t="str">
        <f>IF(Inventory_List_Table34111510911131718[[#This Row],[Q]]&lt;0.1, " ",Inventory_List_Table34111510911131718[[#This Row],[AQ USD]])</f>
        <v xml:space="preserve"> </v>
      </c>
      <c r="X8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7" s="30" t="str">
        <f>IF(Inventory_List_Table34111510911131718[[#This Row],[Q]]&lt;0.1, " ",Inventory_List_Table34111510911131718[[#This Row],[PRICE]]/Z87*10000)</f>
        <v xml:space="preserve"> </v>
      </c>
      <c r="AB87" s="220"/>
      <c r="AC87" s="1"/>
      <c r="AD87" s="1"/>
    </row>
    <row r="88" spans="1:30" ht="24" customHeight="1" x14ac:dyDescent="0.3">
      <c r="A88" s="210">
        <v>86</v>
      </c>
      <c r="B88" s="1"/>
      <c r="C88" s="213"/>
      <c r="D88" s="213"/>
      <c r="E88" s="213"/>
      <c r="F88" s="38" t="str">
        <f>IF(Inventory_List_Table34111510911131718[[#This Row],[Q]]&lt;0.1, " ",#REF!&amp;$D$1&amp;#REF!&amp;Inventory_List_Table34111510911131718[[#This Row],[NOTES]])</f>
        <v xml:space="preserve"> </v>
      </c>
      <c r="G88" s="216"/>
      <c r="H88" s="216"/>
      <c r="I88" s="216"/>
      <c r="J88" s="216"/>
      <c r="K88" s="216"/>
      <c r="L88" s="218"/>
      <c r="M8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8" s="35" t="str">
        <f>IF(Inventory_List_Table34111510911131718[[#This Row],[Q]]&lt;0.1, " ", Inventory_List_Table34111510911131718[[#This Row],[KG]]*2.20462)</f>
        <v xml:space="preserve"> </v>
      </c>
      <c r="O88" s="35" t="str">
        <f>IF(Inventory_List_Table34111510911131718[[#This Row],[Q]]&lt;0.1, " ",Inventory_List_Table34111510911131718[[#This Row],[H CM]]/2.54)</f>
        <v xml:space="preserve"> </v>
      </c>
      <c r="P88" s="35" t="str">
        <f>IF(Inventory_List_Table34111510911131718[[#This Row],[Q]]&lt;0.1, " ",Inventory_List_Table34111510911131718[[#This Row],[W CM]]/2.54)</f>
        <v xml:space="preserve"> </v>
      </c>
      <c r="Q88" s="35" t="str">
        <f>IF(Inventory_List_Table34111510911131718[[#This Row],[Q]]&lt;0.1, " ",Inventory_List_Table34111510911131718[[#This Row],[D CM ]]/2.54)</f>
        <v xml:space="preserve"> </v>
      </c>
      <c r="R88" s="30" t="str">
        <f>IF(Inventory_List_Table34111510911131718[[#This Row],[Q]]&lt;0.1, " ",Inventory_List_Table34111510911131718[[#This Row],[PRICE]]/$L$1)</f>
        <v xml:space="preserve"> </v>
      </c>
      <c r="S8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8" s="30" t="str">
        <f>IF(Inventory_List_Table34111510911131718[[#This Row],[Q]]&lt;0.1, " ",Inventory_List_Table34111510911131718[[#This Row],[AQ RND USD]]*1.4)</f>
        <v xml:space="preserve"> </v>
      </c>
      <c r="U8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8" s="30" t="str">
        <f>IF(Inventory_List_Table34111510911131718[[#This Row],[Q]]&lt;0.1, " ",Inventory_List_Table34111510911131718[[#This Row],[LND RND USD]]*12)</f>
        <v xml:space="preserve"> </v>
      </c>
      <c r="W88" s="30" t="str">
        <f>IF(Inventory_List_Table34111510911131718[[#This Row],[Q]]&lt;0.1, " ",Inventory_List_Table34111510911131718[[#This Row],[AQ USD]])</f>
        <v xml:space="preserve"> </v>
      </c>
      <c r="X8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8" s="30" t="str">
        <f>IF(Inventory_List_Table34111510911131718[[#This Row],[Q]]&lt;0.1, " ",Inventory_List_Table34111510911131718[[#This Row],[PRICE]]/Z88*10000)</f>
        <v xml:space="preserve"> </v>
      </c>
      <c r="AB88" s="220"/>
      <c r="AC88" s="1"/>
      <c r="AD88" s="1"/>
    </row>
    <row r="89" spans="1:30" ht="24" customHeight="1" x14ac:dyDescent="0.3">
      <c r="A89" s="210">
        <v>87</v>
      </c>
      <c r="B89" s="1"/>
      <c r="C89" s="213"/>
      <c r="D89" s="213"/>
      <c r="E89" s="213"/>
      <c r="F89" s="38" t="str">
        <f>IF(Inventory_List_Table34111510911131718[[#This Row],[Q]]&lt;0.1, " ",#REF!&amp;$D$1&amp;#REF!&amp;Inventory_List_Table34111510911131718[[#This Row],[NOTES]])</f>
        <v xml:space="preserve"> </v>
      </c>
      <c r="G89" s="216"/>
      <c r="H89" s="216"/>
      <c r="I89" s="216"/>
      <c r="J89" s="216"/>
      <c r="K89" s="216"/>
      <c r="L89" s="218"/>
      <c r="M8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89" s="35" t="str">
        <f>IF(Inventory_List_Table34111510911131718[[#This Row],[Q]]&lt;0.1, " ", Inventory_List_Table34111510911131718[[#This Row],[KG]]*2.20462)</f>
        <v xml:space="preserve"> </v>
      </c>
      <c r="O89" s="35" t="str">
        <f>IF(Inventory_List_Table34111510911131718[[#This Row],[Q]]&lt;0.1, " ",Inventory_List_Table34111510911131718[[#This Row],[H CM]]/2.54)</f>
        <v xml:space="preserve"> </v>
      </c>
      <c r="P89" s="35" t="str">
        <f>IF(Inventory_List_Table34111510911131718[[#This Row],[Q]]&lt;0.1, " ",Inventory_List_Table34111510911131718[[#This Row],[W CM]]/2.54)</f>
        <v xml:space="preserve"> </v>
      </c>
      <c r="Q89" s="35" t="str">
        <f>IF(Inventory_List_Table34111510911131718[[#This Row],[Q]]&lt;0.1, " ",Inventory_List_Table34111510911131718[[#This Row],[D CM ]]/2.54)</f>
        <v xml:space="preserve"> </v>
      </c>
      <c r="R89" s="30" t="str">
        <f>IF(Inventory_List_Table34111510911131718[[#This Row],[Q]]&lt;0.1, " ",Inventory_List_Table34111510911131718[[#This Row],[PRICE]]/$L$1)</f>
        <v xml:space="preserve"> </v>
      </c>
      <c r="S8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89" s="30" t="str">
        <f>IF(Inventory_List_Table34111510911131718[[#This Row],[Q]]&lt;0.1, " ",Inventory_List_Table34111510911131718[[#This Row],[AQ RND USD]]*1.4)</f>
        <v xml:space="preserve"> </v>
      </c>
      <c r="U8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89" s="30" t="str">
        <f>IF(Inventory_List_Table34111510911131718[[#This Row],[Q]]&lt;0.1, " ",Inventory_List_Table34111510911131718[[#This Row],[LND RND USD]]*12)</f>
        <v xml:space="preserve"> </v>
      </c>
      <c r="W89" s="30" t="str">
        <f>IF(Inventory_List_Table34111510911131718[[#This Row],[Q]]&lt;0.1, " ",Inventory_List_Table34111510911131718[[#This Row],[AQ USD]])</f>
        <v xml:space="preserve"> </v>
      </c>
      <c r="X8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8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8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89" s="30" t="str">
        <f>IF(Inventory_List_Table34111510911131718[[#This Row],[Q]]&lt;0.1, " ",Inventory_List_Table34111510911131718[[#This Row],[PRICE]]/Z89*10000)</f>
        <v xml:space="preserve"> </v>
      </c>
      <c r="AB89" s="220"/>
      <c r="AC89" s="1"/>
      <c r="AD89" s="1"/>
    </row>
    <row r="90" spans="1:30" ht="24" customHeight="1" x14ac:dyDescent="0.3">
      <c r="A90" s="210">
        <v>88</v>
      </c>
      <c r="B90" s="1"/>
      <c r="C90" s="213"/>
      <c r="D90" s="213"/>
      <c r="E90" s="213"/>
      <c r="F90" s="38" t="str">
        <f>IF(Inventory_List_Table34111510911131718[[#This Row],[Q]]&lt;0.1, " ",#REF!&amp;$D$1&amp;#REF!&amp;Inventory_List_Table34111510911131718[[#This Row],[NOTES]])</f>
        <v xml:space="preserve"> </v>
      </c>
      <c r="G90" s="216"/>
      <c r="H90" s="216"/>
      <c r="I90" s="216"/>
      <c r="J90" s="216"/>
      <c r="K90" s="216"/>
      <c r="L90" s="218"/>
      <c r="M9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0" s="35" t="str">
        <f>IF(Inventory_List_Table34111510911131718[[#This Row],[Q]]&lt;0.1, " ", Inventory_List_Table34111510911131718[[#This Row],[KG]]*2.20462)</f>
        <v xml:space="preserve"> </v>
      </c>
      <c r="O90" s="35" t="str">
        <f>IF(Inventory_List_Table34111510911131718[[#This Row],[Q]]&lt;0.1, " ",Inventory_List_Table34111510911131718[[#This Row],[H CM]]/2.54)</f>
        <v xml:space="preserve"> </v>
      </c>
      <c r="P90" s="35" t="str">
        <f>IF(Inventory_List_Table34111510911131718[[#This Row],[Q]]&lt;0.1, " ",Inventory_List_Table34111510911131718[[#This Row],[W CM]]/2.54)</f>
        <v xml:space="preserve"> </v>
      </c>
      <c r="Q90" s="35" t="str">
        <f>IF(Inventory_List_Table34111510911131718[[#This Row],[Q]]&lt;0.1, " ",Inventory_List_Table34111510911131718[[#This Row],[D CM ]]/2.54)</f>
        <v xml:space="preserve"> </v>
      </c>
      <c r="R90" s="30" t="str">
        <f>IF(Inventory_List_Table34111510911131718[[#This Row],[Q]]&lt;0.1, " ",Inventory_List_Table34111510911131718[[#This Row],[PRICE]]/$L$1)</f>
        <v xml:space="preserve"> </v>
      </c>
      <c r="S9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0" s="30" t="str">
        <f>IF(Inventory_List_Table34111510911131718[[#This Row],[Q]]&lt;0.1, " ",Inventory_List_Table34111510911131718[[#This Row],[AQ RND USD]]*1.4)</f>
        <v xml:space="preserve"> </v>
      </c>
      <c r="U9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0" s="30" t="str">
        <f>IF(Inventory_List_Table34111510911131718[[#This Row],[Q]]&lt;0.1, " ",Inventory_List_Table34111510911131718[[#This Row],[LND RND USD]]*12)</f>
        <v xml:space="preserve"> </v>
      </c>
      <c r="W90" s="30" t="str">
        <f>IF(Inventory_List_Table34111510911131718[[#This Row],[Q]]&lt;0.1, " ",Inventory_List_Table34111510911131718[[#This Row],[AQ USD]])</f>
        <v xml:space="preserve"> </v>
      </c>
      <c r="X9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0" s="30" t="str">
        <f>IF(Inventory_List_Table34111510911131718[[#This Row],[Q]]&lt;0.1, " ",Inventory_List_Table34111510911131718[[#This Row],[PRICE]]/Z90*10000)</f>
        <v xml:space="preserve"> </v>
      </c>
      <c r="AB90" s="220"/>
      <c r="AC90" s="1"/>
      <c r="AD90" s="1"/>
    </row>
    <row r="91" spans="1:30" ht="24" customHeight="1" x14ac:dyDescent="0.3">
      <c r="A91" s="210">
        <v>89</v>
      </c>
      <c r="B91" s="1"/>
      <c r="C91" s="213"/>
      <c r="D91" s="213"/>
      <c r="E91" s="213"/>
      <c r="F91" s="38" t="str">
        <f>IF(Inventory_List_Table34111510911131718[[#This Row],[Q]]&lt;0.1, " ",#REF!&amp;$D$1&amp;#REF!&amp;Inventory_List_Table34111510911131718[[#This Row],[NOTES]])</f>
        <v xml:space="preserve"> </v>
      </c>
      <c r="G91" s="216"/>
      <c r="H91" s="216"/>
      <c r="I91" s="216"/>
      <c r="J91" s="216"/>
      <c r="K91" s="216"/>
      <c r="L91" s="218"/>
      <c r="M9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1" s="35" t="str">
        <f>IF(Inventory_List_Table34111510911131718[[#This Row],[Q]]&lt;0.1, " ", Inventory_List_Table34111510911131718[[#This Row],[KG]]*2.20462)</f>
        <v xml:space="preserve"> </v>
      </c>
      <c r="O91" s="35" t="str">
        <f>IF(Inventory_List_Table34111510911131718[[#This Row],[Q]]&lt;0.1, " ",Inventory_List_Table34111510911131718[[#This Row],[H CM]]/2.54)</f>
        <v xml:space="preserve"> </v>
      </c>
      <c r="P91" s="35" t="str">
        <f>IF(Inventory_List_Table34111510911131718[[#This Row],[Q]]&lt;0.1, " ",Inventory_List_Table34111510911131718[[#This Row],[W CM]]/2.54)</f>
        <v xml:space="preserve"> </v>
      </c>
      <c r="Q91" s="35" t="str">
        <f>IF(Inventory_List_Table34111510911131718[[#This Row],[Q]]&lt;0.1, " ",Inventory_List_Table34111510911131718[[#This Row],[D CM ]]/2.54)</f>
        <v xml:space="preserve"> </v>
      </c>
      <c r="R91" s="30" t="str">
        <f>IF(Inventory_List_Table34111510911131718[[#This Row],[Q]]&lt;0.1, " ",Inventory_List_Table34111510911131718[[#This Row],[PRICE]]/$L$1)</f>
        <v xml:space="preserve"> </v>
      </c>
      <c r="S9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1" s="30" t="str">
        <f>IF(Inventory_List_Table34111510911131718[[#This Row],[Q]]&lt;0.1, " ",Inventory_List_Table34111510911131718[[#This Row],[AQ RND USD]]*1.4)</f>
        <v xml:space="preserve"> </v>
      </c>
      <c r="U9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1" s="30" t="str">
        <f>IF(Inventory_List_Table34111510911131718[[#This Row],[Q]]&lt;0.1, " ",Inventory_List_Table34111510911131718[[#This Row],[LND RND USD]]*12)</f>
        <v xml:space="preserve"> </v>
      </c>
      <c r="W91" s="30" t="str">
        <f>IF(Inventory_List_Table34111510911131718[[#This Row],[Q]]&lt;0.1, " ",Inventory_List_Table34111510911131718[[#This Row],[AQ USD]])</f>
        <v xml:space="preserve"> </v>
      </c>
      <c r="X9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1" s="30" t="str">
        <f>IF(Inventory_List_Table34111510911131718[[#This Row],[Q]]&lt;0.1, " ",Inventory_List_Table34111510911131718[[#This Row],[PRICE]]/Z91*10000)</f>
        <v xml:space="preserve"> </v>
      </c>
      <c r="AB91" s="220"/>
      <c r="AC91" s="1"/>
      <c r="AD91" s="1"/>
    </row>
    <row r="92" spans="1:30" ht="24" customHeight="1" x14ac:dyDescent="0.3">
      <c r="A92" s="210">
        <v>90</v>
      </c>
      <c r="B92" s="1"/>
      <c r="C92" s="213"/>
      <c r="D92" s="213"/>
      <c r="E92" s="213"/>
      <c r="F92" s="38" t="str">
        <f>IF(Inventory_List_Table34111510911131718[[#This Row],[Q]]&lt;0.1, " ",#REF!&amp;$D$1&amp;#REF!&amp;Inventory_List_Table34111510911131718[[#This Row],[NOTES]])</f>
        <v xml:space="preserve"> </v>
      </c>
      <c r="G92" s="216"/>
      <c r="H92" s="216"/>
      <c r="I92" s="216"/>
      <c r="J92" s="216"/>
      <c r="K92" s="216"/>
      <c r="L92" s="218"/>
      <c r="M9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2" s="35" t="str">
        <f>IF(Inventory_List_Table34111510911131718[[#This Row],[Q]]&lt;0.1, " ", Inventory_List_Table34111510911131718[[#This Row],[KG]]*2.20462)</f>
        <v xml:space="preserve"> </v>
      </c>
      <c r="O92" s="35" t="str">
        <f>IF(Inventory_List_Table34111510911131718[[#This Row],[Q]]&lt;0.1, " ",Inventory_List_Table34111510911131718[[#This Row],[H CM]]/2.54)</f>
        <v xml:space="preserve"> </v>
      </c>
      <c r="P92" s="35" t="str">
        <f>IF(Inventory_List_Table34111510911131718[[#This Row],[Q]]&lt;0.1, " ",Inventory_List_Table34111510911131718[[#This Row],[W CM]]/2.54)</f>
        <v xml:space="preserve"> </v>
      </c>
      <c r="Q92" s="35" t="str">
        <f>IF(Inventory_List_Table34111510911131718[[#This Row],[Q]]&lt;0.1, " ",Inventory_List_Table34111510911131718[[#This Row],[D CM ]]/2.54)</f>
        <v xml:space="preserve"> </v>
      </c>
      <c r="R92" s="30" t="str">
        <f>IF(Inventory_List_Table34111510911131718[[#This Row],[Q]]&lt;0.1, " ",Inventory_List_Table34111510911131718[[#This Row],[PRICE]]/$L$1)</f>
        <v xml:space="preserve"> </v>
      </c>
      <c r="S9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2" s="30" t="str">
        <f>IF(Inventory_List_Table34111510911131718[[#This Row],[Q]]&lt;0.1, " ",Inventory_List_Table34111510911131718[[#This Row],[AQ RND USD]]*1.4)</f>
        <v xml:space="preserve"> </v>
      </c>
      <c r="U9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2" s="30" t="str">
        <f>IF(Inventory_List_Table34111510911131718[[#This Row],[Q]]&lt;0.1, " ",Inventory_List_Table34111510911131718[[#This Row],[LND RND USD]]*12)</f>
        <v xml:space="preserve"> </v>
      </c>
      <c r="W92" s="30" t="str">
        <f>IF(Inventory_List_Table34111510911131718[[#This Row],[Q]]&lt;0.1, " ",Inventory_List_Table34111510911131718[[#This Row],[AQ USD]])</f>
        <v xml:space="preserve"> </v>
      </c>
      <c r="X9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2" s="30" t="str">
        <f>IF(Inventory_List_Table34111510911131718[[#This Row],[Q]]&lt;0.1, " ",Inventory_List_Table34111510911131718[[#This Row],[PRICE]]/Z92*10000)</f>
        <v xml:space="preserve"> </v>
      </c>
      <c r="AB92" s="220"/>
      <c r="AC92" s="1"/>
      <c r="AD92" s="1"/>
    </row>
    <row r="93" spans="1:30" ht="24" customHeight="1" x14ac:dyDescent="0.3">
      <c r="A93" s="210">
        <v>91</v>
      </c>
      <c r="B93" s="1"/>
      <c r="C93" s="213"/>
      <c r="D93" s="213"/>
      <c r="E93" s="213"/>
      <c r="F93" s="38" t="str">
        <f>IF(Inventory_List_Table34111510911131718[[#This Row],[Q]]&lt;0.1, " ",#REF!&amp;$D$1&amp;#REF!&amp;Inventory_List_Table34111510911131718[[#This Row],[NOTES]])</f>
        <v xml:space="preserve"> </v>
      </c>
      <c r="G93" s="216"/>
      <c r="H93" s="216"/>
      <c r="I93" s="216"/>
      <c r="J93" s="216"/>
      <c r="K93" s="216"/>
      <c r="L93" s="218"/>
      <c r="M93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3" s="35" t="str">
        <f>IF(Inventory_List_Table34111510911131718[[#This Row],[Q]]&lt;0.1, " ", Inventory_List_Table34111510911131718[[#This Row],[KG]]*2.20462)</f>
        <v xml:space="preserve"> </v>
      </c>
      <c r="O93" s="35" t="str">
        <f>IF(Inventory_List_Table34111510911131718[[#This Row],[Q]]&lt;0.1, " ",Inventory_List_Table34111510911131718[[#This Row],[H CM]]/2.54)</f>
        <v xml:space="preserve"> </v>
      </c>
      <c r="P93" s="35" t="str">
        <f>IF(Inventory_List_Table34111510911131718[[#This Row],[Q]]&lt;0.1, " ",Inventory_List_Table34111510911131718[[#This Row],[W CM]]/2.54)</f>
        <v xml:space="preserve"> </v>
      </c>
      <c r="Q93" s="35" t="str">
        <f>IF(Inventory_List_Table34111510911131718[[#This Row],[Q]]&lt;0.1, " ",Inventory_List_Table34111510911131718[[#This Row],[D CM ]]/2.54)</f>
        <v xml:space="preserve"> </v>
      </c>
      <c r="R93" s="30" t="str">
        <f>IF(Inventory_List_Table34111510911131718[[#This Row],[Q]]&lt;0.1, " ",Inventory_List_Table34111510911131718[[#This Row],[PRICE]]/$L$1)</f>
        <v xml:space="preserve"> </v>
      </c>
      <c r="S93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3" s="30" t="str">
        <f>IF(Inventory_List_Table34111510911131718[[#This Row],[Q]]&lt;0.1, " ",Inventory_List_Table34111510911131718[[#This Row],[AQ RND USD]]*1.4)</f>
        <v xml:space="preserve"> </v>
      </c>
      <c r="U93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3" s="30" t="str">
        <f>IF(Inventory_List_Table34111510911131718[[#This Row],[Q]]&lt;0.1, " ",Inventory_List_Table34111510911131718[[#This Row],[LND RND USD]]*12)</f>
        <v xml:space="preserve"> </v>
      </c>
      <c r="W93" s="30" t="str">
        <f>IF(Inventory_List_Table34111510911131718[[#This Row],[Q]]&lt;0.1, " ",Inventory_List_Table34111510911131718[[#This Row],[AQ USD]])</f>
        <v xml:space="preserve"> </v>
      </c>
      <c r="X93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3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3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3" s="30" t="str">
        <f>IF(Inventory_List_Table34111510911131718[[#This Row],[Q]]&lt;0.1, " ",Inventory_List_Table34111510911131718[[#This Row],[PRICE]]/Z93*10000)</f>
        <v xml:space="preserve"> </v>
      </c>
      <c r="AB93" s="220"/>
      <c r="AC93" s="1"/>
      <c r="AD93" s="1"/>
    </row>
    <row r="94" spans="1:30" ht="24" customHeight="1" x14ac:dyDescent="0.3">
      <c r="A94" s="210">
        <v>92</v>
      </c>
      <c r="B94" s="1"/>
      <c r="C94" s="213"/>
      <c r="D94" s="213"/>
      <c r="E94" s="213"/>
      <c r="F94" s="38" t="str">
        <f>IF(Inventory_List_Table34111510911131718[[#This Row],[Q]]&lt;0.1, " ",#REF!&amp;$D$1&amp;#REF!&amp;Inventory_List_Table34111510911131718[[#This Row],[NOTES]])</f>
        <v xml:space="preserve"> </v>
      </c>
      <c r="G94" s="216"/>
      <c r="H94" s="216"/>
      <c r="I94" s="216"/>
      <c r="J94" s="216"/>
      <c r="K94" s="216"/>
      <c r="L94" s="218"/>
      <c r="M94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4" s="35" t="str">
        <f>IF(Inventory_List_Table34111510911131718[[#This Row],[Q]]&lt;0.1, " ", Inventory_List_Table34111510911131718[[#This Row],[KG]]*2.20462)</f>
        <v xml:space="preserve"> </v>
      </c>
      <c r="O94" s="35" t="str">
        <f>IF(Inventory_List_Table34111510911131718[[#This Row],[Q]]&lt;0.1, " ",Inventory_List_Table34111510911131718[[#This Row],[H CM]]/2.54)</f>
        <v xml:space="preserve"> </v>
      </c>
      <c r="P94" s="35" t="str">
        <f>IF(Inventory_List_Table34111510911131718[[#This Row],[Q]]&lt;0.1, " ",Inventory_List_Table34111510911131718[[#This Row],[W CM]]/2.54)</f>
        <v xml:space="preserve"> </v>
      </c>
      <c r="Q94" s="35" t="str">
        <f>IF(Inventory_List_Table34111510911131718[[#This Row],[Q]]&lt;0.1, " ",Inventory_List_Table34111510911131718[[#This Row],[D CM ]]/2.54)</f>
        <v xml:space="preserve"> </v>
      </c>
      <c r="R94" s="30" t="str">
        <f>IF(Inventory_List_Table34111510911131718[[#This Row],[Q]]&lt;0.1, " ",Inventory_List_Table34111510911131718[[#This Row],[PRICE]]/$L$1)</f>
        <v xml:space="preserve"> </v>
      </c>
      <c r="S94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4" s="30" t="str">
        <f>IF(Inventory_List_Table34111510911131718[[#This Row],[Q]]&lt;0.1, " ",Inventory_List_Table34111510911131718[[#This Row],[AQ RND USD]]*1.4)</f>
        <v xml:space="preserve"> </v>
      </c>
      <c r="U94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4" s="30" t="str">
        <f>IF(Inventory_List_Table34111510911131718[[#This Row],[Q]]&lt;0.1, " ",Inventory_List_Table34111510911131718[[#This Row],[LND RND USD]]*12)</f>
        <v xml:space="preserve"> </v>
      </c>
      <c r="W94" s="30" t="str">
        <f>IF(Inventory_List_Table34111510911131718[[#This Row],[Q]]&lt;0.1, " ",Inventory_List_Table34111510911131718[[#This Row],[AQ USD]])</f>
        <v xml:space="preserve"> </v>
      </c>
      <c r="X94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4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4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4" s="30" t="str">
        <f>IF(Inventory_List_Table34111510911131718[[#This Row],[Q]]&lt;0.1, " ",Inventory_List_Table34111510911131718[[#This Row],[PRICE]]/Z94*10000)</f>
        <v xml:space="preserve"> </v>
      </c>
      <c r="AB94" s="220"/>
      <c r="AC94" s="1"/>
      <c r="AD94" s="1"/>
    </row>
    <row r="95" spans="1:30" ht="24" customHeight="1" x14ac:dyDescent="0.3">
      <c r="A95" s="210">
        <v>93</v>
      </c>
      <c r="B95" s="1"/>
      <c r="C95" s="213"/>
      <c r="D95" s="213"/>
      <c r="E95" s="213"/>
      <c r="F95" s="38" t="str">
        <f>IF(Inventory_List_Table34111510911131718[[#This Row],[Q]]&lt;0.1, " ",#REF!&amp;$D$1&amp;#REF!&amp;Inventory_List_Table34111510911131718[[#This Row],[NOTES]])</f>
        <v xml:space="preserve"> </v>
      </c>
      <c r="G95" s="216"/>
      <c r="H95" s="216"/>
      <c r="I95" s="216"/>
      <c r="J95" s="216"/>
      <c r="K95" s="216"/>
      <c r="L95" s="218"/>
      <c r="M95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5" s="35" t="str">
        <f>IF(Inventory_List_Table34111510911131718[[#This Row],[Q]]&lt;0.1, " ", Inventory_List_Table34111510911131718[[#This Row],[KG]]*2.20462)</f>
        <v xml:space="preserve"> </v>
      </c>
      <c r="O95" s="35" t="str">
        <f>IF(Inventory_List_Table34111510911131718[[#This Row],[Q]]&lt;0.1, " ",Inventory_List_Table34111510911131718[[#This Row],[H CM]]/2.54)</f>
        <v xml:space="preserve"> </v>
      </c>
      <c r="P95" s="35" t="str">
        <f>IF(Inventory_List_Table34111510911131718[[#This Row],[Q]]&lt;0.1, " ",Inventory_List_Table34111510911131718[[#This Row],[W CM]]/2.54)</f>
        <v xml:space="preserve"> </v>
      </c>
      <c r="Q95" s="35" t="str">
        <f>IF(Inventory_List_Table34111510911131718[[#This Row],[Q]]&lt;0.1, " ",Inventory_List_Table34111510911131718[[#This Row],[D CM ]]/2.54)</f>
        <v xml:space="preserve"> </v>
      </c>
      <c r="R95" s="30" t="str">
        <f>IF(Inventory_List_Table34111510911131718[[#This Row],[Q]]&lt;0.1, " ",Inventory_List_Table34111510911131718[[#This Row],[PRICE]]/$L$1)</f>
        <v xml:space="preserve"> </v>
      </c>
      <c r="S95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5" s="30" t="str">
        <f>IF(Inventory_List_Table34111510911131718[[#This Row],[Q]]&lt;0.1, " ",Inventory_List_Table34111510911131718[[#This Row],[AQ RND USD]]*1.4)</f>
        <v xml:space="preserve"> </v>
      </c>
      <c r="U95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5" s="30" t="str">
        <f>IF(Inventory_List_Table34111510911131718[[#This Row],[Q]]&lt;0.1, " ",Inventory_List_Table34111510911131718[[#This Row],[LND RND USD]]*12)</f>
        <v xml:space="preserve"> </v>
      </c>
      <c r="W95" s="30" t="str">
        <f>IF(Inventory_List_Table34111510911131718[[#This Row],[Q]]&lt;0.1, " ",Inventory_List_Table34111510911131718[[#This Row],[AQ USD]])</f>
        <v xml:space="preserve"> </v>
      </c>
      <c r="X95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5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5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5" s="30" t="str">
        <f>IF(Inventory_List_Table34111510911131718[[#This Row],[Q]]&lt;0.1, " ",Inventory_List_Table34111510911131718[[#This Row],[PRICE]]/Z95*10000)</f>
        <v xml:space="preserve"> </v>
      </c>
      <c r="AB95" s="220"/>
      <c r="AC95" s="1"/>
      <c r="AD95" s="1"/>
    </row>
    <row r="96" spans="1:30" ht="24" customHeight="1" x14ac:dyDescent="0.3">
      <c r="A96" s="210">
        <v>94</v>
      </c>
      <c r="B96" s="1"/>
      <c r="C96" s="213"/>
      <c r="D96" s="213"/>
      <c r="E96" s="213"/>
      <c r="F96" s="38" t="str">
        <f>IF(Inventory_List_Table34111510911131718[[#This Row],[Q]]&lt;0.1, " ",#REF!&amp;$D$1&amp;#REF!&amp;Inventory_List_Table34111510911131718[[#This Row],[NOTES]])</f>
        <v xml:space="preserve"> </v>
      </c>
      <c r="G96" s="216"/>
      <c r="H96" s="216"/>
      <c r="I96" s="216"/>
      <c r="J96" s="216"/>
      <c r="K96" s="216"/>
      <c r="L96" s="218"/>
      <c r="M96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6" s="35" t="str">
        <f>IF(Inventory_List_Table34111510911131718[[#This Row],[Q]]&lt;0.1, " ", Inventory_List_Table34111510911131718[[#This Row],[KG]]*2.20462)</f>
        <v xml:space="preserve"> </v>
      </c>
      <c r="O96" s="35" t="str">
        <f>IF(Inventory_List_Table34111510911131718[[#This Row],[Q]]&lt;0.1, " ",Inventory_List_Table34111510911131718[[#This Row],[H CM]]/2.54)</f>
        <v xml:space="preserve"> </v>
      </c>
      <c r="P96" s="35" t="str">
        <f>IF(Inventory_List_Table34111510911131718[[#This Row],[Q]]&lt;0.1, " ",Inventory_List_Table34111510911131718[[#This Row],[W CM]]/2.54)</f>
        <v xml:space="preserve"> </v>
      </c>
      <c r="Q96" s="35" t="str">
        <f>IF(Inventory_List_Table34111510911131718[[#This Row],[Q]]&lt;0.1, " ",Inventory_List_Table34111510911131718[[#This Row],[D CM ]]/2.54)</f>
        <v xml:space="preserve"> </v>
      </c>
      <c r="R96" s="30" t="str">
        <f>IF(Inventory_List_Table34111510911131718[[#This Row],[Q]]&lt;0.1, " ",Inventory_List_Table34111510911131718[[#This Row],[PRICE]]/$L$1)</f>
        <v xml:space="preserve"> </v>
      </c>
      <c r="S96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6" s="30" t="str">
        <f>IF(Inventory_List_Table34111510911131718[[#This Row],[Q]]&lt;0.1, " ",Inventory_List_Table34111510911131718[[#This Row],[AQ RND USD]]*1.4)</f>
        <v xml:space="preserve"> </v>
      </c>
      <c r="U96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6" s="30" t="str">
        <f>IF(Inventory_List_Table34111510911131718[[#This Row],[Q]]&lt;0.1, " ",Inventory_List_Table34111510911131718[[#This Row],[LND RND USD]]*12)</f>
        <v xml:space="preserve"> </v>
      </c>
      <c r="W96" s="30" t="str">
        <f>IF(Inventory_List_Table34111510911131718[[#This Row],[Q]]&lt;0.1, " ",Inventory_List_Table34111510911131718[[#This Row],[AQ USD]])</f>
        <v xml:space="preserve"> </v>
      </c>
      <c r="X96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6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6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6" s="30" t="str">
        <f>IF(Inventory_List_Table34111510911131718[[#This Row],[Q]]&lt;0.1, " ",Inventory_List_Table34111510911131718[[#This Row],[PRICE]]/Z96*10000)</f>
        <v xml:space="preserve"> </v>
      </c>
      <c r="AB96" s="220"/>
      <c r="AC96" s="1"/>
      <c r="AD96" s="1"/>
    </row>
    <row r="97" spans="1:30" ht="24" customHeight="1" x14ac:dyDescent="0.3">
      <c r="A97" s="210">
        <v>95</v>
      </c>
      <c r="B97" s="1"/>
      <c r="C97" s="213"/>
      <c r="D97" s="213"/>
      <c r="E97" s="213"/>
      <c r="F97" s="38" t="str">
        <f>IF(Inventory_List_Table34111510911131718[[#This Row],[Q]]&lt;0.1, " ",#REF!&amp;$D$1&amp;#REF!&amp;Inventory_List_Table34111510911131718[[#This Row],[NOTES]])</f>
        <v xml:space="preserve"> </v>
      </c>
      <c r="G97" s="216"/>
      <c r="H97" s="216"/>
      <c r="I97" s="216"/>
      <c r="J97" s="216"/>
      <c r="K97" s="216"/>
      <c r="L97" s="218"/>
      <c r="M97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7" s="35" t="str">
        <f>IF(Inventory_List_Table34111510911131718[[#This Row],[Q]]&lt;0.1, " ", Inventory_List_Table34111510911131718[[#This Row],[KG]]*2.20462)</f>
        <v xml:space="preserve"> </v>
      </c>
      <c r="O97" s="35" t="str">
        <f>IF(Inventory_List_Table34111510911131718[[#This Row],[Q]]&lt;0.1, " ",Inventory_List_Table34111510911131718[[#This Row],[H CM]]/2.54)</f>
        <v xml:space="preserve"> </v>
      </c>
      <c r="P97" s="35" t="str">
        <f>IF(Inventory_List_Table34111510911131718[[#This Row],[Q]]&lt;0.1, " ",Inventory_List_Table34111510911131718[[#This Row],[W CM]]/2.54)</f>
        <v xml:space="preserve"> </v>
      </c>
      <c r="Q97" s="35" t="str">
        <f>IF(Inventory_List_Table34111510911131718[[#This Row],[Q]]&lt;0.1, " ",Inventory_List_Table34111510911131718[[#This Row],[D CM ]]/2.54)</f>
        <v xml:space="preserve"> </v>
      </c>
      <c r="R97" s="30" t="str">
        <f>IF(Inventory_List_Table34111510911131718[[#This Row],[Q]]&lt;0.1, " ",Inventory_List_Table34111510911131718[[#This Row],[PRICE]]/$L$1)</f>
        <v xml:space="preserve"> </v>
      </c>
      <c r="S97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7" s="30" t="str">
        <f>IF(Inventory_List_Table34111510911131718[[#This Row],[Q]]&lt;0.1, " ",Inventory_List_Table34111510911131718[[#This Row],[AQ RND USD]]*1.4)</f>
        <v xml:space="preserve"> </v>
      </c>
      <c r="U97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7" s="30" t="str">
        <f>IF(Inventory_List_Table34111510911131718[[#This Row],[Q]]&lt;0.1, " ",Inventory_List_Table34111510911131718[[#This Row],[LND RND USD]]*12)</f>
        <v xml:space="preserve"> </v>
      </c>
      <c r="W97" s="30" t="str">
        <f>IF(Inventory_List_Table34111510911131718[[#This Row],[Q]]&lt;0.1, " ",Inventory_List_Table34111510911131718[[#This Row],[AQ USD]])</f>
        <v xml:space="preserve"> </v>
      </c>
      <c r="X97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7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7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7" s="30" t="str">
        <f>IF(Inventory_List_Table34111510911131718[[#This Row],[Q]]&lt;0.1, " ",Inventory_List_Table34111510911131718[[#This Row],[PRICE]]/Z97*10000)</f>
        <v xml:space="preserve"> </v>
      </c>
      <c r="AB97" s="220"/>
      <c r="AC97" s="1"/>
      <c r="AD97" s="1"/>
    </row>
    <row r="98" spans="1:30" ht="24" customHeight="1" x14ac:dyDescent="0.3">
      <c r="A98" s="210">
        <v>96</v>
      </c>
      <c r="B98" s="1"/>
      <c r="C98" s="213"/>
      <c r="D98" s="213"/>
      <c r="E98" s="213"/>
      <c r="F98" s="38" t="str">
        <f>IF(Inventory_List_Table34111510911131718[[#This Row],[Q]]&lt;0.1, " ",#REF!&amp;$D$1&amp;#REF!&amp;Inventory_List_Table34111510911131718[[#This Row],[NOTES]])</f>
        <v xml:space="preserve"> </v>
      </c>
      <c r="G98" s="216"/>
      <c r="H98" s="216"/>
      <c r="I98" s="216"/>
      <c r="J98" s="216"/>
      <c r="K98" s="216"/>
      <c r="L98" s="218"/>
      <c r="M98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8" s="35" t="str">
        <f>IF(Inventory_List_Table34111510911131718[[#This Row],[Q]]&lt;0.1, " ", Inventory_List_Table34111510911131718[[#This Row],[KG]]*2.20462)</f>
        <v xml:space="preserve"> </v>
      </c>
      <c r="O98" s="35" t="str">
        <f>IF(Inventory_List_Table34111510911131718[[#This Row],[Q]]&lt;0.1, " ",Inventory_List_Table34111510911131718[[#This Row],[H CM]]/2.54)</f>
        <v xml:space="preserve"> </v>
      </c>
      <c r="P98" s="35" t="str">
        <f>IF(Inventory_List_Table34111510911131718[[#This Row],[Q]]&lt;0.1, " ",Inventory_List_Table34111510911131718[[#This Row],[W CM]]/2.54)</f>
        <v xml:space="preserve"> </v>
      </c>
      <c r="Q98" s="35" t="str">
        <f>IF(Inventory_List_Table34111510911131718[[#This Row],[Q]]&lt;0.1, " ",Inventory_List_Table34111510911131718[[#This Row],[D CM ]]/2.54)</f>
        <v xml:space="preserve"> </v>
      </c>
      <c r="R98" s="30" t="str">
        <f>IF(Inventory_List_Table34111510911131718[[#This Row],[Q]]&lt;0.1, " ",Inventory_List_Table34111510911131718[[#This Row],[PRICE]]/$L$1)</f>
        <v xml:space="preserve"> </v>
      </c>
      <c r="S98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8" s="30" t="str">
        <f>IF(Inventory_List_Table34111510911131718[[#This Row],[Q]]&lt;0.1, " ",Inventory_List_Table34111510911131718[[#This Row],[AQ RND USD]]*1.4)</f>
        <v xml:space="preserve"> </v>
      </c>
      <c r="U98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8" s="30" t="str">
        <f>IF(Inventory_List_Table34111510911131718[[#This Row],[Q]]&lt;0.1, " ",Inventory_List_Table34111510911131718[[#This Row],[LND RND USD]]*12)</f>
        <v xml:space="preserve"> </v>
      </c>
      <c r="W98" s="30" t="str">
        <f>IF(Inventory_List_Table34111510911131718[[#This Row],[Q]]&lt;0.1, " ",Inventory_List_Table34111510911131718[[#This Row],[AQ USD]])</f>
        <v xml:space="preserve"> </v>
      </c>
      <c r="X98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8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8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8" s="30" t="str">
        <f>IF(Inventory_List_Table34111510911131718[[#This Row],[Q]]&lt;0.1, " ",Inventory_List_Table34111510911131718[[#This Row],[PRICE]]/Z98*10000)</f>
        <v xml:space="preserve"> </v>
      </c>
      <c r="AB98" s="220"/>
      <c r="AC98" s="1"/>
      <c r="AD98" s="1"/>
    </row>
    <row r="99" spans="1:30" ht="24" customHeight="1" x14ac:dyDescent="0.3">
      <c r="A99" s="210">
        <v>97</v>
      </c>
      <c r="B99" s="1"/>
      <c r="C99" s="213"/>
      <c r="D99" s="213"/>
      <c r="E99" s="213"/>
      <c r="F99" s="38" t="str">
        <f>IF(Inventory_List_Table34111510911131718[[#This Row],[Q]]&lt;0.1, " ",#REF!&amp;$D$1&amp;#REF!&amp;Inventory_List_Table34111510911131718[[#This Row],[NOTES]])</f>
        <v xml:space="preserve"> </v>
      </c>
      <c r="G99" s="216"/>
      <c r="H99" s="216"/>
      <c r="I99" s="216"/>
      <c r="J99" s="216"/>
      <c r="K99" s="216"/>
      <c r="L99" s="218"/>
      <c r="M99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99" s="35" t="str">
        <f>IF(Inventory_List_Table34111510911131718[[#This Row],[Q]]&lt;0.1, " ", Inventory_List_Table34111510911131718[[#This Row],[KG]]*2.20462)</f>
        <v xml:space="preserve"> </v>
      </c>
      <c r="O99" s="35" t="str">
        <f>IF(Inventory_List_Table34111510911131718[[#This Row],[Q]]&lt;0.1, " ",Inventory_List_Table34111510911131718[[#This Row],[H CM]]/2.54)</f>
        <v xml:space="preserve"> </v>
      </c>
      <c r="P99" s="35" t="str">
        <f>IF(Inventory_List_Table34111510911131718[[#This Row],[Q]]&lt;0.1, " ",Inventory_List_Table34111510911131718[[#This Row],[W CM]]/2.54)</f>
        <v xml:space="preserve"> </v>
      </c>
      <c r="Q99" s="35" t="str">
        <f>IF(Inventory_List_Table34111510911131718[[#This Row],[Q]]&lt;0.1, " ",Inventory_List_Table34111510911131718[[#This Row],[D CM ]]/2.54)</f>
        <v xml:space="preserve"> </v>
      </c>
      <c r="R99" s="30" t="str">
        <f>IF(Inventory_List_Table34111510911131718[[#This Row],[Q]]&lt;0.1, " ",Inventory_List_Table34111510911131718[[#This Row],[PRICE]]/$L$1)</f>
        <v xml:space="preserve"> </v>
      </c>
      <c r="S99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99" s="30" t="str">
        <f>IF(Inventory_List_Table34111510911131718[[#This Row],[Q]]&lt;0.1, " ",Inventory_List_Table34111510911131718[[#This Row],[AQ RND USD]]*1.4)</f>
        <v xml:space="preserve"> </v>
      </c>
      <c r="U99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99" s="30" t="str">
        <f>IF(Inventory_List_Table34111510911131718[[#This Row],[Q]]&lt;0.1, " ",Inventory_List_Table34111510911131718[[#This Row],[LND RND USD]]*12)</f>
        <v xml:space="preserve"> </v>
      </c>
      <c r="W99" s="30" t="str">
        <f>IF(Inventory_List_Table34111510911131718[[#This Row],[Q]]&lt;0.1, " ",Inventory_List_Table34111510911131718[[#This Row],[AQ USD]])</f>
        <v xml:space="preserve"> </v>
      </c>
      <c r="X99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99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99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99" s="30" t="str">
        <f>IF(Inventory_List_Table34111510911131718[[#This Row],[Q]]&lt;0.1, " ",Inventory_List_Table34111510911131718[[#This Row],[PRICE]]/Z99*10000)</f>
        <v xml:space="preserve"> </v>
      </c>
      <c r="AB99" s="220"/>
      <c r="AC99" s="1"/>
      <c r="AD99" s="1"/>
    </row>
    <row r="100" spans="1:30" ht="24" customHeight="1" x14ac:dyDescent="0.3">
      <c r="A100" s="210">
        <v>98</v>
      </c>
      <c r="B100" s="1"/>
      <c r="C100" s="213"/>
      <c r="D100" s="213"/>
      <c r="E100" s="213"/>
      <c r="F100" s="38" t="str">
        <f>IF(Inventory_List_Table34111510911131718[[#This Row],[Q]]&lt;0.1, " ",#REF!&amp;$D$1&amp;#REF!&amp;Inventory_List_Table34111510911131718[[#This Row],[NOTES]])</f>
        <v xml:space="preserve"> </v>
      </c>
      <c r="G100" s="216"/>
      <c r="H100" s="216"/>
      <c r="I100" s="216"/>
      <c r="J100" s="216"/>
      <c r="K100" s="216"/>
      <c r="L100" s="218"/>
      <c r="M100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00" s="35" t="str">
        <f>IF(Inventory_List_Table34111510911131718[[#This Row],[Q]]&lt;0.1, " ", Inventory_List_Table34111510911131718[[#This Row],[KG]]*2.20462)</f>
        <v xml:space="preserve"> </v>
      </c>
      <c r="O100" s="35" t="str">
        <f>IF(Inventory_List_Table34111510911131718[[#This Row],[Q]]&lt;0.1, " ",Inventory_List_Table34111510911131718[[#This Row],[H CM]]/2.54)</f>
        <v xml:space="preserve"> </v>
      </c>
      <c r="P100" s="35" t="str">
        <f>IF(Inventory_List_Table34111510911131718[[#This Row],[Q]]&lt;0.1, " ",Inventory_List_Table34111510911131718[[#This Row],[W CM]]/2.54)</f>
        <v xml:space="preserve"> </v>
      </c>
      <c r="Q100" s="35" t="str">
        <f>IF(Inventory_List_Table34111510911131718[[#This Row],[Q]]&lt;0.1, " ",Inventory_List_Table34111510911131718[[#This Row],[D CM ]]/2.54)</f>
        <v xml:space="preserve"> </v>
      </c>
      <c r="R100" s="30" t="str">
        <f>IF(Inventory_List_Table34111510911131718[[#This Row],[Q]]&lt;0.1, " ",Inventory_List_Table34111510911131718[[#This Row],[PRICE]]/$L$1)</f>
        <v xml:space="preserve"> </v>
      </c>
      <c r="S100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00" s="30" t="str">
        <f>IF(Inventory_List_Table34111510911131718[[#This Row],[Q]]&lt;0.1, " ",Inventory_List_Table34111510911131718[[#This Row],[AQ RND USD]]*1.4)</f>
        <v xml:space="preserve"> </v>
      </c>
      <c r="U100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00" s="30" t="str">
        <f>IF(Inventory_List_Table34111510911131718[[#This Row],[Q]]&lt;0.1, " ",Inventory_List_Table34111510911131718[[#This Row],[LND RND USD]]*12)</f>
        <v xml:space="preserve"> </v>
      </c>
      <c r="W100" s="30" t="str">
        <f>IF(Inventory_List_Table34111510911131718[[#This Row],[Q]]&lt;0.1, " ",Inventory_List_Table34111510911131718[[#This Row],[AQ USD]])</f>
        <v xml:space="preserve"> </v>
      </c>
      <c r="X100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00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00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00" s="30" t="str">
        <f>IF(Inventory_List_Table34111510911131718[[#This Row],[Q]]&lt;0.1, " ",Inventory_List_Table34111510911131718[[#This Row],[PRICE]]/Z100*10000)</f>
        <v xml:space="preserve"> </v>
      </c>
      <c r="AB100" s="220"/>
      <c r="AC100" s="1"/>
      <c r="AD100" s="1"/>
    </row>
    <row r="101" spans="1:30" ht="24" customHeight="1" x14ac:dyDescent="0.3">
      <c r="A101" s="210">
        <v>99</v>
      </c>
      <c r="B101" s="1"/>
      <c r="C101" s="213"/>
      <c r="D101" s="213"/>
      <c r="E101" s="213"/>
      <c r="F101" s="38" t="str">
        <f>IF(Inventory_List_Table34111510911131718[[#This Row],[Q]]&lt;0.1, " ",#REF!&amp;$D$1&amp;#REF!&amp;Inventory_List_Table34111510911131718[[#This Row],[NOTES]])</f>
        <v xml:space="preserve"> </v>
      </c>
      <c r="G101" s="216"/>
      <c r="H101" s="216"/>
      <c r="I101" s="216"/>
      <c r="J101" s="216"/>
      <c r="K101" s="216"/>
      <c r="L101" s="218"/>
      <c r="M101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01" s="35" t="str">
        <f>IF(Inventory_List_Table34111510911131718[[#This Row],[Q]]&lt;0.1, " ", Inventory_List_Table34111510911131718[[#This Row],[KG]]*2.20462)</f>
        <v xml:space="preserve"> </v>
      </c>
      <c r="O101" s="35" t="str">
        <f>IF(Inventory_List_Table34111510911131718[[#This Row],[Q]]&lt;0.1, " ",Inventory_List_Table34111510911131718[[#This Row],[H CM]]/2.54)</f>
        <v xml:space="preserve"> </v>
      </c>
      <c r="P101" s="35" t="str">
        <f>IF(Inventory_List_Table34111510911131718[[#This Row],[Q]]&lt;0.1, " ",Inventory_List_Table34111510911131718[[#This Row],[W CM]]/2.54)</f>
        <v xml:space="preserve"> </v>
      </c>
      <c r="Q101" s="35" t="str">
        <f>IF(Inventory_List_Table34111510911131718[[#This Row],[Q]]&lt;0.1, " ",Inventory_List_Table34111510911131718[[#This Row],[D CM ]]/2.54)</f>
        <v xml:space="preserve"> </v>
      </c>
      <c r="R101" s="30" t="str">
        <f>IF(Inventory_List_Table34111510911131718[[#This Row],[Q]]&lt;0.1, " ",Inventory_List_Table34111510911131718[[#This Row],[PRICE]]/$L$1)</f>
        <v xml:space="preserve"> </v>
      </c>
      <c r="S101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01" s="30" t="str">
        <f>IF(Inventory_List_Table34111510911131718[[#This Row],[Q]]&lt;0.1, " ",Inventory_List_Table34111510911131718[[#This Row],[AQ RND USD]]*1.4)</f>
        <v xml:space="preserve"> </v>
      </c>
      <c r="U101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01" s="30" t="str">
        <f>IF(Inventory_List_Table34111510911131718[[#This Row],[Q]]&lt;0.1, " ",Inventory_List_Table34111510911131718[[#This Row],[LND RND USD]]*12)</f>
        <v xml:space="preserve"> </v>
      </c>
      <c r="W101" s="30" t="str">
        <f>IF(Inventory_List_Table34111510911131718[[#This Row],[Q]]&lt;0.1, " ",Inventory_List_Table34111510911131718[[#This Row],[AQ USD]])</f>
        <v xml:space="preserve"> </v>
      </c>
      <c r="X101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01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01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01" s="30" t="str">
        <f>IF(Inventory_List_Table34111510911131718[[#This Row],[Q]]&lt;0.1, " ",Inventory_List_Table34111510911131718[[#This Row],[PRICE]]/Z101*10000)</f>
        <v xml:space="preserve"> </v>
      </c>
      <c r="AB101" s="220"/>
      <c r="AC101" s="1"/>
      <c r="AD101" s="1"/>
    </row>
    <row r="102" spans="1:30" ht="24" customHeight="1" x14ac:dyDescent="0.3">
      <c r="A102" s="210">
        <v>100</v>
      </c>
      <c r="B102" s="1"/>
      <c r="C102" s="213"/>
      <c r="D102" s="213"/>
      <c r="E102" s="213"/>
      <c r="F102" s="38" t="str">
        <f>IF(Inventory_List_Table34111510911131718[[#This Row],[Q]]&lt;0.1, " ",#REF!&amp;$D$1&amp;#REF!&amp;Inventory_List_Table34111510911131718[[#This Row],[NOTES]])</f>
        <v xml:space="preserve"> </v>
      </c>
      <c r="G102" s="216"/>
      <c r="H102" s="216"/>
      <c r="I102" s="216"/>
      <c r="J102" s="216"/>
      <c r="K102" s="216"/>
      <c r="L102" s="218"/>
      <c r="M102" s="30" t="str">
        <f>IF(Inventory_List_Table34111510911131718[[#This Row],[Q]]&lt;0.1, " ", Inventory_List_Table34111510911131718[[#This Row],[Q]]*Inventory_List_Table34111510911131718[[#This Row],[PRICE]])</f>
        <v xml:space="preserve"> </v>
      </c>
      <c r="N102" s="35" t="str">
        <f>IF(Inventory_List_Table34111510911131718[[#This Row],[Q]]&lt;0.1, " ", Inventory_List_Table34111510911131718[[#This Row],[KG]]*2.20462)</f>
        <v xml:space="preserve"> </v>
      </c>
      <c r="O102" s="35" t="str">
        <f>IF(Inventory_List_Table34111510911131718[[#This Row],[Q]]&lt;0.1, " ",Inventory_List_Table34111510911131718[[#This Row],[H CM]]/2.54)</f>
        <v xml:space="preserve"> </v>
      </c>
      <c r="P102" s="35" t="str">
        <f>IF(Inventory_List_Table34111510911131718[[#This Row],[Q]]&lt;0.1, " ",Inventory_List_Table34111510911131718[[#This Row],[W CM]]/2.54)</f>
        <v xml:space="preserve"> </v>
      </c>
      <c r="Q102" s="35" t="str">
        <f>IF(Inventory_List_Table34111510911131718[[#This Row],[Q]]&lt;0.1, " ",Inventory_List_Table34111510911131718[[#This Row],[D CM ]]/2.54)</f>
        <v xml:space="preserve"> </v>
      </c>
      <c r="R102" s="30" t="str">
        <f>IF(Inventory_List_Table34111510911131718[[#This Row],[Q]]&lt;0.1, " ",Inventory_List_Table34111510911131718[[#This Row],[PRICE]]/$L$1)</f>
        <v xml:space="preserve"> </v>
      </c>
      <c r="S102" s="30" t="str">
        <f>IF(Inventory_List_Table34111510911131718[[#This Row],[Q]]&lt;0.1, " ",IF(MOD(Inventory_List_Table34111510911131718[[#This Row],[AQ USD]],1)&gt;0.4,ROUNDUP(Inventory_List_Table34111510911131718[[#This Row],[AQ USD]],0),ROUNDDOWN(Inventory_List_Table34111510911131718[[#This Row],[AQ USD]],0)))</f>
        <v xml:space="preserve"> </v>
      </c>
      <c r="T102" s="30" t="str">
        <f>IF(Inventory_List_Table34111510911131718[[#This Row],[Q]]&lt;0.1, " ",Inventory_List_Table34111510911131718[[#This Row],[AQ RND USD]]*1.4)</f>
        <v xml:space="preserve"> </v>
      </c>
      <c r="U102" s="30" t="str">
        <f>IF(Inventory_List_Table34111510911131718[[#This Row],[Q]]&lt;0.1, " ",IF(MOD(Inventory_List_Table34111510911131718[[#This Row],[LND USD]],1)&gt;0.4,ROUNDUP(Inventory_List_Table34111510911131718[[#This Row],[LND USD]],0),ROUNDDOWN(Inventory_List_Table34111510911131718[[#This Row],[LND USD]],0)))</f>
        <v xml:space="preserve"> </v>
      </c>
      <c r="V102" s="30" t="str">
        <f>IF(Inventory_List_Table34111510911131718[[#This Row],[Q]]&lt;0.1, " ",Inventory_List_Table34111510911131718[[#This Row],[LND RND USD]]*12)</f>
        <v xml:space="preserve"> </v>
      </c>
      <c r="W102" s="30" t="str">
        <f>IF(Inventory_List_Table34111510911131718[[#This Row],[Q]]&lt;0.1, " ",Inventory_List_Table34111510911131718[[#This Row],[AQ USD]])</f>
        <v xml:space="preserve"> </v>
      </c>
      <c r="X102" s="1" t="str">
        <f>IF(Inventory_List_Table34111510911131718[[#This Row],[Q]]&lt;0.1, " ",SUBSTITUTE(SUBSTITUTE(SUBSTITUTE(SUBSTITUTE(SUBSTITUTE(SUBSTITUTE(SUBSTITUTE(SUBSTITUTE(SUBSTITUTE(SUBSTITUTE(Inventory_List_Table34111510911131718[[#This Row],[AQ RND USD]], "1", "M"), "2", "O"), "3", "X"), "4", "H"), "5", "E"), "6", "L"), "7", "F"), "8", "A"), "9", "N"), "0", "D"))</f>
        <v xml:space="preserve"> </v>
      </c>
      <c r="Y102" s="1" t="str">
        <f>IF(Inventory_List_Table34111510911131718[[#This Row],[Q]]&lt;0.1, " ",SUBSTITUTE(SUBSTITUTE(SUBSTITUTE(SUBSTITUTE(SUBSTITUTE(SUBSTITUTE(SUBSTITUTE(SUBSTITUTE(SUBSTITUTE(SUBSTITUTE(Inventory_List_Table34111510911131718[[#This Row],[LND RND USD]], "1", "M"), "2", "O"), "3", "X"), "4", "H"), "5", "E"), "6", "L"), "7", "F"), "8", "A"), "9", "N"), "0", "D"))</f>
        <v xml:space="preserve"> </v>
      </c>
      <c r="Z102" s="1" t="str">
        <f>IF(Inventory_List_Table34111510911131718[[#This Row],[Q]]&lt;0.1, " ",Inventory_List_Table34111510911131718[[#This Row],[H CM]]*Inventory_List_Table34111510911131718[[#This Row],[D CM ]]*4+Inventory_List_Table34111510911131718[[#This Row],[W CM]]*Inventory_List_Table34111510911131718[[#This Row],[D CM ]]/10000)</f>
        <v xml:space="preserve"> </v>
      </c>
      <c r="AA102" s="30" t="str">
        <f>IF(Inventory_List_Table34111510911131718[[#This Row],[Q]]&lt;0.1, " ",Inventory_List_Table34111510911131718[[#This Row],[PRICE]]/Z102*10000)</f>
        <v xml:space="preserve"> </v>
      </c>
      <c r="AB102" s="220"/>
      <c r="AC102" s="1"/>
      <c r="AD102" s="1"/>
    </row>
  </sheetData>
  <dataValidations count="12">
    <dataValidation allowBlank="1" showInputMessage="1" showErrorMessage="1" prompt="Enter a description of the item in this column" sqref="G2:G3" xr:uid="{36B218FA-6898-4615-A2C5-FBEF512283A9}"/>
    <dataValidation allowBlank="1" showInputMessage="1" showErrorMessage="1" prompt="Enter the unit price of each item in this column" sqref="H2:H3" xr:uid="{CC907394-ECBB-4ADD-9ED1-8A3F8D47E9FE}"/>
    <dataValidation allowBlank="1" showInputMessage="1" showErrorMessage="1" prompt="Enter the quantity in stock for each item in this column" sqref="I2:I3" xr:uid="{6481B3CE-A501-49AB-B047-4C5A39D63617}"/>
    <dataValidation allowBlank="1" showInputMessage="1" showErrorMessage="1" prompt="This is an automated column._x000a__x000a_The inventory value for each item is automatically calculated in this column." sqref="J2:J3" xr:uid="{F3D55B01-51E4-4512-A6DE-12A8E83E87BF}"/>
    <dataValidation allowBlank="1" showInputMessage="1" showErrorMessage="1" prompt="Enter the reorder level for each item in this column" sqref="K2:K3" xr:uid="{AAA33527-D151-479E-9E13-378BCAFC01BF}"/>
    <dataValidation allowBlank="1" showInputMessage="1" showErrorMessage="1" prompt="Enter the number of days it takes to reorder each item in this column" sqref="L2:N3" xr:uid="{EBAEE55F-87D3-43B6-BDE6-E8AB67999615}"/>
    <dataValidation allowBlank="1" showInputMessage="1" showErrorMessage="1" prompt="Enter the quantity in reorder for each item in this column" sqref="O2:O3" xr:uid="{9FC14971-8863-43C8-874C-7BBCDF98A2D2}"/>
    <dataValidation allowBlank="1" showInputMessage="1" showErrorMessage="1" prompt="Enter yes if the item has been discontinued. When a yes is entered, the corresponding row is highlighted a light grey and the font style changed to strikethrough" sqref="P2:P3" xr:uid="{4BF5E140-673C-47FD-A5C2-95F1E96A5730}"/>
    <dataValidation allowBlank="1" showInputMessage="1" showErrorMessage="1" prompt="Enter the name of the item in this column" sqref="F2:F3" xr:uid="{33BE2BB2-FC0B-4649-A573-2CEFA5A3B6FC}"/>
    <dataValidation allowBlank="1" showInputMessage="1" showErrorMessage="1" prompt="Enter the item inventory ID in this column" sqref="E2:E3" xr:uid="{AF8AD486-B48B-4C2A-8CC2-B12F3B12AC54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869CCCC8-4388-4AF7-831C-933F03375EAB}"/>
    <dataValidation allowBlank="1" showInputMessage="1" showErrorMessage="1" prompt="Enter company name in this cell" sqref="B1" xr:uid="{1DD3FEC4-27FC-4984-AC76-28A800237FCE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104C-61DA-4473-BD84-0635102CE95D}">
  <sheetPr>
    <tabColor rgb="FFF9A17A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4.5" x14ac:dyDescent="0.25">
      <c r="A1" s="328" t="s">
        <v>127</v>
      </c>
      <c r="B1" s="329" t="s">
        <v>126</v>
      </c>
      <c r="C1" s="329" t="s">
        <v>17</v>
      </c>
      <c r="D1" s="329">
        <v>326</v>
      </c>
      <c r="E1" s="329"/>
      <c r="F1" s="329"/>
      <c r="G1" s="329"/>
      <c r="H1" s="329"/>
      <c r="I1" s="329"/>
      <c r="J1" s="330"/>
      <c r="K1" s="329" t="s">
        <v>18</v>
      </c>
      <c r="L1" s="331">
        <v>18</v>
      </c>
      <c r="M1" s="332">
        <f>SUM(Inventory_List_Table3411151091113171814[TOTAL PESOS])</f>
        <v>0</v>
      </c>
      <c r="N1" s="333"/>
      <c r="O1" s="333"/>
      <c r="P1" s="333"/>
      <c r="Q1" s="334"/>
      <c r="R1" s="335"/>
      <c r="S1" s="336"/>
      <c r="T1" s="337"/>
      <c r="U1" s="337"/>
      <c r="V1" s="337"/>
      <c r="W1" s="338">
        <f>SUM(Inventory_List_Table3411151091113171814[TOTAL USD])</f>
        <v>0</v>
      </c>
      <c r="X1" s="339"/>
      <c r="Y1" s="339"/>
      <c r="Z1" s="339"/>
      <c r="AA1" s="340" t="str">
        <f>IF(G3&gt;0.1, AVERAGE(Inventory_List_Table3411151091113171814[NOTES]), " ")</f>
        <v xml:space="preserve"> </v>
      </c>
      <c r="AB1" s="335"/>
    </row>
    <row r="2" spans="1:30" s="39" customFormat="1" ht="39" x14ac:dyDescent="0.25">
      <c r="A2" s="341" t="s">
        <v>19</v>
      </c>
      <c r="B2" s="342" t="s">
        <v>56</v>
      </c>
      <c r="C2" s="342" t="s">
        <v>146</v>
      </c>
      <c r="D2" s="342" t="s">
        <v>145</v>
      </c>
      <c r="E2" s="342" t="s">
        <v>55</v>
      </c>
      <c r="F2" s="341" t="s">
        <v>20</v>
      </c>
      <c r="G2" s="341" t="s">
        <v>9</v>
      </c>
      <c r="H2" s="341" t="s">
        <v>10</v>
      </c>
      <c r="I2" s="341" t="s">
        <v>15</v>
      </c>
      <c r="J2" s="341" t="s">
        <v>11</v>
      </c>
      <c r="K2" s="341" t="s">
        <v>12</v>
      </c>
      <c r="L2" s="342" t="s">
        <v>25</v>
      </c>
      <c r="M2" s="343" t="s">
        <v>21</v>
      </c>
      <c r="N2" s="344" t="s">
        <v>13</v>
      </c>
      <c r="O2" s="344" t="s">
        <v>22</v>
      </c>
      <c r="P2" s="344" t="s">
        <v>23</v>
      </c>
      <c r="Q2" s="344" t="s">
        <v>24</v>
      </c>
      <c r="R2" s="345" t="s">
        <v>57</v>
      </c>
      <c r="S2" s="342" t="s">
        <v>58</v>
      </c>
      <c r="T2" s="345" t="s">
        <v>59</v>
      </c>
      <c r="U2" s="345" t="s">
        <v>60</v>
      </c>
      <c r="V2" s="345" t="s">
        <v>61</v>
      </c>
      <c r="W2" s="346" t="s">
        <v>14</v>
      </c>
      <c r="X2" s="346" t="s">
        <v>16</v>
      </c>
      <c r="Y2" s="346" t="s">
        <v>1</v>
      </c>
      <c r="Z2" s="329" t="s">
        <v>62</v>
      </c>
      <c r="AA2" s="331" t="s">
        <v>63</v>
      </c>
      <c r="AB2" s="329" t="s">
        <v>64</v>
      </c>
    </row>
    <row r="3" spans="1:30" s="29" customFormat="1" ht="23.25" x14ac:dyDescent="0.35">
      <c r="A3" s="347">
        <v>1</v>
      </c>
      <c r="B3" s="1"/>
      <c r="C3" s="349"/>
      <c r="D3" s="349"/>
      <c r="E3" s="349"/>
      <c r="F3" s="38" t="str">
        <f>IF(Inventory_List_Table3411151091113171814[[#This Row],[Q]]&lt;0.1, " ",A1&amp;$D$1&amp;Inventory_List_Table3411151091113171814[[#This Row],['#]]&amp;Inventory_List_Table3411151091113171814[[#This Row],[LC]])</f>
        <v xml:space="preserve"> </v>
      </c>
      <c r="G3" s="350"/>
      <c r="H3" s="350"/>
      <c r="I3" s="350"/>
      <c r="J3" s="350"/>
      <c r="K3" s="350"/>
      <c r="L3" s="351"/>
      <c r="M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" s="35" t="str">
        <f>IF(Inventory_List_Table3411151091113171814[[#This Row],[Q]]&lt;0.1, " ", Inventory_List_Table3411151091113171814[[#This Row],[KG]]*2.20462)</f>
        <v xml:space="preserve"> </v>
      </c>
      <c r="O3" s="35" t="str">
        <f>IF(Inventory_List_Table3411151091113171814[[#This Row],[Q]]&lt;0.1, " ",Inventory_List_Table3411151091113171814[[#This Row],[H CM]]/2.54)</f>
        <v xml:space="preserve"> </v>
      </c>
      <c r="P3" s="35" t="str">
        <f>IF(Inventory_List_Table3411151091113171814[[#This Row],[Q]]&lt;0.1, " ",Inventory_List_Table3411151091113171814[[#This Row],[W CM]]/2.54)</f>
        <v xml:space="preserve"> </v>
      </c>
      <c r="Q3" s="35" t="str">
        <f>IF(Inventory_List_Table3411151091113171814[[#This Row],[Q]]&lt;0.1, " ",Inventory_List_Table3411151091113171814[[#This Row],[D CM ]]/2.54)</f>
        <v xml:space="preserve"> </v>
      </c>
      <c r="R3" s="30" t="str">
        <f>IF(Inventory_List_Table3411151091113171814[[#This Row],[Q]]&lt;0.1, " ",Inventory_List_Table3411151091113171814[[#This Row],[PRICE]]/$L$1)</f>
        <v xml:space="preserve"> </v>
      </c>
      <c r="S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" s="30" t="str">
        <f>IF(Inventory_List_Table3411151091113171814[[#This Row],[Q]]&lt;0.1, " ",Inventory_List_Table3411151091113171814[[#This Row],[AQ RND USD]]*1.4)</f>
        <v xml:space="preserve"> </v>
      </c>
      <c r="U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" s="30" t="str">
        <f>IF(Inventory_List_Table3411151091113171814[[#This Row],[Q]]&lt;0.1, " ",Inventory_List_Table3411151091113171814[[#This Row],[LND RND USD]]*12)</f>
        <v xml:space="preserve"> </v>
      </c>
      <c r="W3" s="30" t="str">
        <f>IF(Inventory_List_Table3411151091113171814[[#This Row],[Q]]&lt;0.1, " ",Inventory_List_Table3411151091113171814[[#This Row],[AQ USD]])</f>
        <v xml:space="preserve"> </v>
      </c>
      <c r="X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" s="36" t="str">
        <f>IF(Inventory_List_Table3411151091113171814[[#This Row],[Q]]&lt;0.1, " ",Inventory_List_Table3411151091113171814[[#This Row],[PRICE]]/Z3*10000)</f>
        <v xml:space="preserve"> </v>
      </c>
      <c r="AB3" s="348"/>
      <c r="AC3" s="27"/>
      <c r="AD3" s="28"/>
    </row>
    <row r="4" spans="1:30" ht="21" x14ac:dyDescent="0.3">
      <c r="A4" s="347">
        <v>2</v>
      </c>
      <c r="B4" s="1"/>
      <c r="C4" s="349"/>
      <c r="D4" s="349"/>
      <c r="E4" s="349"/>
      <c r="F4" s="38" t="str">
        <f>IF(Inventory_List_Table3411151091113171814[[#This Row],[Q]]&lt;0.1, " ",#REF!&amp;$D$1&amp;#REF!&amp;Inventory_List_Table3411151091113171814[[#This Row],[NOTES]])</f>
        <v xml:space="preserve"> </v>
      </c>
      <c r="G4" s="350"/>
      <c r="H4" s="350"/>
      <c r="I4" s="350"/>
      <c r="J4" s="350"/>
      <c r="K4" s="350"/>
      <c r="L4" s="352"/>
      <c r="M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" s="35" t="str">
        <f>IF(Inventory_List_Table3411151091113171814[[#This Row],[Q]]&lt;0.1, " ", Inventory_List_Table3411151091113171814[[#This Row],[KG]]*2.20462)</f>
        <v xml:space="preserve"> </v>
      </c>
      <c r="O4" s="35" t="str">
        <f>IF(Inventory_List_Table3411151091113171814[[#This Row],[Q]]&lt;0.1, " ",Inventory_List_Table3411151091113171814[[#This Row],[H CM]]/2.54)</f>
        <v xml:space="preserve"> </v>
      </c>
      <c r="P4" s="35" t="str">
        <f>IF(Inventory_List_Table3411151091113171814[[#This Row],[Q]]&lt;0.1, " ",Inventory_List_Table3411151091113171814[[#This Row],[W CM]]/2.54)</f>
        <v xml:space="preserve"> </v>
      </c>
      <c r="Q4" s="35" t="str">
        <f>IF(Inventory_List_Table3411151091113171814[[#This Row],[Q]]&lt;0.1, " ",Inventory_List_Table3411151091113171814[[#This Row],[D CM ]]/2.54)</f>
        <v xml:space="preserve"> </v>
      </c>
      <c r="R4" s="30" t="str">
        <f>IF(Inventory_List_Table3411151091113171814[[#This Row],[Q]]&lt;0.1, " ",Inventory_List_Table3411151091113171814[[#This Row],[PRICE]]/$L$1)</f>
        <v xml:space="preserve"> </v>
      </c>
      <c r="S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" s="30" t="str">
        <f>IF(Inventory_List_Table3411151091113171814[[#This Row],[Q]]&lt;0.1, " ",Inventory_List_Table3411151091113171814[[#This Row],[AQ RND USD]]*1.4)</f>
        <v xml:space="preserve"> </v>
      </c>
      <c r="U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" s="30" t="str">
        <f>IF(Inventory_List_Table3411151091113171814[[#This Row],[Q]]&lt;0.1, " ",Inventory_List_Table3411151091113171814[[#This Row],[LND RND USD]]*12)</f>
        <v xml:space="preserve"> </v>
      </c>
      <c r="W4" s="30" t="str">
        <f>IF(Inventory_List_Table3411151091113171814[[#This Row],[Q]]&lt;0.1, " ",Inventory_List_Table3411151091113171814[[#This Row],[AQ USD]])</f>
        <v xml:space="preserve"> </v>
      </c>
      <c r="X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" s="30" t="str">
        <f>IF(Inventory_List_Table3411151091113171814[[#This Row],[Q]]&lt;0.1, " ",Inventory_List_Table3411151091113171814[[#This Row],[PRICE]]/Z4*10000)</f>
        <v xml:space="preserve"> </v>
      </c>
      <c r="AB4" s="353"/>
      <c r="AC4" s="1"/>
      <c r="AD4" s="1"/>
    </row>
    <row r="5" spans="1:30" ht="24" customHeight="1" x14ac:dyDescent="0.3">
      <c r="A5" s="347">
        <v>3</v>
      </c>
      <c r="B5" s="1"/>
      <c r="C5" s="349"/>
      <c r="D5" s="349"/>
      <c r="E5" s="349"/>
      <c r="F5" s="38" t="str">
        <f>IF(Inventory_List_Table3411151091113171814[[#This Row],[Q]]&lt;0.1, " ",#REF!&amp;$D$1&amp;#REF!&amp;Inventory_List_Table3411151091113171814[[#This Row],[NOTES]])</f>
        <v xml:space="preserve"> </v>
      </c>
      <c r="G5" s="350"/>
      <c r="H5" s="350"/>
      <c r="I5" s="350"/>
      <c r="J5" s="350"/>
      <c r="K5" s="350"/>
      <c r="L5" s="352"/>
      <c r="M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" s="35" t="str">
        <f>IF(Inventory_List_Table3411151091113171814[[#This Row],[Q]]&lt;0.1, " ", Inventory_List_Table3411151091113171814[[#This Row],[KG]]*2.20462)</f>
        <v xml:space="preserve"> </v>
      </c>
      <c r="O5" s="35" t="str">
        <f>IF(Inventory_List_Table3411151091113171814[[#This Row],[Q]]&lt;0.1, " ",Inventory_List_Table3411151091113171814[[#This Row],[H CM]]/2.54)</f>
        <v xml:space="preserve"> </v>
      </c>
      <c r="P5" s="35" t="str">
        <f>IF(Inventory_List_Table3411151091113171814[[#This Row],[Q]]&lt;0.1, " ",Inventory_List_Table3411151091113171814[[#This Row],[W CM]]/2.54)</f>
        <v xml:space="preserve"> </v>
      </c>
      <c r="Q5" s="35" t="str">
        <f>IF(Inventory_List_Table3411151091113171814[[#This Row],[Q]]&lt;0.1, " ",Inventory_List_Table3411151091113171814[[#This Row],[D CM ]]/2.54)</f>
        <v xml:space="preserve"> </v>
      </c>
      <c r="R5" s="30" t="str">
        <f>IF(Inventory_List_Table3411151091113171814[[#This Row],[Q]]&lt;0.1, " ",Inventory_List_Table3411151091113171814[[#This Row],[PRICE]]/$L$1)</f>
        <v xml:space="preserve"> </v>
      </c>
      <c r="S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" s="30" t="str">
        <f>IF(Inventory_List_Table3411151091113171814[[#This Row],[Q]]&lt;0.1, " ",Inventory_List_Table3411151091113171814[[#This Row],[AQ RND USD]]*1.4)</f>
        <v xml:space="preserve"> </v>
      </c>
      <c r="U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" s="30" t="str">
        <f>IF(Inventory_List_Table3411151091113171814[[#This Row],[Q]]&lt;0.1, " ",Inventory_List_Table3411151091113171814[[#This Row],[LND RND USD]]*12)</f>
        <v xml:space="preserve"> </v>
      </c>
      <c r="W5" s="30" t="str">
        <f>IF(Inventory_List_Table3411151091113171814[[#This Row],[Q]]&lt;0.1, " ",Inventory_List_Table3411151091113171814[[#This Row],[AQ USD]])</f>
        <v xml:space="preserve"> </v>
      </c>
      <c r="X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" s="30" t="str">
        <f>IF(Inventory_List_Table3411151091113171814[[#This Row],[Q]]&lt;0.1, " ",Inventory_List_Table3411151091113171814[[#This Row],[PRICE]]/Z5*10000)</f>
        <v xml:space="preserve"> </v>
      </c>
      <c r="AB5" s="353"/>
      <c r="AC5" s="1"/>
      <c r="AD5" s="1"/>
    </row>
    <row r="6" spans="1:30" ht="24" customHeight="1" x14ac:dyDescent="0.3">
      <c r="A6" s="347">
        <v>4</v>
      </c>
      <c r="B6" s="1"/>
      <c r="C6" s="349"/>
      <c r="D6" s="349"/>
      <c r="E6" s="349"/>
      <c r="F6" s="38" t="str">
        <f>IF(Inventory_List_Table3411151091113171814[[#This Row],[Q]]&lt;0.1, " ",#REF!&amp;$D$1&amp;#REF!&amp;Inventory_List_Table3411151091113171814[[#This Row],[NOTES]])</f>
        <v xml:space="preserve"> </v>
      </c>
      <c r="G6" s="350"/>
      <c r="H6" s="350"/>
      <c r="I6" s="350"/>
      <c r="J6" s="350"/>
      <c r="K6" s="350"/>
      <c r="L6" s="352"/>
      <c r="M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" s="35" t="str">
        <f>IF(Inventory_List_Table3411151091113171814[[#This Row],[Q]]&lt;0.1, " ", Inventory_List_Table3411151091113171814[[#This Row],[KG]]*2.20462)</f>
        <v xml:space="preserve"> </v>
      </c>
      <c r="O6" s="35" t="str">
        <f>IF(Inventory_List_Table3411151091113171814[[#This Row],[Q]]&lt;0.1, " ",Inventory_List_Table3411151091113171814[[#This Row],[H CM]]/2.54)</f>
        <v xml:space="preserve"> </v>
      </c>
      <c r="P6" s="35" t="str">
        <f>IF(Inventory_List_Table3411151091113171814[[#This Row],[Q]]&lt;0.1, " ",Inventory_List_Table3411151091113171814[[#This Row],[W CM]]/2.54)</f>
        <v xml:space="preserve"> </v>
      </c>
      <c r="Q6" s="35" t="str">
        <f>IF(Inventory_List_Table3411151091113171814[[#This Row],[Q]]&lt;0.1, " ",Inventory_List_Table3411151091113171814[[#This Row],[D CM ]]/2.54)</f>
        <v xml:space="preserve"> </v>
      </c>
      <c r="R6" s="30" t="str">
        <f>IF(Inventory_List_Table3411151091113171814[[#This Row],[Q]]&lt;0.1, " ",Inventory_List_Table3411151091113171814[[#This Row],[PRICE]]/$L$1)</f>
        <v xml:space="preserve"> </v>
      </c>
      <c r="S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" s="30" t="str">
        <f>IF(Inventory_List_Table3411151091113171814[[#This Row],[Q]]&lt;0.1, " ",Inventory_List_Table3411151091113171814[[#This Row],[AQ RND USD]]*1.4)</f>
        <v xml:space="preserve"> </v>
      </c>
      <c r="U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" s="30" t="str">
        <f>IF(Inventory_List_Table3411151091113171814[[#This Row],[Q]]&lt;0.1, " ",Inventory_List_Table3411151091113171814[[#This Row],[LND RND USD]]*12)</f>
        <v xml:space="preserve"> </v>
      </c>
      <c r="W6" s="30" t="str">
        <f>IF(Inventory_List_Table3411151091113171814[[#This Row],[Q]]&lt;0.1, " ",Inventory_List_Table3411151091113171814[[#This Row],[AQ USD]])</f>
        <v xml:space="preserve"> </v>
      </c>
      <c r="X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" s="30" t="str">
        <f>IF(Inventory_List_Table3411151091113171814[[#This Row],[Q]]&lt;0.1, " ",Inventory_List_Table3411151091113171814[[#This Row],[PRICE]]/Z6*10000)</f>
        <v xml:space="preserve"> </v>
      </c>
      <c r="AB6" s="353"/>
      <c r="AC6" s="1"/>
      <c r="AD6" s="1"/>
    </row>
    <row r="7" spans="1:30" ht="24" customHeight="1" x14ac:dyDescent="0.3">
      <c r="A7" s="347">
        <v>5</v>
      </c>
      <c r="B7" s="1"/>
      <c r="C7" s="349"/>
      <c r="D7" s="349"/>
      <c r="E7" s="349"/>
      <c r="F7" s="38" t="str">
        <f>IF(Inventory_List_Table3411151091113171814[[#This Row],[Q]]&lt;0.1, " ",#REF!&amp;$D$1&amp;#REF!&amp;Inventory_List_Table3411151091113171814[[#This Row],[NOTES]])</f>
        <v xml:space="preserve"> </v>
      </c>
      <c r="G7" s="350"/>
      <c r="H7" s="350"/>
      <c r="I7" s="350"/>
      <c r="J7" s="350"/>
      <c r="K7" s="350"/>
      <c r="L7" s="352"/>
      <c r="M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" s="35" t="str">
        <f>IF(Inventory_List_Table3411151091113171814[[#This Row],[Q]]&lt;0.1, " ", Inventory_List_Table3411151091113171814[[#This Row],[KG]]*2.20462)</f>
        <v xml:space="preserve"> </v>
      </c>
      <c r="O7" s="35" t="str">
        <f>IF(Inventory_List_Table3411151091113171814[[#This Row],[Q]]&lt;0.1, " ",Inventory_List_Table3411151091113171814[[#This Row],[H CM]]/2.54)</f>
        <v xml:space="preserve"> </v>
      </c>
      <c r="P7" s="35" t="str">
        <f>IF(Inventory_List_Table3411151091113171814[[#This Row],[Q]]&lt;0.1, " ",Inventory_List_Table3411151091113171814[[#This Row],[W CM]]/2.54)</f>
        <v xml:space="preserve"> </v>
      </c>
      <c r="Q7" s="35" t="str">
        <f>IF(Inventory_List_Table3411151091113171814[[#This Row],[Q]]&lt;0.1, " ",Inventory_List_Table3411151091113171814[[#This Row],[D CM ]]/2.54)</f>
        <v xml:space="preserve"> </v>
      </c>
      <c r="R7" s="30" t="str">
        <f>IF(Inventory_List_Table3411151091113171814[[#This Row],[Q]]&lt;0.1, " ",Inventory_List_Table3411151091113171814[[#This Row],[PRICE]]/$L$1)</f>
        <v xml:space="preserve"> </v>
      </c>
      <c r="S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" s="30" t="str">
        <f>IF(Inventory_List_Table3411151091113171814[[#This Row],[Q]]&lt;0.1, " ",Inventory_List_Table3411151091113171814[[#This Row],[AQ RND USD]]*1.4)</f>
        <v xml:space="preserve"> </v>
      </c>
      <c r="U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" s="30" t="str">
        <f>IF(Inventory_List_Table3411151091113171814[[#This Row],[Q]]&lt;0.1, " ",Inventory_List_Table3411151091113171814[[#This Row],[LND RND USD]]*12)</f>
        <v xml:space="preserve"> </v>
      </c>
      <c r="W7" s="30" t="str">
        <f>IF(Inventory_List_Table3411151091113171814[[#This Row],[Q]]&lt;0.1, " ",Inventory_List_Table3411151091113171814[[#This Row],[AQ USD]])</f>
        <v xml:space="preserve"> </v>
      </c>
      <c r="X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" s="30" t="str">
        <f>IF(Inventory_List_Table3411151091113171814[[#This Row],[Q]]&lt;0.1, " ",Inventory_List_Table3411151091113171814[[#This Row],[PRICE]]/Z7*10000)</f>
        <v xml:space="preserve"> </v>
      </c>
      <c r="AB7" s="353"/>
      <c r="AC7" s="1"/>
      <c r="AD7" s="1"/>
    </row>
    <row r="8" spans="1:30" ht="24" customHeight="1" x14ac:dyDescent="0.3">
      <c r="A8" s="347">
        <v>6</v>
      </c>
      <c r="B8" s="1"/>
      <c r="C8" s="349"/>
      <c r="D8" s="349"/>
      <c r="E8" s="349"/>
      <c r="F8" s="38" t="str">
        <f>IF(Inventory_List_Table3411151091113171814[[#This Row],[Q]]&lt;0.1, " ",#REF!&amp;$D$1&amp;#REF!&amp;Inventory_List_Table3411151091113171814[[#This Row],[NOTES]])</f>
        <v xml:space="preserve"> </v>
      </c>
      <c r="G8" s="350"/>
      <c r="H8" s="350"/>
      <c r="I8" s="350"/>
      <c r="J8" s="350"/>
      <c r="K8" s="350"/>
      <c r="L8" s="352"/>
      <c r="M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" s="35" t="str">
        <f>IF(Inventory_List_Table3411151091113171814[[#This Row],[Q]]&lt;0.1, " ", Inventory_List_Table3411151091113171814[[#This Row],[KG]]*2.20462)</f>
        <v xml:space="preserve"> </v>
      </c>
      <c r="O8" s="35" t="str">
        <f>IF(Inventory_List_Table3411151091113171814[[#This Row],[Q]]&lt;0.1, " ",Inventory_List_Table3411151091113171814[[#This Row],[H CM]]/2.54)</f>
        <v xml:space="preserve"> </v>
      </c>
      <c r="P8" s="35" t="str">
        <f>IF(Inventory_List_Table3411151091113171814[[#This Row],[Q]]&lt;0.1, " ",Inventory_List_Table3411151091113171814[[#This Row],[W CM]]/2.54)</f>
        <v xml:space="preserve"> </v>
      </c>
      <c r="Q8" s="35" t="str">
        <f>IF(Inventory_List_Table3411151091113171814[[#This Row],[Q]]&lt;0.1, " ",Inventory_List_Table3411151091113171814[[#This Row],[D CM ]]/2.54)</f>
        <v xml:space="preserve"> </v>
      </c>
      <c r="R8" s="30" t="str">
        <f>IF(Inventory_List_Table3411151091113171814[[#This Row],[Q]]&lt;0.1, " ",Inventory_List_Table3411151091113171814[[#This Row],[PRICE]]/$L$1)</f>
        <v xml:space="preserve"> </v>
      </c>
      <c r="S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" s="30" t="str">
        <f>IF(Inventory_List_Table3411151091113171814[[#This Row],[Q]]&lt;0.1, " ",Inventory_List_Table3411151091113171814[[#This Row],[AQ RND USD]]*1.4)</f>
        <v xml:space="preserve"> </v>
      </c>
      <c r="U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" s="30" t="str">
        <f>IF(Inventory_List_Table3411151091113171814[[#This Row],[Q]]&lt;0.1, " ",Inventory_List_Table3411151091113171814[[#This Row],[LND RND USD]]*12)</f>
        <v xml:space="preserve"> </v>
      </c>
      <c r="W8" s="30" t="str">
        <f>IF(Inventory_List_Table3411151091113171814[[#This Row],[Q]]&lt;0.1, " ",Inventory_List_Table3411151091113171814[[#This Row],[AQ USD]])</f>
        <v xml:space="preserve"> </v>
      </c>
      <c r="X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" s="30" t="str">
        <f>IF(Inventory_List_Table3411151091113171814[[#This Row],[Q]]&lt;0.1, " ",Inventory_List_Table3411151091113171814[[#This Row],[PRICE]]/Z8*10000)</f>
        <v xml:space="preserve"> </v>
      </c>
      <c r="AB8" s="353"/>
      <c r="AC8" s="1"/>
      <c r="AD8" s="1"/>
    </row>
    <row r="9" spans="1:30" ht="24" customHeight="1" x14ac:dyDescent="0.3">
      <c r="A9" s="347">
        <v>7</v>
      </c>
      <c r="B9" s="1"/>
      <c r="C9" s="349"/>
      <c r="D9" s="349"/>
      <c r="E9" s="349"/>
      <c r="F9" s="38" t="str">
        <f>IF(Inventory_List_Table3411151091113171814[[#This Row],[Q]]&lt;0.1, " ",#REF!&amp;$D$1&amp;#REF!&amp;Inventory_List_Table3411151091113171814[[#This Row],[NOTES]])</f>
        <v xml:space="preserve"> </v>
      </c>
      <c r="G9" s="350"/>
      <c r="H9" s="350"/>
      <c r="I9" s="350"/>
      <c r="J9" s="350"/>
      <c r="K9" s="350"/>
      <c r="L9" s="352"/>
      <c r="M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" s="35" t="str">
        <f>IF(Inventory_List_Table3411151091113171814[[#This Row],[Q]]&lt;0.1, " ", Inventory_List_Table3411151091113171814[[#This Row],[KG]]*2.20462)</f>
        <v xml:space="preserve"> </v>
      </c>
      <c r="O9" s="35" t="str">
        <f>IF(Inventory_List_Table3411151091113171814[[#This Row],[Q]]&lt;0.1, " ",Inventory_List_Table3411151091113171814[[#This Row],[H CM]]/2.54)</f>
        <v xml:space="preserve"> </v>
      </c>
      <c r="P9" s="35" t="str">
        <f>IF(Inventory_List_Table3411151091113171814[[#This Row],[Q]]&lt;0.1, " ",Inventory_List_Table3411151091113171814[[#This Row],[W CM]]/2.54)</f>
        <v xml:space="preserve"> </v>
      </c>
      <c r="Q9" s="35" t="str">
        <f>IF(Inventory_List_Table3411151091113171814[[#This Row],[Q]]&lt;0.1, " ",Inventory_List_Table3411151091113171814[[#This Row],[D CM ]]/2.54)</f>
        <v xml:space="preserve"> </v>
      </c>
      <c r="R9" s="30" t="str">
        <f>IF(Inventory_List_Table3411151091113171814[[#This Row],[Q]]&lt;0.1, " ",Inventory_List_Table3411151091113171814[[#This Row],[PRICE]]/$L$1)</f>
        <v xml:space="preserve"> </v>
      </c>
      <c r="S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" s="30" t="str">
        <f>IF(Inventory_List_Table3411151091113171814[[#This Row],[Q]]&lt;0.1, " ",Inventory_List_Table3411151091113171814[[#This Row],[AQ RND USD]]*1.4)</f>
        <v xml:space="preserve"> </v>
      </c>
      <c r="U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" s="30" t="str">
        <f>IF(Inventory_List_Table3411151091113171814[[#This Row],[Q]]&lt;0.1, " ",Inventory_List_Table3411151091113171814[[#This Row],[LND RND USD]]*12)</f>
        <v xml:space="preserve"> </v>
      </c>
      <c r="W9" s="30" t="str">
        <f>IF(Inventory_List_Table3411151091113171814[[#This Row],[Q]]&lt;0.1, " ",Inventory_List_Table3411151091113171814[[#This Row],[AQ USD]])</f>
        <v xml:space="preserve"> </v>
      </c>
      <c r="X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" s="30" t="str">
        <f>IF(Inventory_List_Table3411151091113171814[[#This Row],[Q]]&lt;0.1, " ",Inventory_List_Table3411151091113171814[[#This Row],[PRICE]]/Z9*10000)</f>
        <v xml:space="preserve"> </v>
      </c>
      <c r="AB9" s="353"/>
      <c r="AC9" s="1"/>
      <c r="AD9" s="1"/>
    </row>
    <row r="10" spans="1:30" ht="24" customHeight="1" x14ac:dyDescent="0.3">
      <c r="A10" s="347">
        <v>8</v>
      </c>
      <c r="B10" s="1"/>
      <c r="C10" s="349"/>
      <c r="D10" s="349"/>
      <c r="E10" s="349"/>
      <c r="F10" s="38" t="str">
        <f>IF(Inventory_List_Table3411151091113171814[[#This Row],[Q]]&lt;0.1, " ",#REF!&amp;$D$1&amp;#REF!&amp;Inventory_List_Table3411151091113171814[[#This Row],[NOTES]])</f>
        <v xml:space="preserve"> </v>
      </c>
      <c r="G10" s="350"/>
      <c r="H10" s="350"/>
      <c r="I10" s="350"/>
      <c r="J10" s="350"/>
      <c r="K10" s="350"/>
      <c r="L10" s="352"/>
      <c r="M1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0" s="35" t="str">
        <f>IF(Inventory_List_Table3411151091113171814[[#This Row],[Q]]&lt;0.1, " ", Inventory_List_Table3411151091113171814[[#This Row],[KG]]*2.20462)</f>
        <v xml:space="preserve"> </v>
      </c>
      <c r="O10" s="35" t="str">
        <f>IF(Inventory_List_Table3411151091113171814[[#This Row],[Q]]&lt;0.1, " ",Inventory_List_Table3411151091113171814[[#This Row],[H CM]]/2.54)</f>
        <v xml:space="preserve"> </v>
      </c>
      <c r="P10" s="35" t="str">
        <f>IF(Inventory_List_Table3411151091113171814[[#This Row],[Q]]&lt;0.1, " ",Inventory_List_Table3411151091113171814[[#This Row],[W CM]]/2.54)</f>
        <v xml:space="preserve"> </v>
      </c>
      <c r="Q10" s="35" t="str">
        <f>IF(Inventory_List_Table3411151091113171814[[#This Row],[Q]]&lt;0.1, " ",Inventory_List_Table3411151091113171814[[#This Row],[D CM ]]/2.54)</f>
        <v xml:space="preserve"> </v>
      </c>
      <c r="R10" s="30" t="str">
        <f>IF(Inventory_List_Table3411151091113171814[[#This Row],[Q]]&lt;0.1, " ",Inventory_List_Table3411151091113171814[[#This Row],[PRICE]]/$L$1)</f>
        <v xml:space="preserve"> </v>
      </c>
      <c r="S1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0" s="30" t="str">
        <f>IF(Inventory_List_Table3411151091113171814[[#This Row],[Q]]&lt;0.1, " ",Inventory_List_Table3411151091113171814[[#This Row],[AQ RND USD]]*1.4)</f>
        <v xml:space="preserve"> </v>
      </c>
      <c r="U1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0" s="30" t="str">
        <f>IF(Inventory_List_Table3411151091113171814[[#This Row],[Q]]&lt;0.1, " ",Inventory_List_Table3411151091113171814[[#This Row],[LND RND USD]]*12)</f>
        <v xml:space="preserve"> </v>
      </c>
      <c r="W10" s="30" t="str">
        <f>IF(Inventory_List_Table3411151091113171814[[#This Row],[Q]]&lt;0.1, " ",Inventory_List_Table3411151091113171814[[#This Row],[AQ USD]])</f>
        <v xml:space="preserve"> </v>
      </c>
      <c r="X1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0" s="30" t="str">
        <f>IF(Inventory_List_Table3411151091113171814[[#This Row],[Q]]&lt;0.1, " ",Inventory_List_Table3411151091113171814[[#This Row],[PRICE]]/Z10*10000)</f>
        <v xml:space="preserve"> </v>
      </c>
      <c r="AB10" s="353"/>
      <c r="AC10" s="1"/>
      <c r="AD10" s="1"/>
    </row>
    <row r="11" spans="1:30" ht="24" customHeight="1" x14ac:dyDescent="0.3">
      <c r="A11" s="347">
        <v>9</v>
      </c>
      <c r="B11" s="1"/>
      <c r="C11" s="349"/>
      <c r="D11" s="349"/>
      <c r="E11" s="349"/>
      <c r="F11" s="38" t="str">
        <f>IF(Inventory_List_Table3411151091113171814[[#This Row],[Q]]&lt;0.1, " ",#REF!&amp;$D$1&amp;#REF!&amp;Inventory_List_Table3411151091113171814[[#This Row],[NOTES]])</f>
        <v xml:space="preserve"> </v>
      </c>
      <c r="G11" s="350"/>
      <c r="H11" s="350"/>
      <c r="I11" s="350"/>
      <c r="J11" s="350"/>
      <c r="K11" s="350"/>
      <c r="L11" s="352"/>
      <c r="M1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1" s="35" t="str">
        <f>IF(Inventory_List_Table3411151091113171814[[#This Row],[Q]]&lt;0.1, " ", Inventory_List_Table3411151091113171814[[#This Row],[KG]]*2.20462)</f>
        <v xml:space="preserve"> </v>
      </c>
      <c r="O11" s="35" t="str">
        <f>IF(Inventory_List_Table3411151091113171814[[#This Row],[Q]]&lt;0.1, " ",Inventory_List_Table3411151091113171814[[#This Row],[H CM]]/2.54)</f>
        <v xml:space="preserve"> </v>
      </c>
      <c r="P11" s="35" t="str">
        <f>IF(Inventory_List_Table3411151091113171814[[#This Row],[Q]]&lt;0.1, " ",Inventory_List_Table3411151091113171814[[#This Row],[W CM]]/2.54)</f>
        <v xml:space="preserve"> </v>
      </c>
      <c r="Q11" s="35" t="str">
        <f>IF(Inventory_List_Table3411151091113171814[[#This Row],[Q]]&lt;0.1, " ",Inventory_List_Table3411151091113171814[[#This Row],[D CM ]]/2.54)</f>
        <v xml:space="preserve"> </v>
      </c>
      <c r="R11" s="30" t="str">
        <f>IF(Inventory_List_Table3411151091113171814[[#This Row],[Q]]&lt;0.1, " ",Inventory_List_Table3411151091113171814[[#This Row],[PRICE]]/$L$1)</f>
        <v xml:space="preserve"> </v>
      </c>
      <c r="S1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1" s="30" t="str">
        <f>IF(Inventory_List_Table3411151091113171814[[#This Row],[Q]]&lt;0.1, " ",Inventory_List_Table3411151091113171814[[#This Row],[AQ RND USD]]*1.4)</f>
        <v xml:space="preserve"> </v>
      </c>
      <c r="U1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1" s="30" t="str">
        <f>IF(Inventory_List_Table3411151091113171814[[#This Row],[Q]]&lt;0.1, " ",Inventory_List_Table3411151091113171814[[#This Row],[LND RND USD]]*12)</f>
        <v xml:space="preserve"> </v>
      </c>
      <c r="W11" s="30" t="str">
        <f>IF(Inventory_List_Table3411151091113171814[[#This Row],[Q]]&lt;0.1, " ",Inventory_List_Table3411151091113171814[[#This Row],[AQ USD]])</f>
        <v xml:space="preserve"> </v>
      </c>
      <c r="X1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1" s="30" t="str">
        <f>IF(Inventory_List_Table3411151091113171814[[#This Row],[Q]]&lt;0.1, " ",Inventory_List_Table3411151091113171814[[#This Row],[PRICE]]/Z11*10000)</f>
        <v xml:space="preserve"> </v>
      </c>
      <c r="AB11" s="353"/>
      <c r="AC11" s="1"/>
      <c r="AD11" s="1"/>
    </row>
    <row r="12" spans="1:30" ht="24" customHeight="1" x14ac:dyDescent="0.3">
      <c r="A12" s="347">
        <v>10</v>
      </c>
      <c r="B12" s="1"/>
      <c r="C12" s="349"/>
      <c r="D12" s="349"/>
      <c r="E12" s="349"/>
      <c r="F12" s="38" t="str">
        <f>IF(Inventory_List_Table3411151091113171814[[#This Row],[Q]]&lt;0.1, " ",#REF!&amp;$D$1&amp;#REF!&amp;Inventory_List_Table3411151091113171814[[#This Row],[NOTES]])</f>
        <v xml:space="preserve"> </v>
      </c>
      <c r="G12" s="350"/>
      <c r="H12" s="350"/>
      <c r="I12" s="350"/>
      <c r="J12" s="350"/>
      <c r="K12" s="350"/>
      <c r="L12" s="352"/>
      <c r="M1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2" s="35" t="str">
        <f>IF(Inventory_List_Table3411151091113171814[[#This Row],[Q]]&lt;0.1, " ", Inventory_List_Table3411151091113171814[[#This Row],[KG]]*2.20462)</f>
        <v xml:space="preserve"> </v>
      </c>
      <c r="O12" s="35" t="str">
        <f>IF(Inventory_List_Table3411151091113171814[[#This Row],[Q]]&lt;0.1, " ",Inventory_List_Table3411151091113171814[[#This Row],[H CM]]/2.54)</f>
        <v xml:space="preserve"> </v>
      </c>
      <c r="P12" s="35" t="str">
        <f>IF(Inventory_List_Table3411151091113171814[[#This Row],[Q]]&lt;0.1, " ",Inventory_List_Table3411151091113171814[[#This Row],[W CM]]/2.54)</f>
        <v xml:space="preserve"> </v>
      </c>
      <c r="Q12" s="35" t="str">
        <f>IF(Inventory_List_Table3411151091113171814[[#This Row],[Q]]&lt;0.1, " ",Inventory_List_Table3411151091113171814[[#This Row],[D CM ]]/2.54)</f>
        <v xml:space="preserve"> </v>
      </c>
      <c r="R12" s="30" t="str">
        <f>IF(Inventory_List_Table3411151091113171814[[#This Row],[Q]]&lt;0.1, " ",Inventory_List_Table3411151091113171814[[#This Row],[PRICE]]/$L$1)</f>
        <v xml:space="preserve"> </v>
      </c>
      <c r="S1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2" s="30" t="str">
        <f>IF(Inventory_List_Table3411151091113171814[[#This Row],[Q]]&lt;0.1, " ",Inventory_List_Table3411151091113171814[[#This Row],[AQ RND USD]]*1.4)</f>
        <v xml:space="preserve"> </v>
      </c>
      <c r="U1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2" s="30" t="str">
        <f>IF(Inventory_List_Table3411151091113171814[[#This Row],[Q]]&lt;0.1, " ",Inventory_List_Table3411151091113171814[[#This Row],[LND RND USD]]*12)</f>
        <v xml:space="preserve"> </v>
      </c>
      <c r="W12" s="30" t="str">
        <f>IF(Inventory_List_Table3411151091113171814[[#This Row],[Q]]&lt;0.1, " ",Inventory_List_Table3411151091113171814[[#This Row],[AQ USD]])</f>
        <v xml:space="preserve"> </v>
      </c>
      <c r="X1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2" s="30" t="str">
        <f>IF(Inventory_List_Table3411151091113171814[[#This Row],[Q]]&lt;0.1, " ",Inventory_List_Table3411151091113171814[[#This Row],[PRICE]]/Z12*10000)</f>
        <v xml:space="preserve"> </v>
      </c>
      <c r="AB12" s="353"/>
      <c r="AC12" s="1"/>
      <c r="AD12" s="1"/>
    </row>
    <row r="13" spans="1:30" ht="24" customHeight="1" x14ac:dyDescent="0.3">
      <c r="A13" s="347">
        <v>11</v>
      </c>
      <c r="B13" s="1"/>
      <c r="C13" s="349"/>
      <c r="D13" s="349"/>
      <c r="E13" s="349"/>
      <c r="F13" s="38" t="str">
        <f>IF(Inventory_List_Table3411151091113171814[[#This Row],[Q]]&lt;0.1, " ",#REF!&amp;$D$1&amp;#REF!&amp;Inventory_List_Table3411151091113171814[[#This Row],[NOTES]])</f>
        <v xml:space="preserve"> </v>
      </c>
      <c r="G13" s="350"/>
      <c r="H13" s="350"/>
      <c r="I13" s="350"/>
      <c r="J13" s="350"/>
      <c r="K13" s="350"/>
      <c r="L13" s="352"/>
      <c r="M1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3" s="35" t="str">
        <f>IF(Inventory_List_Table3411151091113171814[[#This Row],[Q]]&lt;0.1, " ", Inventory_List_Table3411151091113171814[[#This Row],[KG]]*2.20462)</f>
        <v xml:space="preserve"> </v>
      </c>
      <c r="O13" s="35" t="str">
        <f>IF(Inventory_List_Table3411151091113171814[[#This Row],[Q]]&lt;0.1, " ",Inventory_List_Table3411151091113171814[[#This Row],[H CM]]/2.54)</f>
        <v xml:space="preserve"> </v>
      </c>
      <c r="P13" s="35" t="str">
        <f>IF(Inventory_List_Table3411151091113171814[[#This Row],[Q]]&lt;0.1, " ",Inventory_List_Table3411151091113171814[[#This Row],[W CM]]/2.54)</f>
        <v xml:space="preserve"> </v>
      </c>
      <c r="Q13" s="35" t="str">
        <f>IF(Inventory_List_Table3411151091113171814[[#This Row],[Q]]&lt;0.1, " ",Inventory_List_Table3411151091113171814[[#This Row],[D CM ]]/2.54)</f>
        <v xml:space="preserve"> </v>
      </c>
      <c r="R13" s="30" t="str">
        <f>IF(Inventory_List_Table3411151091113171814[[#This Row],[Q]]&lt;0.1, " ",Inventory_List_Table3411151091113171814[[#This Row],[PRICE]]/$L$1)</f>
        <v xml:space="preserve"> </v>
      </c>
      <c r="S1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3" s="30" t="str">
        <f>IF(Inventory_List_Table3411151091113171814[[#This Row],[Q]]&lt;0.1, " ",Inventory_List_Table3411151091113171814[[#This Row],[AQ RND USD]]*1.4)</f>
        <v xml:space="preserve"> </v>
      </c>
      <c r="U1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3" s="30" t="str">
        <f>IF(Inventory_List_Table3411151091113171814[[#This Row],[Q]]&lt;0.1, " ",Inventory_List_Table3411151091113171814[[#This Row],[LND RND USD]]*12)</f>
        <v xml:space="preserve"> </v>
      </c>
      <c r="W13" s="30" t="str">
        <f>IF(Inventory_List_Table3411151091113171814[[#This Row],[Q]]&lt;0.1, " ",Inventory_List_Table3411151091113171814[[#This Row],[AQ USD]])</f>
        <v xml:space="preserve"> </v>
      </c>
      <c r="X1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3" s="30" t="str">
        <f>IF(Inventory_List_Table3411151091113171814[[#This Row],[Q]]&lt;0.1, " ",Inventory_List_Table3411151091113171814[[#This Row],[PRICE]]/Z13*10000)</f>
        <v xml:space="preserve"> </v>
      </c>
      <c r="AB13" s="353"/>
      <c r="AC13" s="1"/>
      <c r="AD13" s="1"/>
    </row>
    <row r="14" spans="1:30" ht="24" customHeight="1" x14ac:dyDescent="0.3">
      <c r="A14" s="347">
        <v>12</v>
      </c>
      <c r="B14" s="1"/>
      <c r="C14" s="349"/>
      <c r="D14" s="349"/>
      <c r="E14" s="349"/>
      <c r="F14" s="38" t="str">
        <f>IF(Inventory_List_Table3411151091113171814[[#This Row],[Q]]&lt;0.1, " ",#REF!&amp;$D$1&amp;#REF!&amp;Inventory_List_Table3411151091113171814[[#This Row],[NOTES]])</f>
        <v xml:space="preserve"> </v>
      </c>
      <c r="G14" s="350"/>
      <c r="H14" s="350"/>
      <c r="I14" s="350"/>
      <c r="J14" s="350"/>
      <c r="K14" s="350"/>
      <c r="L14" s="352"/>
      <c r="M1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4" s="35" t="str">
        <f>IF(Inventory_List_Table3411151091113171814[[#This Row],[Q]]&lt;0.1, " ", Inventory_List_Table3411151091113171814[[#This Row],[KG]]*2.20462)</f>
        <v xml:space="preserve"> </v>
      </c>
      <c r="O14" s="35" t="str">
        <f>IF(Inventory_List_Table3411151091113171814[[#This Row],[Q]]&lt;0.1, " ",Inventory_List_Table3411151091113171814[[#This Row],[H CM]]/2.54)</f>
        <v xml:space="preserve"> </v>
      </c>
      <c r="P14" s="35" t="str">
        <f>IF(Inventory_List_Table3411151091113171814[[#This Row],[Q]]&lt;0.1, " ",Inventory_List_Table3411151091113171814[[#This Row],[W CM]]/2.54)</f>
        <v xml:space="preserve"> </v>
      </c>
      <c r="Q14" s="35" t="str">
        <f>IF(Inventory_List_Table3411151091113171814[[#This Row],[Q]]&lt;0.1, " ",Inventory_List_Table3411151091113171814[[#This Row],[D CM ]]/2.54)</f>
        <v xml:space="preserve"> </v>
      </c>
      <c r="R14" s="30" t="str">
        <f>IF(Inventory_List_Table3411151091113171814[[#This Row],[Q]]&lt;0.1, " ",Inventory_List_Table3411151091113171814[[#This Row],[PRICE]]/$L$1)</f>
        <v xml:space="preserve"> </v>
      </c>
      <c r="S1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4" s="30" t="str">
        <f>IF(Inventory_List_Table3411151091113171814[[#This Row],[Q]]&lt;0.1, " ",Inventory_List_Table3411151091113171814[[#This Row],[AQ RND USD]]*1.4)</f>
        <v xml:space="preserve"> </v>
      </c>
      <c r="U1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4" s="30" t="str">
        <f>IF(Inventory_List_Table3411151091113171814[[#This Row],[Q]]&lt;0.1, " ",Inventory_List_Table3411151091113171814[[#This Row],[LND RND USD]]*12)</f>
        <v xml:space="preserve"> </v>
      </c>
      <c r="W14" s="30" t="str">
        <f>IF(Inventory_List_Table3411151091113171814[[#This Row],[Q]]&lt;0.1, " ",Inventory_List_Table3411151091113171814[[#This Row],[AQ USD]])</f>
        <v xml:space="preserve"> </v>
      </c>
      <c r="X1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4" s="30" t="str">
        <f>IF(Inventory_List_Table3411151091113171814[[#This Row],[Q]]&lt;0.1, " ",Inventory_List_Table3411151091113171814[[#This Row],[PRICE]]/Z14*10000)</f>
        <v xml:space="preserve"> </v>
      </c>
      <c r="AB14" s="353"/>
      <c r="AC14" s="1"/>
      <c r="AD14" s="1"/>
    </row>
    <row r="15" spans="1:30" ht="24" customHeight="1" x14ac:dyDescent="0.3">
      <c r="A15" s="347">
        <v>13</v>
      </c>
      <c r="B15" s="1"/>
      <c r="C15" s="349"/>
      <c r="D15" s="349"/>
      <c r="E15" s="349"/>
      <c r="F15" s="38" t="str">
        <f>IF(Inventory_List_Table3411151091113171814[[#This Row],[Q]]&lt;0.1, " ",#REF!&amp;$D$1&amp;#REF!&amp;Inventory_List_Table3411151091113171814[[#This Row],[NOTES]])</f>
        <v xml:space="preserve"> </v>
      </c>
      <c r="G15" s="350"/>
      <c r="H15" s="350"/>
      <c r="I15" s="350"/>
      <c r="J15" s="350"/>
      <c r="K15" s="350"/>
      <c r="L15" s="352"/>
      <c r="M1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5" s="35" t="str">
        <f>IF(Inventory_List_Table3411151091113171814[[#This Row],[Q]]&lt;0.1, " ", Inventory_List_Table3411151091113171814[[#This Row],[KG]]*2.20462)</f>
        <v xml:space="preserve"> </v>
      </c>
      <c r="O15" s="35" t="str">
        <f>IF(Inventory_List_Table3411151091113171814[[#This Row],[Q]]&lt;0.1, " ",Inventory_List_Table3411151091113171814[[#This Row],[H CM]]/2.54)</f>
        <v xml:space="preserve"> </v>
      </c>
      <c r="P15" s="35" t="str">
        <f>IF(Inventory_List_Table3411151091113171814[[#This Row],[Q]]&lt;0.1, " ",Inventory_List_Table3411151091113171814[[#This Row],[W CM]]/2.54)</f>
        <v xml:space="preserve"> </v>
      </c>
      <c r="Q15" s="35" t="str">
        <f>IF(Inventory_List_Table3411151091113171814[[#This Row],[Q]]&lt;0.1, " ",Inventory_List_Table3411151091113171814[[#This Row],[D CM ]]/2.54)</f>
        <v xml:space="preserve"> </v>
      </c>
      <c r="R15" s="30" t="str">
        <f>IF(Inventory_List_Table3411151091113171814[[#This Row],[Q]]&lt;0.1, " ",Inventory_List_Table3411151091113171814[[#This Row],[PRICE]]/$L$1)</f>
        <v xml:space="preserve"> </v>
      </c>
      <c r="S1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5" s="30" t="str">
        <f>IF(Inventory_List_Table3411151091113171814[[#This Row],[Q]]&lt;0.1, " ",Inventory_List_Table3411151091113171814[[#This Row],[AQ RND USD]]*1.4)</f>
        <v xml:space="preserve"> </v>
      </c>
      <c r="U1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5" s="30" t="str">
        <f>IF(Inventory_List_Table3411151091113171814[[#This Row],[Q]]&lt;0.1, " ",Inventory_List_Table3411151091113171814[[#This Row],[LND RND USD]]*12)</f>
        <v xml:space="preserve"> </v>
      </c>
      <c r="W15" s="30" t="str">
        <f>IF(Inventory_List_Table3411151091113171814[[#This Row],[Q]]&lt;0.1, " ",Inventory_List_Table3411151091113171814[[#This Row],[AQ USD]])</f>
        <v xml:space="preserve"> </v>
      </c>
      <c r="X1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5" s="30" t="str">
        <f>IF(Inventory_List_Table3411151091113171814[[#This Row],[Q]]&lt;0.1, " ",Inventory_List_Table3411151091113171814[[#This Row],[PRICE]]/Z15*10000)</f>
        <v xml:space="preserve"> </v>
      </c>
      <c r="AB15" s="353"/>
      <c r="AC15" s="1"/>
      <c r="AD15" s="1"/>
    </row>
    <row r="16" spans="1:30" ht="24" customHeight="1" x14ac:dyDescent="0.3">
      <c r="A16" s="347">
        <v>14</v>
      </c>
      <c r="B16" s="1"/>
      <c r="C16" s="349"/>
      <c r="D16" s="349"/>
      <c r="E16" s="349"/>
      <c r="F16" s="38" t="str">
        <f>IF(Inventory_List_Table3411151091113171814[[#This Row],[Q]]&lt;0.1, " ",#REF!&amp;$D$1&amp;#REF!&amp;Inventory_List_Table3411151091113171814[[#This Row],[NOTES]])</f>
        <v xml:space="preserve"> </v>
      </c>
      <c r="G16" s="350"/>
      <c r="H16" s="350"/>
      <c r="I16" s="350"/>
      <c r="J16" s="350"/>
      <c r="K16" s="350"/>
      <c r="L16" s="352"/>
      <c r="M1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6" s="35" t="str">
        <f>IF(Inventory_List_Table3411151091113171814[[#This Row],[Q]]&lt;0.1, " ", Inventory_List_Table3411151091113171814[[#This Row],[KG]]*2.20462)</f>
        <v xml:space="preserve"> </v>
      </c>
      <c r="O16" s="35" t="str">
        <f>IF(Inventory_List_Table3411151091113171814[[#This Row],[Q]]&lt;0.1, " ",Inventory_List_Table3411151091113171814[[#This Row],[H CM]]/2.54)</f>
        <v xml:space="preserve"> </v>
      </c>
      <c r="P16" s="35" t="str">
        <f>IF(Inventory_List_Table3411151091113171814[[#This Row],[Q]]&lt;0.1, " ",Inventory_List_Table3411151091113171814[[#This Row],[W CM]]/2.54)</f>
        <v xml:space="preserve"> </v>
      </c>
      <c r="Q16" s="35" t="str">
        <f>IF(Inventory_List_Table3411151091113171814[[#This Row],[Q]]&lt;0.1, " ",Inventory_List_Table3411151091113171814[[#This Row],[D CM ]]/2.54)</f>
        <v xml:space="preserve"> </v>
      </c>
      <c r="R16" s="30" t="str">
        <f>IF(Inventory_List_Table3411151091113171814[[#This Row],[Q]]&lt;0.1, " ",Inventory_List_Table3411151091113171814[[#This Row],[PRICE]]/$L$1)</f>
        <v xml:space="preserve"> </v>
      </c>
      <c r="S1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6" s="30" t="str">
        <f>IF(Inventory_List_Table3411151091113171814[[#This Row],[Q]]&lt;0.1, " ",Inventory_List_Table3411151091113171814[[#This Row],[AQ RND USD]]*1.4)</f>
        <v xml:space="preserve"> </v>
      </c>
      <c r="U1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6" s="30" t="str">
        <f>IF(Inventory_List_Table3411151091113171814[[#This Row],[Q]]&lt;0.1, " ",Inventory_List_Table3411151091113171814[[#This Row],[LND RND USD]]*12)</f>
        <v xml:space="preserve"> </v>
      </c>
      <c r="W16" s="30" t="str">
        <f>IF(Inventory_List_Table3411151091113171814[[#This Row],[Q]]&lt;0.1, " ",Inventory_List_Table3411151091113171814[[#This Row],[AQ USD]])</f>
        <v xml:space="preserve"> </v>
      </c>
      <c r="X1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6" s="30" t="str">
        <f>IF(Inventory_List_Table3411151091113171814[[#This Row],[Q]]&lt;0.1, " ",Inventory_List_Table3411151091113171814[[#This Row],[PRICE]]/Z16*10000)</f>
        <v xml:space="preserve"> </v>
      </c>
      <c r="AB16" s="353"/>
      <c r="AC16" s="1"/>
      <c r="AD16" s="1"/>
    </row>
    <row r="17" spans="1:30" ht="24" customHeight="1" x14ac:dyDescent="0.3">
      <c r="A17" s="347">
        <v>15</v>
      </c>
      <c r="B17" s="1"/>
      <c r="C17" s="349"/>
      <c r="D17" s="349"/>
      <c r="E17" s="349"/>
      <c r="F17" s="38" t="str">
        <f>IF(Inventory_List_Table3411151091113171814[[#This Row],[Q]]&lt;0.1, " ",#REF!&amp;$D$1&amp;#REF!&amp;Inventory_List_Table3411151091113171814[[#This Row],[NOTES]])</f>
        <v xml:space="preserve"> </v>
      </c>
      <c r="G17" s="350"/>
      <c r="H17" s="350"/>
      <c r="I17" s="350"/>
      <c r="J17" s="350"/>
      <c r="K17" s="350"/>
      <c r="L17" s="352"/>
      <c r="M1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7" s="35" t="str">
        <f>IF(Inventory_List_Table3411151091113171814[[#This Row],[Q]]&lt;0.1, " ", Inventory_List_Table3411151091113171814[[#This Row],[KG]]*2.20462)</f>
        <v xml:space="preserve"> </v>
      </c>
      <c r="O17" s="35" t="str">
        <f>IF(Inventory_List_Table3411151091113171814[[#This Row],[Q]]&lt;0.1, " ",Inventory_List_Table3411151091113171814[[#This Row],[H CM]]/2.54)</f>
        <v xml:space="preserve"> </v>
      </c>
      <c r="P17" s="35" t="str">
        <f>IF(Inventory_List_Table3411151091113171814[[#This Row],[Q]]&lt;0.1, " ",Inventory_List_Table3411151091113171814[[#This Row],[W CM]]/2.54)</f>
        <v xml:space="preserve"> </v>
      </c>
      <c r="Q17" s="35" t="str">
        <f>IF(Inventory_List_Table3411151091113171814[[#This Row],[Q]]&lt;0.1, " ",Inventory_List_Table3411151091113171814[[#This Row],[D CM ]]/2.54)</f>
        <v xml:space="preserve"> </v>
      </c>
      <c r="R17" s="30" t="str">
        <f>IF(Inventory_List_Table3411151091113171814[[#This Row],[Q]]&lt;0.1, " ",Inventory_List_Table3411151091113171814[[#This Row],[PRICE]]/$L$1)</f>
        <v xml:space="preserve"> </v>
      </c>
      <c r="S1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7" s="30" t="str">
        <f>IF(Inventory_List_Table3411151091113171814[[#This Row],[Q]]&lt;0.1, " ",Inventory_List_Table3411151091113171814[[#This Row],[AQ RND USD]]*1.4)</f>
        <v xml:space="preserve"> </v>
      </c>
      <c r="U1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7" s="30" t="str">
        <f>IF(Inventory_List_Table3411151091113171814[[#This Row],[Q]]&lt;0.1, " ",Inventory_List_Table3411151091113171814[[#This Row],[LND RND USD]]*12)</f>
        <v xml:space="preserve"> </v>
      </c>
      <c r="W17" s="30" t="str">
        <f>IF(Inventory_List_Table3411151091113171814[[#This Row],[Q]]&lt;0.1, " ",Inventory_List_Table3411151091113171814[[#This Row],[AQ USD]])</f>
        <v xml:space="preserve"> </v>
      </c>
      <c r="X1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7" s="30" t="str">
        <f>IF(Inventory_List_Table3411151091113171814[[#This Row],[Q]]&lt;0.1, " ",Inventory_List_Table3411151091113171814[[#This Row],[PRICE]]/Z17*10000)</f>
        <v xml:space="preserve"> </v>
      </c>
      <c r="AB17" s="353"/>
      <c r="AC17" s="1"/>
      <c r="AD17" s="1"/>
    </row>
    <row r="18" spans="1:30" ht="24" customHeight="1" x14ac:dyDescent="0.3">
      <c r="A18" s="347">
        <v>16</v>
      </c>
      <c r="B18" s="1"/>
      <c r="C18" s="349"/>
      <c r="D18" s="349"/>
      <c r="E18" s="349"/>
      <c r="F18" s="38" t="str">
        <f>IF(Inventory_List_Table3411151091113171814[[#This Row],[Q]]&lt;0.1, " ",#REF!&amp;$D$1&amp;#REF!&amp;Inventory_List_Table3411151091113171814[[#This Row],[NOTES]])</f>
        <v xml:space="preserve"> </v>
      </c>
      <c r="G18" s="350"/>
      <c r="H18" s="350"/>
      <c r="I18" s="350"/>
      <c r="J18" s="350"/>
      <c r="K18" s="350"/>
      <c r="L18" s="352"/>
      <c r="M1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8" s="35" t="str">
        <f>IF(Inventory_List_Table3411151091113171814[[#This Row],[Q]]&lt;0.1, " ", Inventory_List_Table3411151091113171814[[#This Row],[KG]]*2.20462)</f>
        <v xml:space="preserve"> </v>
      </c>
      <c r="O18" s="35" t="str">
        <f>IF(Inventory_List_Table3411151091113171814[[#This Row],[Q]]&lt;0.1, " ",Inventory_List_Table3411151091113171814[[#This Row],[H CM]]/2.54)</f>
        <v xml:space="preserve"> </v>
      </c>
      <c r="P18" s="35" t="str">
        <f>IF(Inventory_List_Table3411151091113171814[[#This Row],[Q]]&lt;0.1, " ",Inventory_List_Table3411151091113171814[[#This Row],[W CM]]/2.54)</f>
        <v xml:space="preserve"> </v>
      </c>
      <c r="Q18" s="35" t="str">
        <f>IF(Inventory_List_Table3411151091113171814[[#This Row],[Q]]&lt;0.1, " ",Inventory_List_Table3411151091113171814[[#This Row],[D CM ]]/2.54)</f>
        <v xml:space="preserve"> </v>
      </c>
      <c r="R18" s="30" t="str">
        <f>IF(Inventory_List_Table3411151091113171814[[#This Row],[Q]]&lt;0.1, " ",Inventory_List_Table3411151091113171814[[#This Row],[PRICE]]/$L$1)</f>
        <v xml:space="preserve"> </v>
      </c>
      <c r="S1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8" s="30" t="str">
        <f>IF(Inventory_List_Table3411151091113171814[[#This Row],[Q]]&lt;0.1, " ",Inventory_List_Table3411151091113171814[[#This Row],[AQ RND USD]]*1.4)</f>
        <v xml:space="preserve"> </v>
      </c>
      <c r="U1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8" s="30" t="str">
        <f>IF(Inventory_List_Table3411151091113171814[[#This Row],[Q]]&lt;0.1, " ",Inventory_List_Table3411151091113171814[[#This Row],[LND RND USD]]*12)</f>
        <v xml:space="preserve"> </v>
      </c>
      <c r="W18" s="30" t="str">
        <f>IF(Inventory_List_Table3411151091113171814[[#This Row],[Q]]&lt;0.1, " ",Inventory_List_Table3411151091113171814[[#This Row],[AQ USD]])</f>
        <v xml:space="preserve"> </v>
      </c>
      <c r="X1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8" s="30" t="str">
        <f>IF(Inventory_List_Table3411151091113171814[[#This Row],[Q]]&lt;0.1, " ",Inventory_List_Table3411151091113171814[[#This Row],[PRICE]]/Z18*10000)</f>
        <v xml:space="preserve"> </v>
      </c>
      <c r="AB18" s="353"/>
      <c r="AC18" s="1"/>
      <c r="AD18" s="1"/>
    </row>
    <row r="19" spans="1:30" ht="24" customHeight="1" x14ac:dyDescent="0.3">
      <c r="A19" s="347">
        <v>17</v>
      </c>
      <c r="B19" s="1"/>
      <c r="C19" s="349"/>
      <c r="D19" s="349"/>
      <c r="E19" s="349"/>
      <c r="F19" s="38" t="str">
        <f>IF(Inventory_List_Table3411151091113171814[[#This Row],[Q]]&lt;0.1, " ",#REF!&amp;$D$1&amp;#REF!&amp;Inventory_List_Table3411151091113171814[[#This Row],[NOTES]])</f>
        <v xml:space="preserve"> </v>
      </c>
      <c r="G19" s="350"/>
      <c r="H19" s="350"/>
      <c r="I19" s="350"/>
      <c r="J19" s="350"/>
      <c r="K19" s="350"/>
      <c r="L19" s="352"/>
      <c r="M1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9" s="35" t="str">
        <f>IF(Inventory_List_Table3411151091113171814[[#This Row],[Q]]&lt;0.1, " ", Inventory_List_Table3411151091113171814[[#This Row],[KG]]*2.20462)</f>
        <v xml:space="preserve"> </v>
      </c>
      <c r="O19" s="35" t="str">
        <f>IF(Inventory_List_Table3411151091113171814[[#This Row],[Q]]&lt;0.1, " ",Inventory_List_Table3411151091113171814[[#This Row],[H CM]]/2.54)</f>
        <v xml:space="preserve"> </v>
      </c>
      <c r="P19" s="35" t="str">
        <f>IF(Inventory_List_Table3411151091113171814[[#This Row],[Q]]&lt;0.1, " ",Inventory_List_Table3411151091113171814[[#This Row],[W CM]]/2.54)</f>
        <v xml:space="preserve"> </v>
      </c>
      <c r="Q19" s="35" t="str">
        <f>IF(Inventory_List_Table3411151091113171814[[#This Row],[Q]]&lt;0.1, " ",Inventory_List_Table3411151091113171814[[#This Row],[D CM ]]/2.54)</f>
        <v xml:space="preserve"> </v>
      </c>
      <c r="R19" s="30" t="str">
        <f>IF(Inventory_List_Table3411151091113171814[[#This Row],[Q]]&lt;0.1, " ",Inventory_List_Table3411151091113171814[[#This Row],[PRICE]]/$L$1)</f>
        <v xml:space="preserve"> </v>
      </c>
      <c r="S1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9" s="30" t="str">
        <f>IF(Inventory_List_Table3411151091113171814[[#This Row],[Q]]&lt;0.1, " ",Inventory_List_Table3411151091113171814[[#This Row],[AQ RND USD]]*1.4)</f>
        <v xml:space="preserve"> </v>
      </c>
      <c r="U1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9" s="30" t="str">
        <f>IF(Inventory_List_Table3411151091113171814[[#This Row],[Q]]&lt;0.1, " ",Inventory_List_Table3411151091113171814[[#This Row],[LND RND USD]]*12)</f>
        <v xml:space="preserve"> </v>
      </c>
      <c r="W19" s="30" t="str">
        <f>IF(Inventory_List_Table3411151091113171814[[#This Row],[Q]]&lt;0.1, " ",Inventory_List_Table3411151091113171814[[#This Row],[AQ USD]])</f>
        <v xml:space="preserve"> </v>
      </c>
      <c r="X1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9" s="30" t="str">
        <f>IF(Inventory_List_Table3411151091113171814[[#This Row],[Q]]&lt;0.1, " ",Inventory_List_Table3411151091113171814[[#This Row],[PRICE]]/Z19*10000)</f>
        <v xml:space="preserve"> </v>
      </c>
      <c r="AB19" s="353"/>
      <c r="AC19" s="1"/>
      <c r="AD19" s="1"/>
    </row>
    <row r="20" spans="1:30" ht="24" customHeight="1" x14ac:dyDescent="0.3">
      <c r="A20" s="347">
        <v>18</v>
      </c>
      <c r="B20" s="1"/>
      <c r="C20" s="349"/>
      <c r="D20" s="349"/>
      <c r="E20" s="349"/>
      <c r="F20" s="38" t="str">
        <f>IF(Inventory_List_Table3411151091113171814[[#This Row],[Q]]&lt;0.1, " ",#REF!&amp;$D$1&amp;#REF!&amp;Inventory_List_Table3411151091113171814[[#This Row],[NOTES]])</f>
        <v xml:space="preserve"> </v>
      </c>
      <c r="G20" s="350"/>
      <c r="H20" s="350"/>
      <c r="I20" s="350"/>
      <c r="J20" s="350"/>
      <c r="K20" s="350"/>
      <c r="L20" s="352"/>
      <c r="M2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0" s="35" t="str">
        <f>IF(Inventory_List_Table3411151091113171814[[#This Row],[Q]]&lt;0.1, " ", Inventory_List_Table3411151091113171814[[#This Row],[KG]]*2.20462)</f>
        <v xml:space="preserve"> </v>
      </c>
      <c r="O20" s="35" t="str">
        <f>IF(Inventory_List_Table3411151091113171814[[#This Row],[Q]]&lt;0.1, " ",Inventory_List_Table3411151091113171814[[#This Row],[H CM]]/2.54)</f>
        <v xml:space="preserve"> </v>
      </c>
      <c r="P20" s="35" t="str">
        <f>IF(Inventory_List_Table3411151091113171814[[#This Row],[Q]]&lt;0.1, " ",Inventory_List_Table3411151091113171814[[#This Row],[W CM]]/2.54)</f>
        <v xml:space="preserve"> </v>
      </c>
      <c r="Q20" s="35" t="str">
        <f>IF(Inventory_List_Table3411151091113171814[[#This Row],[Q]]&lt;0.1, " ",Inventory_List_Table3411151091113171814[[#This Row],[D CM ]]/2.54)</f>
        <v xml:space="preserve"> </v>
      </c>
      <c r="R20" s="30" t="str">
        <f>IF(Inventory_List_Table3411151091113171814[[#This Row],[Q]]&lt;0.1, " ",Inventory_List_Table3411151091113171814[[#This Row],[PRICE]]/$L$1)</f>
        <v xml:space="preserve"> </v>
      </c>
      <c r="S2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0" s="30" t="str">
        <f>IF(Inventory_List_Table3411151091113171814[[#This Row],[Q]]&lt;0.1, " ",Inventory_List_Table3411151091113171814[[#This Row],[AQ RND USD]]*1.4)</f>
        <v xml:space="preserve"> </v>
      </c>
      <c r="U2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0" s="30" t="str">
        <f>IF(Inventory_List_Table3411151091113171814[[#This Row],[Q]]&lt;0.1, " ",Inventory_List_Table3411151091113171814[[#This Row],[LND RND USD]]*12)</f>
        <v xml:space="preserve"> </v>
      </c>
      <c r="W20" s="30" t="str">
        <f>IF(Inventory_List_Table3411151091113171814[[#This Row],[Q]]&lt;0.1, " ",Inventory_List_Table3411151091113171814[[#This Row],[AQ USD]])</f>
        <v xml:space="preserve"> </v>
      </c>
      <c r="X2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0" s="30" t="str">
        <f>IF(Inventory_List_Table3411151091113171814[[#This Row],[Q]]&lt;0.1, " ",Inventory_List_Table3411151091113171814[[#This Row],[PRICE]]/Z20*10000)</f>
        <v xml:space="preserve"> </v>
      </c>
      <c r="AB20" s="353"/>
      <c r="AC20" s="1"/>
      <c r="AD20" s="1"/>
    </row>
    <row r="21" spans="1:30" ht="24" customHeight="1" x14ac:dyDescent="0.3">
      <c r="A21" s="347">
        <v>19</v>
      </c>
      <c r="B21" s="1"/>
      <c r="C21" s="349"/>
      <c r="D21" s="349"/>
      <c r="E21" s="349"/>
      <c r="F21" s="38" t="str">
        <f>IF(Inventory_List_Table3411151091113171814[[#This Row],[Q]]&lt;0.1, " ",#REF!&amp;$D$1&amp;#REF!&amp;Inventory_List_Table3411151091113171814[[#This Row],[NOTES]])</f>
        <v xml:space="preserve"> </v>
      </c>
      <c r="G21" s="350"/>
      <c r="H21" s="350"/>
      <c r="I21" s="350"/>
      <c r="J21" s="350"/>
      <c r="K21" s="350"/>
      <c r="L21" s="352"/>
      <c r="M2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1" s="35" t="str">
        <f>IF(Inventory_List_Table3411151091113171814[[#This Row],[Q]]&lt;0.1, " ", Inventory_List_Table3411151091113171814[[#This Row],[KG]]*2.20462)</f>
        <v xml:space="preserve"> </v>
      </c>
      <c r="O21" s="35" t="str">
        <f>IF(Inventory_List_Table3411151091113171814[[#This Row],[Q]]&lt;0.1, " ",Inventory_List_Table3411151091113171814[[#This Row],[H CM]]/2.54)</f>
        <v xml:space="preserve"> </v>
      </c>
      <c r="P21" s="35" t="str">
        <f>IF(Inventory_List_Table3411151091113171814[[#This Row],[Q]]&lt;0.1, " ",Inventory_List_Table3411151091113171814[[#This Row],[W CM]]/2.54)</f>
        <v xml:space="preserve"> </v>
      </c>
      <c r="Q21" s="35" t="str">
        <f>IF(Inventory_List_Table3411151091113171814[[#This Row],[Q]]&lt;0.1, " ",Inventory_List_Table3411151091113171814[[#This Row],[D CM ]]/2.54)</f>
        <v xml:space="preserve"> </v>
      </c>
      <c r="R21" s="30" t="str">
        <f>IF(Inventory_List_Table3411151091113171814[[#This Row],[Q]]&lt;0.1, " ",Inventory_List_Table3411151091113171814[[#This Row],[PRICE]]/$L$1)</f>
        <v xml:space="preserve"> </v>
      </c>
      <c r="S2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1" s="30" t="str">
        <f>IF(Inventory_List_Table3411151091113171814[[#This Row],[Q]]&lt;0.1, " ",Inventory_List_Table3411151091113171814[[#This Row],[AQ RND USD]]*1.4)</f>
        <v xml:space="preserve"> </v>
      </c>
      <c r="U2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1" s="30" t="str">
        <f>IF(Inventory_List_Table3411151091113171814[[#This Row],[Q]]&lt;0.1, " ",Inventory_List_Table3411151091113171814[[#This Row],[LND RND USD]]*12)</f>
        <v xml:space="preserve"> </v>
      </c>
      <c r="W21" s="30" t="str">
        <f>IF(Inventory_List_Table3411151091113171814[[#This Row],[Q]]&lt;0.1, " ",Inventory_List_Table3411151091113171814[[#This Row],[AQ USD]])</f>
        <v xml:space="preserve"> </v>
      </c>
      <c r="X2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1" s="30" t="str">
        <f>IF(Inventory_List_Table3411151091113171814[[#This Row],[Q]]&lt;0.1, " ",Inventory_List_Table3411151091113171814[[#This Row],[PRICE]]/Z21*10000)</f>
        <v xml:space="preserve"> </v>
      </c>
      <c r="AB21" s="353"/>
      <c r="AC21" s="1"/>
      <c r="AD21" s="1"/>
    </row>
    <row r="22" spans="1:30" ht="24" customHeight="1" x14ac:dyDescent="0.3">
      <c r="A22" s="347">
        <v>20</v>
      </c>
      <c r="B22" s="1"/>
      <c r="C22" s="349"/>
      <c r="D22" s="349"/>
      <c r="E22" s="349"/>
      <c r="F22" s="38" t="str">
        <f>IF(Inventory_List_Table3411151091113171814[[#This Row],[Q]]&lt;0.1, " ",#REF!&amp;$D$1&amp;#REF!&amp;Inventory_List_Table3411151091113171814[[#This Row],[NOTES]])</f>
        <v xml:space="preserve"> </v>
      </c>
      <c r="G22" s="350"/>
      <c r="H22" s="350"/>
      <c r="I22" s="350"/>
      <c r="J22" s="350"/>
      <c r="K22" s="350"/>
      <c r="L22" s="352"/>
      <c r="M2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2" s="35" t="str">
        <f>IF(Inventory_List_Table3411151091113171814[[#This Row],[Q]]&lt;0.1, " ", Inventory_List_Table3411151091113171814[[#This Row],[KG]]*2.20462)</f>
        <v xml:space="preserve"> </v>
      </c>
      <c r="O22" s="35" t="str">
        <f>IF(Inventory_List_Table3411151091113171814[[#This Row],[Q]]&lt;0.1, " ",Inventory_List_Table3411151091113171814[[#This Row],[H CM]]/2.54)</f>
        <v xml:space="preserve"> </v>
      </c>
      <c r="P22" s="35" t="str">
        <f>IF(Inventory_List_Table3411151091113171814[[#This Row],[Q]]&lt;0.1, " ",Inventory_List_Table3411151091113171814[[#This Row],[W CM]]/2.54)</f>
        <v xml:space="preserve"> </v>
      </c>
      <c r="Q22" s="35" t="str">
        <f>IF(Inventory_List_Table3411151091113171814[[#This Row],[Q]]&lt;0.1, " ",Inventory_List_Table3411151091113171814[[#This Row],[D CM ]]/2.54)</f>
        <v xml:space="preserve"> </v>
      </c>
      <c r="R22" s="30" t="str">
        <f>IF(Inventory_List_Table3411151091113171814[[#This Row],[Q]]&lt;0.1, " ",Inventory_List_Table3411151091113171814[[#This Row],[PRICE]]/$L$1)</f>
        <v xml:space="preserve"> </v>
      </c>
      <c r="S2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2" s="30" t="str">
        <f>IF(Inventory_List_Table3411151091113171814[[#This Row],[Q]]&lt;0.1, " ",Inventory_List_Table3411151091113171814[[#This Row],[AQ RND USD]]*1.4)</f>
        <v xml:space="preserve"> </v>
      </c>
      <c r="U2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2" s="30" t="str">
        <f>IF(Inventory_List_Table3411151091113171814[[#This Row],[Q]]&lt;0.1, " ",Inventory_List_Table3411151091113171814[[#This Row],[LND RND USD]]*12)</f>
        <v xml:space="preserve"> </v>
      </c>
      <c r="W22" s="30" t="str">
        <f>IF(Inventory_List_Table3411151091113171814[[#This Row],[Q]]&lt;0.1, " ",Inventory_List_Table3411151091113171814[[#This Row],[AQ USD]])</f>
        <v xml:space="preserve"> </v>
      </c>
      <c r="X2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2" s="30" t="str">
        <f>IF(Inventory_List_Table3411151091113171814[[#This Row],[Q]]&lt;0.1, " ",Inventory_List_Table3411151091113171814[[#This Row],[PRICE]]/Z22*10000)</f>
        <v xml:space="preserve"> </v>
      </c>
      <c r="AB22" s="353"/>
      <c r="AC22" s="1"/>
      <c r="AD22" s="1"/>
    </row>
    <row r="23" spans="1:30" ht="24" customHeight="1" x14ac:dyDescent="0.3">
      <c r="A23" s="347">
        <v>21</v>
      </c>
      <c r="B23" s="1"/>
      <c r="C23" s="349"/>
      <c r="D23" s="349"/>
      <c r="E23" s="349"/>
      <c r="F23" s="38" t="str">
        <f>IF(Inventory_List_Table3411151091113171814[[#This Row],[Q]]&lt;0.1, " ",#REF!&amp;$D$1&amp;#REF!&amp;Inventory_List_Table3411151091113171814[[#This Row],[NOTES]])</f>
        <v xml:space="preserve"> </v>
      </c>
      <c r="G23" s="350"/>
      <c r="H23" s="350"/>
      <c r="I23" s="350"/>
      <c r="J23" s="350"/>
      <c r="K23" s="350"/>
      <c r="L23" s="352"/>
      <c r="M2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3" s="35" t="str">
        <f>IF(Inventory_List_Table3411151091113171814[[#This Row],[Q]]&lt;0.1, " ", Inventory_List_Table3411151091113171814[[#This Row],[KG]]*2.20462)</f>
        <v xml:space="preserve"> </v>
      </c>
      <c r="O23" s="35" t="str">
        <f>IF(Inventory_List_Table3411151091113171814[[#This Row],[Q]]&lt;0.1, " ",Inventory_List_Table3411151091113171814[[#This Row],[H CM]]/2.54)</f>
        <v xml:space="preserve"> </v>
      </c>
      <c r="P23" s="35" t="str">
        <f>IF(Inventory_List_Table3411151091113171814[[#This Row],[Q]]&lt;0.1, " ",Inventory_List_Table3411151091113171814[[#This Row],[W CM]]/2.54)</f>
        <v xml:space="preserve"> </v>
      </c>
      <c r="Q23" s="35" t="str">
        <f>IF(Inventory_List_Table3411151091113171814[[#This Row],[Q]]&lt;0.1, " ",Inventory_List_Table3411151091113171814[[#This Row],[D CM ]]/2.54)</f>
        <v xml:space="preserve"> </v>
      </c>
      <c r="R23" s="30" t="str">
        <f>IF(Inventory_List_Table3411151091113171814[[#This Row],[Q]]&lt;0.1, " ",Inventory_List_Table3411151091113171814[[#This Row],[PRICE]]/$L$1)</f>
        <v xml:space="preserve"> </v>
      </c>
      <c r="S2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3" s="30" t="str">
        <f>IF(Inventory_List_Table3411151091113171814[[#This Row],[Q]]&lt;0.1, " ",Inventory_List_Table3411151091113171814[[#This Row],[AQ RND USD]]*1.4)</f>
        <v xml:space="preserve"> </v>
      </c>
      <c r="U2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3" s="30" t="str">
        <f>IF(Inventory_List_Table3411151091113171814[[#This Row],[Q]]&lt;0.1, " ",Inventory_List_Table3411151091113171814[[#This Row],[LND RND USD]]*12)</f>
        <v xml:space="preserve"> </v>
      </c>
      <c r="W23" s="30" t="str">
        <f>IF(Inventory_List_Table3411151091113171814[[#This Row],[Q]]&lt;0.1, " ",Inventory_List_Table3411151091113171814[[#This Row],[AQ USD]])</f>
        <v xml:space="preserve"> </v>
      </c>
      <c r="X2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3" s="30" t="str">
        <f>IF(Inventory_List_Table3411151091113171814[[#This Row],[Q]]&lt;0.1, " ",Inventory_List_Table3411151091113171814[[#This Row],[PRICE]]/Z23*10000)</f>
        <v xml:space="preserve"> </v>
      </c>
      <c r="AB23" s="353"/>
      <c r="AC23" s="1"/>
      <c r="AD23" s="1"/>
    </row>
    <row r="24" spans="1:30" ht="24" customHeight="1" x14ac:dyDescent="0.3">
      <c r="A24" s="347">
        <v>22</v>
      </c>
      <c r="B24" s="1"/>
      <c r="C24" s="349"/>
      <c r="D24" s="349"/>
      <c r="E24" s="349"/>
      <c r="F24" s="38" t="str">
        <f>IF(Inventory_List_Table3411151091113171814[[#This Row],[Q]]&lt;0.1, " ",#REF!&amp;$D$1&amp;#REF!&amp;Inventory_List_Table3411151091113171814[[#This Row],[NOTES]])</f>
        <v xml:space="preserve"> </v>
      </c>
      <c r="G24" s="350"/>
      <c r="H24" s="350"/>
      <c r="I24" s="350"/>
      <c r="J24" s="350"/>
      <c r="K24" s="350"/>
      <c r="L24" s="352"/>
      <c r="M2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4" s="35" t="str">
        <f>IF(Inventory_List_Table3411151091113171814[[#This Row],[Q]]&lt;0.1, " ", Inventory_List_Table3411151091113171814[[#This Row],[KG]]*2.20462)</f>
        <v xml:space="preserve"> </v>
      </c>
      <c r="O24" s="35" t="str">
        <f>IF(Inventory_List_Table3411151091113171814[[#This Row],[Q]]&lt;0.1, " ",Inventory_List_Table3411151091113171814[[#This Row],[H CM]]/2.54)</f>
        <v xml:space="preserve"> </v>
      </c>
      <c r="P24" s="35" t="str">
        <f>IF(Inventory_List_Table3411151091113171814[[#This Row],[Q]]&lt;0.1, " ",Inventory_List_Table3411151091113171814[[#This Row],[W CM]]/2.54)</f>
        <v xml:space="preserve"> </v>
      </c>
      <c r="Q24" s="35" t="str">
        <f>IF(Inventory_List_Table3411151091113171814[[#This Row],[Q]]&lt;0.1, " ",Inventory_List_Table3411151091113171814[[#This Row],[D CM ]]/2.54)</f>
        <v xml:space="preserve"> </v>
      </c>
      <c r="R24" s="30" t="str">
        <f>IF(Inventory_List_Table3411151091113171814[[#This Row],[Q]]&lt;0.1, " ",Inventory_List_Table3411151091113171814[[#This Row],[PRICE]]/$L$1)</f>
        <v xml:space="preserve"> </v>
      </c>
      <c r="S2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4" s="30" t="str">
        <f>IF(Inventory_List_Table3411151091113171814[[#This Row],[Q]]&lt;0.1, " ",Inventory_List_Table3411151091113171814[[#This Row],[AQ RND USD]]*1.4)</f>
        <v xml:space="preserve"> </v>
      </c>
      <c r="U2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4" s="30" t="str">
        <f>IF(Inventory_List_Table3411151091113171814[[#This Row],[Q]]&lt;0.1, " ",Inventory_List_Table3411151091113171814[[#This Row],[LND RND USD]]*12)</f>
        <v xml:space="preserve"> </v>
      </c>
      <c r="W24" s="30" t="str">
        <f>IF(Inventory_List_Table3411151091113171814[[#This Row],[Q]]&lt;0.1, " ",Inventory_List_Table3411151091113171814[[#This Row],[AQ USD]])</f>
        <v xml:space="preserve"> </v>
      </c>
      <c r="X2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4" s="30" t="str">
        <f>IF(Inventory_List_Table3411151091113171814[[#This Row],[Q]]&lt;0.1, " ",Inventory_List_Table3411151091113171814[[#This Row],[PRICE]]/Z24*10000)</f>
        <v xml:space="preserve"> </v>
      </c>
      <c r="AB24" s="353"/>
      <c r="AC24" s="1"/>
      <c r="AD24" s="1"/>
    </row>
    <row r="25" spans="1:30" ht="24" customHeight="1" x14ac:dyDescent="0.3">
      <c r="A25" s="347">
        <v>23</v>
      </c>
      <c r="B25" s="1"/>
      <c r="C25" s="349"/>
      <c r="D25" s="349"/>
      <c r="E25" s="349"/>
      <c r="F25" s="38" t="str">
        <f>IF(Inventory_List_Table3411151091113171814[[#This Row],[Q]]&lt;0.1, " ",#REF!&amp;$D$1&amp;#REF!&amp;Inventory_List_Table3411151091113171814[[#This Row],[NOTES]])</f>
        <v xml:space="preserve"> </v>
      </c>
      <c r="G25" s="350"/>
      <c r="H25" s="350"/>
      <c r="I25" s="350"/>
      <c r="J25" s="350"/>
      <c r="K25" s="350"/>
      <c r="L25" s="352"/>
      <c r="M2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5" s="35" t="str">
        <f>IF(Inventory_List_Table3411151091113171814[[#This Row],[Q]]&lt;0.1, " ", Inventory_List_Table3411151091113171814[[#This Row],[KG]]*2.20462)</f>
        <v xml:space="preserve"> </v>
      </c>
      <c r="O25" s="35" t="str">
        <f>IF(Inventory_List_Table3411151091113171814[[#This Row],[Q]]&lt;0.1, " ",Inventory_List_Table3411151091113171814[[#This Row],[H CM]]/2.54)</f>
        <v xml:space="preserve"> </v>
      </c>
      <c r="P25" s="35" t="str">
        <f>IF(Inventory_List_Table3411151091113171814[[#This Row],[Q]]&lt;0.1, " ",Inventory_List_Table3411151091113171814[[#This Row],[W CM]]/2.54)</f>
        <v xml:space="preserve"> </v>
      </c>
      <c r="Q25" s="35" t="str">
        <f>IF(Inventory_List_Table3411151091113171814[[#This Row],[Q]]&lt;0.1, " ",Inventory_List_Table3411151091113171814[[#This Row],[D CM ]]/2.54)</f>
        <v xml:space="preserve"> </v>
      </c>
      <c r="R25" s="30" t="str">
        <f>IF(Inventory_List_Table3411151091113171814[[#This Row],[Q]]&lt;0.1, " ",Inventory_List_Table3411151091113171814[[#This Row],[PRICE]]/$L$1)</f>
        <v xml:space="preserve"> </v>
      </c>
      <c r="S2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5" s="30" t="str">
        <f>IF(Inventory_List_Table3411151091113171814[[#This Row],[Q]]&lt;0.1, " ",Inventory_List_Table3411151091113171814[[#This Row],[AQ RND USD]]*1.4)</f>
        <v xml:space="preserve"> </v>
      </c>
      <c r="U2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5" s="30" t="str">
        <f>IF(Inventory_List_Table3411151091113171814[[#This Row],[Q]]&lt;0.1, " ",Inventory_List_Table3411151091113171814[[#This Row],[LND RND USD]]*12)</f>
        <v xml:space="preserve"> </v>
      </c>
      <c r="W25" s="30" t="str">
        <f>IF(Inventory_List_Table3411151091113171814[[#This Row],[Q]]&lt;0.1, " ",Inventory_List_Table3411151091113171814[[#This Row],[AQ USD]])</f>
        <v xml:space="preserve"> </v>
      </c>
      <c r="X2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5" s="30" t="str">
        <f>IF(Inventory_List_Table3411151091113171814[[#This Row],[Q]]&lt;0.1, " ",Inventory_List_Table3411151091113171814[[#This Row],[PRICE]]/Z25*10000)</f>
        <v xml:space="preserve"> </v>
      </c>
      <c r="AB25" s="353"/>
      <c r="AC25" s="1"/>
      <c r="AD25" s="1"/>
    </row>
    <row r="26" spans="1:30" ht="24" customHeight="1" x14ac:dyDescent="0.3">
      <c r="A26" s="347">
        <v>24</v>
      </c>
      <c r="B26" s="1"/>
      <c r="C26" s="349"/>
      <c r="D26" s="349"/>
      <c r="E26" s="349"/>
      <c r="F26" s="38" t="str">
        <f>IF(Inventory_List_Table3411151091113171814[[#This Row],[Q]]&lt;0.1, " ",#REF!&amp;$D$1&amp;#REF!&amp;Inventory_List_Table3411151091113171814[[#This Row],[NOTES]])</f>
        <v xml:space="preserve"> </v>
      </c>
      <c r="G26" s="350"/>
      <c r="H26" s="350"/>
      <c r="I26" s="350"/>
      <c r="J26" s="350"/>
      <c r="K26" s="350"/>
      <c r="L26" s="352"/>
      <c r="M2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6" s="35" t="str">
        <f>IF(Inventory_List_Table3411151091113171814[[#This Row],[Q]]&lt;0.1, " ", Inventory_List_Table3411151091113171814[[#This Row],[KG]]*2.20462)</f>
        <v xml:space="preserve"> </v>
      </c>
      <c r="O26" s="35" t="str">
        <f>IF(Inventory_List_Table3411151091113171814[[#This Row],[Q]]&lt;0.1, " ",Inventory_List_Table3411151091113171814[[#This Row],[H CM]]/2.54)</f>
        <v xml:space="preserve"> </v>
      </c>
      <c r="P26" s="35" t="str">
        <f>IF(Inventory_List_Table3411151091113171814[[#This Row],[Q]]&lt;0.1, " ",Inventory_List_Table3411151091113171814[[#This Row],[W CM]]/2.54)</f>
        <v xml:space="preserve"> </v>
      </c>
      <c r="Q26" s="35" t="str">
        <f>IF(Inventory_List_Table3411151091113171814[[#This Row],[Q]]&lt;0.1, " ",Inventory_List_Table3411151091113171814[[#This Row],[D CM ]]/2.54)</f>
        <v xml:space="preserve"> </v>
      </c>
      <c r="R26" s="30" t="str">
        <f>IF(Inventory_List_Table3411151091113171814[[#This Row],[Q]]&lt;0.1, " ",Inventory_List_Table3411151091113171814[[#This Row],[PRICE]]/$L$1)</f>
        <v xml:space="preserve"> </v>
      </c>
      <c r="S2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6" s="30" t="str">
        <f>IF(Inventory_List_Table3411151091113171814[[#This Row],[Q]]&lt;0.1, " ",Inventory_List_Table3411151091113171814[[#This Row],[AQ RND USD]]*1.4)</f>
        <v xml:space="preserve"> </v>
      </c>
      <c r="U2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6" s="30" t="str">
        <f>IF(Inventory_List_Table3411151091113171814[[#This Row],[Q]]&lt;0.1, " ",Inventory_List_Table3411151091113171814[[#This Row],[LND RND USD]]*12)</f>
        <v xml:space="preserve"> </v>
      </c>
      <c r="W26" s="30" t="str">
        <f>IF(Inventory_List_Table3411151091113171814[[#This Row],[Q]]&lt;0.1, " ",Inventory_List_Table3411151091113171814[[#This Row],[AQ USD]])</f>
        <v xml:space="preserve"> </v>
      </c>
      <c r="X2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6" s="30" t="str">
        <f>IF(Inventory_List_Table3411151091113171814[[#This Row],[Q]]&lt;0.1, " ",Inventory_List_Table3411151091113171814[[#This Row],[PRICE]]/Z26*10000)</f>
        <v xml:space="preserve"> </v>
      </c>
      <c r="AB26" s="353"/>
      <c r="AC26" s="1"/>
      <c r="AD26" s="1"/>
    </row>
    <row r="27" spans="1:30" ht="24" customHeight="1" x14ac:dyDescent="0.3">
      <c r="A27" s="347">
        <v>25</v>
      </c>
      <c r="B27" s="1"/>
      <c r="C27" s="349"/>
      <c r="D27" s="349"/>
      <c r="E27" s="349"/>
      <c r="F27" s="38" t="str">
        <f>IF(Inventory_List_Table3411151091113171814[[#This Row],[Q]]&lt;0.1, " ",#REF!&amp;$D$1&amp;#REF!&amp;Inventory_List_Table3411151091113171814[[#This Row],[NOTES]])</f>
        <v xml:space="preserve"> </v>
      </c>
      <c r="G27" s="350"/>
      <c r="H27" s="350"/>
      <c r="I27" s="350"/>
      <c r="J27" s="350"/>
      <c r="K27" s="350"/>
      <c r="L27" s="352"/>
      <c r="M2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7" s="35" t="str">
        <f>IF(Inventory_List_Table3411151091113171814[[#This Row],[Q]]&lt;0.1, " ", Inventory_List_Table3411151091113171814[[#This Row],[KG]]*2.20462)</f>
        <v xml:space="preserve"> </v>
      </c>
      <c r="O27" s="35" t="str">
        <f>IF(Inventory_List_Table3411151091113171814[[#This Row],[Q]]&lt;0.1, " ",Inventory_List_Table3411151091113171814[[#This Row],[H CM]]/2.54)</f>
        <v xml:space="preserve"> </v>
      </c>
      <c r="P27" s="35" t="str">
        <f>IF(Inventory_List_Table3411151091113171814[[#This Row],[Q]]&lt;0.1, " ",Inventory_List_Table3411151091113171814[[#This Row],[W CM]]/2.54)</f>
        <v xml:space="preserve"> </v>
      </c>
      <c r="Q27" s="35" t="str">
        <f>IF(Inventory_List_Table3411151091113171814[[#This Row],[Q]]&lt;0.1, " ",Inventory_List_Table3411151091113171814[[#This Row],[D CM ]]/2.54)</f>
        <v xml:space="preserve"> </v>
      </c>
      <c r="R27" s="30" t="str">
        <f>IF(Inventory_List_Table3411151091113171814[[#This Row],[Q]]&lt;0.1, " ",Inventory_List_Table3411151091113171814[[#This Row],[PRICE]]/$L$1)</f>
        <v xml:space="preserve"> </v>
      </c>
      <c r="S2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7" s="30" t="str">
        <f>IF(Inventory_List_Table3411151091113171814[[#This Row],[Q]]&lt;0.1, " ",Inventory_List_Table3411151091113171814[[#This Row],[AQ RND USD]]*1.4)</f>
        <v xml:space="preserve"> </v>
      </c>
      <c r="U2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7" s="30" t="str">
        <f>IF(Inventory_List_Table3411151091113171814[[#This Row],[Q]]&lt;0.1, " ",Inventory_List_Table3411151091113171814[[#This Row],[LND RND USD]]*12)</f>
        <v xml:space="preserve"> </v>
      </c>
      <c r="W27" s="30" t="str">
        <f>IF(Inventory_List_Table3411151091113171814[[#This Row],[Q]]&lt;0.1, " ",Inventory_List_Table3411151091113171814[[#This Row],[AQ USD]])</f>
        <v xml:space="preserve"> </v>
      </c>
      <c r="X2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7" s="30" t="str">
        <f>IF(Inventory_List_Table3411151091113171814[[#This Row],[Q]]&lt;0.1, " ",Inventory_List_Table3411151091113171814[[#This Row],[PRICE]]/Z27*10000)</f>
        <v xml:space="preserve"> </v>
      </c>
      <c r="AB27" s="353"/>
      <c r="AC27" s="1"/>
      <c r="AD27" s="1"/>
    </row>
    <row r="28" spans="1:30" ht="24" customHeight="1" x14ac:dyDescent="0.3">
      <c r="A28" s="347">
        <v>26</v>
      </c>
      <c r="B28" s="1"/>
      <c r="C28" s="349"/>
      <c r="D28" s="349"/>
      <c r="E28" s="349"/>
      <c r="F28" s="38" t="str">
        <f>IF(Inventory_List_Table3411151091113171814[[#This Row],[Q]]&lt;0.1, " ",#REF!&amp;$D$1&amp;#REF!&amp;Inventory_List_Table3411151091113171814[[#This Row],[NOTES]])</f>
        <v xml:space="preserve"> </v>
      </c>
      <c r="G28" s="350"/>
      <c r="H28" s="350"/>
      <c r="I28" s="350"/>
      <c r="J28" s="350"/>
      <c r="K28" s="350"/>
      <c r="L28" s="352"/>
      <c r="M2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8" s="35" t="str">
        <f>IF(Inventory_List_Table3411151091113171814[[#This Row],[Q]]&lt;0.1, " ", Inventory_List_Table3411151091113171814[[#This Row],[KG]]*2.20462)</f>
        <v xml:space="preserve"> </v>
      </c>
      <c r="O28" s="35" t="str">
        <f>IF(Inventory_List_Table3411151091113171814[[#This Row],[Q]]&lt;0.1, " ",Inventory_List_Table3411151091113171814[[#This Row],[H CM]]/2.54)</f>
        <v xml:space="preserve"> </v>
      </c>
      <c r="P28" s="35" t="str">
        <f>IF(Inventory_List_Table3411151091113171814[[#This Row],[Q]]&lt;0.1, " ",Inventory_List_Table3411151091113171814[[#This Row],[W CM]]/2.54)</f>
        <v xml:space="preserve"> </v>
      </c>
      <c r="Q28" s="35" t="str">
        <f>IF(Inventory_List_Table3411151091113171814[[#This Row],[Q]]&lt;0.1, " ",Inventory_List_Table3411151091113171814[[#This Row],[D CM ]]/2.54)</f>
        <v xml:space="preserve"> </v>
      </c>
      <c r="R28" s="30" t="str">
        <f>IF(Inventory_List_Table3411151091113171814[[#This Row],[Q]]&lt;0.1, " ",Inventory_List_Table3411151091113171814[[#This Row],[PRICE]]/$L$1)</f>
        <v xml:space="preserve"> </v>
      </c>
      <c r="S2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8" s="30" t="str">
        <f>IF(Inventory_List_Table3411151091113171814[[#This Row],[Q]]&lt;0.1, " ",Inventory_List_Table3411151091113171814[[#This Row],[AQ RND USD]]*1.4)</f>
        <v xml:space="preserve"> </v>
      </c>
      <c r="U2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8" s="30" t="str">
        <f>IF(Inventory_List_Table3411151091113171814[[#This Row],[Q]]&lt;0.1, " ",Inventory_List_Table3411151091113171814[[#This Row],[LND RND USD]]*12)</f>
        <v xml:space="preserve"> </v>
      </c>
      <c r="W28" s="30" t="str">
        <f>IF(Inventory_List_Table3411151091113171814[[#This Row],[Q]]&lt;0.1, " ",Inventory_List_Table3411151091113171814[[#This Row],[AQ USD]])</f>
        <v xml:space="preserve"> </v>
      </c>
      <c r="X2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8" s="30" t="str">
        <f>IF(Inventory_List_Table3411151091113171814[[#This Row],[Q]]&lt;0.1, " ",Inventory_List_Table3411151091113171814[[#This Row],[PRICE]]/Z28*10000)</f>
        <v xml:space="preserve"> </v>
      </c>
      <c r="AB28" s="353"/>
      <c r="AC28" s="1"/>
      <c r="AD28" s="1"/>
    </row>
    <row r="29" spans="1:30" ht="24" customHeight="1" x14ac:dyDescent="0.3">
      <c r="A29" s="347">
        <v>27</v>
      </c>
      <c r="B29" s="1"/>
      <c r="C29" s="349"/>
      <c r="D29" s="349"/>
      <c r="E29" s="349"/>
      <c r="F29" s="38" t="str">
        <f>IF(Inventory_List_Table3411151091113171814[[#This Row],[Q]]&lt;0.1, " ",#REF!&amp;$D$1&amp;#REF!&amp;Inventory_List_Table3411151091113171814[[#This Row],[NOTES]])</f>
        <v xml:space="preserve"> </v>
      </c>
      <c r="G29" s="350"/>
      <c r="H29" s="350"/>
      <c r="I29" s="350"/>
      <c r="J29" s="350"/>
      <c r="K29" s="350"/>
      <c r="L29" s="352"/>
      <c r="M2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29" s="35" t="str">
        <f>IF(Inventory_List_Table3411151091113171814[[#This Row],[Q]]&lt;0.1, " ", Inventory_List_Table3411151091113171814[[#This Row],[KG]]*2.20462)</f>
        <v xml:space="preserve"> </v>
      </c>
      <c r="O29" s="35" t="str">
        <f>IF(Inventory_List_Table3411151091113171814[[#This Row],[Q]]&lt;0.1, " ",Inventory_List_Table3411151091113171814[[#This Row],[H CM]]/2.54)</f>
        <v xml:space="preserve"> </v>
      </c>
      <c r="P29" s="35" t="str">
        <f>IF(Inventory_List_Table3411151091113171814[[#This Row],[Q]]&lt;0.1, " ",Inventory_List_Table3411151091113171814[[#This Row],[W CM]]/2.54)</f>
        <v xml:space="preserve"> </v>
      </c>
      <c r="Q29" s="35" t="str">
        <f>IF(Inventory_List_Table3411151091113171814[[#This Row],[Q]]&lt;0.1, " ",Inventory_List_Table3411151091113171814[[#This Row],[D CM ]]/2.54)</f>
        <v xml:space="preserve"> </v>
      </c>
      <c r="R29" s="30" t="str">
        <f>IF(Inventory_List_Table3411151091113171814[[#This Row],[Q]]&lt;0.1, " ",Inventory_List_Table3411151091113171814[[#This Row],[PRICE]]/$L$1)</f>
        <v xml:space="preserve"> </v>
      </c>
      <c r="S2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29" s="30" t="str">
        <f>IF(Inventory_List_Table3411151091113171814[[#This Row],[Q]]&lt;0.1, " ",Inventory_List_Table3411151091113171814[[#This Row],[AQ RND USD]]*1.4)</f>
        <v xml:space="preserve"> </v>
      </c>
      <c r="U2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29" s="30" t="str">
        <f>IF(Inventory_List_Table3411151091113171814[[#This Row],[Q]]&lt;0.1, " ",Inventory_List_Table3411151091113171814[[#This Row],[LND RND USD]]*12)</f>
        <v xml:space="preserve"> </v>
      </c>
      <c r="W29" s="30" t="str">
        <f>IF(Inventory_List_Table3411151091113171814[[#This Row],[Q]]&lt;0.1, " ",Inventory_List_Table3411151091113171814[[#This Row],[AQ USD]])</f>
        <v xml:space="preserve"> </v>
      </c>
      <c r="X2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2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2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29" s="30" t="str">
        <f>IF(Inventory_List_Table3411151091113171814[[#This Row],[Q]]&lt;0.1, " ",Inventory_List_Table3411151091113171814[[#This Row],[PRICE]]/Z29*10000)</f>
        <v xml:space="preserve"> </v>
      </c>
      <c r="AB29" s="353"/>
      <c r="AC29" s="1"/>
      <c r="AD29" s="1"/>
    </row>
    <row r="30" spans="1:30" ht="24" customHeight="1" x14ac:dyDescent="0.3">
      <c r="A30" s="347">
        <v>28</v>
      </c>
      <c r="B30" s="1"/>
      <c r="C30" s="349"/>
      <c r="D30" s="349"/>
      <c r="E30" s="349"/>
      <c r="F30" s="38" t="str">
        <f>IF(Inventory_List_Table3411151091113171814[[#This Row],[Q]]&lt;0.1, " ",#REF!&amp;$D$1&amp;#REF!&amp;Inventory_List_Table3411151091113171814[[#This Row],[NOTES]])</f>
        <v xml:space="preserve"> </v>
      </c>
      <c r="G30" s="350"/>
      <c r="H30" s="350"/>
      <c r="I30" s="350"/>
      <c r="J30" s="350"/>
      <c r="K30" s="350"/>
      <c r="L30" s="352"/>
      <c r="M3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0" s="35" t="str">
        <f>IF(Inventory_List_Table3411151091113171814[[#This Row],[Q]]&lt;0.1, " ", Inventory_List_Table3411151091113171814[[#This Row],[KG]]*2.20462)</f>
        <v xml:space="preserve"> </v>
      </c>
      <c r="O30" s="35" t="str">
        <f>IF(Inventory_List_Table3411151091113171814[[#This Row],[Q]]&lt;0.1, " ",Inventory_List_Table3411151091113171814[[#This Row],[H CM]]/2.54)</f>
        <v xml:space="preserve"> </v>
      </c>
      <c r="P30" s="35" t="str">
        <f>IF(Inventory_List_Table3411151091113171814[[#This Row],[Q]]&lt;0.1, " ",Inventory_List_Table3411151091113171814[[#This Row],[W CM]]/2.54)</f>
        <v xml:space="preserve"> </v>
      </c>
      <c r="Q30" s="35" t="str">
        <f>IF(Inventory_List_Table3411151091113171814[[#This Row],[Q]]&lt;0.1, " ",Inventory_List_Table3411151091113171814[[#This Row],[D CM ]]/2.54)</f>
        <v xml:space="preserve"> </v>
      </c>
      <c r="R30" s="30" t="str">
        <f>IF(Inventory_List_Table3411151091113171814[[#This Row],[Q]]&lt;0.1, " ",Inventory_List_Table3411151091113171814[[#This Row],[PRICE]]/$L$1)</f>
        <v xml:space="preserve"> </v>
      </c>
      <c r="S3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0" s="30" t="str">
        <f>IF(Inventory_List_Table3411151091113171814[[#This Row],[Q]]&lt;0.1, " ",Inventory_List_Table3411151091113171814[[#This Row],[AQ RND USD]]*1.4)</f>
        <v xml:space="preserve"> </v>
      </c>
      <c r="U3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0" s="30" t="str">
        <f>IF(Inventory_List_Table3411151091113171814[[#This Row],[Q]]&lt;0.1, " ",Inventory_List_Table3411151091113171814[[#This Row],[LND RND USD]]*12)</f>
        <v xml:space="preserve"> </v>
      </c>
      <c r="W30" s="30" t="str">
        <f>IF(Inventory_List_Table3411151091113171814[[#This Row],[Q]]&lt;0.1, " ",Inventory_List_Table3411151091113171814[[#This Row],[AQ USD]])</f>
        <v xml:space="preserve"> </v>
      </c>
      <c r="X3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0" s="30" t="str">
        <f>IF(Inventory_List_Table3411151091113171814[[#This Row],[Q]]&lt;0.1, " ",Inventory_List_Table3411151091113171814[[#This Row],[PRICE]]/Z30*10000)</f>
        <v xml:space="preserve"> </v>
      </c>
      <c r="AB30" s="353"/>
      <c r="AC30" s="1"/>
      <c r="AD30" s="1"/>
    </row>
    <row r="31" spans="1:30" ht="24" customHeight="1" x14ac:dyDescent="0.3">
      <c r="A31" s="347">
        <v>29</v>
      </c>
      <c r="B31" s="1"/>
      <c r="C31" s="349"/>
      <c r="D31" s="349"/>
      <c r="E31" s="349"/>
      <c r="F31" s="38" t="str">
        <f>IF(Inventory_List_Table3411151091113171814[[#This Row],[Q]]&lt;0.1, " ",#REF!&amp;$D$1&amp;#REF!&amp;Inventory_List_Table3411151091113171814[[#This Row],[NOTES]])</f>
        <v xml:space="preserve"> </v>
      </c>
      <c r="G31" s="350"/>
      <c r="H31" s="350"/>
      <c r="I31" s="350"/>
      <c r="J31" s="350"/>
      <c r="K31" s="350"/>
      <c r="L31" s="352"/>
      <c r="M3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1" s="35" t="str">
        <f>IF(Inventory_List_Table3411151091113171814[[#This Row],[Q]]&lt;0.1, " ", Inventory_List_Table3411151091113171814[[#This Row],[KG]]*2.20462)</f>
        <v xml:space="preserve"> </v>
      </c>
      <c r="O31" s="35" t="str">
        <f>IF(Inventory_List_Table3411151091113171814[[#This Row],[Q]]&lt;0.1, " ",Inventory_List_Table3411151091113171814[[#This Row],[H CM]]/2.54)</f>
        <v xml:space="preserve"> </v>
      </c>
      <c r="P31" s="35" t="str">
        <f>IF(Inventory_List_Table3411151091113171814[[#This Row],[Q]]&lt;0.1, " ",Inventory_List_Table3411151091113171814[[#This Row],[W CM]]/2.54)</f>
        <v xml:space="preserve"> </v>
      </c>
      <c r="Q31" s="35" t="str">
        <f>IF(Inventory_List_Table3411151091113171814[[#This Row],[Q]]&lt;0.1, " ",Inventory_List_Table3411151091113171814[[#This Row],[D CM ]]/2.54)</f>
        <v xml:space="preserve"> </v>
      </c>
      <c r="R31" s="30" t="str">
        <f>IF(Inventory_List_Table3411151091113171814[[#This Row],[Q]]&lt;0.1, " ",Inventory_List_Table3411151091113171814[[#This Row],[PRICE]]/$L$1)</f>
        <v xml:space="preserve"> </v>
      </c>
      <c r="S3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1" s="30" t="str">
        <f>IF(Inventory_List_Table3411151091113171814[[#This Row],[Q]]&lt;0.1, " ",Inventory_List_Table3411151091113171814[[#This Row],[AQ RND USD]]*1.4)</f>
        <v xml:space="preserve"> </v>
      </c>
      <c r="U3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1" s="30" t="str">
        <f>IF(Inventory_List_Table3411151091113171814[[#This Row],[Q]]&lt;0.1, " ",Inventory_List_Table3411151091113171814[[#This Row],[LND RND USD]]*12)</f>
        <v xml:space="preserve"> </v>
      </c>
      <c r="W31" s="30" t="str">
        <f>IF(Inventory_List_Table3411151091113171814[[#This Row],[Q]]&lt;0.1, " ",Inventory_List_Table3411151091113171814[[#This Row],[AQ USD]])</f>
        <v xml:space="preserve"> </v>
      </c>
      <c r="X3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1" s="30" t="str">
        <f>IF(Inventory_List_Table3411151091113171814[[#This Row],[Q]]&lt;0.1, " ",Inventory_List_Table3411151091113171814[[#This Row],[PRICE]]/Z31*10000)</f>
        <v xml:space="preserve"> </v>
      </c>
      <c r="AB31" s="353"/>
      <c r="AC31" s="1"/>
      <c r="AD31" s="1"/>
    </row>
    <row r="32" spans="1:30" ht="24" customHeight="1" x14ac:dyDescent="0.3">
      <c r="A32" s="347">
        <v>30</v>
      </c>
      <c r="B32" s="1"/>
      <c r="C32" s="349"/>
      <c r="D32" s="349"/>
      <c r="E32" s="349"/>
      <c r="F32" s="38" t="str">
        <f>IF(Inventory_List_Table3411151091113171814[[#This Row],[Q]]&lt;0.1, " ",#REF!&amp;$D$1&amp;#REF!&amp;Inventory_List_Table3411151091113171814[[#This Row],[NOTES]])</f>
        <v xml:space="preserve"> </v>
      </c>
      <c r="G32" s="350"/>
      <c r="H32" s="350"/>
      <c r="I32" s="350"/>
      <c r="J32" s="350"/>
      <c r="K32" s="350"/>
      <c r="L32" s="352"/>
      <c r="M3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2" s="35" t="str">
        <f>IF(Inventory_List_Table3411151091113171814[[#This Row],[Q]]&lt;0.1, " ", Inventory_List_Table3411151091113171814[[#This Row],[KG]]*2.20462)</f>
        <v xml:space="preserve"> </v>
      </c>
      <c r="O32" s="35" t="str">
        <f>IF(Inventory_List_Table3411151091113171814[[#This Row],[Q]]&lt;0.1, " ",Inventory_List_Table3411151091113171814[[#This Row],[H CM]]/2.54)</f>
        <v xml:space="preserve"> </v>
      </c>
      <c r="P32" s="35" t="str">
        <f>IF(Inventory_List_Table3411151091113171814[[#This Row],[Q]]&lt;0.1, " ",Inventory_List_Table3411151091113171814[[#This Row],[W CM]]/2.54)</f>
        <v xml:space="preserve"> </v>
      </c>
      <c r="Q32" s="35" t="str">
        <f>IF(Inventory_List_Table3411151091113171814[[#This Row],[Q]]&lt;0.1, " ",Inventory_List_Table3411151091113171814[[#This Row],[D CM ]]/2.54)</f>
        <v xml:space="preserve"> </v>
      </c>
      <c r="R32" s="30" t="str">
        <f>IF(Inventory_List_Table3411151091113171814[[#This Row],[Q]]&lt;0.1, " ",Inventory_List_Table3411151091113171814[[#This Row],[PRICE]]/$L$1)</f>
        <v xml:space="preserve"> </v>
      </c>
      <c r="S3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2" s="30" t="str">
        <f>IF(Inventory_List_Table3411151091113171814[[#This Row],[Q]]&lt;0.1, " ",Inventory_List_Table3411151091113171814[[#This Row],[AQ RND USD]]*1.4)</f>
        <v xml:space="preserve"> </v>
      </c>
      <c r="U3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2" s="30" t="str">
        <f>IF(Inventory_List_Table3411151091113171814[[#This Row],[Q]]&lt;0.1, " ",Inventory_List_Table3411151091113171814[[#This Row],[LND RND USD]]*12)</f>
        <v xml:space="preserve"> </v>
      </c>
      <c r="W32" s="30" t="str">
        <f>IF(Inventory_List_Table3411151091113171814[[#This Row],[Q]]&lt;0.1, " ",Inventory_List_Table3411151091113171814[[#This Row],[AQ USD]])</f>
        <v xml:space="preserve"> </v>
      </c>
      <c r="X3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2" s="30" t="str">
        <f>IF(Inventory_List_Table3411151091113171814[[#This Row],[Q]]&lt;0.1, " ",Inventory_List_Table3411151091113171814[[#This Row],[PRICE]]/Z32*10000)</f>
        <v xml:space="preserve"> </v>
      </c>
      <c r="AB32" s="353"/>
      <c r="AC32" s="1"/>
      <c r="AD32" s="1"/>
    </row>
    <row r="33" spans="1:30" ht="24" customHeight="1" x14ac:dyDescent="0.3">
      <c r="A33" s="347">
        <v>31</v>
      </c>
      <c r="B33" s="1"/>
      <c r="C33" s="349"/>
      <c r="D33" s="349"/>
      <c r="E33" s="349"/>
      <c r="F33" s="38" t="str">
        <f>IF(Inventory_List_Table3411151091113171814[[#This Row],[Q]]&lt;0.1, " ",#REF!&amp;$D$1&amp;#REF!&amp;Inventory_List_Table3411151091113171814[[#This Row],[NOTES]])</f>
        <v xml:space="preserve"> </v>
      </c>
      <c r="G33" s="350"/>
      <c r="H33" s="350"/>
      <c r="I33" s="350"/>
      <c r="J33" s="350"/>
      <c r="K33" s="350"/>
      <c r="L33" s="352"/>
      <c r="M3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3" s="35" t="str">
        <f>IF(Inventory_List_Table3411151091113171814[[#This Row],[Q]]&lt;0.1, " ", Inventory_List_Table3411151091113171814[[#This Row],[KG]]*2.20462)</f>
        <v xml:space="preserve"> </v>
      </c>
      <c r="O33" s="35" t="str">
        <f>IF(Inventory_List_Table3411151091113171814[[#This Row],[Q]]&lt;0.1, " ",Inventory_List_Table3411151091113171814[[#This Row],[H CM]]/2.54)</f>
        <v xml:space="preserve"> </v>
      </c>
      <c r="P33" s="35" t="str">
        <f>IF(Inventory_List_Table3411151091113171814[[#This Row],[Q]]&lt;0.1, " ",Inventory_List_Table3411151091113171814[[#This Row],[W CM]]/2.54)</f>
        <v xml:space="preserve"> </v>
      </c>
      <c r="Q33" s="35" t="str">
        <f>IF(Inventory_List_Table3411151091113171814[[#This Row],[Q]]&lt;0.1, " ",Inventory_List_Table3411151091113171814[[#This Row],[D CM ]]/2.54)</f>
        <v xml:space="preserve"> </v>
      </c>
      <c r="R33" s="30" t="str">
        <f>IF(Inventory_List_Table3411151091113171814[[#This Row],[Q]]&lt;0.1, " ",Inventory_List_Table3411151091113171814[[#This Row],[PRICE]]/$L$1)</f>
        <v xml:space="preserve"> </v>
      </c>
      <c r="S3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3" s="30" t="str">
        <f>IF(Inventory_List_Table3411151091113171814[[#This Row],[Q]]&lt;0.1, " ",Inventory_List_Table3411151091113171814[[#This Row],[AQ RND USD]]*1.4)</f>
        <v xml:space="preserve"> </v>
      </c>
      <c r="U3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3" s="30" t="str">
        <f>IF(Inventory_List_Table3411151091113171814[[#This Row],[Q]]&lt;0.1, " ",Inventory_List_Table3411151091113171814[[#This Row],[LND RND USD]]*12)</f>
        <v xml:space="preserve"> </v>
      </c>
      <c r="W33" s="30" t="str">
        <f>IF(Inventory_List_Table3411151091113171814[[#This Row],[Q]]&lt;0.1, " ",Inventory_List_Table3411151091113171814[[#This Row],[AQ USD]])</f>
        <v xml:space="preserve"> </v>
      </c>
      <c r="X3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3" s="30" t="str">
        <f>IF(Inventory_List_Table3411151091113171814[[#This Row],[Q]]&lt;0.1, " ",Inventory_List_Table3411151091113171814[[#This Row],[PRICE]]/Z33*10000)</f>
        <v xml:space="preserve"> </v>
      </c>
      <c r="AB33" s="353"/>
      <c r="AC33" s="1"/>
      <c r="AD33" s="1"/>
    </row>
    <row r="34" spans="1:30" ht="24" customHeight="1" x14ac:dyDescent="0.3">
      <c r="A34" s="347">
        <v>32</v>
      </c>
      <c r="B34" s="1"/>
      <c r="C34" s="349"/>
      <c r="D34" s="349"/>
      <c r="E34" s="349"/>
      <c r="F34" s="38" t="str">
        <f>IF(Inventory_List_Table3411151091113171814[[#This Row],[Q]]&lt;0.1, " ",#REF!&amp;$D$1&amp;#REF!&amp;Inventory_List_Table3411151091113171814[[#This Row],[NOTES]])</f>
        <v xml:space="preserve"> </v>
      </c>
      <c r="G34" s="350"/>
      <c r="H34" s="350"/>
      <c r="I34" s="350"/>
      <c r="J34" s="350"/>
      <c r="K34" s="350"/>
      <c r="L34" s="352"/>
      <c r="M3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4" s="35" t="str">
        <f>IF(Inventory_List_Table3411151091113171814[[#This Row],[Q]]&lt;0.1, " ", Inventory_List_Table3411151091113171814[[#This Row],[KG]]*2.20462)</f>
        <v xml:space="preserve"> </v>
      </c>
      <c r="O34" s="35" t="str">
        <f>IF(Inventory_List_Table3411151091113171814[[#This Row],[Q]]&lt;0.1, " ",Inventory_List_Table3411151091113171814[[#This Row],[H CM]]/2.54)</f>
        <v xml:space="preserve"> </v>
      </c>
      <c r="P34" s="35" t="str">
        <f>IF(Inventory_List_Table3411151091113171814[[#This Row],[Q]]&lt;0.1, " ",Inventory_List_Table3411151091113171814[[#This Row],[W CM]]/2.54)</f>
        <v xml:space="preserve"> </v>
      </c>
      <c r="Q34" s="35" t="str">
        <f>IF(Inventory_List_Table3411151091113171814[[#This Row],[Q]]&lt;0.1, " ",Inventory_List_Table3411151091113171814[[#This Row],[D CM ]]/2.54)</f>
        <v xml:space="preserve"> </v>
      </c>
      <c r="R34" s="30" t="str">
        <f>IF(Inventory_List_Table3411151091113171814[[#This Row],[Q]]&lt;0.1, " ",Inventory_List_Table3411151091113171814[[#This Row],[PRICE]]/$L$1)</f>
        <v xml:space="preserve"> </v>
      </c>
      <c r="S3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4" s="30" t="str">
        <f>IF(Inventory_List_Table3411151091113171814[[#This Row],[Q]]&lt;0.1, " ",Inventory_List_Table3411151091113171814[[#This Row],[AQ RND USD]]*1.4)</f>
        <v xml:space="preserve"> </v>
      </c>
      <c r="U3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4" s="30" t="str">
        <f>IF(Inventory_List_Table3411151091113171814[[#This Row],[Q]]&lt;0.1, " ",Inventory_List_Table3411151091113171814[[#This Row],[LND RND USD]]*12)</f>
        <v xml:space="preserve"> </v>
      </c>
      <c r="W34" s="30" t="str">
        <f>IF(Inventory_List_Table3411151091113171814[[#This Row],[Q]]&lt;0.1, " ",Inventory_List_Table3411151091113171814[[#This Row],[AQ USD]])</f>
        <v xml:space="preserve"> </v>
      </c>
      <c r="X3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4" s="30" t="str">
        <f>IF(Inventory_List_Table3411151091113171814[[#This Row],[Q]]&lt;0.1, " ",Inventory_List_Table3411151091113171814[[#This Row],[PRICE]]/Z34*10000)</f>
        <v xml:space="preserve"> </v>
      </c>
      <c r="AB34" s="353"/>
      <c r="AC34" s="1"/>
      <c r="AD34" s="1"/>
    </row>
    <row r="35" spans="1:30" ht="24" customHeight="1" x14ac:dyDescent="0.3">
      <c r="A35" s="347">
        <v>33</v>
      </c>
      <c r="B35" s="1"/>
      <c r="C35" s="349"/>
      <c r="D35" s="349"/>
      <c r="E35" s="349"/>
      <c r="F35" s="38" t="str">
        <f>IF(Inventory_List_Table3411151091113171814[[#This Row],[Q]]&lt;0.1, " ",#REF!&amp;$D$1&amp;#REF!&amp;Inventory_List_Table3411151091113171814[[#This Row],[NOTES]])</f>
        <v xml:space="preserve"> </v>
      </c>
      <c r="G35" s="350"/>
      <c r="H35" s="350"/>
      <c r="I35" s="350"/>
      <c r="J35" s="350"/>
      <c r="K35" s="350"/>
      <c r="L35" s="352"/>
      <c r="M3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5" s="35" t="str">
        <f>IF(Inventory_List_Table3411151091113171814[[#This Row],[Q]]&lt;0.1, " ", Inventory_List_Table3411151091113171814[[#This Row],[KG]]*2.20462)</f>
        <v xml:space="preserve"> </v>
      </c>
      <c r="O35" s="35" t="str">
        <f>IF(Inventory_List_Table3411151091113171814[[#This Row],[Q]]&lt;0.1, " ",Inventory_List_Table3411151091113171814[[#This Row],[H CM]]/2.54)</f>
        <v xml:space="preserve"> </v>
      </c>
      <c r="P35" s="35" t="str">
        <f>IF(Inventory_List_Table3411151091113171814[[#This Row],[Q]]&lt;0.1, " ",Inventory_List_Table3411151091113171814[[#This Row],[W CM]]/2.54)</f>
        <v xml:space="preserve"> </v>
      </c>
      <c r="Q35" s="35" t="str">
        <f>IF(Inventory_List_Table3411151091113171814[[#This Row],[Q]]&lt;0.1, " ",Inventory_List_Table3411151091113171814[[#This Row],[D CM ]]/2.54)</f>
        <v xml:space="preserve"> </v>
      </c>
      <c r="R35" s="30" t="str">
        <f>IF(Inventory_List_Table3411151091113171814[[#This Row],[Q]]&lt;0.1, " ",Inventory_List_Table3411151091113171814[[#This Row],[PRICE]]/$L$1)</f>
        <v xml:space="preserve"> </v>
      </c>
      <c r="S3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5" s="30" t="str">
        <f>IF(Inventory_List_Table3411151091113171814[[#This Row],[Q]]&lt;0.1, " ",Inventory_List_Table3411151091113171814[[#This Row],[AQ RND USD]]*1.4)</f>
        <v xml:space="preserve"> </v>
      </c>
      <c r="U3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5" s="30" t="str">
        <f>IF(Inventory_List_Table3411151091113171814[[#This Row],[Q]]&lt;0.1, " ",Inventory_List_Table3411151091113171814[[#This Row],[LND RND USD]]*12)</f>
        <v xml:space="preserve"> </v>
      </c>
      <c r="W35" s="30" t="str">
        <f>IF(Inventory_List_Table3411151091113171814[[#This Row],[Q]]&lt;0.1, " ",Inventory_List_Table3411151091113171814[[#This Row],[AQ USD]])</f>
        <v xml:space="preserve"> </v>
      </c>
      <c r="X3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5" s="30" t="str">
        <f>IF(Inventory_List_Table3411151091113171814[[#This Row],[Q]]&lt;0.1, " ",Inventory_List_Table3411151091113171814[[#This Row],[PRICE]]/Z35*10000)</f>
        <v xml:space="preserve"> </v>
      </c>
      <c r="AB35" s="353"/>
      <c r="AC35" s="1"/>
      <c r="AD35" s="1"/>
    </row>
    <row r="36" spans="1:30" ht="24" customHeight="1" x14ac:dyDescent="0.3">
      <c r="A36" s="347">
        <v>34</v>
      </c>
      <c r="B36" s="1"/>
      <c r="C36" s="349"/>
      <c r="D36" s="349"/>
      <c r="E36" s="349"/>
      <c r="F36" s="38" t="str">
        <f>IF(Inventory_List_Table3411151091113171814[[#This Row],[Q]]&lt;0.1, " ",#REF!&amp;$D$1&amp;#REF!&amp;Inventory_List_Table3411151091113171814[[#This Row],[NOTES]])</f>
        <v xml:space="preserve"> </v>
      </c>
      <c r="G36" s="350"/>
      <c r="H36" s="350"/>
      <c r="I36" s="350"/>
      <c r="J36" s="350"/>
      <c r="K36" s="350"/>
      <c r="L36" s="352"/>
      <c r="M3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6" s="35" t="str">
        <f>IF(Inventory_List_Table3411151091113171814[[#This Row],[Q]]&lt;0.1, " ", Inventory_List_Table3411151091113171814[[#This Row],[KG]]*2.20462)</f>
        <v xml:space="preserve"> </v>
      </c>
      <c r="O36" s="35" t="str">
        <f>IF(Inventory_List_Table3411151091113171814[[#This Row],[Q]]&lt;0.1, " ",Inventory_List_Table3411151091113171814[[#This Row],[H CM]]/2.54)</f>
        <v xml:space="preserve"> </v>
      </c>
      <c r="P36" s="35" t="str">
        <f>IF(Inventory_List_Table3411151091113171814[[#This Row],[Q]]&lt;0.1, " ",Inventory_List_Table3411151091113171814[[#This Row],[W CM]]/2.54)</f>
        <v xml:space="preserve"> </v>
      </c>
      <c r="Q36" s="35" t="str">
        <f>IF(Inventory_List_Table3411151091113171814[[#This Row],[Q]]&lt;0.1, " ",Inventory_List_Table3411151091113171814[[#This Row],[D CM ]]/2.54)</f>
        <v xml:space="preserve"> </v>
      </c>
      <c r="R36" s="30" t="str">
        <f>IF(Inventory_List_Table3411151091113171814[[#This Row],[Q]]&lt;0.1, " ",Inventory_List_Table3411151091113171814[[#This Row],[PRICE]]/$L$1)</f>
        <v xml:space="preserve"> </v>
      </c>
      <c r="S3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6" s="30" t="str">
        <f>IF(Inventory_List_Table3411151091113171814[[#This Row],[Q]]&lt;0.1, " ",Inventory_List_Table3411151091113171814[[#This Row],[AQ RND USD]]*1.4)</f>
        <v xml:space="preserve"> </v>
      </c>
      <c r="U3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6" s="30" t="str">
        <f>IF(Inventory_List_Table3411151091113171814[[#This Row],[Q]]&lt;0.1, " ",Inventory_List_Table3411151091113171814[[#This Row],[LND RND USD]]*12)</f>
        <v xml:space="preserve"> </v>
      </c>
      <c r="W36" s="30" t="str">
        <f>IF(Inventory_List_Table3411151091113171814[[#This Row],[Q]]&lt;0.1, " ",Inventory_List_Table3411151091113171814[[#This Row],[AQ USD]])</f>
        <v xml:space="preserve"> </v>
      </c>
      <c r="X3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6" s="30" t="str">
        <f>IF(Inventory_List_Table3411151091113171814[[#This Row],[Q]]&lt;0.1, " ",Inventory_List_Table3411151091113171814[[#This Row],[PRICE]]/Z36*10000)</f>
        <v xml:space="preserve"> </v>
      </c>
      <c r="AB36" s="353"/>
      <c r="AC36" s="1"/>
      <c r="AD36" s="1"/>
    </row>
    <row r="37" spans="1:30" ht="24" customHeight="1" x14ac:dyDescent="0.3">
      <c r="A37" s="347">
        <v>35</v>
      </c>
      <c r="B37" s="1"/>
      <c r="C37" s="349"/>
      <c r="D37" s="349"/>
      <c r="E37" s="349"/>
      <c r="F37" s="38" t="str">
        <f>IF(Inventory_List_Table3411151091113171814[[#This Row],[Q]]&lt;0.1, " ",#REF!&amp;$D$1&amp;#REF!&amp;Inventory_List_Table3411151091113171814[[#This Row],[NOTES]])</f>
        <v xml:space="preserve"> </v>
      </c>
      <c r="G37" s="350"/>
      <c r="H37" s="350"/>
      <c r="I37" s="350"/>
      <c r="J37" s="350"/>
      <c r="K37" s="350"/>
      <c r="L37" s="352"/>
      <c r="M3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7" s="35" t="str">
        <f>IF(Inventory_List_Table3411151091113171814[[#This Row],[Q]]&lt;0.1, " ", Inventory_List_Table3411151091113171814[[#This Row],[KG]]*2.20462)</f>
        <v xml:space="preserve"> </v>
      </c>
      <c r="O37" s="35" t="str">
        <f>IF(Inventory_List_Table3411151091113171814[[#This Row],[Q]]&lt;0.1, " ",Inventory_List_Table3411151091113171814[[#This Row],[H CM]]/2.54)</f>
        <v xml:space="preserve"> </v>
      </c>
      <c r="P37" s="35" t="str">
        <f>IF(Inventory_List_Table3411151091113171814[[#This Row],[Q]]&lt;0.1, " ",Inventory_List_Table3411151091113171814[[#This Row],[W CM]]/2.54)</f>
        <v xml:space="preserve"> </v>
      </c>
      <c r="Q37" s="35" t="str">
        <f>IF(Inventory_List_Table3411151091113171814[[#This Row],[Q]]&lt;0.1, " ",Inventory_List_Table3411151091113171814[[#This Row],[D CM ]]/2.54)</f>
        <v xml:space="preserve"> </v>
      </c>
      <c r="R37" s="30" t="str">
        <f>IF(Inventory_List_Table3411151091113171814[[#This Row],[Q]]&lt;0.1, " ",Inventory_List_Table3411151091113171814[[#This Row],[PRICE]]/$L$1)</f>
        <v xml:space="preserve"> </v>
      </c>
      <c r="S3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7" s="30" t="str">
        <f>IF(Inventory_List_Table3411151091113171814[[#This Row],[Q]]&lt;0.1, " ",Inventory_List_Table3411151091113171814[[#This Row],[AQ RND USD]]*1.4)</f>
        <v xml:space="preserve"> </v>
      </c>
      <c r="U3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7" s="30" t="str">
        <f>IF(Inventory_List_Table3411151091113171814[[#This Row],[Q]]&lt;0.1, " ",Inventory_List_Table3411151091113171814[[#This Row],[LND RND USD]]*12)</f>
        <v xml:space="preserve"> </v>
      </c>
      <c r="W37" s="30" t="str">
        <f>IF(Inventory_List_Table3411151091113171814[[#This Row],[Q]]&lt;0.1, " ",Inventory_List_Table3411151091113171814[[#This Row],[AQ USD]])</f>
        <v xml:space="preserve"> </v>
      </c>
      <c r="X3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7" s="30" t="str">
        <f>IF(Inventory_List_Table3411151091113171814[[#This Row],[Q]]&lt;0.1, " ",Inventory_List_Table3411151091113171814[[#This Row],[PRICE]]/Z37*10000)</f>
        <v xml:space="preserve"> </v>
      </c>
      <c r="AB37" s="353"/>
      <c r="AC37" s="1"/>
      <c r="AD37" s="1"/>
    </row>
    <row r="38" spans="1:30" ht="24" customHeight="1" x14ac:dyDescent="0.3">
      <c r="A38" s="347">
        <v>36</v>
      </c>
      <c r="B38" s="1"/>
      <c r="C38" s="349"/>
      <c r="D38" s="349"/>
      <c r="E38" s="349"/>
      <c r="F38" s="38" t="str">
        <f>IF(Inventory_List_Table3411151091113171814[[#This Row],[Q]]&lt;0.1, " ",#REF!&amp;$D$1&amp;#REF!&amp;Inventory_List_Table3411151091113171814[[#This Row],[NOTES]])</f>
        <v xml:space="preserve"> </v>
      </c>
      <c r="G38" s="350"/>
      <c r="H38" s="350"/>
      <c r="I38" s="350"/>
      <c r="J38" s="350"/>
      <c r="K38" s="350"/>
      <c r="L38" s="352"/>
      <c r="M3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8" s="35" t="str">
        <f>IF(Inventory_List_Table3411151091113171814[[#This Row],[Q]]&lt;0.1, " ", Inventory_List_Table3411151091113171814[[#This Row],[KG]]*2.20462)</f>
        <v xml:space="preserve"> </v>
      </c>
      <c r="O38" s="35" t="str">
        <f>IF(Inventory_List_Table3411151091113171814[[#This Row],[Q]]&lt;0.1, " ",Inventory_List_Table3411151091113171814[[#This Row],[H CM]]/2.54)</f>
        <v xml:space="preserve"> </v>
      </c>
      <c r="P38" s="35" t="str">
        <f>IF(Inventory_List_Table3411151091113171814[[#This Row],[Q]]&lt;0.1, " ",Inventory_List_Table3411151091113171814[[#This Row],[W CM]]/2.54)</f>
        <v xml:space="preserve"> </v>
      </c>
      <c r="Q38" s="35" t="str">
        <f>IF(Inventory_List_Table3411151091113171814[[#This Row],[Q]]&lt;0.1, " ",Inventory_List_Table3411151091113171814[[#This Row],[D CM ]]/2.54)</f>
        <v xml:space="preserve"> </v>
      </c>
      <c r="R38" s="30" t="str">
        <f>IF(Inventory_List_Table3411151091113171814[[#This Row],[Q]]&lt;0.1, " ",Inventory_List_Table3411151091113171814[[#This Row],[PRICE]]/$L$1)</f>
        <v xml:space="preserve"> </v>
      </c>
      <c r="S3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8" s="30" t="str">
        <f>IF(Inventory_List_Table3411151091113171814[[#This Row],[Q]]&lt;0.1, " ",Inventory_List_Table3411151091113171814[[#This Row],[AQ RND USD]]*1.4)</f>
        <v xml:space="preserve"> </v>
      </c>
      <c r="U3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8" s="30" t="str">
        <f>IF(Inventory_List_Table3411151091113171814[[#This Row],[Q]]&lt;0.1, " ",Inventory_List_Table3411151091113171814[[#This Row],[LND RND USD]]*12)</f>
        <v xml:space="preserve"> </v>
      </c>
      <c r="W38" s="30" t="str">
        <f>IF(Inventory_List_Table3411151091113171814[[#This Row],[Q]]&lt;0.1, " ",Inventory_List_Table3411151091113171814[[#This Row],[AQ USD]])</f>
        <v xml:space="preserve"> </v>
      </c>
      <c r="X3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8" s="30" t="str">
        <f>IF(Inventory_List_Table3411151091113171814[[#This Row],[Q]]&lt;0.1, " ",Inventory_List_Table3411151091113171814[[#This Row],[PRICE]]/Z38*10000)</f>
        <v xml:space="preserve"> </v>
      </c>
      <c r="AB38" s="353"/>
      <c r="AC38" s="1"/>
      <c r="AD38" s="1"/>
    </row>
    <row r="39" spans="1:30" ht="24" customHeight="1" x14ac:dyDescent="0.3">
      <c r="A39" s="347">
        <v>37</v>
      </c>
      <c r="B39" s="1"/>
      <c r="C39" s="349"/>
      <c r="D39" s="349"/>
      <c r="E39" s="349"/>
      <c r="F39" s="38" t="str">
        <f>IF(Inventory_List_Table3411151091113171814[[#This Row],[Q]]&lt;0.1, " ",#REF!&amp;$D$1&amp;#REF!&amp;Inventory_List_Table3411151091113171814[[#This Row],[NOTES]])</f>
        <v xml:space="preserve"> </v>
      </c>
      <c r="G39" s="350"/>
      <c r="H39" s="350"/>
      <c r="I39" s="350"/>
      <c r="J39" s="350"/>
      <c r="K39" s="350"/>
      <c r="L39" s="352"/>
      <c r="M3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39" s="35" t="str">
        <f>IF(Inventory_List_Table3411151091113171814[[#This Row],[Q]]&lt;0.1, " ", Inventory_List_Table3411151091113171814[[#This Row],[KG]]*2.20462)</f>
        <v xml:space="preserve"> </v>
      </c>
      <c r="O39" s="35" t="str">
        <f>IF(Inventory_List_Table3411151091113171814[[#This Row],[Q]]&lt;0.1, " ",Inventory_List_Table3411151091113171814[[#This Row],[H CM]]/2.54)</f>
        <v xml:space="preserve"> </v>
      </c>
      <c r="P39" s="35" t="str">
        <f>IF(Inventory_List_Table3411151091113171814[[#This Row],[Q]]&lt;0.1, " ",Inventory_List_Table3411151091113171814[[#This Row],[W CM]]/2.54)</f>
        <v xml:space="preserve"> </v>
      </c>
      <c r="Q39" s="35" t="str">
        <f>IF(Inventory_List_Table3411151091113171814[[#This Row],[Q]]&lt;0.1, " ",Inventory_List_Table3411151091113171814[[#This Row],[D CM ]]/2.54)</f>
        <v xml:space="preserve"> </v>
      </c>
      <c r="R39" s="30" t="str">
        <f>IF(Inventory_List_Table3411151091113171814[[#This Row],[Q]]&lt;0.1, " ",Inventory_List_Table3411151091113171814[[#This Row],[PRICE]]/$L$1)</f>
        <v xml:space="preserve"> </v>
      </c>
      <c r="S3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39" s="30" t="str">
        <f>IF(Inventory_List_Table3411151091113171814[[#This Row],[Q]]&lt;0.1, " ",Inventory_List_Table3411151091113171814[[#This Row],[AQ RND USD]]*1.4)</f>
        <v xml:space="preserve"> </v>
      </c>
      <c r="U3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39" s="30" t="str">
        <f>IF(Inventory_List_Table3411151091113171814[[#This Row],[Q]]&lt;0.1, " ",Inventory_List_Table3411151091113171814[[#This Row],[LND RND USD]]*12)</f>
        <v xml:space="preserve"> </v>
      </c>
      <c r="W39" s="30" t="str">
        <f>IF(Inventory_List_Table3411151091113171814[[#This Row],[Q]]&lt;0.1, " ",Inventory_List_Table3411151091113171814[[#This Row],[AQ USD]])</f>
        <v xml:space="preserve"> </v>
      </c>
      <c r="X3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3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3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39" s="30" t="str">
        <f>IF(Inventory_List_Table3411151091113171814[[#This Row],[Q]]&lt;0.1, " ",Inventory_List_Table3411151091113171814[[#This Row],[PRICE]]/Z39*10000)</f>
        <v xml:space="preserve"> </v>
      </c>
      <c r="AB39" s="353"/>
      <c r="AC39" s="1"/>
      <c r="AD39" s="1"/>
    </row>
    <row r="40" spans="1:30" ht="24" customHeight="1" x14ac:dyDescent="0.3">
      <c r="A40" s="347">
        <v>38</v>
      </c>
      <c r="B40" s="1"/>
      <c r="C40" s="349"/>
      <c r="D40" s="349"/>
      <c r="E40" s="349"/>
      <c r="F40" s="38" t="str">
        <f>IF(Inventory_List_Table3411151091113171814[[#This Row],[Q]]&lt;0.1, " ",#REF!&amp;$D$1&amp;#REF!&amp;Inventory_List_Table3411151091113171814[[#This Row],[NOTES]])</f>
        <v xml:space="preserve"> </v>
      </c>
      <c r="G40" s="350"/>
      <c r="H40" s="350"/>
      <c r="I40" s="350"/>
      <c r="J40" s="350"/>
      <c r="K40" s="350"/>
      <c r="L40" s="352"/>
      <c r="M4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0" s="35" t="str">
        <f>IF(Inventory_List_Table3411151091113171814[[#This Row],[Q]]&lt;0.1, " ", Inventory_List_Table3411151091113171814[[#This Row],[KG]]*2.20462)</f>
        <v xml:space="preserve"> </v>
      </c>
      <c r="O40" s="35" t="str">
        <f>IF(Inventory_List_Table3411151091113171814[[#This Row],[Q]]&lt;0.1, " ",Inventory_List_Table3411151091113171814[[#This Row],[H CM]]/2.54)</f>
        <v xml:space="preserve"> </v>
      </c>
      <c r="P40" s="35" t="str">
        <f>IF(Inventory_List_Table3411151091113171814[[#This Row],[Q]]&lt;0.1, " ",Inventory_List_Table3411151091113171814[[#This Row],[W CM]]/2.54)</f>
        <v xml:space="preserve"> </v>
      </c>
      <c r="Q40" s="35" t="str">
        <f>IF(Inventory_List_Table3411151091113171814[[#This Row],[Q]]&lt;0.1, " ",Inventory_List_Table3411151091113171814[[#This Row],[D CM ]]/2.54)</f>
        <v xml:space="preserve"> </v>
      </c>
      <c r="R40" s="30" t="str">
        <f>IF(Inventory_List_Table3411151091113171814[[#This Row],[Q]]&lt;0.1, " ",Inventory_List_Table3411151091113171814[[#This Row],[PRICE]]/$L$1)</f>
        <v xml:space="preserve"> </v>
      </c>
      <c r="S4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0" s="30" t="str">
        <f>IF(Inventory_List_Table3411151091113171814[[#This Row],[Q]]&lt;0.1, " ",Inventory_List_Table3411151091113171814[[#This Row],[AQ RND USD]]*1.4)</f>
        <v xml:space="preserve"> </v>
      </c>
      <c r="U4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0" s="30" t="str">
        <f>IF(Inventory_List_Table3411151091113171814[[#This Row],[Q]]&lt;0.1, " ",Inventory_List_Table3411151091113171814[[#This Row],[LND RND USD]]*12)</f>
        <v xml:space="preserve"> </v>
      </c>
      <c r="W40" s="30" t="str">
        <f>IF(Inventory_List_Table3411151091113171814[[#This Row],[Q]]&lt;0.1, " ",Inventory_List_Table3411151091113171814[[#This Row],[AQ USD]])</f>
        <v xml:space="preserve"> </v>
      </c>
      <c r="X4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0" s="30" t="str">
        <f>IF(Inventory_List_Table3411151091113171814[[#This Row],[Q]]&lt;0.1, " ",Inventory_List_Table3411151091113171814[[#This Row],[PRICE]]/Z40*10000)</f>
        <v xml:space="preserve"> </v>
      </c>
      <c r="AB40" s="353"/>
      <c r="AC40" s="1"/>
      <c r="AD40" s="1"/>
    </row>
    <row r="41" spans="1:30" ht="24" customHeight="1" x14ac:dyDescent="0.3">
      <c r="A41" s="347">
        <v>39</v>
      </c>
      <c r="B41" s="1"/>
      <c r="C41" s="349"/>
      <c r="D41" s="349"/>
      <c r="E41" s="349"/>
      <c r="F41" s="38" t="str">
        <f>IF(Inventory_List_Table3411151091113171814[[#This Row],[Q]]&lt;0.1, " ",#REF!&amp;$D$1&amp;#REF!&amp;Inventory_List_Table3411151091113171814[[#This Row],[NOTES]])</f>
        <v xml:space="preserve"> </v>
      </c>
      <c r="G41" s="350"/>
      <c r="H41" s="350"/>
      <c r="I41" s="350"/>
      <c r="J41" s="350"/>
      <c r="K41" s="350"/>
      <c r="L41" s="352"/>
      <c r="M4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1" s="35" t="str">
        <f>IF(Inventory_List_Table3411151091113171814[[#This Row],[Q]]&lt;0.1, " ", Inventory_List_Table3411151091113171814[[#This Row],[KG]]*2.20462)</f>
        <v xml:space="preserve"> </v>
      </c>
      <c r="O41" s="35" t="str">
        <f>IF(Inventory_List_Table3411151091113171814[[#This Row],[Q]]&lt;0.1, " ",Inventory_List_Table3411151091113171814[[#This Row],[H CM]]/2.54)</f>
        <v xml:space="preserve"> </v>
      </c>
      <c r="P41" s="35" t="str">
        <f>IF(Inventory_List_Table3411151091113171814[[#This Row],[Q]]&lt;0.1, " ",Inventory_List_Table3411151091113171814[[#This Row],[W CM]]/2.54)</f>
        <v xml:space="preserve"> </v>
      </c>
      <c r="Q41" s="35" t="str">
        <f>IF(Inventory_List_Table3411151091113171814[[#This Row],[Q]]&lt;0.1, " ",Inventory_List_Table3411151091113171814[[#This Row],[D CM ]]/2.54)</f>
        <v xml:space="preserve"> </v>
      </c>
      <c r="R41" s="30" t="str">
        <f>IF(Inventory_List_Table3411151091113171814[[#This Row],[Q]]&lt;0.1, " ",Inventory_List_Table3411151091113171814[[#This Row],[PRICE]]/$L$1)</f>
        <v xml:space="preserve"> </v>
      </c>
      <c r="S4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1" s="30" t="str">
        <f>IF(Inventory_List_Table3411151091113171814[[#This Row],[Q]]&lt;0.1, " ",Inventory_List_Table3411151091113171814[[#This Row],[AQ RND USD]]*1.4)</f>
        <v xml:space="preserve"> </v>
      </c>
      <c r="U4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1" s="30" t="str">
        <f>IF(Inventory_List_Table3411151091113171814[[#This Row],[Q]]&lt;0.1, " ",Inventory_List_Table3411151091113171814[[#This Row],[LND RND USD]]*12)</f>
        <v xml:space="preserve"> </v>
      </c>
      <c r="W41" s="30" t="str">
        <f>IF(Inventory_List_Table3411151091113171814[[#This Row],[Q]]&lt;0.1, " ",Inventory_List_Table3411151091113171814[[#This Row],[AQ USD]])</f>
        <v xml:space="preserve"> </v>
      </c>
      <c r="X4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1" s="30" t="str">
        <f>IF(Inventory_List_Table3411151091113171814[[#This Row],[Q]]&lt;0.1, " ",Inventory_List_Table3411151091113171814[[#This Row],[PRICE]]/Z41*10000)</f>
        <v xml:space="preserve"> </v>
      </c>
      <c r="AB41" s="353"/>
      <c r="AC41" s="1"/>
      <c r="AD41" s="1"/>
    </row>
    <row r="42" spans="1:30" ht="24" customHeight="1" x14ac:dyDescent="0.3">
      <c r="A42" s="347">
        <v>40</v>
      </c>
      <c r="B42" s="1"/>
      <c r="C42" s="349"/>
      <c r="D42" s="349"/>
      <c r="E42" s="349"/>
      <c r="F42" s="38" t="str">
        <f>IF(Inventory_List_Table3411151091113171814[[#This Row],[Q]]&lt;0.1, " ",#REF!&amp;$D$1&amp;#REF!&amp;Inventory_List_Table3411151091113171814[[#This Row],[NOTES]])</f>
        <v xml:space="preserve"> </v>
      </c>
      <c r="G42" s="350"/>
      <c r="H42" s="350"/>
      <c r="I42" s="350"/>
      <c r="J42" s="350"/>
      <c r="K42" s="350"/>
      <c r="L42" s="352"/>
      <c r="M4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2" s="35" t="str">
        <f>IF(Inventory_List_Table3411151091113171814[[#This Row],[Q]]&lt;0.1, " ", Inventory_List_Table3411151091113171814[[#This Row],[KG]]*2.20462)</f>
        <v xml:space="preserve"> </v>
      </c>
      <c r="O42" s="35" t="str">
        <f>IF(Inventory_List_Table3411151091113171814[[#This Row],[Q]]&lt;0.1, " ",Inventory_List_Table3411151091113171814[[#This Row],[H CM]]/2.54)</f>
        <v xml:space="preserve"> </v>
      </c>
      <c r="P42" s="35" t="str">
        <f>IF(Inventory_List_Table3411151091113171814[[#This Row],[Q]]&lt;0.1, " ",Inventory_List_Table3411151091113171814[[#This Row],[W CM]]/2.54)</f>
        <v xml:space="preserve"> </v>
      </c>
      <c r="Q42" s="35" t="str">
        <f>IF(Inventory_List_Table3411151091113171814[[#This Row],[Q]]&lt;0.1, " ",Inventory_List_Table3411151091113171814[[#This Row],[D CM ]]/2.54)</f>
        <v xml:space="preserve"> </v>
      </c>
      <c r="R42" s="30" t="str">
        <f>IF(Inventory_List_Table3411151091113171814[[#This Row],[Q]]&lt;0.1, " ",Inventory_List_Table3411151091113171814[[#This Row],[PRICE]]/$L$1)</f>
        <v xml:space="preserve"> </v>
      </c>
      <c r="S4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2" s="30" t="str">
        <f>IF(Inventory_List_Table3411151091113171814[[#This Row],[Q]]&lt;0.1, " ",Inventory_List_Table3411151091113171814[[#This Row],[AQ RND USD]]*1.4)</f>
        <v xml:space="preserve"> </v>
      </c>
      <c r="U4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2" s="30" t="str">
        <f>IF(Inventory_List_Table3411151091113171814[[#This Row],[Q]]&lt;0.1, " ",Inventory_List_Table3411151091113171814[[#This Row],[LND RND USD]]*12)</f>
        <v xml:space="preserve"> </v>
      </c>
      <c r="W42" s="30" t="str">
        <f>IF(Inventory_List_Table3411151091113171814[[#This Row],[Q]]&lt;0.1, " ",Inventory_List_Table3411151091113171814[[#This Row],[AQ USD]])</f>
        <v xml:space="preserve"> </v>
      </c>
      <c r="X4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2" s="30" t="str">
        <f>IF(Inventory_List_Table3411151091113171814[[#This Row],[Q]]&lt;0.1, " ",Inventory_List_Table3411151091113171814[[#This Row],[PRICE]]/Z42*10000)</f>
        <v xml:space="preserve"> </v>
      </c>
      <c r="AB42" s="353"/>
      <c r="AC42" s="1"/>
      <c r="AD42" s="1"/>
    </row>
    <row r="43" spans="1:30" ht="24" customHeight="1" x14ac:dyDescent="0.3">
      <c r="A43" s="347">
        <v>41</v>
      </c>
      <c r="B43" s="1"/>
      <c r="C43" s="349"/>
      <c r="D43" s="349"/>
      <c r="E43" s="349"/>
      <c r="F43" s="38" t="str">
        <f>IF(Inventory_List_Table3411151091113171814[[#This Row],[Q]]&lt;0.1, " ",#REF!&amp;$D$1&amp;#REF!&amp;Inventory_List_Table3411151091113171814[[#This Row],[NOTES]])</f>
        <v xml:space="preserve"> </v>
      </c>
      <c r="G43" s="350"/>
      <c r="H43" s="350"/>
      <c r="I43" s="350"/>
      <c r="J43" s="350"/>
      <c r="K43" s="350"/>
      <c r="L43" s="352"/>
      <c r="M4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3" s="35" t="str">
        <f>IF(Inventory_List_Table3411151091113171814[[#This Row],[Q]]&lt;0.1, " ", Inventory_List_Table3411151091113171814[[#This Row],[KG]]*2.20462)</f>
        <v xml:space="preserve"> </v>
      </c>
      <c r="O43" s="35" t="str">
        <f>IF(Inventory_List_Table3411151091113171814[[#This Row],[Q]]&lt;0.1, " ",Inventory_List_Table3411151091113171814[[#This Row],[H CM]]/2.54)</f>
        <v xml:space="preserve"> </v>
      </c>
      <c r="P43" s="35" t="str">
        <f>IF(Inventory_List_Table3411151091113171814[[#This Row],[Q]]&lt;0.1, " ",Inventory_List_Table3411151091113171814[[#This Row],[W CM]]/2.54)</f>
        <v xml:space="preserve"> </v>
      </c>
      <c r="Q43" s="35" t="str">
        <f>IF(Inventory_List_Table3411151091113171814[[#This Row],[Q]]&lt;0.1, " ",Inventory_List_Table3411151091113171814[[#This Row],[D CM ]]/2.54)</f>
        <v xml:space="preserve"> </v>
      </c>
      <c r="R43" s="30" t="str">
        <f>IF(Inventory_List_Table3411151091113171814[[#This Row],[Q]]&lt;0.1, " ",Inventory_List_Table3411151091113171814[[#This Row],[PRICE]]/$L$1)</f>
        <v xml:space="preserve"> </v>
      </c>
      <c r="S4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3" s="30" t="str">
        <f>IF(Inventory_List_Table3411151091113171814[[#This Row],[Q]]&lt;0.1, " ",Inventory_List_Table3411151091113171814[[#This Row],[AQ RND USD]]*1.4)</f>
        <v xml:space="preserve"> </v>
      </c>
      <c r="U4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3" s="30" t="str">
        <f>IF(Inventory_List_Table3411151091113171814[[#This Row],[Q]]&lt;0.1, " ",Inventory_List_Table3411151091113171814[[#This Row],[LND RND USD]]*12)</f>
        <v xml:space="preserve"> </v>
      </c>
      <c r="W43" s="30" t="str">
        <f>IF(Inventory_List_Table3411151091113171814[[#This Row],[Q]]&lt;0.1, " ",Inventory_List_Table3411151091113171814[[#This Row],[AQ USD]])</f>
        <v xml:space="preserve"> </v>
      </c>
      <c r="X4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3" s="30" t="str">
        <f>IF(Inventory_List_Table3411151091113171814[[#This Row],[Q]]&lt;0.1, " ",Inventory_List_Table3411151091113171814[[#This Row],[PRICE]]/Z43*10000)</f>
        <v xml:space="preserve"> </v>
      </c>
      <c r="AB43" s="353"/>
      <c r="AC43" s="1"/>
      <c r="AD43" s="1"/>
    </row>
    <row r="44" spans="1:30" ht="24" customHeight="1" x14ac:dyDescent="0.3">
      <c r="A44" s="347">
        <v>42</v>
      </c>
      <c r="B44" s="1"/>
      <c r="C44" s="349"/>
      <c r="D44" s="349"/>
      <c r="E44" s="349"/>
      <c r="F44" s="38" t="str">
        <f>IF(Inventory_List_Table3411151091113171814[[#This Row],[Q]]&lt;0.1, " ",#REF!&amp;$D$1&amp;#REF!&amp;Inventory_List_Table3411151091113171814[[#This Row],[NOTES]])</f>
        <v xml:space="preserve"> </v>
      </c>
      <c r="G44" s="350"/>
      <c r="H44" s="350"/>
      <c r="I44" s="350"/>
      <c r="J44" s="350"/>
      <c r="K44" s="350"/>
      <c r="L44" s="352"/>
      <c r="M4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4" s="35" t="str">
        <f>IF(Inventory_List_Table3411151091113171814[[#This Row],[Q]]&lt;0.1, " ", Inventory_List_Table3411151091113171814[[#This Row],[KG]]*2.20462)</f>
        <v xml:space="preserve"> </v>
      </c>
      <c r="O44" s="35" t="str">
        <f>IF(Inventory_List_Table3411151091113171814[[#This Row],[Q]]&lt;0.1, " ",Inventory_List_Table3411151091113171814[[#This Row],[H CM]]/2.54)</f>
        <v xml:space="preserve"> </v>
      </c>
      <c r="P44" s="35" t="str">
        <f>IF(Inventory_List_Table3411151091113171814[[#This Row],[Q]]&lt;0.1, " ",Inventory_List_Table3411151091113171814[[#This Row],[W CM]]/2.54)</f>
        <v xml:space="preserve"> </v>
      </c>
      <c r="Q44" s="35" t="str">
        <f>IF(Inventory_List_Table3411151091113171814[[#This Row],[Q]]&lt;0.1, " ",Inventory_List_Table3411151091113171814[[#This Row],[D CM ]]/2.54)</f>
        <v xml:space="preserve"> </v>
      </c>
      <c r="R44" s="30" t="str">
        <f>IF(Inventory_List_Table3411151091113171814[[#This Row],[Q]]&lt;0.1, " ",Inventory_List_Table3411151091113171814[[#This Row],[PRICE]]/$L$1)</f>
        <v xml:space="preserve"> </v>
      </c>
      <c r="S4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4" s="30" t="str">
        <f>IF(Inventory_List_Table3411151091113171814[[#This Row],[Q]]&lt;0.1, " ",Inventory_List_Table3411151091113171814[[#This Row],[AQ RND USD]]*1.4)</f>
        <v xml:space="preserve"> </v>
      </c>
      <c r="U4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4" s="30" t="str">
        <f>IF(Inventory_List_Table3411151091113171814[[#This Row],[Q]]&lt;0.1, " ",Inventory_List_Table3411151091113171814[[#This Row],[LND RND USD]]*12)</f>
        <v xml:space="preserve"> </v>
      </c>
      <c r="W44" s="30" t="str">
        <f>IF(Inventory_List_Table3411151091113171814[[#This Row],[Q]]&lt;0.1, " ",Inventory_List_Table3411151091113171814[[#This Row],[AQ USD]])</f>
        <v xml:space="preserve"> </v>
      </c>
      <c r="X4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4" s="30" t="str">
        <f>IF(Inventory_List_Table3411151091113171814[[#This Row],[Q]]&lt;0.1, " ",Inventory_List_Table3411151091113171814[[#This Row],[PRICE]]/Z44*10000)</f>
        <v xml:space="preserve"> </v>
      </c>
      <c r="AB44" s="353"/>
      <c r="AC44" s="1"/>
      <c r="AD44" s="1"/>
    </row>
    <row r="45" spans="1:30" ht="24" customHeight="1" x14ac:dyDescent="0.3">
      <c r="A45" s="347">
        <v>43</v>
      </c>
      <c r="B45" s="1"/>
      <c r="C45" s="349"/>
      <c r="D45" s="349"/>
      <c r="E45" s="349"/>
      <c r="F45" s="38" t="str">
        <f>IF(Inventory_List_Table3411151091113171814[[#This Row],[Q]]&lt;0.1, " ",#REF!&amp;$D$1&amp;#REF!&amp;Inventory_List_Table3411151091113171814[[#This Row],[NOTES]])</f>
        <v xml:space="preserve"> </v>
      </c>
      <c r="G45" s="350"/>
      <c r="H45" s="350"/>
      <c r="I45" s="350"/>
      <c r="J45" s="350"/>
      <c r="K45" s="350"/>
      <c r="L45" s="352"/>
      <c r="M4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5" s="35" t="str">
        <f>IF(Inventory_List_Table3411151091113171814[[#This Row],[Q]]&lt;0.1, " ", Inventory_List_Table3411151091113171814[[#This Row],[KG]]*2.20462)</f>
        <v xml:space="preserve"> </v>
      </c>
      <c r="O45" s="35" t="str">
        <f>IF(Inventory_List_Table3411151091113171814[[#This Row],[Q]]&lt;0.1, " ",Inventory_List_Table3411151091113171814[[#This Row],[H CM]]/2.54)</f>
        <v xml:space="preserve"> </v>
      </c>
      <c r="P45" s="35" t="str">
        <f>IF(Inventory_List_Table3411151091113171814[[#This Row],[Q]]&lt;0.1, " ",Inventory_List_Table3411151091113171814[[#This Row],[W CM]]/2.54)</f>
        <v xml:space="preserve"> </v>
      </c>
      <c r="Q45" s="35" t="str">
        <f>IF(Inventory_List_Table3411151091113171814[[#This Row],[Q]]&lt;0.1, " ",Inventory_List_Table3411151091113171814[[#This Row],[D CM ]]/2.54)</f>
        <v xml:space="preserve"> </v>
      </c>
      <c r="R45" s="30" t="str">
        <f>IF(Inventory_List_Table3411151091113171814[[#This Row],[Q]]&lt;0.1, " ",Inventory_List_Table3411151091113171814[[#This Row],[PRICE]]/$L$1)</f>
        <v xml:space="preserve"> </v>
      </c>
      <c r="S4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5" s="30" t="str">
        <f>IF(Inventory_List_Table3411151091113171814[[#This Row],[Q]]&lt;0.1, " ",Inventory_List_Table3411151091113171814[[#This Row],[AQ RND USD]]*1.4)</f>
        <v xml:space="preserve"> </v>
      </c>
      <c r="U4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5" s="30" t="str">
        <f>IF(Inventory_List_Table3411151091113171814[[#This Row],[Q]]&lt;0.1, " ",Inventory_List_Table3411151091113171814[[#This Row],[LND RND USD]]*12)</f>
        <v xml:space="preserve"> </v>
      </c>
      <c r="W45" s="30" t="str">
        <f>IF(Inventory_List_Table3411151091113171814[[#This Row],[Q]]&lt;0.1, " ",Inventory_List_Table3411151091113171814[[#This Row],[AQ USD]])</f>
        <v xml:space="preserve"> </v>
      </c>
      <c r="X4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5" s="30" t="str">
        <f>IF(Inventory_List_Table3411151091113171814[[#This Row],[Q]]&lt;0.1, " ",Inventory_List_Table3411151091113171814[[#This Row],[PRICE]]/Z45*10000)</f>
        <v xml:space="preserve"> </v>
      </c>
      <c r="AB45" s="353"/>
      <c r="AC45" s="1"/>
      <c r="AD45" s="1"/>
    </row>
    <row r="46" spans="1:30" ht="24" customHeight="1" x14ac:dyDescent="0.3">
      <c r="A46" s="347">
        <v>44</v>
      </c>
      <c r="B46" s="1"/>
      <c r="C46" s="349"/>
      <c r="D46" s="349"/>
      <c r="E46" s="349"/>
      <c r="F46" s="38" t="str">
        <f>IF(Inventory_List_Table3411151091113171814[[#This Row],[Q]]&lt;0.1, " ",#REF!&amp;$D$1&amp;#REF!&amp;Inventory_List_Table3411151091113171814[[#This Row],[NOTES]])</f>
        <v xml:space="preserve"> </v>
      </c>
      <c r="G46" s="350"/>
      <c r="H46" s="350"/>
      <c r="I46" s="350"/>
      <c r="J46" s="350"/>
      <c r="K46" s="350"/>
      <c r="L46" s="352"/>
      <c r="M4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6" s="35" t="str">
        <f>IF(Inventory_List_Table3411151091113171814[[#This Row],[Q]]&lt;0.1, " ", Inventory_List_Table3411151091113171814[[#This Row],[KG]]*2.20462)</f>
        <v xml:space="preserve"> </v>
      </c>
      <c r="O46" s="35" t="str">
        <f>IF(Inventory_List_Table3411151091113171814[[#This Row],[Q]]&lt;0.1, " ",Inventory_List_Table3411151091113171814[[#This Row],[H CM]]/2.54)</f>
        <v xml:space="preserve"> </v>
      </c>
      <c r="P46" s="35" t="str">
        <f>IF(Inventory_List_Table3411151091113171814[[#This Row],[Q]]&lt;0.1, " ",Inventory_List_Table3411151091113171814[[#This Row],[W CM]]/2.54)</f>
        <v xml:space="preserve"> </v>
      </c>
      <c r="Q46" s="35" t="str">
        <f>IF(Inventory_List_Table3411151091113171814[[#This Row],[Q]]&lt;0.1, " ",Inventory_List_Table3411151091113171814[[#This Row],[D CM ]]/2.54)</f>
        <v xml:space="preserve"> </v>
      </c>
      <c r="R46" s="30" t="str">
        <f>IF(Inventory_List_Table3411151091113171814[[#This Row],[Q]]&lt;0.1, " ",Inventory_List_Table3411151091113171814[[#This Row],[PRICE]]/$L$1)</f>
        <v xml:space="preserve"> </v>
      </c>
      <c r="S4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6" s="30" t="str">
        <f>IF(Inventory_List_Table3411151091113171814[[#This Row],[Q]]&lt;0.1, " ",Inventory_List_Table3411151091113171814[[#This Row],[AQ RND USD]]*1.4)</f>
        <v xml:space="preserve"> </v>
      </c>
      <c r="U4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6" s="30" t="str">
        <f>IF(Inventory_List_Table3411151091113171814[[#This Row],[Q]]&lt;0.1, " ",Inventory_List_Table3411151091113171814[[#This Row],[LND RND USD]]*12)</f>
        <v xml:space="preserve"> </v>
      </c>
      <c r="W46" s="30" t="str">
        <f>IF(Inventory_List_Table3411151091113171814[[#This Row],[Q]]&lt;0.1, " ",Inventory_List_Table3411151091113171814[[#This Row],[AQ USD]])</f>
        <v xml:space="preserve"> </v>
      </c>
      <c r="X4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6" s="30" t="str">
        <f>IF(Inventory_List_Table3411151091113171814[[#This Row],[Q]]&lt;0.1, " ",Inventory_List_Table3411151091113171814[[#This Row],[PRICE]]/Z46*10000)</f>
        <v xml:space="preserve"> </v>
      </c>
      <c r="AB46" s="353"/>
      <c r="AC46" s="1"/>
      <c r="AD46" s="1"/>
    </row>
    <row r="47" spans="1:30" ht="24" customHeight="1" x14ac:dyDescent="0.3">
      <c r="A47" s="347">
        <v>45</v>
      </c>
      <c r="B47" s="1"/>
      <c r="C47" s="349"/>
      <c r="D47" s="349"/>
      <c r="E47" s="349"/>
      <c r="F47" s="38" t="str">
        <f>IF(Inventory_List_Table3411151091113171814[[#This Row],[Q]]&lt;0.1, " ",#REF!&amp;$D$1&amp;#REF!&amp;Inventory_List_Table3411151091113171814[[#This Row],[NOTES]])</f>
        <v xml:space="preserve"> </v>
      </c>
      <c r="G47" s="350"/>
      <c r="H47" s="350"/>
      <c r="I47" s="350"/>
      <c r="J47" s="350"/>
      <c r="K47" s="350"/>
      <c r="L47" s="352"/>
      <c r="M4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7" s="35" t="str">
        <f>IF(Inventory_List_Table3411151091113171814[[#This Row],[Q]]&lt;0.1, " ", Inventory_List_Table3411151091113171814[[#This Row],[KG]]*2.20462)</f>
        <v xml:space="preserve"> </v>
      </c>
      <c r="O47" s="35" t="str">
        <f>IF(Inventory_List_Table3411151091113171814[[#This Row],[Q]]&lt;0.1, " ",Inventory_List_Table3411151091113171814[[#This Row],[H CM]]/2.54)</f>
        <v xml:space="preserve"> </v>
      </c>
      <c r="P47" s="35" t="str">
        <f>IF(Inventory_List_Table3411151091113171814[[#This Row],[Q]]&lt;0.1, " ",Inventory_List_Table3411151091113171814[[#This Row],[W CM]]/2.54)</f>
        <v xml:space="preserve"> </v>
      </c>
      <c r="Q47" s="35" t="str">
        <f>IF(Inventory_List_Table3411151091113171814[[#This Row],[Q]]&lt;0.1, " ",Inventory_List_Table3411151091113171814[[#This Row],[D CM ]]/2.54)</f>
        <v xml:space="preserve"> </v>
      </c>
      <c r="R47" s="30" t="str">
        <f>IF(Inventory_List_Table3411151091113171814[[#This Row],[Q]]&lt;0.1, " ",Inventory_List_Table3411151091113171814[[#This Row],[PRICE]]/$L$1)</f>
        <v xml:space="preserve"> </v>
      </c>
      <c r="S4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7" s="30" t="str">
        <f>IF(Inventory_List_Table3411151091113171814[[#This Row],[Q]]&lt;0.1, " ",Inventory_List_Table3411151091113171814[[#This Row],[AQ RND USD]]*1.4)</f>
        <v xml:space="preserve"> </v>
      </c>
      <c r="U4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7" s="30" t="str">
        <f>IF(Inventory_List_Table3411151091113171814[[#This Row],[Q]]&lt;0.1, " ",Inventory_List_Table3411151091113171814[[#This Row],[LND RND USD]]*12)</f>
        <v xml:space="preserve"> </v>
      </c>
      <c r="W47" s="30" t="str">
        <f>IF(Inventory_List_Table3411151091113171814[[#This Row],[Q]]&lt;0.1, " ",Inventory_List_Table3411151091113171814[[#This Row],[AQ USD]])</f>
        <v xml:space="preserve"> </v>
      </c>
      <c r="X4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7" s="30" t="str">
        <f>IF(Inventory_List_Table3411151091113171814[[#This Row],[Q]]&lt;0.1, " ",Inventory_List_Table3411151091113171814[[#This Row],[PRICE]]/Z47*10000)</f>
        <v xml:space="preserve"> </v>
      </c>
      <c r="AB47" s="353"/>
      <c r="AC47" s="1"/>
      <c r="AD47" s="1"/>
    </row>
    <row r="48" spans="1:30" ht="24" customHeight="1" x14ac:dyDescent="0.3">
      <c r="A48" s="347">
        <v>46</v>
      </c>
      <c r="B48" s="1"/>
      <c r="C48" s="349"/>
      <c r="D48" s="349"/>
      <c r="E48" s="349"/>
      <c r="F48" s="38" t="str">
        <f>IF(Inventory_List_Table3411151091113171814[[#This Row],[Q]]&lt;0.1, " ",#REF!&amp;$D$1&amp;#REF!&amp;Inventory_List_Table3411151091113171814[[#This Row],[NOTES]])</f>
        <v xml:space="preserve"> </v>
      </c>
      <c r="G48" s="350"/>
      <c r="H48" s="350"/>
      <c r="I48" s="350"/>
      <c r="J48" s="350"/>
      <c r="K48" s="350"/>
      <c r="L48" s="352"/>
      <c r="M4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8" s="35" t="str">
        <f>IF(Inventory_List_Table3411151091113171814[[#This Row],[Q]]&lt;0.1, " ", Inventory_List_Table3411151091113171814[[#This Row],[KG]]*2.20462)</f>
        <v xml:space="preserve"> </v>
      </c>
      <c r="O48" s="35" t="str">
        <f>IF(Inventory_List_Table3411151091113171814[[#This Row],[Q]]&lt;0.1, " ",Inventory_List_Table3411151091113171814[[#This Row],[H CM]]/2.54)</f>
        <v xml:space="preserve"> </v>
      </c>
      <c r="P48" s="35" t="str">
        <f>IF(Inventory_List_Table3411151091113171814[[#This Row],[Q]]&lt;0.1, " ",Inventory_List_Table3411151091113171814[[#This Row],[W CM]]/2.54)</f>
        <v xml:space="preserve"> </v>
      </c>
      <c r="Q48" s="35" t="str">
        <f>IF(Inventory_List_Table3411151091113171814[[#This Row],[Q]]&lt;0.1, " ",Inventory_List_Table3411151091113171814[[#This Row],[D CM ]]/2.54)</f>
        <v xml:space="preserve"> </v>
      </c>
      <c r="R48" s="30" t="str">
        <f>IF(Inventory_List_Table3411151091113171814[[#This Row],[Q]]&lt;0.1, " ",Inventory_List_Table3411151091113171814[[#This Row],[PRICE]]/$L$1)</f>
        <v xml:space="preserve"> </v>
      </c>
      <c r="S4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8" s="30" t="str">
        <f>IF(Inventory_List_Table3411151091113171814[[#This Row],[Q]]&lt;0.1, " ",Inventory_List_Table3411151091113171814[[#This Row],[AQ RND USD]]*1.4)</f>
        <v xml:space="preserve"> </v>
      </c>
      <c r="U4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8" s="30" t="str">
        <f>IF(Inventory_List_Table3411151091113171814[[#This Row],[Q]]&lt;0.1, " ",Inventory_List_Table3411151091113171814[[#This Row],[LND RND USD]]*12)</f>
        <v xml:space="preserve"> </v>
      </c>
      <c r="W48" s="30" t="str">
        <f>IF(Inventory_List_Table3411151091113171814[[#This Row],[Q]]&lt;0.1, " ",Inventory_List_Table3411151091113171814[[#This Row],[AQ USD]])</f>
        <v xml:space="preserve"> </v>
      </c>
      <c r="X4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8" s="30" t="str">
        <f>IF(Inventory_List_Table3411151091113171814[[#This Row],[Q]]&lt;0.1, " ",Inventory_List_Table3411151091113171814[[#This Row],[PRICE]]/Z48*10000)</f>
        <v xml:space="preserve"> </v>
      </c>
      <c r="AB48" s="353"/>
      <c r="AC48" s="1"/>
      <c r="AD48" s="1"/>
    </row>
    <row r="49" spans="1:30" ht="24" customHeight="1" x14ac:dyDescent="0.3">
      <c r="A49" s="347">
        <v>47</v>
      </c>
      <c r="B49" s="1"/>
      <c r="C49" s="349"/>
      <c r="D49" s="349"/>
      <c r="E49" s="349"/>
      <c r="F49" s="38" t="str">
        <f>IF(Inventory_List_Table3411151091113171814[[#This Row],[Q]]&lt;0.1, " ",#REF!&amp;$D$1&amp;#REF!&amp;Inventory_List_Table3411151091113171814[[#This Row],[NOTES]])</f>
        <v xml:space="preserve"> </v>
      </c>
      <c r="G49" s="350"/>
      <c r="H49" s="350"/>
      <c r="I49" s="350"/>
      <c r="J49" s="350"/>
      <c r="K49" s="350"/>
      <c r="L49" s="352"/>
      <c r="M4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49" s="35" t="str">
        <f>IF(Inventory_List_Table3411151091113171814[[#This Row],[Q]]&lt;0.1, " ", Inventory_List_Table3411151091113171814[[#This Row],[KG]]*2.20462)</f>
        <v xml:space="preserve"> </v>
      </c>
      <c r="O49" s="35" t="str">
        <f>IF(Inventory_List_Table3411151091113171814[[#This Row],[Q]]&lt;0.1, " ",Inventory_List_Table3411151091113171814[[#This Row],[H CM]]/2.54)</f>
        <v xml:space="preserve"> </v>
      </c>
      <c r="P49" s="35" t="str">
        <f>IF(Inventory_List_Table3411151091113171814[[#This Row],[Q]]&lt;0.1, " ",Inventory_List_Table3411151091113171814[[#This Row],[W CM]]/2.54)</f>
        <v xml:space="preserve"> </v>
      </c>
      <c r="Q49" s="35" t="str">
        <f>IF(Inventory_List_Table3411151091113171814[[#This Row],[Q]]&lt;0.1, " ",Inventory_List_Table3411151091113171814[[#This Row],[D CM ]]/2.54)</f>
        <v xml:space="preserve"> </v>
      </c>
      <c r="R49" s="30" t="str">
        <f>IF(Inventory_List_Table3411151091113171814[[#This Row],[Q]]&lt;0.1, " ",Inventory_List_Table3411151091113171814[[#This Row],[PRICE]]/$L$1)</f>
        <v xml:space="preserve"> </v>
      </c>
      <c r="S4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49" s="30" t="str">
        <f>IF(Inventory_List_Table3411151091113171814[[#This Row],[Q]]&lt;0.1, " ",Inventory_List_Table3411151091113171814[[#This Row],[AQ RND USD]]*1.4)</f>
        <v xml:space="preserve"> </v>
      </c>
      <c r="U4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49" s="30" t="str">
        <f>IF(Inventory_List_Table3411151091113171814[[#This Row],[Q]]&lt;0.1, " ",Inventory_List_Table3411151091113171814[[#This Row],[LND RND USD]]*12)</f>
        <v xml:space="preserve"> </v>
      </c>
      <c r="W49" s="30" t="str">
        <f>IF(Inventory_List_Table3411151091113171814[[#This Row],[Q]]&lt;0.1, " ",Inventory_List_Table3411151091113171814[[#This Row],[AQ USD]])</f>
        <v xml:space="preserve"> </v>
      </c>
      <c r="X4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4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4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49" s="30" t="str">
        <f>IF(Inventory_List_Table3411151091113171814[[#This Row],[Q]]&lt;0.1, " ",Inventory_List_Table3411151091113171814[[#This Row],[PRICE]]/Z49*10000)</f>
        <v xml:space="preserve"> </v>
      </c>
      <c r="AB49" s="353"/>
      <c r="AC49" s="1"/>
      <c r="AD49" s="1"/>
    </row>
    <row r="50" spans="1:30" ht="24" customHeight="1" x14ac:dyDescent="0.3">
      <c r="A50" s="347">
        <v>48</v>
      </c>
      <c r="B50" s="1"/>
      <c r="C50" s="349"/>
      <c r="D50" s="349"/>
      <c r="E50" s="349"/>
      <c r="F50" s="38" t="str">
        <f>IF(Inventory_List_Table3411151091113171814[[#This Row],[Q]]&lt;0.1, " ",#REF!&amp;$D$1&amp;#REF!&amp;Inventory_List_Table3411151091113171814[[#This Row],[NOTES]])</f>
        <v xml:space="preserve"> </v>
      </c>
      <c r="G50" s="350"/>
      <c r="H50" s="350"/>
      <c r="I50" s="350"/>
      <c r="J50" s="350"/>
      <c r="K50" s="350"/>
      <c r="L50" s="352"/>
      <c r="M5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0" s="35" t="str">
        <f>IF(Inventory_List_Table3411151091113171814[[#This Row],[Q]]&lt;0.1, " ", Inventory_List_Table3411151091113171814[[#This Row],[KG]]*2.20462)</f>
        <v xml:space="preserve"> </v>
      </c>
      <c r="O50" s="35" t="str">
        <f>IF(Inventory_List_Table3411151091113171814[[#This Row],[Q]]&lt;0.1, " ",Inventory_List_Table3411151091113171814[[#This Row],[H CM]]/2.54)</f>
        <v xml:space="preserve"> </v>
      </c>
      <c r="P50" s="35" t="str">
        <f>IF(Inventory_List_Table3411151091113171814[[#This Row],[Q]]&lt;0.1, " ",Inventory_List_Table3411151091113171814[[#This Row],[W CM]]/2.54)</f>
        <v xml:space="preserve"> </v>
      </c>
      <c r="Q50" s="35" t="str">
        <f>IF(Inventory_List_Table3411151091113171814[[#This Row],[Q]]&lt;0.1, " ",Inventory_List_Table3411151091113171814[[#This Row],[D CM ]]/2.54)</f>
        <v xml:space="preserve"> </v>
      </c>
      <c r="R50" s="30" t="str">
        <f>IF(Inventory_List_Table3411151091113171814[[#This Row],[Q]]&lt;0.1, " ",Inventory_List_Table3411151091113171814[[#This Row],[PRICE]]/$L$1)</f>
        <v xml:space="preserve"> </v>
      </c>
      <c r="S5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0" s="30" t="str">
        <f>IF(Inventory_List_Table3411151091113171814[[#This Row],[Q]]&lt;0.1, " ",Inventory_List_Table3411151091113171814[[#This Row],[AQ RND USD]]*1.4)</f>
        <v xml:space="preserve"> </v>
      </c>
      <c r="U5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0" s="30" t="str">
        <f>IF(Inventory_List_Table3411151091113171814[[#This Row],[Q]]&lt;0.1, " ",Inventory_List_Table3411151091113171814[[#This Row],[LND RND USD]]*12)</f>
        <v xml:space="preserve"> </v>
      </c>
      <c r="W50" s="30" t="str">
        <f>IF(Inventory_List_Table3411151091113171814[[#This Row],[Q]]&lt;0.1, " ",Inventory_List_Table3411151091113171814[[#This Row],[AQ USD]])</f>
        <v xml:space="preserve"> </v>
      </c>
      <c r="X5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0" s="30" t="str">
        <f>IF(Inventory_List_Table3411151091113171814[[#This Row],[Q]]&lt;0.1, " ",Inventory_List_Table3411151091113171814[[#This Row],[PRICE]]/Z50*10000)</f>
        <v xml:space="preserve"> </v>
      </c>
      <c r="AB50" s="353"/>
      <c r="AC50" s="1"/>
      <c r="AD50" s="1"/>
    </row>
    <row r="51" spans="1:30" ht="24" customHeight="1" x14ac:dyDescent="0.3">
      <c r="A51" s="347">
        <v>49</v>
      </c>
      <c r="B51" s="1"/>
      <c r="C51" s="349"/>
      <c r="D51" s="349"/>
      <c r="E51" s="349"/>
      <c r="F51" s="38" t="str">
        <f>IF(Inventory_List_Table3411151091113171814[[#This Row],[Q]]&lt;0.1, " ",#REF!&amp;$D$1&amp;#REF!&amp;Inventory_List_Table3411151091113171814[[#This Row],[NOTES]])</f>
        <v xml:space="preserve"> </v>
      </c>
      <c r="G51" s="350"/>
      <c r="H51" s="350"/>
      <c r="I51" s="350"/>
      <c r="J51" s="350"/>
      <c r="K51" s="350"/>
      <c r="L51" s="352"/>
      <c r="M5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1" s="35" t="str">
        <f>IF(Inventory_List_Table3411151091113171814[[#This Row],[Q]]&lt;0.1, " ", Inventory_List_Table3411151091113171814[[#This Row],[KG]]*2.20462)</f>
        <v xml:space="preserve"> </v>
      </c>
      <c r="O51" s="35" t="str">
        <f>IF(Inventory_List_Table3411151091113171814[[#This Row],[Q]]&lt;0.1, " ",Inventory_List_Table3411151091113171814[[#This Row],[H CM]]/2.54)</f>
        <v xml:space="preserve"> </v>
      </c>
      <c r="P51" s="35" t="str">
        <f>IF(Inventory_List_Table3411151091113171814[[#This Row],[Q]]&lt;0.1, " ",Inventory_List_Table3411151091113171814[[#This Row],[W CM]]/2.54)</f>
        <v xml:space="preserve"> </v>
      </c>
      <c r="Q51" s="35" t="str">
        <f>IF(Inventory_List_Table3411151091113171814[[#This Row],[Q]]&lt;0.1, " ",Inventory_List_Table3411151091113171814[[#This Row],[D CM ]]/2.54)</f>
        <v xml:space="preserve"> </v>
      </c>
      <c r="R51" s="30" t="str">
        <f>IF(Inventory_List_Table3411151091113171814[[#This Row],[Q]]&lt;0.1, " ",Inventory_List_Table3411151091113171814[[#This Row],[PRICE]]/$L$1)</f>
        <v xml:space="preserve"> </v>
      </c>
      <c r="S5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1" s="30" t="str">
        <f>IF(Inventory_List_Table3411151091113171814[[#This Row],[Q]]&lt;0.1, " ",Inventory_List_Table3411151091113171814[[#This Row],[AQ RND USD]]*1.4)</f>
        <v xml:space="preserve"> </v>
      </c>
      <c r="U5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1" s="30" t="str">
        <f>IF(Inventory_List_Table3411151091113171814[[#This Row],[Q]]&lt;0.1, " ",Inventory_List_Table3411151091113171814[[#This Row],[LND RND USD]]*12)</f>
        <v xml:space="preserve"> </v>
      </c>
      <c r="W51" s="30" t="str">
        <f>IF(Inventory_List_Table3411151091113171814[[#This Row],[Q]]&lt;0.1, " ",Inventory_List_Table3411151091113171814[[#This Row],[AQ USD]])</f>
        <v xml:space="preserve"> </v>
      </c>
      <c r="X5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1" s="30" t="str">
        <f>IF(Inventory_List_Table3411151091113171814[[#This Row],[Q]]&lt;0.1, " ",Inventory_List_Table3411151091113171814[[#This Row],[PRICE]]/Z51*10000)</f>
        <v xml:space="preserve"> </v>
      </c>
      <c r="AB51" s="353"/>
      <c r="AC51" s="1"/>
      <c r="AD51" s="1"/>
    </row>
    <row r="52" spans="1:30" ht="24" customHeight="1" x14ac:dyDescent="0.3">
      <c r="A52" s="347">
        <v>50</v>
      </c>
      <c r="B52" s="1"/>
      <c r="C52" s="349"/>
      <c r="D52" s="349"/>
      <c r="E52" s="349"/>
      <c r="F52" s="38" t="str">
        <f>IF(Inventory_List_Table3411151091113171814[[#This Row],[Q]]&lt;0.1, " ",#REF!&amp;$D$1&amp;#REF!&amp;Inventory_List_Table3411151091113171814[[#This Row],[NOTES]])</f>
        <v xml:space="preserve"> </v>
      </c>
      <c r="G52" s="350"/>
      <c r="H52" s="350"/>
      <c r="I52" s="350"/>
      <c r="J52" s="350"/>
      <c r="K52" s="350"/>
      <c r="L52" s="352"/>
      <c r="M5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2" s="35" t="str">
        <f>IF(Inventory_List_Table3411151091113171814[[#This Row],[Q]]&lt;0.1, " ", Inventory_List_Table3411151091113171814[[#This Row],[KG]]*2.20462)</f>
        <v xml:space="preserve"> </v>
      </c>
      <c r="O52" s="35" t="str">
        <f>IF(Inventory_List_Table3411151091113171814[[#This Row],[Q]]&lt;0.1, " ",Inventory_List_Table3411151091113171814[[#This Row],[H CM]]/2.54)</f>
        <v xml:space="preserve"> </v>
      </c>
      <c r="P52" s="35" t="str">
        <f>IF(Inventory_List_Table3411151091113171814[[#This Row],[Q]]&lt;0.1, " ",Inventory_List_Table3411151091113171814[[#This Row],[W CM]]/2.54)</f>
        <v xml:space="preserve"> </v>
      </c>
      <c r="Q52" s="35" t="str">
        <f>IF(Inventory_List_Table3411151091113171814[[#This Row],[Q]]&lt;0.1, " ",Inventory_List_Table3411151091113171814[[#This Row],[D CM ]]/2.54)</f>
        <v xml:space="preserve"> </v>
      </c>
      <c r="R52" s="30" t="str">
        <f>IF(Inventory_List_Table3411151091113171814[[#This Row],[Q]]&lt;0.1, " ",Inventory_List_Table3411151091113171814[[#This Row],[PRICE]]/$L$1)</f>
        <v xml:space="preserve"> </v>
      </c>
      <c r="S5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2" s="30" t="str">
        <f>IF(Inventory_List_Table3411151091113171814[[#This Row],[Q]]&lt;0.1, " ",Inventory_List_Table3411151091113171814[[#This Row],[AQ RND USD]]*1.4)</f>
        <v xml:space="preserve"> </v>
      </c>
      <c r="U5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2" s="30" t="str">
        <f>IF(Inventory_List_Table3411151091113171814[[#This Row],[Q]]&lt;0.1, " ",Inventory_List_Table3411151091113171814[[#This Row],[LND RND USD]]*12)</f>
        <v xml:space="preserve"> </v>
      </c>
      <c r="W52" s="30" t="str">
        <f>IF(Inventory_List_Table3411151091113171814[[#This Row],[Q]]&lt;0.1, " ",Inventory_List_Table3411151091113171814[[#This Row],[AQ USD]])</f>
        <v xml:space="preserve"> </v>
      </c>
      <c r="X5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2" s="30" t="str">
        <f>IF(Inventory_List_Table3411151091113171814[[#This Row],[Q]]&lt;0.1, " ",Inventory_List_Table3411151091113171814[[#This Row],[PRICE]]/Z52*10000)</f>
        <v xml:space="preserve"> </v>
      </c>
      <c r="AB52" s="353"/>
      <c r="AC52" s="1"/>
      <c r="AD52" s="1"/>
    </row>
    <row r="53" spans="1:30" ht="24" customHeight="1" x14ac:dyDescent="0.3">
      <c r="A53" s="347">
        <v>51</v>
      </c>
      <c r="B53" s="1"/>
      <c r="C53" s="349"/>
      <c r="D53" s="349"/>
      <c r="E53" s="349"/>
      <c r="F53" s="38" t="str">
        <f>IF(Inventory_List_Table3411151091113171814[[#This Row],[Q]]&lt;0.1, " ",#REF!&amp;$D$1&amp;#REF!&amp;Inventory_List_Table3411151091113171814[[#This Row],[NOTES]])</f>
        <v xml:space="preserve"> </v>
      </c>
      <c r="G53" s="350"/>
      <c r="H53" s="350"/>
      <c r="I53" s="350"/>
      <c r="J53" s="350"/>
      <c r="K53" s="350"/>
      <c r="L53" s="352"/>
      <c r="M5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3" s="35" t="str">
        <f>IF(Inventory_List_Table3411151091113171814[[#This Row],[Q]]&lt;0.1, " ", Inventory_List_Table3411151091113171814[[#This Row],[KG]]*2.20462)</f>
        <v xml:space="preserve"> </v>
      </c>
      <c r="O53" s="35" t="str">
        <f>IF(Inventory_List_Table3411151091113171814[[#This Row],[Q]]&lt;0.1, " ",Inventory_List_Table3411151091113171814[[#This Row],[H CM]]/2.54)</f>
        <v xml:space="preserve"> </v>
      </c>
      <c r="P53" s="35" t="str">
        <f>IF(Inventory_List_Table3411151091113171814[[#This Row],[Q]]&lt;0.1, " ",Inventory_List_Table3411151091113171814[[#This Row],[W CM]]/2.54)</f>
        <v xml:space="preserve"> </v>
      </c>
      <c r="Q53" s="35" t="str">
        <f>IF(Inventory_List_Table3411151091113171814[[#This Row],[Q]]&lt;0.1, " ",Inventory_List_Table3411151091113171814[[#This Row],[D CM ]]/2.54)</f>
        <v xml:space="preserve"> </v>
      </c>
      <c r="R53" s="30" t="str">
        <f>IF(Inventory_List_Table3411151091113171814[[#This Row],[Q]]&lt;0.1, " ",Inventory_List_Table3411151091113171814[[#This Row],[PRICE]]/$L$1)</f>
        <v xml:space="preserve"> </v>
      </c>
      <c r="S5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3" s="30" t="str">
        <f>IF(Inventory_List_Table3411151091113171814[[#This Row],[Q]]&lt;0.1, " ",Inventory_List_Table3411151091113171814[[#This Row],[AQ RND USD]]*1.4)</f>
        <v xml:space="preserve"> </v>
      </c>
      <c r="U5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3" s="30" t="str">
        <f>IF(Inventory_List_Table3411151091113171814[[#This Row],[Q]]&lt;0.1, " ",Inventory_List_Table3411151091113171814[[#This Row],[LND RND USD]]*12)</f>
        <v xml:space="preserve"> </v>
      </c>
      <c r="W53" s="30" t="str">
        <f>IF(Inventory_List_Table3411151091113171814[[#This Row],[Q]]&lt;0.1, " ",Inventory_List_Table3411151091113171814[[#This Row],[AQ USD]])</f>
        <v xml:space="preserve"> </v>
      </c>
      <c r="X5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3" s="30" t="str">
        <f>IF(Inventory_List_Table3411151091113171814[[#This Row],[Q]]&lt;0.1, " ",Inventory_List_Table3411151091113171814[[#This Row],[PRICE]]/Z53*10000)</f>
        <v xml:space="preserve"> </v>
      </c>
      <c r="AB53" s="353"/>
      <c r="AC53" s="1"/>
      <c r="AD53" s="1"/>
    </row>
    <row r="54" spans="1:30" ht="24" customHeight="1" x14ac:dyDescent="0.3">
      <c r="A54" s="347">
        <v>52</v>
      </c>
      <c r="B54" s="1"/>
      <c r="C54" s="349"/>
      <c r="D54" s="349"/>
      <c r="E54" s="349"/>
      <c r="F54" s="38" t="str">
        <f>IF(Inventory_List_Table3411151091113171814[[#This Row],[Q]]&lt;0.1, " ",#REF!&amp;$D$1&amp;#REF!&amp;Inventory_List_Table3411151091113171814[[#This Row],[NOTES]])</f>
        <v xml:space="preserve"> </v>
      </c>
      <c r="G54" s="350"/>
      <c r="H54" s="350"/>
      <c r="I54" s="350"/>
      <c r="J54" s="350"/>
      <c r="K54" s="350"/>
      <c r="L54" s="352"/>
      <c r="M5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4" s="35" t="str">
        <f>IF(Inventory_List_Table3411151091113171814[[#This Row],[Q]]&lt;0.1, " ", Inventory_List_Table3411151091113171814[[#This Row],[KG]]*2.20462)</f>
        <v xml:space="preserve"> </v>
      </c>
      <c r="O54" s="35" t="str">
        <f>IF(Inventory_List_Table3411151091113171814[[#This Row],[Q]]&lt;0.1, " ",Inventory_List_Table3411151091113171814[[#This Row],[H CM]]/2.54)</f>
        <v xml:space="preserve"> </v>
      </c>
      <c r="P54" s="35" t="str">
        <f>IF(Inventory_List_Table3411151091113171814[[#This Row],[Q]]&lt;0.1, " ",Inventory_List_Table3411151091113171814[[#This Row],[W CM]]/2.54)</f>
        <v xml:space="preserve"> </v>
      </c>
      <c r="Q54" s="35" t="str">
        <f>IF(Inventory_List_Table3411151091113171814[[#This Row],[Q]]&lt;0.1, " ",Inventory_List_Table3411151091113171814[[#This Row],[D CM ]]/2.54)</f>
        <v xml:space="preserve"> </v>
      </c>
      <c r="R54" s="30" t="str">
        <f>IF(Inventory_List_Table3411151091113171814[[#This Row],[Q]]&lt;0.1, " ",Inventory_List_Table3411151091113171814[[#This Row],[PRICE]]/$L$1)</f>
        <v xml:space="preserve"> </v>
      </c>
      <c r="S5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4" s="30" t="str">
        <f>IF(Inventory_List_Table3411151091113171814[[#This Row],[Q]]&lt;0.1, " ",Inventory_List_Table3411151091113171814[[#This Row],[AQ RND USD]]*1.4)</f>
        <v xml:space="preserve"> </v>
      </c>
      <c r="U5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4" s="30" t="str">
        <f>IF(Inventory_List_Table3411151091113171814[[#This Row],[Q]]&lt;0.1, " ",Inventory_List_Table3411151091113171814[[#This Row],[LND RND USD]]*12)</f>
        <v xml:space="preserve"> </v>
      </c>
      <c r="W54" s="30" t="str">
        <f>IF(Inventory_List_Table3411151091113171814[[#This Row],[Q]]&lt;0.1, " ",Inventory_List_Table3411151091113171814[[#This Row],[AQ USD]])</f>
        <v xml:space="preserve"> </v>
      </c>
      <c r="X5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4" s="30" t="str">
        <f>IF(Inventory_List_Table3411151091113171814[[#This Row],[Q]]&lt;0.1, " ",Inventory_List_Table3411151091113171814[[#This Row],[PRICE]]/Z54*10000)</f>
        <v xml:space="preserve"> </v>
      </c>
      <c r="AB54" s="353"/>
      <c r="AC54" s="1"/>
      <c r="AD54" s="1"/>
    </row>
    <row r="55" spans="1:30" ht="24" customHeight="1" x14ac:dyDescent="0.3">
      <c r="A55" s="347">
        <v>53</v>
      </c>
      <c r="B55" s="1"/>
      <c r="C55" s="349"/>
      <c r="D55" s="349"/>
      <c r="E55" s="349"/>
      <c r="F55" s="38" t="str">
        <f>IF(Inventory_List_Table3411151091113171814[[#This Row],[Q]]&lt;0.1, " ",#REF!&amp;$D$1&amp;#REF!&amp;Inventory_List_Table3411151091113171814[[#This Row],[NOTES]])</f>
        <v xml:space="preserve"> </v>
      </c>
      <c r="G55" s="350"/>
      <c r="H55" s="350"/>
      <c r="I55" s="350"/>
      <c r="J55" s="350"/>
      <c r="K55" s="350"/>
      <c r="L55" s="352"/>
      <c r="M5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5" s="35" t="str">
        <f>IF(Inventory_List_Table3411151091113171814[[#This Row],[Q]]&lt;0.1, " ", Inventory_List_Table3411151091113171814[[#This Row],[KG]]*2.20462)</f>
        <v xml:space="preserve"> </v>
      </c>
      <c r="O55" s="35" t="str">
        <f>IF(Inventory_List_Table3411151091113171814[[#This Row],[Q]]&lt;0.1, " ",Inventory_List_Table3411151091113171814[[#This Row],[H CM]]/2.54)</f>
        <v xml:space="preserve"> </v>
      </c>
      <c r="P55" s="35" t="str">
        <f>IF(Inventory_List_Table3411151091113171814[[#This Row],[Q]]&lt;0.1, " ",Inventory_List_Table3411151091113171814[[#This Row],[W CM]]/2.54)</f>
        <v xml:space="preserve"> </v>
      </c>
      <c r="Q55" s="35" t="str">
        <f>IF(Inventory_List_Table3411151091113171814[[#This Row],[Q]]&lt;0.1, " ",Inventory_List_Table3411151091113171814[[#This Row],[D CM ]]/2.54)</f>
        <v xml:space="preserve"> </v>
      </c>
      <c r="R55" s="30" t="str">
        <f>IF(Inventory_List_Table3411151091113171814[[#This Row],[Q]]&lt;0.1, " ",Inventory_List_Table3411151091113171814[[#This Row],[PRICE]]/$L$1)</f>
        <v xml:space="preserve"> </v>
      </c>
      <c r="S5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5" s="30" t="str">
        <f>IF(Inventory_List_Table3411151091113171814[[#This Row],[Q]]&lt;0.1, " ",Inventory_List_Table3411151091113171814[[#This Row],[AQ RND USD]]*1.4)</f>
        <v xml:space="preserve"> </v>
      </c>
      <c r="U5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5" s="30" t="str">
        <f>IF(Inventory_List_Table3411151091113171814[[#This Row],[Q]]&lt;0.1, " ",Inventory_List_Table3411151091113171814[[#This Row],[LND RND USD]]*12)</f>
        <v xml:space="preserve"> </v>
      </c>
      <c r="W55" s="30" t="str">
        <f>IF(Inventory_List_Table3411151091113171814[[#This Row],[Q]]&lt;0.1, " ",Inventory_List_Table3411151091113171814[[#This Row],[AQ USD]])</f>
        <v xml:space="preserve"> </v>
      </c>
      <c r="X5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5" s="30" t="str">
        <f>IF(Inventory_List_Table3411151091113171814[[#This Row],[Q]]&lt;0.1, " ",Inventory_List_Table3411151091113171814[[#This Row],[PRICE]]/Z55*10000)</f>
        <v xml:space="preserve"> </v>
      </c>
      <c r="AB55" s="353"/>
      <c r="AC55" s="1"/>
      <c r="AD55" s="1"/>
    </row>
    <row r="56" spans="1:30" ht="24" customHeight="1" x14ac:dyDescent="0.3">
      <c r="A56" s="347">
        <v>54</v>
      </c>
      <c r="B56" s="1"/>
      <c r="C56" s="349"/>
      <c r="D56" s="349"/>
      <c r="E56" s="349"/>
      <c r="F56" s="38" t="str">
        <f>IF(Inventory_List_Table3411151091113171814[[#This Row],[Q]]&lt;0.1, " ",#REF!&amp;$D$1&amp;#REF!&amp;Inventory_List_Table3411151091113171814[[#This Row],[NOTES]])</f>
        <v xml:space="preserve"> </v>
      </c>
      <c r="G56" s="350"/>
      <c r="H56" s="350"/>
      <c r="I56" s="350"/>
      <c r="J56" s="350"/>
      <c r="K56" s="350"/>
      <c r="L56" s="352"/>
      <c r="M5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6" s="35" t="str">
        <f>IF(Inventory_List_Table3411151091113171814[[#This Row],[Q]]&lt;0.1, " ", Inventory_List_Table3411151091113171814[[#This Row],[KG]]*2.20462)</f>
        <v xml:space="preserve"> </v>
      </c>
      <c r="O56" s="35" t="str">
        <f>IF(Inventory_List_Table3411151091113171814[[#This Row],[Q]]&lt;0.1, " ",Inventory_List_Table3411151091113171814[[#This Row],[H CM]]/2.54)</f>
        <v xml:space="preserve"> </v>
      </c>
      <c r="P56" s="35" t="str">
        <f>IF(Inventory_List_Table3411151091113171814[[#This Row],[Q]]&lt;0.1, " ",Inventory_List_Table3411151091113171814[[#This Row],[W CM]]/2.54)</f>
        <v xml:space="preserve"> </v>
      </c>
      <c r="Q56" s="35" t="str">
        <f>IF(Inventory_List_Table3411151091113171814[[#This Row],[Q]]&lt;0.1, " ",Inventory_List_Table3411151091113171814[[#This Row],[D CM ]]/2.54)</f>
        <v xml:space="preserve"> </v>
      </c>
      <c r="R56" s="30" t="str">
        <f>IF(Inventory_List_Table3411151091113171814[[#This Row],[Q]]&lt;0.1, " ",Inventory_List_Table3411151091113171814[[#This Row],[PRICE]]/$L$1)</f>
        <v xml:space="preserve"> </v>
      </c>
      <c r="S5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6" s="30" t="str">
        <f>IF(Inventory_List_Table3411151091113171814[[#This Row],[Q]]&lt;0.1, " ",Inventory_List_Table3411151091113171814[[#This Row],[AQ RND USD]]*1.4)</f>
        <v xml:space="preserve"> </v>
      </c>
      <c r="U5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6" s="30" t="str">
        <f>IF(Inventory_List_Table3411151091113171814[[#This Row],[Q]]&lt;0.1, " ",Inventory_List_Table3411151091113171814[[#This Row],[LND RND USD]]*12)</f>
        <v xml:space="preserve"> </v>
      </c>
      <c r="W56" s="30" t="str">
        <f>IF(Inventory_List_Table3411151091113171814[[#This Row],[Q]]&lt;0.1, " ",Inventory_List_Table3411151091113171814[[#This Row],[AQ USD]])</f>
        <v xml:space="preserve"> </v>
      </c>
      <c r="X5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6" s="30" t="str">
        <f>IF(Inventory_List_Table3411151091113171814[[#This Row],[Q]]&lt;0.1, " ",Inventory_List_Table3411151091113171814[[#This Row],[PRICE]]/Z56*10000)</f>
        <v xml:space="preserve"> </v>
      </c>
      <c r="AB56" s="353"/>
      <c r="AC56" s="1"/>
      <c r="AD56" s="1"/>
    </row>
    <row r="57" spans="1:30" ht="24" customHeight="1" x14ac:dyDescent="0.3">
      <c r="A57" s="347">
        <v>55</v>
      </c>
      <c r="B57" s="1"/>
      <c r="C57" s="349"/>
      <c r="D57" s="349"/>
      <c r="E57" s="349"/>
      <c r="F57" s="38" t="str">
        <f>IF(Inventory_List_Table3411151091113171814[[#This Row],[Q]]&lt;0.1, " ",#REF!&amp;$D$1&amp;#REF!&amp;Inventory_List_Table3411151091113171814[[#This Row],[NOTES]])</f>
        <v xml:space="preserve"> </v>
      </c>
      <c r="G57" s="350"/>
      <c r="H57" s="350"/>
      <c r="I57" s="350"/>
      <c r="J57" s="350"/>
      <c r="K57" s="350"/>
      <c r="L57" s="352"/>
      <c r="M5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7" s="35" t="str">
        <f>IF(Inventory_List_Table3411151091113171814[[#This Row],[Q]]&lt;0.1, " ", Inventory_List_Table3411151091113171814[[#This Row],[KG]]*2.20462)</f>
        <v xml:space="preserve"> </v>
      </c>
      <c r="O57" s="35" t="str">
        <f>IF(Inventory_List_Table3411151091113171814[[#This Row],[Q]]&lt;0.1, " ",Inventory_List_Table3411151091113171814[[#This Row],[H CM]]/2.54)</f>
        <v xml:space="preserve"> </v>
      </c>
      <c r="P57" s="35" t="str">
        <f>IF(Inventory_List_Table3411151091113171814[[#This Row],[Q]]&lt;0.1, " ",Inventory_List_Table3411151091113171814[[#This Row],[W CM]]/2.54)</f>
        <v xml:space="preserve"> </v>
      </c>
      <c r="Q57" s="35" t="str">
        <f>IF(Inventory_List_Table3411151091113171814[[#This Row],[Q]]&lt;0.1, " ",Inventory_List_Table3411151091113171814[[#This Row],[D CM ]]/2.54)</f>
        <v xml:space="preserve"> </v>
      </c>
      <c r="R57" s="30" t="str">
        <f>IF(Inventory_List_Table3411151091113171814[[#This Row],[Q]]&lt;0.1, " ",Inventory_List_Table3411151091113171814[[#This Row],[PRICE]]/$L$1)</f>
        <v xml:space="preserve"> </v>
      </c>
      <c r="S5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7" s="30" t="str">
        <f>IF(Inventory_List_Table3411151091113171814[[#This Row],[Q]]&lt;0.1, " ",Inventory_List_Table3411151091113171814[[#This Row],[AQ RND USD]]*1.4)</f>
        <v xml:space="preserve"> </v>
      </c>
      <c r="U5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7" s="30" t="str">
        <f>IF(Inventory_List_Table3411151091113171814[[#This Row],[Q]]&lt;0.1, " ",Inventory_List_Table3411151091113171814[[#This Row],[LND RND USD]]*12)</f>
        <v xml:space="preserve"> </v>
      </c>
      <c r="W57" s="30" t="str">
        <f>IF(Inventory_List_Table3411151091113171814[[#This Row],[Q]]&lt;0.1, " ",Inventory_List_Table3411151091113171814[[#This Row],[AQ USD]])</f>
        <v xml:space="preserve"> </v>
      </c>
      <c r="X5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7" s="30" t="str">
        <f>IF(Inventory_List_Table3411151091113171814[[#This Row],[Q]]&lt;0.1, " ",Inventory_List_Table3411151091113171814[[#This Row],[PRICE]]/Z57*10000)</f>
        <v xml:space="preserve"> </v>
      </c>
      <c r="AB57" s="353"/>
      <c r="AC57" s="1"/>
      <c r="AD57" s="1"/>
    </row>
    <row r="58" spans="1:30" ht="24" customHeight="1" x14ac:dyDescent="0.3">
      <c r="A58" s="347">
        <v>56</v>
      </c>
      <c r="B58" s="1"/>
      <c r="C58" s="349"/>
      <c r="D58" s="349"/>
      <c r="E58" s="349"/>
      <c r="F58" s="38" t="str">
        <f>IF(Inventory_List_Table3411151091113171814[[#This Row],[Q]]&lt;0.1, " ",#REF!&amp;$D$1&amp;#REF!&amp;Inventory_List_Table3411151091113171814[[#This Row],[NOTES]])</f>
        <v xml:space="preserve"> </v>
      </c>
      <c r="G58" s="350"/>
      <c r="H58" s="350"/>
      <c r="I58" s="350"/>
      <c r="J58" s="350"/>
      <c r="K58" s="350"/>
      <c r="L58" s="352"/>
      <c r="M5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8" s="35" t="str">
        <f>IF(Inventory_List_Table3411151091113171814[[#This Row],[Q]]&lt;0.1, " ", Inventory_List_Table3411151091113171814[[#This Row],[KG]]*2.20462)</f>
        <v xml:space="preserve"> </v>
      </c>
      <c r="O58" s="35" t="str">
        <f>IF(Inventory_List_Table3411151091113171814[[#This Row],[Q]]&lt;0.1, " ",Inventory_List_Table3411151091113171814[[#This Row],[H CM]]/2.54)</f>
        <v xml:space="preserve"> </v>
      </c>
      <c r="P58" s="35" t="str">
        <f>IF(Inventory_List_Table3411151091113171814[[#This Row],[Q]]&lt;0.1, " ",Inventory_List_Table3411151091113171814[[#This Row],[W CM]]/2.54)</f>
        <v xml:space="preserve"> </v>
      </c>
      <c r="Q58" s="35" t="str">
        <f>IF(Inventory_List_Table3411151091113171814[[#This Row],[Q]]&lt;0.1, " ",Inventory_List_Table3411151091113171814[[#This Row],[D CM ]]/2.54)</f>
        <v xml:space="preserve"> </v>
      </c>
      <c r="R58" s="30" t="str">
        <f>IF(Inventory_List_Table3411151091113171814[[#This Row],[Q]]&lt;0.1, " ",Inventory_List_Table3411151091113171814[[#This Row],[PRICE]]/$L$1)</f>
        <v xml:space="preserve"> </v>
      </c>
      <c r="S5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8" s="30" t="str">
        <f>IF(Inventory_List_Table3411151091113171814[[#This Row],[Q]]&lt;0.1, " ",Inventory_List_Table3411151091113171814[[#This Row],[AQ RND USD]]*1.4)</f>
        <v xml:space="preserve"> </v>
      </c>
      <c r="U5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8" s="30" t="str">
        <f>IF(Inventory_List_Table3411151091113171814[[#This Row],[Q]]&lt;0.1, " ",Inventory_List_Table3411151091113171814[[#This Row],[LND RND USD]]*12)</f>
        <v xml:space="preserve"> </v>
      </c>
      <c r="W58" s="30" t="str">
        <f>IF(Inventory_List_Table3411151091113171814[[#This Row],[Q]]&lt;0.1, " ",Inventory_List_Table3411151091113171814[[#This Row],[AQ USD]])</f>
        <v xml:space="preserve"> </v>
      </c>
      <c r="X5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8" s="30" t="str">
        <f>IF(Inventory_List_Table3411151091113171814[[#This Row],[Q]]&lt;0.1, " ",Inventory_List_Table3411151091113171814[[#This Row],[PRICE]]/Z58*10000)</f>
        <v xml:space="preserve"> </v>
      </c>
      <c r="AB58" s="353"/>
      <c r="AC58" s="1"/>
      <c r="AD58" s="1"/>
    </row>
    <row r="59" spans="1:30" ht="24" customHeight="1" x14ac:dyDescent="0.3">
      <c r="A59" s="347">
        <v>57</v>
      </c>
      <c r="B59" s="1"/>
      <c r="C59" s="349"/>
      <c r="D59" s="349"/>
      <c r="E59" s="349"/>
      <c r="F59" s="38" t="str">
        <f>IF(Inventory_List_Table3411151091113171814[[#This Row],[Q]]&lt;0.1, " ",#REF!&amp;$D$1&amp;#REF!&amp;Inventory_List_Table3411151091113171814[[#This Row],[NOTES]])</f>
        <v xml:space="preserve"> </v>
      </c>
      <c r="G59" s="350"/>
      <c r="H59" s="350"/>
      <c r="I59" s="350"/>
      <c r="J59" s="350"/>
      <c r="K59" s="350"/>
      <c r="L59" s="352"/>
      <c r="M5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59" s="35" t="str">
        <f>IF(Inventory_List_Table3411151091113171814[[#This Row],[Q]]&lt;0.1, " ", Inventory_List_Table3411151091113171814[[#This Row],[KG]]*2.20462)</f>
        <v xml:space="preserve"> </v>
      </c>
      <c r="O59" s="35" t="str">
        <f>IF(Inventory_List_Table3411151091113171814[[#This Row],[Q]]&lt;0.1, " ",Inventory_List_Table3411151091113171814[[#This Row],[H CM]]/2.54)</f>
        <v xml:space="preserve"> </v>
      </c>
      <c r="P59" s="35" t="str">
        <f>IF(Inventory_List_Table3411151091113171814[[#This Row],[Q]]&lt;0.1, " ",Inventory_List_Table3411151091113171814[[#This Row],[W CM]]/2.54)</f>
        <v xml:space="preserve"> </v>
      </c>
      <c r="Q59" s="35" t="str">
        <f>IF(Inventory_List_Table3411151091113171814[[#This Row],[Q]]&lt;0.1, " ",Inventory_List_Table3411151091113171814[[#This Row],[D CM ]]/2.54)</f>
        <v xml:space="preserve"> </v>
      </c>
      <c r="R59" s="30" t="str">
        <f>IF(Inventory_List_Table3411151091113171814[[#This Row],[Q]]&lt;0.1, " ",Inventory_List_Table3411151091113171814[[#This Row],[PRICE]]/$L$1)</f>
        <v xml:space="preserve"> </v>
      </c>
      <c r="S5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59" s="30" t="str">
        <f>IF(Inventory_List_Table3411151091113171814[[#This Row],[Q]]&lt;0.1, " ",Inventory_List_Table3411151091113171814[[#This Row],[AQ RND USD]]*1.4)</f>
        <v xml:space="preserve"> </v>
      </c>
      <c r="U5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59" s="30" t="str">
        <f>IF(Inventory_List_Table3411151091113171814[[#This Row],[Q]]&lt;0.1, " ",Inventory_List_Table3411151091113171814[[#This Row],[LND RND USD]]*12)</f>
        <v xml:space="preserve"> </v>
      </c>
      <c r="W59" s="30" t="str">
        <f>IF(Inventory_List_Table3411151091113171814[[#This Row],[Q]]&lt;0.1, " ",Inventory_List_Table3411151091113171814[[#This Row],[AQ USD]])</f>
        <v xml:space="preserve"> </v>
      </c>
      <c r="X5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5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5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59" s="30" t="str">
        <f>IF(Inventory_List_Table3411151091113171814[[#This Row],[Q]]&lt;0.1, " ",Inventory_List_Table3411151091113171814[[#This Row],[PRICE]]/Z59*10000)</f>
        <v xml:space="preserve"> </v>
      </c>
      <c r="AB59" s="353"/>
      <c r="AC59" s="1"/>
      <c r="AD59" s="1"/>
    </row>
    <row r="60" spans="1:30" ht="24" customHeight="1" x14ac:dyDescent="0.3">
      <c r="A60" s="347">
        <v>58</v>
      </c>
      <c r="B60" s="1"/>
      <c r="C60" s="349"/>
      <c r="D60" s="349"/>
      <c r="E60" s="349"/>
      <c r="F60" s="38" t="str">
        <f>IF(Inventory_List_Table3411151091113171814[[#This Row],[Q]]&lt;0.1, " ",#REF!&amp;$D$1&amp;#REF!&amp;Inventory_List_Table3411151091113171814[[#This Row],[NOTES]])</f>
        <v xml:space="preserve"> </v>
      </c>
      <c r="G60" s="350"/>
      <c r="H60" s="350"/>
      <c r="I60" s="350"/>
      <c r="J60" s="350"/>
      <c r="K60" s="350"/>
      <c r="L60" s="352"/>
      <c r="M6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0" s="35" t="str">
        <f>IF(Inventory_List_Table3411151091113171814[[#This Row],[Q]]&lt;0.1, " ", Inventory_List_Table3411151091113171814[[#This Row],[KG]]*2.20462)</f>
        <v xml:space="preserve"> </v>
      </c>
      <c r="O60" s="35" t="str">
        <f>IF(Inventory_List_Table3411151091113171814[[#This Row],[Q]]&lt;0.1, " ",Inventory_List_Table3411151091113171814[[#This Row],[H CM]]/2.54)</f>
        <v xml:space="preserve"> </v>
      </c>
      <c r="P60" s="35" t="str">
        <f>IF(Inventory_List_Table3411151091113171814[[#This Row],[Q]]&lt;0.1, " ",Inventory_List_Table3411151091113171814[[#This Row],[W CM]]/2.54)</f>
        <v xml:space="preserve"> </v>
      </c>
      <c r="Q60" s="35" t="str">
        <f>IF(Inventory_List_Table3411151091113171814[[#This Row],[Q]]&lt;0.1, " ",Inventory_List_Table3411151091113171814[[#This Row],[D CM ]]/2.54)</f>
        <v xml:space="preserve"> </v>
      </c>
      <c r="R60" s="30" t="str">
        <f>IF(Inventory_List_Table3411151091113171814[[#This Row],[Q]]&lt;0.1, " ",Inventory_List_Table3411151091113171814[[#This Row],[PRICE]]/$L$1)</f>
        <v xml:space="preserve"> </v>
      </c>
      <c r="S6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0" s="30" t="str">
        <f>IF(Inventory_List_Table3411151091113171814[[#This Row],[Q]]&lt;0.1, " ",Inventory_List_Table3411151091113171814[[#This Row],[AQ RND USD]]*1.4)</f>
        <v xml:space="preserve"> </v>
      </c>
      <c r="U6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0" s="30" t="str">
        <f>IF(Inventory_List_Table3411151091113171814[[#This Row],[Q]]&lt;0.1, " ",Inventory_List_Table3411151091113171814[[#This Row],[LND RND USD]]*12)</f>
        <v xml:space="preserve"> </v>
      </c>
      <c r="W60" s="30" t="str">
        <f>IF(Inventory_List_Table3411151091113171814[[#This Row],[Q]]&lt;0.1, " ",Inventory_List_Table3411151091113171814[[#This Row],[AQ USD]])</f>
        <v xml:space="preserve"> </v>
      </c>
      <c r="X6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0" s="30" t="str">
        <f>IF(Inventory_List_Table3411151091113171814[[#This Row],[Q]]&lt;0.1, " ",Inventory_List_Table3411151091113171814[[#This Row],[PRICE]]/Z60*10000)</f>
        <v xml:space="preserve"> </v>
      </c>
      <c r="AB60" s="353"/>
      <c r="AC60" s="1"/>
      <c r="AD60" s="1"/>
    </row>
    <row r="61" spans="1:30" ht="24" customHeight="1" x14ac:dyDescent="0.3">
      <c r="A61" s="347">
        <v>59</v>
      </c>
      <c r="B61" s="1"/>
      <c r="C61" s="349"/>
      <c r="D61" s="349"/>
      <c r="E61" s="349"/>
      <c r="F61" s="38" t="str">
        <f>IF(Inventory_List_Table3411151091113171814[[#This Row],[Q]]&lt;0.1, " ",#REF!&amp;$D$1&amp;#REF!&amp;Inventory_List_Table3411151091113171814[[#This Row],[NOTES]])</f>
        <v xml:space="preserve"> </v>
      </c>
      <c r="G61" s="350"/>
      <c r="H61" s="350"/>
      <c r="I61" s="350"/>
      <c r="J61" s="350"/>
      <c r="K61" s="350"/>
      <c r="L61" s="352"/>
      <c r="M6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1" s="35" t="str">
        <f>IF(Inventory_List_Table3411151091113171814[[#This Row],[Q]]&lt;0.1, " ", Inventory_List_Table3411151091113171814[[#This Row],[KG]]*2.20462)</f>
        <v xml:space="preserve"> </v>
      </c>
      <c r="O61" s="35" t="str">
        <f>IF(Inventory_List_Table3411151091113171814[[#This Row],[Q]]&lt;0.1, " ",Inventory_List_Table3411151091113171814[[#This Row],[H CM]]/2.54)</f>
        <v xml:space="preserve"> </v>
      </c>
      <c r="P61" s="35" t="str">
        <f>IF(Inventory_List_Table3411151091113171814[[#This Row],[Q]]&lt;0.1, " ",Inventory_List_Table3411151091113171814[[#This Row],[W CM]]/2.54)</f>
        <v xml:space="preserve"> </v>
      </c>
      <c r="Q61" s="35" t="str">
        <f>IF(Inventory_List_Table3411151091113171814[[#This Row],[Q]]&lt;0.1, " ",Inventory_List_Table3411151091113171814[[#This Row],[D CM ]]/2.54)</f>
        <v xml:space="preserve"> </v>
      </c>
      <c r="R61" s="30" t="str">
        <f>IF(Inventory_List_Table3411151091113171814[[#This Row],[Q]]&lt;0.1, " ",Inventory_List_Table3411151091113171814[[#This Row],[PRICE]]/$L$1)</f>
        <v xml:space="preserve"> </v>
      </c>
      <c r="S6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1" s="30" t="str">
        <f>IF(Inventory_List_Table3411151091113171814[[#This Row],[Q]]&lt;0.1, " ",Inventory_List_Table3411151091113171814[[#This Row],[AQ RND USD]]*1.4)</f>
        <v xml:space="preserve"> </v>
      </c>
      <c r="U6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1" s="30" t="str">
        <f>IF(Inventory_List_Table3411151091113171814[[#This Row],[Q]]&lt;0.1, " ",Inventory_List_Table3411151091113171814[[#This Row],[LND RND USD]]*12)</f>
        <v xml:space="preserve"> </v>
      </c>
      <c r="W61" s="30" t="str">
        <f>IF(Inventory_List_Table3411151091113171814[[#This Row],[Q]]&lt;0.1, " ",Inventory_List_Table3411151091113171814[[#This Row],[AQ USD]])</f>
        <v xml:space="preserve"> </v>
      </c>
      <c r="X6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1" s="30" t="str">
        <f>IF(Inventory_List_Table3411151091113171814[[#This Row],[Q]]&lt;0.1, " ",Inventory_List_Table3411151091113171814[[#This Row],[PRICE]]/Z61*10000)</f>
        <v xml:space="preserve"> </v>
      </c>
      <c r="AB61" s="353"/>
      <c r="AC61" s="1"/>
      <c r="AD61" s="1"/>
    </row>
    <row r="62" spans="1:30" ht="24" customHeight="1" x14ac:dyDescent="0.3">
      <c r="A62" s="347">
        <v>60</v>
      </c>
      <c r="B62" s="1"/>
      <c r="C62" s="349"/>
      <c r="D62" s="349"/>
      <c r="E62" s="349"/>
      <c r="F62" s="38" t="str">
        <f>IF(Inventory_List_Table3411151091113171814[[#This Row],[Q]]&lt;0.1, " ",#REF!&amp;$D$1&amp;#REF!&amp;Inventory_List_Table3411151091113171814[[#This Row],[NOTES]])</f>
        <v xml:space="preserve"> </v>
      </c>
      <c r="G62" s="350"/>
      <c r="H62" s="350"/>
      <c r="I62" s="350"/>
      <c r="J62" s="350"/>
      <c r="K62" s="350"/>
      <c r="L62" s="352"/>
      <c r="M6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2" s="35" t="str">
        <f>IF(Inventory_List_Table3411151091113171814[[#This Row],[Q]]&lt;0.1, " ", Inventory_List_Table3411151091113171814[[#This Row],[KG]]*2.20462)</f>
        <v xml:space="preserve"> </v>
      </c>
      <c r="O62" s="35" t="str">
        <f>IF(Inventory_List_Table3411151091113171814[[#This Row],[Q]]&lt;0.1, " ",Inventory_List_Table3411151091113171814[[#This Row],[H CM]]/2.54)</f>
        <v xml:space="preserve"> </v>
      </c>
      <c r="P62" s="35" t="str">
        <f>IF(Inventory_List_Table3411151091113171814[[#This Row],[Q]]&lt;0.1, " ",Inventory_List_Table3411151091113171814[[#This Row],[W CM]]/2.54)</f>
        <v xml:space="preserve"> </v>
      </c>
      <c r="Q62" s="35" t="str">
        <f>IF(Inventory_List_Table3411151091113171814[[#This Row],[Q]]&lt;0.1, " ",Inventory_List_Table3411151091113171814[[#This Row],[D CM ]]/2.54)</f>
        <v xml:space="preserve"> </v>
      </c>
      <c r="R62" s="30" t="str">
        <f>IF(Inventory_List_Table3411151091113171814[[#This Row],[Q]]&lt;0.1, " ",Inventory_List_Table3411151091113171814[[#This Row],[PRICE]]/$L$1)</f>
        <v xml:space="preserve"> </v>
      </c>
      <c r="S6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2" s="30" t="str">
        <f>IF(Inventory_List_Table3411151091113171814[[#This Row],[Q]]&lt;0.1, " ",Inventory_List_Table3411151091113171814[[#This Row],[AQ RND USD]]*1.4)</f>
        <v xml:space="preserve"> </v>
      </c>
      <c r="U6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2" s="30" t="str">
        <f>IF(Inventory_List_Table3411151091113171814[[#This Row],[Q]]&lt;0.1, " ",Inventory_List_Table3411151091113171814[[#This Row],[LND RND USD]]*12)</f>
        <v xml:space="preserve"> </v>
      </c>
      <c r="W62" s="30" t="str">
        <f>IF(Inventory_List_Table3411151091113171814[[#This Row],[Q]]&lt;0.1, " ",Inventory_List_Table3411151091113171814[[#This Row],[AQ USD]])</f>
        <v xml:space="preserve"> </v>
      </c>
      <c r="X6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2" s="30" t="str">
        <f>IF(Inventory_List_Table3411151091113171814[[#This Row],[Q]]&lt;0.1, " ",Inventory_List_Table3411151091113171814[[#This Row],[PRICE]]/Z62*10000)</f>
        <v xml:space="preserve"> </v>
      </c>
      <c r="AB62" s="353"/>
      <c r="AC62" s="1"/>
      <c r="AD62" s="1"/>
    </row>
    <row r="63" spans="1:30" ht="24" customHeight="1" x14ac:dyDescent="0.3">
      <c r="A63" s="347">
        <v>61</v>
      </c>
      <c r="B63" s="1"/>
      <c r="C63" s="349"/>
      <c r="D63" s="349"/>
      <c r="E63" s="349"/>
      <c r="F63" s="38" t="str">
        <f>IF(Inventory_List_Table3411151091113171814[[#This Row],[Q]]&lt;0.1, " ",#REF!&amp;$D$1&amp;#REF!&amp;Inventory_List_Table3411151091113171814[[#This Row],[NOTES]])</f>
        <v xml:space="preserve"> </v>
      </c>
      <c r="G63" s="350"/>
      <c r="H63" s="350"/>
      <c r="I63" s="350"/>
      <c r="J63" s="350"/>
      <c r="K63" s="350"/>
      <c r="L63" s="352"/>
      <c r="M6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3" s="35" t="str">
        <f>IF(Inventory_List_Table3411151091113171814[[#This Row],[Q]]&lt;0.1, " ", Inventory_List_Table3411151091113171814[[#This Row],[KG]]*2.20462)</f>
        <v xml:space="preserve"> </v>
      </c>
      <c r="O63" s="35" t="str">
        <f>IF(Inventory_List_Table3411151091113171814[[#This Row],[Q]]&lt;0.1, " ",Inventory_List_Table3411151091113171814[[#This Row],[H CM]]/2.54)</f>
        <v xml:space="preserve"> </v>
      </c>
      <c r="P63" s="35" t="str">
        <f>IF(Inventory_List_Table3411151091113171814[[#This Row],[Q]]&lt;0.1, " ",Inventory_List_Table3411151091113171814[[#This Row],[W CM]]/2.54)</f>
        <v xml:space="preserve"> </v>
      </c>
      <c r="Q63" s="35" t="str">
        <f>IF(Inventory_List_Table3411151091113171814[[#This Row],[Q]]&lt;0.1, " ",Inventory_List_Table3411151091113171814[[#This Row],[D CM ]]/2.54)</f>
        <v xml:space="preserve"> </v>
      </c>
      <c r="R63" s="30" t="str">
        <f>IF(Inventory_List_Table3411151091113171814[[#This Row],[Q]]&lt;0.1, " ",Inventory_List_Table3411151091113171814[[#This Row],[PRICE]]/$L$1)</f>
        <v xml:space="preserve"> </v>
      </c>
      <c r="S6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3" s="30" t="str">
        <f>IF(Inventory_List_Table3411151091113171814[[#This Row],[Q]]&lt;0.1, " ",Inventory_List_Table3411151091113171814[[#This Row],[AQ RND USD]]*1.4)</f>
        <v xml:space="preserve"> </v>
      </c>
      <c r="U6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3" s="30" t="str">
        <f>IF(Inventory_List_Table3411151091113171814[[#This Row],[Q]]&lt;0.1, " ",Inventory_List_Table3411151091113171814[[#This Row],[LND RND USD]]*12)</f>
        <v xml:space="preserve"> </v>
      </c>
      <c r="W63" s="30" t="str">
        <f>IF(Inventory_List_Table3411151091113171814[[#This Row],[Q]]&lt;0.1, " ",Inventory_List_Table3411151091113171814[[#This Row],[AQ USD]])</f>
        <v xml:space="preserve"> </v>
      </c>
      <c r="X6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3" s="30" t="str">
        <f>IF(Inventory_List_Table3411151091113171814[[#This Row],[Q]]&lt;0.1, " ",Inventory_List_Table3411151091113171814[[#This Row],[PRICE]]/Z63*10000)</f>
        <v xml:space="preserve"> </v>
      </c>
      <c r="AB63" s="353"/>
      <c r="AC63" s="1"/>
      <c r="AD63" s="1"/>
    </row>
    <row r="64" spans="1:30" ht="24" customHeight="1" x14ac:dyDescent="0.3">
      <c r="A64" s="347">
        <v>62</v>
      </c>
      <c r="B64" s="1"/>
      <c r="C64" s="349"/>
      <c r="D64" s="349"/>
      <c r="E64" s="349"/>
      <c r="F64" s="38" t="str">
        <f>IF(Inventory_List_Table3411151091113171814[[#This Row],[Q]]&lt;0.1, " ",#REF!&amp;$D$1&amp;#REF!&amp;Inventory_List_Table3411151091113171814[[#This Row],[NOTES]])</f>
        <v xml:space="preserve"> </v>
      </c>
      <c r="G64" s="350"/>
      <c r="H64" s="350"/>
      <c r="I64" s="350"/>
      <c r="J64" s="350"/>
      <c r="K64" s="350"/>
      <c r="L64" s="352"/>
      <c r="M6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4" s="35" t="str">
        <f>IF(Inventory_List_Table3411151091113171814[[#This Row],[Q]]&lt;0.1, " ", Inventory_List_Table3411151091113171814[[#This Row],[KG]]*2.20462)</f>
        <v xml:space="preserve"> </v>
      </c>
      <c r="O64" s="35" t="str">
        <f>IF(Inventory_List_Table3411151091113171814[[#This Row],[Q]]&lt;0.1, " ",Inventory_List_Table3411151091113171814[[#This Row],[H CM]]/2.54)</f>
        <v xml:space="preserve"> </v>
      </c>
      <c r="P64" s="35" t="str">
        <f>IF(Inventory_List_Table3411151091113171814[[#This Row],[Q]]&lt;0.1, " ",Inventory_List_Table3411151091113171814[[#This Row],[W CM]]/2.54)</f>
        <v xml:space="preserve"> </v>
      </c>
      <c r="Q64" s="35" t="str">
        <f>IF(Inventory_List_Table3411151091113171814[[#This Row],[Q]]&lt;0.1, " ",Inventory_List_Table3411151091113171814[[#This Row],[D CM ]]/2.54)</f>
        <v xml:space="preserve"> </v>
      </c>
      <c r="R64" s="30" t="str">
        <f>IF(Inventory_List_Table3411151091113171814[[#This Row],[Q]]&lt;0.1, " ",Inventory_List_Table3411151091113171814[[#This Row],[PRICE]]/$L$1)</f>
        <v xml:space="preserve"> </v>
      </c>
      <c r="S6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4" s="30" t="str">
        <f>IF(Inventory_List_Table3411151091113171814[[#This Row],[Q]]&lt;0.1, " ",Inventory_List_Table3411151091113171814[[#This Row],[AQ RND USD]]*1.4)</f>
        <v xml:space="preserve"> </v>
      </c>
      <c r="U6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4" s="30" t="str">
        <f>IF(Inventory_List_Table3411151091113171814[[#This Row],[Q]]&lt;0.1, " ",Inventory_List_Table3411151091113171814[[#This Row],[LND RND USD]]*12)</f>
        <v xml:space="preserve"> </v>
      </c>
      <c r="W64" s="30" t="str">
        <f>IF(Inventory_List_Table3411151091113171814[[#This Row],[Q]]&lt;0.1, " ",Inventory_List_Table3411151091113171814[[#This Row],[AQ USD]])</f>
        <v xml:space="preserve"> </v>
      </c>
      <c r="X6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4" s="30" t="str">
        <f>IF(Inventory_List_Table3411151091113171814[[#This Row],[Q]]&lt;0.1, " ",Inventory_List_Table3411151091113171814[[#This Row],[PRICE]]/Z64*10000)</f>
        <v xml:space="preserve"> </v>
      </c>
      <c r="AB64" s="353"/>
      <c r="AC64" s="1"/>
      <c r="AD64" s="1"/>
    </row>
    <row r="65" spans="1:30" ht="24" customHeight="1" x14ac:dyDescent="0.3">
      <c r="A65" s="347">
        <v>63</v>
      </c>
      <c r="B65" s="1"/>
      <c r="C65" s="349"/>
      <c r="D65" s="349"/>
      <c r="E65" s="349"/>
      <c r="F65" s="38" t="str">
        <f>IF(Inventory_List_Table3411151091113171814[[#This Row],[Q]]&lt;0.1, " ",#REF!&amp;$D$1&amp;#REF!&amp;Inventory_List_Table3411151091113171814[[#This Row],[NOTES]])</f>
        <v xml:space="preserve"> </v>
      </c>
      <c r="G65" s="350"/>
      <c r="H65" s="350"/>
      <c r="I65" s="350"/>
      <c r="J65" s="350"/>
      <c r="K65" s="350"/>
      <c r="L65" s="352"/>
      <c r="M6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5" s="35" t="str">
        <f>IF(Inventory_List_Table3411151091113171814[[#This Row],[Q]]&lt;0.1, " ", Inventory_List_Table3411151091113171814[[#This Row],[KG]]*2.20462)</f>
        <v xml:space="preserve"> </v>
      </c>
      <c r="O65" s="35" t="str">
        <f>IF(Inventory_List_Table3411151091113171814[[#This Row],[Q]]&lt;0.1, " ",Inventory_List_Table3411151091113171814[[#This Row],[H CM]]/2.54)</f>
        <v xml:space="preserve"> </v>
      </c>
      <c r="P65" s="35" t="str">
        <f>IF(Inventory_List_Table3411151091113171814[[#This Row],[Q]]&lt;0.1, " ",Inventory_List_Table3411151091113171814[[#This Row],[W CM]]/2.54)</f>
        <v xml:space="preserve"> </v>
      </c>
      <c r="Q65" s="35" t="str">
        <f>IF(Inventory_List_Table3411151091113171814[[#This Row],[Q]]&lt;0.1, " ",Inventory_List_Table3411151091113171814[[#This Row],[D CM ]]/2.54)</f>
        <v xml:space="preserve"> </v>
      </c>
      <c r="R65" s="30" t="str">
        <f>IF(Inventory_List_Table3411151091113171814[[#This Row],[Q]]&lt;0.1, " ",Inventory_List_Table3411151091113171814[[#This Row],[PRICE]]/$L$1)</f>
        <v xml:space="preserve"> </v>
      </c>
      <c r="S6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5" s="30" t="str">
        <f>IF(Inventory_List_Table3411151091113171814[[#This Row],[Q]]&lt;0.1, " ",Inventory_List_Table3411151091113171814[[#This Row],[AQ RND USD]]*1.4)</f>
        <v xml:space="preserve"> </v>
      </c>
      <c r="U6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5" s="30" t="str">
        <f>IF(Inventory_List_Table3411151091113171814[[#This Row],[Q]]&lt;0.1, " ",Inventory_List_Table3411151091113171814[[#This Row],[LND RND USD]]*12)</f>
        <v xml:space="preserve"> </v>
      </c>
      <c r="W65" s="30" t="str">
        <f>IF(Inventory_List_Table3411151091113171814[[#This Row],[Q]]&lt;0.1, " ",Inventory_List_Table3411151091113171814[[#This Row],[AQ USD]])</f>
        <v xml:space="preserve"> </v>
      </c>
      <c r="X6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5" s="30" t="str">
        <f>IF(Inventory_List_Table3411151091113171814[[#This Row],[Q]]&lt;0.1, " ",Inventory_List_Table3411151091113171814[[#This Row],[PRICE]]/Z65*10000)</f>
        <v xml:space="preserve"> </v>
      </c>
      <c r="AB65" s="353"/>
      <c r="AC65" s="1"/>
      <c r="AD65" s="1"/>
    </row>
    <row r="66" spans="1:30" ht="24" customHeight="1" x14ac:dyDescent="0.3">
      <c r="A66" s="347">
        <v>64</v>
      </c>
      <c r="B66" s="1"/>
      <c r="C66" s="349"/>
      <c r="D66" s="349"/>
      <c r="E66" s="349"/>
      <c r="F66" s="38" t="str">
        <f>IF(Inventory_List_Table3411151091113171814[[#This Row],[Q]]&lt;0.1, " ",#REF!&amp;$D$1&amp;#REF!&amp;Inventory_List_Table3411151091113171814[[#This Row],[NOTES]])</f>
        <v xml:space="preserve"> </v>
      </c>
      <c r="G66" s="350"/>
      <c r="H66" s="350"/>
      <c r="I66" s="350"/>
      <c r="J66" s="350"/>
      <c r="K66" s="350"/>
      <c r="L66" s="352"/>
      <c r="M6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6" s="35" t="str">
        <f>IF(Inventory_List_Table3411151091113171814[[#This Row],[Q]]&lt;0.1, " ", Inventory_List_Table3411151091113171814[[#This Row],[KG]]*2.20462)</f>
        <v xml:space="preserve"> </v>
      </c>
      <c r="O66" s="35" t="str">
        <f>IF(Inventory_List_Table3411151091113171814[[#This Row],[Q]]&lt;0.1, " ",Inventory_List_Table3411151091113171814[[#This Row],[H CM]]/2.54)</f>
        <v xml:space="preserve"> </v>
      </c>
      <c r="P66" s="35" t="str">
        <f>IF(Inventory_List_Table3411151091113171814[[#This Row],[Q]]&lt;0.1, " ",Inventory_List_Table3411151091113171814[[#This Row],[W CM]]/2.54)</f>
        <v xml:space="preserve"> </v>
      </c>
      <c r="Q66" s="35" t="str">
        <f>IF(Inventory_List_Table3411151091113171814[[#This Row],[Q]]&lt;0.1, " ",Inventory_List_Table3411151091113171814[[#This Row],[D CM ]]/2.54)</f>
        <v xml:space="preserve"> </v>
      </c>
      <c r="R66" s="30" t="str">
        <f>IF(Inventory_List_Table3411151091113171814[[#This Row],[Q]]&lt;0.1, " ",Inventory_List_Table3411151091113171814[[#This Row],[PRICE]]/$L$1)</f>
        <v xml:space="preserve"> </v>
      </c>
      <c r="S6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6" s="30" t="str">
        <f>IF(Inventory_List_Table3411151091113171814[[#This Row],[Q]]&lt;0.1, " ",Inventory_List_Table3411151091113171814[[#This Row],[AQ RND USD]]*1.4)</f>
        <v xml:space="preserve"> </v>
      </c>
      <c r="U6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6" s="30" t="str">
        <f>IF(Inventory_List_Table3411151091113171814[[#This Row],[Q]]&lt;0.1, " ",Inventory_List_Table3411151091113171814[[#This Row],[LND RND USD]]*12)</f>
        <v xml:space="preserve"> </v>
      </c>
      <c r="W66" s="30" t="str">
        <f>IF(Inventory_List_Table3411151091113171814[[#This Row],[Q]]&lt;0.1, " ",Inventory_List_Table3411151091113171814[[#This Row],[AQ USD]])</f>
        <v xml:space="preserve"> </v>
      </c>
      <c r="X6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6" s="30" t="str">
        <f>IF(Inventory_List_Table3411151091113171814[[#This Row],[Q]]&lt;0.1, " ",Inventory_List_Table3411151091113171814[[#This Row],[PRICE]]/Z66*10000)</f>
        <v xml:space="preserve"> </v>
      </c>
      <c r="AB66" s="353"/>
      <c r="AC66" s="1"/>
      <c r="AD66" s="1"/>
    </row>
    <row r="67" spans="1:30" ht="24" customHeight="1" x14ac:dyDescent="0.3">
      <c r="A67" s="347">
        <v>65</v>
      </c>
      <c r="B67" s="1"/>
      <c r="C67" s="349"/>
      <c r="D67" s="349"/>
      <c r="E67" s="349"/>
      <c r="F67" s="38" t="str">
        <f>IF(Inventory_List_Table3411151091113171814[[#This Row],[Q]]&lt;0.1, " ",#REF!&amp;$D$1&amp;#REF!&amp;Inventory_List_Table3411151091113171814[[#This Row],[NOTES]])</f>
        <v xml:space="preserve"> </v>
      </c>
      <c r="G67" s="350"/>
      <c r="H67" s="350"/>
      <c r="I67" s="350"/>
      <c r="J67" s="350"/>
      <c r="K67" s="350"/>
      <c r="L67" s="352"/>
      <c r="M6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7" s="35" t="str">
        <f>IF(Inventory_List_Table3411151091113171814[[#This Row],[Q]]&lt;0.1, " ", Inventory_List_Table3411151091113171814[[#This Row],[KG]]*2.20462)</f>
        <v xml:space="preserve"> </v>
      </c>
      <c r="O67" s="35" t="str">
        <f>IF(Inventory_List_Table3411151091113171814[[#This Row],[Q]]&lt;0.1, " ",Inventory_List_Table3411151091113171814[[#This Row],[H CM]]/2.54)</f>
        <v xml:space="preserve"> </v>
      </c>
      <c r="P67" s="35" t="str">
        <f>IF(Inventory_List_Table3411151091113171814[[#This Row],[Q]]&lt;0.1, " ",Inventory_List_Table3411151091113171814[[#This Row],[W CM]]/2.54)</f>
        <v xml:space="preserve"> </v>
      </c>
      <c r="Q67" s="35" t="str">
        <f>IF(Inventory_List_Table3411151091113171814[[#This Row],[Q]]&lt;0.1, " ",Inventory_List_Table3411151091113171814[[#This Row],[D CM ]]/2.54)</f>
        <v xml:space="preserve"> </v>
      </c>
      <c r="R67" s="30" t="str">
        <f>IF(Inventory_List_Table3411151091113171814[[#This Row],[Q]]&lt;0.1, " ",Inventory_List_Table3411151091113171814[[#This Row],[PRICE]]/$L$1)</f>
        <v xml:space="preserve"> </v>
      </c>
      <c r="S6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7" s="30" t="str">
        <f>IF(Inventory_List_Table3411151091113171814[[#This Row],[Q]]&lt;0.1, " ",Inventory_List_Table3411151091113171814[[#This Row],[AQ RND USD]]*1.4)</f>
        <v xml:space="preserve"> </v>
      </c>
      <c r="U6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7" s="30" t="str">
        <f>IF(Inventory_List_Table3411151091113171814[[#This Row],[Q]]&lt;0.1, " ",Inventory_List_Table3411151091113171814[[#This Row],[LND RND USD]]*12)</f>
        <v xml:space="preserve"> </v>
      </c>
      <c r="W67" s="30" t="str">
        <f>IF(Inventory_List_Table3411151091113171814[[#This Row],[Q]]&lt;0.1, " ",Inventory_List_Table3411151091113171814[[#This Row],[AQ USD]])</f>
        <v xml:space="preserve"> </v>
      </c>
      <c r="X6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7" s="30" t="str">
        <f>IF(Inventory_List_Table3411151091113171814[[#This Row],[Q]]&lt;0.1, " ",Inventory_List_Table3411151091113171814[[#This Row],[PRICE]]/Z67*10000)</f>
        <v xml:space="preserve"> </v>
      </c>
      <c r="AB67" s="353"/>
      <c r="AC67" s="1"/>
      <c r="AD67" s="1"/>
    </row>
    <row r="68" spans="1:30" ht="24" customHeight="1" x14ac:dyDescent="0.3">
      <c r="A68" s="347">
        <v>66</v>
      </c>
      <c r="B68" s="1"/>
      <c r="C68" s="349"/>
      <c r="D68" s="349"/>
      <c r="E68" s="349"/>
      <c r="F68" s="38" t="str">
        <f>IF(Inventory_List_Table3411151091113171814[[#This Row],[Q]]&lt;0.1, " ",#REF!&amp;$D$1&amp;#REF!&amp;Inventory_List_Table3411151091113171814[[#This Row],[NOTES]])</f>
        <v xml:space="preserve"> </v>
      </c>
      <c r="G68" s="350"/>
      <c r="H68" s="350"/>
      <c r="I68" s="350"/>
      <c r="J68" s="350"/>
      <c r="K68" s="350"/>
      <c r="L68" s="352"/>
      <c r="M6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8" s="35" t="str">
        <f>IF(Inventory_List_Table3411151091113171814[[#This Row],[Q]]&lt;0.1, " ", Inventory_List_Table3411151091113171814[[#This Row],[KG]]*2.20462)</f>
        <v xml:space="preserve"> </v>
      </c>
      <c r="O68" s="35" t="str">
        <f>IF(Inventory_List_Table3411151091113171814[[#This Row],[Q]]&lt;0.1, " ",Inventory_List_Table3411151091113171814[[#This Row],[H CM]]/2.54)</f>
        <v xml:space="preserve"> </v>
      </c>
      <c r="P68" s="35" t="str">
        <f>IF(Inventory_List_Table3411151091113171814[[#This Row],[Q]]&lt;0.1, " ",Inventory_List_Table3411151091113171814[[#This Row],[W CM]]/2.54)</f>
        <v xml:space="preserve"> </v>
      </c>
      <c r="Q68" s="35" t="str">
        <f>IF(Inventory_List_Table3411151091113171814[[#This Row],[Q]]&lt;0.1, " ",Inventory_List_Table3411151091113171814[[#This Row],[D CM ]]/2.54)</f>
        <v xml:space="preserve"> </v>
      </c>
      <c r="R68" s="30" t="str">
        <f>IF(Inventory_List_Table3411151091113171814[[#This Row],[Q]]&lt;0.1, " ",Inventory_List_Table3411151091113171814[[#This Row],[PRICE]]/$L$1)</f>
        <v xml:space="preserve"> </v>
      </c>
      <c r="S6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8" s="30" t="str">
        <f>IF(Inventory_List_Table3411151091113171814[[#This Row],[Q]]&lt;0.1, " ",Inventory_List_Table3411151091113171814[[#This Row],[AQ RND USD]]*1.4)</f>
        <v xml:space="preserve"> </v>
      </c>
      <c r="U6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8" s="30" t="str">
        <f>IF(Inventory_List_Table3411151091113171814[[#This Row],[Q]]&lt;0.1, " ",Inventory_List_Table3411151091113171814[[#This Row],[LND RND USD]]*12)</f>
        <v xml:space="preserve"> </v>
      </c>
      <c r="W68" s="30" t="str">
        <f>IF(Inventory_List_Table3411151091113171814[[#This Row],[Q]]&lt;0.1, " ",Inventory_List_Table3411151091113171814[[#This Row],[AQ USD]])</f>
        <v xml:space="preserve"> </v>
      </c>
      <c r="X6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8" s="30" t="str">
        <f>IF(Inventory_List_Table3411151091113171814[[#This Row],[Q]]&lt;0.1, " ",Inventory_List_Table3411151091113171814[[#This Row],[PRICE]]/Z68*10000)</f>
        <v xml:space="preserve"> </v>
      </c>
      <c r="AB68" s="353"/>
      <c r="AC68" s="1"/>
      <c r="AD68" s="1"/>
    </row>
    <row r="69" spans="1:30" ht="24" customHeight="1" x14ac:dyDescent="0.3">
      <c r="A69" s="347">
        <v>67</v>
      </c>
      <c r="B69" s="1"/>
      <c r="C69" s="349"/>
      <c r="D69" s="349"/>
      <c r="E69" s="349"/>
      <c r="F69" s="38" t="str">
        <f>IF(Inventory_List_Table3411151091113171814[[#This Row],[Q]]&lt;0.1, " ",#REF!&amp;$D$1&amp;#REF!&amp;Inventory_List_Table3411151091113171814[[#This Row],[NOTES]])</f>
        <v xml:space="preserve"> </v>
      </c>
      <c r="G69" s="350"/>
      <c r="H69" s="350"/>
      <c r="I69" s="350"/>
      <c r="J69" s="350"/>
      <c r="K69" s="350"/>
      <c r="L69" s="352"/>
      <c r="M6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69" s="35" t="str">
        <f>IF(Inventory_List_Table3411151091113171814[[#This Row],[Q]]&lt;0.1, " ", Inventory_List_Table3411151091113171814[[#This Row],[KG]]*2.20462)</f>
        <v xml:space="preserve"> </v>
      </c>
      <c r="O69" s="35" t="str">
        <f>IF(Inventory_List_Table3411151091113171814[[#This Row],[Q]]&lt;0.1, " ",Inventory_List_Table3411151091113171814[[#This Row],[H CM]]/2.54)</f>
        <v xml:space="preserve"> </v>
      </c>
      <c r="P69" s="35" t="str">
        <f>IF(Inventory_List_Table3411151091113171814[[#This Row],[Q]]&lt;0.1, " ",Inventory_List_Table3411151091113171814[[#This Row],[W CM]]/2.54)</f>
        <v xml:space="preserve"> </v>
      </c>
      <c r="Q69" s="35" t="str">
        <f>IF(Inventory_List_Table3411151091113171814[[#This Row],[Q]]&lt;0.1, " ",Inventory_List_Table3411151091113171814[[#This Row],[D CM ]]/2.54)</f>
        <v xml:space="preserve"> </v>
      </c>
      <c r="R69" s="30" t="str">
        <f>IF(Inventory_List_Table3411151091113171814[[#This Row],[Q]]&lt;0.1, " ",Inventory_List_Table3411151091113171814[[#This Row],[PRICE]]/$L$1)</f>
        <v xml:space="preserve"> </v>
      </c>
      <c r="S6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69" s="30" t="str">
        <f>IF(Inventory_List_Table3411151091113171814[[#This Row],[Q]]&lt;0.1, " ",Inventory_List_Table3411151091113171814[[#This Row],[AQ RND USD]]*1.4)</f>
        <v xml:space="preserve"> </v>
      </c>
      <c r="U6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69" s="30" t="str">
        <f>IF(Inventory_List_Table3411151091113171814[[#This Row],[Q]]&lt;0.1, " ",Inventory_List_Table3411151091113171814[[#This Row],[LND RND USD]]*12)</f>
        <v xml:space="preserve"> </v>
      </c>
      <c r="W69" s="30" t="str">
        <f>IF(Inventory_List_Table3411151091113171814[[#This Row],[Q]]&lt;0.1, " ",Inventory_List_Table3411151091113171814[[#This Row],[AQ USD]])</f>
        <v xml:space="preserve"> </v>
      </c>
      <c r="X6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6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6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69" s="30" t="str">
        <f>IF(Inventory_List_Table3411151091113171814[[#This Row],[Q]]&lt;0.1, " ",Inventory_List_Table3411151091113171814[[#This Row],[PRICE]]/Z69*10000)</f>
        <v xml:space="preserve"> </v>
      </c>
      <c r="AB69" s="353"/>
      <c r="AC69" s="1"/>
      <c r="AD69" s="1"/>
    </row>
    <row r="70" spans="1:30" ht="24" customHeight="1" x14ac:dyDescent="0.3">
      <c r="A70" s="347">
        <v>68</v>
      </c>
      <c r="B70" s="1"/>
      <c r="C70" s="349"/>
      <c r="D70" s="349"/>
      <c r="E70" s="349"/>
      <c r="F70" s="38" t="str">
        <f>IF(Inventory_List_Table3411151091113171814[[#This Row],[Q]]&lt;0.1, " ",#REF!&amp;$D$1&amp;#REF!&amp;Inventory_List_Table3411151091113171814[[#This Row],[NOTES]])</f>
        <v xml:space="preserve"> </v>
      </c>
      <c r="G70" s="350"/>
      <c r="H70" s="350"/>
      <c r="I70" s="350"/>
      <c r="J70" s="350"/>
      <c r="K70" s="350"/>
      <c r="L70" s="352"/>
      <c r="M7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0" s="35" t="str">
        <f>IF(Inventory_List_Table3411151091113171814[[#This Row],[Q]]&lt;0.1, " ", Inventory_List_Table3411151091113171814[[#This Row],[KG]]*2.20462)</f>
        <v xml:space="preserve"> </v>
      </c>
      <c r="O70" s="35" t="str">
        <f>IF(Inventory_List_Table3411151091113171814[[#This Row],[Q]]&lt;0.1, " ",Inventory_List_Table3411151091113171814[[#This Row],[H CM]]/2.54)</f>
        <v xml:space="preserve"> </v>
      </c>
      <c r="P70" s="35" t="str">
        <f>IF(Inventory_List_Table3411151091113171814[[#This Row],[Q]]&lt;0.1, " ",Inventory_List_Table3411151091113171814[[#This Row],[W CM]]/2.54)</f>
        <v xml:space="preserve"> </v>
      </c>
      <c r="Q70" s="35" t="str">
        <f>IF(Inventory_List_Table3411151091113171814[[#This Row],[Q]]&lt;0.1, " ",Inventory_List_Table3411151091113171814[[#This Row],[D CM ]]/2.54)</f>
        <v xml:space="preserve"> </v>
      </c>
      <c r="R70" s="30" t="str">
        <f>IF(Inventory_List_Table3411151091113171814[[#This Row],[Q]]&lt;0.1, " ",Inventory_List_Table3411151091113171814[[#This Row],[PRICE]]/$L$1)</f>
        <v xml:space="preserve"> </v>
      </c>
      <c r="S7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0" s="30" t="str">
        <f>IF(Inventory_List_Table3411151091113171814[[#This Row],[Q]]&lt;0.1, " ",Inventory_List_Table3411151091113171814[[#This Row],[AQ RND USD]]*1.4)</f>
        <v xml:space="preserve"> </v>
      </c>
      <c r="U7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0" s="30" t="str">
        <f>IF(Inventory_List_Table3411151091113171814[[#This Row],[Q]]&lt;0.1, " ",Inventory_List_Table3411151091113171814[[#This Row],[LND RND USD]]*12)</f>
        <v xml:space="preserve"> </v>
      </c>
      <c r="W70" s="30" t="str">
        <f>IF(Inventory_List_Table3411151091113171814[[#This Row],[Q]]&lt;0.1, " ",Inventory_List_Table3411151091113171814[[#This Row],[AQ USD]])</f>
        <v xml:space="preserve"> </v>
      </c>
      <c r="X7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0" s="30" t="str">
        <f>IF(Inventory_List_Table3411151091113171814[[#This Row],[Q]]&lt;0.1, " ",Inventory_List_Table3411151091113171814[[#This Row],[PRICE]]/Z70*10000)</f>
        <v xml:space="preserve"> </v>
      </c>
      <c r="AB70" s="353"/>
      <c r="AC70" s="1"/>
      <c r="AD70" s="1"/>
    </row>
    <row r="71" spans="1:30" ht="24" customHeight="1" x14ac:dyDescent="0.3">
      <c r="A71" s="347">
        <v>69</v>
      </c>
      <c r="B71" s="1"/>
      <c r="C71" s="349"/>
      <c r="D71" s="349"/>
      <c r="E71" s="349"/>
      <c r="F71" s="38" t="str">
        <f>IF(Inventory_List_Table3411151091113171814[[#This Row],[Q]]&lt;0.1, " ",#REF!&amp;$D$1&amp;#REF!&amp;Inventory_List_Table3411151091113171814[[#This Row],[NOTES]])</f>
        <v xml:space="preserve"> </v>
      </c>
      <c r="G71" s="350"/>
      <c r="H71" s="350"/>
      <c r="I71" s="350"/>
      <c r="J71" s="350"/>
      <c r="K71" s="350"/>
      <c r="L71" s="352"/>
      <c r="M7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1" s="35" t="str">
        <f>IF(Inventory_List_Table3411151091113171814[[#This Row],[Q]]&lt;0.1, " ", Inventory_List_Table3411151091113171814[[#This Row],[KG]]*2.20462)</f>
        <v xml:space="preserve"> </v>
      </c>
      <c r="O71" s="35" t="str">
        <f>IF(Inventory_List_Table3411151091113171814[[#This Row],[Q]]&lt;0.1, " ",Inventory_List_Table3411151091113171814[[#This Row],[H CM]]/2.54)</f>
        <v xml:space="preserve"> </v>
      </c>
      <c r="P71" s="35" t="str">
        <f>IF(Inventory_List_Table3411151091113171814[[#This Row],[Q]]&lt;0.1, " ",Inventory_List_Table3411151091113171814[[#This Row],[W CM]]/2.54)</f>
        <v xml:space="preserve"> </v>
      </c>
      <c r="Q71" s="35" t="str">
        <f>IF(Inventory_List_Table3411151091113171814[[#This Row],[Q]]&lt;0.1, " ",Inventory_List_Table3411151091113171814[[#This Row],[D CM ]]/2.54)</f>
        <v xml:space="preserve"> </v>
      </c>
      <c r="R71" s="30" t="str">
        <f>IF(Inventory_List_Table3411151091113171814[[#This Row],[Q]]&lt;0.1, " ",Inventory_List_Table3411151091113171814[[#This Row],[PRICE]]/$L$1)</f>
        <v xml:space="preserve"> </v>
      </c>
      <c r="S7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1" s="30" t="str">
        <f>IF(Inventory_List_Table3411151091113171814[[#This Row],[Q]]&lt;0.1, " ",Inventory_List_Table3411151091113171814[[#This Row],[AQ RND USD]]*1.4)</f>
        <v xml:space="preserve"> </v>
      </c>
      <c r="U7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1" s="30" t="str">
        <f>IF(Inventory_List_Table3411151091113171814[[#This Row],[Q]]&lt;0.1, " ",Inventory_List_Table3411151091113171814[[#This Row],[LND RND USD]]*12)</f>
        <v xml:space="preserve"> </v>
      </c>
      <c r="W71" s="30" t="str">
        <f>IF(Inventory_List_Table3411151091113171814[[#This Row],[Q]]&lt;0.1, " ",Inventory_List_Table3411151091113171814[[#This Row],[AQ USD]])</f>
        <v xml:space="preserve"> </v>
      </c>
      <c r="X7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1" s="30" t="str">
        <f>IF(Inventory_List_Table3411151091113171814[[#This Row],[Q]]&lt;0.1, " ",Inventory_List_Table3411151091113171814[[#This Row],[PRICE]]/Z71*10000)</f>
        <v xml:space="preserve"> </v>
      </c>
      <c r="AB71" s="353"/>
      <c r="AC71" s="1"/>
      <c r="AD71" s="1"/>
    </row>
    <row r="72" spans="1:30" ht="24" customHeight="1" x14ac:dyDescent="0.3">
      <c r="A72" s="347">
        <v>70</v>
      </c>
      <c r="B72" s="1"/>
      <c r="C72" s="349"/>
      <c r="D72" s="349"/>
      <c r="E72" s="349"/>
      <c r="F72" s="38" t="str">
        <f>IF(Inventory_List_Table3411151091113171814[[#This Row],[Q]]&lt;0.1, " ",#REF!&amp;$D$1&amp;#REF!&amp;Inventory_List_Table3411151091113171814[[#This Row],[NOTES]])</f>
        <v xml:space="preserve"> </v>
      </c>
      <c r="G72" s="350"/>
      <c r="H72" s="350"/>
      <c r="I72" s="350"/>
      <c r="J72" s="350"/>
      <c r="K72" s="350"/>
      <c r="L72" s="352"/>
      <c r="M7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2" s="35" t="str">
        <f>IF(Inventory_List_Table3411151091113171814[[#This Row],[Q]]&lt;0.1, " ", Inventory_List_Table3411151091113171814[[#This Row],[KG]]*2.20462)</f>
        <v xml:space="preserve"> </v>
      </c>
      <c r="O72" s="35" t="str">
        <f>IF(Inventory_List_Table3411151091113171814[[#This Row],[Q]]&lt;0.1, " ",Inventory_List_Table3411151091113171814[[#This Row],[H CM]]/2.54)</f>
        <v xml:space="preserve"> </v>
      </c>
      <c r="P72" s="35" t="str">
        <f>IF(Inventory_List_Table3411151091113171814[[#This Row],[Q]]&lt;0.1, " ",Inventory_List_Table3411151091113171814[[#This Row],[W CM]]/2.54)</f>
        <v xml:space="preserve"> </v>
      </c>
      <c r="Q72" s="35" t="str">
        <f>IF(Inventory_List_Table3411151091113171814[[#This Row],[Q]]&lt;0.1, " ",Inventory_List_Table3411151091113171814[[#This Row],[D CM ]]/2.54)</f>
        <v xml:space="preserve"> </v>
      </c>
      <c r="R72" s="30" t="str">
        <f>IF(Inventory_List_Table3411151091113171814[[#This Row],[Q]]&lt;0.1, " ",Inventory_List_Table3411151091113171814[[#This Row],[PRICE]]/$L$1)</f>
        <v xml:space="preserve"> </v>
      </c>
      <c r="S7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2" s="30" t="str">
        <f>IF(Inventory_List_Table3411151091113171814[[#This Row],[Q]]&lt;0.1, " ",Inventory_List_Table3411151091113171814[[#This Row],[AQ RND USD]]*1.4)</f>
        <v xml:space="preserve"> </v>
      </c>
      <c r="U7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2" s="30" t="str">
        <f>IF(Inventory_List_Table3411151091113171814[[#This Row],[Q]]&lt;0.1, " ",Inventory_List_Table3411151091113171814[[#This Row],[LND RND USD]]*12)</f>
        <v xml:space="preserve"> </v>
      </c>
      <c r="W72" s="30" t="str">
        <f>IF(Inventory_List_Table3411151091113171814[[#This Row],[Q]]&lt;0.1, " ",Inventory_List_Table3411151091113171814[[#This Row],[AQ USD]])</f>
        <v xml:space="preserve"> </v>
      </c>
      <c r="X7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2" s="30" t="str">
        <f>IF(Inventory_List_Table3411151091113171814[[#This Row],[Q]]&lt;0.1, " ",Inventory_List_Table3411151091113171814[[#This Row],[PRICE]]/Z72*10000)</f>
        <v xml:space="preserve"> </v>
      </c>
      <c r="AB72" s="353"/>
      <c r="AC72" s="1"/>
      <c r="AD72" s="1"/>
    </row>
    <row r="73" spans="1:30" ht="24" customHeight="1" x14ac:dyDescent="0.3">
      <c r="A73" s="347">
        <v>71</v>
      </c>
      <c r="B73" s="1"/>
      <c r="C73" s="349"/>
      <c r="D73" s="349"/>
      <c r="E73" s="349"/>
      <c r="F73" s="38" t="str">
        <f>IF(Inventory_List_Table3411151091113171814[[#This Row],[Q]]&lt;0.1, " ",#REF!&amp;$D$1&amp;#REF!&amp;Inventory_List_Table3411151091113171814[[#This Row],[NOTES]])</f>
        <v xml:space="preserve"> </v>
      </c>
      <c r="G73" s="350"/>
      <c r="H73" s="350"/>
      <c r="I73" s="350"/>
      <c r="J73" s="350"/>
      <c r="K73" s="350"/>
      <c r="L73" s="352"/>
      <c r="M7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3" s="35" t="str">
        <f>IF(Inventory_List_Table3411151091113171814[[#This Row],[Q]]&lt;0.1, " ", Inventory_List_Table3411151091113171814[[#This Row],[KG]]*2.20462)</f>
        <v xml:space="preserve"> </v>
      </c>
      <c r="O73" s="35" t="str">
        <f>IF(Inventory_List_Table3411151091113171814[[#This Row],[Q]]&lt;0.1, " ",Inventory_List_Table3411151091113171814[[#This Row],[H CM]]/2.54)</f>
        <v xml:space="preserve"> </v>
      </c>
      <c r="P73" s="35" t="str">
        <f>IF(Inventory_List_Table3411151091113171814[[#This Row],[Q]]&lt;0.1, " ",Inventory_List_Table3411151091113171814[[#This Row],[W CM]]/2.54)</f>
        <v xml:space="preserve"> </v>
      </c>
      <c r="Q73" s="35" t="str">
        <f>IF(Inventory_List_Table3411151091113171814[[#This Row],[Q]]&lt;0.1, " ",Inventory_List_Table3411151091113171814[[#This Row],[D CM ]]/2.54)</f>
        <v xml:space="preserve"> </v>
      </c>
      <c r="R73" s="30" t="str">
        <f>IF(Inventory_List_Table3411151091113171814[[#This Row],[Q]]&lt;0.1, " ",Inventory_List_Table3411151091113171814[[#This Row],[PRICE]]/$L$1)</f>
        <v xml:space="preserve"> </v>
      </c>
      <c r="S7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3" s="30" t="str">
        <f>IF(Inventory_List_Table3411151091113171814[[#This Row],[Q]]&lt;0.1, " ",Inventory_List_Table3411151091113171814[[#This Row],[AQ RND USD]]*1.4)</f>
        <v xml:space="preserve"> </v>
      </c>
      <c r="U7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3" s="30" t="str">
        <f>IF(Inventory_List_Table3411151091113171814[[#This Row],[Q]]&lt;0.1, " ",Inventory_List_Table3411151091113171814[[#This Row],[LND RND USD]]*12)</f>
        <v xml:space="preserve"> </v>
      </c>
      <c r="W73" s="30" t="str">
        <f>IF(Inventory_List_Table3411151091113171814[[#This Row],[Q]]&lt;0.1, " ",Inventory_List_Table3411151091113171814[[#This Row],[AQ USD]])</f>
        <v xml:space="preserve"> </v>
      </c>
      <c r="X7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3" s="30" t="str">
        <f>IF(Inventory_List_Table3411151091113171814[[#This Row],[Q]]&lt;0.1, " ",Inventory_List_Table3411151091113171814[[#This Row],[PRICE]]/Z73*10000)</f>
        <v xml:space="preserve"> </v>
      </c>
      <c r="AB73" s="353"/>
      <c r="AC73" s="1"/>
      <c r="AD73" s="1"/>
    </row>
    <row r="74" spans="1:30" ht="24" customHeight="1" x14ac:dyDescent="0.3">
      <c r="A74" s="347">
        <v>72</v>
      </c>
      <c r="B74" s="1"/>
      <c r="C74" s="349"/>
      <c r="D74" s="349"/>
      <c r="E74" s="349"/>
      <c r="F74" s="38" t="str">
        <f>IF(Inventory_List_Table3411151091113171814[[#This Row],[Q]]&lt;0.1, " ",#REF!&amp;$D$1&amp;#REF!&amp;Inventory_List_Table3411151091113171814[[#This Row],[NOTES]])</f>
        <v xml:space="preserve"> </v>
      </c>
      <c r="G74" s="350"/>
      <c r="H74" s="350"/>
      <c r="I74" s="350"/>
      <c r="J74" s="350"/>
      <c r="K74" s="350"/>
      <c r="L74" s="352"/>
      <c r="M7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4" s="35" t="str">
        <f>IF(Inventory_List_Table3411151091113171814[[#This Row],[Q]]&lt;0.1, " ", Inventory_List_Table3411151091113171814[[#This Row],[KG]]*2.20462)</f>
        <v xml:space="preserve"> </v>
      </c>
      <c r="O74" s="35" t="str">
        <f>IF(Inventory_List_Table3411151091113171814[[#This Row],[Q]]&lt;0.1, " ",Inventory_List_Table3411151091113171814[[#This Row],[H CM]]/2.54)</f>
        <v xml:space="preserve"> </v>
      </c>
      <c r="P74" s="35" t="str">
        <f>IF(Inventory_List_Table3411151091113171814[[#This Row],[Q]]&lt;0.1, " ",Inventory_List_Table3411151091113171814[[#This Row],[W CM]]/2.54)</f>
        <v xml:space="preserve"> </v>
      </c>
      <c r="Q74" s="35" t="str">
        <f>IF(Inventory_List_Table3411151091113171814[[#This Row],[Q]]&lt;0.1, " ",Inventory_List_Table3411151091113171814[[#This Row],[D CM ]]/2.54)</f>
        <v xml:space="preserve"> </v>
      </c>
      <c r="R74" s="30" t="str">
        <f>IF(Inventory_List_Table3411151091113171814[[#This Row],[Q]]&lt;0.1, " ",Inventory_List_Table3411151091113171814[[#This Row],[PRICE]]/$L$1)</f>
        <v xml:space="preserve"> </v>
      </c>
      <c r="S7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4" s="30" t="str">
        <f>IF(Inventory_List_Table3411151091113171814[[#This Row],[Q]]&lt;0.1, " ",Inventory_List_Table3411151091113171814[[#This Row],[AQ RND USD]]*1.4)</f>
        <v xml:space="preserve"> </v>
      </c>
      <c r="U7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4" s="30" t="str">
        <f>IF(Inventory_List_Table3411151091113171814[[#This Row],[Q]]&lt;0.1, " ",Inventory_List_Table3411151091113171814[[#This Row],[LND RND USD]]*12)</f>
        <v xml:space="preserve"> </v>
      </c>
      <c r="W74" s="30" t="str">
        <f>IF(Inventory_List_Table3411151091113171814[[#This Row],[Q]]&lt;0.1, " ",Inventory_List_Table3411151091113171814[[#This Row],[AQ USD]])</f>
        <v xml:space="preserve"> </v>
      </c>
      <c r="X7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4" s="30" t="str">
        <f>IF(Inventory_List_Table3411151091113171814[[#This Row],[Q]]&lt;0.1, " ",Inventory_List_Table3411151091113171814[[#This Row],[PRICE]]/Z74*10000)</f>
        <v xml:space="preserve"> </v>
      </c>
      <c r="AB74" s="353"/>
      <c r="AC74" s="1"/>
      <c r="AD74" s="1"/>
    </row>
    <row r="75" spans="1:30" ht="24" customHeight="1" x14ac:dyDescent="0.3">
      <c r="A75" s="347">
        <v>73</v>
      </c>
      <c r="B75" s="1"/>
      <c r="C75" s="349"/>
      <c r="D75" s="349"/>
      <c r="E75" s="349"/>
      <c r="F75" s="38" t="str">
        <f>IF(Inventory_List_Table3411151091113171814[[#This Row],[Q]]&lt;0.1, " ",#REF!&amp;$D$1&amp;#REF!&amp;Inventory_List_Table3411151091113171814[[#This Row],[NOTES]])</f>
        <v xml:space="preserve"> </v>
      </c>
      <c r="G75" s="350"/>
      <c r="H75" s="350"/>
      <c r="I75" s="350"/>
      <c r="J75" s="350"/>
      <c r="K75" s="350"/>
      <c r="L75" s="352"/>
      <c r="M7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5" s="35" t="str">
        <f>IF(Inventory_List_Table3411151091113171814[[#This Row],[Q]]&lt;0.1, " ", Inventory_List_Table3411151091113171814[[#This Row],[KG]]*2.20462)</f>
        <v xml:space="preserve"> </v>
      </c>
      <c r="O75" s="35" t="str">
        <f>IF(Inventory_List_Table3411151091113171814[[#This Row],[Q]]&lt;0.1, " ",Inventory_List_Table3411151091113171814[[#This Row],[H CM]]/2.54)</f>
        <v xml:space="preserve"> </v>
      </c>
      <c r="P75" s="35" t="str">
        <f>IF(Inventory_List_Table3411151091113171814[[#This Row],[Q]]&lt;0.1, " ",Inventory_List_Table3411151091113171814[[#This Row],[W CM]]/2.54)</f>
        <v xml:space="preserve"> </v>
      </c>
      <c r="Q75" s="35" t="str">
        <f>IF(Inventory_List_Table3411151091113171814[[#This Row],[Q]]&lt;0.1, " ",Inventory_List_Table3411151091113171814[[#This Row],[D CM ]]/2.54)</f>
        <v xml:space="preserve"> </v>
      </c>
      <c r="R75" s="30" t="str">
        <f>IF(Inventory_List_Table3411151091113171814[[#This Row],[Q]]&lt;0.1, " ",Inventory_List_Table3411151091113171814[[#This Row],[PRICE]]/$L$1)</f>
        <v xml:space="preserve"> </v>
      </c>
      <c r="S7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5" s="30" t="str">
        <f>IF(Inventory_List_Table3411151091113171814[[#This Row],[Q]]&lt;0.1, " ",Inventory_List_Table3411151091113171814[[#This Row],[AQ RND USD]]*1.4)</f>
        <v xml:space="preserve"> </v>
      </c>
      <c r="U7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5" s="30" t="str">
        <f>IF(Inventory_List_Table3411151091113171814[[#This Row],[Q]]&lt;0.1, " ",Inventory_List_Table3411151091113171814[[#This Row],[LND RND USD]]*12)</f>
        <v xml:space="preserve"> </v>
      </c>
      <c r="W75" s="30" t="str">
        <f>IF(Inventory_List_Table3411151091113171814[[#This Row],[Q]]&lt;0.1, " ",Inventory_List_Table3411151091113171814[[#This Row],[AQ USD]])</f>
        <v xml:space="preserve"> </v>
      </c>
      <c r="X7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5" s="30" t="str">
        <f>IF(Inventory_List_Table3411151091113171814[[#This Row],[Q]]&lt;0.1, " ",Inventory_List_Table3411151091113171814[[#This Row],[PRICE]]/Z75*10000)</f>
        <v xml:space="preserve"> </v>
      </c>
      <c r="AB75" s="353"/>
      <c r="AC75" s="1"/>
      <c r="AD75" s="1"/>
    </row>
    <row r="76" spans="1:30" ht="24" customHeight="1" x14ac:dyDescent="0.3">
      <c r="A76" s="347">
        <v>74</v>
      </c>
      <c r="B76" s="1"/>
      <c r="C76" s="349"/>
      <c r="D76" s="349"/>
      <c r="E76" s="349"/>
      <c r="F76" s="38" t="str">
        <f>IF(Inventory_List_Table3411151091113171814[[#This Row],[Q]]&lt;0.1, " ",#REF!&amp;$D$1&amp;#REF!&amp;Inventory_List_Table3411151091113171814[[#This Row],[NOTES]])</f>
        <v xml:space="preserve"> </v>
      </c>
      <c r="G76" s="350"/>
      <c r="H76" s="350"/>
      <c r="I76" s="350"/>
      <c r="J76" s="350"/>
      <c r="K76" s="350"/>
      <c r="L76" s="352"/>
      <c r="M7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6" s="35" t="str">
        <f>IF(Inventory_List_Table3411151091113171814[[#This Row],[Q]]&lt;0.1, " ", Inventory_List_Table3411151091113171814[[#This Row],[KG]]*2.20462)</f>
        <v xml:space="preserve"> </v>
      </c>
      <c r="O76" s="35" t="str">
        <f>IF(Inventory_List_Table3411151091113171814[[#This Row],[Q]]&lt;0.1, " ",Inventory_List_Table3411151091113171814[[#This Row],[H CM]]/2.54)</f>
        <v xml:space="preserve"> </v>
      </c>
      <c r="P76" s="35" t="str">
        <f>IF(Inventory_List_Table3411151091113171814[[#This Row],[Q]]&lt;0.1, " ",Inventory_List_Table3411151091113171814[[#This Row],[W CM]]/2.54)</f>
        <v xml:space="preserve"> </v>
      </c>
      <c r="Q76" s="35" t="str">
        <f>IF(Inventory_List_Table3411151091113171814[[#This Row],[Q]]&lt;0.1, " ",Inventory_List_Table3411151091113171814[[#This Row],[D CM ]]/2.54)</f>
        <v xml:space="preserve"> </v>
      </c>
      <c r="R76" s="30" t="str">
        <f>IF(Inventory_List_Table3411151091113171814[[#This Row],[Q]]&lt;0.1, " ",Inventory_List_Table3411151091113171814[[#This Row],[PRICE]]/$L$1)</f>
        <v xml:space="preserve"> </v>
      </c>
      <c r="S7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6" s="30" t="str">
        <f>IF(Inventory_List_Table3411151091113171814[[#This Row],[Q]]&lt;0.1, " ",Inventory_List_Table3411151091113171814[[#This Row],[AQ RND USD]]*1.4)</f>
        <v xml:space="preserve"> </v>
      </c>
      <c r="U7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6" s="30" t="str">
        <f>IF(Inventory_List_Table3411151091113171814[[#This Row],[Q]]&lt;0.1, " ",Inventory_List_Table3411151091113171814[[#This Row],[LND RND USD]]*12)</f>
        <v xml:space="preserve"> </v>
      </c>
      <c r="W76" s="30" t="str">
        <f>IF(Inventory_List_Table3411151091113171814[[#This Row],[Q]]&lt;0.1, " ",Inventory_List_Table3411151091113171814[[#This Row],[AQ USD]])</f>
        <v xml:space="preserve"> </v>
      </c>
      <c r="X7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6" s="30" t="str">
        <f>IF(Inventory_List_Table3411151091113171814[[#This Row],[Q]]&lt;0.1, " ",Inventory_List_Table3411151091113171814[[#This Row],[PRICE]]/Z76*10000)</f>
        <v xml:space="preserve"> </v>
      </c>
      <c r="AB76" s="353"/>
      <c r="AC76" s="1"/>
      <c r="AD76" s="1"/>
    </row>
    <row r="77" spans="1:30" ht="24" customHeight="1" x14ac:dyDescent="0.3">
      <c r="A77" s="347">
        <v>75</v>
      </c>
      <c r="B77" s="1"/>
      <c r="C77" s="349"/>
      <c r="D77" s="349"/>
      <c r="E77" s="349"/>
      <c r="F77" s="38" t="str">
        <f>IF(Inventory_List_Table3411151091113171814[[#This Row],[Q]]&lt;0.1, " ",#REF!&amp;$D$1&amp;#REF!&amp;Inventory_List_Table3411151091113171814[[#This Row],[NOTES]])</f>
        <v xml:space="preserve"> </v>
      </c>
      <c r="G77" s="350"/>
      <c r="H77" s="350"/>
      <c r="I77" s="350"/>
      <c r="J77" s="350"/>
      <c r="K77" s="350"/>
      <c r="L77" s="352"/>
      <c r="M7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7" s="35" t="str">
        <f>IF(Inventory_List_Table3411151091113171814[[#This Row],[Q]]&lt;0.1, " ", Inventory_List_Table3411151091113171814[[#This Row],[KG]]*2.20462)</f>
        <v xml:space="preserve"> </v>
      </c>
      <c r="O77" s="35" t="str">
        <f>IF(Inventory_List_Table3411151091113171814[[#This Row],[Q]]&lt;0.1, " ",Inventory_List_Table3411151091113171814[[#This Row],[H CM]]/2.54)</f>
        <v xml:space="preserve"> </v>
      </c>
      <c r="P77" s="35" t="str">
        <f>IF(Inventory_List_Table3411151091113171814[[#This Row],[Q]]&lt;0.1, " ",Inventory_List_Table3411151091113171814[[#This Row],[W CM]]/2.54)</f>
        <v xml:space="preserve"> </v>
      </c>
      <c r="Q77" s="35" t="str">
        <f>IF(Inventory_List_Table3411151091113171814[[#This Row],[Q]]&lt;0.1, " ",Inventory_List_Table3411151091113171814[[#This Row],[D CM ]]/2.54)</f>
        <v xml:space="preserve"> </v>
      </c>
      <c r="R77" s="30" t="str">
        <f>IF(Inventory_List_Table3411151091113171814[[#This Row],[Q]]&lt;0.1, " ",Inventory_List_Table3411151091113171814[[#This Row],[PRICE]]/$L$1)</f>
        <v xml:space="preserve"> </v>
      </c>
      <c r="S7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7" s="30" t="str">
        <f>IF(Inventory_List_Table3411151091113171814[[#This Row],[Q]]&lt;0.1, " ",Inventory_List_Table3411151091113171814[[#This Row],[AQ RND USD]]*1.4)</f>
        <v xml:space="preserve"> </v>
      </c>
      <c r="U7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7" s="30" t="str">
        <f>IF(Inventory_List_Table3411151091113171814[[#This Row],[Q]]&lt;0.1, " ",Inventory_List_Table3411151091113171814[[#This Row],[LND RND USD]]*12)</f>
        <v xml:space="preserve"> </v>
      </c>
      <c r="W77" s="30" t="str">
        <f>IF(Inventory_List_Table3411151091113171814[[#This Row],[Q]]&lt;0.1, " ",Inventory_List_Table3411151091113171814[[#This Row],[AQ USD]])</f>
        <v xml:space="preserve"> </v>
      </c>
      <c r="X7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7" s="30" t="str">
        <f>IF(Inventory_List_Table3411151091113171814[[#This Row],[Q]]&lt;0.1, " ",Inventory_List_Table3411151091113171814[[#This Row],[PRICE]]/Z77*10000)</f>
        <v xml:space="preserve"> </v>
      </c>
      <c r="AB77" s="353"/>
      <c r="AC77" s="1"/>
      <c r="AD77" s="1"/>
    </row>
    <row r="78" spans="1:30" ht="24" customHeight="1" x14ac:dyDescent="0.3">
      <c r="A78" s="347">
        <v>76</v>
      </c>
      <c r="B78" s="1"/>
      <c r="C78" s="349"/>
      <c r="D78" s="349"/>
      <c r="E78" s="349"/>
      <c r="F78" s="38" t="str">
        <f>IF(Inventory_List_Table3411151091113171814[[#This Row],[Q]]&lt;0.1, " ",#REF!&amp;$D$1&amp;#REF!&amp;Inventory_List_Table3411151091113171814[[#This Row],[NOTES]])</f>
        <v xml:space="preserve"> </v>
      </c>
      <c r="G78" s="350"/>
      <c r="H78" s="350"/>
      <c r="I78" s="350"/>
      <c r="J78" s="350"/>
      <c r="K78" s="350"/>
      <c r="L78" s="352"/>
      <c r="M7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8" s="35" t="str">
        <f>IF(Inventory_List_Table3411151091113171814[[#This Row],[Q]]&lt;0.1, " ", Inventory_List_Table3411151091113171814[[#This Row],[KG]]*2.20462)</f>
        <v xml:space="preserve"> </v>
      </c>
      <c r="O78" s="35" t="str">
        <f>IF(Inventory_List_Table3411151091113171814[[#This Row],[Q]]&lt;0.1, " ",Inventory_List_Table3411151091113171814[[#This Row],[H CM]]/2.54)</f>
        <v xml:space="preserve"> </v>
      </c>
      <c r="P78" s="35" t="str">
        <f>IF(Inventory_List_Table3411151091113171814[[#This Row],[Q]]&lt;0.1, " ",Inventory_List_Table3411151091113171814[[#This Row],[W CM]]/2.54)</f>
        <v xml:space="preserve"> </v>
      </c>
      <c r="Q78" s="35" t="str">
        <f>IF(Inventory_List_Table3411151091113171814[[#This Row],[Q]]&lt;0.1, " ",Inventory_List_Table3411151091113171814[[#This Row],[D CM ]]/2.54)</f>
        <v xml:space="preserve"> </v>
      </c>
      <c r="R78" s="30" t="str">
        <f>IF(Inventory_List_Table3411151091113171814[[#This Row],[Q]]&lt;0.1, " ",Inventory_List_Table3411151091113171814[[#This Row],[PRICE]]/$L$1)</f>
        <v xml:space="preserve"> </v>
      </c>
      <c r="S7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8" s="30" t="str">
        <f>IF(Inventory_List_Table3411151091113171814[[#This Row],[Q]]&lt;0.1, " ",Inventory_List_Table3411151091113171814[[#This Row],[AQ RND USD]]*1.4)</f>
        <v xml:space="preserve"> </v>
      </c>
      <c r="U7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8" s="30" t="str">
        <f>IF(Inventory_List_Table3411151091113171814[[#This Row],[Q]]&lt;0.1, " ",Inventory_List_Table3411151091113171814[[#This Row],[LND RND USD]]*12)</f>
        <v xml:space="preserve"> </v>
      </c>
      <c r="W78" s="30" t="str">
        <f>IF(Inventory_List_Table3411151091113171814[[#This Row],[Q]]&lt;0.1, " ",Inventory_List_Table3411151091113171814[[#This Row],[AQ USD]])</f>
        <v xml:space="preserve"> </v>
      </c>
      <c r="X7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8" s="30" t="str">
        <f>IF(Inventory_List_Table3411151091113171814[[#This Row],[Q]]&lt;0.1, " ",Inventory_List_Table3411151091113171814[[#This Row],[PRICE]]/Z78*10000)</f>
        <v xml:space="preserve"> </v>
      </c>
      <c r="AB78" s="353"/>
      <c r="AC78" s="1"/>
      <c r="AD78" s="1"/>
    </row>
    <row r="79" spans="1:30" ht="24" customHeight="1" x14ac:dyDescent="0.3">
      <c r="A79" s="347">
        <v>77</v>
      </c>
      <c r="B79" s="1"/>
      <c r="C79" s="349"/>
      <c r="D79" s="349"/>
      <c r="E79" s="349"/>
      <c r="F79" s="38" t="str">
        <f>IF(Inventory_List_Table3411151091113171814[[#This Row],[Q]]&lt;0.1, " ",#REF!&amp;$D$1&amp;#REF!&amp;Inventory_List_Table3411151091113171814[[#This Row],[NOTES]])</f>
        <v xml:space="preserve"> </v>
      </c>
      <c r="G79" s="350"/>
      <c r="H79" s="350"/>
      <c r="I79" s="350"/>
      <c r="J79" s="350"/>
      <c r="K79" s="350"/>
      <c r="L79" s="352"/>
      <c r="M7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79" s="35" t="str">
        <f>IF(Inventory_List_Table3411151091113171814[[#This Row],[Q]]&lt;0.1, " ", Inventory_List_Table3411151091113171814[[#This Row],[KG]]*2.20462)</f>
        <v xml:space="preserve"> </v>
      </c>
      <c r="O79" s="35" t="str">
        <f>IF(Inventory_List_Table3411151091113171814[[#This Row],[Q]]&lt;0.1, " ",Inventory_List_Table3411151091113171814[[#This Row],[H CM]]/2.54)</f>
        <v xml:space="preserve"> </v>
      </c>
      <c r="P79" s="35" t="str">
        <f>IF(Inventory_List_Table3411151091113171814[[#This Row],[Q]]&lt;0.1, " ",Inventory_List_Table3411151091113171814[[#This Row],[W CM]]/2.54)</f>
        <v xml:space="preserve"> </v>
      </c>
      <c r="Q79" s="35" t="str">
        <f>IF(Inventory_List_Table3411151091113171814[[#This Row],[Q]]&lt;0.1, " ",Inventory_List_Table3411151091113171814[[#This Row],[D CM ]]/2.54)</f>
        <v xml:space="preserve"> </v>
      </c>
      <c r="R79" s="30" t="str">
        <f>IF(Inventory_List_Table3411151091113171814[[#This Row],[Q]]&lt;0.1, " ",Inventory_List_Table3411151091113171814[[#This Row],[PRICE]]/$L$1)</f>
        <v xml:space="preserve"> </v>
      </c>
      <c r="S7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79" s="30" t="str">
        <f>IF(Inventory_List_Table3411151091113171814[[#This Row],[Q]]&lt;0.1, " ",Inventory_List_Table3411151091113171814[[#This Row],[AQ RND USD]]*1.4)</f>
        <v xml:space="preserve"> </v>
      </c>
      <c r="U7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79" s="30" t="str">
        <f>IF(Inventory_List_Table3411151091113171814[[#This Row],[Q]]&lt;0.1, " ",Inventory_List_Table3411151091113171814[[#This Row],[LND RND USD]]*12)</f>
        <v xml:space="preserve"> </v>
      </c>
      <c r="W79" s="30" t="str">
        <f>IF(Inventory_List_Table3411151091113171814[[#This Row],[Q]]&lt;0.1, " ",Inventory_List_Table3411151091113171814[[#This Row],[AQ USD]])</f>
        <v xml:space="preserve"> </v>
      </c>
      <c r="X7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7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7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79" s="30" t="str">
        <f>IF(Inventory_List_Table3411151091113171814[[#This Row],[Q]]&lt;0.1, " ",Inventory_List_Table3411151091113171814[[#This Row],[PRICE]]/Z79*10000)</f>
        <v xml:space="preserve"> </v>
      </c>
      <c r="AB79" s="353"/>
      <c r="AC79" s="1"/>
      <c r="AD79" s="1"/>
    </row>
    <row r="80" spans="1:30" ht="24" customHeight="1" x14ac:dyDescent="0.3">
      <c r="A80" s="347">
        <v>78</v>
      </c>
      <c r="B80" s="1"/>
      <c r="C80" s="349"/>
      <c r="D80" s="349"/>
      <c r="E80" s="349"/>
      <c r="F80" s="38" t="str">
        <f>IF(Inventory_List_Table3411151091113171814[[#This Row],[Q]]&lt;0.1, " ",#REF!&amp;$D$1&amp;#REF!&amp;Inventory_List_Table3411151091113171814[[#This Row],[NOTES]])</f>
        <v xml:space="preserve"> </v>
      </c>
      <c r="G80" s="350"/>
      <c r="H80" s="350"/>
      <c r="I80" s="350"/>
      <c r="J80" s="350"/>
      <c r="K80" s="350"/>
      <c r="L80" s="352"/>
      <c r="M8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0" s="35" t="str">
        <f>IF(Inventory_List_Table3411151091113171814[[#This Row],[Q]]&lt;0.1, " ", Inventory_List_Table3411151091113171814[[#This Row],[KG]]*2.20462)</f>
        <v xml:space="preserve"> </v>
      </c>
      <c r="O80" s="35" t="str">
        <f>IF(Inventory_List_Table3411151091113171814[[#This Row],[Q]]&lt;0.1, " ",Inventory_List_Table3411151091113171814[[#This Row],[H CM]]/2.54)</f>
        <v xml:space="preserve"> </v>
      </c>
      <c r="P80" s="35" t="str">
        <f>IF(Inventory_List_Table3411151091113171814[[#This Row],[Q]]&lt;0.1, " ",Inventory_List_Table3411151091113171814[[#This Row],[W CM]]/2.54)</f>
        <v xml:space="preserve"> </v>
      </c>
      <c r="Q80" s="35" t="str">
        <f>IF(Inventory_List_Table3411151091113171814[[#This Row],[Q]]&lt;0.1, " ",Inventory_List_Table3411151091113171814[[#This Row],[D CM ]]/2.54)</f>
        <v xml:space="preserve"> </v>
      </c>
      <c r="R80" s="30" t="str">
        <f>IF(Inventory_List_Table3411151091113171814[[#This Row],[Q]]&lt;0.1, " ",Inventory_List_Table3411151091113171814[[#This Row],[PRICE]]/$L$1)</f>
        <v xml:space="preserve"> </v>
      </c>
      <c r="S8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0" s="30" t="str">
        <f>IF(Inventory_List_Table3411151091113171814[[#This Row],[Q]]&lt;0.1, " ",Inventory_List_Table3411151091113171814[[#This Row],[AQ RND USD]]*1.4)</f>
        <v xml:space="preserve"> </v>
      </c>
      <c r="U8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0" s="30" t="str">
        <f>IF(Inventory_List_Table3411151091113171814[[#This Row],[Q]]&lt;0.1, " ",Inventory_List_Table3411151091113171814[[#This Row],[LND RND USD]]*12)</f>
        <v xml:space="preserve"> </v>
      </c>
      <c r="W80" s="30" t="str">
        <f>IF(Inventory_List_Table3411151091113171814[[#This Row],[Q]]&lt;0.1, " ",Inventory_List_Table3411151091113171814[[#This Row],[AQ USD]])</f>
        <v xml:space="preserve"> </v>
      </c>
      <c r="X8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0" s="30" t="str">
        <f>IF(Inventory_List_Table3411151091113171814[[#This Row],[Q]]&lt;0.1, " ",Inventory_List_Table3411151091113171814[[#This Row],[PRICE]]/Z80*10000)</f>
        <v xml:space="preserve"> </v>
      </c>
      <c r="AB80" s="353"/>
      <c r="AC80" s="1"/>
      <c r="AD80" s="1"/>
    </row>
    <row r="81" spans="1:30" ht="24" customHeight="1" x14ac:dyDescent="0.3">
      <c r="A81" s="347">
        <v>79</v>
      </c>
      <c r="B81" s="1"/>
      <c r="C81" s="349"/>
      <c r="D81" s="349"/>
      <c r="E81" s="349"/>
      <c r="F81" s="38" t="str">
        <f>IF(Inventory_List_Table3411151091113171814[[#This Row],[Q]]&lt;0.1, " ",#REF!&amp;$D$1&amp;#REF!&amp;Inventory_List_Table3411151091113171814[[#This Row],[NOTES]])</f>
        <v xml:space="preserve"> </v>
      </c>
      <c r="G81" s="350"/>
      <c r="H81" s="350"/>
      <c r="I81" s="350"/>
      <c r="J81" s="350"/>
      <c r="K81" s="350"/>
      <c r="L81" s="352"/>
      <c r="M8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1" s="35" t="str">
        <f>IF(Inventory_List_Table3411151091113171814[[#This Row],[Q]]&lt;0.1, " ", Inventory_List_Table3411151091113171814[[#This Row],[KG]]*2.20462)</f>
        <v xml:space="preserve"> </v>
      </c>
      <c r="O81" s="35" t="str">
        <f>IF(Inventory_List_Table3411151091113171814[[#This Row],[Q]]&lt;0.1, " ",Inventory_List_Table3411151091113171814[[#This Row],[H CM]]/2.54)</f>
        <v xml:space="preserve"> </v>
      </c>
      <c r="P81" s="35" t="str">
        <f>IF(Inventory_List_Table3411151091113171814[[#This Row],[Q]]&lt;0.1, " ",Inventory_List_Table3411151091113171814[[#This Row],[W CM]]/2.54)</f>
        <v xml:space="preserve"> </v>
      </c>
      <c r="Q81" s="35" t="str">
        <f>IF(Inventory_List_Table3411151091113171814[[#This Row],[Q]]&lt;0.1, " ",Inventory_List_Table3411151091113171814[[#This Row],[D CM ]]/2.54)</f>
        <v xml:space="preserve"> </v>
      </c>
      <c r="R81" s="30" t="str">
        <f>IF(Inventory_List_Table3411151091113171814[[#This Row],[Q]]&lt;0.1, " ",Inventory_List_Table3411151091113171814[[#This Row],[PRICE]]/$L$1)</f>
        <v xml:space="preserve"> </v>
      </c>
      <c r="S8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1" s="30" t="str">
        <f>IF(Inventory_List_Table3411151091113171814[[#This Row],[Q]]&lt;0.1, " ",Inventory_List_Table3411151091113171814[[#This Row],[AQ RND USD]]*1.4)</f>
        <v xml:space="preserve"> </v>
      </c>
      <c r="U8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1" s="30" t="str">
        <f>IF(Inventory_List_Table3411151091113171814[[#This Row],[Q]]&lt;0.1, " ",Inventory_List_Table3411151091113171814[[#This Row],[LND RND USD]]*12)</f>
        <v xml:space="preserve"> </v>
      </c>
      <c r="W81" s="30" t="str">
        <f>IF(Inventory_List_Table3411151091113171814[[#This Row],[Q]]&lt;0.1, " ",Inventory_List_Table3411151091113171814[[#This Row],[AQ USD]])</f>
        <v xml:space="preserve"> </v>
      </c>
      <c r="X8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1" s="30" t="str">
        <f>IF(Inventory_List_Table3411151091113171814[[#This Row],[Q]]&lt;0.1, " ",Inventory_List_Table3411151091113171814[[#This Row],[PRICE]]/Z81*10000)</f>
        <v xml:space="preserve"> </v>
      </c>
      <c r="AB81" s="353"/>
      <c r="AC81" s="1"/>
      <c r="AD81" s="1"/>
    </row>
    <row r="82" spans="1:30" ht="24" customHeight="1" x14ac:dyDescent="0.3">
      <c r="A82" s="347">
        <v>80</v>
      </c>
      <c r="B82" s="1"/>
      <c r="C82" s="349"/>
      <c r="D82" s="349"/>
      <c r="E82" s="349"/>
      <c r="F82" s="38" t="str">
        <f>IF(Inventory_List_Table3411151091113171814[[#This Row],[Q]]&lt;0.1, " ",#REF!&amp;$D$1&amp;#REF!&amp;Inventory_List_Table3411151091113171814[[#This Row],[NOTES]])</f>
        <v xml:space="preserve"> </v>
      </c>
      <c r="G82" s="350"/>
      <c r="H82" s="350"/>
      <c r="I82" s="350"/>
      <c r="J82" s="350"/>
      <c r="K82" s="350"/>
      <c r="L82" s="352"/>
      <c r="M8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2" s="35" t="str">
        <f>IF(Inventory_List_Table3411151091113171814[[#This Row],[Q]]&lt;0.1, " ", Inventory_List_Table3411151091113171814[[#This Row],[KG]]*2.20462)</f>
        <v xml:space="preserve"> </v>
      </c>
      <c r="O82" s="35" t="str">
        <f>IF(Inventory_List_Table3411151091113171814[[#This Row],[Q]]&lt;0.1, " ",Inventory_List_Table3411151091113171814[[#This Row],[H CM]]/2.54)</f>
        <v xml:space="preserve"> </v>
      </c>
      <c r="P82" s="35" t="str">
        <f>IF(Inventory_List_Table3411151091113171814[[#This Row],[Q]]&lt;0.1, " ",Inventory_List_Table3411151091113171814[[#This Row],[W CM]]/2.54)</f>
        <v xml:space="preserve"> </v>
      </c>
      <c r="Q82" s="35" t="str">
        <f>IF(Inventory_List_Table3411151091113171814[[#This Row],[Q]]&lt;0.1, " ",Inventory_List_Table3411151091113171814[[#This Row],[D CM ]]/2.54)</f>
        <v xml:space="preserve"> </v>
      </c>
      <c r="R82" s="30" t="str">
        <f>IF(Inventory_List_Table3411151091113171814[[#This Row],[Q]]&lt;0.1, " ",Inventory_List_Table3411151091113171814[[#This Row],[PRICE]]/$L$1)</f>
        <v xml:space="preserve"> </v>
      </c>
      <c r="S8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2" s="30" t="str">
        <f>IF(Inventory_List_Table3411151091113171814[[#This Row],[Q]]&lt;0.1, " ",Inventory_List_Table3411151091113171814[[#This Row],[AQ RND USD]]*1.4)</f>
        <v xml:space="preserve"> </v>
      </c>
      <c r="U8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2" s="30" t="str">
        <f>IF(Inventory_List_Table3411151091113171814[[#This Row],[Q]]&lt;0.1, " ",Inventory_List_Table3411151091113171814[[#This Row],[LND RND USD]]*12)</f>
        <v xml:space="preserve"> </v>
      </c>
      <c r="W82" s="30" t="str">
        <f>IF(Inventory_List_Table3411151091113171814[[#This Row],[Q]]&lt;0.1, " ",Inventory_List_Table3411151091113171814[[#This Row],[AQ USD]])</f>
        <v xml:space="preserve"> </v>
      </c>
      <c r="X8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2" s="30" t="str">
        <f>IF(Inventory_List_Table3411151091113171814[[#This Row],[Q]]&lt;0.1, " ",Inventory_List_Table3411151091113171814[[#This Row],[PRICE]]/Z82*10000)</f>
        <v xml:space="preserve"> </v>
      </c>
      <c r="AB82" s="353"/>
      <c r="AC82" s="1"/>
      <c r="AD82" s="1"/>
    </row>
    <row r="83" spans="1:30" ht="24" customHeight="1" x14ac:dyDescent="0.3">
      <c r="A83" s="347">
        <v>81</v>
      </c>
      <c r="B83" s="1"/>
      <c r="C83" s="349"/>
      <c r="D83" s="349"/>
      <c r="E83" s="349"/>
      <c r="F83" s="38" t="str">
        <f>IF(Inventory_List_Table3411151091113171814[[#This Row],[Q]]&lt;0.1, " ",#REF!&amp;$D$1&amp;#REF!&amp;Inventory_List_Table3411151091113171814[[#This Row],[NOTES]])</f>
        <v xml:space="preserve"> </v>
      </c>
      <c r="G83" s="350"/>
      <c r="H83" s="350"/>
      <c r="I83" s="350"/>
      <c r="J83" s="350"/>
      <c r="K83" s="350"/>
      <c r="L83" s="352"/>
      <c r="M8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3" s="35" t="str">
        <f>IF(Inventory_List_Table3411151091113171814[[#This Row],[Q]]&lt;0.1, " ", Inventory_List_Table3411151091113171814[[#This Row],[KG]]*2.20462)</f>
        <v xml:space="preserve"> </v>
      </c>
      <c r="O83" s="35" t="str">
        <f>IF(Inventory_List_Table3411151091113171814[[#This Row],[Q]]&lt;0.1, " ",Inventory_List_Table3411151091113171814[[#This Row],[H CM]]/2.54)</f>
        <v xml:space="preserve"> </v>
      </c>
      <c r="P83" s="35" t="str">
        <f>IF(Inventory_List_Table3411151091113171814[[#This Row],[Q]]&lt;0.1, " ",Inventory_List_Table3411151091113171814[[#This Row],[W CM]]/2.54)</f>
        <v xml:space="preserve"> </v>
      </c>
      <c r="Q83" s="35" t="str">
        <f>IF(Inventory_List_Table3411151091113171814[[#This Row],[Q]]&lt;0.1, " ",Inventory_List_Table3411151091113171814[[#This Row],[D CM ]]/2.54)</f>
        <v xml:space="preserve"> </v>
      </c>
      <c r="R83" s="30" t="str">
        <f>IF(Inventory_List_Table3411151091113171814[[#This Row],[Q]]&lt;0.1, " ",Inventory_List_Table3411151091113171814[[#This Row],[PRICE]]/$L$1)</f>
        <v xml:space="preserve"> </v>
      </c>
      <c r="S8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3" s="30" t="str">
        <f>IF(Inventory_List_Table3411151091113171814[[#This Row],[Q]]&lt;0.1, " ",Inventory_List_Table3411151091113171814[[#This Row],[AQ RND USD]]*1.4)</f>
        <v xml:space="preserve"> </v>
      </c>
      <c r="U8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3" s="30" t="str">
        <f>IF(Inventory_List_Table3411151091113171814[[#This Row],[Q]]&lt;0.1, " ",Inventory_List_Table3411151091113171814[[#This Row],[LND RND USD]]*12)</f>
        <v xml:space="preserve"> </v>
      </c>
      <c r="W83" s="30" t="str">
        <f>IF(Inventory_List_Table3411151091113171814[[#This Row],[Q]]&lt;0.1, " ",Inventory_List_Table3411151091113171814[[#This Row],[AQ USD]])</f>
        <v xml:space="preserve"> </v>
      </c>
      <c r="X8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3" s="30" t="str">
        <f>IF(Inventory_List_Table3411151091113171814[[#This Row],[Q]]&lt;0.1, " ",Inventory_List_Table3411151091113171814[[#This Row],[PRICE]]/Z83*10000)</f>
        <v xml:space="preserve"> </v>
      </c>
      <c r="AB83" s="353"/>
      <c r="AC83" s="1"/>
      <c r="AD83" s="1"/>
    </row>
    <row r="84" spans="1:30" ht="24" customHeight="1" x14ac:dyDescent="0.3">
      <c r="A84" s="347">
        <v>82</v>
      </c>
      <c r="B84" s="1"/>
      <c r="C84" s="349"/>
      <c r="D84" s="349"/>
      <c r="E84" s="349"/>
      <c r="F84" s="38" t="str">
        <f>IF(Inventory_List_Table3411151091113171814[[#This Row],[Q]]&lt;0.1, " ",#REF!&amp;$D$1&amp;#REF!&amp;Inventory_List_Table3411151091113171814[[#This Row],[NOTES]])</f>
        <v xml:space="preserve"> </v>
      </c>
      <c r="G84" s="350"/>
      <c r="H84" s="350"/>
      <c r="I84" s="350"/>
      <c r="J84" s="350"/>
      <c r="K84" s="350"/>
      <c r="L84" s="352"/>
      <c r="M8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4" s="35" t="str">
        <f>IF(Inventory_List_Table3411151091113171814[[#This Row],[Q]]&lt;0.1, " ", Inventory_List_Table3411151091113171814[[#This Row],[KG]]*2.20462)</f>
        <v xml:space="preserve"> </v>
      </c>
      <c r="O84" s="35" t="str">
        <f>IF(Inventory_List_Table3411151091113171814[[#This Row],[Q]]&lt;0.1, " ",Inventory_List_Table3411151091113171814[[#This Row],[H CM]]/2.54)</f>
        <v xml:space="preserve"> </v>
      </c>
      <c r="P84" s="35" t="str">
        <f>IF(Inventory_List_Table3411151091113171814[[#This Row],[Q]]&lt;0.1, " ",Inventory_List_Table3411151091113171814[[#This Row],[W CM]]/2.54)</f>
        <v xml:space="preserve"> </v>
      </c>
      <c r="Q84" s="35" t="str">
        <f>IF(Inventory_List_Table3411151091113171814[[#This Row],[Q]]&lt;0.1, " ",Inventory_List_Table3411151091113171814[[#This Row],[D CM ]]/2.54)</f>
        <v xml:space="preserve"> </v>
      </c>
      <c r="R84" s="30" t="str">
        <f>IF(Inventory_List_Table3411151091113171814[[#This Row],[Q]]&lt;0.1, " ",Inventory_List_Table3411151091113171814[[#This Row],[PRICE]]/$L$1)</f>
        <v xml:space="preserve"> </v>
      </c>
      <c r="S8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4" s="30" t="str">
        <f>IF(Inventory_List_Table3411151091113171814[[#This Row],[Q]]&lt;0.1, " ",Inventory_List_Table3411151091113171814[[#This Row],[AQ RND USD]]*1.4)</f>
        <v xml:space="preserve"> </v>
      </c>
      <c r="U8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4" s="30" t="str">
        <f>IF(Inventory_List_Table3411151091113171814[[#This Row],[Q]]&lt;0.1, " ",Inventory_List_Table3411151091113171814[[#This Row],[LND RND USD]]*12)</f>
        <v xml:space="preserve"> </v>
      </c>
      <c r="W84" s="30" t="str">
        <f>IF(Inventory_List_Table3411151091113171814[[#This Row],[Q]]&lt;0.1, " ",Inventory_List_Table3411151091113171814[[#This Row],[AQ USD]])</f>
        <v xml:space="preserve"> </v>
      </c>
      <c r="X8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4" s="30" t="str">
        <f>IF(Inventory_List_Table3411151091113171814[[#This Row],[Q]]&lt;0.1, " ",Inventory_List_Table3411151091113171814[[#This Row],[PRICE]]/Z84*10000)</f>
        <v xml:space="preserve"> </v>
      </c>
      <c r="AB84" s="353"/>
      <c r="AC84" s="1"/>
      <c r="AD84" s="1"/>
    </row>
    <row r="85" spans="1:30" ht="24" customHeight="1" x14ac:dyDescent="0.3">
      <c r="A85" s="347">
        <v>83</v>
      </c>
      <c r="B85" s="1"/>
      <c r="C85" s="349"/>
      <c r="D85" s="349"/>
      <c r="E85" s="349"/>
      <c r="F85" s="38" t="str">
        <f>IF(Inventory_List_Table3411151091113171814[[#This Row],[Q]]&lt;0.1, " ",#REF!&amp;$D$1&amp;#REF!&amp;Inventory_List_Table3411151091113171814[[#This Row],[NOTES]])</f>
        <v xml:space="preserve"> </v>
      </c>
      <c r="G85" s="350"/>
      <c r="H85" s="350"/>
      <c r="I85" s="350"/>
      <c r="J85" s="350"/>
      <c r="K85" s="350"/>
      <c r="L85" s="352"/>
      <c r="M8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5" s="35" t="str">
        <f>IF(Inventory_List_Table3411151091113171814[[#This Row],[Q]]&lt;0.1, " ", Inventory_List_Table3411151091113171814[[#This Row],[KG]]*2.20462)</f>
        <v xml:space="preserve"> </v>
      </c>
      <c r="O85" s="35" t="str">
        <f>IF(Inventory_List_Table3411151091113171814[[#This Row],[Q]]&lt;0.1, " ",Inventory_List_Table3411151091113171814[[#This Row],[H CM]]/2.54)</f>
        <v xml:space="preserve"> </v>
      </c>
      <c r="P85" s="35" t="str">
        <f>IF(Inventory_List_Table3411151091113171814[[#This Row],[Q]]&lt;0.1, " ",Inventory_List_Table3411151091113171814[[#This Row],[W CM]]/2.54)</f>
        <v xml:space="preserve"> </v>
      </c>
      <c r="Q85" s="35" t="str">
        <f>IF(Inventory_List_Table3411151091113171814[[#This Row],[Q]]&lt;0.1, " ",Inventory_List_Table3411151091113171814[[#This Row],[D CM ]]/2.54)</f>
        <v xml:space="preserve"> </v>
      </c>
      <c r="R85" s="30" t="str">
        <f>IF(Inventory_List_Table3411151091113171814[[#This Row],[Q]]&lt;0.1, " ",Inventory_List_Table3411151091113171814[[#This Row],[PRICE]]/$L$1)</f>
        <v xml:space="preserve"> </v>
      </c>
      <c r="S8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5" s="30" t="str">
        <f>IF(Inventory_List_Table3411151091113171814[[#This Row],[Q]]&lt;0.1, " ",Inventory_List_Table3411151091113171814[[#This Row],[AQ RND USD]]*1.4)</f>
        <v xml:space="preserve"> </v>
      </c>
      <c r="U8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5" s="30" t="str">
        <f>IF(Inventory_List_Table3411151091113171814[[#This Row],[Q]]&lt;0.1, " ",Inventory_List_Table3411151091113171814[[#This Row],[LND RND USD]]*12)</f>
        <v xml:space="preserve"> </v>
      </c>
      <c r="W85" s="30" t="str">
        <f>IF(Inventory_List_Table3411151091113171814[[#This Row],[Q]]&lt;0.1, " ",Inventory_List_Table3411151091113171814[[#This Row],[AQ USD]])</f>
        <v xml:space="preserve"> </v>
      </c>
      <c r="X8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5" s="30" t="str">
        <f>IF(Inventory_List_Table3411151091113171814[[#This Row],[Q]]&lt;0.1, " ",Inventory_List_Table3411151091113171814[[#This Row],[PRICE]]/Z85*10000)</f>
        <v xml:space="preserve"> </v>
      </c>
      <c r="AB85" s="353"/>
      <c r="AC85" s="1"/>
      <c r="AD85" s="1"/>
    </row>
    <row r="86" spans="1:30" ht="24" customHeight="1" x14ac:dyDescent="0.3">
      <c r="A86" s="347">
        <v>84</v>
      </c>
      <c r="B86" s="1"/>
      <c r="C86" s="349"/>
      <c r="D86" s="349"/>
      <c r="E86" s="349"/>
      <c r="F86" s="38" t="str">
        <f>IF(Inventory_List_Table3411151091113171814[[#This Row],[Q]]&lt;0.1, " ",#REF!&amp;$D$1&amp;#REF!&amp;Inventory_List_Table3411151091113171814[[#This Row],[NOTES]])</f>
        <v xml:space="preserve"> </v>
      </c>
      <c r="G86" s="350"/>
      <c r="H86" s="350"/>
      <c r="I86" s="350"/>
      <c r="J86" s="350"/>
      <c r="K86" s="350"/>
      <c r="L86" s="352"/>
      <c r="M8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6" s="35" t="str">
        <f>IF(Inventory_List_Table3411151091113171814[[#This Row],[Q]]&lt;0.1, " ", Inventory_List_Table3411151091113171814[[#This Row],[KG]]*2.20462)</f>
        <v xml:space="preserve"> </v>
      </c>
      <c r="O86" s="35" t="str">
        <f>IF(Inventory_List_Table3411151091113171814[[#This Row],[Q]]&lt;0.1, " ",Inventory_List_Table3411151091113171814[[#This Row],[H CM]]/2.54)</f>
        <v xml:space="preserve"> </v>
      </c>
      <c r="P86" s="35" t="str">
        <f>IF(Inventory_List_Table3411151091113171814[[#This Row],[Q]]&lt;0.1, " ",Inventory_List_Table3411151091113171814[[#This Row],[W CM]]/2.54)</f>
        <v xml:space="preserve"> </v>
      </c>
      <c r="Q86" s="35" t="str">
        <f>IF(Inventory_List_Table3411151091113171814[[#This Row],[Q]]&lt;0.1, " ",Inventory_List_Table3411151091113171814[[#This Row],[D CM ]]/2.54)</f>
        <v xml:space="preserve"> </v>
      </c>
      <c r="R86" s="30" t="str">
        <f>IF(Inventory_List_Table3411151091113171814[[#This Row],[Q]]&lt;0.1, " ",Inventory_List_Table3411151091113171814[[#This Row],[PRICE]]/$L$1)</f>
        <v xml:space="preserve"> </v>
      </c>
      <c r="S8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6" s="30" t="str">
        <f>IF(Inventory_List_Table3411151091113171814[[#This Row],[Q]]&lt;0.1, " ",Inventory_List_Table3411151091113171814[[#This Row],[AQ RND USD]]*1.4)</f>
        <v xml:space="preserve"> </v>
      </c>
      <c r="U8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6" s="30" t="str">
        <f>IF(Inventory_List_Table3411151091113171814[[#This Row],[Q]]&lt;0.1, " ",Inventory_List_Table3411151091113171814[[#This Row],[LND RND USD]]*12)</f>
        <v xml:space="preserve"> </v>
      </c>
      <c r="W86" s="30" t="str">
        <f>IF(Inventory_List_Table3411151091113171814[[#This Row],[Q]]&lt;0.1, " ",Inventory_List_Table3411151091113171814[[#This Row],[AQ USD]])</f>
        <v xml:space="preserve"> </v>
      </c>
      <c r="X8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6" s="30" t="str">
        <f>IF(Inventory_List_Table3411151091113171814[[#This Row],[Q]]&lt;0.1, " ",Inventory_List_Table3411151091113171814[[#This Row],[PRICE]]/Z86*10000)</f>
        <v xml:space="preserve"> </v>
      </c>
      <c r="AB86" s="353"/>
      <c r="AC86" s="1"/>
      <c r="AD86" s="1"/>
    </row>
    <row r="87" spans="1:30" ht="24" customHeight="1" x14ac:dyDescent="0.3">
      <c r="A87" s="347">
        <v>85</v>
      </c>
      <c r="B87" s="1"/>
      <c r="C87" s="349"/>
      <c r="D87" s="349"/>
      <c r="E87" s="349"/>
      <c r="F87" s="38" t="str">
        <f>IF(Inventory_List_Table3411151091113171814[[#This Row],[Q]]&lt;0.1, " ",#REF!&amp;$D$1&amp;#REF!&amp;Inventory_List_Table3411151091113171814[[#This Row],[NOTES]])</f>
        <v xml:space="preserve"> </v>
      </c>
      <c r="G87" s="350"/>
      <c r="H87" s="350"/>
      <c r="I87" s="350"/>
      <c r="J87" s="350"/>
      <c r="K87" s="350"/>
      <c r="L87" s="352"/>
      <c r="M8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7" s="35" t="str">
        <f>IF(Inventory_List_Table3411151091113171814[[#This Row],[Q]]&lt;0.1, " ", Inventory_List_Table3411151091113171814[[#This Row],[KG]]*2.20462)</f>
        <v xml:space="preserve"> </v>
      </c>
      <c r="O87" s="35" t="str">
        <f>IF(Inventory_List_Table3411151091113171814[[#This Row],[Q]]&lt;0.1, " ",Inventory_List_Table3411151091113171814[[#This Row],[H CM]]/2.54)</f>
        <v xml:space="preserve"> </v>
      </c>
      <c r="P87" s="35" t="str">
        <f>IF(Inventory_List_Table3411151091113171814[[#This Row],[Q]]&lt;0.1, " ",Inventory_List_Table3411151091113171814[[#This Row],[W CM]]/2.54)</f>
        <v xml:space="preserve"> </v>
      </c>
      <c r="Q87" s="35" t="str">
        <f>IF(Inventory_List_Table3411151091113171814[[#This Row],[Q]]&lt;0.1, " ",Inventory_List_Table3411151091113171814[[#This Row],[D CM ]]/2.54)</f>
        <v xml:space="preserve"> </v>
      </c>
      <c r="R87" s="30" t="str">
        <f>IF(Inventory_List_Table3411151091113171814[[#This Row],[Q]]&lt;0.1, " ",Inventory_List_Table3411151091113171814[[#This Row],[PRICE]]/$L$1)</f>
        <v xml:space="preserve"> </v>
      </c>
      <c r="S8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7" s="30" t="str">
        <f>IF(Inventory_List_Table3411151091113171814[[#This Row],[Q]]&lt;0.1, " ",Inventory_List_Table3411151091113171814[[#This Row],[AQ RND USD]]*1.4)</f>
        <v xml:space="preserve"> </v>
      </c>
      <c r="U8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7" s="30" t="str">
        <f>IF(Inventory_List_Table3411151091113171814[[#This Row],[Q]]&lt;0.1, " ",Inventory_List_Table3411151091113171814[[#This Row],[LND RND USD]]*12)</f>
        <v xml:space="preserve"> </v>
      </c>
      <c r="W87" s="30" t="str">
        <f>IF(Inventory_List_Table3411151091113171814[[#This Row],[Q]]&lt;0.1, " ",Inventory_List_Table3411151091113171814[[#This Row],[AQ USD]])</f>
        <v xml:space="preserve"> </v>
      </c>
      <c r="X8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7" s="30" t="str">
        <f>IF(Inventory_List_Table3411151091113171814[[#This Row],[Q]]&lt;0.1, " ",Inventory_List_Table3411151091113171814[[#This Row],[PRICE]]/Z87*10000)</f>
        <v xml:space="preserve"> </v>
      </c>
      <c r="AB87" s="353"/>
      <c r="AC87" s="1"/>
      <c r="AD87" s="1"/>
    </row>
    <row r="88" spans="1:30" ht="24" customHeight="1" x14ac:dyDescent="0.3">
      <c r="A88" s="347">
        <v>86</v>
      </c>
      <c r="B88" s="1"/>
      <c r="C88" s="349"/>
      <c r="D88" s="349"/>
      <c r="E88" s="349"/>
      <c r="F88" s="38" t="str">
        <f>IF(Inventory_List_Table3411151091113171814[[#This Row],[Q]]&lt;0.1, " ",#REF!&amp;$D$1&amp;#REF!&amp;Inventory_List_Table3411151091113171814[[#This Row],[NOTES]])</f>
        <v xml:space="preserve"> </v>
      </c>
      <c r="G88" s="350"/>
      <c r="H88" s="350"/>
      <c r="I88" s="350"/>
      <c r="J88" s="350"/>
      <c r="K88" s="350"/>
      <c r="L88" s="352"/>
      <c r="M8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8" s="35" t="str">
        <f>IF(Inventory_List_Table3411151091113171814[[#This Row],[Q]]&lt;0.1, " ", Inventory_List_Table3411151091113171814[[#This Row],[KG]]*2.20462)</f>
        <v xml:space="preserve"> </v>
      </c>
      <c r="O88" s="35" t="str">
        <f>IF(Inventory_List_Table3411151091113171814[[#This Row],[Q]]&lt;0.1, " ",Inventory_List_Table3411151091113171814[[#This Row],[H CM]]/2.54)</f>
        <v xml:space="preserve"> </v>
      </c>
      <c r="P88" s="35" t="str">
        <f>IF(Inventory_List_Table3411151091113171814[[#This Row],[Q]]&lt;0.1, " ",Inventory_List_Table3411151091113171814[[#This Row],[W CM]]/2.54)</f>
        <v xml:space="preserve"> </v>
      </c>
      <c r="Q88" s="35" t="str">
        <f>IF(Inventory_List_Table3411151091113171814[[#This Row],[Q]]&lt;0.1, " ",Inventory_List_Table3411151091113171814[[#This Row],[D CM ]]/2.54)</f>
        <v xml:space="preserve"> </v>
      </c>
      <c r="R88" s="30" t="str">
        <f>IF(Inventory_List_Table3411151091113171814[[#This Row],[Q]]&lt;0.1, " ",Inventory_List_Table3411151091113171814[[#This Row],[PRICE]]/$L$1)</f>
        <v xml:space="preserve"> </v>
      </c>
      <c r="S8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8" s="30" t="str">
        <f>IF(Inventory_List_Table3411151091113171814[[#This Row],[Q]]&lt;0.1, " ",Inventory_List_Table3411151091113171814[[#This Row],[AQ RND USD]]*1.4)</f>
        <v xml:space="preserve"> </v>
      </c>
      <c r="U8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8" s="30" t="str">
        <f>IF(Inventory_List_Table3411151091113171814[[#This Row],[Q]]&lt;0.1, " ",Inventory_List_Table3411151091113171814[[#This Row],[LND RND USD]]*12)</f>
        <v xml:space="preserve"> </v>
      </c>
      <c r="W88" s="30" t="str">
        <f>IF(Inventory_List_Table3411151091113171814[[#This Row],[Q]]&lt;0.1, " ",Inventory_List_Table3411151091113171814[[#This Row],[AQ USD]])</f>
        <v xml:space="preserve"> </v>
      </c>
      <c r="X8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8" s="30" t="str">
        <f>IF(Inventory_List_Table3411151091113171814[[#This Row],[Q]]&lt;0.1, " ",Inventory_List_Table3411151091113171814[[#This Row],[PRICE]]/Z88*10000)</f>
        <v xml:space="preserve"> </v>
      </c>
      <c r="AB88" s="353"/>
      <c r="AC88" s="1"/>
      <c r="AD88" s="1"/>
    </row>
    <row r="89" spans="1:30" ht="24" customHeight="1" x14ac:dyDescent="0.3">
      <c r="A89" s="347">
        <v>87</v>
      </c>
      <c r="B89" s="1"/>
      <c r="C89" s="349"/>
      <c r="D89" s="349"/>
      <c r="E89" s="349"/>
      <c r="F89" s="38" t="str">
        <f>IF(Inventory_List_Table3411151091113171814[[#This Row],[Q]]&lt;0.1, " ",#REF!&amp;$D$1&amp;#REF!&amp;Inventory_List_Table3411151091113171814[[#This Row],[NOTES]])</f>
        <v xml:space="preserve"> </v>
      </c>
      <c r="G89" s="350"/>
      <c r="H89" s="350"/>
      <c r="I89" s="350"/>
      <c r="J89" s="350"/>
      <c r="K89" s="350"/>
      <c r="L89" s="352"/>
      <c r="M8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89" s="35" t="str">
        <f>IF(Inventory_List_Table3411151091113171814[[#This Row],[Q]]&lt;0.1, " ", Inventory_List_Table3411151091113171814[[#This Row],[KG]]*2.20462)</f>
        <v xml:space="preserve"> </v>
      </c>
      <c r="O89" s="35" t="str">
        <f>IF(Inventory_List_Table3411151091113171814[[#This Row],[Q]]&lt;0.1, " ",Inventory_List_Table3411151091113171814[[#This Row],[H CM]]/2.54)</f>
        <v xml:space="preserve"> </v>
      </c>
      <c r="P89" s="35" t="str">
        <f>IF(Inventory_List_Table3411151091113171814[[#This Row],[Q]]&lt;0.1, " ",Inventory_List_Table3411151091113171814[[#This Row],[W CM]]/2.54)</f>
        <v xml:space="preserve"> </v>
      </c>
      <c r="Q89" s="35" t="str">
        <f>IF(Inventory_List_Table3411151091113171814[[#This Row],[Q]]&lt;0.1, " ",Inventory_List_Table3411151091113171814[[#This Row],[D CM ]]/2.54)</f>
        <v xml:space="preserve"> </v>
      </c>
      <c r="R89" s="30" t="str">
        <f>IF(Inventory_List_Table3411151091113171814[[#This Row],[Q]]&lt;0.1, " ",Inventory_List_Table3411151091113171814[[#This Row],[PRICE]]/$L$1)</f>
        <v xml:space="preserve"> </v>
      </c>
      <c r="S8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89" s="30" t="str">
        <f>IF(Inventory_List_Table3411151091113171814[[#This Row],[Q]]&lt;0.1, " ",Inventory_List_Table3411151091113171814[[#This Row],[AQ RND USD]]*1.4)</f>
        <v xml:space="preserve"> </v>
      </c>
      <c r="U8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89" s="30" t="str">
        <f>IF(Inventory_List_Table3411151091113171814[[#This Row],[Q]]&lt;0.1, " ",Inventory_List_Table3411151091113171814[[#This Row],[LND RND USD]]*12)</f>
        <v xml:space="preserve"> </v>
      </c>
      <c r="W89" s="30" t="str">
        <f>IF(Inventory_List_Table3411151091113171814[[#This Row],[Q]]&lt;0.1, " ",Inventory_List_Table3411151091113171814[[#This Row],[AQ USD]])</f>
        <v xml:space="preserve"> </v>
      </c>
      <c r="X8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8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8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89" s="30" t="str">
        <f>IF(Inventory_List_Table3411151091113171814[[#This Row],[Q]]&lt;0.1, " ",Inventory_List_Table3411151091113171814[[#This Row],[PRICE]]/Z89*10000)</f>
        <v xml:space="preserve"> </v>
      </c>
      <c r="AB89" s="353"/>
      <c r="AC89" s="1"/>
      <c r="AD89" s="1"/>
    </row>
    <row r="90" spans="1:30" ht="24" customHeight="1" x14ac:dyDescent="0.3">
      <c r="A90" s="347">
        <v>88</v>
      </c>
      <c r="B90" s="1"/>
      <c r="C90" s="349"/>
      <c r="D90" s="349"/>
      <c r="E90" s="349"/>
      <c r="F90" s="38" t="str">
        <f>IF(Inventory_List_Table3411151091113171814[[#This Row],[Q]]&lt;0.1, " ",#REF!&amp;$D$1&amp;#REF!&amp;Inventory_List_Table3411151091113171814[[#This Row],[NOTES]])</f>
        <v xml:space="preserve"> </v>
      </c>
      <c r="G90" s="350"/>
      <c r="H90" s="350"/>
      <c r="I90" s="350"/>
      <c r="J90" s="350"/>
      <c r="K90" s="350"/>
      <c r="L90" s="352"/>
      <c r="M9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0" s="35" t="str">
        <f>IF(Inventory_List_Table3411151091113171814[[#This Row],[Q]]&lt;0.1, " ", Inventory_List_Table3411151091113171814[[#This Row],[KG]]*2.20462)</f>
        <v xml:space="preserve"> </v>
      </c>
      <c r="O90" s="35" t="str">
        <f>IF(Inventory_List_Table3411151091113171814[[#This Row],[Q]]&lt;0.1, " ",Inventory_List_Table3411151091113171814[[#This Row],[H CM]]/2.54)</f>
        <v xml:space="preserve"> </v>
      </c>
      <c r="P90" s="35" t="str">
        <f>IF(Inventory_List_Table3411151091113171814[[#This Row],[Q]]&lt;0.1, " ",Inventory_List_Table3411151091113171814[[#This Row],[W CM]]/2.54)</f>
        <v xml:space="preserve"> </v>
      </c>
      <c r="Q90" s="35" t="str">
        <f>IF(Inventory_List_Table3411151091113171814[[#This Row],[Q]]&lt;0.1, " ",Inventory_List_Table3411151091113171814[[#This Row],[D CM ]]/2.54)</f>
        <v xml:space="preserve"> </v>
      </c>
      <c r="R90" s="30" t="str">
        <f>IF(Inventory_List_Table3411151091113171814[[#This Row],[Q]]&lt;0.1, " ",Inventory_List_Table3411151091113171814[[#This Row],[PRICE]]/$L$1)</f>
        <v xml:space="preserve"> </v>
      </c>
      <c r="S9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0" s="30" t="str">
        <f>IF(Inventory_List_Table3411151091113171814[[#This Row],[Q]]&lt;0.1, " ",Inventory_List_Table3411151091113171814[[#This Row],[AQ RND USD]]*1.4)</f>
        <v xml:space="preserve"> </v>
      </c>
      <c r="U9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0" s="30" t="str">
        <f>IF(Inventory_List_Table3411151091113171814[[#This Row],[Q]]&lt;0.1, " ",Inventory_List_Table3411151091113171814[[#This Row],[LND RND USD]]*12)</f>
        <v xml:space="preserve"> </v>
      </c>
      <c r="W90" s="30" t="str">
        <f>IF(Inventory_List_Table3411151091113171814[[#This Row],[Q]]&lt;0.1, " ",Inventory_List_Table3411151091113171814[[#This Row],[AQ USD]])</f>
        <v xml:space="preserve"> </v>
      </c>
      <c r="X9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0" s="30" t="str">
        <f>IF(Inventory_List_Table3411151091113171814[[#This Row],[Q]]&lt;0.1, " ",Inventory_List_Table3411151091113171814[[#This Row],[PRICE]]/Z90*10000)</f>
        <v xml:space="preserve"> </v>
      </c>
      <c r="AB90" s="353"/>
      <c r="AC90" s="1"/>
      <c r="AD90" s="1"/>
    </row>
    <row r="91" spans="1:30" ht="24" customHeight="1" x14ac:dyDescent="0.3">
      <c r="A91" s="347">
        <v>89</v>
      </c>
      <c r="B91" s="1"/>
      <c r="C91" s="349"/>
      <c r="D91" s="349"/>
      <c r="E91" s="349"/>
      <c r="F91" s="38" t="str">
        <f>IF(Inventory_List_Table3411151091113171814[[#This Row],[Q]]&lt;0.1, " ",#REF!&amp;$D$1&amp;#REF!&amp;Inventory_List_Table3411151091113171814[[#This Row],[NOTES]])</f>
        <v xml:space="preserve"> </v>
      </c>
      <c r="G91" s="350"/>
      <c r="H91" s="350"/>
      <c r="I91" s="350"/>
      <c r="J91" s="350"/>
      <c r="K91" s="350"/>
      <c r="L91" s="352"/>
      <c r="M9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1" s="35" t="str">
        <f>IF(Inventory_List_Table3411151091113171814[[#This Row],[Q]]&lt;0.1, " ", Inventory_List_Table3411151091113171814[[#This Row],[KG]]*2.20462)</f>
        <v xml:space="preserve"> </v>
      </c>
      <c r="O91" s="35" t="str">
        <f>IF(Inventory_List_Table3411151091113171814[[#This Row],[Q]]&lt;0.1, " ",Inventory_List_Table3411151091113171814[[#This Row],[H CM]]/2.54)</f>
        <v xml:space="preserve"> </v>
      </c>
      <c r="P91" s="35" t="str">
        <f>IF(Inventory_List_Table3411151091113171814[[#This Row],[Q]]&lt;0.1, " ",Inventory_List_Table3411151091113171814[[#This Row],[W CM]]/2.54)</f>
        <v xml:space="preserve"> </v>
      </c>
      <c r="Q91" s="35" t="str">
        <f>IF(Inventory_List_Table3411151091113171814[[#This Row],[Q]]&lt;0.1, " ",Inventory_List_Table3411151091113171814[[#This Row],[D CM ]]/2.54)</f>
        <v xml:space="preserve"> </v>
      </c>
      <c r="R91" s="30" t="str">
        <f>IF(Inventory_List_Table3411151091113171814[[#This Row],[Q]]&lt;0.1, " ",Inventory_List_Table3411151091113171814[[#This Row],[PRICE]]/$L$1)</f>
        <v xml:space="preserve"> </v>
      </c>
      <c r="S9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1" s="30" t="str">
        <f>IF(Inventory_List_Table3411151091113171814[[#This Row],[Q]]&lt;0.1, " ",Inventory_List_Table3411151091113171814[[#This Row],[AQ RND USD]]*1.4)</f>
        <v xml:space="preserve"> </v>
      </c>
      <c r="U9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1" s="30" t="str">
        <f>IF(Inventory_List_Table3411151091113171814[[#This Row],[Q]]&lt;0.1, " ",Inventory_List_Table3411151091113171814[[#This Row],[LND RND USD]]*12)</f>
        <v xml:space="preserve"> </v>
      </c>
      <c r="W91" s="30" t="str">
        <f>IF(Inventory_List_Table3411151091113171814[[#This Row],[Q]]&lt;0.1, " ",Inventory_List_Table3411151091113171814[[#This Row],[AQ USD]])</f>
        <v xml:space="preserve"> </v>
      </c>
      <c r="X9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1" s="30" t="str">
        <f>IF(Inventory_List_Table3411151091113171814[[#This Row],[Q]]&lt;0.1, " ",Inventory_List_Table3411151091113171814[[#This Row],[PRICE]]/Z91*10000)</f>
        <v xml:space="preserve"> </v>
      </c>
      <c r="AB91" s="353"/>
      <c r="AC91" s="1"/>
      <c r="AD91" s="1"/>
    </row>
    <row r="92" spans="1:30" ht="24" customHeight="1" x14ac:dyDescent="0.3">
      <c r="A92" s="347">
        <v>90</v>
      </c>
      <c r="B92" s="1"/>
      <c r="C92" s="349"/>
      <c r="D92" s="349"/>
      <c r="E92" s="349"/>
      <c r="F92" s="38" t="str">
        <f>IF(Inventory_List_Table3411151091113171814[[#This Row],[Q]]&lt;0.1, " ",#REF!&amp;$D$1&amp;#REF!&amp;Inventory_List_Table3411151091113171814[[#This Row],[NOTES]])</f>
        <v xml:space="preserve"> </v>
      </c>
      <c r="G92" s="350"/>
      <c r="H92" s="350"/>
      <c r="I92" s="350"/>
      <c r="J92" s="350"/>
      <c r="K92" s="350"/>
      <c r="L92" s="352"/>
      <c r="M9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2" s="35" t="str">
        <f>IF(Inventory_List_Table3411151091113171814[[#This Row],[Q]]&lt;0.1, " ", Inventory_List_Table3411151091113171814[[#This Row],[KG]]*2.20462)</f>
        <v xml:space="preserve"> </v>
      </c>
      <c r="O92" s="35" t="str">
        <f>IF(Inventory_List_Table3411151091113171814[[#This Row],[Q]]&lt;0.1, " ",Inventory_List_Table3411151091113171814[[#This Row],[H CM]]/2.54)</f>
        <v xml:space="preserve"> </v>
      </c>
      <c r="P92" s="35" t="str">
        <f>IF(Inventory_List_Table3411151091113171814[[#This Row],[Q]]&lt;0.1, " ",Inventory_List_Table3411151091113171814[[#This Row],[W CM]]/2.54)</f>
        <v xml:space="preserve"> </v>
      </c>
      <c r="Q92" s="35" t="str">
        <f>IF(Inventory_List_Table3411151091113171814[[#This Row],[Q]]&lt;0.1, " ",Inventory_List_Table3411151091113171814[[#This Row],[D CM ]]/2.54)</f>
        <v xml:space="preserve"> </v>
      </c>
      <c r="R92" s="30" t="str">
        <f>IF(Inventory_List_Table3411151091113171814[[#This Row],[Q]]&lt;0.1, " ",Inventory_List_Table3411151091113171814[[#This Row],[PRICE]]/$L$1)</f>
        <v xml:space="preserve"> </v>
      </c>
      <c r="S9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2" s="30" t="str">
        <f>IF(Inventory_List_Table3411151091113171814[[#This Row],[Q]]&lt;0.1, " ",Inventory_List_Table3411151091113171814[[#This Row],[AQ RND USD]]*1.4)</f>
        <v xml:space="preserve"> </v>
      </c>
      <c r="U9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2" s="30" t="str">
        <f>IF(Inventory_List_Table3411151091113171814[[#This Row],[Q]]&lt;0.1, " ",Inventory_List_Table3411151091113171814[[#This Row],[LND RND USD]]*12)</f>
        <v xml:space="preserve"> </v>
      </c>
      <c r="W92" s="30" t="str">
        <f>IF(Inventory_List_Table3411151091113171814[[#This Row],[Q]]&lt;0.1, " ",Inventory_List_Table3411151091113171814[[#This Row],[AQ USD]])</f>
        <v xml:space="preserve"> </v>
      </c>
      <c r="X9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2" s="30" t="str">
        <f>IF(Inventory_List_Table3411151091113171814[[#This Row],[Q]]&lt;0.1, " ",Inventory_List_Table3411151091113171814[[#This Row],[PRICE]]/Z92*10000)</f>
        <v xml:space="preserve"> </v>
      </c>
      <c r="AB92" s="353"/>
      <c r="AC92" s="1"/>
      <c r="AD92" s="1"/>
    </row>
    <row r="93" spans="1:30" ht="24" customHeight="1" x14ac:dyDescent="0.3">
      <c r="A93" s="347">
        <v>91</v>
      </c>
      <c r="B93" s="1"/>
      <c r="C93" s="349"/>
      <c r="D93" s="349"/>
      <c r="E93" s="349"/>
      <c r="F93" s="38" t="str">
        <f>IF(Inventory_List_Table3411151091113171814[[#This Row],[Q]]&lt;0.1, " ",#REF!&amp;$D$1&amp;#REF!&amp;Inventory_List_Table3411151091113171814[[#This Row],[NOTES]])</f>
        <v xml:space="preserve"> </v>
      </c>
      <c r="G93" s="350"/>
      <c r="H93" s="350"/>
      <c r="I93" s="350"/>
      <c r="J93" s="350"/>
      <c r="K93" s="350"/>
      <c r="L93" s="352"/>
      <c r="M93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3" s="35" t="str">
        <f>IF(Inventory_List_Table3411151091113171814[[#This Row],[Q]]&lt;0.1, " ", Inventory_List_Table3411151091113171814[[#This Row],[KG]]*2.20462)</f>
        <v xml:space="preserve"> </v>
      </c>
      <c r="O93" s="35" t="str">
        <f>IF(Inventory_List_Table3411151091113171814[[#This Row],[Q]]&lt;0.1, " ",Inventory_List_Table3411151091113171814[[#This Row],[H CM]]/2.54)</f>
        <v xml:space="preserve"> </v>
      </c>
      <c r="P93" s="35" t="str">
        <f>IF(Inventory_List_Table3411151091113171814[[#This Row],[Q]]&lt;0.1, " ",Inventory_List_Table3411151091113171814[[#This Row],[W CM]]/2.54)</f>
        <v xml:space="preserve"> </v>
      </c>
      <c r="Q93" s="35" t="str">
        <f>IF(Inventory_List_Table3411151091113171814[[#This Row],[Q]]&lt;0.1, " ",Inventory_List_Table3411151091113171814[[#This Row],[D CM ]]/2.54)</f>
        <v xml:space="preserve"> </v>
      </c>
      <c r="R93" s="30" t="str">
        <f>IF(Inventory_List_Table3411151091113171814[[#This Row],[Q]]&lt;0.1, " ",Inventory_List_Table3411151091113171814[[#This Row],[PRICE]]/$L$1)</f>
        <v xml:space="preserve"> </v>
      </c>
      <c r="S93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3" s="30" t="str">
        <f>IF(Inventory_List_Table3411151091113171814[[#This Row],[Q]]&lt;0.1, " ",Inventory_List_Table3411151091113171814[[#This Row],[AQ RND USD]]*1.4)</f>
        <v xml:space="preserve"> </v>
      </c>
      <c r="U93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3" s="30" t="str">
        <f>IF(Inventory_List_Table3411151091113171814[[#This Row],[Q]]&lt;0.1, " ",Inventory_List_Table3411151091113171814[[#This Row],[LND RND USD]]*12)</f>
        <v xml:space="preserve"> </v>
      </c>
      <c r="W93" s="30" t="str">
        <f>IF(Inventory_List_Table3411151091113171814[[#This Row],[Q]]&lt;0.1, " ",Inventory_List_Table3411151091113171814[[#This Row],[AQ USD]])</f>
        <v xml:space="preserve"> </v>
      </c>
      <c r="X93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3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3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3" s="30" t="str">
        <f>IF(Inventory_List_Table3411151091113171814[[#This Row],[Q]]&lt;0.1, " ",Inventory_List_Table3411151091113171814[[#This Row],[PRICE]]/Z93*10000)</f>
        <v xml:space="preserve"> </v>
      </c>
      <c r="AB93" s="353"/>
      <c r="AC93" s="1"/>
      <c r="AD93" s="1"/>
    </row>
    <row r="94" spans="1:30" ht="24" customHeight="1" x14ac:dyDescent="0.3">
      <c r="A94" s="347">
        <v>92</v>
      </c>
      <c r="B94" s="1"/>
      <c r="C94" s="349"/>
      <c r="D94" s="349"/>
      <c r="E94" s="349"/>
      <c r="F94" s="38" t="str">
        <f>IF(Inventory_List_Table3411151091113171814[[#This Row],[Q]]&lt;0.1, " ",#REF!&amp;$D$1&amp;#REF!&amp;Inventory_List_Table3411151091113171814[[#This Row],[NOTES]])</f>
        <v xml:space="preserve"> </v>
      </c>
      <c r="G94" s="350"/>
      <c r="H94" s="350"/>
      <c r="I94" s="350"/>
      <c r="J94" s="350"/>
      <c r="K94" s="350"/>
      <c r="L94" s="352"/>
      <c r="M94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4" s="35" t="str">
        <f>IF(Inventory_List_Table3411151091113171814[[#This Row],[Q]]&lt;0.1, " ", Inventory_List_Table3411151091113171814[[#This Row],[KG]]*2.20462)</f>
        <v xml:space="preserve"> </v>
      </c>
      <c r="O94" s="35" t="str">
        <f>IF(Inventory_List_Table3411151091113171814[[#This Row],[Q]]&lt;0.1, " ",Inventory_List_Table3411151091113171814[[#This Row],[H CM]]/2.54)</f>
        <v xml:space="preserve"> </v>
      </c>
      <c r="P94" s="35" t="str">
        <f>IF(Inventory_List_Table3411151091113171814[[#This Row],[Q]]&lt;0.1, " ",Inventory_List_Table3411151091113171814[[#This Row],[W CM]]/2.54)</f>
        <v xml:space="preserve"> </v>
      </c>
      <c r="Q94" s="35" t="str">
        <f>IF(Inventory_List_Table3411151091113171814[[#This Row],[Q]]&lt;0.1, " ",Inventory_List_Table3411151091113171814[[#This Row],[D CM ]]/2.54)</f>
        <v xml:space="preserve"> </v>
      </c>
      <c r="R94" s="30" t="str">
        <f>IF(Inventory_List_Table3411151091113171814[[#This Row],[Q]]&lt;0.1, " ",Inventory_List_Table3411151091113171814[[#This Row],[PRICE]]/$L$1)</f>
        <v xml:space="preserve"> </v>
      </c>
      <c r="S94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4" s="30" t="str">
        <f>IF(Inventory_List_Table3411151091113171814[[#This Row],[Q]]&lt;0.1, " ",Inventory_List_Table3411151091113171814[[#This Row],[AQ RND USD]]*1.4)</f>
        <v xml:space="preserve"> </v>
      </c>
      <c r="U94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4" s="30" t="str">
        <f>IF(Inventory_List_Table3411151091113171814[[#This Row],[Q]]&lt;0.1, " ",Inventory_List_Table3411151091113171814[[#This Row],[LND RND USD]]*12)</f>
        <v xml:space="preserve"> </v>
      </c>
      <c r="W94" s="30" t="str">
        <f>IF(Inventory_List_Table3411151091113171814[[#This Row],[Q]]&lt;0.1, " ",Inventory_List_Table3411151091113171814[[#This Row],[AQ USD]])</f>
        <v xml:space="preserve"> </v>
      </c>
      <c r="X94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4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4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4" s="30" t="str">
        <f>IF(Inventory_List_Table3411151091113171814[[#This Row],[Q]]&lt;0.1, " ",Inventory_List_Table3411151091113171814[[#This Row],[PRICE]]/Z94*10000)</f>
        <v xml:space="preserve"> </v>
      </c>
      <c r="AB94" s="353"/>
      <c r="AC94" s="1"/>
      <c r="AD94" s="1"/>
    </row>
    <row r="95" spans="1:30" ht="24" customHeight="1" x14ac:dyDescent="0.3">
      <c r="A95" s="347">
        <v>93</v>
      </c>
      <c r="B95" s="1"/>
      <c r="C95" s="349"/>
      <c r="D95" s="349"/>
      <c r="E95" s="349"/>
      <c r="F95" s="38" t="str">
        <f>IF(Inventory_List_Table3411151091113171814[[#This Row],[Q]]&lt;0.1, " ",#REF!&amp;$D$1&amp;#REF!&amp;Inventory_List_Table3411151091113171814[[#This Row],[NOTES]])</f>
        <v xml:space="preserve"> </v>
      </c>
      <c r="G95" s="350"/>
      <c r="H95" s="350"/>
      <c r="I95" s="350"/>
      <c r="J95" s="350"/>
      <c r="K95" s="350"/>
      <c r="L95" s="352"/>
      <c r="M95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5" s="35" t="str">
        <f>IF(Inventory_List_Table3411151091113171814[[#This Row],[Q]]&lt;0.1, " ", Inventory_List_Table3411151091113171814[[#This Row],[KG]]*2.20462)</f>
        <v xml:space="preserve"> </v>
      </c>
      <c r="O95" s="35" t="str">
        <f>IF(Inventory_List_Table3411151091113171814[[#This Row],[Q]]&lt;0.1, " ",Inventory_List_Table3411151091113171814[[#This Row],[H CM]]/2.54)</f>
        <v xml:space="preserve"> </v>
      </c>
      <c r="P95" s="35" t="str">
        <f>IF(Inventory_List_Table3411151091113171814[[#This Row],[Q]]&lt;0.1, " ",Inventory_List_Table3411151091113171814[[#This Row],[W CM]]/2.54)</f>
        <v xml:space="preserve"> </v>
      </c>
      <c r="Q95" s="35" t="str">
        <f>IF(Inventory_List_Table3411151091113171814[[#This Row],[Q]]&lt;0.1, " ",Inventory_List_Table3411151091113171814[[#This Row],[D CM ]]/2.54)</f>
        <v xml:space="preserve"> </v>
      </c>
      <c r="R95" s="30" t="str">
        <f>IF(Inventory_List_Table3411151091113171814[[#This Row],[Q]]&lt;0.1, " ",Inventory_List_Table3411151091113171814[[#This Row],[PRICE]]/$L$1)</f>
        <v xml:space="preserve"> </v>
      </c>
      <c r="S95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5" s="30" t="str">
        <f>IF(Inventory_List_Table3411151091113171814[[#This Row],[Q]]&lt;0.1, " ",Inventory_List_Table3411151091113171814[[#This Row],[AQ RND USD]]*1.4)</f>
        <v xml:space="preserve"> </v>
      </c>
      <c r="U95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5" s="30" t="str">
        <f>IF(Inventory_List_Table3411151091113171814[[#This Row],[Q]]&lt;0.1, " ",Inventory_List_Table3411151091113171814[[#This Row],[LND RND USD]]*12)</f>
        <v xml:space="preserve"> </v>
      </c>
      <c r="W95" s="30" t="str">
        <f>IF(Inventory_List_Table3411151091113171814[[#This Row],[Q]]&lt;0.1, " ",Inventory_List_Table3411151091113171814[[#This Row],[AQ USD]])</f>
        <v xml:space="preserve"> </v>
      </c>
      <c r="X95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5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5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5" s="30" t="str">
        <f>IF(Inventory_List_Table3411151091113171814[[#This Row],[Q]]&lt;0.1, " ",Inventory_List_Table3411151091113171814[[#This Row],[PRICE]]/Z95*10000)</f>
        <v xml:space="preserve"> </v>
      </c>
      <c r="AB95" s="353"/>
      <c r="AC95" s="1"/>
      <c r="AD95" s="1"/>
    </row>
    <row r="96" spans="1:30" ht="24" customHeight="1" x14ac:dyDescent="0.3">
      <c r="A96" s="347">
        <v>94</v>
      </c>
      <c r="B96" s="1"/>
      <c r="C96" s="349"/>
      <c r="D96" s="349"/>
      <c r="E96" s="349"/>
      <c r="F96" s="38" t="str">
        <f>IF(Inventory_List_Table3411151091113171814[[#This Row],[Q]]&lt;0.1, " ",#REF!&amp;$D$1&amp;#REF!&amp;Inventory_List_Table3411151091113171814[[#This Row],[NOTES]])</f>
        <v xml:space="preserve"> </v>
      </c>
      <c r="G96" s="350"/>
      <c r="H96" s="350"/>
      <c r="I96" s="350"/>
      <c r="J96" s="350"/>
      <c r="K96" s="350"/>
      <c r="L96" s="352"/>
      <c r="M96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6" s="35" t="str">
        <f>IF(Inventory_List_Table3411151091113171814[[#This Row],[Q]]&lt;0.1, " ", Inventory_List_Table3411151091113171814[[#This Row],[KG]]*2.20462)</f>
        <v xml:space="preserve"> </v>
      </c>
      <c r="O96" s="35" t="str">
        <f>IF(Inventory_List_Table3411151091113171814[[#This Row],[Q]]&lt;0.1, " ",Inventory_List_Table3411151091113171814[[#This Row],[H CM]]/2.54)</f>
        <v xml:space="preserve"> </v>
      </c>
      <c r="P96" s="35" t="str">
        <f>IF(Inventory_List_Table3411151091113171814[[#This Row],[Q]]&lt;0.1, " ",Inventory_List_Table3411151091113171814[[#This Row],[W CM]]/2.54)</f>
        <v xml:space="preserve"> </v>
      </c>
      <c r="Q96" s="35" t="str">
        <f>IF(Inventory_List_Table3411151091113171814[[#This Row],[Q]]&lt;0.1, " ",Inventory_List_Table3411151091113171814[[#This Row],[D CM ]]/2.54)</f>
        <v xml:space="preserve"> </v>
      </c>
      <c r="R96" s="30" t="str">
        <f>IF(Inventory_List_Table3411151091113171814[[#This Row],[Q]]&lt;0.1, " ",Inventory_List_Table3411151091113171814[[#This Row],[PRICE]]/$L$1)</f>
        <v xml:space="preserve"> </v>
      </c>
      <c r="S96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6" s="30" t="str">
        <f>IF(Inventory_List_Table3411151091113171814[[#This Row],[Q]]&lt;0.1, " ",Inventory_List_Table3411151091113171814[[#This Row],[AQ RND USD]]*1.4)</f>
        <v xml:space="preserve"> </v>
      </c>
      <c r="U96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6" s="30" t="str">
        <f>IF(Inventory_List_Table3411151091113171814[[#This Row],[Q]]&lt;0.1, " ",Inventory_List_Table3411151091113171814[[#This Row],[LND RND USD]]*12)</f>
        <v xml:space="preserve"> </v>
      </c>
      <c r="W96" s="30" t="str">
        <f>IF(Inventory_List_Table3411151091113171814[[#This Row],[Q]]&lt;0.1, " ",Inventory_List_Table3411151091113171814[[#This Row],[AQ USD]])</f>
        <v xml:space="preserve"> </v>
      </c>
      <c r="X96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6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6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6" s="30" t="str">
        <f>IF(Inventory_List_Table3411151091113171814[[#This Row],[Q]]&lt;0.1, " ",Inventory_List_Table3411151091113171814[[#This Row],[PRICE]]/Z96*10000)</f>
        <v xml:space="preserve"> </v>
      </c>
      <c r="AB96" s="353"/>
      <c r="AC96" s="1"/>
      <c r="AD96" s="1"/>
    </row>
    <row r="97" spans="1:30" ht="24" customHeight="1" x14ac:dyDescent="0.3">
      <c r="A97" s="347">
        <v>95</v>
      </c>
      <c r="B97" s="1"/>
      <c r="C97" s="349"/>
      <c r="D97" s="349"/>
      <c r="E97" s="349"/>
      <c r="F97" s="38" t="str">
        <f>IF(Inventory_List_Table3411151091113171814[[#This Row],[Q]]&lt;0.1, " ",#REF!&amp;$D$1&amp;#REF!&amp;Inventory_List_Table3411151091113171814[[#This Row],[NOTES]])</f>
        <v xml:space="preserve"> </v>
      </c>
      <c r="G97" s="350"/>
      <c r="H97" s="350"/>
      <c r="I97" s="350"/>
      <c r="J97" s="350"/>
      <c r="K97" s="350"/>
      <c r="L97" s="352"/>
      <c r="M97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7" s="35" t="str">
        <f>IF(Inventory_List_Table3411151091113171814[[#This Row],[Q]]&lt;0.1, " ", Inventory_List_Table3411151091113171814[[#This Row],[KG]]*2.20462)</f>
        <v xml:space="preserve"> </v>
      </c>
      <c r="O97" s="35" t="str">
        <f>IF(Inventory_List_Table3411151091113171814[[#This Row],[Q]]&lt;0.1, " ",Inventory_List_Table3411151091113171814[[#This Row],[H CM]]/2.54)</f>
        <v xml:space="preserve"> </v>
      </c>
      <c r="P97" s="35" t="str">
        <f>IF(Inventory_List_Table3411151091113171814[[#This Row],[Q]]&lt;0.1, " ",Inventory_List_Table3411151091113171814[[#This Row],[W CM]]/2.54)</f>
        <v xml:space="preserve"> </v>
      </c>
      <c r="Q97" s="35" t="str">
        <f>IF(Inventory_List_Table3411151091113171814[[#This Row],[Q]]&lt;0.1, " ",Inventory_List_Table3411151091113171814[[#This Row],[D CM ]]/2.54)</f>
        <v xml:space="preserve"> </v>
      </c>
      <c r="R97" s="30" t="str">
        <f>IF(Inventory_List_Table3411151091113171814[[#This Row],[Q]]&lt;0.1, " ",Inventory_List_Table3411151091113171814[[#This Row],[PRICE]]/$L$1)</f>
        <v xml:space="preserve"> </v>
      </c>
      <c r="S97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7" s="30" t="str">
        <f>IF(Inventory_List_Table3411151091113171814[[#This Row],[Q]]&lt;0.1, " ",Inventory_List_Table3411151091113171814[[#This Row],[AQ RND USD]]*1.4)</f>
        <v xml:space="preserve"> </v>
      </c>
      <c r="U97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7" s="30" t="str">
        <f>IF(Inventory_List_Table3411151091113171814[[#This Row],[Q]]&lt;0.1, " ",Inventory_List_Table3411151091113171814[[#This Row],[LND RND USD]]*12)</f>
        <v xml:space="preserve"> </v>
      </c>
      <c r="W97" s="30" t="str">
        <f>IF(Inventory_List_Table3411151091113171814[[#This Row],[Q]]&lt;0.1, " ",Inventory_List_Table3411151091113171814[[#This Row],[AQ USD]])</f>
        <v xml:space="preserve"> </v>
      </c>
      <c r="X97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7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7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7" s="30" t="str">
        <f>IF(Inventory_List_Table3411151091113171814[[#This Row],[Q]]&lt;0.1, " ",Inventory_List_Table3411151091113171814[[#This Row],[PRICE]]/Z97*10000)</f>
        <v xml:space="preserve"> </v>
      </c>
      <c r="AB97" s="353"/>
      <c r="AC97" s="1"/>
      <c r="AD97" s="1"/>
    </row>
    <row r="98" spans="1:30" ht="24" customHeight="1" x14ac:dyDescent="0.3">
      <c r="A98" s="347">
        <v>96</v>
      </c>
      <c r="B98" s="1"/>
      <c r="C98" s="349"/>
      <c r="D98" s="349"/>
      <c r="E98" s="349"/>
      <c r="F98" s="38" t="str">
        <f>IF(Inventory_List_Table3411151091113171814[[#This Row],[Q]]&lt;0.1, " ",#REF!&amp;$D$1&amp;#REF!&amp;Inventory_List_Table3411151091113171814[[#This Row],[NOTES]])</f>
        <v xml:space="preserve"> </v>
      </c>
      <c r="G98" s="350"/>
      <c r="H98" s="350"/>
      <c r="I98" s="350"/>
      <c r="J98" s="350"/>
      <c r="K98" s="350"/>
      <c r="L98" s="352"/>
      <c r="M98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8" s="35" t="str">
        <f>IF(Inventory_List_Table3411151091113171814[[#This Row],[Q]]&lt;0.1, " ", Inventory_List_Table3411151091113171814[[#This Row],[KG]]*2.20462)</f>
        <v xml:space="preserve"> </v>
      </c>
      <c r="O98" s="35" t="str">
        <f>IF(Inventory_List_Table3411151091113171814[[#This Row],[Q]]&lt;0.1, " ",Inventory_List_Table3411151091113171814[[#This Row],[H CM]]/2.54)</f>
        <v xml:space="preserve"> </v>
      </c>
      <c r="P98" s="35" t="str">
        <f>IF(Inventory_List_Table3411151091113171814[[#This Row],[Q]]&lt;0.1, " ",Inventory_List_Table3411151091113171814[[#This Row],[W CM]]/2.54)</f>
        <v xml:space="preserve"> </v>
      </c>
      <c r="Q98" s="35" t="str">
        <f>IF(Inventory_List_Table3411151091113171814[[#This Row],[Q]]&lt;0.1, " ",Inventory_List_Table3411151091113171814[[#This Row],[D CM ]]/2.54)</f>
        <v xml:space="preserve"> </v>
      </c>
      <c r="R98" s="30" t="str">
        <f>IF(Inventory_List_Table3411151091113171814[[#This Row],[Q]]&lt;0.1, " ",Inventory_List_Table3411151091113171814[[#This Row],[PRICE]]/$L$1)</f>
        <v xml:space="preserve"> </v>
      </c>
      <c r="S98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8" s="30" t="str">
        <f>IF(Inventory_List_Table3411151091113171814[[#This Row],[Q]]&lt;0.1, " ",Inventory_List_Table3411151091113171814[[#This Row],[AQ RND USD]]*1.4)</f>
        <v xml:space="preserve"> </v>
      </c>
      <c r="U98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8" s="30" t="str">
        <f>IF(Inventory_List_Table3411151091113171814[[#This Row],[Q]]&lt;0.1, " ",Inventory_List_Table3411151091113171814[[#This Row],[LND RND USD]]*12)</f>
        <v xml:space="preserve"> </v>
      </c>
      <c r="W98" s="30" t="str">
        <f>IF(Inventory_List_Table3411151091113171814[[#This Row],[Q]]&lt;0.1, " ",Inventory_List_Table3411151091113171814[[#This Row],[AQ USD]])</f>
        <v xml:space="preserve"> </v>
      </c>
      <c r="X98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8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8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8" s="30" t="str">
        <f>IF(Inventory_List_Table3411151091113171814[[#This Row],[Q]]&lt;0.1, " ",Inventory_List_Table3411151091113171814[[#This Row],[PRICE]]/Z98*10000)</f>
        <v xml:space="preserve"> </v>
      </c>
      <c r="AB98" s="353"/>
      <c r="AC98" s="1"/>
      <c r="AD98" s="1"/>
    </row>
    <row r="99" spans="1:30" ht="24" customHeight="1" x14ac:dyDescent="0.3">
      <c r="A99" s="347">
        <v>97</v>
      </c>
      <c r="B99" s="1"/>
      <c r="C99" s="349"/>
      <c r="D99" s="349"/>
      <c r="E99" s="349"/>
      <c r="F99" s="38" t="str">
        <f>IF(Inventory_List_Table3411151091113171814[[#This Row],[Q]]&lt;0.1, " ",#REF!&amp;$D$1&amp;#REF!&amp;Inventory_List_Table3411151091113171814[[#This Row],[NOTES]])</f>
        <v xml:space="preserve"> </v>
      </c>
      <c r="G99" s="350"/>
      <c r="H99" s="350"/>
      <c r="I99" s="350"/>
      <c r="J99" s="350"/>
      <c r="K99" s="350"/>
      <c r="L99" s="352"/>
      <c r="M99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99" s="35" t="str">
        <f>IF(Inventory_List_Table3411151091113171814[[#This Row],[Q]]&lt;0.1, " ", Inventory_List_Table3411151091113171814[[#This Row],[KG]]*2.20462)</f>
        <v xml:space="preserve"> </v>
      </c>
      <c r="O99" s="35" t="str">
        <f>IF(Inventory_List_Table3411151091113171814[[#This Row],[Q]]&lt;0.1, " ",Inventory_List_Table3411151091113171814[[#This Row],[H CM]]/2.54)</f>
        <v xml:space="preserve"> </v>
      </c>
      <c r="P99" s="35" t="str">
        <f>IF(Inventory_List_Table3411151091113171814[[#This Row],[Q]]&lt;0.1, " ",Inventory_List_Table3411151091113171814[[#This Row],[W CM]]/2.54)</f>
        <v xml:space="preserve"> </v>
      </c>
      <c r="Q99" s="35" t="str">
        <f>IF(Inventory_List_Table3411151091113171814[[#This Row],[Q]]&lt;0.1, " ",Inventory_List_Table3411151091113171814[[#This Row],[D CM ]]/2.54)</f>
        <v xml:space="preserve"> </v>
      </c>
      <c r="R99" s="30" t="str">
        <f>IF(Inventory_List_Table3411151091113171814[[#This Row],[Q]]&lt;0.1, " ",Inventory_List_Table3411151091113171814[[#This Row],[PRICE]]/$L$1)</f>
        <v xml:space="preserve"> </v>
      </c>
      <c r="S99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99" s="30" t="str">
        <f>IF(Inventory_List_Table3411151091113171814[[#This Row],[Q]]&lt;0.1, " ",Inventory_List_Table3411151091113171814[[#This Row],[AQ RND USD]]*1.4)</f>
        <v xml:space="preserve"> </v>
      </c>
      <c r="U99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99" s="30" t="str">
        <f>IF(Inventory_List_Table3411151091113171814[[#This Row],[Q]]&lt;0.1, " ",Inventory_List_Table3411151091113171814[[#This Row],[LND RND USD]]*12)</f>
        <v xml:space="preserve"> </v>
      </c>
      <c r="W99" s="30" t="str">
        <f>IF(Inventory_List_Table3411151091113171814[[#This Row],[Q]]&lt;0.1, " ",Inventory_List_Table3411151091113171814[[#This Row],[AQ USD]])</f>
        <v xml:space="preserve"> </v>
      </c>
      <c r="X99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99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99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99" s="30" t="str">
        <f>IF(Inventory_List_Table3411151091113171814[[#This Row],[Q]]&lt;0.1, " ",Inventory_List_Table3411151091113171814[[#This Row],[PRICE]]/Z99*10000)</f>
        <v xml:space="preserve"> </v>
      </c>
      <c r="AB99" s="353"/>
      <c r="AC99" s="1"/>
      <c r="AD99" s="1"/>
    </row>
    <row r="100" spans="1:30" ht="24" customHeight="1" x14ac:dyDescent="0.3">
      <c r="A100" s="347">
        <v>98</v>
      </c>
      <c r="B100" s="1"/>
      <c r="C100" s="349"/>
      <c r="D100" s="349"/>
      <c r="E100" s="349"/>
      <c r="F100" s="38" t="str">
        <f>IF(Inventory_List_Table3411151091113171814[[#This Row],[Q]]&lt;0.1, " ",#REF!&amp;$D$1&amp;#REF!&amp;Inventory_List_Table3411151091113171814[[#This Row],[NOTES]])</f>
        <v xml:space="preserve"> </v>
      </c>
      <c r="G100" s="350"/>
      <c r="H100" s="350"/>
      <c r="I100" s="350"/>
      <c r="J100" s="350"/>
      <c r="K100" s="350"/>
      <c r="L100" s="352"/>
      <c r="M100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00" s="35" t="str">
        <f>IF(Inventory_List_Table3411151091113171814[[#This Row],[Q]]&lt;0.1, " ", Inventory_List_Table3411151091113171814[[#This Row],[KG]]*2.20462)</f>
        <v xml:space="preserve"> </v>
      </c>
      <c r="O100" s="35" t="str">
        <f>IF(Inventory_List_Table3411151091113171814[[#This Row],[Q]]&lt;0.1, " ",Inventory_List_Table3411151091113171814[[#This Row],[H CM]]/2.54)</f>
        <v xml:space="preserve"> </v>
      </c>
      <c r="P100" s="35" t="str">
        <f>IF(Inventory_List_Table3411151091113171814[[#This Row],[Q]]&lt;0.1, " ",Inventory_List_Table3411151091113171814[[#This Row],[W CM]]/2.54)</f>
        <v xml:space="preserve"> </v>
      </c>
      <c r="Q100" s="35" t="str">
        <f>IF(Inventory_List_Table3411151091113171814[[#This Row],[Q]]&lt;0.1, " ",Inventory_List_Table3411151091113171814[[#This Row],[D CM ]]/2.54)</f>
        <v xml:space="preserve"> </v>
      </c>
      <c r="R100" s="30" t="str">
        <f>IF(Inventory_List_Table3411151091113171814[[#This Row],[Q]]&lt;0.1, " ",Inventory_List_Table3411151091113171814[[#This Row],[PRICE]]/$L$1)</f>
        <v xml:space="preserve"> </v>
      </c>
      <c r="S100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00" s="30" t="str">
        <f>IF(Inventory_List_Table3411151091113171814[[#This Row],[Q]]&lt;0.1, " ",Inventory_List_Table3411151091113171814[[#This Row],[AQ RND USD]]*1.4)</f>
        <v xml:space="preserve"> </v>
      </c>
      <c r="U100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00" s="30" t="str">
        <f>IF(Inventory_List_Table3411151091113171814[[#This Row],[Q]]&lt;0.1, " ",Inventory_List_Table3411151091113171814[[#This Row],[LND RND USD]]*12)</f>
        <v xml:space="preserve"> </v>
      </c>
      <c r="W100" s="30" t="str">
        <f>IF(Inventory_List_Table3411151091113171814[[#This Row],[Q]]&lt;0.1, " ",Inventory_List_Table3411151091113171814[[#This Row],[AQ USD]])</f>
        <v xml:space="preserve"> </v>
      </c>
      <c r="X100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00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00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00" s="30" t="str">
        <f>IF(Inventory_List_Table3411151091113171814[[#This Row],[Q]]&lt;0.1, " ",Inventory_List_Table3411151091113171814[[#This Row],[PRICE]]/Z100*10000)</f>
        <v xml:space="preserve"> </v>
      </c>
      <c r="AB100" s="353"/>
      <c r="AC100" s="1"/>
      <c r="AD100" s="1"/>
    </row>
    <row r="101" spans="1:30" ht="24" customHeight="1" x14ac:dyDescent="0.3">
      <c r="A101" s="347">
        <v>99</v>
      </c>
      <c r="B101" s="1"/>
      <c r="C101" s="349"/>
      <c r="D101" s="349"/>
      <c r="E101" s="349"/>
      <c r="F101" s="38" t="str">
        <f>IF(Inventory_List_Table3411151091113171814[[#This Row],[Q]]&lt;0.1, " ",#REF!&amp;$D$1&amp;#REF!&amp;Inventory_List_Table3411151091113171814[[#This Row],[NOTES]])</f>
        <v xml:space="preserve"> </v>
      </c>
      <c r="G101" s="350"/>
      <c r="H101" s="350"/>
      <c r="I101" s="350"/>
      <c r="J101" s="350"/>
      <c r="K101" s="350"/>
      <c r="L101" s="352"/>
      <c r="M101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01" s="35" t="str">
        <f>IF(Inventory_List_Table3411151091113171814[[#This Row],[Q]]&lt;0.1, " ", Inventory_List_Table3411151091113171814[[#This Row],[KG]]*2.20462)</f>
        <v xml:space="preserve"> </v>
      </c>
      <c r="O101" s="35" t="str">
        <f>IF(Inventory_List_Table3411151091113171814[[#This Row],[Q]]&lt;0.1, " ",Inventory_List_Table3411151091113171814[[#This Row],[H CM]]/2.54)</f>
        <v xml:space="preserve"> </v>
      </c>
      <c r="P101" s="35" t="str">
        <f>IF(Inventory_List_Table3411151091113171814[[#This Row],[Q]]&lt;0.1, " ",Inventory_List_Table3411151091113171814[[#This Row],[W CM]]/2.54)</f>
        <v xml:space="preserve"> </v>
      </c>
      <c r="Q101" s="35" t="str">
        <f>IF(Inventory_List_Table3411151091113171814[[#This Row],[Q]]&lt;0.1, " ",Inventory_List_Table3411151091113171814[[#This Row],[D CM ]]/2.54)</f>
        <v xml:space="preserve"> </v>
      </c>
      <c r="R101" s="30" t="str">
        <f>IF(Inventory_List_Table3411151091113171814[[#This Row],[Q]]&lt;0.1, " ",Inventory_List_Table3411151091113171814[[#This Row],[PRICE]]/$L$1)</f>
        <v xml:space="preserve"> </v>
      </c>
      <c r="S101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01" s="30" t="str">
        <f>IF(Inventory_List_Table3411151091113171814[[#This Row],[Q]]&lt;0.1, " ",Inventory_List_Table3411151091113171814[[#This Row],[AQ RND USD]]*1.4)</f>
        <v xml:space="preserve"> </v>
      </c>
      <c r="U101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01" s="30" t="str">
        <f>IF(Inventory_List_Table3411151091113171814[[#This Row],[Q]]&lt;0.1, " ",Inventory_List_Table3411151091113171814[[#This Row],[LND RND USD]]*12)</f>
        <v xml:space="preserve"> </v>
      </c>
      <c r="W101" s="30" t="str">
        <f>IF(Inventory_List_Table3411151091113171814[[#This Row],[Q]]&lt;0.1, " ",Inventory_List_Table3411151091113171814[[#This Row],[AQ USD]])</f>
        <v xml:space="preserve"> </v>
      </c>
      <c r="X101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01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01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01" s="30" t="str">
        <f>IF(Inventory_List_Table3411151091113171814[[#This Row],[Q]]&lt;0.1, " ",Inventory_List_Table3411151091113171814[[#This Row],[PRICE]]/Z101*10000)</f>
        <v xml:space="preserve"> </v>
      </c>
      <c r="AB101" s="353"/>
      <c r="AC101" s="1"/>
      <c r="AD101" s="1"/>
    </row>
    <row r="102" spans="1:30" ht="24" customHeight="1" x14ac:dyDescent="0.3">
      <c r="A102" s="347">
        <v>100</v>
      </c>
      <c r="B102" s="1"/>
      <c r="C102" s="349"/>
      <c r="D102" s="349"/>
      <c r="E102" s="349"/>
      <c r="F102" s="38" t="str">
        <f>IF(Inventory_List_Table3411151091113171814[[#This Row],[Q]]&lt;0.1, " ",#REF!&amp;$D$1&amp;#REF!&amp;Inventory_List_Table3411151091113171814[[#This Row],[NOTES]])</f>
        <v xml:space="preserve"> </v>
      </c>
      <c r="G102" s="350"/>
      <c r="H102" s="350"/>
      <c r="I102" s="350"/>
      <c r="J102" s="350"/>
      <c r="K102" s="350"/>
      <c r="L102" s="352"/>
      <c r="M102" s="30" t="str">
        <f>IF(Inventory_List_Table3411151091113171814[[#This Row],[Q]]&lt;0.1, " ", Inventory_List_Table3411151091113171814[[#This Row],[Q]]*Inventory_List_Table3411151091113171814[[#This Row],[PRICE]])</f>
        <v xml:space="preserve"> </v>
      </c>
      <c r="N102" s="35" t="str">
        <f>IF(Inventory_List_Table3411151091113171814[[#This Row],[Q]]&lt;0.1, " ", Inventory_List_Table3411151091113171814[[#This Row],[KG]]*2.20462)</f>
        <v xml:space="preserve"> </v>
      </c>
      <c r="O102" s="35" t="str">
        <f>IF(Inventory_List_Table3411151091113171814[[#This Row],[Q]]&lt;0.1, " ",Inventory_List_Table3411151091113171814[[#This Row],[H CM]]/2.54)</f>
        <v xml:space="preserve"> </v>
      </c>
      <c r="P102" s="35" t="str">
        <f>IF(Inventory_List_Table3411151091113171814[[#This Row],[Q]]&lt;0.1, " ",Inventory_List_Table3411151091113171814[[#This Row],[W CM]]/2.54)</f>
        <v xml:space="preserve"> </v>
      </c>
      <c r="Q102" s="35" t="str">
        <f>IF(Inventory_List_Table3411151091113171814[[#This Row],[Q]]&lt;0.1, " ",Inventory_List_Table3411151091113171814[[#This Row],[D CM ]]/2.54)</f>
        <v xml:space="preserve"> </v>
      </c>
      <c r="R102" s="30" t="str">
        <f>IF(Inventory_List_Table3411151091113171814[[#This Row],[Q]]&lt;0.1, " ",Inventory_List_Table3411151091113171814[[#This Row],[PRICE]]/$L$1)</f>
        <v xml:space="preserve"> </v>
      </c>
      <c r="S102" s="30" t="str">
        <f>IF(Inventory_List_Table3411151091113171814[[#This Row],[Q]]&lt;0.1, " ",IF(MOD(Inventory_List_Table3411151091113171814[[#This Row],[AQ USD]],1)&gt;0.4,ROUNDUP(Inventory_List_Table3411151091113171814[[#This Row],[AQ USD]],0),ROUNDDOWN(Inventory_List_Table3411151091113171814[[#This Row],[AQ USD]],0)))</f>
        <v xml:space="preserve"> </v>
      </c>
      <c r="T102" s="30" t="str">
        <f>IF(Inventory_List_Table3411151091113171814[[#This Row],[Q]]&lt;0.1, " ",Inventory_List_Table3411151091113171814[[#This Row],[AQ RND USD]]*1.4)</f>
        <v xml:space="preserve"> </v>
      </c>
      <c r="U102" s="30" t="str">
        <f>IF(Inventory_List_Table3411151091113171814[[#This Row],[Q]]&lt;0.1, " ",IF(MOD(Inventory_List_Table3411151091113171814[[#This Row],[LND USD]],1)&gt;0.4,ROUNDUP(Inventory_List_Table3411151091113171814[[#This Row],[LND USD]],0),ROUNDDOWN(Inventory_List_Table3411151091113171814[[#This Row],[LND USD]],0)))</f>
        <v xml:space="preserve"> </v>
      </c>
      <c r="V102" s="30" t="str">
        <f>IF(Inventory_List_Table3411151091113171814[[#This Row],[Q]]&lt;0.1, " ",Inventory_List_Table3411151091113171814[[#This Row],[LND RND USD]]*12)</f>
        <v xml:space="preserve"> </v>
      </c>
      <c r="W102" s="30" t="str">
        <f>IF(Inventory_List_Table3411151091113171814[[#This Row],[Q]]&lt;0.1, " ",Inventory_List_Table3411151091113171814[[#This Row],[AQ USD]])</f>
        <v xml:space="preserve"> </v>
      </c>
      <c r="X102" s="1" t="str">
        <f>IF(Inventory_List_Table3411151091113171814[[#This Row],[Q]]&lt;0.1, " ",SUBSTITUTE(SUBSTITUTE(SUBSTITUTE(SUBSTITUTE(SUBSTITUTE(SUBSTITUTE(SUBSTITUTE(SUBSTITUTE(SUBSTITUTE(SUBSTITUTE(Inventory_List_Table3411151091113171814[[#This Row],[AQ RND USD]], "1", "M"), "2", "O"), "3", "X"), "4", "H"), "5", "E"), "6", "L"), "7", "F"), "8", "A"), "9", "N"), "0", "D"))</f>
        <v xml:space="preserve"> </v>
      </c>
      <c r="Y102" s="1" t="str">
        <f>IF(Inventory_List_Table3411151091113171814[[#This Row],[Q]]&lt;0.1, " ",SUBSTITUTE(SUBSTITUTE(SUBSTITUTE(SUBSTITUTE(SUBSTITUTE(SUBSTITUTE(SUBSTITUTE(SUBSTITUTE(SUBSTITUTE(SUBSTITUTE(Inventory_List_Table3411151091113171814[[#This Row],[LND RND USD]], "1", "M"), "2", "O"), "3", "X"), "4", "H"), "5", "E"), "6", "L"), "7", "F"), "8", "A"), "9", "N"), "0", "D"))</f>
        <v xml:space="preserve"> </v>
      </c>
      <c r="Z102" s="1" t="str">
        <f>IF(Inventory_List_Table3411151091113171814[[#This Row],[Q]]&lt;0.1, " ",Inventory_List_Table3411151091113171814[[#This Row],[H CM]]*Inventory_List_Table3411151091113171814[[#This Row],[D CM ]]*4+Inventory_List_Table3411151091113171814[[#This Row],[W CM]]*Inventory_List_Table3411151091113171814[[#This Row],[D CM ]]/10000)</f>
        <v xml:space="preserve"> </v>
      </c>
      <c r="AA102" s="30" t="str">
        <f>IF(Inventory_List_Table3411151091113171814[[#This Row],[Q]]&lt;0.1, " ",Inventory_List_Table3411151091113171814[[#This Row],[PRICE]]/Z102*10000)</f>
        <v xml:space="preserve"> </v>
      </c>
      <c r="AB102" s="353"/>
      <c r="AC102" s="1"/>
      <c r="AD102" s="1"/>
    </row>
  </sheetData>
  <dataValidations count="12">
    <dataValidation allowBlank="1" showInputMessage="1" showErrorMessage="1" prompt="Enter company name in this cell" sqref="B1" xr:uid="{0218ECDA-0D11-4F22-8F2E-2D8367310CB0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6DAFC7A3-2A53-46A9-ACE8-86FBD78C4B55}"/>
    <dataValidation allowBlank="1" showInputMessage="1" showErrorMessage="1" prompt="Enter the item inventory ID in this column" sqref="E2:E3" xr:uid="{FAC1D2C9-509A-4849-84E0-83ECCB548A54}"/>
    <dataValidation allowBlank="1" showInputMessage="1" showErrorMessage="1" prompt="Enter the name of the item in this column" sqref="F2:F3" xr:uid="{7439800D-EC91-4303-9EC6-79878B0139FD}"/>
    <dataValidation allowBlank="1" showInputMessage="1" showErrorMessage="1" prompt="Enter yes if the item has been discontinued. When a yes is entered, the corresponding row is highlighted a light grey and the font style changed to strikethrough" sqref="P2:P3" xr:uid="{38316A60-EED4-4AFC-AD79-60AB5084D4AB}"/>
    <dataValidation allowBlank="1" showInputMessage="1" showErrorMessage="1" prompt="Enter the quantity in reorder for each item in this column" sqref="O2:O3" xr:uid="{5D12D151-9FE4-4439-AD9F-3F0939A8072F}"/>
    <dataValidation allowBlank="1" showInputMessage="1" showErrorMessage="1" prompt="Enter the number of days it takes to reorder each item in this column" sqref="L2:N3" xr:uid="{A945DAD8-2AF2-4A55-9978-BF6D81C47A82}"/>
    <dataValidation allowBlank="1" showInputMessage="1" showErrorMessage="1" prompt="Enter the reorder level for each item in this column" sqref="K2:K3" xr:uid="{B5A27B48-936D-4610-BDC6-C6DFACAD813E}"/>
    <dataValidation allowBlank="1" showInputMessage="1" showErrorMessage="1" prompt="This is an automated column._x000a__x000a_The inventory value for each item is automatically calculated in this column." sqref="J2:J3" xr:uid="{5A8F97D3-5EC2-40C2-8A3B-C1020C93A438}"/>
    <dataValidation allowBlank="1" showInputMessage="1" showErrorMessage="1" prompt="Enter the quantity in stock for each item in this column" sqref="I2:I3" xr:uid="{EA335A57-26B5-4D39-92F8-2A4DD0BB9017}"/>
    <dataValidation allowBlank="1" showInputMessage="1" showErrorMessage="1" prompt="Enter the unit price of each item in this column" sqref="H2:H3" xr:uid="{83E7F1E5-E8C6-4E45-89FB-0F34A3B452E7}"/>
    <dataValidation allowBlank="1" showInputMessage="1" showErrorMessage="1" prompt="Enter a description of the item in this column" sqref="G2:G3" xr:uid="{0E3895D0-4788-4027-96ED-44CEB0FED056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1DD8-4344-4DDA-8350-9363AF3C748B}">
  <sheetPr>
    <tabColor rgb="FFF7941D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4.5" x14ac:dyDescent="0.25">
      <c r="A1" s="354" t="s">
        <v>128</v>
      </c>
      <c r="B1" s="355" t="s">
        <v>129</v>
      </c>
      <c r="C1" s="355" t="s">
        <v>17</v>
      </c>
      <c r="D1" s="355">
        <v>326</v>
      </c>
      <c r="E1" s="355"/>
      <c r="F1" s="355"/>
      <c r="G1" s="355"/>
      <c r="H1" s="355"/>
      <c r="I1" s="355"/>
      <c r="J1" s="356"/>
      <c r="K1" s="355" t="s">
        <v>18</v>
      </c>
      <c r="L1" s="357">
        <v>18</v>
      </c>
      <c r="M1" s="358">
        <f>SUM(Inventory_List_Table341115109111317181416[TOTAL PESOS])</f>
        <v>0</v>
      </c>
      <c r="N1" s="359"/>
      <c r="O1" s="359"/>
      <c r="P1" s="359"/>
      <c r="Q1" s="360"/>
      <c r="R1" s="361"/>
      <c r="S1" s="362"/>
      <c r="T1" s="363"/>
      <c r="U1" s="363"/>
      <c r="V1" s="363"/>
      <c r="W1" s="364">
        <f>SUM(Inventory_List_Table341115109111317181416[TOTAL USD])</f>
        <v>0</v>
      </c>
      <c r="X1" s="365"/>
      <c r="Y1" s="365"/>
      <c r="Z1" s="365"/>
      <c r="AA1" s="366" t="str">
        <f>IF(G3&gt;0.1, AVERAGE(Inventory_List_Table341115109111317181416[NOTES]), " ")</f>
        <v xml:space="preserve"> </v>
      </c>
      <c r="AB1" s="361"/>
    </row>
    <row r="2" spans="1:30" s="39" customFormat="1" ht="39" x14ac:dyDescent="0.25">
      <c r="A2" s="367" t="s">
        <v>19</v>
      </c>
      <c r="B2" s="368" t="s">
        <v>56</v>
      </c>
      <c r="C2" s="368" t="s">
        <v>146</v>
      </c>
      <c r="D2" s="368" t="s">
        <v>145</v>
      </c>
      <c r="E2" s="368" t="s">
        <v>55</v>
      </c>
      <c r="F2" s="367" t="s">
        <v>20</v>
      </c>
      <c r="G2" s="367" t="s">
        <v>9</v>
      </c>
      <c r="H2" s="367" t="s">
        <v>10</v>
      </c>
      <c r="I2" s="367" t="s">
        <v>15</v>
      </c>
      <c r="J2" s="367" t="s">
        <v>11</v>
      </c>
      <c r="K2" s="367" t="s">
        <v>12</v>
      </c>
      <c r="L2" s="368" t="s">
        <v>25</v>
      </c>
      <c r="M2" s="369" t="s">
        <v>21</v>
      </c>
      <c r="N2" s="370" t="s">
        <v>13</v>
      </c>
      <c r="O2" s="370" t="s">
        <v>22</v>
      </c>
      <c r="P2" s="370" t="s">
        <v>23</v>
      </c>
      <c r="Q2" s="370" t="s">
        <v>24</v>
      </c>
      <c r="R2" s="371" t="s">
        <v>57</v>
      </c>
      <c r="S2" s="368" t="s">
        <v>58</v>
      </c>
      <c r="T2" s="371" t="s">
        <v>59</v>
      </c>
      <c r="U2" s="371" t="s">
        <v>60</v>
      </c>
      <c r="V2" s="371" t="s">
        <v>61</v>
      </c>
      <c r="W2" s="372" t="s">
        <v>14</v>
      </c>
      <c r="X2" s="372" t="s">
        <v>16</v>
      </c>
      <c r="Y2" s="372" t="s">
        <v>1</v>
      </c>
      <c r="Z2" s="355" t="s">
        <v>62</v>
      </c>
      <c r="AA2" s="357" t="s">
        <v>63</v>
      </c>
      <c r="AB2" s="355" t="s">
        <v>64</v>
      </c>
    </row>
    <row r="3" spans="1:30" s="29" customFormat="1" ht="23.25" x14ac:dyDescent="0.35">
      <c r="A3" s="373">
        <v>1</v>
      </c>
      <c r="B3" s="1"/>
      <c r="C3" s="375"/>
      <c r="D3" s="375"/>
      <c r="E3" s="375"/>
      <c r="F3" s="38" t="str">
        <f>IF(Inventory_List_Table341115109111317181416[[#This Row],[Q]]&lt;0.1, " ",A1&amp;$D$1&amp;Inventory_List_Table341115109111317181416[[#This Row],['#]]&amp;Inventory_List_Table341115109111317181416[[#This Row],[LC]])</f>
        <v xml:space="preserve"> </v>
      </c>
      <c r="G3" s="376"/>
      <c r="H3" s="376"/>
      <c r="I3" s="376"/>
      <c r="J3" s="376"/>
      <c r="K3" s="376"/>
      <c r="L3" s="377"/>
      <c r="M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" s="35" t="str">
        <f>IF(Inventory_List_Table341115109111317181416[[#This Row],[Q]]&lt;0.1, " ", Inventory_List_Table341115109111317181416[[#This Row],[KG]]*2.20462)</f>
        <v xml:space="preserve"> </v>
      </c>
      <c r="O3" s="35" t="str">
        <f>IF(Inventory_List_Table341115109111317181416[[#This Row],[Q]]&lt;0.1, " ",Inventory_List_Table341115109111317181416[[#This Row],[H CM]]/2.54)</f>
        <v xml:space="preserve"> </v>
      </c>
      <c r="P3" s="35" t="str">
        <f>IF(Inventory_List_Table341115109111317181416[[#This Row],[Q]]&lt;0.1, " ",Inventory_List_Table341115109111317181416[[#This Row],[W CM]]/2.54)</f>
        <v xml:space="preserve"> </v>
      </c>
      <c r="Q3" s="35" t="str">
        <f>IF(Inventory_List_Table341115109111317181416[[#This Row],[Q]]&lt;0.1, " ",Inventory_List_Table341115109111317181416[[#This Row],[D CM ]]/2.54)</f>
        <v xml:space="preserve"> </v>
      </c>
      <c r="R3" s="30" t="str">
        <f>IF(Inventory_List_Table341115109111317181416[[#This Row],[Q]]&lt;0.1, " ",Inventory_List_Table341115109111317181416[[#This Row],[PRICE]]/$L$1)</f>
        <v xml:space="preserve"> </v>
      </c>
      <c r="S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" s="30" t="str">
        <f>IF(Inventory_List_Table341115109111317181416[[#This Row],[Q]]&lt;0.1, " ",Inventory_List_Table341115109111317181416[[#This Row],[AQ RND USD]]*1.4)</f>
        <v xml:space="preserve"> </v>
      </c>
      <c r="U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" s="30" t="str">
        <f>IF(Inventory_List_Table341115109111317181416[[#This Row],[Q]]&lt;0.1, " ",Inventory_List_Table341115109111317181416[[#This Row],[LND RND USD]]*12)</f>
        <v xml:space="preserve"> </v>
      </c>
      <c r="W3" s="30" t="str">
        <f>IF(Inventory_List_Table341115109111317181416[[#This Row],[Q]]&lt;0.1, " ",Inventory_List_Table341115109111317181416[[#This Row],[AQ USD]])</f>
        <v xml:space="preserve"> </v>
      </c>
      <c r="X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" s="36" t="str">
        <f>IF(Inventory_List_Table341115109111317181416[[#This Row],[Q]]&lt;0.1, " ",Inventory_List_Table341115109111317181416[[#This Row],[PRICE]]/Z3*10000)</f>
        <v xml:space="preserve"> </v>
      </c>
      <c r="AB3" s="374"/>
      <c r="AC3" s="27"/>
      <c r="AD3" s="28"/>
    </row>
    <row r="4" spans="1:30" ht="21" x14ac:dyDescent="0.3">
      <c r="A4" s="373">
        <v>2</v>
      </c>
      <c r="B4" s="1"/>
      <c r="C4" s="375"/>
      <c r="D4" s="375"/>
      <c r="E4" s="375"/>
      <c r="F4" s="38" t="str">
        <f>IF(Inventory_List_Table341115109111317181416[[#This Row],[Q]]&lt;0.1, " ",#REF!&amp;$D$1&amp;#REF!&amp;Inventory_List_Table341115109111317181416[[#This Row],[NOTES]])</f>
        <v xml:space="preserve"> </v>
      </c>
      <c r="G4" s="376"/>
      <c r="H4" s="376"/>
      <c r="I4" s="376"/>
      <c r="J4" s="376"/>
      <c r="K4" s="376"/>
      <c r="L4" s="378"/>
      <c r="M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" s="35" t="str">
        <f>IF(Inventory_List_Table341115109111317181416[[#This Row],[Q]]&lt;0.1, " ", Inventory_List_Table341115109111317181416[[#This Row],[KG]]*2.20462)</f>
        <v xml:space="preserve"> </v>
      </c>
      <c r="O4" s="35" t="str">
        <f>IF(Inventory_List_Table341115109111317181416[[#This Row],[Q]]&lt;0.1, " ",Inventory_List_Table341115109111317181416[[#This Row],[H CM]]/2.54)</f>
        <v xml:space="preserve"> </v>
      </c>
      <c r="P4" s="35" t="str">
        <f>IF(Inventory_List_Table341115109111317181416[[#This Row],[Q]]&lt;0.1, " ",Inventory_List_Table341115109111317181416[[#This Row],[W CM]]/2.54)</f>
        <v xml:space="preserve"> </v>
      </c>
      <c r="Q4" s="35" t="str">
        <f>IF(Inventory_List_Table341115109111317181416[[#This Row],[Q]]&lt;0.1, " ",Inventory_List_Table341115109111317181416[[#This Row],[D CM ]]/2.54)</f>
        <v xml:space="preserve"> </v>
      </c>
      <c r="R4" s="30" t="str">
        <f>IF(Inventory_List_Table341115109111317181416[[#This Row],[Q]]&lt;0.1, " ",Inventory_List_Table341115109111317181416[[#This Row],[PRICE]]/$L$1)</f>
        <v xml:space="preserve"> </v>
      </c>
      <c r="S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" s="30" t="str">
        <f>IF(Inventory_List_Table341115109111317181416[[#This Row],[Q]]&lt;0.1, " ",Inventory_List_Table341115109111317181416[[#This Row],[AQ RND USD]]*1.4)</f>
        <v xml:space="preserve"> </v>
      </c>
      <c r="U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" s="30" t="str">
        <f>IF(Inventory_List_Table341115109111317181416[[#This Row],[Q]]&lt;0.1, " ",Inventory_List_Table341115109111317181416[[#This Row],[LND RND USD]]*12)</f>
        <v xml:space="preserve"> </v>
      </c>
      <c r="W4" s="30" t="str">
        <f>IF(Inventory_List_Table341115109111317181416[[#This Row],[Q]]&lt;0.1, " ",Inventory_List_Table341115109111317181416[[#This Row],[AQ USD]])</f>
        <v xml:space="preserve"> </v>
      </c>
      <c r="X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" s="30" t="str">
        <f>IF(Inventory_List_Table341115109111317181416[[#This Row],[Q]]&lt;0.1, " ",Inventory_List_Table341115109111317181416[[#This Row],[PRICE]]/Z4*10000)</f>
        <v xml:space="preserve"> </v>
      </c>
      <c r="AB4" s="379"/>
      <c r="AC4" s="1"/>
      <c r="AD4" s="1"/>
    </row>
    <row r="5" spans="1:30" ht="24" customHeight="1" x14ac:dyDescent="0.3">
      <c r="A5" s="373">
        <v>3</v>
      </c>
      <c r="B5" s="1"/>
      <c r="C5" s="375"/>
      <c r="D5" s="375"/>
      <c r="E5" s="375"/>
      <c r="F5" s="38" t="str">
        <f>IF(Inventory_List_Table341115109111317181416[[#This Row],[Q]]&lt;0.1, " ",#REF!&amp;$D$1&amp;#REF!&amp;Inventory_List_Table341115109111317181416[[#This Row],[NOTES]])</f>
        <v xml:space="preserve"> </v>
      </c>
      <c r="G5" s="376"/>
      <c r="H5" s="376"/>
      <c r="I5" s="376"/>
      <c r="J5" s="376"/>
      <c r="K5" s="376"/>
      <c r="L5" s="378"/>
      <c r="M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" s="35" t="str">
        <f>IF(Inventory_List_Table341115109111317181416[[#This Row],[Q]]&lt;0.1, " ", Inventory_List_Table341115109111317181416[[#This Row],[KG]]*2.20462)</f>
        <v xml:space="preserve"> </v>
      </c>
      <c r="O5" s="35" t="str">
        <f>IF(Inventory_List_Table341115109111317181416[[#This Row],[Q]]&lt;0.1, " ",Inventory_List_Table341115109111317181416[[#This Row],[H CM]]/2.54)</f>
        <v xml:space="preserve"> </v>
      </c>
      <c r="P5" s="35" t="str">
        <f>IF(Inventory_List_Table341115109111317181416[[#This Row],[Q]]&lt;0.1, " ",Inventory_List_Table341115109111317181416[[#This Row],[W CM]]/2.54)</f>
        <v xml:space="preserve"> </v>
      </c>
      <c r="Q5" s="35" t="str">
        <f>IF(Inventory_List_Table341115109111317181416[[#This Row],[Q]]&lt;0.1, " ",Inventory_List_Table341115109111317181416[[#This Row],[D CM ]]/2.54)</f>
        <v xml:space="preserve"> </v>
      </c>
      <c r="R5" s="30" t="str">
        <f>IF(Inventory_List_Table341115109111317181416[[#This Row],[Q]]&lt;0.1, " ",Inventory_List_Table341115109111317181416[[#This Row],[PRICE]]/$L$1)</f>
        <v xml:space="preserve"> </v>
      </c>
      <c r="S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" s="30" t="str">
        <f>IF(Inventory_List_Table341115109111317181416[[#This Row],[Q]]&lt;0.1, " ",Inventory_List_Table341115109111317181416[[#This Row],[AQ RND USD]]*1.4)</f>
        <v xml:space="preserve"> </v>
      </c>
      <c r="U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" s="30" t="str">
        <f>IF(Inventory_List_Table341115109111317181416[[#This Row],[Q]]&lt;0.1, " ",Inventory_List_Table341115109111317181416[[#This Row],[LND RND USD]]*12)</f>
        <v xml:space="preserve"> </v>
      </c>
      <c r="W5" s="30" t="str">
        <f>IF(Inventory_List_Table341115109111317181416[[#This Row],[Q]]&lt;0.1, " ",Inventory_List_Table341115109111317181416[[#This Row],[AQ USD]])</f>
        <v xml:space="preserve"> </v>
      </c>
      <c r="X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" s="30" t="str">
        <f>IF(Inventory_List_Table341115109111317181416[[#This Row],[Q]]&lt;0.1, " ",Inventory_List_Table341115109111317181416[[#This Row],[PRICE]]/Z5*10000)</f>
        <v xml:space="preserve"> </v>
      </c>
      <c r="AB5" s="379"/>
      <c r="AC5" s="1"/>
      <c r="AD5" s="1"/>
    </row>
    <row r="6" spans="1:30" ht="24" customHeight="1" x14ac:dyDescent="0.3">
      <c r="A6" s="373">
        <v>4</v>
      </c>
      <c r="B6" s="1"/>
      <c r="C6" s="375"/>
      <c r="D6" s="375"/>
      <c r="E6" s="375"/>
      <c r="F6" s="38" t="str">
        <f>IF(Inventory_List_Table341115109111317181416[[#This Row],[Q]]&lt;0.1, " ",#REF!&amp;$D$1&amp;#REF!&amp;Inventory_List_Table341115109111317181416[[#This Row],[NOTES]])</f>
        <v xml:space="preserve"> </v>
      </c>
      <c r="G6" s="376"/>
      <c r="H6" s="376"/>
      <c r="I6" s="376"/>
      <c r="J6" s="376"/>
      <c r="K6" s="376"/>
      <c r="L6" s="378"/>
      <c r="M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" s="35" t="str">
        <f>IF(Inventory_List_Table341115109111317181416[[#This Row],[Q]]&lt;0.1, " ", Inventory_List_Table341115109111317181416[[#This Row],[KG]]*2.20462)</f>
        <v xml:space="preserve"> </v>
      </c>
      <c r="O6" s="35" t="str">
        <f>IF(Inventory_List_Table341115109111317181416[[#This Row],[Q]]&lt;0.1, " ",Inventory_List_Table341115109111317181416[[#This Row],[H CM]]/2.54)</f>
        <v xml:space="preserve"> </v>
      </c>
      <c r="P6" s="35" t="str">
        <f>IF(Inventory_List_Table341115109111317181416[[#This Row],[Q]]&lt;0.1, " ",Inventory_List_Table341115109111317181416[[#This Row],[W CM]]/2.54)</f>
        <v xml:space="preserve"> </v>
      </c>
      <c r="Q6" s="35" t="str">
        <f>IF(Inventory_List_Table341115109111317181416[[#This Row],[Q]]&lt;0.1, " ",Inventory_List_Table341115109111317181416[[#This Row],[D CM ]]/2.54)</f>
        <v xml:space="preserve"> </v>
      </c>
      <c r="R6" s="30" t="str">
        <f>IF(Inventory_List_Table341115109111317181416[[#This Row],[Q]]&lt;0.1, " ",Inventory_List_Table341115109111317181416[[#This Row],[PRICE]]/$L$1)</f>
        <v xml:space="preserve"> </v>
      </c>
      <c r="S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" s="30" t="str">
        <f>IF(Inventory_List_Table341115109111317181416[[#This Row],[Q]]&lt;0.1, " ",Inventory_List_Table341115109111317181416[[#This Row],[AQ RND USD]]*1.4)</f>
        <v xml:space="preserve"> </v>
      </c>
      <c r="U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" s="30" t="str">
        <f>IF(Inventory_List_Table341115109111317181416[[#This Row],[Q]]&lt;0.1, " ",Inventory_List_Table341115109111317181416[[#This Row],[LND RND USD]]*12)</f>
        <v xml:space="preserve"> </v>
      </c>
      <c r="W6" s="30" t="str">
        <f>IF(Inventory_List_Table341115109111317181416[[#This Row],[Q]]&lt;0.1, " ",Inventory_List_Table341115109111317181416[[#This Row],[AQ USD]])</f>
        <v xml:space="preserve"> </v>
      </c>
      <c r="X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" s="30" t="str">
        <f>IF(Inventory_List_Table341115109111317181416[[#This Row],[Q]]&lt;0.1, " ",Inventory_List_Table341115109111317181416[[#This Row],[PRICE]]/Z6*10000)</f>
        <v xml:space="preserve"> </v>
      </c>
      <c r="AB6" s="379"/>
      <c r="AC6" s="1"/>
      <c r="AD6" s="1"/>
    </row>
    <row r="7" spans="1:30" ht="24" customHeight="1" x14ac:dyDescent="0.3">
      <c r="A7" s="373">
        <v>5</v>
      </c>
      <c r="B7" s="1"/>
      <c r="C7" s="375"/>
      <c r="D7" s="375"/>
      <c r="E7" s="375"/>
      <c r="F7" s="38" t="str">
        <f>IF(Inventory_List_Table341115109111317181416[[#This Row],[Q]]&lt;0.1, " ",#REF!&amp;$D$1&amp;#REF!&amp;Inventory_List_Table341115109111317181416[[#This Row],[NOTES]])</f>
        <v xml:space="preserve"> </v>
      </c>
      <c r="G7" s="376"/>
      <c r="H7" s="376"/>
      <c r="I7" s="376"/>
      <c r="J7" s="376"/>
      <c r="K7" s="376"/>
      <c r="L7" s="378"/>
      <c r="M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" s="35" t="str">
        <f>IF(Inventory_List_Table341115109111317181416[[#This Row],[Q]]&lt;0.1, " ", Inventory_List_Table341115109111317181416[[#This Row],[KG]]*2.20462)</f>
        <v xml:space="preserve"> </v>
      </c>
      <c r="O7" s="35" t="str">
        <f>IF(Inventory_List_Table341115109111317181416[[#This Row],[Q]]&lt;0.1, " ",Inventory_List_Table341115109111317181416[[#This Row],[H CM]]/2.54)</f>
        <v xml:space="preserve"> </v>
      </c>
      <c r="P7" s="35" t="str">
        <f>IF(Inventory_List_Table341115109111317181416[[#This Row],[Q]]&lt;0.1, " ",Inventory_List_Table341115109111317181416[[#This Row],[W CM]]/2.54)</f>
        <v xml:space="preserve"> </v>
      </c>
      <c r="Q7" s="35" t="str">
        <f>IF(Inventory_List_Table341115109111317181416[[#This Row],[Q]]&lt;0.1, " ",Inventory_List_Table341115109111317181416[[#This Row],[D CM ]]/2.54)</f>
        <v xml:space="preserve"> </v>
      </c>
      <c r="R7" s="30" t="str">
        <f>IF(Inventory_List_Table341115109111317181416[[#This Row],[Q]]&lt;0.1, " ",Inventory_List_Table341115109111317181416[[#This Row],[PRICE]]/$L$1)</f>
        <v xml:space="preserve"> </v>
      </c>
      <c r="S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" s="30" t="str">
        <f>IF(Inventory_List_Table341115109111317181416[[#This Row],[Q]]&lt;0.1, " ",Inventory_List_Table341115109111317181416[[#This Row],[AQ RND USD]]*1.4)</f>
        <v xml:space="preserve"> </v>
      </c>
      <c r="U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" s="30" t="str">
        <f>IF(Inventory_List_Table341115109111317181416[[#This Row],[Q]]&lt;0.1, " ",Inventory_List_Table341115109111317181416[[#This Row],[LND RND USD]]*12)</f>
        <v xml:space="preserve"> </v>
      </c>
      <c r="W7" s="30" t="str">
        <f>IF(Inventory_List_Table341115109111317181416[[#This Row],[Q]]&lt;0.1, " ",Inventory_List_Table341115109111317181416[[#This Row],[AQ USD]])</f>
        <v xml:space="preserve"> </v>
      </c>
      <c r="X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" s="30" t="str">
        <f>IF(Inventory_List_Table341115109111317181416[[#This Row],[Q]]&lt;0.1, " ",Inventory_List_Table341115109111317181416[[#This Row],[PRICE]]/Z7*10000)</f>
        <v xml:space="preserve"> </v>
      </c>
      <c r="AB7" s="379"/>
      <c r="AC7" s="1"/>
      <c r="AD7" s="1"/>
    </row>
    <row r="8" spans="1:30" ht="24" customHeight="1" x14ac:dyDescent="0.3">
      <c r="A8" s="373">
        <v>6</v>
      </c>
      <c r="B8" s="1"/>
      <c r="C8" s="375"/>
      <c r="D8" s="375"/>
      <c r="E8" s="375"/>
      <c r="F8" s="38" t="str">
        <f>IF(Inventory_List_Table341115109111317181416[[#This Row],[Q]]&lt;0.1, " ",#REF!&amp;$D$1&amp;#REF!&amp;Inventory_List_Table341115109111317181416[[#This Row],[NOTES]])</f>
        <v xml:space="preserve"> </v>
      </c>
      <c r="G8" s="376"/>
      <c r="H8" s="376"/>
      <c r="I8" s="376"/>
      <c r="J8" s="376"/>
      <c r="K8" s="376"/>
      <c r="L8" s="378"/>
      <c r="M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" s="35" t="str">
        <f>IF(Inventory_List_Table341115109111317181416[[#This Row],[Q]]&lt;0.1, " ", Inventory_List_Table341115109111317181416[[#This Row],[KG]]*2.20462)</f>
        <v xml:space="preserve"> </v>
      </c>
      <c r="O8" s="35" t="str">
        <f>IF(Inventory_List_Table341115109111317181416[[#This Row],[Q]]&lt;0.1, " ",Inventory_List_Table341115109111317181416[[#This Row],[H CM]]/2.54)</f>
        <v xml:space="preserve"> </v>
      </c>
      <c r="P8" s="35" t="str">
        <f>IF(Inventory_List_Table341115109111317181416[[#This Row],[Q]]&lt;0.1, " ",Inventory_List_Table341115109111317181416[[#This Row],[W CM]]/2.54)</f>
        <v xml:space="preserve"> </v>
      </c>
      <c r="Q8" s="35" t="str">
        <f>IF(Inventory_List_Table341115109111317181416[[#This Row],[Q]]&lt;0.1, " ",Inventory_List_Table341115109111317181416[[#This Row],[D CM ]]/2.54)</f>
        <v xml:space="preserve"> </v>
      </c>
      <c r="R8" s="30" t="str">
        <f>IF(Inventory_List_Table341115109111317181416[[#This Row],[Q]]&lt;0.1, " ",Inventory_List_Table341115109111317181416[[#This Row],[PRICE]]/$L$1)</f>
        <v xml:space="preserve"> </v>
      </c>
      <c r="S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" s="30" t="str">
        <f>IF(Inventory_List_Table341115109111317181416[[#This Row],[Q]]&lt;0.1, " ",Inventory_List_Table341115109111317181416[[#This Row],[AQ RND USD]]*1.4)</f>
        <v xml:space="preserve"> </v>
      </c>
      <c r="U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" s="30" t="str">
        <f>IF(Inventory_List_Table341115109111317181416[[#This Row],[Q]]&lt;0.1, " ",Inventory_List_Table341115109111317181416[[#This Row],[LND RND USD]]*12)</f>
        <v xml:space="preserve"> </v>
      </c>
      <c r="W8" s="30" t="str">
        <f>IF(Inventory_List_Table341115109111317181416[[#This Row],[Q]]&lt;0.1, " ",Inventory_List_Table341115109111317181416[[#This Row],[AQ USD]])</f>
        <v xml:space="preserve"> </v>
      </c>
      <c r="X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" s="30" t="str">
        <f>IF(Inventory_List_Table341115109111317181416[[#This Row],[Q]]&lt;0.1, " ",Inventory_List_Table341115109111317181416[[#This Row],[PRICE]]/Z8*10000)</f>
        <v xml:space="preserve"> </v>
      </c>
      <c r="AB8" s="379"/>
      <c r="AC8" s="1"/>
      <c r="AD8" s="1"/>
    </row>
    <row r="9" spans="1:30" ht="24" customHeight="1" x14ac:dyDescent="0.3">
      <c r="A9" s="373">
        <v>7</v>
      </c>
      <c r="B9" s="1"/>
      <c r="C9" s="375"/>
      <c r="D9" s="375"/>
      <c r="E9" s="375"/>
      <c r="F9" s="38" t="str">
        <f>IF(Inventory_List_Table341115109111317181416[[#This Row],[Q]]&lt;0.1, " ",#REF!&amp;$D$1&amp;#REF!&amp;Inventory_List_Table341115109111317181416[[#This Row],[NOTES]])</f>
        <v xml:space="preserve"> </v>
      </c>
      <c r="G9" s="376"/>
      <c r="H9" s="376"/>
      <c r="I9" s="376"/>
      <c r="J9" s="376"/>
      <c r="K9" s="376"/>
      <c r="L9" s="378"/>
      <c r="M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" s="35" t="str">
        <f>IF(Inventory_List_Table341115109111317181416[[#This Row],[Q]]&lt;0.1, " ", Inventory_List_Table341115109111317181416[[#This Row],[KG]]*2.20462)</f>
        <v xml:space="preserve"> </v>
      </c>
      <c r="O9" s="35" t="str">
        <f>IF(Inventory_List_Table341115109111317181416[[#This Row],[Q]]&lt;0.1, " ",Inventory_List_Table341115109111317181416[[#This Row],[H CM]]/2.54)</f>
        <v xml:space="preserve"> </v>
      </c>
      <c r="P9" s="35" t="str">
        <f>IF(Inventory_List_Table341115109111317181416[[#This Row],[Q]]&lt;0.1, " ",Inventory_List_Table341115109111317181416[[#This Row],[W CM]]/2.54)</f>
        <v xml:space="preserve"> </v>
      </c>
      <c r="Q9" s="35" t="str">
        <f>IF(Inventory_List_Table341115109111317181416[[#This Row],[Q]]&lt;0.1, " ",Inventory_List_Table341115109111317181416[[#This Row],[D CM ]]/2.54)</f>
        <v xml:space="preserve"> </v>
      </c>
      <c r="R9" s="30" t="str">
        <f>IF(Inventory_List_Table341115109111317181416[[#This Row],[Q]]&lt;0.1, " ",Inventory_List_Table341115109111317181416[[#This Row],[PRICE]]/$L$1)</f>
        <v xml:space="preserve"> </v>
      </c>
      <c r="S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" s="30" t="str">
        <f>IF(Inventory_List_Table341115109111317181416[[#This Row],[Q]]&lt;0.1, " ",Inventory_List_Table341115109111317181416[[#This Row],[AQ RND USD]]*1.4)</f>
        <v xml:space="preserve"> </v>
      </c>
      <c r="U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" s="30" t="str">
        <f>IF(Inventory_List_Table341115109111317181416[[#This Row],[Q]]&lt;0.1, " ",Inventory_List_Table341115109111317181416[[#This Row],[LND RND USD]]*12)</f>
        <v xml:space="preserve"> </v>
      </c>
      <c r="W9" s="30" t="str">
        <f>IF(Inventory_List_Table341115109111317181416[[#This Row],[Q]]&lt;0.1, " ",Inventory_List_Table341115109111317181416[[#This Row],[AQ USD]])</f>
        <v xml:space="preserve"> </v>
      </c>
      <c r="X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" s="30" t="str">
        <f>IF(Inventory_List_Table341115109111317181416[[#This Row],[Q]]&lt;0.1, " ",Inventory_List_Table341115109111317181416[[#This Row],[PRICE]]/Z9*10000)</f>
        <v xml:space="preserve"> </v>
      </c>
      <c r="AB9" s="379"/>
      <c r="AC9" s="1"/>
      <c r="AD9" s="1"/>
    </row>
    <row r="10" spans="1:30" ht="24" customHeight="1" x14ac:dyDescent="0.3">
      <c r="A10" s="373">
        <v>8</v>
      </c>
      <c r="B10" s="1"/>
      <c r="C10" s="375"/>
      <c r="D10" s="375"/>
      <c r="E10" s="375"/>
      <c r="F10" s="38" t="str">
        <f>IF(Inventory_List_Table341115109111317181416[[#This Row],[Q]]&lt;0.1, " ",#REF!&amp;$D$1&amp;#REF!&amp;Inventory_List_Table341115109111317181416[[#This Row],[NOTES]])</f>
        <v xml:space="preserve"> </v>
      </c>
      <c r="G10" s="376"/>
      <c r="H10" s="376"/>
      <c r="I10" s="376"/>
      <c r="J10" s="376"/>
      <c r="K10" s="376"/>
      <c r="L10" s="378"/>
      <c r="M1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0" s="35" t="str">
        <f>IF(Inventory_List_Table341115109111317181416[[#This Row],[Q]]&lt;0.1, " ", Inventory_List_Table341115109111317181416[[#This Row],[KG]]*2.20462)</f>
        <v xml:space="preserve"> </v>
      </c>
      <c r="O10" s="35" t="str">
        <f>IF(Inventory_List_Table341115109111317181416[[#This Row],[Q]]&lt;0.1, " ",Inventory_List_Table341115109111317181416[[#This Row],[H CM]]/2.54)</f>
        <v xml:space="preserve"> </v>
      </c>
      <c r="P10" s="35" t="str">
        <f>IF(Inventory_List_Table341115109111317181416[[#This Row],[Q]]&lt;0.1, " ",Inventory_List_Table341115109111317181416[[#This Row],[W CM]]/2.54)</f>
        <v xml:space="preserve"> </v>
      </c>
      <c r="Q10" s="35" t="str">
        <f>IF(Inventory_List_Table341115109111317181416[[#This Row],[Q]]&lt;0.1, " ",Inventory_List_Table341115109111317181416[[#This Row],[D CM ]]/2.54)</f>
        <v xml:space="preserve"> </v>
      </c>
      <c r="R10" s="30" t="str">
        <f>IF(Inventory_List_Table341115109111317181416[[#This Row],[Q]]&lt;0.1, " ",Inventory_List_Table341115109111317181416[[#This Row],[PRICE]]/$L$1)</f>
        <v xml:space="preserve"> </v>
      </c>
      <c r="S1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0" s="30" t="str">
        <f>IF(Inventory_List_Table341115109111317181416[[#This Row],[Q]]&lt;0.1, " ",Inventory_List_Table341115109111317181416[[#This Row],[AQ RND USD]]*1.4)</f>
        <v xml:space="preserve"> </v>
      </c>
      <c r="U1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0" s="30" t="str">
        <f>IF(Inventory_List_Table341115109111317181416[[#This Row],[Q]]&lt;0.1, " ",Inventory_List_Table341115109111317181416[[#This Row],[LND RND USD]]*12)</f>
        <v xml:space="preserve"> </v>
      </c>
      <c r="W10" s="30" t="str">
        <f>IF(Inventory_List_Table341115109111317181416[[#This Row],[Q]]&lt;0.1, " ",Inventory_List_Table341115109111317181416[[#This Row],[AQ USD]])</f>
        <v xml:space="preserve"> </v>
      </c>
      <c r="X1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0" s="30" t="str">
        <f>IF(Inventory_List_Table341115109111317181416[[#This Row],[Q]]&lt;0.1, " ",Inventory_List_Table341115109111317181416[[#This Row],[PRICE]]/Z10*10000)</f>
        <v xml:space="preserve"> </v>
      </c>
      <c r="AB10" s="379"/>
      <c r="AC10" s="1"/>
      <c r="AD10" s="1"/>
    </row>
    <row r="11" spans="1:30" ht="24" customHeight="1" x14ac:dyDescent="0.3">
      <c r="A11" s="373">
        <v>9</v>
      </c>
      <c r="B11" s="1"/>
      <c r="C11" s="375"/>
      <c r="D11" s="375"/>
      <c r="E11" s="375"/>
      <c r="F11" s="38" t="str">
        <f>IF(Inventory_List_Table341115109111317181416[[#This Row],[Q]]&lt;0.1, " ",#REF!&amp;$D$1&amp;#REF!&amp;Inventory_List_Table341115109111317181416[[#This Row],[NOTES]])</f>
        <v xml:space="preserve"> </v>
      </c>
      <c r="G11" s="376"/>
      <c r="H11" s="376"/>
      <c r="I11" s="376"/>
      <c r="J11" s="376"/>
      <c r="K11" s="376"/>
      <c r="L11" s="378"/>
      <c r="M1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1" s="35" t="str">
        <f>IF(Inventory_List_Table341115109111317181416[[#This Row],[Q]]&lt;0.1, " ", Inventory_List_Table341115109111317181416[[#This Row],[KG]]*2.20462)</f>
        <v xml:space="preserve"> </v>
      </c>
      <c r="O11" s="35" t="str">
        <f>IF(Inventory_List_Table341115109111317181416[[#This Row],[Q]]&lt;0.1, " ",Inventory_List_Table341115109111317181416[[#This Row],[H CM]]/2.54)</f>
        <v xml:space="preserve"> </v>
      </c>
      <c r="P11" s="35" t="str">
        <f>IF(Inventory_List_Table341115109111317181416[[#This Row],[Q]]&lt;0.1, " ",Inventory_List_Table341115109111317181416[[#This Row],[W CM]]/2.54)</f>
        <v xml:space="preserve"> </v>
      </c>
      <c r="Q11" s="35" t="str">
        <f>IF(Inventory_List_Table341115109111317181416[[#This Row],[Q]]&lt;0.1, " ",Inventory_List_Table341115109111317181416[[#This Row],[D CM ]]/2.54)</f>
        <v xml:space="preserve"> </v>
      </c>
      <c r="R11" s="30" t="str">
        <f>IF(Inventory_List_Table341115109111317181416[[#This Row],[Q]]&lt;0.1, " ",Inventory_List_Table341115109111317181416[[#This Row],[PRICE]]/$L$1)</f>
        <v xml:space="preserve"> </v>
      </c>
      <c r="S1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1" s="30" t="str">
        <f>IF(Inventory_List_Table341115109111317181416[[#This Row],[Q]]&lt;0.1, " ",Inventory_List_Table341115109111317181416[[#This Row],[AQ RND USD]]*1.4)</f>
        <v xml:space="preserve"> </v>
      </c>
      <c r="U1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1" s="30" t="str">
        <f>IF(Inventory_List_Table341115109111317181416[[#This Row],[Q]]&lt;0.1, " ",Inventory_List_Table341115109111317181416[[#This Row],[LND RND USD]]*12)</f>
        <v xml:space="preserve"> </v>
      </c>
      <c r="W11" s="30" t="str">
        <f>IF(Inventory_List_Table341115109111317181416[[#This Row],[Q]]&lt;0.1, " ",Inventory_List_Table341115109111317181416[[#This Row],[AQ USD]])</f>
        <v xml:space="preserve"> </v>
      </c>
      <c r="X1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1" s="30" t="str">
        <f>IF(Inventory_List_Table341115109111317181416[[#This Row],[Q]]&lt;0.1, " ",Inventory_List_Table341115109111317181416[[#This Row],[PRICE]]/Z11*10000)</f>
        <v xml:space="preserve"> </v>
      </c>
      <c r="AB11" s="379"/>
      <c r="AC11" s="1"/>
      <c r="AD11" s="1"/>
    </row>
    <row r="12" spans="1:30" ht="24" customHeight="1" x14ac:dyDescent="0.3">
      <c r="A12" s="373">
        <v>10</v>
      </c>
      <c r="B12" s="1"/>
      <c r="C12" s="375"/>
      <c r="D12" s="375"/>
      <c r="E12" s="375"/>
      <c r="F12" s="38" t="str">
        <f>IF(Inventory_List_Table341115109111317181416[[#This Row],[Q]]&lt;0.1, " ",#REF!&amp;$D$1&amp;#REF!&amp;Inventory_List_Table341115109111317181416[[#This Row],[NOTES]])</f>
        <v xml:space="preserve"> </v>
      </c>
      <c r="G12" s="376"/>
      <c r="H12" s="376"/>
      <c r="I12" s="376"/>
      <c r="J12" s="376"/>
      <c r="K12" s="376"/>
      <c r="L12" s="378"/>
      <c r="M1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2" s="35" t="str">
        <f>IF(Inventory_List_Table341115109111317181416[[#This Row],[Q]]&lt;0.1, " ", Inventory_List_Table341115109111317181416[[#This Row],[KG]]*2.20462)</f>
        <v xml:space="preserve"> </v>
      </c>
      <c r="O12" s="35" t="str">
        <f>IF(Inventory_List_Table341115109111317181416[[#This Row],[Q]]&lt;0.1, " ",Inventory_List_Table341115109111317181416[[#This Row],[H CM]]/2.54)</f>
        <v xml:space="preserve"> </v>
      </c>
      <c r="P12" s="35" t="str">
        <f>IF(Inventory_List_Table341115109111317181416[[#This Row],[Q]]&lt;0.1, " ",Inventory_List_Table341115109111317181416[[#This Row],[W CM]]/2.54)</f>
        <v xml:space="preserve"> </v>
      </c>
      <c r="Q12" s="35" t="str">
        <f>IF(Inventory_List_Table341115109111317181416[[#This Row],[Q]]&lt;0.1, " ",Inventory_List_Table341115109111317181416[[#This Row],[D CM ]]/2.54)</f>
        <v xml:space="preserve"> </v>
      </c>
      <c r="R12" s="30" t="str">
        <f>IF(Inventory_List_Table341115109111317181416[[#This Row],[Q]]&lt;0.1, " ",Inventory_List_Table341115109111317181416[[#This Row],[PRICE]]/$L$1)</f>
        <v xml:space="preserve"> </v>
      </c>
      <c r="S1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2" s="30" t="str">
        <f>IF(Inventory_List_Table341115109111317181416[[#This Row],[Q]]&lt;0.1, " ",Inventory_List_Table341115109111317181416[[#This Row],[AQ RND USD]]*1.4)</f>
        <v xml:space="preserve"> </v>
      </c>
      <c r="U1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2" s="30" t="str">
        <f>IF(Inventory_List_Table341115109111317181416[[#This Row],[Q]]&lt;0.1, " ",Inventory_List_Table341115109111317181416[[#This Row],[LND RND USD]]*12)</f>
        <v xml:space="preserve"> </v>
      </c>
      <c r="W12" s="30" t="str">
        <f>IF(Inventory_List_Table341115109111317181416[[#This Row],[Q]]&lt;0.1, " ",Inventory_List_Table341115109111317181416[[#This Row],[AQ USD]])</f>
        <v xml:space="preserve"> </v>
      </c>
      <c r="X1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2" s="30" t="str">
        <f>IF(Inventory_List_Table341115109111317181416[[#This Row],[Q]]&lt;0.1, " ",Inventory_List_Table341115109111317181416[[#This Row],[PRICE]]/Z12*10000)</f>
        <v xml:space="preserve"> </v>
      </c>
      <c r="AB12" s="379"/>
      <c r="AC12" s="1"/>
      <c r="AD12" s="1"/>
    </row>
    <row r="13" spans="1:30" ht="24" customHeight="1" x14ac:dyDescent="0.3">
      <c r="A13" s="373">
        <v>11</v>
      </c>
      <c r="B13" s="1"/>
      <c r="C13" s="375"/>
      <c r="D13" s="375"/>
      <c r="E13" s="375"/>
      <c r="F13" s="38" t="str">
        <f>IF(Inventory_List_Table341115109111317181416[[#This Row],[Q]]&lt;0.1, " ",#REF!&amp;$D$1&amp;#REF!&amp;Inventory_List_Table341115109111317181416[[#This Row],[NOTES]])</f>
        <v xml:space="preserve"> </v>
      </c>
      <c r="G13" s="376"/>
      <c r="H13" s="376"/>
      <c r="I13" s="376"/>
      <c r="J13" s="376"/>
      <c r="K13" s="376"/>
      <c r="L13" s="378"/>
      <c r="M1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3" s="35" t="str">
        <f>IF(Inventory_List_Table341115109111317181416[[#This Row],[Q]]&lt;0.1, " ", Inventory_List_Table341115109111317181416[[#This Row],[KG]]*2.20462)</f>
        <v xml:space="preserve"> </v>
      </c>
      <c r="O13" s="35" t="str">
        <f>IF(Inventory_List_Table341115109111317181416[[#This Row],[Q]]&lt;0.1, " ",Inventory_List_Table341115109111317181416[[#This Row],[H CM]]/2.54)</f>
        <v xml:space="preserve"> </v>
      </c>
      <c r="P13" s="35" t="str">
        <f>IF(Inventory_List_Table341115109111317181416[[#This Row],[Q]]&lt;0.1, " ",Inventory_List_Table341115109111317181416[[#This Row],[W CM]]/2.54)</f>
        <v xml:space="preserve"> </v>
      </c>
      <c r="Q13" s="35" t="str">
        <f>IF(Inventory_List_Table341115109111317181416[[#This Row],[Q]]&lt;0.1, " ",Inventory_List_Table341115109111317181416[[#This Row],[D CM ]]/2.54)</f>
        <v xml:space="preserve"> </v>
      </c>
      <c r="R13" s="30" t="str">
        <f>IF(Inventory_List_Table341115109111317181416[[#This Row],[Q]]&lt;0.1, " ",Inventory_List_Table341115109111317181416[[#This Row],[PRICE]]/$L$1)</f>
        <v xml:space="preserve"> </v>
      </c>
      <c r="S1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3" s="30" t="str">
        <f>IF(Inventory_List_Table341115109111317181416[[#This Row],[Q]]&lt;0.1, " ",Inventory_List_Table341115109111317181416[[#This Row],[AQ RND USD]]*1.4)</f>
        <v xml:space="preserve"> </v>
      </c>
      <c r="U1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3" s="30" t="str">
        <f>IF(Inventory_List_Table341115109111317181416[[#This Row],[Q]]&lt;0.1, " ",Inventory_List_Table341115109111317181416[[#This Row],[LND RND USD]]*12)</f>
        <v xml:space="preserve"> </v>
      </c>
      <c r="W13" s="30" t="str">
        <f>IF(Inventory_List_Table341115109111317181416[[#This Row],[Q]]&lt;0.1, " ",Inventory_List_Table341115109111317181416[[#This Row],[AQ USD]])</f>
        <v xml:space="preserve"> </v>
      </c>
      <c r="X1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3" s="30" t="str">
        <f>IF(Inventory_List_Table341115109111317181416[[#This Row],[Q]]&lt;0.1, " ",Inventory_List_Table341115109111317181416[[#This Row],[PRICE]]/Z13*10000)</f>
        <v xml:space="preserve"> </v>
      </c>
      <c r="AB13" s="379"/>
      <c r="AC13" s="1"/>
      <c r="AD13" s="1"/>
    </row>
    <row r="14" spans="1:30" ht="24" customHeight="1" x14ac:dyDescent="0.3">
      <c r="A14" s="373">
        <v>12</v>
      </c>
      <c r="B14" s="1"/>
      <c r="C14" s="375"/>
      <c r="D14" s="375"/>
      <c r="E14" s="375"/>
      <c r="F14" s="38" t="str">
        <f>IF(Inventory_List_Table341115109111317181416[[#This Row],[Q]]&lt;0.1, " ",#REF!&amp;$D$1&amp;#REF!&amp;Inventory_List_Table341115109111317181416[[#This Row],[NOTES]])</f>
        <v xml:space="preserve"> </v>
      </c>
      <c r="G14" s="376"/>
      <c r="H14" s="376"/>
      <c r="I14" s="376"/>
      <c r="J14" s="376"/>
      <c r="K14" s="376"/>
      <c r="L14" s="378"/>
      <c r="M1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4" s="35" t="str">
        <f>IF(Inventory_List_Table341115109111317181416[[#This Row],[Q]]&lt;0.1, " ", Inventory_List_Table341115109111317181416[[#This Row],[KG]]*2.20462)</f>
        <v xml:space="preserve"> </v>
      </c>
      <c r="O14" s="35" t="str">
        <f>IF(Inventory_List_Table341115109111317181416[[#This Row],[Q]]&lt;0.1, " ",Inventory_List_Table341115109111317181416[[#This Row],[H CM]]/2.54)</f>
        <v xml:space="preserve"> </v>
      </c>
      <c r="P14" s="35" t="str">
        <f>IF(Inventory_List_Table341115109111317181416[[#This Row],[Q]]&lt;0.1, " ",Inventory_List_Table341115109111317181416[[#This Row],[W CM]]/2.54)</f>
        <v xml:space="preserve"> </v>
      </c>
      <c r="Q14" s="35" t="str">
        <f>IF(Inventory_List_Table341115109111317181416[[#This Row],[Q]]&lt;0.1, " ",Inventory_List_Table341115109111317181416[[#This Row],[D CM ]]/2.54)</f>
        <v xml:space="preserve"> </v>
      </c>
      <c r="R14" s="30" t="str">
        <f>IF(Inventory_List_Table341115109111317181416[[#This Row],[Q]]&lt;0.1, " ",Inventory_List_Table341115109111317181416[[#This Row],[PRICE]]/$L$1)</f>
        <v xml:space="preserve"> </v>
      </c>
      <c r="S1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4" s="30" t="str">
        <f>IF(Inventory_List_Table341115109111317181416[[#This Row],[Q]]&lt;0.1, " ",Inventory_List_Table341115109111317181416[[#This Row],[AQ RND USD]]*1.4)</f>
        <v xml:space="preserve"> </v>
      </c>
      <c r="U1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4" s="30" t="str">
        <f>IF(Inventory_List_Table341115109111317181416[[#This Row],[Q]]&lt;0.1, " ",Inventory_List_Table341115109111317181416[[#This Row],[LND RND USD]]*12)</f>
        <v xml:space="preserve"> </v>
      </c>
      <c r="W14" s="30" t="str">
        <f>IF(Inventory_List_Table341115109111317181416[[#This Row],[Q]]&lt;0.1, " ",Inventory_List_Table341115109111317181416[[#This Row],[AQ USD]])</f>
        <v xml:space="preserve"> </v>
      </c>
      <c r="X1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4" s="30" t="str">
        <f>IF(Inventory_List_Table341115109111317181416[[#This Row],[Q]]&lt;0.1, " ",Inventory_List_Table341115109111317181416[[#This Row],[PRICE]]/Z14*10000)</f>
        <v xml:space="preserve"> </v>
      </c>
      <c r="AB14" s="379"/>
      <c r="AC14" s="1"/>
      <c r="AD14" s="1"/>
    </row>
    <row r="15" spans="1:30" ht="24" customHeight="1" x14ac:dyDescent="0.3">
      <c r="A15" s="373">
        <v>13</v>
      </c>
      <c r="B15" s="1"/>
      <c r="C15" s="375"/>
      <c r="D15" s="375"/>
      <c r="E15" s="375"/>
      <c r="F15" s="38" t="str">
        <f>IF(Inventory_List_Table341115109111317181416[[#This Row],[Q]]&lt;0.1, " ",#REF!&amp;$D$1&amp;#REF!&amp;Inventory_List_Table341115109111317181416[[#This Row],[NOTES]])</f>
        <v xml:space="preserve"> </v>
      </c>
      <c r="G15" s="376"/>
      <c r="H15" s="376"/>
      <c r="I15" s="376"/>
      <c r="J15" s="376"/>
      <c r="K15" s="376"/>
      <c r="L15" s="378"/>
      <c r="M1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5" s="35" t="str">
        <f>IF(Inventory_List_Table341115109111317181416[[#This Row],[Q]]&lt;0.1, " ", Inventory_List_Table341115109111317181416[[#This Row],[KG]]*2.20462)</f>
        <v xml:space="preserve"> </v>
      </c>
      <c r="O15" s="35" t="str">
        <f>IF(Inventory_List_Table341115109111317181416[[#This Row],[Q]]&lt;0.1, " ",Inventory_List_Table341115109111317181416[[#This Row],[H CM]]/2.54)</f>
        <v xml:space="preserve"> </v>
      </c>
      <c r="P15" s="35" t="str">
        <f>IF(Inventory_List_Table341115109111317181416[[#This Row],[Q]]&lt;0.1, " ",Inventory_List_Table341115109111317181416[[#This Row],[W CM]]/2.54)</f>
        <v xml:space="preserve"> </v>
      </c>
      <c r="Q15" s="35" t="str">
        <f>IF(Inventory_List_Table341115109111317181416[[#This Row],[Q]]&lt;0.1, " ",Inventory_List_Table341115109111317181416[[#This Row],[D CM ]]/2.54)</f>
        <v xml:space="preserve"> </v>
      </c>
      <c r="R15" s="30" t="str">
        <f>IF(Inventory_List_Table341115109111317181416[[#This Row],[Q]]&lt;0.1, " ",Inventory_List_Table341115109111317181416[[#This Row],[PRICE]]/$L$1)</f>
        <v xml:space="preserve"> </v>
      </c>
      <c r="S1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5" s="30" t="str">
        <f>IF(Inventory_List_Table341115109111317181416[[#This Row],[Q]]&lt;0.1, " ",Inventory_List_Table341115109111317181416[[#This Row],[AQ RND USD]]*1.4)</f>
        <v xml:space="preserve"> </v>
      </c>
      <c r="U1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5" s="30" t="str">
        <f>IF(Inventory_List_Table341115109111317181416[[#This Row],[Q]]&lt;0.1, " ",Inventory_List_Table341115109111317181416[[#This Row],[LND RND USD]]*12)</f>
        <v xml:space="preserve"> </v>
      </c>
      <c r="W15" s="30" t="str">
        <f>IF(Inventory_List_Table341115109111317181416[[#This Row],[Q]]&lt;0.1, " ",Inventory_List_Table341115109111317181416[[#This Row],[AQ USD]])</f>
        <v xml:space="preserve"> </v>
      </c>
      <c r="X1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5" s="30" t="str">
        <f>IF(Inventory_List_Table341115109111317181416[[#This Row],[Q]]&lt;0.1, " ",Inventory_List_Table341115109111317181416[[#This Row],[PRICE]]/Z15*10000)</f>
        <v xml:space="preserve"> </v>
      </c>
      <c r="AB15" s="379"/>
      <c r="AC15" s="1"/>
      <c r="AD15" s="1"/>
    </row>
    <row r="16" spans="1:30" ht="24" customHeight="1" x14ac:dyDescent="0.3">
      <c r="A16" s="373">
        <v>14</v>
      </c>
      <c r="B16" s="1"/>
      <c r="C16" s="375"/>
      <c r="D16" s="375"/>
      <c r="E16" s="375"/>
      <c r="F16" s="38" t="str">
        <f>IF(Inventory_List_Table341115109111317181416[[#This Row],[Q]]&lt;0.1, " ",#REF!&amp;$D$1&amp;#REF!&amp;Inventory_List_Table341115109111317181416[[#This Row],[NOTES]])</f>
        <v xml:space="preserve"> </v>
      </c>
      <c r="G16" s="376"/>
      <c r="H16" s="376"/>
      <c r="I16" s="376"/>
      <c r="J16" s="376"/>
      <c r="K16" s="376"/>
      <c r="L16" s="378"/>
      <c r="M1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6" s="35" t="str">
        <f>IF(Inventory_List_Table341115109111317181416[[#This Row],[Q]]&lt;0.1, " ", Inventory_List_Table341115109111317181416[[#This Row],[KG]]*2.20462)</f>
        <v xml:space="preserve"> </v>
      </c>
      <c r="O16" s="35" t="str">
        <f>IF(Inventory_List_Table341115109111317181416[[#This Row],[Q]]&lt;0.1, " ",Inventory_List_Table341115109111317181416[[#This Row],[H CM]]/2.54)</f>
        <v xml:space="preserve"> </v>
      </c>
      <c r="P16" s="35" t="str">
        <f>IF(Inventory_List_Table341115109111317181416[[#This Row],[Q]]&lt;0.1, " ",Inventory_List_Table341115109111317181416[[#This Row],[W CM]]/2.54)</f>
        <v xml:space="preserve"> </v>
      </c>
      <c r="Q16" s="35" t="str">
        <f>IF(Inventory_List_Table341115109111317181416[[#This Row],[Q]]&lt;0.1, " ",Inventory_List_Table341115109111317181416[[#This Row],[D CM ]]/2.54)</f>
        <v xml:space="preserve"> </v>
      </c>
      <c r="R16" s="30" t="str">
        <f>IF(Inventory_List_Table341115109111317181416[[#This Row],[Q]]&lt;0.1, " ",Inventory_List_Table341115109111317181416[[#This Row],[PRICE]]/$L$1)</f>
        <v xml:space="preserve"> </v>
      </c>
      <c r="S1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6" s="30" t="str">
        <f>IF(Inventory_List_Table341115109111317181416[[#This Row],[Q]]&lt;0.1, " ",Inventory_List_Table341115109111317181416[[#This Row],[AQ RND USD]]*1.4)</f>
        <v xml:space="preserve"> </v>
      </c>
      <c r="U1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6" s="30" t="str">
        <f>IF(Inventory_List_Table341115109111317181416[[#This Row],[Q]]&lt;0.1, " ",Inventory_List_Table341115109111317181416[[#This Row],[LND RND USD]]*12)</f>
        <v xml:space="preserve"> </v>
      </c>
      <c r="W16" s="30" t="str">
        <f>IF(Inventory_List_Table341115109111317181416[[#This Row],[Q]]&lt;0.1, " ",Inventory_List_Table341115109111317181416[[#This Row],[AQ USD]])</f>
        <v xml:space="preserve"> </v>
      </c>
      <c r="X1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6" s="30" t="str">
        <f>IF(Inventory_List_Table341115109111317181416[[#This Row],[Q]]&lt;0.1, " ",Inventory_List_Table341115109111317181416[[#This Row],[PRICE]]/Z16*10000)</f>
        <v xml:space="preserve"> </v>
      </c>
      <c r="AB16" s="379"/>
      <c r="AC16" s="1"/>
      <c r="AD16" s="1"/>
    </row>
    <row r="17" spans="1:30" ht="24" customHeight="1" x14ac:dyDescent="0.3">
      <c r="A17" s="373">
        <v>15</v>
      </c>
      <c r="B17" s="1"/>
      <c r="C17" s="375"/>
      <c r="D17" s="375"/>
      <c r="E17" s="375"/>
      <c r="F17" s="38" t="str">
        <f>IF(Inventory_List_Table341115109111317181416[[#This Row],[Q]]&lt;0.1, " ",#REF!&amp;$D$1&amp;#REF!&amp;Inventory_List_Table341115109111317181416[[#This Row],[NOTES]])</f>
        <v xml:space="preserve"> </v>
      </c>
      <c r="G17" s="376"/>
      <c r="H17" s="376"/>
      <c r="I17" s="376"/>
      <c r="J17" s="376"/>
      <c r="K17" s="376"/>
      <c r="L17" s="378"/>
      <c r="M1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7" s="35" t="str">
        <f>IF(Inventory_List_Table341115109111317181416[[#This Row],[Q]]&lt;0.1, " ", Inventory_List_Table341115109111317181416[[#This Row],[KG]]*2.20462)</f>
        <v xml:space="preserve"> </v>
      </c>
      <c r="O17" s="35" t="str">
        <f>IF(Inventory_List_Table341115109111317181416[[#This Row],[Q]]&lt;0.1, " ",Inventory_List_Table341115109111317181416[[#This Row],[H CM]]/2.54)</f>
        <v xml:space="preserve"> </v>
      </c>
      <c r="P17" s="35" t="str">
        <f>IF(Inventory_List_Table341115109111317181416[[#This Row],[Q]]&lt;0.1, " ",Inventory_List_Table341115109111317181416[[#This Row],[W CM]]/2.54)</f>
        <v xml:space="preserve"> </v>
      </c>
      <c r="Q17" s="35" t="str">
        <f>IF(Inventory_List_Table341115109111317181416[[#This Row],[Q]]&lt;0.1, " ",Inventory_List_Table341115109111317181416[[#This Row],[D CM ]]/2.54)</f>
        <v xml:space="preserve"> </v>
      </c>
      <c r="R17" s="30" t="str">
        <f>IF(Inventory_List_Table341115109111317181416[[#This Row],[Q]]&lt;0.1, " ",Inventory_List_Table341115109111317181416[[#This Row],[PRICE]]/$L$1)</f>
        <v xml:space="preserve"> </v>
      </c>
      <c r="S1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7" s="30" t="str">
        <f>IF(Inventory_List_Table341115109111317181416[[#This Row],[Q]]&lt;0.1, " ",Inventory_List_Table341115109111317181416[[#This Row],[AQ RND USD]]*1.4)</f>
        <v xml:space="preserve"> </v>
      </c>
      <c r="U1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7" s="30" t="str">
        <f>IF(Inventory_List_Table341115109111317181416[[#This Row],[Q]]&lt;0.1, " ",Inventory_List_Table341115109111317181416[[#This Row],[LND RND USD]]*12)</f>
        <v xml:space="preserve"> </v>
      </c>
      <c r="W17" s="30" t="str">
        <f>IF(Inventory_List_Table341115109111317181416[[#This Row],[Q]]&lt;0.1, " ",Inventory_List_Table341115109111317181416[[#This Row],[AQ USD]])</f>
        <v xml:space="preserve"> </v>
      </c>
      <c r="X1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7" s="30" t="str">
        <f>IF(Inventory_List_Table341115109111317181416[[#This Row],[Q]]&lt;0.1, " ",Inventory_List_Table341115109111317181416[[#This Row],[PRICE]]/Z17*10000)</f>
        <v xml:space="preserve"> </v>
      </c>
      <c r="AB17" s="379"/>
      <c r="AC17" s="1"/>
      <c r="AD17" s="1"/>
    </row>
    <row r="18" spans="1:30" ht="24" customHeight="1" x14ac:dyDescent="0.3">
      <c r="A18" s="373">
        <v>16</v>
      </c>
      <c r="B18" s="1"/>
      <c r="C18" s="375"/>
      <c r="D18" s="375"/>
      <c r="E18" s="375"/>
      <c r="F18" s="38" t="str">
        <f>IF(Inventory_List_Table341115109111317181416[[#This Row],[Q]]&lt;0.1, " ",#REF!&amp;$D$1&amp;#REF!&amp;Inventory_List_Table341115109111317181416[[#This Row],[NOTES]])</f>
        <v xml:space="preserve"> </v>
      </c>
      <c r="G18" s="376"/>
      <c r="H18" s="376"/>
      <c r="I18" s="376"/>
      <c r="J18" s="376"/>
      <c r="K18" s="376"/>
      <c r="L18" s="378"/>
      <c r="M1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8" s="35" t="str">
        <f>IF(Inventory_List_Table341115109111317181416[[#This Row],[Q]]&lt;0.1, " ", Inventory_List_Table341115109111317181416[[#This Row],[KG]]*2.20462)</f>
        <v xml:space="preserve"> </v>
      </c>
      <c r="O18" s="35" t="str">
        <f>IF(Inventory_List_Table341115109111317181416[[#This Row],[Q]]&lt;0.1, " ",Inventory_List_Table341115109111317181416[[#This Row],[H CM]]/2.54)</f>
        <v xml:space="preserve"> </v>
      </c>
      <c r="P18" s="35" t="str">
        <f>IF(Inventory_List_Table341115109111317181416[[#This Row],[Q]]&lt;0.1, " ",Inventory_List_Table341115109111317181416[[#This Row],[W CM]]/2.54)</f>
        <v xml:space="preserve"> </v>
      </c>
      <c r="Q18" s="35" t="str">
        <f>IF(Inventory_List_Table341115109111317181416[[#This Row],[Q]]&lt;0.1, " ",Inventory_List_Table341115109111317181416[[#This Row],[D CM ]]/2.54)</f>
        <v xml:space="preserve"> </v>
      </c>
      <c r="R18" s="30" t="str">
        <f>IF(Inventory_List_Table341115109111317181416[[#This Row],[Q]]&lt;0.1, " ",Inventory_List_Table341115109111317181416[[#This Row],[PRICE]]/$L$1)</f>
        <v xml:space="preserve"> </v>
      </c>
      <c r="S1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8" s="30" t="str">
        <f>IF(Inventory_List_Table341115109111317181416[[#This Row],[Q]]&lt;0.1, " ",Inventory_List_Table341115109111317181416[[#This Row],[AQ RND USD]]*1.4)</f>
        <v xml:space="preserve"> </v>
      </c>
      <c r="U1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8" s="30" t="str">
        <f>IF(Inventory_List_Table341115109111317181416[[#This Row],[Q]]&lt;0.1, " ",Inventory_List_Table341115109111317181416[[#This Row],[LND RND USD]]*12)</f>
        <v xml:space="preserve"> </v>
      </c>
      <c r="W18" s="30" t="str">
        <f>IF(Inventory_List_Table341115109111317181416[[#This Row],[Q]]&lt;0.1, " ",Inventory_List_Table341115109111317181416[[#This Row],[AQ USD]])</f>
        <v xml:space="preserve"> </v>
      </c>
      <c r="X1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8" s="30" t="str">
        <f>IF(Inventory_List_Table341115109111317181416[[#This Row],[Q]]&lt;0.1, " ",Inventory_List_Table341115109111317181416[[#This Row],[PRICE]]/Z18*10000)</f>
        <v xml:space="preserve"> </v>
      </c>
      <c r="AB18" s="379"/>
      <c r="AC18" s="1"/>
      <c r="AD18" s="1"/>
    </row>
    <row r="19" spans="1:30" ht="24" customHeight="1" x14ac:dyDescent="0.3">
      <c r="A19" s="373">
        <v>17</v>
      </c>
      <c r="B19" s="1"/>
      <c r="C19" s="375"/>
      <c r="D19" s="375"/>
      <c r="E19" s="375"/>
      <c r="F19" s="38" t="str">
        <f>IF(Inventory_List_Table341115109111317181416[[#This Row],[Q]]&lt;0.1, " ",#REF!&amp;$D$1&amp;#REF!&amp;Inventory_List_Table341115109111317181416[[#This Row],[NOTES]])</f>
        <v xml:space="preserve"> </v>
      </c>
      <c r="G19" s="376"/>
      <c r="H19" s="376"/>
      <c r="I19" s="376"/>
      <c r="J19" s="376"/>
      <c r="K19" s="376"/>
      <c r="L19" s="378"/>
      <c r="M1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9" s="35" t="str">
        <f>IF(Inventory_List_Table341115109111317181416[[#This Row],[Q]]&lt;0.1, " ", Inventory_List_Table341115109111317181416[[#This Row],[KG]]*2.20462)</f>
        <v xml:space="preserve"> </v>
      </c>
      <c r="O19" s="35" t="str">
        <f>IF(Inventory_List_Table341115109111317181416[[#This Row],[Q]]&lt;0.1, " ",Inventory_List_Table341115109111317181416[[#This Row],[H CM]]/2.54)</f>
        <v xml:space="preserve"> </v>
      </c>
      <c r="P19" s="35" t="str">
        <f>IF(Inventory_List_Table341115109111317181416[[#This Row],[Q]]&lt;0.1, " ",Inventory_List_Table341115109111317181416[[#This Row],[W CM]]/2.54)</f>
        <v xml:space="preserve"> </v>
      </c>
      <c r="Q19" s="35" t="str">
        <f>IF(Inventory_List_Table341115109111317181416[[#This Row],[Q]]&lt;0.1, " ",Inventory_List_Table341115109111317181416[[#This Row],[D CM ]]/2.54)</f>
        <v xml:space="preserve"> </v>
      </c>
      <c r="R19" s="30" t="str">
        <f>IF(Inventory_List_Table341115109111317181416[[#This Row],[Q]]&lt;0.1, " ",Inventory_List_Table341115109111317181416[[#This Row],[PRICE]]/$L$1)</f>
        <v xml:space="preserve"> </v>
      </c>
      <c r="S1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9" s="30" t="str">
        <f>IF(Inventory_List_Table341115109111317181416[[#This Row],[Q]]&lt;0.1, " ",Inventory_List_Table341115109111317181416[[#This Row],[AQ RND USD]]*1.4)</f>
        <v xml:space="preserve"> </v>
      </c>
      <c r="U1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9" s="30" t="str">
        <f>IF(Inventory_List_Table341115109111317181416[[#This Row],[Q]]&lt;0.1, " ",Inventory_List_Table341115109111317181416[[#This Row],[LND RND USD]]*12)</f>
        <v xml:space="preserve"> </v>
      </c>
      <c r="W19" s="30" t="str">
        <f>IF(Inventory_List_Table341115109111317181416[[#This Row],[Q]]&lt;0.1, " ",Inventory_List_Table341115109111317181416[[#This Row],[AQ USD]])</f>
        <v xml:space="preserve"> </v>
      </c>
      <c r="X1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9" s="30" t="str">
        <f>IF(Inventory_List_Table341115109111317181416[[#This Row],[Q]]&lt;0.1, " ",Inventory_List_Table341115109111317181416[[#This Row],[PRICE]]/Z19*10000)</f>
        <v xml:space="preserve"> </v>
      </c>
      <c r="AB19" s="379"/>
      <c r="AC19" s="1"/>
      <c r="AD19" s="1"/>
    </row>
    <row r="20" spans="1:30" ht="24" customHeight="1" x14ac:dyDescent="0.3">
      <c r="A20" s="373">
        <v>18</v>
      </c>
      <c r="B20" s="1"/>
      <c r="C20" s="375"/>
      <c r="D20" s="375"/>
      <c r="E20" s="375"/>
      <c r="F20" s="38" t="str">
        <f>IF(Inventory_List_Table341115109111317181416[[#This Row],[Q]]&lt;0.1, " ",#REF!&amp;$D$1&amp;#REF!&amp;Inventory_List_Table341115109111317181416[[#This Row],[NOTES]])</f>
        <v xml:space="preserve"> </v>
      </c>
      <c r="G20" s="376"/>
      <c r="H20" s="376"/>
      <c r="I20" s="376"/>
      <c r="J20" s="376"/>
      <c r="K20" s="376"/>
      <c r="L20" s="378"/>
      <c r="M2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0" s="35" t="str">
        <f>IF(Inventory_List_Table341115109111317181416[[#This Row],[Q]]&lt;0.1, " ", Inventory_List_Table341115109111317181416[[#This Row],[KG]]*2.20462)</f>
        <v xml:space="preserve"> </v>
      </c>
      <c r="O20" s="35" t="str">
        <f>IF(Inventory_List_Table341115109111317181416[[#This Row],[Q]]&lt;0.1, " ",Inventory_List_Table341115109111317181416[[#This Row],[H CM]]/2.54)</f>
        <v xml:space="preserve"> </v>
      </c>
      <c r="P20" s="35" t="str">
        <f>IF(Inventory_List_Table341115109111317181416[[#This Row],[Q]]&lt;0.1, " ",Inventory_List_Table341115109111317181416[[#This Row],[W CM]]/2.54)</f>
        <v xml:space="preserve"> </v>
      </c>
      <c r="Q20" s="35" t="str">
        <f>IF(Inventory_List_Table341115109111317181416[[#This Row],[Q]]&lt;0.1, " ",Inventory_List_Table341115109111317181416[[#This Row],[D CM ]]/2.54)</f>
        <v xml:space="preserve"> </v>
      </c>
      <c r="R20" s="30" t="str">
        <f>IF(Inventory_List_Table341115109111317181416[[#This Row],[Q]]&lt;0.1, " ",Inventory_List_Table341115109111317181416[[#This Row],[PRICE]]/$L$1)</f>
        <v xml:space="preserve"> </v>
      </c>
      <c r="S2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0" s="30" t="str">
        <f>IF(Inventory_List_Table341115109111317181416[[#This Row],[Q]]&lt;0.1, " ",Inventory_List_Table341115109111317181416[[#This Row],[AQ RND USD]]*1.4)</f>
        <v xml:space="preserve"> </v>
      </c>
      <c r="U2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0" s="30" t="str">
        <f>IF(Inventory_List_Table341115109111317181416[[#This Row],[Q]]&lt;0.1, " ",Inventory_List_Table341115109111317181416[[#This Row],[LND RND USD]]*12)</f>
        <v xml:space="preserve"> </v>
      </c>
      <c r="W20" s="30" t="str">
        <f>IF(Inventory_List_Table341115109111317181416[[#This Row],[Q]]&lt;0.1, " ",Inventory_List_Table341115109111317181416[[#This Row],[AQ USD]])</f>
        <v xml:space="preserve"> </v>
      </c>
      <c r="X2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0" s="30" t="str">
        <f>IF(Inventory_List_Table341115109111317181416[[#This Row],[Q]]&lt;0.1, " ",Inventory_List_Table341115109111317181416[[#This Row],[PRICE]]/Z20*10000)</f>
        <v xml:space="preserve"> </v>
      </c>
      <c r="AB20" s="379"/>
      <c r="AC20" s="1"/>
      <c r="AD20" s="1"/>
    </row>
    <row r="21" spans="1:30" ht="24" customHeight="1" x14ac:dyDescent="0.3">
      <c r="A21" s="373">
        <v>19</v>
      </c>
      <c r="B21" s="1"/>
      <c r="C21" s="375"/>
      <c r="D21" s="375"/>
      <c r="E21" s="375"/>
      <c r="F21" s="38" t="str">
        <f>IF(Inventory_List_Table341115109111317181416[[#This Row],[Q]]&lt;0.1, " ",#REF!&amp;$D$1&amp;#REF!&amp;Inventory_List_Table341115109111317181416[[#This Row],[NOTES]])</f>
        <v xml:space="preserve"> </v>
      </c>
      <c r="G21" s="376"/>
      <c r="H21" s="376"/>
      <c r="I21" s="376"/>
      <c r="J21" s="376"/>
      <c r="K21" s="376"/>
      <c r="L21" s="378"/>
      <c r="M2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1" s="35" t="str">
        <f>IF(Inventory_List_Table341115109111317181416[[#This Row],[Q]]&lt;0.1, " ", Inventory_List_Table341115109111317181416[[#This Row],[KG]]*2.20462)</f>
        <v xml:space="preserve"> </v>
      </c>
      <c r="O21" s="35" t="str">
        <f>IF(Inventory_List_Table341115109111317181416[[#This Row],[Q]]&lt;0.1, " ",Inventory_List_Table341115109111317181416[[#This Row],[H CM]]/2.54)</f>
        <v xml:space="preserve"> </v>
      </c>
      <c r="P21" s="35" t="str">
        <f>IF(Inventory_List_Table341115109111317181416[[#This Row],[Q]]&lt;0.1, " ",Inventory_List_Table341115109111317181416[[#This Row],[W CM]]/2.54)</f>
        <v xml:space="preserve"> </v>
      </c>
      <c r="Q21" s="35" t="str">
        <f>IF(Inventory_List_Table341115109111317181416[[#This Row],[Q]]&lt;0.1, " ",Inventory_List_Table341115109111317181416[[#This Row],[D CM ]]/2.54)</f>
        <v xml:space="preserve"> </v>
      </c>
      <c r="R21" s="30" t="str">
        <f>IF(Inventory_List_Table341115109111317181416[[#This Row],[Q]]&lt;0.1, " ",Inventory_List_Table341115109111317181416[[#This Row],[PRICE]]/$L$1)</f>
        <v xml:space="preserve"> </v>
      </c>
      <c r="S2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1" s="30" t="str">
        <f>IF(Inventory_List_Table341115109111317181416[[#This Row],[Q]]&lt;0.1, " ",Inventory_List_Table341115109111317181416[[#This Row],[AQ RND USD]]*1.4)</f>
        <v xml:space="preserve"> </v>
      </c>
      <c r="U2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1" s="30" t="str">
        <f>IF(Inventory_List_Table341115109111317181416[[#This Row],[Q]]&lt;0.1, " ",Inventory_List_Table341115109111317181416[[#This Row],[LND RND USD]]*12)</f>
        <v xml:space="preserve"> </v>
      </c>
      <c r="W21" s="30" t="str">
        <f>IF(Inventory_List_Table341115109111317181416[[#This Row],[Q]]&lt;0.1, " ",Inventory_List_Table341115109111317181416[[#This Row],[AQ USD]])</f>
        <v xml:space="preserve"> </v>
      </c>
      <c r="X2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1" s="30" t="str">
        <f>IF(Inventory_List_Table341115109111317181416[[#This Row],[Q]]&lt;0.1, " ",Inventory_List_Table341115109111317181416[[#This Row],[PRICE]]/Z21*10000)</f>
        <v xml:space="preserve"> </v>
      </c>
      <c r="AB21" s="379"/>
      <c r="AC21" s="1"/>
      <c r="AD21" s="1"/>
    </row>
    <row r="22" spans="1:30" ht="24" customHeight="1" x14ac:dyDescent="0.3">
      <c r="A22" s="373">
        <v>20</v>
      </c>
      <c r="B22" s="1"/>
      <c r="C22" s="375"/>
      <c r="D22" s="375"/>
      <c r="E22" s="375"/>
      <c r="F22" s="38" t="str">
        <f>IF(Inventory_List_Table341115109111317181416[[#This Row],[Q]]&lt;0.1, " ",#REF!&amp;$D$1&amp;#REF!&amp;Inventory_List_Table341115109111317181416[[#This Row],[NOTES]])</f>
        <v xml:space="preserve"> </v>
      </c>
      <c r="G22" s="376"/>
      <c r="H22" s="376"/>
      <c r="I22" s="376"/>
      <c r="J22" s="376"/>
      <c r="K22" s="376"/>
      <c r="L22" s="378"/>
      <c r="M2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2" s="35" t="str">
        <f>IF(Inventory_List_Table341115109111317181416[[#This Row],[Q]]&lt;0.1, " ", Inventory_List_Table341115109111317181416[[#This Row],[KG]]*2.20462)</f>
        <v xml:space="preserve"> </v>
      </c>
      <c r="O22" s="35" t="str">
        <f>IF(Inventory_List_Table341115109111317181416[[#This Row],[Q]]&lt;0.1, " ",Inventory_List_Table341115109111317181416[[#This Row],[H CM]]/2.54)</f>
        <v xml:space="preserve"> </v>
      </c>
      <c r="P22" s="35" t="str">
        <f>IF(Inventory_List_Table341115109111317181416[[#This Row],[Q]]&lt;0.1, " ",Inventory_List_Table341115109111317181416[[#This Row],[W CM]]/2.54)</f>
        <v xml:space="preserve"> </v>
      </c>
      <c r="Q22" s="35" t="str">
        <f>IF(Inventory_List_Table341115109111317181416[[#This Row],[Q]]&lt;0.1, " ",Inventory_List_Table341115109111317181416[[#This Row],[D CM ]]/2.54)</f>
        <v xml:space="preserve"> </v>
      </c>
      <c r="R22" s="30" t="str">
        <f>IF(Inventory_List_Table341115109111317181416[[#This Row],[Q]]&lt;0.1, " ",Inventory_List_Table341115109111317181416[[#This Row],[PRICE]]/$L$1)</f>
        <v xml:space="preserve"> </v>
      </c>
      <c r="S2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2" s="30" t="str">
        <f>IF(Inventory_List_Table341115109111317181416[[#This Row],[Q]]&lt;0.1, " ",Inventory_List_Table341115109111317181416[[#This Row],[AQ RND USD]]*1.4)</f>
        <v xml:space="preserve"> </v>
      </c>
      <c r="U2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2" s="30" t="str">
        <f>IF(Inventory_List_Table341115109111317181416[[#This Row],[Q]]&lt;0.1, " ",Inventory_List_Table341115109111317181416[[#This Row],[LND RND USD]]*12)</f>
        <v xml:space="preserve"> </v>
      </c>
      <c r="W22" s="30" t="str">
        <f>IF(Inventory_List_Table341115109111317181416[[#This Row],[Q]]&lt;0.1, " ",Inventory_List_Table341115109111317181416[[#This Row],[AQ USD]])</f>
        <v xml:space="preserve"> </v>
      </c>
      <c r="X2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2" s="30" t="str">
        <f>IF(Inventory_List_Table341115109111317181416[[#This Row],[Q]]&lt;0.1, " ",Inventory_List_Table341115109111317181416[[#This Row],[PRICE]]/Z22*10000)</f>
        <v xml:space="preserve"> </v>
      </c>
      <c r="AB22" s="379"/>
      <c r="AC22" s="1"/>
      <c r="AD22" s="1"/>
    </row>
    <row r="23" spans="1:30" ht="24" customHeight="1" x14ac:dyDescent="0.3">
      <c r="A23" s="373">
        <v>21</v>
      </c>
      <c r="B23" s="1"/>
      <c r="C23" s="375"/>
      <c r="D23" s="375"/>
      <c r="E23" s="375"/>
      <c r="F23" s="38" t="str">
        <f>IF(Inventory_List_Table341115109111317181416[[#This Row],[Q]]&lt;0.1, " ",#REF!&amp;$D$1&amp;#REF!&amp;Inventory_List_Table341115109111317181416[[#This Row],[NOTES]])</f>
        <v xml:space="preserve"> </v>
      </c>
      <c r="G23" s="376"/>
      <c r="H23" s="376"/>
      <c r="I23" s="376"/>
      <c r="J23" s="376"/>
      <c r="K23" s="376"/>
      <c r="L23" s="378"/>
      <c r="M2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3" s="35" t="str">
        <f>IF(Inventory_List_Table341115109111317181416[[#This Row],[Q]]&lt;0.1, " ", Inventory_List_Table341115109111317181416[[#This Row],[KG]]*2.20462)</f>
        <v xml:space="preserve"> </v>
      </c>
      <c r="O23" s="35" t="str">
        <f>IF(Inventory_List_Table341115109111317181416[[#This Row],[Q]]&lt;0.1, " ",Inventory_List_Table341115109111317181416[[#This Row],[H CM]]/2.54)</f>
        <v xml:space="preserve"> </v>
      </c>
      <c r="P23" s="35" t="str">
        <f>IF(Inventory_List_Table341115109111317181416[[#This Row],[Q]]&lt;0.1, " ",Inventory_List_Table341115109111317181416[[#This Row],[W CM]]/2.54)</f>
        <v xml:space="preserve"> </v>
      </c>
      <c r="Q23" s="35" t="str">
        <f>IF(Inventory_List_Table341115109111317181416[[#This Row],[Q]]&lt;0.1, " ",Inventory_List_Table341115109111317181416[[#This Row],[D CM ]]/2.54)</f>
        <v xml:space="preserve"> </v>
      </c>
      <c r="R23" s="30" t="str">
        <f>IF(Inventory_List_Table341115109111317181416[[#This Row],[Q]]&lt;0.1, " ",Inventory_List_Table341115109111317181416[[#This Row],[PRICE]]/$L$1)</f>
        <v xml:space="preserve"> </v>
      </c>
      <c r="S2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3" s="30" t="str">
        <f>IF(Inventory_List_Table341115109111317181416[[#This Row],[Q]]&lt;0.1, " ",Inventory_List_Table341115109111317181416[[#This Row],[AQ RND USD]]*1.4)</f>
        <v xml:space="preserve"> </v>
      </c>
      <c r="U2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3" s="30" t="str">
        <f>IF(Inventory_List_Table341115109111317181416[[#This Row],[Q]]&lt;0.1, " ",Inventory_List_Table341115109111317181416[[#This Row],[LND RND USD]]*12)</f>
        <v xml:space="preserve"> </v>
      </c>
      <c r="W23" s="30" t="str">
        <f>IF(Inventory_List_Table341115109111317181416[[#This Row],[Q]]&lt;0.1, " ",Inventory_List_Table341115109111317181416[[#This Row],[AQ USD]])</f>
        <v xml:space="preserve"> </v>
      </c>
      <c r="X2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3" s="30" t="str">
        <f>IF(Inventory_List_Table341115109111317181416[[#This Row],[Q]]&lt;0.1, " ",Inventory_List_Table341115109111317181416[[#This Row],[PRICE]]/Z23*10000)</f>
        <v xml:space="preserve"> </v>
      </c>
      <c r="AB23" s="379"/>
      <c r="AC23" s="1"/>
      <c r="AD23" s="1"/>
    </row>
    <row r="24" spans="1:30" ht="24" customHeight="1" x14ac:dyDescent="0.3">
      <c r="A24" s="373">
        <v>22</v>
      </c>
      <c r="B24" s="1"/>
      <c r="C24" s="375"/>
      <c r="D24" s="375"/>
      <c r="E24" s="375"/>
      <c r="F24" s="38" t="str">
        <f>IF(Inventory_List_Table341115109111317181416[[#This Row],[Q]]&lt;0.1, " ",#REF!&amp;$D$1&amp;#REF!&amp;Inventory_List_Table341115109111317181416[[#This Row],[NOTES]])</f>
        <v xml:space="preserve"> </v>
      </c>
      <c r="G24" s="376"/>
      <c r="H24" s="376"/>
      <c r="I24" s="376"/>
      <c r="J24" s="376"/>
      <c r="K24" s="376"/>
      <c r="L24" s="378"/>
      <c r="M2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4" s="35" t="str">
        <f>IF(Inventory_List_Table341115109111317181416[[#This Row],[Q]]&lt;0.1, " ", Inventory_List_Table341115109111317181416[[#This Row],[KG]]*2.20462)</f>
        <v xml:space="preserve"> </v>
      </c>
      <c r="O24" s="35" t="str">
        <f>IF(Inventory_List_Table341115109111317181416[[#This Row],[Q]]&lt;0.1, " ",Inventory_List_Table341115109111317181416[[#This Row],[H CM]]/2.54)</f>
        <v xml:space="preserve"> </v>
      </c>
      <c r="P24" s="35" t="str">
        <f>IF(Inventory_List_Table341115109111317181416[[#This Row],[Q]]&lt;0.1, " ",Inventory_List_Table341115109111317181416[[#This Row],[W CM]]/2.54)</f>
        <v xml:space="preserve"> </v>
      </c>
      <c r="Q24" s="35" t="str">
        <f>IF(Inventory_List_Table341115109111317181416[[#This Row],[Q]]&lt;0.1, " ",Inventory_List_Table341115109111317181416[[#This Row],[D CM ]]/2.54)</f>
        <v xml:space="preserve"> </v>
      </c>
      <c r="R24" s="30" t="str">
        <f>IF(Inventory_List_Table341115109111317181416[[#This Row],[Q]]&lt;0.1, " ",Inventory_List_Table341115109111317181416[[#This Row],[PRICE]]/$L$1)</f>
        <v xml:space="preserve"> </v>
      </c>
      <c r="S2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4" s="30" t="str">
        <f>IF(Inventory_List_Table341115109111317181416[[#This Row],[Q]]&lt;0.1, " ",Inventory_List_Table341115109111317181416[[#This Row],[AQ RND USD]]*1.4)</f>
        <v xml:space="preserve"> </v>
      </c>
      <c r="U2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4" s="30" t="str">
        <f>IF(Inventory_List_Table341115109111317181416[[#This Row],[Q]]&lt;0.1, " ",Inventory_List_Table341115109111317181416[[#This Row],[LND RND USD]]*12)</f>
        <v xml:space="preserve"> </v>
      </c>
      <c r="W24" s="30" t="str">
        <f>IF(Inventory_List_Table341115109111317181416[[#This Row],[Q]]&lt;0.1, " ",Inventory_List_Table341115109111317181416[[#This Row],[AQ USD]])</f>
        <v xml:space="preserve"> </v>
      </c>
      <c r="X2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4" s="30" t="str">
        <f>IF(Inventory_List_Table341115109111317181416[[#This Row],[Q]]&lt;0.1, " ",Inventory_List_Table341115109111317181416[[#This Row],[PRICE]]/Z24*10000)</f>
        <v xml:space="preserve"> </v>
      </c>
      <c r="AB24" s="379"/>
      <c r="AC24" s="1"/>
      <c r="AD24" s="1"/>
    </row>
    <row r="25" spans="1:30" ht="24" customHeight="1" x14ac:dyDescent="0.3">
      <c r="A25" s="373">
        <v>23</v>
      </c>
      <c r="B25" s="1"/>
      <c r="C25" s="375"/>
      <c r="D25" s="375"/>
      <c r="E25" s="375"/>
      <c r="F25" s="38" t="str">
        <f>IF(Inventory_List_Table341115109111317181416[[#This Row],[Q]]&lt;0.1, " ",#REF!&amp;$D$1&amp;#REF!&amp;Inventory_List_Table341115109111317181416[[#This Row],[NOTES]])</f>
        <v xml:space="preserve"> </v>
      </c>
      <c r="G25" s="376"/>
      <c r="H25" s="376"/>
      <c r="I25" s="376"/>
      <c r="J25" s="376"/>
      <c r="K25" s="376"/>
      <c r="L25" s="378"/>
      <c r="M2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5" s="35" t="str">
        <f>IF(Inventory_List_Table341115109111317181416[[#This Row],[Q]]&lt;0.1, " ", Inventory_List_Table341115109111317181416[[#This Row],[KG]]*2.20462)</f>
        <v xml:space="preserve"> </v>
      </c>
      <c r="O25" s="35" t="str">
        <f>IF(Inventory_List_Table341115109111317181416[[#This Row],[Q]]&lt;0.1, " ",Inventory_List_Table341115109111317181416[[#This Row],[H CM]]/2.54)</f>
        <v xml:space="preserve"> </v>
      </c>
      <c r="P25" s="35" t="str">
        <f>IF(Inventory_List_Table341115109111317181416[[#This Row],[Q]]&lt;0.1, " ",Inventory_List_Table341115109111317181416[[#This Row],[W CM]]/2.54)</f>
        <v xml:space="preserve"> </v>
      </c>
      <c r="Q25" s="35" t="str">
        <f>IF(Inventory_List_Table341115109111317181416[[#This Row],[Q]]&lt;0.1, " ",Inventory_List_Table341115109111317181416[[#This Row],[D CM ]]/2.54)</f>
        <v xml:space="preserve"> </v>
      </c>
      <c r="R25" s="30" t="str">
        <f>IF(Inventory_List_Table341115109111317181416[[#This Row],[Q]]&lt;0.1, " ",Inventory_List_Table341115109111317181416[[#This Row],[PRICE]]/$L$1)</f>
        <v xml:space="preserve"> </v>
      </c>
      <c r="S2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5" s="30" t="str">
        <f>IF(Inventory_List_Table341115109111317181416[[#This Row],[Q]]&lt;0.1, " ",Inventory_List_Table341115109111317181416[[#This Row],[AQ RND USD]]*1.4)</f>
        <v xml:space="preserve"> </v>
      </c>
      <c r="U2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5" s="30" t="str">
        <f>IF(Inventory_List_Table341115109111317181416[[#This Row],[Q]]&lt;0.1, " ",Inventory_List_Table341115109111317181416[[#This Row],[LND RND USD]]*12)</f>
        <v xml:space="preserve"> </v>
      </c>
      <c r="W25" s="30" t="str">
        <f>IF(Inventory_List_Table341115109111317181416[[#This Row],[Q]]&lt;0.1, " ",Inventory_List_Table341115109111317181416[[#This Row],[AQ USD]])</f>
        <v xml:space="preserve"> </v>
      </c>
      <c r="X2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5" s="30" t="str">
        <f>IF(Inventory_List_Table341115109111317181416[[#This Row],[Q]]&lt;0.1, " ",Inventory_List_Table341115109111317181416[[#This Row],[PRICE]]/Z25*10000)</f>
        <v xml:space="preserve"> </v>
      </c>
      <c r="AB25" s="379"/>
      <c r="AC25" s="1"/>
      <c r="AD25" s="1"/>
    </row>
    <row r="26" spans="1:30" ht="24" customHeight="1" x14ac:dyDescent="0.3">
      <c r="A26" s="373">
        <v>24</v>
      </c>
      <c r="B26" s="1"/>
      <c r="C26" s="375"/>
      <c r="D26" s="375"/>
      <c r="E26" s="375"/>
      <c r="F26" s="38" t="str">
        <f>IF(Inventory_List_Table341115109111317181416[[#This Row],[Q]]&lt;0.1, " ",#REF!&amp;$D$1&amp;#REF!&amp;Inventory_List_Table341115109111317181416[[#This Row],[NOTES]])</f>
        <v xml:space="preserve"> </v>
      </c>
      <c r="G26" s="376"/>
      <c r="H26" s="376"/>
      <c r="I26" s="376"/>
      <c r="J26" s="376"/>
      <c r="K26" s="376"/>
      <c r="L26" s="378"/>
      <c r="M2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6" s="35" t="str">
        <f>IF(Inventory_List_Table341115109111317181416[[#This Row],[Q]]&lt;0.1, " ", Inventory_List_Table341115109111317181416[[#This Row],[KG]]*2.20462)</f>
        <v xml:space="preserve"> </v>
      </c>
      <c r="O26" s="35" t="str">
        <f>IF(Inventory_List_Table341115109111317181416[[#This Row],[Q]]&lt;0.1, " ",Inventory_List_Table341115109111317181416[[#This Row],[H CM]]/2.54)</f>
        <v xml:space="preserve"> </v>
      </c>
      <c r="P26" s="35" t="str">
        <f>IF(Inventory_List_Table341115109111317181416[[#This Row],[Q]]&lt;0.1, " ",Inventory_List_Table341115109111317181416[[#This Row],[W CM]]/2.54)</f>
        <v xml:space="preserve"> </v>
      </c>
      <c r="Q26" s="35" t="str">
        <f>IF(Inventory_List_Table341115109111317181416[[#This Row],[Q]]&lt;0.1, " ",Inventory_List_Table341115109111317181416[[#This Row],[D CM ]]/2.54)</f>
        <v xml:space="preserve"> </v>
      </c>
      <c r="R26" s="30" t="str">
        <f>IF(Inventory_List_Table341115109111317181416[[#This Row],[Q]]&lt;0.1, " ",Inventory_List_Table341115109111317181416[[#This Row],[PRICE]]/$L$1)</f>
        <v xml:space="preserve"> </v>
      </c>
      <c r="S2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6" s="30" t="str">
        <f>IF(Inventory_List_Table341115109111317181416[[#This Row],[Q]]&lt;0.1, " ",Inventory_List_Table341115109111317181416[[#This Row],[AQ RND USD]]*1.4)</f>
        <v xml:space="preserve"> </v>
      </c>
      <c r="U2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6" s="30" t="str">
        <f>IF(Inventory_List_Table341115109111317181416[[#This Row],[Q]]&lt;0.1, " ",Inventory_List_Table341115109111317181416[[#This Row],[LND RND USD]]*12)</f>
        <v xml:space="preserve"> </v>
      </c>
      <c r="W26" s="30" t="str">
        <f>IF(Inventory_List_Table341115109111317181416[[#This Row],[Q]]&lt;0.1, " ",Inventory_List_Table341115109111317181416[[#This Row],[AQ USD]])</f>
        <v xml:space="preserve"> </v>
      </c>
      <c r="X2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6" s="30" t="str">
        <f>IF(Inventory_List_Table341115109111317181416[[#This Row],[Q]]&lt;0.1, " ",Inventory_List_Table341115109111317181416[[#This Row],[PRICE]]/Z26*10000)</f>
        <v xml:space="preserve"> </v>
      </c>
      <c r="AB26" s="379"/>
      <c r="AC26" s="1"/>
      <c r="AD26" s="1"/>
    </row>
    <row r="27" spans="1:30" ht="24" customHeight="1" x14ac:dyDescent="0.3">
      <c r="A27" s="373">
        <v>25</v>
      </c>
      <c r="B27" s="1"/>
      <c r="C27" s="375"/>
      <c r="D27" s="375"/>
      <c r="E27" s="375"/>
      <c r="F27" s="38" t="str">
        <f>IF(Inventory_List_Table341115109111317181416[[#This Row],[Q]]&lt;0.1, " ",#REF!&amp;$D$1&amp;#REF!&amp;Inventory_List_Table341115109111317181416[[#This Row],[NOTES]])</f>
        <v xml:space="preserve"> </v>
      </c>
      <c r="G27" s="376"/>
      <c r="H27" s="376"/>
      <c r="I27" s="376"/>
      <c r="J27" s="376"/>
      <c r="K27" s="376"/>
      <c r="L27" s="378"/>
      <c r="M2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7" s="35" t="str">
        <f>IF(Inventory_List_Table341115109111317181416[[#This Row],[Q]]&lt;0.1, " ", Inventory_List_Table341115109111317181416[[#This Row],[KG]]*2.20462)</f>
        <v xml:space="preserve"> </v>
      </c>
      <c r="O27" s="35" t="str">
        <f>IF(Inventory_List_Table341115109111317181416[[#This Row],[Q]]&lt;0.1, " ",Inventory_List_Table341115109111317181416[[#This Row],[H CM]]/2.54)</f>
        <v xml:space="preserve"> </v>
      </c>
      <c r="P27" s="35" t="str">
        <f>IF(Inventory_List_Table341115109111317181416[[#This Row],[Q]]&lt;0.1, " ",Inventory_List_Table341115109111317181416[[#This Row],[W CM]]/2.54)</f>
        <v xml:space="preserve"> </v>
      </c>
      <c r="Q27" s="35" t="str">
        <f>IF(Inventory_List_Table341115109111317181416[[#This Row],[Q]]&lt;0.1, " ",Inventory_List_Table341115109111317181416[[#This Row],[D CM ]]/2.54)</f>
        <v xml:space="preserve"> </v>
      </c>
      <c r="R27" s="30" t="str">
        <f>IF(Inventory_List_Table341115109111317181416[[#This Row],[Q]]&lt;0.1, " ",Inventory_List_Table341115109111317181416[[#This Row],[PRICE]]/$L$1)</f>
        <v xml:space="preserve"> </v>
      </c>
      <c r="S2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7" s="30" t="str">
        <f>IF(Inventory_List_Table341115109111317181416[[#This Row],[Q]]&lt;0.1, " ",Inventory_List_Table341115109111317181416[[#This Row],[AQ RND USD]]*1.4)</f>
        <v xml:space="preserve"> </v>
      </c>
      <c r="U2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7" s="30" t="str">
        <f>IF(Inventory_List_Table341115109111317181416[[#This Row],[Q]]&lt;0.1, " ",Inventory_List_Table341115109111317181416[[#This Row],[LND RND USD]]*12)</f>
        <v xml:space="preserve"> </v>
      </c>
      <c r="W27" s="30" t="str">
        <f>IF(Inventory_List_Table341115109111317181416[[#This Row],[Q]]&lt;0.1, " ",Inventory_List_Table341115109111317181416[[#This Row],[AQ USD]])</f>
        <v xml:space="preserve"> </v>
      </c>
      <c r="X2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7" s="30" t="str">
        <f>IF(Inventory_List_Table341115109111317181416[[#This Row],[Q]]&lt;0.1, " ",Inventory_List_Table341115109111317181416[[#This Row],[PRICE]]/Z27*10000)</f>
        <v xml:space="preserve"> </v>
      </c>
      <c r="AB27" s="379"/>
      <c r="AC27" s="1"/>
      <c r="AD27" s="1"/>
    </row>
    <row r="28" spans="1:30" ht="24" customHeight="1" x14ac:dyDescent="0.3">
      <c r="A28" s="373">
        <v>26</v>
      </c>
      <c r="B28" s="1"/>
      <c r="C28" s="375"/>
      <c r="D28" s="375"/>
      <c r="E28" s="375"/>
      <c r="F28" s="38" t="str">
        <f>IF(Inventory_List_Table341115109111317181416[[#This Row],[Q]]&lt;0.1, " ",#REF!&amp;$D$1&amp;#REF!&amp;Inventory_List_Table341115109111317181416[[#This Row],[NOTES]])</f>
        <v xml:space="preserve"> </v>
      </c>
      <c r="G28" s="376"/>
      <c r="H28" s="376"/>
      <c r="I28" s="376"/>
      <c r="J28" s="376"/>
      <c r="K28" s="376"/>
      <c r="L28" s="378"/>
      <c r="M2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8" s="35" t="str">
        <f>IF(Inventory_List_Table341115109111317181416[[#This Row],[Q]]&lt;0.1, " ", Inventory_List_Table341115109111317181416[[#This Row],[KG]]*2.20462)</f>
        <v xml:space="preserve"> </v>
      </c>
      <c r="O28" s="35" t="str">
        <f>IF(Inventory_List_Table341115109111317181416[[#This Row],[Q]]&lt;0.1, " ",Inventory_List_Table341115109111317181416[[#This Row],[H CM]]/2.54)</f>
        <v xml:space="preserve"> </v>
      </c>
      <c r="P28" s="35" t="str">
        <f>IF(Inventory_List_Table341115109111317181416[[#This Row],[Q]]&lt;0.1, " ",Inventory_List_Table341115109111317181416[[#This Row],[W CM]]/2.54)</f>
        <v xml:space="preserve"> </v>
      </c>
      <c r="Q28" s="35" t="str">
        <f>IF(Inventory_List_Table341115109111317181416[[#This Row],[Q]]&lt;0.1, " ",Inventory_List_Table341115109111317181416[[#This Row],[D CM ]]/2.54)</f>
        <v xml:space="preserve"> </v>
      </c>
      <c r="R28" s="30" t="str">
        <f>IF(Inventory_List_Table341115109111317181416[[#This Row],[Q]]&lt;0.1, " ",Inventory_List_Table341115109111317181416[[#This Row],[PRICE]]/$L$1)</f>
        <v xml:space="preserve"> </v>
      </c>
      <c r="S2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8" s="30" t="str">
        <f>IF(Inventory_List_Table341115109111317181416[[#This Row],[Q]]&lt;0.1, " ",Inventory_List_Table341115109111317181416[[#This Row],[AQ RND USD]]*1.4)</f>
        <v xml:space="preserve"> </v>
      </c>
      <c r="U2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8" s="30" t="str">
        <f>IF(Inventory_List_Table341115109111317181416[[#This Row],[Q]]&lt;0.1, " ",Inventory_List_Table341115109111317181416[[#This Row],[LND RND USD]]*12)</f>
        <v xml:space="preserve"> </v>
      </c>
      <c r="W28" s="30" t="str">
        <f>IF(Inventory_List_Table341115109111317181416[[#This Row],[Q]]&lt;0.1, " ",Inventory_List_Table341115109111317181416[[#This Row],[AQ USD]])</f>
        <v xml:space="preserve"> </v>
      </c>
      <c r="X2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8" s="30" t="str">
        <f>IF(Inventory_List_Table341115109111317181416[[#This Row],[Q]]&lt;0.1, " ",Inventory_List_Table341115109111317181416[[#This Row],[PRICE]]/Z28*10000)</f>
        <v xml:space="preserve"> </v>
      </c>
      <c r="AB28" s="379"/>
      <c r="AC28" s="1"/>
      <c r="AD28" s="1"/>
    </row>
    <row r="29" spans="1:30" ht="24" customHeight="1" x14ac:dyDescent="0.3">
      <c r="A29" s="373">
        <v>27</v>
      </c>
      <c r="B29" s="1"/>
      <c r="C29" s="375"/>
      <c r="D29" s="375"/>
      <c r="E29" s="375"/>
      <c r="F29" s="38" t="str">
        <f>IF(Inventory_List_Table341115109111317181416[[#This Row],[Q]]&lt;0.1, " ",#REF!&amp;$D$1&amp;#REF!&amp;Inventory_List_Table341115109111317181416[[#This Row],[NOTES]])</f>
        <v xml:space="preserve"> </v>
      </c>
      <c r="G29" s="376"/>
      <c r="H29" s="376"/>
      <c r="I29" s="376"/>
      <c r="J29" s="376"/>
      <c r="K29" s="376"/>
      <c r="L29" s="378"/>
      <c r="M2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29" s="35" t="str">
        <f>IF(Inventory_List_Table341115109111317181416[[#This Row],[Q]]&lt;0.1, " ", Inventory_List_Table341115109111317181416[[#This Row],[KG]]*2.20462)</f>
        <v xml:space="preserve"> </v>
      </c>
      <c r="O29" s="35" t="str">
        <f>IF(Inventory_List_Table341115109111317181416[[#This Row],[Q]]&lt;0.1, " ",Inventory_List_Table341115109111317181416[[#This Row],[H CM]]/2.54)</f>
        <v xml:space="preserve"> </v>
      </c>
      <c r="P29" s="35" t="str">
        <f>IF(Inventory_List_Table341115109111317181416[[#This Row],[Q]]&lt;0.1, " ",Inventory_List_Table341115109111317181416[[#This Row],[W CM]]/2.54)</f>
        <v xml:space="preserve"> </v>
      </c>
      <c r="Q29" s="35" t="str">
        <f>IF(Inventory_List_Table341115109111317181416[[#This Row],[Q]]&lt;0.1, " ",Inventory_List_Table341115109111317181416[[#This Row],[D CM ]]/2.54)</f>
        <v xml:space="preserve"> </v>
      </c>
      <c r="R29" s="30" t="str">
        <f>IF(Inventory_List_Table341115109111317181416[[#This Row],[Q]]&lt;0.1, " ",Inventory_List_Table341115109111317181416[[#This Row],[PRICE]]/$L$1)</f>
        <v xml:space="preserve"> </v>
      </c>
      <c r="S2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29" s="30" t="str">
        <f>IF(Inventory_List_Table341115109111317181416[[#This Row],[Q]]&lt;0.1, " ",Inventory_List_Table341115109111317181416[[#This Row],[AQ RND USD]]*1.4)</f>
        <v xml:space="preserve"> </v>
      </c>
      <c r="U2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29" s="30" t="str">
        <f>IF(Inventory_List_Table341115109111317181416[[#This Row],[Q]]&lt;0.1, " ",Inventory_List_Table341115109111317181416[[#This Row],[LND RND USD]]*12)</f>
        <v xml:space="preserve"> </v>
      </c>
      <c r="W29" s="30" t="str">
        <f>IF(Inventory_List_Table341115109111317181416[[#This Row],[Q]]&lt;0.1, " ",Inventory_List_Table341115109111317181416[[#This Row],[AQ USD]])</f>
        <v xml:space="preserve"> </v>
      </c>
      <c r="X2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2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2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29" s="30" t="str">
        <f>IF(Inventory_List_Table341115109111317181416[[#This Row],[Q]]&lt;0.1, " ",Inventory_List_Table341115109111317181416[[#This Row],[PRICE]]/Z29*10000)</f>
        <v xml:space="preserve"> </v>
      </c>
      <c r="AB29" s="379"/>
      <c r="AC29" s="1"/>
      <c r="AD29" s="1"/>
    </row>
    <row r="30" spans="1:30" ht="24" customHeight="1" x14ac:dyDescent="0.3">
      <c r="A30" s="373">
        <v>28</v>
      </c>
      <c r="B30" s="1"/>
      <c r="C30" s="375"/>
      <c r="D30" s="375"/>
      <c r="E30" s="375"/>
      <c r="F30" s="38" t="str">
        <f>IF(Inventory_List_Table341115109111317181416[[#This Row],[Q]]&lt;0.1, " ",#REF!&amp;$D$1&amp;#REF!&amp;Inventory_List_Table341115109111317181416[[#This Row],[NOTES]])</f>
        <v xml:space="preserve"> </v>
      </c>
      <c r="G30" s="376"/>
      <c r="H30" s="376"/>
      <c r="I30" s="376"/>
      <c r="J30" s="376"/>
      <c r="K30" s="376"/>
      <c r="L30" s="378"/>
      <c r="M3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0" s="35" t="str">
        <f>IF(Inventory_List_Table341115109111317181416[[#This Row],[Q]]&lt;0.1, " ", Inventory_List_Table341115109111317181416[[#This Row],[KG]]*2.20462)</f>
        <v xml:space="preserve"> </v>
      </c>
      <c r="O30" s="35" t="str">
        <f>IF(Inventory_List_Table341115109111317181416[[#This Row],[Q]]&lt;0.1, " ",Inventory_List_Table341115109111317181416[[#This Row],[H CM]]/2.54)</f>
        <v xml:space="preserve"> </v>
      </c>
      <c r="P30" s="35" t="str">
        <f>IF(Inventory_List_Table341115109111317181416[[#This Row],[Q]]&lt;0.1, " ",Inventory_List_Table341115109111317181416[[#This Row],[W CM]]/2.54)</f>
        <v xml:space="preserve"> </v>
      </c>
      <c r="Q30" s="35" t="str">
        <f>IF(Inventory_List_Table341115109111317181416[[#This Row],[Q]]&lt;0.1, " ",Inventory_List_Table341115109111317181416[[#This Row],[D CM ]]/2.54)</f>
        <v xml:space="preserve"> </v>
      </c>
      <c r="R30" s="30" t="str">
        <f>IF(Inventory_List_Table341115109111317181416[[#This Row],[Q]]&lt;0.1, " ",Inventory_List_Table341115109111317181416[[#This Row],[PRICE]]/$L$1)</f>
        <v xml:space="preserve"> </v>
      </c>
      <c r="S3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0" s="30" t="str">
        <f>IF(Inventory_List_Table341115109111317181416[[#This Row],[Q]]&lt;0.1, " ",Inventory_List_Table341115109111317181416[[#This Row],[AQ RND USD]]*1.4)</f>
        <v xml:space="preserve"> </v>
      </c>
      <c r="U3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0" s="30" t="str">
        <f>IF(Inventory_List_Table341115109111317181416[[#This Row],[Q]]&lt;0.1, " ",Inventory_List_Table341115109111317181416[[#This Row],[LND RND USD]]*12)</f>
        <v xml:space="preserve"> </v>
      </c>
      <c r="W30" s="30" t="str">
        <f>IF(Inventory_List_Table341115109111317181416[[#This Row],[Q]]&lt;0.1, " ",Inventory_List_Table341115109111317181416[[#This Row],[AQ USD]])</f>
        <v xml:space="preserve"> </v>
      </c>
      <c r="X3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0" s="30" t="str">
        <f>IF(Inventory_List_Table341115109111317181416[[#This Row],[Q]]&lt;0.1, " ",Inventory_List_Table341115109111317181416[[#This Row],[PRICE]]/Z30*10000)</f>
        <v xml:space="preserve"> </v>
      </c>
      <c r="AB30" s="379"/>
      <c r="AC30" s="1"/>
      <c r="AD30" s="1"/>
    </row>
    <row r="31" spans="1:30" ht="24" customHeight="1" x14ac:dyDescent="0.3">
      <c r="A31" s="373">
        <v>29</v>
      </c>
      <c r="B31" s="1"/>
      <c r="C31" s="375"/>
      <c r="D31" s="375"/>
      <c r="E31" s="375"/>
      <c r="F31" s="38" t="str">
        <f>IF(Inventory_List_Table341115109111317181416[[#This Row],[Q]]&lt;0.1, " ",#REF!&amp;$D$1&amp;#REF!&amp;Inventory_List_Table341115109111317181416[[#This Row],[NOTES]])</f>
        <v xml:space="preserve"> </v>
      </c>
      <c r="G31" s="376"/>
      <c r="H31" s="376"/>
      <c r="I31" s="376"/>
      <c r="J31" s="376"/>
      <c r="K31" s="376"/>
      <c r="L31" s="378"/>
      <c r="M3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1" s="35" t="str">
        <f>IF(Inventory_List_Table341115109111317181416[[#This Row],[Q]]&lt;0.1, " ", Inventory_List_Table341115109111317181416[[#This Row],[KG]]*2.20462)</f>
        <v xml:space="preserve"> </v>
      </c>
      <c r="O31" s="35" t="str">
        <f>IF(Inventory_List_Table341115109111317181416[[#This Row],[Q]]&lt;0.1, " ",Inventory_List_Table341115109111317181416[[#This Row],[H CM]]/2.54)</f>
        <v xml:space="preserve"> </v>
      </c>
      <c r="P31" s="35" t="str">
        <f>IF(Inventory_List_Table341115109111317181416[[#This Row],[Q]]&lt;0.1, " ",Inventory_List_Table341115109111317181416[[#This Row],[W CM]]/2.54)</f>
        <v xml:space="preserve"> </v>
      </c>
      <c r="Q31" s="35" t="str">
        <f>IF(Inventory_List_Table341115109111317181416[[#This Row],[Q]]&lt;0.1, " ",Inventory_List_Table341115109111317181416[[#This Row],[D CM ]]/2.54)</f>
        <v xml:space="preserve"> </v>
      </c>
      <c r="R31" s="30" t="str">
        <f>IF(Inventory_List_Table341115109111317181416[[#This Row],[Q]]&lt;0.1, " ",Inventory_List_Table341115109111317181416[[#This Row],[PRICE]]/$L$1)</f>
        <v xml:space="preserve"> </v>
      </c>
      <c r="S3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1" s="30" t="str">
        <f>IF(Inventory_List_Table341115109111317181416[[#This Row],[Q]]&lt;0.1, " ",Inventory_List_Table341115109111317181416[[#This Row],[AQ RND USD]]*1.4)</f>
        <v xml:space="preserve"> </v>
      </c>
      <c r="U3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1" s="30" t="str">
        <f>IF(Inventory_List_Table341115109111317181416[[#This Row],[Q]]&lt;0.1, " ",Inventory_List_Table341115109111317181416[[#This Row],[LND RND USD]]*12)</f>
        <v xml:space="preserve"> </v>
      </c>
      <c r="W31" s="30" t="str">
        <f>IF(Inventory_List_Table341115109111317181416[[#This Row],[Q]]&lt;0.1, " ",Inventory_List_Table341115109111317181416[[#This Row],[AQ USD]])</f>
        <v xml:space="preserve"> </v>
      </c>
      <c r="X3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1" s="30" t="str">
        <f>IF(Inventory_List_Table341115109111317181416[[#This Row],[Q]]&lt;0.1, " ",Inventory_List_Table341115109111317181416[[#This Row],[PRICE]]/Z31*10000)</f>
        <v xml:space="preserve"> </v>
      </c>
      <c r="AB31" s="379"/>
      <c r="AC31" s="1"/>
      <c r="AD31" s="1"/>
    </row>
    <row r="32" spans="1:30" ht="24" customHeight="1" x14ac:dyDescent="0.3">
      <c r="A32" s="373">
        <v>30</v>
      </c>
      <c r="B32" s="1"/>
      <c r="C32" s="375"/>
      <c r="D32" s="375"/>
      <c r="E32" s="375"/>
      <c r="F32" s="38" t="str">
        <f>IF(Inventory_List_Table341115109111317181416[[#This Row],[Q]]&lt;0.1, " ",#REF!&amp;$D$1&amp;#REF!&amp;Inventory_List_Table341115109111317181416[[#This Row],[NOTES]])</f>
        <v xml:space="preserve"> </v>
      </c>
      <c r="G32" s="376"/>
      <c r="H32" s="376"/>
      <c r="I32" s="376"/>
      <c r="J32" s="376"/>
      <c r="K32" s="376"/>
      <c r="L32" s="378"/>
      <c r="M3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2" s="35" t="str">
        <f>IF(Inventory_List_Table341115109111317181416[[#This Row],[Q]]&lt;0.1, " ", Inventory_List_Table341115109111317181416[[#This Row],[KG]]*2.20462)</f>
        <v xml:space="preserve"> </v>
      </c>
      <c r="O32" s="35" t="str">
        <f>IF(Inventory_List_Table341115109111317181416[[#This Row],[Q]]&lt;0.1, " ",Inventory_List_Table341115109111317181416[[#This Row],[H CM]]/2.54)</f>
        <v xml:space="preserve"> </v>
      </c>
      <c r="P32" s="35" t="str">
        <f>IF(Inventory_List_Table341115109111317181416[[#This Row],[Q]]&lt;0.1, " ",Inventory_List_Table341115109111317181416[[#This Row],[W CM]]/2.54)</f>
        <v xml:space="preserve"> </v>
      </c>
      <c r="Q32" s="35" t="str">
        <f>IF(Inventory_List_Table341115109111317181416[[#This Row],[Q]]&lt;0.1, " ",Inventory_List_Table341115109111317181416[[#This Row],[D CM ]]/2.54)</f>
        <v xml:space="preserve"> </v>
      </c>
      <c r="R32" s="30" t="str">
        <f>IF(Inventory_List_Table341115109111317181416[[#This Row],[Q]]&lt;0.1, " ",Inventory_List_Table341115109111317181416[[#This Row],[PRICE]]/$L$1)</f>
        <v xml:space="preserve"> </v>
      </c>
      <c r="S3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2" s="30" t="str">
        <f>IF(Inventory_List_Table341115109111317181416[[#This Row],[Q]]&lt;0.1, " ",Inventory_List_Table341115109111317181416[[#This Row],[AQ RND USD]]*1.4)</f>
        <v xml:space="preserve"> </v>
      </c>
      <c r="U3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2" s="30" t="str">
        <f>IF(Inventory_List_Table341115109111317181416[[#This Row],[Q]]&lt;0.1, " ",Inventory_List_Table341115109111317181416[[#This Row],[LND RND USD]]*12)</f>
        <v xml:space="preserve"> </v>
      </c>
      <c r="W32" s="30" t="str">
        <f>IF(Inventory_List_Table341115109111317181416[[#This Row],[Q]]&lt;0.1, " ",Inventory_List_Table341115109111317181416[[#This Row],[AQ USD]])</f>
        <v xml:space="preserve"> </v>
      </c>
      <c r="X3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2" s="30" t="str">
        <f>IF(Inventory_List_Table341115109111317181416[[#This Row],[Q]]&lt;0.1, " ",Inventory_List_Table341115109111317181416[[#This Row],[PRICE]]/Z32*10000)</f>
        <v xml:space="preserve"> </v>
      </c>
      <c r="AB32" s="379"/>
      <c r="AC32" s="1"/>
      <c r="AD32" s="1"/>
    </row>
    <row r="33" spans="1:30" ht="24" customHeight="1" x14ac:dyDescent="0.3">
      <c r="A33" s="373">
        <v>31</v>
      </c>
      <c r="B33" s="1"/>
      <c r="C33" s="375"/>
      <c r="D33" s="375"/>
      <c r="E33" s="375"/>
      <c r="F33" s="38" t="str">
        <f>IF(Inventory_List_Table341115109111317181416[[#This Row],[Q]]&lt;0.1, " ",#REF!&amp;$D$1&amp;#REF!&amp;Inventory_List_Table341115109111317181416[[#This Row],[NOTES]])</f>
        <v xml:space="preserve"> </v>
      </c>
      <c r="G33" s="376"/>
      <c r="H33" s="376"/>
      <c r="I33" s="376"/>
      <c r="J33" s="376"/>
      <c r="K33" s="376"/>
      <c r="L33" s="378"/>
      <c r="M3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3" s="35" t="str">
        <f>IF(Inventory_List_Table341115109111317181416[[#This Row],[Q]]&lt;0.1, " ", Inventory_List_Table341115109111317181416[[#This Row],[KG]]*2.20462)</f>
        <v xml:space="preserve"> </v>
      </c>
      <c r="O33" s="35" t="str">
        <f>IF(Inventory_List_Table341115109111317181416[[#This Row],[Q]]&lt;0.1, " ",Inventory_List_Table341115109111317181416[[#This Row],[H CM]]/2.54)</f>
        <v xml:space="preserve"> </v>
      </c>
      <c r="P33" s="35" t="str">
        <f>IF(Inventory_List_Table341115109111317181416[[#This Row],[Q]]&lt;0.1, " ",Inventory_List_Table341115109111317181416[[#This Row],[W CM]]/2.54)</f>
        <v xml:space="preserve"> </v>
      </c>
      <c r="Q33" s="35" t="str">
        <f>IF(Inventory_List_Table341115109111317181416[[#This Row],[Q]]&lt;0.1, " ",Inventory_List_Table341115109111317181416[[#This Row],[D CM ]]/2.54)</f>
        <v xml:space="preserve"> </v>
      </c>
      <c r="R33" s="30" t="str">
        <f>IF(Inventory_List_Table341115109111317181416[[#This Row],[Q]]&lt;0.1, " ",Inventory_List_Table341115109111317181416[[#This Row],[PRICE]]/$L$1)</f>
        <v xml:space="preserve"> </v>
      </c>
      <c r="S3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3" s="30" t="str">
        <f>IF(Inventory_List_Table341115109111317181416[[#This Row],[Q]]&lt;0.1, " ",Inventory_List_Table341115109111317181416[[#This Row],[AQ RND USD]]*1.4)</f>
        <v xml:space="preserve"> </v>
      </c>
      <c r="U3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3" s="30" t="str">
        <f>IF(Inventory_List_Table341115109111317181416[[#This Row],[Q]]&lt;0.1, " ",Inventory_List_Table341115109111317181416[[#This Row],[LND RND USD]]*12)</f>
        <v xml:space="preserve"> </v>
      </c>
      <c r="W33" s="30" t="str">
        <f>IF(Inventory_List_Table341115109111317181416[[#This Row],[Q]]&lt;0.1, " ",Inventory_List_Table341115109111317181416[[#This Row],[AQ USD]])</f>
        <v xml:space="preserve"> </v>
      </c>
      <c r="X3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3" s="30" t="str">
        <f>IF(Inventory_List_Table341115109111317181416[[#This Row],[Q]]&lt;0.1, " ",Inventory_List_Table341115109111317181416[[#This Row],[PRICE]]/Z33*10000)</f>
        <v xml:space="preserve"> </v>
      </c>
      <c r="AB33" s="379"/>
      <c r="AC33" s="1"/>
      <c r="AD33" s="1"/>
    </row>
    <row r="34" spans="1:30" ht="24" customHeight="1" x14ac:dyDescent="0.3">
      <c r="A34" s="373">
        <v>32</v>
      </c>
      <c r="B34" s="1"/>
      <c r="C34" s="375"/>
      <c r="D34" s="375"/>
      <c r="E34" s="375"/>
      <c r="F34" s="38" t="str">
        <f>IF(Inventory_List_Table341115109111317181416[[#This Row],[Q]]&lt;0.1, " ",#REF!&amp;$D$1&amp;#REF!&amp;Inventory_List_Table341115109111317181416[[#This Row],[NOTES]])</f>
        <v xml:space="preserve"> </v>
      </c>
      <c r="G34" s="376"/>
      <c r="H34" s="376"/>
      <c r="I34" s="376"/>
      <c r="J34" s="376"/>
      <c r="K34" s="376"/>
      <c r="L34" s="378"/>
      <c r="M3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4" s="35" t="str">
        <f>IF(Inventory_List_Table341115109111317181416[[#This Row],[Q]]&lt;0.1, " ", Inventory_List_Table341115109111317181416[[#This Row],[KG]]*2.20462)</f>
        <v xml:space="preserve"> </v>
      </c>
      <c r="O34" s="35" t="str">
        <f>IF(Inventory_List_Table341115109111317181416[[#This Row],[Q]]&lt;0.1, " ",Inventory_List_Table341115109111317181416[[#This Row],[H CM]]/2.54)</f>
        <v xml:space="preserve"> </v>
      </c>
      <c r="P34" s="35" t="str">
        <f>IF(Inventory_List_Table341115109111317181416[[#This Row],[Q]]&lt;0.1, " ",Inventory_List_Table341115109111317181416[[#This Row],[W CM]]/2.54)</f>
        <v xml:space="preserve"> </v>
      </c>
      <c r="Q34" s="35" t="str">
        <f>IF(Inventory_List_Table341115109111317181416[[#This Row],[Q]]&lt;0.1, " ",Inventory_List_Table341115109111317181416[[#This Row],[D CM ]]/2.54)</f>
        <v xml:space="preserve"> </v>
      </c>
      <c r="R34" s="30" t="str">
        <f>IF(Inventory_List_Table341115109111317181416[[#This Row],[Q]]&lt;0.1, " ",Inventory_List_Table341115109111317181416[[#This Row],[PRICE]]/$L$1)</f>
        <v xml:space="preserve"> </v>
      </c>
      <c r="S3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4" s="30" t="str">
        <f>IF(Inventory_List_Table341115109111317181416[[#This Row],[Q]]&lt;0.1, " ",Inventory_List_Table341115109111317181416[[#This Row],[AQ RND USD]]*1.4)</f>
        <v xml:space="preserve"> </v>
      </c>
      <c r="U3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4" s="30" t="str">
        <f>IF(Inventory_List_Table341115109111317181416[[#This Row],[Q]]&lt;0.1, " ",Inventory_List_Table341115109111317181416[[#This Row],[LND RND USD]]*12)</f>
        <v xml:space="preserve"> </v>
      </c>
      <c r="W34" s="30" t="str">
        <f>IF(Inventory_List_Table341115109111317181416[[#This Row],[Q]]&lt;0.1, " ",Inventory_List_Table341115109111317181416[[#This Row],[AQ USD]])</f>
        <v xml:space="preserve"> </v>
      </c>
      <c r="X3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4" s="30" t="str">
        <f>IF(Inventory_List_Table341115109111317181416[[#This Row],[Q]]&lt;0.1, " ",Inventory_List_Table341115109111317181416[[#This Row],[PRICE]]/Z34*10000)</f>
        <v xml:space="preserve"> </v>
      </c>
      <c r="AB34" s="379"/>
      <c r="AC34" s="1"/>
      <c r="AD34" s="1"/>
    </row>
    <row r="35" spans="1:30" ht="24" customHeight="1" x14ac:dyDescent="0.3">
      <c r="A35" s="373">
        <v>33</v>
      </c>
      <c r="B35" s="1"/>
      <c r="C35" s="375"/>
      <c r="D35" s="375"/>
      <c r="E35" s="375"/>
      <c r="F35" s="38" t="str">
        <f>IF(Inventory_List_Table341115109111317181416[[#This Row],[Q]]&lt;0.1, " ",#REF!&amp;$D$1&amp;#REF!&amp;Inventory_List_Table341115109111317181416[[#This Row],[NOTES]])</f>
        <v xml:space="preserve"> </v>
      </c>
      <c r="G35" s="376"/>
      <c r="H35" s="376"/>
      <c r="I35" s="376"/>
      <c r="J35" s="376"/>
      <c r="K35" s="376"/>
      <c r="L35" s="378"/>
      <c r="M3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5" s="35" t="str">
        <f>IF(Inventory_List_Table341115109111317181416[[#This Row],[Q]]&lt;0.1, " ", Inventory_List_Table341115109111317181416[[#This Row],[KG]]*2.20462)</f>
        <v xml:space="preserve"> </v>
      </c>
      <c r="O35" s="35" t="str">
        <f>IF(Inventory_List_Table341115109111317181416[[#This Row],[Q]]&lt;0.1, " ",Inventory_List_Table341115109111317181416[[#This Row],[H CM]]/2.54)</f>
        <v xml:space="preserve"> </v>
      </c>
      <c r="P35" s="35" t="str">
        <f>IF(Inventory_List_Table341115109111317181416[[#This Row],[Q]]&lt;0.1, " ",Inventory_List_Table341115109111317181416[[#This Row],[W CM]]/2.54)</f>
        <v xml:space="preserve"> </v>
      </c>
      <c r="Q35" s="35" t="str">
        <f>IF(Inventory_List_Table341115109111317181416[[#This Row],[Q]]&lt;0.1, " ",Inventory_List_Table341115109111317181416[[#This Row],[D CM ]]/2.54)</f>
        <v xml:space="preserve"> </v>
      </c>
      <c r="R35" s="30" t="str">
        <f>IF(Inventory_List_Table341115109111317181416[[#This Row],[Q]]&lt;0.1, " ",Inventory_List_Table341115109111317181416[[#This Row],[PRICE]]/$L$1)</f>
        <v xml:space="preserve"> </v>
      </c>
      <c r="S3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5" s="30" t="str">
        <f>IF(Inventory_List_Table341115109111317181416[[#This Row],[Q]]&lt;0.1, " ",Inventory_List_Table341115109111317181416[[#This Row],[AQ RND USD]]*1.4)</f>
        <v xml:space="preserve"> </v>
      </c>
      <c r="U3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5" s="30" t="str">
        <f>IF(Inventory_List_Table341115109111317181416[[#This Row],[Q]]&lt;0.1, " ",Inventory_List_Table341115109111317181416[[#This Row],[LND RND USD]]*12)</f>
        <v xml:space="preserve"> </v>
      </c>
      <c r="W35" s="30" t="str">
        <f>IF(Inventory_List_Table341115109111317181416[[#This Row],[Q]]&lt;0.1, " ",Inventory_List_Table341115109111317181416[[#This Row],[AQ USD]])</f>
        <v xml:space="preserve"> </v>
      </c>
      <c r="X3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5" s="30" t="str">
        <f>IF(Inventory_List_Table341115109111317181416[[#This Row],[Q]]&lt;0.1, " ",Inventory_List_Table341115109111317181416[[#This Row],[PRICE]]/Z35*10000)</f>
        <v xml:space="preserve"> </v>
      </c>
      <c r="AB35" s="379"/>
      <c r="AC35" s="1"/>
      <c r="AD35" s="1"/>
    </row>
    <row r="36" spans="1:30" ht="24" customHeight="1" x14ac:dyDescent="0.3">
      <c r="A36" s="373">
        <v>34</v>
      </c>
      <c r="B36" s="1"/>
      <c r="C36" s="375"/>
      <c r="D36" s="375"/>
      <c r="E36" s="375"/>
      <c r="F36" s="38" t="str">
        <f>IF(Inventory_List_Table341115109111317181416[[#This Row],[Q]]&lt;0.1, " ",#REF!&amp;$D$1&amp;#REF!&amp;Inventory_List_Table341115109111317181416[[#This Row],[NOTES]])</f>
        <v xml:space="preserve"> </v>
      </c>
      <c r="G36" s="376"/>
      <c r="H36" s="376"/>
      <c r="I36" s="376"/>
      <c r="J36" s="376"/>
      <c r="K36" s="376"/>
      <c r="L36" s="378"/>
      <c r="M3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6" s="35" t="str">
        <f>IF(Inventory_List_Table341115109111317181416[[#This Row],[Q]]&lt;0.1, " ", Inventory_List_Table341115109111317181416[[#This Row],[KG]]*2.20462)</f>
        <v xml:space="preserve"> </v>
      </c>
      <c r="O36" s="35" t="str">
        <f>IF(Inventory_List_Table341115109111317181416[[#This Row],[Q]]&lt;0.1, " ",Inventory_List_Table341115109111317181416[[#This Row],[H CM]]/2.54)</f>
        <v xml:space="preserve"> </v>
      </c>
      <c r="P36" s="35" t="str">
        <f>IF(Inventory_List_Table341115109111317181416[[#This Row],[Q]]&lt;0.1, " ",Inventory_List_Table341115109111317181416[[#This Row],[W CM]]/2.54)</f>
        <v xml:space="preserve"> </v>
      </c>
      <c r="Q36" s="35" t="str">
        <f>IF(Inventory_List_Table341115109111317181416[[#This Row],[Q]]&lt;0.1, " ",Inventory_List_Table341115109111317181416[[#This Row],[D CM ]]/2.54)</f>
        <v xml:space="preserve"> </v>
      </c>
      <c r="R36" s="30" t="str">
        <f>IF(Inventory_List_Table341115109111317181416[[#This Row],[Q]]&lt;0.1, " ",Inventory_List_Table341115109111317181416[[#This Row],[PRICE]]/$L$1)</f>
        <v xml:space="preserve"> </v>
      </c>
      <c r="S3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6" s="30" t="str">
        <f>IF(Inventory_List_Table341115109111317181416[[#This Row],[Q]]&lt;0.1, " ",Inventory_List_Table341115109111317181416[[#This Row],[AQ RND USD]]*1.4)</f>
        <v xml:space="preserve"> </v>
      </c>
      <c r="U3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6" s="30" t="str">
        <f>IF(Inventory_List_Table341115109111317181416[[#This Row],[Q]]&lt;0.1, " ",Inventory_List_Table341115109111317181416[[#This Row],[LND RND USD]]*12)</f>
        <v xml:space="preserve"> </v>
      </c>
      <c r="W36" s="30" t="str">
        <f>IF(Inventory_List_Table341115109111317181416[[#This Row],[Q]]&lt;0.1, " ",Inventory_List_Table341115109111317181416[[#This Row],[AQ USD]])</f>
        <v xml:space="preserve"> </v>
      </c>
      <c r="X3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6" s="30" t="str">
        <f>IF(Inventory_List_Table341115109111317181416[[#This Row],[Q]]&lt;0.1, " ",Inventory_List_Table341115109111317181416[[#This Row],[PRICE]]/Z36*10000)</f>
        <v xml:space="preserve"> </v>
      </c>
      <c r="AB36" s="379"/>
      <c r="AC36" s="1"/>
      <c r="AD36" s="1"/>
    </row>
    <row r="37" spans="1:30" ht="24" customHeight="1" x14ac:dyDescent="0.3">
      <c r="A37" s="373">
        <v>35</v>
      </c>
      <c r="B37" s="1"/>
      <c r="C37" s="375"/>
      <c r="D37" s="375"/>
      <c r="E37" s="375"/>
      <c r="F37" s="38" t="str">
        <f>IF(Inventory_List_Table341115109111317181416[[#This Row],[Q]]&lt;0.1, " ",#REF!&amp;$D$1&amp;#REF!&amp;Inventory_List_Table341115109111317181416[[#This Row],[NOTES]])</f>
        <v xml:space="preserve"> </v>
      </c>
      <c r="G37" s="376"/>
      <c r="H37" s="376"/>
      <c r="I37" s="376"/>
      <c r="J37" s="376"/>
      <c r="K37" s="376"/>
      <c r="L37" s="378"/>
      <c r="M3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7" s="35" t="str">
        <f>IF(Inventory_List_Table341115109111317181416[[#This Row],[Q]]&lt;0.1, " ", Inventory_List_Table341115109111317181416[[#This Row],[KG]]*2.20462)</f>
        <v xml:space="preserve"> </v>
      </c>
      <c r="O37" s="35" t="str">
        <f>IF(Inventory_List_Table341115109111317181416[[#This Row],[Q]]&lt;0.1, " ",Inventory_List_Table341115109111317181416[[#This Row],[H CM]]/2.54)</f>
        <v xml:space="preserve"> </v>
      </c>
      <c r="P37" s="35" t="str">
        <f>IF(Inventory_List_Table341115109111317181416[[#This Row],[Q]]&lt;0.1, " ",Inventory_List_Table341115109111317181416[[#This Row],[W CM]]/2.54)</f>
        <v xml:space="preserve"> </v>
      </c>
      <c r="Q37" s="35" t="str">
        <f>IF(Inventory_List_Table341115109111317181416[[#This Row],[Q]]&lt;0.1, " ",Inventory_List_Table341115109111317181416[[#This Row],[D CM ]]/2.54)</f>
        <v xml:space="preserve"> </v>
      </c>
      <c r="R37" s="30" t="str">
        <f>IF(Inventory_List_Table341115109111317181416[[#This Row],[Q]]&lt;0.1, " ",Inventory_List_Table341115109111317181416[[#This Row],[PRICE]]/$L$1)</f>
        <v xml:space="preserve"> </v>
      </c>
      <c r="S3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7" s="30" t="str">
        <f>IF(Inventory_List_Table341115109111317181416[[#This Row],[Q]]&lt;0.1, " ",Inventory_List_Table341115109111317181416[[#This Row],[AQ RND USD]]*1.4)</f>
        <v xml:space="preserve"> </v>
      </c>
      <c r="U3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7" s="30" t="str">
        <f>IF(Inventory_List_Table341115109111317181416[[#This Row],[Q]]&lt;0.1, " ",Inventory_List_Table341115109111317181416[[#This Row],[LND RND USD]]*12)</f>
        <v xml:space="preserve"> </v>
      </c>
      <c r="W37" s="30" t="str">
        <f>IF(Inventory_List_Table341115109111317181416[[#This Row],[Q]]&lt;0.1, " ",Inventory_List_Table341115109111317181416[[#This Row],[AQ USD]])</f>
        <v xml:space="preserve"> </v>
      </c>
      <c r="X3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7" s="30" t="str">
        <f>IF(Inventory_List_Table341115109111317181416[[#This Row],[Q]]&lt;0.1, " ",Inventory_List_Table341115109111317181416[[#This Row],[PRICE]]/Z37*10000)</f>
        <v xml:space="preserve"> </v>
      </c>
      <c r="AB37" s="379"/>
      <c r="AC37" s="1"/>
      <c r="AD37" s="1"/>
    </row>
    <row r="38" spans="1:30" ht="24" customHeight="1" x14ac:dyDescent="0.3">
      <c r="A38" s="373">
        <v>36</v>
      </c>
      <c r="B38" s="1"/>
      <c r="C38" s="375"/>
      <c r="D38" s="375"/>
      <c r="E38" s="375"/>
      <c r="F38" s="38" t="str">
        <f>IF(Inventory_List_Table341115109111317181416[[#This Row],[Q]]&lt;0.1, " ",#REF!&amp;$D$1&amp;#REF!&amp;Inventory_List_Table341115109111317181416[[#This Row],[NOTES]])</f>
        <v xml:space="preserve"> </v>
      </c>
      <c r="G38" s="376"/>
      <c r="H38" s="376"/>
      <c r="I38" s="376"/>
      <c r="J38" s="376"/>
      <c r="K38" s="376"/>
      <c r="L38" s="378"/>
      <c r="M3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8" s="35" t="str">
        <f>IF(Inventory_List_Table341115109111317181416[[#This Row],[Q]]&lt;0.1, " ", Inventory_List_Table341115109111317181416[[#This Row],[KG]]*2.20462)</f>
        <v xml:space="preserve"> </v>
      </c>
      <c r="O38" s="35" t="str">
        <f>IF(Inventory_List_Table341115109111317181416[[#This Row],[Q]]&lt;0.1, " ",Inventory_List_Table341115109111317181416[[#This Row],[H CM]]/2.54)</f>
        <v xml:space="preserve"> </v>
      </c>
      <c r="P38" s="35" t="str">
        <f>IF(Inventory_List_Table341115109111317181416[[#This Row],[Q]]&lt;0.1, " ",Inventory_List_Table341115109111317181416[[#This Row],[W CM]]/2.54)</f>
        <v xml:space="preserve"> </v>
      </c>
      <c r="Q38" s="35" t="str">
        <f>IF(Inventory_List_Table341115109111317181416[[#This Row],[Q]]&lt;0.1, " ",Inventory_List_Table341115109111317181416[[#This Row],[D CM ]]/2.54)</f>
        <v xml:space="preserve"> </v>
      </c>
      <c r="R38" s="30" t="str">
        <f>IF(Inventory_List_Table341115109111317181416[[#This Row],[Q]]&lt;0.1, " ",Inventory_List_Table341115109111317181416[[#This Row],[PRICE]]/$L$1)</f>
        <v xml:space="preserve"> </v>
      </c>
      <c r="S3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8" s="30" t="str">
        <f>IF(Inventory_List_Table341115109111317181416[[#This Row],[Q]]&lt;0.1, " ",Inventory_List_Table341115109111317181416[[#This Row],[AQ RND USD]]*1.4)</f>
        <v xml:space="preserve"> </v>
      </c>
      <c r="U3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8" s="30" t="str">
        <f>IF(Inventory_List_Table341115109111317181416[[#This Row],[Q]]&lt;0.1, " ",Inventory_List_Table341115109111317181416[[#This Row],[LND RND USD]]*12)</f>
        <v xml:space="preserve"> </v>
      </c>
      <c r="W38" s="30" t="str">
        <f>IF(Inventory_List_Table341115109111317181416[[#This Row],[Q]]&lt;0.1, " ",Inventory_List_Table341115109111317181416[[#This Row],[AQ USD]])</f>
        <v xml:space="preserve"> </v>
      </c>
      <c r="X3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8" s="30" t="str">
        <f>IF(Inventory_List_Table341115109111317181416[[#This Row],[Q]]&lt;0.1, " ",Inventory_List_Table341115109111317181416[[#This Row],[PRICE]]/Z38*10000)</f>
        <v xml:space="preserve"> </v>
      </c>
      <c r="AB38" s="379"/>
      <c r="AC38" s="1"/>
      <c r="AD38" s="1"/>
    </row>
    <row r="39" spans="1:30" ht="24" customHeight="1" x14ac:dyDescent="0.3">
      <c r="A39" s="373">
        <v>37</v>
      </c>
      <c r="B39" s="1"/>
      <c r="C39" s="375"/>
      <c r="D39" s="375"/>
      <c r="E39" s="375"/>
      <c r="F39" s="38" t="str">
        <f>IF(Inventory_List_Table341115109111317181416[[#This Row],[Q]]&lt;0.1, " ",#REF!&amp;$D$1&amp;#REF!&amp;Inventory_List_Table341115109111317181416[[#This Row],[NOTES]])</f>
        <v xml:space="preserve"> </v>
      </c>
      <c r="G39" s="376"/>
      <c r="H39" s="376"/>
      <c r="I39" s="376"/>
      <c r="J39" s="376"/>
      <c r="K39" s="376"/>
      <c r="L39" s="378"/>
      <c r="M3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39" s="35" t="str">
        <f>IF(Inventory_List_Table341115109111317181416[[#This Row],[Q]]&lt;0.1, " ", Inventory_List_Table341115109111317181416[[#This Row],[KG]]*2.20462)</f>
        <v xml:space="preserve"> </v>
      </c>
      <c r="O39" s="35" t="str">
        <f>IF(Inventory_List_Table341115109111317181416[[#This Row],[Q]]&lt;0.1, " ",Inventory_List_Table341115109111317181416[[#This Row],[H CM]]/2.54)</f>
        <v xml:space="preserve"> </v>
      </c>
      <c r="P39" s="35" t="str">
        <f>IF(Inventory_List_Table341115109111317181416[[#This Row],[Q]]&lt;0.1, " ",Inventory_List_Table341115109111317181416[[#This Row],[W CM]]/2.54)</f>
        <v xml:space="preserve"> </v>
      </c>
      <c r="Q39" s="35" t="str">
        <f>IF(Inventory_List_Table341115109111317181416[[#This Row],[Q]]&lt;0.1, " ",Inventory_List_Table341115109111317181416[[#This Row],[D CM ]]/2.54)</f>
        <v xml:space="preserve"> </v>
      </c>
      <c r="R39" s="30" t="str">
        <f>IF(Inventory_List_Table341115109111317181416[[#This Row],[Q]]&lt;0.1, " ",Inventory_List_Table341115109111317181416[[#This Row],[PRICE]]/$L$1)</f>
        <v xml:space="preserve"> </v>
      </c>
      <c r="S3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39" s="30" t="str">
        <f>IF(Inventory_List_Table341115109111317181416[[#This Row],[Q]]&lt;0.1, " ",Inventory_List_Table341115109111317181416[[#This Row],[AQ RND USD]]*1.4)</f>
        <v xml:space="preserve"> </v>
      </c>
      <c r="U3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39" s="30" t="str">
        <f>IF(Inventory_List_Table341115109111317181416[[#This Row],[Q]]&lt;0.1, " ",Inventory_List_Table341115109111317181416[[#This Row],[LND RND USD]]*12)</f>
        <v xml:space="preserve"> </v>
      </c>
      <c r="W39" s="30" t="str">
        <f>IF(Inventory_List_Table341115109111317181416[[#This Row],[Q]]&lt;0.1, " ",Inventory_List_Table341115109111317181416[[#This Row],[AQ USD]])</f>
        <v xml:space="preserve"> </v>
      </c>
      <c r="X3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3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3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39" s="30" t="str">
        <f>IF(Inventory_List_Table341115109111317181416[[#This Row],[Q]]&lt;0.1, " ",Inventory_List_Table341115109111317181416[[#This Row],[PRICE]]/Z39*10000)</f>
        <v xml:space="preserve"> </v>
      </c>
      <c r="AB39" s="379"/>
      <c r="AC39" s="1"/>
      <c r="AD39" s="1"/>
    </row>
    <row r="40" spans="1:30" ht="24" customHeight="1" x14ac:dyDescent="0.3">
      <c r="A40" s="373">
        <v>38</v>
      </c>
      <c r="B40" s="1"/>
      <c r="C40" s="375"/>
      <c r="D40" s="375"/>
      <c r="E40" s="375"/>
      <c r="F40" s="38" t="str">
        <f>IF(Inventory_List_Table341115109111317181416[[#This Row],[Q]]&lt;0.1, " ",#REF!&amp;$D$1&amp;#REF!&amp;Inventory_List_Table341115109111317181416[[#This Row],[NOTES]])</f>
        <v xml:space="preserve"> </v>
      </c>
      <c r="G40" s="376"/>
      <c r="H40" s="376"/>
      <c r="I40" s="376"/>
      <c r="J40" s="376"/>
      <c r="K40" s="376"/>
      <c r="L40" s="378"/>
      <c r="M4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0" s="35" t="str">
        <f>IF(Inventory_List_Table341115109111317181416[[#This Row],[Q]]&lt;0.1, " ", Inventory_List_Table341115109111317181416[[#This Row],[KG]]*2.20462)</f>
        <v xml:space="preserve"> </v>
      </c>
      <c r="O40" s="35" t="str">
        <f>IF(Inventory_List_Table341115109111317181416[[#This Row],[Q]]&lt;0.1, " ",Inventory_List_Table341115109111317181416[[#This Row],[H CM]]/2.54)</f>
        <v xml:space="preserve"> </v>
      </c>
      <c r="P40" s="35" t="str">
        <f>IF(Inventory_List_Table341115109111317181416[[#This Row],[Q]]&lt;0.1, " ",Inventory_List_Table341115109111317181416[[#This Row],[W CM]]/2.54)</f>
        <v xml:space="preserve"> </v>
      </c>
      <c r="Q40" s="35" t="str">
        <f>IF(Inventory_List_Table341115109111317181416[[#This Row],[Q]]&lt;0.1, " ",Inventory_List_Table341115109111317181416[[#This Row],[D CM ]]/2.54)</f>
        <v xml:space="preserve"> </v>
      </c>
      <c r="R40" s="30" t="str">
        <f>IF(Inventory_List_Table341115109111317181416[[#This Row],[Q]]&lt;0.1, " ",Inventory_List_Table341115109111317181416[[#This Row],[PRICE]]/$L$1)</f>
        <v xml:space="preserve"> </v>
      </c>
      <c r="S4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0" s="30" t="str">
        <f>IF(Inventory_List_Table341115109111317181416[[#This Row],[Q]]&lt;0.1, " ",Inventory_List_Table341115109111317181416[[#This Row],[AQ RND USD]]*1.4)</f>
        <v xml:space="preserve"> </v>
      </c>
      <c r="U4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0" s="30" t="str">
        <f>IF(Inventory_List_Table341115109111317181416[[#This Row],[Q]]&lt;0.1, " ",Inventory_List_Table341115109111317181416[[#This Row],[LND RND USD]]*12)</f>
        <v xml:space="preserve"> </v>
      </c>
      <c r="W40" s="30" t="str">
        <f>IF(Inventory_List_Table341115109111317181416[[#This Row],[Q]]&lt;0.1, " ",Inventory_List_Table341115109111317181416[[#This Row],[AQ USD]])</f>
        <v xml:space="preserve"> </v>
      </c>
      <c r="X4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0" s="30" t="str">
        <f>IF(Inventory_List_Table341115109111317181416[[#This Row],[Q]]&lt;0.1, " ",Inventory_List_Table341115109111317181416[[#This Row],[PRICE]]/Z40*10000)</f>
        <v xml:space="preserve"> </v>
      </c>
      <c r="AB40" s="379"/>
      <c r="AC40" s="1"/>
      <c r="AD40" s="1"/>
    </row>
    <row r="41" spans="1:30" ht="24" customHeight="1" x14ac:dyDescent="0.3">
      <c r="A41" s="373">
        <v>39</v>
      </c>
      <c r="B41" s="1"/>
      <c r="C41" s="375"/>
      <c r="D41" s="375"/>
      <c r="E41" s="375"/>
      <c r="F41" s="38" t="str">
        <f>IF(Inventory_List_Table341115109111317181416[[#This Row],[Q]]&lt;0.1, " ",#REF!&amp;$D$1&amp;#REF!&amp;Inventory_List_Table341115109111317181416[[#This Row],[NOTES]])</f>
        <v xml:space="preserve"> </v>
      </c>
      <c r="G41" s="376"/>
      <c r="H41" s="376"/>
      <c r="I41" s="376"/>
      <c r="J41" s="376"/>
      <c r="K41" s="376"/>
      <c r="L41" s="378"/>
      <c r="M4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1" s="35" t="str">
        <f>IF(Inventory_List_Table341115109111317181416[[#This Row],[Q]]&lt;0.1, " ", Inventory_List_Table341115109111317181416[[#This Row],[KG]]*2.20462)</f>
        <v xml:space="preserve"> </v>
      </c>
      <c r="O41" s="35" t="str">
        <f>IF(Inventory_List_Table341115109111317181416[[#This Row],[Q]]&lt;0.1, " ",Inventory_List_Table341115109111317181416[[#This Row],[H CM]]/2.54)</f>
        <v xml:space="preserve"> </v>
      </c>
      <c r="P41" s="35" t="str">
        <f>IF(Inventory_List_Table341115109111317181416[[#This Row],[Q]]&lt;0.1, " ",Inventory_List_Table341115109111317181416[[#This Row],[W CM]]/2.54)</f>
        <v xml:space="preserve"> </v>
      </c>
      <c r="Q41" s="35" t="str">
        <f>IF(Inventory_List_Table341115109111317181416[[#This Row],[Q]]&lt;0.1, " ",Inventory_List_Table341115109111317181416[[#This Row],[D CM ]]/2.54)</f>
        <v xml:space="preserve"> </v>
      </c>
      <c r="R41" s="30" t="str">
        <f>IF(Inventory_List_Table341115109111317181416[[#This Row],[Q]]&lt;0.1, " ",Inventory_List_Table341115109111317181416[[#This Row],[PRICE]]/$L$1)</f>
        <v xml:space="preserve"> </v>
      </c>
      <c r="S4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1" s="30" t="str">
        <f>IF(Inventory_List_Table341115109111317181416[[#This Row],[Q]]&lt;0.1, " ",Inventory_List_Table341115109111317181416[[#This Row],[AQ RND USD]]*1.4)</f>
        <v xml:space="preserve"> </v>
      </c>
      <c r="U4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1" s="30" t="str">
        <f>IF(Inventory_List_Table341115109111317181416[[#This Row],[Q]]&lt;0.1, " ",Inventory_List_Table341115109111317181416[[#This Row],[LND RND USD]]*12)</f>
        <v xml:space="preserve"> </v>
      </c>
      <c r="W41" s="30" t="str">
        <f>IF(Inventory_List_Table341115109111317181416[[#This Row],[Q]]&lt;0.1, " ",Inventory_List_Table341115109111317181416[[#This Row],[AQ USD]])</f>
        <v xml:space="preserve"> </v>
      </c>
      <c r="X4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1" s="30" t="str">
        <f>IF(Inventory_List_Table341115109111317181416[[#This Row],[Q]]&lt;0.1, " ",Inventory_List_Table341115109111317181416[[#This Row],[PRICE]]/Z41*10000)</f>
        <v xml:space="preserve"> </v>
      </c>
      <c r="AB41" s="379"/>
      <c r="AC41" s="1"/>
      <c r="AD41" s="1"/>
    </row>
    <row r="42" spans="1:30" ht="24" customHeight="1" x14ac:dyDescent="0.3">
      <c r="A42" s="373">
        <v>40</v>
      </c>
      <c r="B42" s="1"/>
      <c r="C42" s="375"/>
      <c r="D42" s="375"/>
      <c r="E42" s="375"/>
      <c r="F42" s="38" t="str">
        <f>IF(Inventory_List_Table341115109111317181416[[#This Row],[Q]]&lt;0.1, " ",#REF!&amp;$D$1&amp;#REF!&amp;Inventory_List_Table341115109111317181416[[#This Row],[NOTES]])</f>
        <v xml:space="preserve"> </v>
      </c>
      <c r="G42" s="376"/>
      <c r="H42" s="376"/>
      <c r="I42" s="376"/>
      <c r="J42" s="376"/>
      <c r="K42" s="376"/>
      <c r="L42" s="378"/>
      <c r="M4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2" s="35" t="str">
        <f>IF(Inventory_List_Table341115109111317181416[[#This Row],[Q]]&lt;0.1, " ", Inventory_List_Table341115109111317181416[[#This Row],[KG]]*2.20462)</f>
        <v xml:space="preserve"> </v>
      </c>
      <c r="O42" s="35" t="str">
        <f>IF(Inventory_List_Table341115109111317181416[[#This Row],[Q]]&lt;0.1, " ",Inventory_List_Table341115109111317181416[[#This Row],[H CM]]/2.54)</f>
        <v xml:space="preserve"> </v>
      </c>
      <c r="P42" s="35" t="str">
        <f>IF(Inventory_List_Table341115109111317181416[[#This Row],[Q]]&lt;0.1, " ",Inventory_List_Table341115109111317181416[[#This Row],[W CM]]/2.54)</f>
        <v xml:space="preserve"> </v>
      </c>
      <c r="Q42" s="35" t="str">
        <f>IF(Inventory_List_Table341115109111317181416[[#This Row],[Q]]&lt;0.1, " ",Inventory_List_Table341115109111317181416[[#This Row],[D CM ]]/2.54)</f>
        <v xml:space="preserve"> </v>
      </c>
      <c r="R42" s="30" t="str">
        <f>IF(Inventory_List_Table341115109111317181416[[#This Row],[Q]]&lt;0.1, " ",Inventory_List_Table341115109111317181416[[#This Row],[PRICE]]/$L$1)</f>
        <v xml:space="preserve"> </v>
      </c>
      <c r="S4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2" s="30" t="str">
        <f>IF(Inventory_List_Table341115109111317181416[[#This Row],[Q]]&lt;0.1, " ",Inventory_List_Table341115109111317181416[[#This Row],[AQ RND USD]]*1.4)</f>
        <v xml:space="preserve"> </v>
      </c>
      <c r="U4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2" s="30" t="str">
        <f>IF(Inventory_List_Table341115109111317181416[[#This Row],[Q]]&lt;0.1, " ",Inventory_List_Table341115109111317181416[[#This Row],[LND RND USD]]*12)</f>
        <v xml:space="preserve"> </v>
      </c>
      <c r="W42" s="30" t="str">
        <f>IF(Inventory_List_Table341115109111317181416[[#This Row],[Q]]&lt;0.1, " ",Inventory_List_Table341115109111317181416[[#This Row],[AQ USD]])</f>
        <v xml:space="preserve"> </v>
      </c>
      <c r="X4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2" s="30" t="str">
        <f>IF(Inventory_List_Table341115109111317181416[[#This Row],[Q]]&lt;0.1, " ",Inventory_List_Table341115109111317181416[[#This Row],[PRICE]]/Z42*10000)</f>
        <v xml:space="preserve"> </v>
      </c>
      <c r="AB42" s="379"/>
      <c r="AC42" s="1"/>
      <c r="AD42" s="1"/>
    </row>
    <row r="43" spans="1:30" ht="24" customHeight="1" x14ac:dyDescent="0.3">
      <c r="A43" s="373">
        <v>41</v>
      </c>
      <c r="B43" s="1"/>
      <c r="C43" s="375"/>
      <c r="D43" s="375"/>
      <c r="E43" s="375"/>
      <c r="F43" s="38" t="str">
        <f>IF(Inventory_List_Table341115109111317181416[[#This Row],[Q]]&lt;0.1, " ",#REF!&amp;$D$1&amp;#REF!&amp;Inventory_List_Table341115109111317181416[[#This Row],[NOTES]])</f>
        <v xml:space="preserve"> </v>
      </c>
      <c r="G43" s="376"/>
      <c r="H43" s="376"/>
      <c r="I43" s="376"/>
      <c r="J43" s="376"/>
      <c r="K43" s="376"/>
      <c r="L43" s="378"/>
      <c r="M4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3" s="35" t="str">
        <f>IF(Inventory_List_Table341115109111317181416[[#This Row],[Q]]&lt;0.1, " ", Inventory_List_Table341115109111317181416[[#This Row],[KG]]*2.20462)</f>
        <v xml:space="preserve"> </v>
      </c>
      <c r="O43" s="35" t="str">
        <f>IF(Inventory_List_Table341115109111317181416[[#This Row],[Q]]&lt;0.1, " ",Inventory_List_Table341115109111317181416[[#This Row],[H CM]]/2.54)</f>
        <v xml:space="preserve"> </v>
      </c>
      <c r="P43" s="35" t="str">
        <f>IF(Inventory_List_Table341115109111317181416[[#This Row],[Q]]&lt;0.1, " ",Inventory_List_Table341115109111317181416[[#This Row],[W CM]]/2.54)</f>
        <v xml:space="preserve"> </v>
      </c>
      <c r="Q43" s="35" t="str">
        <f>IF(Inventory_List_Table341115109111317181416[[#This Row],[Q]]&lt;0.1, " ",Inventory_List_Table341115109111317181416[[#This Row],[D CM ]]/2.54)</f>
        <v xml:space="preserve"> </v>
      </c>
      <c r="R43" s="30" t="str">
        <f>IF(Inventory_List_Table341115109111317181416[[#This Row],[Q]]&lt;0.1, " ",Inventory_List_Table341115109111317181416[[#This Row],[PRICE]]/$L$1)</f>
        <v xml:space="preserve"> </v>
      </c>
      <c r="S4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3" s="30" t="str">
        <f>IF(Inventory_List_Table341115109111317181416[[#This Row],[Q]]&lt;0.1, " ",Inventory_List_Table341115109111317181416[[#This Row],[AQ RND USD]]*1.4)</f>
        <v xml:space="preserve"> </v>
      </c>
      <c r="U4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3" s="30" t="str">
        <f>IF(Inventory_List_Table341115109111317181416[[#This Row],[Q]]&lt;0.1, " ",Inventory_List_Table341115109111317181416[[#This Row],[LND RND USD]]*12)</f>
        <v xml:space="preserve"> </v>
      </c>
      <c r="W43" s="30" t="str">
        <f>IF(Inventory_List_Table341115109111317181416[[#This Row],[Q]]&lt;0.1, " ",Inventory_List_Table341115109111317181416[[#This Row],[AQ USD]])</f>
        <v xml:space="preserve"> </v>
      </c>
      <c r="X4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3" s="30" t="str">
        <f>IF(Inventory_List_Table341115109111317181416[[#This Row],[Q]]&lt;0.1, " ",Inventory_List_Table341115109111317181416[[#This Row],[PRICE]]/Z43*10000)</f>
        <v xml:space="preserve"> </v>
      </c>
      <c r="AB43" s="379"/>
      <c r="AC43" s="1"/>
      <c r="AD43" s="1"/>
    </row>
    <row r="44" spans="1:30" ht="24" customHeight="1" x14ac:dyDescent="0.3">
      <c r="A44" s="373">
        <v>42</v>
      </c>
      <c r="B44" s="1"/>
      <c r="C44" s="375"/>
      <c r="D44" s="375"/>
      <c r="E44" s="375"/>
      <c r="F44" s="38" t="str">
        <f>IF(Inventory_List_Table341115109111317181416[[#This Row],[Q]]&lt;0.1, " ",#REF!&amp;$D$1&amp;#REF!&amp;Inventory_List_Table341115109111317181416[[#This Row],[NOTES]])</f>
        <v xml:space="preserve"> </v>
      </c>
      <c r="G44" s="376"/>
      <c r="H44" s="376"/>
      <c r="I44" s="376"/>
      <c r="J44" s="376"/>
      <c r="K44" s="376"/>
      <c r="L44" s="378"/>
      <c r="M4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4" s="35" t="str">
        <f>IF(Inventory_List_Table341115109111317181416[[#This Row],[Q]]&lt;0.1, " ", Inventory_List_Table341115109111317181416[[#This Row],[KG]]*2.20462)</f>
        <v xml:space="preserve"> </v>
      </c>
      <c r="O44" s="35" t="str">
        <f>IF(Inventory_List_Table341115109111317181416[[#This Row],[Q]]&lt;0.1, " ",Inventory_List_Table341115109111317181416[[#This Row],[H CM]]/2.54)</f>
        <v xml:space="preserve"> </v>
      </c>
      <c r="P44" s="35" t="str">
        <f>IF(Inventory_List_Table341115109111317181416[[#This Row],[Q]]&lt;0.1, " ",Inventory_List_Table341115109111317181416[[#This Row],[W CM]]/2.54)</f>
        <v xml:space="preserve"> </v>
      </c>
      <c r="Q44" s="35" t="str">
        <f>IF(Inventory_List_Table341115109111317181416[[#This Row],[Q]]&lt;0.1, " ",Inventory_List_Table341115109111317181416[[#This Row],[D CM ]]/2.54)</f>
        <v xml:space="preserve"> </v>
      </c>
      <c r="R44" s="30" t="str">
        <f>IF(Inventory_List_Table341115109111317181416[[#This Row],[Q]]&lt;0.1, " ",Inventory_List_Table341115109111317181416[[#This Row],[PRICE]]/$L$1)</f>
        <v xml:space="preserve"> </v>
      </c>
      <c r="S4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4" s="30" t="str">
        <f>IF(Inventory_List_Table341115109111317181416[[#This Row],[Q]]&lt;0.1, " ",Inventory_List_Table341115109111317181416[[#This Row],[AQ RND USD]]*1.4)</f>
        <v xml:space="preserve"> </v>
      </c>
      <c r="U4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4" s="30" t="str">
        <f>IF(Inventory_List_Table341115109111317181416[[#This Row],[Q]]&lt;0.1, " ",Inventory_List_Table341115109111317181416[[#This Row],[LND RND USD]]*12)</f>
        <v xml:space="preserve"> </v>
      </c>
      <c r="W44" s="30" t="str">
        <f>IF(Inventory_List_Table341115109111317181416[[#This Row],[Q]]&lt;0.1, " ",Inventory_List_Table341115109111317181416[[#This Row],[AQ USD]])</f>
        <v xml:space="preserve"> </v>
      </c>
      <c r="X4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4" s="30" t="str">
        <f>IF(Inventory_List_Table341115109111317181416[[#This Row],[Q]]&lt;0.1, " ",Inventory_List_Table341115109111317181416[[#This Row],[PRICE]]/Z44*10000)</f>
        <v xml:space="preserve"> </v>
      </c>
      <c r="AB44" s="379"/>
      <c r="AC44" s="1"/>
      <c r="AD44" s="1"/>
    </row>
    <row r="45" spans="1:30" ht="24" customHeight="1" x14ac:dyDescent="0.3">
      <c r="A45" s="373">
        <v>43</v>
      </c>
      <c r="B45" s="1"/>
      <c r="C45" s="375"/>
      <c r="D45" s="375"/>
      <c r="E45" s="375"/>
      <c r="F45" s="38" t="str">
        <f>IF(Inventory_List_Table341115109111317181416[[#This Row],[Q]]&lt;0.1, " ",#REF!&amp;$D$1&amp;#REF!&amp;Inventory_List_Table341115109111317181416[[#This Row],[NOTES]])</f>
        <v xml:space="preserve"> </v>
      </c>
      <c r="G45" s="376"/>
      <c r="H45" s="376"/>
      <c r="I45" s="376"/>
      <c r="J45" s="376"/>
      <c r="K45" s="376"/>
      <c r="L45" s="378"/>
      <c r="M4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5" s="35" t="str">
        <f>IF(Inventory_List_Table341115109111317181416[[#This Row],[Q]]&lt;0.1, " ", Inventory_List_Table341115109111317181416[[#This Row],[KG]]*2.20462)</f>
        <v xml:space="preserve"> </v>
      </c>
      <c r="O45" s="35" t="str">
        <f>IF(Inventory_List_Table341115109111317181416[[#This Row],[Q]]&lt;0.1, " ",Inventory_List_Table341115109111317181416[[#This Row],[H CM]]/2.54)</f>
        <v xml:space="preserve"> </v>
      </c>
      <c r="P45" s="35" t="str">
        <f>IF(Inventory_List_Table341115109111317181416[[#This Row],[Q]]&lt;0.1, " ",Inventory_List_Table341115109111317181416[[#This Row],[W CM]]/2.54)</f>
        <v xml:space="preserve"> </v>
      </c>
      <c r="Q45" s="35" t="str">
        <f>IF(Inventory_List_Table341115109111317181416[[#This Row],[Q]]&lt;0.1, " ",Inventory_List_Table341115109111317181416[[#This Row],[D CM ]]/2.54)</f>
        <v xml:space="preserve"> </v>
      </c>
      <c r="R45" s="30" t="str">
        <f>IF(Inventory_List_Table341115109111317181416[[#This Row],[Q]]&lt;0.1, " ",Inventory_List_Table341115109111317181416[[#This Row],[PRICE]]/$L$1)</f>
        <v xml:space="preserve"> </v>
      </c>
      <c r="S4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5" s="30" t="str">
        <f>IF(Inventory_List_Table341115109111317181416[[#This Row],[Q]]&lt;0.1, " ",Inventory_List_Table341115109111317181416[[#This Row],[AQ RND USD]]*1.4)</f>
        <v xml:space="preserve"> </v>
      </c>
      <c r="U4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5" s="30" t="str">
        <f>IF(Inventory_List_Table341115109111317181416[[#This Row],[Q]]&lt;0.1, " ",Inventory_List_Table341115109111317181416[[#This Row],[LND RND USD]]*12)</f>
        <v xml:space="preserve"> </v>
      </c>
      <c r="W45" s="30" t="str">
        <f>IF(Inventory_List_Table341115109111317181416[[#This Row],[Q]]&lt;0.1, " ",Inventory_List_Table341115109111317181416[[#This Row],[AQ USD]])</f>
        <v xml:space="preserve"> </v>
      </c>
      <c r="X4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5" s="30" t="str">
        <f>IF(Inventory_List_Table341115109111317181416[[#This Row],[Q]]&lt;0.1, " ",Inventory_List_Table341115109111317181416[[#This Row],[PRICE]]/Z45*10000)</f>
        <v xml:space="preserve"> </v>
      </c>
      <c r="AB45" s="379"/>
      <c r="AC45" s="1"/>
      <c r="AD45" s="1"/>
    </row>
    <row r="46" spans="1:30" ht="24" customHeight="1" x14ac:dyDescent="0.3">
      <c r="A46" s="373">
        <v>44</v>
      </c>
      <c r="B46" s="1"/>
      <c r="C46" s="375"/>
      <c r="D46" s="375"/>
      <c r="E46" s="375"/>
      <c r="F46" s="38" t="str">
        <f>IF(Inventory_List_Table341115109111317181416[[#This Row],[Q]]&lt;0.1, " ",#REF!&amp;$D$1&amp;#REF!&amp;Inventory_List_Table341115109111317181416[[#This Row],[NOTES]])</f>
        <v xml:space="preserve"> </v>
      </c>
      <c r="G46" s="376"/>
      <c r="H46" s="376"/>
      <c r="I46" s="376"/>
      <c r="J46" s="376"/>
      <c r="K46" s="376"/>
      <c r="L46" s="378"/>
      <c r="M4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6" s="35" t="str">
        <f>IF(Inventory_List_Table341115109111317181416[[#This Row],[Q]]&lt;0.1, " ", Inventory_List_Table341115109111317181416[[#This Row],[KG]]*2.20462)</f>
        <v xml:space="preserve"> </v>
      </c>
      <c r="O46" s="35" t="str">
        <f>IF(Inventory_List_Table341115109111317181416[[#This Row],[Q]]&lt;0.1, " ",Inventory_List_Table341115109111317181416[[#This Row],[H CM]]/2.54)</f>
        <v xml:space="preserve"> </v>
      </c>
      <c r="P46" s="35" t="str">
        <f>IF(Inventory_List_Table341115109111317181416[[#This Row],[Q]]&lt;0.1, " ",Inventory_List_Table341115109111317181416[[#This Row],[W CM]]/2.54)</f>
        <v xml:space="preserve"> </v>
      </c>
      <c r="Q46" s="35" t="str">
        <f>IF(Inventory_List_Table341115109111317181416[[#This Row],[Q]]&lt;0.1, " ",Inventory_List_Table341115109111317181416[[#This Row],[D CM ]]/2.54)</f>
        <v xml:space="preserve"> </v>
      </c>
      <c r="R46" s="30" t="str">
        <f>IF(Inventory_List_Table341115109111317181416[[#This Row],[Q]]&lt;0.1, " ",Inventory_List_Table341115109111317181416[[#This Row],[PRICE]]/$L$1)</f>
        <v xml:space="preserve"> </v>
      </c>
      <c r="S4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6" s="30" t="str">
        <f>IF(Inventory_List_Table341115109111317181416[[#This Row],[Q]]&lt;0.1, " ",Inventory_List_Table341115109111317181416[[#This Row],[AQ RND USD]]*1.4)</f>
        <v xml:space="preserve"> </v>
      </c>
      <c r="U4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6" s="30" t="str">
        <f>IF(Inventory_List_Table341115109111317181416[[#This Row],[Q]]&lt;0.1, " ",Inventory_List_Table341115109111317181416[[#This Row],[LND RND USD]]*12)</f>
        <v xml:space="preserve"> </v>
      </c>
      <c r="W46" s="30" t="str">
        <f>IF(Inventory_List_Table341115109111317181416[[#This Row],[Q]]&lt;0.1, " ",Inventory_List_Table341115109111317181416[[#This Row],[AQ USD]])</f>
        <v xml:space="preserve"> </v>
      </c>
      <c r="X4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6" s="30" t="str">
        <f>IF(Inventory_List_Table341115109111317181416[[#This Row],[Q]]&lt;0.1, " ",Inventory_List_Table341115109111317181416[[#This Row],[PRICE]]/Z46*10000)</f>
        <v xml:space="preserve"> </v>
      </c>
      <c r="AB46" s="379"/>
      <c r="AC46" s="1"/>
      <c r="AD46" s="1"/>
    </row>
    <row r="47" spans="1:30" ht="24" customHeight="1" x14ac:dyDescent="0.3">
      <c r="A47" s="373">
        <v>45</v>
      </c>
      <c r="B47" s="1"/>
      <c r="C47" s="375"/>
      <c r="D47" s="375"/>
      <c r="E47" s="375"/>
      <c r="F47" s="38" t="str">
        <f>IF(Inventory_List_Table341115109111317181416[[#This Row],[Q]]&lt;0.1, " ",#REF!&amp;$D$1&amp;#REF!&amp;Inventory_List_Table341115109111317181416[[#This Row],[NOTES]])</f>
        <v xml:space="preserve"> </v>
      </c>
      <c r="G47" s="376"/>
      <c r="H47" s="376"/>
      <c r="I47" s="376"/>
      <c r="J47" s="376"/>
      <c r="K47" s="376"/>
      <c r="L47" s="378"/>
      <c r="M4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7" s="35" t="str">
        <f>IF(Inventory_List_Table341115109111317181416[[#This Row],[Q]]&lt;0.1, " ", Inventory_List_Table341115109111317181416[[#This Row],[KG]]*2.20462)</f>
        <v xml:space="preserve"> </v>
      </c>
      <c r="O47" s="35" t="str">
        <f>IF(Inventory_List_Table341115109111317181416[[#This Row],[Q]]&lt;0.1, " ",Inventory_List_Table341115109111317181416[[#This Row],[H CM]]/2.54)</f>
        <v xml:space="preserve"> </v>
      </c>
      <c r="P47" s="35" t="str">
        <f>IF(Inventory_List_Table341115109111317181416[[#This Row],[Q]]&lt;0.1, " ",Inventory_List_Table341115109111317181416[[#This Row],[W CM]]/2.54)</f>
        <v xml:space="preserve"> </v>
      </c>
      <c r="Q47" s="35" t="str">
        <f>IF(Inventory_List_Table341115109111317181416[[#This Row],[Q]]&lt;0.1, " ",Inventory_List_Table341115109111317181416[[#This Row],[D CM ]]/2.54)</f>
        <v xml:space="preserve"> </v>
      </c>
      <c r="R47" s="30" t="str">
        <f>IF(Inventory_List_Table341115109111317181416[[#This Row],[Q]]&lt;0.1, " ",Inventory_List_Table341115109111317181416[[#This Row],[PRICE]]/$L$1)</f>
        <v xml:space="preserve"> </v>
      </c>
      <c r="S4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7" s="30" t="str">
        <f>IF(Inventory_List_Table341115109111317181416[[#This Row],[Q]]&lt;0.1, " ",Inventory_List_Table341115109111317181416[[#This Row],[AQ RND USD]]*1.4)</f>
        <v xml:space="preserve"> </v>
      </c>
      <c r="U4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7" s="30" t="str">
        <f>IF(Inventory_List_Table341115109111317181416[[#This Row],[Q]]&lt;0.1, " ",Inventory_List_Table341115109111317181416[[#This Row],[LND RND USD]]*12)</f>
        <v xml:space="preserve"> </v>
      </c>
      <c r="W47" s="30" t="str">
        <f>IF(Inventory_List_Table341115109111317181416[[#This Row],[Q]]&lt;0.1, " ",Inventory_List_Table341115109111317181416[[#This Row],[AQ USD]])</f>
        <v xml:space="preserve"> </v>
      </c>
      <c r="X4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7" s="30" t="str">
        <f>IF(Inventory_List_Table341115109111317181416[[#This Row],[Q]]&lt;0.1, " ",Inventory_List_Table341115109111317181416[[#This Row],[PRICE]]/Z47*10000)</f>
        <v xml:space="preserve"> </v>
      </c>
      <c r="AB47" s="379"/>
      <c r="AC47" s="1"/>
      <c r="AD47" s="1"/>
    </row>
    <row r="48" spans="1:30" ht="24" customHeight="1" x14ac:dyDescent="0.3">
      <c r="A48" s="373">
        <v>46</v>
      </c>
      <c r="B48" s="1"/>
      <c r="C48" s="375"/>
      <c r="D48" s="375"/>
      <c r="E48" s="375"/>
      <c r="F48" s="38" t="str">
        <f>IF(Inventory_List_Table341115109111317181416[[#This Row],[Q]]&lt;0.1, " ",#REF!&amp;$D$1&amp;#REF!&amp;Inventory_List_Table341115109111317181416[[#This Row],[NOTES]])</f>
        <v xml:space="preserve"> </v>
      </c>
      <c r="G48" s="376"/>
      <c r="H48" s="376"/>
      <c r="I48" s="376"/>
      <c r="J48" s="376"/>
      <c r="K48" s="376"/>
      <c r="L48" s="378"/>
      <c r="M4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8" s="35" t="str">
        <f>IF(Inventory_List_Table341115109111317181416[[#This Row],[Q]]&lt;0.1, " ", Inventory_List_Table341115109111317181416[[#This Row],[KG]]*2.20462)</f>
        <v xml:space="preserve"> </v>
      </c>
      <c r="O48" s="35" t="str">
        <f>IF(Inventory_List_Table341115109111317181416[[#This Row],[Q]]&lt;0.1, " ",Inventory_List_Table341115109111317181416[[#This Row],[H CM]]/2.54)</f>
        <v xml:space="preserve"> </v>
      </c>
      <c r="P48" s="35" t="str">
        <f>IF(Inventory_List_Table341115109111317181416[[#This Row],[Q]]&lt;0.1, " ",Inventory_List_Table341115109111317181416[[#This Row],[W CM]]/2.54)</f>
        <v xml:space="preserve"> </v>
      </c>
      <c r="Q48" s="35" t="str">
        <f>IF(Inventory_List_Table341115109111317181416[[#This Row],[Q]]&lt;0.1, " ",Inventory_List_Table341115109111317181416[[#This Row],[D CM ]]/2.54)</f>
        <v xml:space="preserve"> </v>
      </c>
      <c r="R48" s="30" t="str">
        <f>IF(Inventory_List_Table341115109111317181416[[#This Row],[Q]]&lt;0.1, " ",Inventory_List_Table341115109111317181416[[#This Row],[PRICE]]/$L$1)</f>
        <v xml:space="preserve"> </v>
      </c>
      <c r="S4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8" s="30" t="str">
        <f>IF(Inventory_List_Table341115109111317181416[[#This Row],[Q]]&lt;0.1, " ",Inventory_List_Table341115109111317181416[[#This Row],[AQ RND USD]]*1.4)</f>
        <v xml:space="preserve"> </v>
      </c>
      <c r="U4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8" s="30" t="str">
        <f>IF(Inventory_List_Table341115109111317181416[[#This Row],[Q]]&lt;0.1, " ",Inventory_List_Table341115109111317181416[[#This Row],[LND RND USD]]*12)</f>
        <v xml:space="preserve"> </v>
      </c>
      <c r="W48" s="30" t="str">
        <f>IF(Inventory_List_Table341115109111317181416[[#This Row],[Q]]&lt;0.1, " ",Inventory_List_Table341115109111317181416[[#This Row],[AQ USD]])</f>
        <v xml:space="preserve"> </v>
      </c>
      <c r="X4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8" s="30" t="str">
        <f>IF(Inventory_List_Table341115109111317181416[[#This Row],[Q]]&lt;0.1, " ",Inventory_List_Table341115109111317181416[[#This Row],[PRICE]]/Z48*10000)</f>
        <v xml:space="preserve"> </v>
      </c>
      <c r="AB48" s="379"/>
      <c r="AC48" s="1"/>
      <c r="AD48" s="1"/>
    </row>
    <row r="49" spans="1:30" ht="24" customHeight="1" x14ac:dyDescent="0.3">
      <c r="A49" s="373">
        <v>47</v>
      </c>
      <c r="B49" s="1"/>
      <c r="C49" s="375"/>
      <c r="D49" s="375"/>
      <c r="E49" s="375"/>
      <c r="F49" s="38" t="str">
        <f>IF(Inventory_List_Table341115109111317181416[[#This Row],[Q]]&lt;0.1, " ",#REF!&amp;$D$1&amp;#REF!&amp;Inventory_List_Table341115109111317181416[[#This Row],[NOTES]])</f>
        <v xml:space="preserve"> </v>
      </c>
      <c r="G49" s="376"/>
      <c r="H49" s="376"/>
      <c r="I49" s="376"/>
      <c r="J49" s="376"/>
      <c r="K49" s="376"/>
      <c r="L49" s="378"/>
      <c r="M4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49" s="35" t="str">
        <f>IF(Inventory_List_Table341115109111317181416[[#This Row],[Q]]&lt;0.1, " ", Inventory_List_Table341115109111317181416[[#This Row],[KG]]*2.20462)</f>
        <v xml:space="preserve"> </v>
      </c>
      <c r="O49" s="35" t="str">
        <f>IF(Inventory_List_Table341115109111317181416[[#This Row],[Q]]&lt;0.1, " ",Inventory_List_Table341115109111317181416[[#This Row],[H CM]]/2.54)</f>
        <v xml:space="preserve"> </v>
      </c>
      <c r="P49" s="35" t="str">
        <f>IF(Inventory_List_Table341115109111317181416[[#This Row],[Q]]&lt;0.1, " ",Inventory_List_Table341115109111317181416[[#This Row],[W CM]]/2.54)</f>
        <v xml:space="preserve"> </v>
      </c>
      <c r="Q49" s="35" t="str">
        <f>IF(Inventory_List_Table341115109111317181416[[#This Row],[Q]]&lt;0.1, " ",Inventory_List_Table341115109111317181416[[#This Row],[D CM ]]/2.54)</f>
        <v xml:space="preserve"> </v>
      </c>
      <c r="R49" s="30" t="str">
        <f>IF(Inventory_List_Table341115109111317181416[[#This Row],[Q]]&lt;0.1, " ",Inventory_List_Table341115109111317181416[[#This Row],[PRICE]]/$L$1)</f>
        <v xml:space="preserve"> </v>
      </c>
      <c r="S4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49" s="30" t="str">
        <f>IF(Inventory_List_Table341115109111317181416[[#This Row],[Q]]&lt;0.1, " ",Inventory_List_Table341115109111317181416[[#This Row],[AQ RND USD]]*1.4)</f>
        <v xml:space="preserve"> </v>
      </c>
      <c r="U4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49" s="30" t="str">
        <f>IF(Inventory_List_Table341115109111317181416[[#This Row],[Q]]&lt;0.1, " ",Inventory_List_Table341115109111317181416[[#This Row],[LND RND USD]]*12)</f>
        <v xml:space="preserve"> </v>
      </c>
      <c r="W49" s="30" t="str">
        <f>IF(Inventory_List_Table341115109111317181416[[#This Row],[Q]]&lt;0.1, " ",Inventory_List_Table341115109111317181416[[#This Row],[AQ USD]])</f>
        <v xml:space="preserve"> </v>
      </c>
      <c r="X4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4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4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49" s="30" t="str">
        <f>IF(Inventory_List_Table341115109111317181416[[#This Row],[Q]]&lt;0.1, " ",Inventory_List_Table341115109111317181416[[#This Row],[PRICE]]/Z49*10000)</f>
        <v xml:space="preserve"> </v>
      </c>
      <c r="AB49" s="379"/>
      <c r="AC49" s="1"/>
      <c r="AD49" s="1"/>
    </row>
    <row r="50" spans="1:30" ht="24" customHeight="1" x14ac:dyDescent="0.3">
      <c r="A50" s="373">
        <v>48</v>
      </c>
      <c r="B50" s="1"/>
      <c r="C50" s="375"/>
      <c r="D50" s="375"/>
      <c r="E50" s="375"/>
      <c r="F50" s="38" t="str">
        <f>IF(Inventory_List_Table341115109111317181416[[#This Row],[Q]]&lt;0.1, " ",#REF!&amp;$D$1&amp;#REF!&amp;Inventory_List_Table341115109111317181416[[#This Row],[NOTES]])</f>
        <v xml:space="preserve"> </v>
      </c>
      <c r="G50" s="376"/>
      <c r="H50" s="376"/>
      <c r="I50" s="376"/>
      <c r="J50" s="376"/>
      <c r="K50" s="376"/>
      <c r="L50" s="378"/>
      <c r="M5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0" s="35" t="str">
        <f>IF(Inventory_List_Table341115109111317181416[[#This Row],[Q]]&lt;0.1, " ", Inventory_List_Table341115109111317181416[[#This Row],[KG]]*2.20462)</f>
        <v xml:space="preserve"> </v>
      </c>
      <c r="O50" s="35" t="str">
        <f>IF(Inventory_List_Table341115109111317181416[[#This Row],[Q]]&lt;0.1, " ",Inventory_List_Table341115109111317181416[[#This Row],[H CM]]/2.54)</f>
        <v xml:space="preserve"> </v>
      </c>
      <c r="P50" s="35" t="str">
        <f>IF(Inventory_List_Table341115109111317181416[[#This Row],[Q]]&lt;0.1, " ",Inventory_List_Table341115109111317181416[[#This Row],[W CM]]/2.54)</f>
        <v xml:space="preserve"> </v>
      </c>
      <c r="Q50" s="35" t="str">
        <f>IF(Inventory_List_Table341115109111317181416[[#This Row],[Q]]&lt;0.1, " ",Inventory_List_Table341115109111317181416[[#This Row],[D CM ]]/2.54)</f>
        <v xml:space="preserve"> </v>
      </c>
      <c r="R50" s="30" t="str">
        <f>IF(Inventory_List_Table341115109111317181416[[#This Row],[Q]]&lt;0.1, " ",Inventory_List_Table341115109111317181416[[#This Row],[PRICE]]/$L$1)</f>
        <v xml:space="preserve"> </v>
      </c>
      <c r="S5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0" s="30" t="str">
        <f>IF(Inventory_List_Table341115109111317181416[[#This Row],[Q]]&lt;0.1, " ",Inventory_List_Table341115109111317181416[[#This Row],[AQ RND USD]]*1.4)</f>
        <v xml:space="preserve"> </v>
      </c>
      <c r="U5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0" s="30" t="str">
        <f>IF(Inventory_List_Table341115109111317181416[[#This Row],[Q]]&lt;0.1, " ",Inventory_List_Table341115109111317181416[[#This Row],[LND RND USD]]*12)</f>
        <v xml:space="preserve"> </v>
      </c>
      <c r="W50" s="30" t="str">
        <f>IF(Inventory_List_Table341115109111317181416[[#This Row],[Q]]&lt;0.1, " ",Inventory_List_Table341115109111317181416[[#This Row],[AQ USD]])</f>
        <v xml:space="preserve"> </v>
      </c>
      <c r="X5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0" s="30" t="str">
        <f>IF(Inventory_List_Table341115109111317181416[[#This Row],[Q]]&lt;0.1, " ",Inventory_List_Table341115109111317181416[[#This Row],[PRICE]]/Z50*10000)</f>
        <v xml:space="preserve"> </v>
      </c>
      <c r="AB50" s="379"/>
      <c r="AC50" s="1"/>
      <c r="AD50" s="1"/>
    </row>
    <row r="51" spans="1:30" ht="24" customHeight="1" x14ac:dyDescent="0.3">
      <c r="A51" s="373">
        <v>49</v>
      </c>
      <c r="B51" s="1"/>
      <c r="C51" s="375"/>
      <c r="D51" s="375"/>
      <c r="E51" s="375"/>
      <c r="F51" s="38" t="str">
        <f>IF(Inventory_List_Table341115109111317181416[[#This Row],[Q]]&lt;0.1, " ",#REF!&amp;$D$1&amp;#REF!&amp;Inventory_List_Table341115109111317181416[[#This Row],[NOTES]])</f>
        <v xml:space="preserve"> </v>
      </c>
      <c r="G51" s="376"/>
      <c r="H51" s="376"/>
      <c r="I51" s="376"/>
      <c r="J51" s="376"/>
      <c r="K51" s="376"/>
      <c r="L51" s="378"/>
      <c r="M5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1" s="35" t="str">
        <f>IF(Inventory_List_Table341115109111317181416[[#This Row],[Q]]&lt;0.1, " ", Inventory_List_Table341115109111317181416[[#This Row],[KG]]*2.20462)</f>
        <v xml:space="preserve"> </v>
      </c>
      <c r="O51" s="35" t="str">
        <f>IF(Inventory_List_Table341115109111317181416[[#This Row],[Q]]&lt;0.1, " ",Inventory_List_Table341115109111317181416[[#This Row],[H CM]]/2.54)</f>
        <v xml:space="preserve"> </v>
      </c>
      <c r="P51" s="35" t="str">
        <f>IF(Inventory_List_Table341115109111317181416[[#This Row],[Q]]&lt;0.1, " ",Inventory_List_Table341115109111317181416[[#This Row],[W CM]]/2.54)</f>
        <v xml:space="preserve"> </v>
      </c>
      <c r="Q51" s="35" t="str">
        <f>IF(Inventory_List_Table341115109111317181416[[#This Row],[Q]]&lt;0.1, " ",Inventory_List_Table341115109111317181416[[#This Row],[D CM ]]/2.54)</f>
        <v xml:space="preserve"> </v>
      </c>
      <c r="R51" s="30" t="str">
        <f>IF(Inventory_List_Table341115109111317181416[[#This Row],[Q]]&lt;0.1, " ",Inventory_List_Table341115109111317181416[[#This Row],[PRICE]]/$L$1)</f>
        <v xml:space="preserve"> </v>
      </c>
      <c r="S5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1" s="30" t="str">
        <f>IF(Inventory_List_Table341115109111317181416[[#This Row],[Q]]&lt;0.1, " ",Inventory_List_Table341115109111317181416[[#This Row],[AQ RND USD]]*1.4)</f>
        <v xml:space="preserve"> </v>
      </c>
      <c r="U5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1" s="30" t="str">
        <f>IF(Inventory_List_Table341115109111317181416[[#This Row],[Q]]&lt;0.1, " ",Inventory_List_Table341115109111317181416[[#This Row],[LND RND USD]]*12)</f>
        <v xml:space="preserve"> </v>
      </c>
      <c r="W51" s="30" t="str">
        <f>IF(Inventory_List_Table341115109111317181416[[#This Row],[Q]]&lt;0.1, " ",Inventory_List_Table341115109111317181416[[#This Row],[AQ USD]])</f>
        <v xml:space="preserve"> </v>
      </c>
      <c r="X5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1" s="30" t="str">
        <f>IF(Inventory_List_Table341115109111317181416[[#This Row],[Q]]&lt;0.1, " ",Inventory_List_Table341115109111317181416[[#This Row],[PRICE]]/Z51*10000)</f>
        <v xml:space="preserve"> </v>
      </c>
      <c r="AB51" s="379"/>
      <c r="AC51" s="1"/>
      <c r="AD51" s="1"/>
    </row>
    <row r="52" spans="1:30" ht="24" customHeight="1" x14ac:dyDescent="0.3">
      <c r="A52" s="373">
        <v>50</v>
      </c>
      <c r="B52" s="1"/>
      <c r="C52" s="375"/>
      <c r="D52" s="375"/>
      <c r="E52" s="375"/>
      <c r="F52" s="38" t="str">
        <f>IF(Inventory_List_Table341115109111317181416[[#This Row],[Q]]&lt;0.1, " ",#REF!&amp;$D$1&amp;#REF!&amp;Inventory_List_Table341115109111317181416[[#This Row],[NOTES]])</f>
        <v xml:space="preserve"> </v>
      </c>
      <c r="G52" s="376"/>
      <c r="H52" s="376"/>
      <c r="I52" s="376"/>
      <c r="J52" s="376"/>
      <c r="K52" s="376"/>
      <c r="L52" s="378"/>
      <c r="M5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2" s="35" t="str">
        <f>IF(Inventory_List_Table341115109111317181416[[#This Row],[Q]]&lt;0.1, " ", Inventory_List_Table341115109111317181416[[#This Row],[KG]]*2.20462)</f>
        <v xml:space="preserve"> </v>
      </c>
      <c r="O52" s="35" t="str">
        <f>IF(Inventory_List_Table341115109111317181416[[#This Row],[Q]]&lt;0.1, " ",Inventory_List_Table341115109111317181416[[#This Row],[H CM]]/2.54)</f>
        <v xml:space="preserve"> </v>
      </c>
      <c r="P52" s="35" t="str">
        <f>IF(Inventory_List_Table341115109111317181416[[#This Row],[Q]]&lt;0.1, " ",Inventory_List_Table341115109111317181416[[#This Row],[W CM]]/2.54)</f>
        <v xml:space="preserve"> </v>
      </c>
      <c r="Q52" s="35" t="str">
        <f>IF(Inventory_List_Table341115109111317181416[[#This Row],[Q]]&lt;0.1, " ",Inventory_List_Table341115109111317181416[[#This Row],[D CM ]]/2.54)</f>
        <v xml:space="preserve"> </v>
      </c>
      <c r="R52" s="30" t="str">
        <f>IF(Inventory_List_Table341115109111317181416[[#This Row],[Q]]&lt;0.1, " ",Inventory_List_Table341115109111317181416[[#This Row],[PRICE]]/$L$1)</f>
        <v xml:space="preserve"> </v>
      </c>
      <c r="S5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2" s="30" t="str">
        <f>IF(Inventory_List_Table341115109111317181416[[#This Row],[Q]]&lt;0.1, " ",Inventory_List_Table341115109111317181416[[#This Row],[AQ RND USD]]*1.4)</f>
        <v xml:space="preserve"> </v>
      </c>
      <c r="U5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2" s="30" t="str">
        <f>IF(Inventory_List_Table341115109111317181416[[#This Row],[Q]]&lt;0.1, " ",Inventory_List_Table341115109111317181416[[#This Row],[LND RND USD]]*12)</f>
        <v xml:space="preserve"> </v>
      </c>
      <c r="W52" s="30" t="str">
        <f>IF(Inventory_List_Table341115109111317181416[[#This Row],[Q]]&lt;0.1, " ",Inventory_List_Table341115109111317181416[[#This Row],[AQ USD]])</f>
        <v xml:space="preserve"> </v>
      </c>
      <c r="X5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2" s="30" t="str">
        <f>IF(Inventory_List_Table341115109111317181416[[#This Row],[Q]]&lt;0.1, " ",Inventory_List_Table341115109111317181416[[#This Row],[PRICE]]/Z52*10000)</f>
        <v xml:space="preserve"> </v>
      </c>
      <c r="AB52" s="379"/>
      <c r="AC52" s="1"/>
      <c r="AD52" s="1"/>
    </row>
    <row r="53" spans="1:30" ht="24" customHeight="1" x14ac:dyDescent="0.3">
      <c r="A53" s="373">
        <v>51</v>
      </c>
      <c r="B53" s="1"/>
      <c r="C53" s="375"/>
      <c r="D53" s="375"/>
      <c r="E53" s="375"/>
      <c r="F53" s="38" t="str">
        <f>IF(Inventory_List_Table341115109111317181416[[#This Row],[Q]]&lt;0.1, " ",#REF!&amp;$D$1&amp;#REF!&amp;Inventory_List_Table341115109111317181416[[#This Row],[NOTES]])</f>
        <v xml:space="preserve"> </v>
      </c>
      <c r="G53" s="376"/>
      <c r="H53" s="376"/>
      <c r="I53" s="376"/>
      <c r="J53" s="376"/>
      <c r="K53" s="376"/>
      <c r="L53" s="378"/>
      <c r="M5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3" s="35" t="str">
        <f>IF(Inventory_List_Table341115109111317181416[[#This Row],[Q]]&lt;0.1, " ", Inventory_List_Table341115109111317181416[[#This Row],[KG]]*2.20462)</f>
        <v xml:space="preserve"> </v>
      </c>
      <c r="O53" s="35" t="str">
        <f>IF(Inventory_List_Table341115109111317181416[[#This Row],[Q]]&lt;0.1, " ",Inventory_List_Table341115109111317181416[[#This Row],[H CM]]/2.54)</f>
        <v xml:space="preserve"> </v>
      </c>
      <c r="P53" s="35" t="str">
        <f>IF(Inventory_List_Table341115109111317181416[[#This Row],[Q]]&lt;0.1, " ",Inventory_List_Table341115109111317181416[[#This Row],[W CM]]/2.54)</f>
        <v xml:space="preserve"> </v>
      </c>
      <c r="Q53" s="35" t="str">
        <f>IF(Inventory_List_Table341115109111317181416[[#This Row],[Q]]&lt;0.1, " ",Inventory_List_Table341115109111317181416[[#This Row],[D CM ]]/2.54)</f>
        <v xml:space="preserve"> </v>
      </c>
      <c r="R53" s="30" t="str">
        <f>IF(Inventory_List_Table341115109111317181416[[#This Row],[Q]]&lt;0.1, " ",Inventory_List_Table341115109111317181416[[#This Row],[PRICE]]/$L$1)</f>
        <v xml:space="preserve"> </v>
      </c>
      <c r="S5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3" s="30" t="str">
        <f>IF(Inventory_List_Table341115109111317181416[[#This Row],[Q]]&lt;0.1, " ",Inventory_List_Table341115109111317181416[[#This Row],[AQ RND USD]]*1.4)</f>
        <v xml:space="preserve"> </v>
      </c>
      <c r="U5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3" s="30" t="str">
        <f>IF(Inventory_List_Table341115109111317181416[[#This Row],[Q]]&lt;0.1, " ",Inventory_List_Table341115109111317181416[[#This Row],[LND RND USD]]*12)</f>
        <v xml:space="preserve"> </v>
      </c>
      <c r="W53" s="30" t="str">
        <f>IF(Inventory_List_Table341115109111317181416[[#This Row],[Q]]&lt;0.1, " ",Inventory_List_Table341115109111317181416[[#This Row],[AQ USD]])</f>
        <v xml:space="preserve"> </v>
      </c>
      <c r="X5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3" s="30" t="str">
        <f>IF(Inventory_List_Table341115109111317181416[[#This Row],[Q]]&lt;0.1, " ",Inventory_List_Table341115109111317181416[[#This Row],[PRICE]]/Z53*10000)</f>
        <v xml:space="preserve"> </v>
      </c>
      <c r="AB53" s="379"/>
      <c r="AC53" s="1"/>
      <c r="AD53" s="1"/>
    </row>
    <row r="54" spans="1:30" ht="24" customHeight="1" x14ac:dyDescent="0.3">
      <c r="A54" s="373">
        <v>52</v>
      </c>
      <c r="B54" s="1"/>
      <c r="C54" s="375"/>
      <c r="D54" s="375"/>
      <c r="E54" s="375"/>
      <c r="F54" s="38" t="str">
        <f>IF(Inventory_List_Table341115109111317181416[[#This Row],[Q]]&lt;0.1, " ",#REF!&amp;$D$1&amp;#REF!&amp;Inventory_List_Table341115109111317181416[[#This Row],[NOTES]])</f>
        <v xml:space="preserve"> </v>
      </c>
      <c r="G54" s="376"/>
      <c r="H54" s="376"/>
      <c r="I54" s="376"/>
      <c r="J54" s="376"/>
      <c r="K54" s="376"/>
      <c r="L54" s="378"/>
      <c r="M5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4" s="35" t="str">
        <f>IF(Inventory_List_Table341115109111317181416[[#This Row],[Q]]&lt;0.1, " ", Inventory_List_Table341115109111317181416[[#This Row],[KG]]*2.20462)</f>
        <v xml:space="preserve"> </v>
      </c>
      <c r="O54" s="35" t="str">
        <f>IF(Inventory_List_Table341115109111317181416[[#This Row],[Q]]&lt;0.1, " ",Inventory_List_Table341115109111317181416[[#This Row],[H CM]]/2.54)</f>
        <v xml:space="preserve"> </v>
      </c>
      <c r="P54" s="35" t="str">
        <f>IF(Inventory_List_Table341115109111317181416[[#This Row],[Q]]&lt;0.1, " ",Inventory_List_Table341115109111317181416[[#This Row],[W CM]]/2.54)</f>
        <v xml:space="preserve"> </v>
      </c>
      <c r="Q54" s="35" t="str">
        <f>IF(Inventory_List_Table341115109111317181416[[#This Row],[Q]]&lt;0.1, " ",Inventory_List_Table341115109111317181416[[#This Row],[D CM ]]/2.54)</f>
        <v xml:space="preserve"> </v>
      </c>
      <c r="R54" s="30" t="str">
        <f>IF(Inventory_List_Table341115109111317181416[[#This Row],[Q]]&lt;0.1, " ",Inventory_List_Table341115109111317181416[[#This Row],[PRICE]]/$L$1)</f>
        <v xml:space="preserve"> </v>
      </c>
      <c r="S5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4" s="30" t="str">
        <f>IF(Inventory_List_Table341115109111317181416[[#This Row],[Q]]&lt;0.1, " ",Inventory_List_Table341115109111317181416[[#This Row],[AQ RND USD]]*1.4)</f>
        <v xml:space="preserve"> </v>
      </c>
      <c r="U5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4" s="30" t="str">
        <f>IF(Inventory_List_Table341115109111317181416[[#This Row],[Q]]&lt;0.1, " ",Inventory_List_Table341115109111317181416[[#This Row],[LND RND USD]]*12)</f>
        <v xml:space="preserve"> </v>
      </c>
      <c r="W54" s="30" t="str">
        <f>IF(Inventory_List_Table341115109111317181416[[#This Row],[Q]]&lt;0.1, " ",Inventory_List_Table341115109111317181416[[#This Row],[AQ USD]])</f>
        <v xml:space="preserve"> </v>
      </c>
      <c r="X5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4" s="30" t="str">
        <f>IF(Inventory_List_Table341115109111317181416[[#This Row],[Q]]&lt;0.1, " ",Inventory_List_Table341115109111317181416[[#This Row],[PRICE]]/Z54*10000)</f>
        <v xml:space="preserve"> </v>
      </c>
      <c r="AB54" s="379"/>
      <c r="AC54" s="1"/>
      <c r="AD54" s="1"/>
    </row>
    <row r="55" spans="1:30" ht="24" customHeight="1" x14ac:dyDescent="0.3">
      <c r="A55" s="373">
        <v>53</v>
      </c>
      <c r="B55" s="1"/>
      <c r="C55" s="375"/>
      <c r="D55" s="375"/>
      <c r="E55" s="375"/>
      <c r="F55" s="38" t="str">
        <f>IF(Inventory_List_Table341115109111317181416[[#This Row],[Q]]&lt;0.1, " ",#REF!&amp;$D$1&amp;#REF!&amp;Inventory_List_Table341115109111317181416[[#This Row],[NOTES]])</f>
        <v xml:space="preserve"> </v>
      </c>
      <c r="G55" s="376"/>
      <c r="H55" s="376"/>
      <c r="I55" s="376"/>
      <c r="J55" s="376"/>
      <c r="K55" s="376"/>
      <c r="L55" s="378"/>
      <c r="M5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5" s="35" t="str">
        <f>IF(Inventory_List_Table341115109111317181416[[#This Row],[Q]]&lt;0.1, " ", Inventory_List_Table341115109111317181416[[#This Row],[KG]]*2.20462)</f>
        <v xml:space="preserve"> </v>
      </c>
      <c r="O55" s="35" t="str">
        <f>IF(Inventory_List_Table341115109111317181416[[#This Row],[Q]]&lt;0.1, " ",Inventory_List_Table341115109111317181416[[#This Row],[H CM]]/2.54)</f>
        <v xml:space="preserve"> </v>
      </c>
      <c r="P55" s="35" t="str">
        <f>IF(Inventory_List_Table341115109111317181416[[#This Row],[Q]]&lt;0.1, " ",Inventory_List_Table341115109111317181416[[#This Row],[W CM]]/2.54)</f>
        <v xml:space="preserve"> </v>
      </c>
      <c r="Q55" s="35" t="str">
        <f>IF(Inventory_List_Table341115109111317181416[[#This Row],[Q]]&lt;0.1, " ",Inventory_List_Table341115109111317181416[[#This Row],[D CM ]]/2.54)</f>
        <v xml:space="preserve"> </v>
      </c>
      <c r="R55" s="30" t="str">
        <f>IF(Inventory_List_Table341115109111317181416[[#This Row],[Q]]&lt;0.1, " ",Inventory_List_Table341115109111317181416[[#This Row],[PRICE]]/$L$1)</f>
        <v xml:space="preserve"> </v>
      </c>
      <c r="S5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5" s="30" t="str">
        <f>IF(Inventory_List_Table341115109111317181416[[#This Row],[Q]]&lt;0.1, " ",Inventory_List_Table341115109111317181416[[#This Row],[AQ RND USD]]*1.4)</f>
        <v xml:space="preserve"> </v>
      </c>
      <c r="U5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5" s="30" t="str">
        <f>IF(Inventory_List_Table341115109111317181416[[#This Row],[Q]]&lt;0.1, " ",Inventory_List_Table341115109111317181416[[#This Row],[LND RND USD]]*12)</f>
        <v xml:space="preserve"> </v>
      </c>
      <c r="W55" s="30" t="str">
        <f>IF(Inventory_List_Table341115109111317181416[[#This Row],[Q]]&lt;0.1, " ",Inventory_List_Table341115109111317181416[[#This Row],[AQ USD]])</f>
        <v xml:space="preserve"> </v>
      </c>
      <c r="X5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5" s="30" t="str">
        <f>IF(Inventory_List_Table341115109111317181416[[#This Row],[Q]]&lt;0.1, " ",Inventory_List_Table341115109111317181416[[#This Row],[PRICE]]/Z55*10000)</f>
        <v xml:space="preserve"> </v>
      </c>
      <c r="AB55" s="379"/>
      <c r="AC55" s="1"/>
      <c r="AD55" s="1"/>
    </row>
    <row r="56" spans="1:30" ht="24" customHeight="1" x14ac:dyDescent="0.3">
      <c r="A56" s="373">
        <v>54</v>
      </c>
      <c r="B56" s="1"/>
      <c r="C56" s="375"/>
      <c r="D56" s="375"/>
      <c r="E56" s="375"/>
      <c r="F56" s="38" t="str">
        <f>IF(Inventory_List_Table341115109111317181416[[#This Row],[Q]]&lt;0.1, " ",#REF!&amp;$D$1&amp;#REF!&amp;Inventory_List_Table341115109111317181416[[#This Row],[NOTES]])</f>
        <v xml:space="preserve"> </v>
      </c>
      <c r="G56" s="376"/>
      <c r="H56" s="376"/>
      <c r="I56" s="376"/>
      <c r="J56" s="376"/>
      <c r="K56" s="376"/>
      <c r="L56" s="378"/>
      <c r="M5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6" s="35" t="str">
        <f>IF(Inventory_List_Table341115109111317181416[[#This Row],[Q]]&lt;0.1, " ", Inventory_List_Table341115109111317181416[[#This Row],[KG]]*2.20462)</f>
        <v xml:space="preserve"> </v>
      </c>
      <c r="O56" s="35" t="str">
        <f>IF(Inventory_List_Table341115109111317181416[[#This Row],[Q]]&lt;0.1, " ",Inventory_List_Table341115109111317181416[[#This Row],[H CM]]/2.54)</f>
        <v xml:space="preserve"> </v>
      </c>
      <c r="P56" s="35" t="str">
        <f>IF(Inventory_List_Table341115109111317181416[[#This Row],[Q]]&lt;0.1, " ",Inventory_List_Table341115109111317181416[[#This Row],[W CM]]/2.54)</f>
        <v xml:space="preserve"> </v>
      </c>
      <c r="Q56" s="35" t="str">
        <f>IF(Inventory_List_Table341115109111317181416[[#This Row],[Q]]&lt;0.1, " ",Inventory_List_Table341115109111317181416[[#This Row],[D CM ]]/2.54)</f>
        <v xml:space="preserve"> </v>
      </c>
      <c r="R56" s="30" t="str">
        <f>IF(Inventory_List_Table341115109111317181416[[#This Row],[Q]]&lt;0.1, " ",Inventory_List_Table341115109111317181416[[#This Row],[PRICE]]/$L$1)</f>
        <v xml:space="preserve"> </v>
      </c>
      <c r="S5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6" s="30" t="str">
        <f>IF(Inventory_List_Table341115109111317181416[[#This Row],[Q]]&lt;0.1, " ",Inventory_List_Table341115109111317181416[[#This Row],[AQ RND USD]]*1.4)</f>
        <v xml:space="preserve"> </v>
      </c>
      <c r="U5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6" s="30" t="str">
        <f>IF(Inventory_List_Table341115109111317181416[[#This Row],[Q]]&lt;0.1, " ",Inventory_List_Table341115109111317181416[[#This Row],[LND RND USD]]*12)</f>
        <v xml:space="preserve"> </v>
      </c>
      <c r="W56" s="30" t="str">
        <f>IF(Inventory_List_Table341115109111317181416[[#This Row],[Q]]&lt;0.1, " ",Inventory_List_Table341115109111317181416[[#This Row],[AQ USD]])</f>
        <v xml:space="preserve"> </v>
      </c>
      <c r="X5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6" s="30" t="str">
        <f>IF(Inventory_List_Table341115109111317181416[[#This Row],[Q]]&lt;0.1, " ",Inventory_List_Table341115109111317181416[[#This Row],[PRICE]]/Z56*10000)</f>
        <v xml:space="preserve"> </v>
      </c>
      <c r="AB56" s="379"/>
      <c r="AC56" s="1"/>
      <c r="AD56" s="1"/>
    </row>
    <row r="57" spans="1:30" ht="24" customHeight="1" x14ac:dyDescent="0.3">
      <c r="A57" s="373">
        <v>55</v>
      </c>
      <c r="B57" s="1"/>
      <c r="C57" s="375"/>
      <c r="D57" s="375"/>
      <c r="E57" s="375"/>
      <c r="F57" s="38" t="str">
        <f>IF(Inventory_List_Table341115109111317181416[[#This Row],[Q]]&lt;0.1, " ",#REF!&amp;$D$1&amp;#REF!&amp;Inventory_List_Table341115109111317181416[[#This Row],[NOTES]])</f>
        <v xml:space="preserve"> </v>
      </c>
      <c r="G57" s="376"/>
      <c r="H57" s="376"/>
      <c r="I57" s="376"/>
      <c r="J57" s="376"/>
      <c r="K57" s="376"/>
      <c r="L57" s="378"/>
      <c r="M5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7" s="35" t="str">
        <f>IF(Inventory_List_Table341115109111317181416[[#This Row],[Q]]&lt;0.1, " ", Inventory_List_Table341115109111317181416[[#This Row],[KG]]*2.20462)</f>
        <v xml:space="preserve"> </v>
      </c>
      <c r="O57" s="35" t="str">
        <f>IF(Inventory_List_Table341115109111317181416[[#This Row],[Q]]&lt;0.1, " ",Inventory_List_Table341115109111317181416[[#This Row],[H CM]]/2.54)</f>
        <v xml:space="preserve"> </v>
      </c>
      <c r="P57" s="35" t="str">
        <f>IF(Inventory_List_Table341115109111317181416[[#This Row],[Q]]&lt;0.1, " ",Inventory_List_Table341115109111317181416[[#This Row],[W CM]]/2.54)</f>
        <v xml:space="preserve"> </v>
      </c>
      <c r="Q57" s="35" t="str">
        <f>IF(Inventory_List_Table341115109111317181416[[#This Row],[Q]]&lt;0.1, " ",Inventory_List_Table341115109111317181416[[#This Row],[D CM ]]/2.54)</f>
        <v xml:space="preserve"> </v>
      </c>
      <c r="R57" s="30" t="str">
        <f>IF(Inventory_List_Table341115109111317181416[[#This Row],[Q]]&lt;0.1, " ",Inventory_List_Table341115109111317181416[[#This Row],[PRICE]]/$L$1)</f>
        <v xml:space="preserve"> </v>
      </c>
      <c r="S5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7" s="30" t="str">
        <f>IF(Inventory_List_Table341115109111317181416[[#This Row],[Q]]&lt;0.1, " ",Inventory_List_Table341115109111317181416[[#This Row],[AQ RND USD]]*1.4)</f>
        <v xml:space="preserve"> </v>
      </c>
      <c r="U5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7" s="30" t="str">
        <f>IF(Inventory_List_Table341115109111317181416[[#This Row],[Q]]&lt;0.1, " ",Inventory_List_Table341115109111317181416[[#This Row],[LND RND USD]]*12)</f>
        <v xml:space="preserve"> </v>
      </c>
      <c r="W57" s="30" t="str">
        <f>IF(Inventory_List_Table341115109111317181416[[#This Row],[Q]]&lt;0.1, " ",Inventory_List_Table341115109111317181416[[#This Row],[AQ USD]])</f>
        <v xml:space="preserve"> </v>
      </c>
      <c r="X5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7" s="30" t="str">
        <f>IF(Inventory_List_Table341115109111317181416[[#This Row],[Q]]&lt;0.1, " ",Inventory_List_Table341115109111317181416[[#This Row],[PRICE]]/Z57*10000)</f>
        <v xml:space="preserve"> </v>
      </c>
      <c r="AB57" s="379"/>
      <c r="AC57" s="1"/>
      <c r="AD57" s="1"/>
    </row>
    <row r="58" spans="1:30" ht="24" customHeight="1" x14ac:dyDescent="0.3">
      <c r="A58" s="373">
        <v>56</v>
      </c>
      <c r="B58" s="1"/>
      <c r="C58" s="375"/>
      <c r="D58" s="375"/>
      <c r="E58" s="375"/>
      <c r="F58" s="38" t="str">
        <f>IF(Inventory_List_Table341115109111317181416[[#This Row],[Q]]&lt;0.1, " ",#REF!&amp;$D$1&amp;#REF!&amp;Inventory_List_Table341115109111317181416[[#This Row],[NOTES]])</f>
        <v xml:space="preserve"> </v>
      </c>
      <c r="G58" s="376"/>
      <c r="H58" s="376"/>
      <c r="I58" s="376"/>
      <c r="J58" s="376"/>
      <c r="K58" s="376"/>
      <c r="L58" s="378"/>
      <c r="M5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8" s="35" t="str">
        <f>IF(Inventory_List_Table341115109111317181416[[#This Row],[Q]]&lt;0.1, " ", Inventory_List_Table341115109111317181416[[#This Row],[KG]]*2.20462)</f>
        <v xml:space="preserve"> </v>
      </c>
      <c r="O58" s="35" t="str">
        <f>IF(Inventory_List_Table341115109111317181416[[#This Row],[Q]]&lt;0.1, " ",Inventory_List_Table341115109111317181416[[#This Row],[H CM]]/2.54)</f>
        <v xml:space="preserve"> </v>
      </c>
      <c r="P58" s="35" t="str">
        <f>IF(Inventory_List_Table341115109111317181416[[#This Row],[Q]]&lt;0.1, " ",Inventory_List_Table341115109111317181416[[#This Row],[W CM]]/2.54)</f>
        <v xml:space="preserve"> </v>
      </c>
      <c r="Q58" s="35" t="str">
        <f>IF(Inventory_List_Table341115109111317181416[[#This Row],[Q]]&lt;0.1, " ",Inventory_List_Table341115109111317181416[[#This Row],[D CM ]]/2.54)</f>
        <v xml:space="preserve"> </v>
      </c>
      <c r="R58" s="30" t="str">
        <f>IF(Inventory_List_Table341115109111317181416[[#This Row],[Q]]&lt;0.1, " ",Inventory_List_Table341115109111317181416[[#This Row],[PRICE]]/$L$1)</f>
        <v xml:space="preserve"> </v>
      </c>
      <c r="S5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8" s="30" t="str">
        <f>IF(Inventory_List_Table341115109111317181416[[#This Row],[Q]]&lt;0.1, " ",Inventory_List_Table341115109111317181416[[#This Row],[AQ RND USD]]*1.4)</f>
        <v xml:space="preserve"> </v>
      </c>
      <c r="U5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8" s="30" t="str">
        <f>IF(Inventory_List_Table341115109111317181416[[#This Row],[Q]]&lt;0.1, " ",Inventory_List_Table341115109111317181416[[#This Row],[LND RND USD]]*12)</f>
        <v xml:space="preserve"> </v>
      </c>
      <c r="W58" s="30" t="str">
        <f>IF(Inventory_List_Table341115109111317181416[[#This Row],[Q]]&lt;0.1, " ",Inventory_List_Table341115109111317181416[[#This Row],[AQ USD]])</f>
        <v xml:space="preserve"> </v>
      </c>
      <c r="X5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8" s="30" t="str">
        <f>IF(Inventory_List_Table341115109111317181416[[#This Row],[Q]]&lt;0.1, " ",Inventory_List_Table341115109111317181416[[#This Row],[PRICE]]/Z58*10000)</f>
        <v xml:space="preserve"> </v>
      </c>
      <c r="AB58" s="379"/>
      <c r="AC58" s="1"/>
      <c r="AD58" s="1"/>
    </row>
    <row r="59" spans="1:30" ht="24" customHeight="1" x14ac:dyDescent="0.3">
      <c r="A59" s="373">
        <v>57</v>
      </c>
      <c r="B59" s="1"/>
      <c r="C59" s="375"/>
      <c r="D59" s="375"/>
      <c r="E59" s="375"/>
      <c r="F59" s="38" t="str">
        <f>IF(Inventory_List_Table341115109111317181416[[#This Row],[Q]]&lt;0.1, " ",#REF!&amp;$D$1&amp;#REF!&amp;Inventory_List_Table341115109111317181416[[#This Row],[NOTES]])</f>
        <v xml:space="preserve"> </v>
      </c>
      <c r="G59" s="376"/>
      <c r="H59" s="376"/>
      <c r="I59" s="376"/>
      <c r="J59" s="376"/>
      <c r="K59" s="376"/>
      <c r="L59" s="378"/>
      <c r="M5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59" s="35" t="str">
        <f>IF(Inventory_List_Table341115109111317181416[[#This Row],[Q]]&lt;0.1, " ", Inventory_List_Table341115109111317181416[[#This Row],[KG]]*2.20462)</f>
        <v xml:space="preserve"> </v>
      </c>
      <c r="O59" s="35" t="str">
        <f>IF(Inventory_List_Table341115109111317181416[[#This Row],[Q]]&lt;0.1, " ",Inventory_List_Table341115109111317181416[[#This Row],[H CM]]/2.54)</f>
        <v xml:space="preserve"> </v>
      </c>
      <c r="P59" s="35" t="str">
        <f>IF(Inventory_List_Table341115109111317181416[[#This Row],[Q]]&lt;0.1, " ",Inventory_List_Table341115109111317181416[[#This Row],[W CM]]/2.54)</f>
        <v xml:space="preserve"> </v>
      </c>
      <c r="Q59" s="35" t="str">
        <f>IF(Inventory_List_Table341115109111317181416[[#This Row],[Q]]&lt;0.1, " ",Inventory_List_Table341115109111317181416[[#This Row],[D CM ]]/2.54)</f>
        <v xml:space="preserve"> </v>
      </c>
      <c r="R59" s="30" t="str">
        <f>IF(Inventory_List_Table341115109111317181416[[#This Row],[Q]]&lt;0.1, " ",Inventory_List_Table341115109111317181416[[#This Row],[PRICE]]/$L$1)</f>
        <v xml:space="preserve"> </v>
      </c>
      <c r="S5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59" s="30" t="str">
        <f>IF(Inventory_List_Table341115109111317181416[[#This Row],[Q]]&lt;0.1, " ",Inventory_List_Table341115109111317181416[[#This Row],[AQ RND USD]]*1.4)</f>
        <v xml:space="preserve"> </v>
      </c>
      <c r="U5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59" s="30" t="str">
        <f>IF(Inventory_List_Table341115109111317181416[[#This Row],[Q]]&lt;0.1, " ",Inventory_List_Table341115109111317181416[[#This Row],[LND RND USD]]*12)</f>
        <v xml:space="preserve"> </v>
      </c>
      <c r="W59" s="30" t="str">
        <f>IF(Inventory_List_Table341115109111317181416[[#This Row],[Q]]&lt;0.1, " ",Inventory_List_Table341115109111317181416[[#This Row],[AQ USD]])</f>
        <v xml:space="preserve"> </v>
      </c>
      <c r="X5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5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5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59" s="30" t="str">
        <f>IF(Inventory_List_Table341115109111317181416[[#This Row],[Q]]&lt;0.1, " ",Inventory_List_Table341115109111317181416[[#This Row],[PRICE]]/Z59*10000)</f>
        <v xml:space="preserve"> </v>
      </c>
      <c r="AB59" s="379"/>
      <c r="AC59" s="1"/>
      <c r="AD59" s="1"/>
    </row>
    <row r="60" spans="1:30" ht="24" customHeight="1" x14ac:dyDescent="0.3">
      <c r="A60" s="373">
        <v>58</v>
      </c>
      <c r="B60" s="1"/>
      <c r="C60" s="375"/>
      <c r="D60" s="375"/>
      <c r="E60" s="375"/>
      <c r="F60" s="38" t="str">
        <f>IF(Inventory_List_Table341115109111317181416[[#This Row],[Q]]&lt;0.1, " ",#REF!&amp;$D$1&amp;#REF!&amp;Inventory_List_Table341115109111317181416[[#This Row],[NOTES]])</f>
        <v xml:space="preserve"> </v>
      </c>
      <c r="G60" s="376"/>
      <c r="H60" s="376"/>
      <c r="I60" s="376"/>
      <c r="J60" s="376"/>
      <c r="K60" s="376"/>
      <c r="L60" s="378"/>
      <c r="M6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0" s="35" t="str">
        <f>IF(Inventory_List_Table341115109111317181416[[#This Row],[Q]]&lt;0.1, " ", Inventory_List_Table341115109111317181416[[#This Row],[KG]]*2.20462)</f>
        <v xml:space="preserve"> </v>
      </c>
      <c r="O60" s="35" t="str">
        <f>IF(Inventory_List_Table341115109111317181416[[#This Row],[Q]]&lt;0.1, " ",Inventory_List_Table341115109111317181416[[#This Row],[H CM]]/2.54)</f>
        <v xml:space="preserve"> </v>
      </c>
      <c r="P60" s="35" t="str">
        <f>IF(Inventory_List_Table341115109111317181416[[#This Row],[Q]]&lt;0.1, " ",Inventory_List_Table341115109111317181416[[#This Row],[W CM]]/2.54)</f>
        <v xml:space="preserve"> </v>
      </c>
      <c r="Q60" s="35" t="str">
        <f>IF(Inventory_List_Table341115109111317181416[[#This Row],[Q]]&lt;0.1, " ",Inventory_List_Table341115109111317181416[[#This Row],[D CM ]]/2.54)</f>
        <v xml:space="preserve"> </v>
      </c>
      <c r="R60" s="30" t="str">
        <f>IF(Inventory_List_Table341115109111317181416[[#This Row],[Q]]&lt;0.1, " ",Inventory_List_Table341115109111317181416[[#This Row],[PRICE]]/$L$1)</f>
        <v xml:space="preserve"> </v>
      </c>
      <c r="S6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0" s="30" t="str">
        <f>IF(Inventory_List_Table341115109111317181416[[#This Row],[Q]]&lt;0.1, " ",Inventory_List_Table341115109111317181416[[#This Row],[AQ RND USD]]*1.4)</f>
        <v xml:space="preserve"> </v>
      </c>
      <c r="U6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0" s="30" t="str">
        <f>IF(Inventory_List_Table341115109111317181416[[#This Row],[Q]]&lt;0.1, " ",Inventory_List_Table341115109111317181416[[#This Row],[LND RND USD]]*12)</f>
        <v xml:space="preserve"> </v>
      </c>
      <c r="W60" s="30" t="str">
        <f>IF(Inventory_List_Table341115109111317181416[[#This Row],[Q]]&lt;0.1, " ",Inventory_List_Table341115109111317181416[[#This Row],[AQ USD]])</f>
        <v xml:space="preserve"> </v>
      </c>
      <c r="X6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0" s="30" t="str">
        <f>IF(Inventory_List_Table341115109111317181416[[#This Row],[Q]]&lt;0.1, " ",Inventory_List_Table341115109111317181416[[#This Row],[PRICE]]/Z60*10000)</f>
        <v xml:space="preserve"> </v>
      </c>
      <c r="AB60" s="379"/>
      <c r="AC60" s="1"/>
      <c r="AD60" s="1"/>
    </row>
    <row r="61" spans="1:30" ht="24" customHeight="1" x14ac:dyDescent="0.3">
      <c r="A61" s="373">
        <v>59</v>
      </c>
      <c r="B61" s="1"/>
      <c r="C61" s="375"/>
      <c r="D61" s="375"/>
      <c r="E61" s="375"/>
      <c r="F61" s="38" t="str">
        <f>IF(Inventory_List_Table341115109111317181416[[#This Row],[Q]]&lt;0.1, " ",#REF!&amp;$D$1&amp;#REF!&amp;Inventory_List_Table341115109111317181416[[#This Row],[NOTES]])</f>
        <v xml:space="preserve"> </v>
      </c>
      <c r="G61" s="376"/>
      <c r="H61" s="376"/>
      <c r="I61" s="376"/>
      <c r="J61" s="376"/>
      <c r="K61" s="376"/>
      <c r="L61" s="378"/>
      <c r="M6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1" s="35" t="str">
        <f>IF(Inventory_List_Table341115109111317181416[[#This Row],[Q]]&lt;0.1, " ", Inventory_List_Table341115109111317181416[[#This Row],[KG]]*2.20462)</f>
        <v xml:space="preserve"> </v>
      </c>
      <c r="O61" s="35" t="str">
        <f>IF(Inventory_List_Table341115109111317181416[[#This Row],[Q]]&lt;0.1, " ",Inventory_List_Table341115109111317181416[[#This Row],[H CM]]/2.54)</f>
        <v xml:space="preserve"> </v>
      </c>
      <c r="P61" s="35" t="str">
        <f>IF(Inventory_List_Table341115109111317181416[[#This Row],[Q]]&lt;0.1, " ",Inventory_List_Table341115109111317181416[[#This Row],[W CM]]/2.54)</f>
        <v xml:space="preserve"> </v>
      </c>
      <c r="Q61" s="35" t="str">
        <f>IF(Inventory_List_Table341115109111317181416[[#This Row],[Q]]&lt;0.1, " ",Inventory_List_Table341115109111317181416[[#This Row],[D CM ]]/2.54)</f>
        <v xml:space="preserve"> </v>
      </c>
      <c r="R61" s="30" t="str">
        <f>IF(Inventory_List_Table341115109111317181416[[#This Row],[Q]]&lt;0.1, " ",Inventory_List_Table341115109111317181416[[#This Row],[PRICE]]/$L$1)</f>
        <v xml:space="preserve"> </v>
      </c>
      <c r="S6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1" s="30" t="str">
        <f>IF(Inventory_List_Table341115109111317181416[[#This Row],[Q]]&lt;0.1, " ",Inventory_List_Table341115109111317181416[[#This Row],[AQ RND USD]]*1.4)</f>
        <v xml:space="preserve"> </v>
      </c>
      <c r="U6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1" s="30" t="str">
        <f>IF(Inventory_List_Table341115109111317181416[[#This Row],[Q]]&lt;0.1, " ",Inventory_List_Table341115109111317181416[[#This Row],[LND RND USD]]*12)</f>
        <v xml:space="preserve"> </v>
      </c>
      <c r="W61" s="30" t="str">
        <f>IF(Inventory_List_Table341115109111317181416[[#This Row],[Q]]&lt;0.1, " ",Inventory_List_Table341115109111317181416[[#This Row],[AQ USD]])</f>
        <v xml:space="preserve"> </v>
      </c>
      <c r="X6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1" s="30" t="str">
        <f>IF(Inventory_List_Table341115109111317181416[[#This Row],[Q]]&lt;0.1, " ",Inventory_List_Table341115109111317181416[[#This Row],[PRICE]]/Z61*10000)</f>
        <v xml:space="preserve"> </v>
      </c>
      <c r="AB61" s="379"/>
      <c r="AC61" s="1"/>
      <c r="AD61" s="1"/>
    </row>
    <row r="62" spans="1:30" ht="24" customHeight="1" x14ac:dyDescent="0.3">
      <c r="A62" s="373">
        <v>60</v>
      </c>
      <c r="B62" s="1"/>
      <c r="C62" s="375"/>
      <c r="D62" s="375"/>
      <c r="E62" s="375"/>
      <c r="F62" s="38" t="str">
        <f>IF(Inventory_List_Table341115109111317181416[[#This Row],[Q]]&lt;0.1, " ",#REF!&amp;$D$1&amp;#REF!&amp;Inventory_List_Table341115109111317181416[[#This Row],[NOTES]])</f>
        <v xml:space="preserve"> </v>
      </c>
      <c r="G62" s="376"/>
      <c r="H62" s="376"/>
      <c r="I62" s="376"/>
      <c r="J62" s="376"/>
      <c r="K62" s="376"/>
      <c r="L62" s="378"/>
      <c r="M6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2" s="35" t="str">
        <f>IF(Inventory_List_Table341115109111317181416[[#This Row],[Q]]&lt;0.1, " ", Inventory_List_Table341115109111317181416[[#This Row],[KG]]*2.20462)</f>
        <v xml:space="preserve"> </v>
      </c>
      <c r="O62" s="35" t="str">
        <f>IF(Inventory_List_Table341115109111317181416[[#This Row],[Q]]&lt;0.1, " ",Inventory_List_Table341115109111317181416[[#This Row],[H CM]]/2.54)</f>
        <v xml:space="preserve"> </v>
      </c>
      <c r="P62" s="35" t="str">
        <f>IF(Inventory_List_Table341115109111317181416[[#This Row],[Q]]&lt;0.1, " ",Inventory_List_Table341115109111317181416[[#This Row],[W CM]]/2.54)</f>
        <v xml:space="preserve"> </v>
      </c>
      <c r="Q62" s="35" t="str">
        <f>IF(Inventory_List_Table341115109111317181416[[#This Row],[Q]]&lt;0.1, " ",Inventory_List_Table341115109111317181416[[#This Row],[D CM ]]/2.54)</f>
        <v xml:space="preserve"> </v>
      </c>
      <c r="R62" s="30" t="str">
        <f>IF(Inventory_List_Table341115109111317181416[[#This Row],[Q]]&lt;0.1, " ",Inventory_List_Table341115109111317181416[[#This Row],[PRICE]]/$L$1)</f>
        <v xml:space="preserve"> </v>
      </c>
      <c r="S6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2" s="30" t="str">
        <f>IF(Inventory_List_Table341115109111317181416[[#This Row],[Q]]&lt;0.1, " ",Inventory_List_Table341115109111317181416[[#This Row],[AQ RND USD]]*1.4)</f>
        <v xml:space="preserve"> </v>
      </c>
      <c r="U6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2" s="30" t="str">
        <f>IF(Inventory_List_Table341115109111317181416[[#This Row],[Q]]&lt;0.1, " ",Inventory_List_Table341115109111317181416[[#This Row],[LND RND USD]]*12)</f>
        <v xml:space="preserve"> </v>
      </c>
      <c r="W62" s="30" t="str">
        <f>IF(Inventory_List_Table341115109111317181416[[#This Row],[Q]]&lt;0.1, " ",Inventory_List_Table341115109111317181416[[#This Row],[AQ USD]])</f>
        <v xml:space="preserve"> </v>
      </c>
      <c r="X6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2" s="30" t="str">
        <f>IF(Inventory_List_Table341115109111317181416[[#This Row],[Q]]&lt;0.1, " ",Inventory_List_Table341115109111317181416[[#This Row],[PRICE]]/Z62*10000)</f>
        <v xml:space="preserve"> </v>
      </c>
      <c r="AB62" s="379"/>
      <c r="AC62" s="1"/>
      <c r="AD62" s="1"/>
    </row>
    <row r="63" spans="1:30" ht="24" customHeight="1" x14ac:dyDescent="0.3">
      <c r="A63" s="373">
        <v>61</v>
      </c>
      <c r="B63" s="1"/>
      <c r="C63" s="375"/>
      <c r="D63" s="375"/>
      <c r="E63" s="375"/>
      <c r="F63" s="38" t="str">
        <f>IF(Inventory_List_Table341115109111317181416[[#This Row],[Q]]&lt;0.1, " ",#REF!&amp;$D$1&amp;#REF!&amp;Inventory_List_Table341115109111317181416[[#This Row],[NOTES]])</f>
        <v xml:space="preserve"> </v>
      </c>
      <c r="G63" s="376"/>
      <c r="H63" s="376"/>
      <c r="I63" s="376"/>
      <c r="J63" s="376"/>
      <c r="K63" s="376"/>
      <c r="L63" s="378"/>
      <c r="M6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3" s="35" t="str">
        <f>IF(Inventory_List_Table341115109111317181416[[#This Row],[Q]]&lt;0.1, " ", Inventory_List_Table341115109111317181416[[#This Row],[KG]]*2.20462)</f>
        <v xml:space="preserve"> </v>
      </c>
      <c r="O63" s="35" t="str">
        <f>IF(Inventory_List_Table341115109111317181416[[#This Row],[Q]]&lt;0.1, " ",Inventory_List_Table341115109111317181416[[#This Row],[H CM]]/2.54)</f>
        <v xml:space="preserve"> </v>
      </c>
      <c r="P63" s="35" t="str">
        <f>IF(Inventory_List_Table341115109111317181416[[#This Row],[Q]]&lt;0.1, " ",Inventory_List_Table341115109111317181416[[#This Row],[W CM]]/2.54)</f>
        <v xml:space="preserve"> </v>
      </c>
      <c r="Q63" s="35" t="str">
        <f>IF(Inventory_List_Table341115109111317181416[[#This Row],[Q]]&lt;0.1, " ",Inventory_List_Table341115109111317181416[[#This Row],[D CM ]]/2.54)</f>
        <v xml:space="preserve"> </v>
      </c>
      <c r="R63" s="30" t="str">
        <f>IF(Inventory_List_Table341115109111317181416[[#This Row],[Q]]&lt;0.1, " ",Inventory_List_Table341115109111317181416[[#This Row],[PRICE]]/$L$1)</f>
        <v xml:space="preserve"> </v>
      </c>
      <c r="S6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3" s="30" t="str">
        <f>IF(Inventory_List_Table341115109111317181416[[#This Row],[Q]]&lt;0.1, " ",Inventory_List_Table341115109111317181416[[#This Row],[AQ RND USD]]*1.4)</f>
        <v xml:space="preserve"> </v>
      </c>
      <c r="U6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3" s="30" t="str">
        <f>IF(Inventory_List_Table341115109111317181416[[#This Row],[Q]]&lt;0.1, " ",Inventory_List_Table341115109111317181416[[#This Row],[LND RND USD]]*12)</f>
        <v xml:space="preserve"> </v>
      </c>
      <c r="W63" s="30" t="str">
        <f>IF(Inventory_List_Table341115109111317181416[[#This Row],[Q]]&lt;0.1, " ",Inventory_List_Table341115109111317181416[[#This Row],[AQ USD]])</f>
        <v xml:space="preserve"> </v>
      </c>
      <c r="X6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3" s="30" t="str">
        <f>IF(Inventory_List_Table341115109111317181416[[#This Row],[Q]]&lt;0.1, " ",Inventory_List_Table341115109111317181416[[#This Row],[PRICE]]/Z63*10000)</f>
        <v xml:space="preserve"> </v>
      </c>
      <c r="AB63" s="379"/>
      <c r="AC63" s="1"/>
      <c r="AD63" s="1"/>
    </row>
    <row r="64" spans="1:30" ht="24" customHeight="1" x14ac:dyDescent="0.3">
      <c r="A64" s="373">
        <v>62</v>
      </c>
      <c r="B64" s="1"/>
      <c r="C64" s="375"/>
      <c r="D64" s="375"/>
      <c r="E64" s="375"/>
      <c r="F64" s="38" t="str">
        <f>IF(Inventory_List_Table341115109111317181416[[#This Row],[Q]]&lt;0.1, " ",#REF!&amp;$D$1&amp;#REF!&amp;Inventory_List_Table341115109111317181416[[#This Row],[NOTES]])</f>
        <v xml:space="preserve"> </v>
      </c>
      <c r="G64" s="376"/>
      <c r="H64" s="376"/>
      <c r="I64" s="376"/>
      <c r="J64" s="376"/>
      <c r="K64" s="376"/>
      <c r="L64" s="378"/>
      <c r="M6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4" s="35" t="str">
        <f>IF(Inventory_List_Table341115109111317181416[[#This Row],[Q]]&lt;0.1, " ", Inventory_List_Table341115109111317181416[[#This Row],[KG]]*2.20462)</f>
        <v xml:space="preserve"> </v>
      </c>
      <c r="O64" s="35" t="str">
        <f>IF(Inventory_List_Table341115109111317181416[[#This Row],[Q]]&lt;0.1, " ",Inventory_List_Table341115109111317181416[[#This Row],[H CM]]/2.54)</f>
        <v xml:space="preserve"> </v>
      </c>
      <c r="P64" s="35" t="str">
        <f>IF(Inventory_List_Table341115109111317181416[[#This Row],[Q]]&lt;0.1, " ",Inventory_List_Table341115109111317181416[[#This Row],[W CM]]/2.54)</f>
        <v xml:space="preserve"> </v>
      </c>
      <c r="Q64" s="35" t="str">
        <f>IF(Inventory_List_Table341115109111317181416[[#This Row],[Q]]&lt;0.1, " ",Inventory_List_Table341115109111317181416[[#This Row],[D CM ]]/2.54)</f>
        <v xml:space="preserve"> </v>
      </c>
      <c r="R64" s="30" t="str">
        <f>IF(Inventory_List_Table341115109111317181416[[#This Row],[Q]]&lt;0.1, " ",Inventory_List_Table341115109111317181416[[#This Row],[PRICE]]/$L$1)</f>
        <v xml:space="preserve"> </v>
      </c>
      <c r="S6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4" s="30" t="str">
        <f>IF(Inventory_List_Table341115109111317181416[[#This Row],[Q]]&lt;0.1, " ",Inventory_List_Table341115109111317181416[[#This Row],[AQ RND USD]]*1.4)</f>
        <v xml:space="preserve"> </v>
      </c>
      <c r="U6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4" s="30" t="str">
        <f>IF(Inventory_List_Table341115109111317181416[[#This Row],[Q]]&lt;0.1, " ",Inventory_List_Table341115109111317181416[[#This Row],[LND RND USD]]*12)</f>
        <v xml:space="preserve"> </v>
      </c>
      <c r="W64" s="30" t="str">
        <f>IF(Inventory_List_Table341115109111317181416[[#This Row],[Q]]&lt;0.1, " ",Inventory_List_Table341115109111317181416[[#This Row],[AQ USD]])</f>
        <v xml:space="preserve"> </v>
      </c>
      <c r="X6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4" s="30" t="str">
        <f>IF(Inventory_List_Table341115109111317181416[[#This Row],[Q]]&lt;0.1, " ",Inventory_List_Table341115109111317181416[[#This Row],[PRICE]]/Z64*10000)</f>
        <v xml:space="preserve"> </v>
      </c>
      <c r="AB64" s="379"/>
      <c r="AC64" s="1"/>
      <c r="AD64" s="1"/>
    </row>
    <row r="65" spans="1:30" ht="24" customHeight="1" x14ac:dyDescent="0.3">
      <c r="A65" s="373">
        <v>63</v>
      </c>
      <c r="B65" s="1"/>
      <c r="C65" s="375"/>
      <c r="D65" s="375"/>
      <c r="E65" s="375"/>
      <c r="F65" s="38" t="str">
        <f>IF(Inventory_List_Table341115109111317181416[[#This Row],[Q]]&lt;0.1, " ",#REF!&amp;$D$1&amp;#REF!&amp;Inventory_List_Table341115109111317181416[[#This Row],[NOTES]])</f>
        <v xml:space="preserve"> </v>
      </c>
      <c r="G65" s="376"/>
      <c r="H65" s="376"/>
      <c r="I65" s="376"/>
      <c r="J65" s="376"/>
      <c r="K65" s="376"/>
      <c r="L65" s="378"/>
      <c r="M6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5" s="35" t="str">
        <f>IF(Inventory_List_Table341115109111317181416[[#This Row],[Q]]&lt;0.1, " ", Inventory_List_Table341115109111317181416[[#This Row],[KG]]*2.20462)</f>
        <v xml:space="preserve"> </v>
      </c>
      <c r="O65" s="35" t="str">
        <f>IF(Inventory_List_Table341115109111317181416[[#This Row],[Q]]&lt;0.1, " ",Inventory_List_Table341115109111317181416[[#This Row],[H CM]]/2.54)</f>
        <v xml:space="preserve"> </v>
      </c>
      <c r="P65" s="35" t="str">
        <f>IF(Inventory_List_Table341115109111317181416[[#This Row],[Q]]&lt;0.1, " ",Inventory_List_Table341115109111317181416[[#This Row],[W CM]]/2.54)</f>
        <v xml:space="preserve"> </v>
      </c>
      <c r="Q65" s="35" t="str">
        <f>IF(Inventory_List_Table341115109111317181416[[#This Row],[Q]]&lt;0.1, " ",Inventory_List_Table341115109111317181416[[#This Row],[D CM ]]/2.54)</f>
        <v xml:space="preserve"> </v>
      </c>
      <c r="R65" s="30" t="str">
        <f>IF(Inventory_List_Table341115109111317181416[[#This Row],[Q]]&lt;0.1, " ",Inventory_List_Table341115109111317181416[[#This Row],[PRICE]]/$L$1)</f>
        <v xml:space="preserve"> </v>
      </c>
      <c r="S6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5" s="30" t="str">
        <f>IF(Inventory_List_Table341115109111317181416[[#This Row],[Q]]&lt;0.1, " ",Inventory_List_Table341115109111317181416[[#This Row],[AQ RND USD]]*1.4)</f>
        <v xml:space="preserve"> </v>
      </c>
      <c r="U6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5" s="30" t="str">
        <f>IF(Inventory_List_Table341115109111317181416[[#This Row],[Q]]&lt;0.1, " ",Inventory_List_Table341115109111317181416[[#This Row],[LND RND USD]]*12)</f>
        <v xml:space="preserve"> </v>
      </c>
      <c r="W65" s="30" t="str">
        <f>IF(Inventory_List_Table341115109111317181416[[#This Row],[Q]]&lt;0.1, " ",Inventory_List_Table341115109111317181416[[#This Row],[AQ USD]])</f>
        <v xml:space="preserve"> </v>
      </c>
      <c r="X6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5" s="30" t="str">
        <f>IF(Inventory_List_Table341115109111317181416[[#This Row],[Q]]&lt;0.1, " ",Inventory_List_Table341115109111317181416[[#This Row],[PRICE]]/Z65*10000)</f>
        <v xml:space="preserve"> </v>
      </c>
      <c r="AB65" s="379"/>
      <c r="AC65" s="1"/>
      <c r="AD65" s="1"/>
    </row>
    <row r="66" spans="1:30" ht="24" customHeight="1" x14ac:dyDescent="0.3">
      <c r="A66" s="373">
        <v>64</v>
      </c>
      <c r="B66" s="1"/>
      <c r="C66" s="375"/>
      <c r="D66" s="375"/>
      <c r="E66" s="375"/>
      <c r="F66" s="38" t="str">
        <f>IF(Inventory_List_Table341115109111317181416[[#This Row],[Q]]&lt;0.1, " ",#REF!&amp;$D$1&amp;#REF!&amp;Inventory_List_Table341115109111317181416[[#This Row],[NOTES]])</f>
        <v xml:space="preserve"> </v>
      </c>
      <c r="G66" s="376"/>
      <c r="H66" s="376"/>
      <c r="I66" s="376"/>
      <c r="J66" s="376"/>
      <c r="K66" s="376"/>
      <c r="L66" s="378"/>
      <c r="M6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6" s="35" t="str">
        <f>IF(Inventory_List_Table341115109111317181416[[#This Row],[Q]]&lt;0.1, " ", Inventory_List_Table341115109111317181416[[#This Row],[KG]]*2.20462)</f>
        <v xml:space="preserve"> </v>
      </c>
      <c r="O66" s="35" t="str">
        <f>IF(Inventory_List_Table341115109111317181416[[#This Row],[Q]]&lt;0.1, " ",Inventory_List_Table341115109111317181416[[#This Row],[H CM]]/2.54)</f>
        <v xml:space="preserve"> </v>
      </c>
      <c r="P66" s="35" t="str">
        <f>IF(Inventory_List_Table341115109111317181416[[#This Row],[Q]]&lt;0.1, " ",Inventory_List_Table341115109111317181416[[#This Row],[W CM]]/2.54)</f>
        <v xml:space="preserve"> </v>
      </c>
      <c r="Q66" s="35" t="str">
        <f>IF(Inventory_List_Table341115109111317181416[[#This Row],[Q]]&lt;0.1, " ",Inventory_List_Table341115109111317181416[[#This Row],[D CM ]]/2.54)</f>
        <v xml:space="preserve"> </v>
      </c>
      <c r="R66" s="30" t="str">
        <f>IF(Inventory_List_Table341115109111317181416[[#This Row],[Q]]&lt;0.1, " ",Inventory_List_Table341115109111317181416[[#This Row],[PRICE]]/$L$1)</f>
        <v xml:space="preserve"> </v>
      </c>
      <c r="S6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6" s="30" t="str">
        <f>IF(Inventory_List_Table341115109111317181416[[#This Row],[Q]]&lt;0.1, " ",Inventory_List_Table341115109111317181416[[#This Row],[AQ RND USD]]*1.4)</f>
        <v xml:space="preserve"> </v>
      </c>
      <c r="U6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6" s="30" t="str">
        <f>IF(Inventory_List_Table341115109111317181416[[#This Row],[Q]]&lt;0.1, " ",Inventory_List_Table341115109111317181416[[#This Row],[LND RND USD]]*12)</f>
        <v xml:space="preserve"> </v>
      </c>
      <c r="W66" s="30" t="str">
        <f>IF(Inventory_List_Table341115109111317181416[[#This Row],[Q]]&lt;0.1, " ",Inventory_List_Table341115109111317181416[[#This Row],[AQ USD]])</f>
        <v xml:space="preserve"> </v>
      </c>
      <c r="X6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6" s="30" t="str">
        <f>IF(Inventory_List_Table341115109111317181416[[#This Row],[Q]]&lt;0.1, " ",Inventory_List_Table341115109111317181416[[#This Row],[PRICE]]/Z66*10000)</f>
        <v xml:space="preserve"> </v>
      </c>
      <c r="AB66" s="379"/>
      <c r="AC66" s="1"/>
      <c r="AD66" s="1"/>
    </row>
    <row r="67" spans="1:30" ht="24" customHeight="1" x14ac:dyDescent="0.3">
      <c r="A67" s="373">
        <v>65</v>
      </c>
      <c r="B67" s="1"/>
      <c r="C67" s="375"/>
      <c r="D67" s="375"/>
      <c r="E67" s="375"/>
      <c r="F67" s="38" t="str">
        <f>IF(Inventory_List_Table341115109111317181416[[#This Row],[Q]]&lt;0.1, " ",#REF!&amp;$D$1&amp;#REF!&amp;Inventory_List_Table341115109111317181416[[#This Row],[NOTES]])</f>
        <v xml:space="preserve"> </v>
      </c>
      <c r="G67" s="376"/>
      <c r="H67" s="376"/>
      <c r="I67" s="376"/>
      <c r="J67" s="376"/>
      <c r="K67" s="376"/>
      <c r="L67" s="378"/>
      <c r="M6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7" s="35" t="str">
        <f>IF(Inventory_List_Table341115109111317181416[[#This Row],[Q]]&lt;0.1, " ", Inventory_List_Table341115109111317181416[[#This Row],[KG]]*2.20462)</f>
        <v xml:space="preserve"> </v>
      </c>
      <c r="O67" s="35" t="str">
        <f>IF(Inventory_List_Table341115109111317181416[[#This Row],[Q]]&lt;0.1, " ",Inventory_List_Table341115109111317181416[[#This Row],[H CM]]/2.54)</f>
        <v xml:space="preserve"> </v>
      </c>
      <c r="P67" s="35" t="str">
        <f>IF(Inventory_List_Table341115109111317181416[[#This Row],[Q]]&lt;0.1, " ",Inventory_List_Table341115109111317181416[[#This Row],[W CM]]/2.54)</f>
        <v xml:space="preserve"> </v>
      </c>
      <c r="Q67" s="35" t="str">
        <f>IF(Inventory_List_Table341115109111317181416[[#This Row],[Q]]&lt;0.1, " ",Inventory_List_Table341115109111317181416[[#This Row],[D CM ]]/2.54)</f>
        <v xml:space="preserve"> </v>
      </c>
      <c r="R67" s="30" t="str">
        <f>IF(Inventory_List_Table341115109111317181416[[#This Row],[Q]]&lt;0.1, " ",Inventory_List_Table341115109111317181416[[#This Row],[PRICE]]/$L$1)</f>
        <v xml:space="preserve"> </v>
      </c>
      <c r="S6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7" s="30" t="str">
        <f>IF(Inventory_List_Table341115109111317181416[[#This Row],[Q]]&lt;0.1, " ",Inventory_List_Table341115109111317181416[[#This Row],[AQ RND USD]]*1.4)</f>
        <v xml:space="preserve"> </v>
      </c>
      <c r="U6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7" s="30" t="str">
        <f>IF(Inventory_List_Table341115109111317181416[[#This Row],[Q]]&lt;0.1, " ",Inventory_List_Table341115109111317181416[[#This Row],[LND RND USD]]*12)</f>
        <v xml:space="preserve"> </v>
      </c>
      <c r="W67" s="30" t="str">
        <f>IF(Inventory_List_Table341115109111317181416[[#This Row],[Q]]&lt;0.1, " ",Inventory_List_Table341115109111317181416[[#This Row],[AQ USD]])</f>
        <v xml:space="preserve"> </v>
      </c>
      <c r="X6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7" s="30" t="str">
        <f>IF(Inventory_List_Table341115109111317181416[[#This Row],[Q]]&lt;0.1, " ",Inventory_List_Table341115109111317181416[[#This Row],[PRICE]]/Z67*10000)</f>
        <v xml:space="preserve"> </v>
      </c>
      <c r="AB67" s="379"/>
      <c r="AC67" s="1"/>
      <c r="AD67" s="1"/>
    </row>
    <row r="68" spans="1:30" ht="24" customHeight="1" x14ac:dyDescent="0.3">
      <c r="A68" s="373">
        <v>66</v>
      </c>
      <c r="B68" s="1"/>
      <c r="C68" s="375"/>
      <c r="D68" s="375"/>
      <c r="E68" s="375"/>
      <c r="F68" s="38" t="str">
        <f>IF(Inventory_List_Table341115109111317181416[[#This Row],[Q]]&lt;0.1, " ",#REF!&amp;$D$1&amp;#REF!&amp;Inventory_List_Table341115109111317181416[[#This Row],[NOTES]])</f>
        <v xml:space="preserve"> </v>
      </c>
      <c r="G68" s="376"/>
      <c r="H68" s="376"/>
      <c r="I68" s="376"/>
      <c r="J68" s="376"/>
      <c r="K68" s="376"/>
      <c r="L68" s="378"/>
      <c r="M6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8" s="35" t="str">
        <f>IF(Inventory_List_Table341115109111317181416[[#This Row],[Q]]&lt;0.1, " ", Inventory_List_Table341115109111317181416[[#This Row],[KG]]*2.20462)</f>
        <v xml:space="preserve"> </v>
      </c>
      <c r="O68" s="35" t="str">
        <f>IF(Inventory_List_Table341115109111317181416[[#This Row],[Q]]&lt;0.1, " ",Inventory_List_Table341115109111317181416[[#This Row],[H CM]]/2.54)</f>
        <v xml:space="preserve"> </v>
      </c>
      <c r="P68" s="35" t="str">
        <f>IF(Inventory_List_Table341115109111317181416[[#This Row],[Q]]&lt;0.1, " ",Inventory_List_Table341115109111317181416[[#This Row],[W CM]]/2.54)</f>
        <v xml:space="preserve"> </v>
      </c>
      <c r="Q68" s="35" t="str">
        <f>IF(Inventory_List_Table341115109111317181416[[#This Row],[Q]]&lt;0.1, " ",Inventory_List_Table341115109111317181416[[#This Row],[D CM ]]/2.54)</f>
        <v xml:space="preserve"> </v>
      </c>
      <c r="R68" s="30" t="str">
        <f>IF(Inventory_List_Table341115109111317181416[[#This Row],[Q]]&lt;0.1, " ",Inventory_List_Table341115109111317181416[[#This Row],[PRICE]]/$L$1)</f>
        <v xml:space="preserve"> </v>
      </c>
      <c r="S6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8" s="30" t="str">
        <f>IF(Inventory_List_Table341115109111317181416[[#This Row],[Q]]&lt;0.1, " ",Inventory_List_Table341115109111317181416[[#This Row],[AQ RND USD]]*1.4)</f>
        <v xml:space="preserve"> </v>
      </c>
      <c r="U6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8" s="30" t="str">
        <f>IF(Inventory_List_Table341115109111317181416[[#This Row],[Q]]&lt;0.1, " ",Inventory_List_Table341115109111317181416[[#This Row],[LND RND USD]]*12)</f>
        <v xml:space="preserve"> </v>
      </c>
      <c r="W68" s="30" t="str">
        <f>IF(Inventory_List_Table341115109111317181416[[#This Row],[Q]]&lt;0.1, " ",Inventory_List_Table341115109111317181416[[#This Row],[AQ USD]])</f>
        <v xml:space="preserve"> </v>
      </c>
      <c r="X6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8" s="30" t="str">
        <f>IF(Inventory_List_Table341115109111317181416[[#This Row],[Q]]&lt;0.1, " ",Inventory_List_Table341115109111317181416[[#This Row],[PRICE]]/Z68*10000)</f>
        <v xml:space="preserve"> </v>
      </c>
      <c r="AB68" s="379"/>
      <c r="AC68" s="1"/>
      <c r="AD68" s="1"/>
    </row>
    <row r="69" spans="1:30" ht="24" customHeight="1" x14ac:dyDescent="0.3">
      <c r="A69" s="373">
        <v>67</v>
      </c>
      <c r="B69" s="1"/>
      <c r="C69" s="375"/>
      <c r="D69" s="375"/>
      <c r="E69" s="375"/>
      <c r="F69" s="38" t="str">
        <f>IF(Inventory_List_Table341115109111317181416[[#This Row],[Q]]&lt;0.1, " ",#REF!&amp;$D$1&amp;#REF!&amp;Inventory_List_Table341115109111317181416[[#This Row],[NOTES]])</f>
        <v xml:space="preserve"> </v>
      </c>
      <c r="G69" s="376"/>
      <c r="H69" s="376"/>
      <c r="I69" s="376"/>
      <c r="J69" s="376"/>
      <c r="K69" s="376"/>
      <c r="L69" s="378"/>
      <c r="M6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69" s="35" t="str">
        <f>IF(Inventory_List_Table341115109111317181416[[#This Row],[Q]]&lt;0.1, " ", Inventory_List_Table341115109111317181416[[#This Row],[KG]]*2.20462)</f>
        <v xml:space="preserve"> </v>
      </c>
      <c r="O69" s="35" t="str">
        <f>IF(Inventory_List_Table341115109111317181416[[#This Row],[Q]]&lt;0.1, " ",Inventory_List_Table341115109111317181416[[#This Row],[H CM]]/2.54)</f>
        <v xml:space="preserve"> </v>
      </c>
      <c r="P69" s="35" t="str">
        <f>IF(Inventory_List_Table341115109111317181416[[#This Row],[Q]]&lt;0.1, " ",Inventory_List_Table341115109111317181416[[#This Row],[W CM]]/2.54)</f>
        <v xml:space="preserve"> </v>
      </c>
      <c r="Q69" s="35" t="str">
        <f>IF(Inventory_List_Table341115109111317181416[[#This Row],[Q]]&lt;0.1, " ",Inventory_List_Table341115109111317181416[[#This Row],[D CM ]]/2.54)</f>
        <v xml:space="preserve"> </v>
      </c>
      <c r="R69" s="30" t="str">
        <f>IF(Inventory_List_Table341115109111317181416[[#This Row],[Q]]&lt;0.1, " ",Inventory_List_Table341115109111317181416[[#This Row],[PRICE]]/$L$1)</f>
        <v xml:space="preserve"> </v>
      </c>
      <c r="S6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69" s="30" t="str">
        <f>IF(Inventory_List_Table341115109111317181416[[#This Row],[Q]]&lt;0.1, " ",Inventory_List_Table341115109111317181416[[#This Row],[AQ RND USD]]*1.4)</f>
        <v xml:space="preserve"> </v>
      </c>
      <c r="U6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69" s="30" t="str">
        <f>IF(Inventory_List_Table341115109111317181416[[#This Row],[Q]]&lt;0.1, " ",Inventory_List_Table341115109111317181416[[#This Row],[LND RND USD]]*12)</f>
        <v xml:space="preserve"> </v>
      </c>
      <c r="W69" s="30" t="str">
        <f>IF(Inventory_List_Table341115109111317181416[[#This Row],[Q]]&lt;0.1, " ",Inventory_List_Table341115109111317181416[[#This Row],[AQ USD]])</f>
        <v xml:space="preserve"> </v>
      </c>
      <c r="X6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6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6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69" s="30" t="str">
        <f>IF(Inventory_List_Table341115109111317181416[[#This Row],[Q]]&lt;0.1, " ",Inventory_List_Table341115109111317181416[[#This Row],[PRICE]]/Z69*10000)</f>
        <v xml:space="preserve"> </v>
      </c>
      <c r="AB69" s="379"/>
      <c r="AC69" s="1"/>
      <c r="AD69" s="1"/>
    </row>
    <row r="70" spans="1:30" ht="24" customHeight="1" x14ac:dyDescent="0.3">
      <c r="A70" s="373">
        <v>68</v>
      </c>
      <c r="B70" s="1"/>
      <c r="C70" s="375"/>
      <c r="D70" s="375"/>
      <c r="E70" s="375"/>
      <c r="F70" s="38" t="str">
        <f>IF(Inventory_List_Table341115109111317181416[[#This Row],[Q]]&lt;0.1, " ",#REF!&amp;$D$1&amp;#REF!&amp;Inventory_List_Table341115109111317181416[[#This Row],[NOTES]])</f>
        <v xml:space="preserve"> </v>
      </c>
      <c r="G70" s="376"/>
      <c r="H70" s="376"/>
      <c r="I70" s="376"/>
      <c r="J70" s="376"/>
      <c r="K70" s="376"/>
      <c r="L70" s="378"/>
      <c r="M7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0" s="35" t="str">
        <f>IF(Inventory_List_Table341115109111317181416[[#This Row],[Q]]&lt;0.1, " ", Inventory_List_Table341115109111317181416[[#This Row],[KG]]*2.20462)</f>
        <v xml:space="preserve"> </v>
      </c>
      <c r="O70" s="35" t="str">
        <f>IF(Inventory_List_Table341115109111317181416[[#This Row],[Q]]&lt;0.1, " ",Inventory_List_Table341115109111317181416[[#This Row],[H CM]]/2.54)</f>
        <v xml:space="preserve"> </v>
      </c>
      <c r="P70" s="35" t="str">
        <f>IF(Inventory_List_Table341115109111317181416[[#This Row],[Q]]&lt;0.1, " ",Inventory_List_Table341115109111317181416[[#This Row],[W CM]]/2.54)</f>
        <v xml:space="preserve"> </v>
      </c>
      <c r="Q70" s="35" t="str">
        <f>IF(Inventory_List_Table341115109111317181416[[#This Row],[Q]]&lt;0.1, " ",Inventory_List_Table341115109111317181416[[#This Row],[D CM ]]/2.54)</f>
        <v xml:space="preserve"> </v>
      </c>
      <c r="R70" s="30" t="str">
        <f>IF(Inventory_List_Table341115109111317181416[[#This Row],[Q]]&lt;0.1, " ",Inventory_List_Table341115109111317181416[[#This Row],[PRICE]]/$L$1)</f>
        <v xml:space="preserve"> </v>
      </c>
      <c r="S7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0" s="30" t="str">
        <f>IF(Inventory_List_Table341115109111317181416[[#This Row],[Q]]&lt;0.1, " ",Inventory_List_Table341115109111317181416[[#This Row],[AQ RND USD]]*1.4)</f>
        <v xml:space="preserve"> </v>
      </c>
      <c r="U7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0" s="30" t="str">
        <f>IF(Inventory_List_Table341115109111317181416[[#This Row],[Q]]&lt;0.1, " ",Inventory_List_Table341115109111317181416[[#This Row],[LND RND USD]]*12)</f>
        <v xml:space="preserve"> </v>
      </c>
      <c r="W70" s="30" t="str">
        <f>IF(Inventory_List_Table341115109111317181416[[#This Row],[Q]]&lt;0.1, " ",Inventory_List_Table341115109111317181416[[#This Row],[AQ USD]])</f>
        <v xml:space="preserve"> </v>
      </c>
      <c r="X7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0" s="30" t="str">
        <f>IF(Inventory_List_Table341115109111317181416[[#This Row],[Q]]&lt;0.1, " ",Inventory_List_Table341115109111317181416[[#This Row],[PRICE]]/Z70*10000)</f>
        <v xml:space="preserve"> </v>
      </c>
      <c r="AB70" s="379"/>
      <c r="AC70" s="1"/>
      <c r="AD70" s="1"/>
    </row>
    <row r="71" spans="1:30" ht="24" customHeight="1" x14ac:dyDescent="0.3">
      <c r="A71" s="373">
        <v>69</v>
      </c>
      <c r="B71" s="1"/>
      <c r="C71" s="375"/>
      <c r="D71" s="375"/>
      <c r="E71" s="375"/>
      <c r="F71" s="38" t="str">
        <f>IF(Inventory_List_Table341115109111317181416[[#This Row],[Q]]&lt;0.1, " ",#REF!&amp;$D$1&amp;#REF!&amp;Inventory_List_Table341115109111317181416[[#This Row],[NOTES]])</f>
        <v xml:space="preserve"> </v>
      </c>
      <c r="G71" s="376"/>
      <c r="H71" s="376"/>
      <c r="I71" s="376"/>
      <c r="J71" s="376"/>
      <c r="K71" s="376"/>
      <c r="L71" s="378"/>
      <c r="M7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1" s="35" t="str">
        <f>IF(Inventory_List_Table341115109111317181416[[#This Row],[Q]]&lt;0.1, " ", Inventory_List_Table341115109111317181416[[#This Row],[KG]]*2.20462)</f>
        <v xml:space="preserve"> </v>
      </c>
      <c r="O71" s="35" t="str">
        <f>IF(Inventory_List_Table341115109111317181416[[#This Row],[Q]]&lt;0.1, " ",Inventory_List_Table341115109111317181416[[#This Row],[H CM]]/2.54)</f>
        <v xml:space="preserve"> </v>
      </c>
      <c r="P71" s="35" t="str">
        <f>IF(Inventory_List_Table341115109111317181416[[#This Row],[Q]]&lt;0.1, " ",Inventory_List_Table341115109111317181416[[#This Row],[W CM]]/2.54)</f>
        <v xml:space="preserve"> </v>
      </c>
      <c r="Q71" s="35" t="str">
        <f>IF(Inventory_List_Table341115109111317181416[[#This Row],[Q]]&lt;0.1, " ",Inventory_List_Table341115109111317181416[[#This Row],[D CM ]]/2.54)</f>
        <v xml:space="preserve"> </v>
      </c>
      <c r="R71" s="30" t="str">
        <f>IF(Inventory_List_Table341115109111317181416[[#This Row],[Q]]&lt;0.1, " ",Inventory_List_Table341115109111317181416[[#This Row],[PRICE]]/$L$1)</f>
        <v xml:space="preserve"> </v>
      </c>
      <c r="S7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1" s="30" t="str">
        <f>IF(Inventory_List_Table341115109111317181416[[#This Row],[Q]]&lt;0.1, " ",Inventory_List_Table341115109111317181416[[#This Row],[AQ RND USD]]*1.4)</f>
        <v xml:space="preserve"> </v>
      </c>
      <c r="U7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1" s="30" t="str">
        <f>IF(Inventory_List_Table341115109111317181416[[#This Row],[Q]]&lt;0.1, " ",Inventory_List_Table341115109111317181416[[#This Row],[LND RND USD]]*12)</f>
        <v xml:space="preserve"> </v>
      </c>
      <c r="W71" s="30" t="str">
        <f>IF(Inventory_List_Table341115109111317181416[[#This Row],[Q]]&lt;0.1, " ",Inventory_List_Table341115109111317181416[[#This Row],[AQ USD]])</f>
        <v xml:space="preserve"> </v>
      </c>
      <c r="X7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1" s="30" t="str">
        <f>IF(Inventory_List_Table341115109111317181416[[#This Row],[Q]]&lt;0.1, " ",Inventory_List_Table341115109111317181416[[#This Row],[PRICE]]/Z71*10000)</f>
        <v xml:space="preserve"> </v>
      </c>
      <c r="AB71" s="379"/>
      <c r="AC71" s="1"/>
      <c r="AD71" s="1"/>
    </row>
    <row r="72" spans="1:30" ht="24" customHeight="1" x14ac:dyDescent="0.3">
      <c r="A72" s="373">
        <v>70</v>
      </c>
      <c r="B72" s="1"/>
      <c r="C72" s="375"/>
      <c r="D72" s="375"/>
      <c r="E72" s="375"/>
      <c r="F72" s="38" t="str">
        <f>IF(Inventory_List_Table341115109111317181416[[#This Row],[Q]]&lt;0.1, " ",#REF!&amp;$D$1&amp;#REF!&amp;Inventory_List_Table341115109111317181416[[#This Row],[NOTES]])</f>
        <v xml:space="preserve"> </v>
      </c>
      <c r="G72" s="376"/>
      <c r="H72" s="376"/>
      <c r="I72" s="376"/>
      <c r="J72" s="376"/>
      <c r="K72" s="376"/>
      <c r="L72" s="378"/>
      <c r="M7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2" s="35" t="str">
        <f>IF(Inventory_List_Table341115109111317181416[[#This Row],[Q]]&lt;0.1, " ", Inventory_List_Table341115109111317181416[[#This Row],[KG]]*2.20462)</f>
        <v xml:space="preserve"> </v>
      </c>
      <c r="O72" s="35" t="str">
        <f>IF(Inventory_List_Table341115109111317181416[[#This Row],[Q]]&lt;0.1, " ",Inventory_List_Table341115109111317181416[[#This Row],[H CM]]/2.54)</f>
        <v xml:space="preserve"> </v>
      </c>
      <c r="P72" s="35" t="str">
        <f>IF(Inventory_List_Table341115109111317181416[[#This Row],[Q]]&lt;0.1, " ",Inventory_List_Table341115109111317181416[[#This Row],[W CM]]/2.54)</f>
        <v xml:space="preserve"> </v>
      </c>
      <c r="Q72" s="35" t="str">
        <f>IF(Inventory_List_Table341115109111317181416[[#This Row],[Q]]&lt;0.1, " ",Inventory_List_Table341115109111317181416[[#This Row],[D CM ]]/2.54)</f>
        <v xml:space="preserve"> </v>
      </c>
      <c r="R72" s="30" t="str">
        <f>IF(Inventory_List_Table341115109111317181416[[#This Row],[Q]]&lt;0.1, " ",Inventory_List_Table341115109111317181416[[#This Row],[PRICE]]/$L$1)</f>
        <v xml:space="preserve"> </v>
      </c>
      <c r="S7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2" s="30" t="str">
        <f>IF(Inventory_List_Table341115109111317181416[[#This Row],[Q]]&lt;0.1, " ",Inventory_List_Table341115109111317181416[[#This Row],[AQ RND USD]]*1.4)</f>
        <v xml:space="preserve"> </v>
      </c>
      <c r="U7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2" s="30" t="str">
        <f>IF(Inventory_List_Table341115109111317181416[[#This Row],[Q]]&lt;0.1, " ",Inventory_List_Table341115109111317181416[[#This Row],[LND RND USD]]*12)</f>
        <v xml:space="preserve"> </v>
      </c>
      <c r="W72" s="30" t="str">
        <f>IF(Inventory_List_Table341115109111317181416[[#This Row],[Q]]&lt;0.1, " ",Inventory_List_Table341115109111317181416[[#This Row],[AQ USD]])</f>
        <v xml:space="preserve"> </v>
      </c>
      <c r="X7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2" s="30" t="str">
        <f>IF(Inventory_List_Table341115109111317181416[[#This Row],[Q]]&lt;0.1, " ",Inventory_List_Table341115109111317181416[[#This Row],[PRICE]]/Z72*10000)</f>
        <v xml:space="preserve"> </v>
      </c>
      <c r="AB72" s="379"/>
      <c r="AC72" s="1"/>
      <c r="AD72" s="1"/>
    </row>
    <row r="73" spans="1:30" ht="24" customHeight="1" x14ac:dyDescent="0.3">
      <c r="A73" s="373">
        <v>71</v>
      </c>
      <c r="B73" s="1"/>
      <c r="C73" s="375"/>
      <c r="D73" s="375"/>
      <c r="E73" s="375"/>
      <c r="F73" s="38" t="str">
        <f>IF(Inventory_List_Table341115109111317181416[[#This Row],[Q]]&lt;0.1, " ",#REF!&amp;$D$1&amp;#REF!&amp;Inventory_List_Table341115109111317181416[[#This Row],[NOTES]])</f>
        <v xml:space="preserve"> </v>
      </c>
      <c r="G73" s="376"/>
      <c r="H73" s="376"/>
      <c r="I73" s="376"/>
      <c r="J73" s="376"/>
      <c r="K73" s="376"/>
      <c r="L73" s="378"/>
      <c r="M7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3" s="35" t="str">
        <f>IF(Inventory_List_Table341115109111317181416[[#This Row],[Q]]&lt;0.1, " ", Inventory_List_Table341115109111317181416[[#This Row],[KG]]*2.20462)</f>
        <v xml:space="preserve"> </v>
      </c>
      <c r="O73" s="35" t="str">
        <f>IF(Inventory_List_Table341115109111317181416[[#This Row],[Q]]&lt;0.1, " ",Inventory_List_Table341115109111317181416[[#This Row],[H CM]]/2.54)</f>
        <v xml:space="preserve"> </v>
      </c>
      <c r="P73" s="35" t="str">
        <f>IF(Inventory_List_Table341115109111317181416[[#This Row],[Q]]&lt;0.1, " ",Inventory_List_Table341115109111317181416[[#This Row],[W CM]]/2.54)</f>
        <v xml:space="preserve"> </v>
      </c>
      <c r="Q73" s="35" t="str">
        <f>IF(Inventory_List_Table341115109111317181416[[#This Row],[Q]]&lt;0.1, " ",Inventory_List_Table341115109111317181416[[#This Row],[D CM ]]/2.54)</f>
        <v xml:space="preserve"> </v>
      </c>
      <c r="R73" s="30" t="str">
        <f>IF(Inventory_List_Table341115109111317181416[[#This Row],[Q]]&lt;0.1, " ",Inventory_List_Table341115109111317181416[[#This Row],[PRICE]]/$L$1)</f>
        <v xml:space="preserve"> </v>
      </c>
      <c r="S7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3" s="30" t="str">
        <f>IF(Inventory_List_Table341115109111317181416[[#This Row],[Q]]&lt;0.1, " ",Inventory_List_Table341115109111317181416[[#This Row],[AQ RND USD]]*1.4)</f>
        <v xml:space="preserve"> </v>
      </c>
      <c r="U7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3" s="30" t="str">
        <f>IF(Inventory_List_Table341115109111317181416[[#This Row],[Q]]&lt;0.1, " ",Inventory_List_Table341115109111317181416[[#This Row],[LND RND USD]]*12)</f>
        <v xml:space="preserve"> </v>
      </c>
      <c r="W73" s="30" t="str">
        <f>IF(Inventory_List_Table341115109111317181416[[#This Row],[Q]]&lt;0.1, " ",Inventory_List_Table341115109111317181416[[#This Row],[AQ USD]])</f>
        <v xml:space="preserve"> </v>
      </c>
      <c r="X7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3" s="30" t="str">
        <f>IF(Inventory_List_Table341115109111317181416[[#This Row],[Q]]&lt;0.1, " ",Inventory_List_Table341115109111317181416[[#This Row],[PRICE]]/Z73*10000)</f>
        <v xml:space="preserve"> </v>
      </c>
      <c r="AB73" s="379"/>
      <c r="AC73" s="1"/>
      <c r="AD73" s="1"/>
    </row>
    <row r="74" spans="1:30" ht="24" customHeight="1" x14ac:dyDescent="0.3">
      <c r="A74" s="373">
        <v>72</v>
      </c>
      <c r="B74" s="1"/>
      <c r="C74" s="375"/>
      <c r="D74" s="375"/>
      <c r="E74" s="375"/>
      <c r="F74" s="38" t="str">
        <f>IF(Inventory_List_Table341115109111317181416[[#This Row],[Q]]&lt;0.1, " ",#REF!&amp;$D$1&amp;#REF!&amp;Inventory_List_Table341115109111317181416[[#This Row],[NOTES]])</f>
        <v xml:space="preserve"> </v>
      </c>
      <c r="G74" s="376"/>
      <c r="H74" s="376"/>
      <c r="I74" s="376"/>
      <c r="J74" s="376"/>
      <c r="K74" s="376"/>
      <c r="L74" s="378"/>
      <c r="M7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4" s="35" t="str">
        <f>IF(Inventory_List_Table341115109111317181416[[#This Row],[Q]]&lt;0.1, " ", Inventory_List_Table341115109111317181416[[#This Row],[KG]]*2.20462)</f>
        <v xml:space="preserve"> </v>
      </c>
      <c r="O74" s="35" t="str">
        <f>IF(Inventory_List_Table341115109111317181416[[#This Row],[Q]]&lt;0.1, " ",Inventory_List_Table341115109111317181416[[#This Row],[H CM]]/2.54)</f>
        <v xml:space="preserve"> </v>
      </c>
      <c r="P74" s="35" t="str">
        <f>IF(Inventory_List_Table341115109111317181416[[#This Row],[Q]]&lt;0.1, " ",Inventory_List_Table341115109111317181416[[#This Row],[W CM]]/2.54)</f>
        <v xml:space="preserve"> </v>
      </c>
      <c r="Q74" s="35" t="str">
        <f>IF(Inventory_List_Table341115109111317181416[[#This Row],[Q]]&lt;0.1, " ",Inventory_List_Table341115109111317181416[[#This Row],[D CM ]]/2.54)</f>
        <v xml:space="preserve"> </v>
      </c>
      <c r="R74" s="30" t="str">
        <f>IF(Inventory_List_Table341115109111317181416[[#This Row],[Q]]&lt;0.1, " ",Inventory_List_Table341115109111317181416[[#This Row],[PRICE]]/$L$1)</f>
        <v xml:space="preserve"> </v>
      </c>
      <c r="S7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4" s="30" t="str">
        <f>IF(Inventory_List_Table341115109111317181416[[#This Row],[Q]]&lt;0.1, " ",Inventory_List_Table341115109111317181416[[#This Row],[AQ RND USD]]*1.4)</f>
        <v xml:space="preserve"> </v>
      </c>
      <c r="U7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4" s="30" t="str">
        <f>IF(Inventory_List_Table341115109111317181416[[#This Row],[Q]]&lt;0.1, " ",Inventory_List_Table341115109111317181416[[#This Row],[LND RND USD]]*12)</f>
        <v xml:space="preserve"> </v>
      </c>
      <c r="W74" s="30" t="str">
        <f>IF(Inventory_List_Table341115109111317181416[[#This Row],[Q]]&lt;0.1, " ",Inventory_List_Table341115109111317181416[[#This Row],[AQ USD]])</f>
        <v xml:space="preserve"> </v>
      </c>
      <c r="X7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4" s="30" t="str">
        <f>IF(Inventory_List_Table341115109111317181416[[#This Row],[Q]]&lt;0.1, " ",Inventory_List_Table341115109111317181416[[#This Row],[PRICE]]/Z74*10000)</f>
        <v xml:space="preserve"> </v>
      </c>
      <c r="AB74" s="379"/>
      <c r="AC74" s="1"/>
      <c r="AD74" s="1"/>
    </row>
    <row r="75" spans="1:30" ht="24" customHeight="1" x14ac:dyDescent="0.3">
      <c r="A75" s="373">
        <v>73</v>
      </c>
      <c r="B75" s="1"/>
      <c r="C75" s="375"/>
      <c r="D75" s="375"/>
      <c r="E75" s="375"/>
      <c r="F75" s="38" t="str">
        <f>IF(Inventory_List_Table341115109111317181416[[#This Row],[Q]]&lt;0.1, " ",#REF!&amp;$D$1&amp;#REF!&amp;Inventory_List_Table341115109111317181416[[#This Row],[NOTES]])</f>
        <v xml:space="preserve"> </v>
      </c>
      <c r="G75" s="376"/>
      <c r="H75" s="376"/>
      <c r="I75" s="376"/>
      <c r="J75" s="376"/>
      <c r="K75" s="376"/>
      <c r="L75" s="378"/>
      <c r="M7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5" s="35" t="str">
        <f>IF(Inventory_List_Table341115109111317181416[[#This Row],[Q]]&lt;0.1, " ", Inventory_List_Table341115109111317181416[[#This Row],[KG]]*2.20462)</f>
        <v xml:space="preserve"> </v>
      </c>
      <c r="O75" s="35" t="str">
        <f>IF(Inventory_List_Table341115109111317181416[[#This Row],[Q]]&lt;0.1, " ",Inventory_List_Table341115109111317181416[[#This Row],[H CM]]/2.54)</f>
        <v xml:space="preserve"> </v>
      </c>
      <c r="P75" s="35" t="str">
        <f>IF(Inventory_List_Table341115109111317181416[[#This Row],[Q]]&lt;0.1, " ",Inventory_List_Table341115109111317181416[[#This Row],[W CM]]/2.54)</f>
        <v xml:space="preserve"> </v>
      </c>
      <c r="Q75" s="35" t="str">
        <f>IF(Inventory_List_Table341115109111317181416[[#This Row],[Q]]&lt;0.1, " ",Inventory_List_Table341115109111317181416[[#This Row],[D CM ]]/2.54)</f>
        <v xml:space="preserve"> </v>
      </c>
      <c r="R75" s="30" t="str">
        <f>IF(Inventory_List_Table341115109111317181416[[#This Row],[Q]]&lt;0.1, " ",Inventory_List_Table341115109111317181416[[#This Row],[PRICE]]/$L$1)</f>
        <v xml:space="preserve"> </v>
      </c>
      <c r="S7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5" s="30" t="str">
        <f>IF(Inventory_List_Table341115109111317181416[[#This Row],[Q]]&lt;0.1, " ",Inventory_List_Table341115109111317181416[[#This Row],[AQ RND USD]]*1.4)</f>
        <v xml:space="preserve"> </v>
      </c>
      <c r="U7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5" s="30" t="str">
        <f>IF(Inventory_List_Table341115109111317181416[[#This Row],[Q]]&lt;0.1, " ",Inventory_List_Table341115109111317181416[[#This Row],[LND RND USD]]*12)</f>
        <v xml:space="preserve"> </v>
      </c>
      <c r="W75" s="30" t="str">
        <f>IF(Inventory_List_Table341115109111317181416[[#This Row],[Q]]&lt;0.1, " ",Inventory_List_Table341115109111317181416[[#This Row],[AQ USD]])</f>
        <v xml:space="preserve"> </v>
      </c>
      <c r="X7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5" s="30" t="str">
        <f>IF(Inventory_List_Table341115109111317181416[[#This Row],[Q]]&lt;0.1, " ",Inventory_List_Table341115109111317181416[[#This Row],[PRICE]]/Z75*10000)</f>
        <v xml:space="preserve"> </v>
      </c>
      <c r="AB75" s="379"/>
      <c r="AC75" s="1"/>
      <c r="AD75" s="1"/>
    </row>
    <row r="76" spans="1:30" ht="24" customHeight="1" x14ac:dyDescent="0.3">
      <c r="A76" s="373">
        <v>74</v>
      </c>
      <c r="B76" s="1"/>
      <c r="C76" s="375"/>
      <c r="D76" s="375"/>
      <c r="E76" s="375"/>
      <c r="F76" s="38" t="str">
        <f>IF(Inventory_List_Table341115109111317181416[[#This Row],[Q]]&lt;0.1, " ",#REF!&amp;$D$1&amp;#REF!&amp;Inventory_List_Table341115109111317181416[[#This Row],[NOTES]])</f>
        <v xml:space="preserve"> </v>
      </c>
      <c r="G76" s="376"/>
      <c r="H76" s="376"/>
      <c r="I76" s="376"/>
      <c r="J76" s="376"/>
      <c r="K76" s="376"/>
      <c r="L76" s="378"/>
      <c r="M7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6" s="35" t="str">
        <f>IF(Inventory_List_Table341115109111317181416[[#This Row],[Q]]&lt;0.1, " ", Inventory_List_Table341115109111317181416[[#This Row],[KG]]*2.20462)</f>
        <v xml:space="preserve"> </v>
      </c>
      <c r="O76" s="35" t="str">
        <f>IF(Inventory_List_Table341115109111317181416[[#This Row],[Q]]&lt;0.1, " ",Inventory_List_Table341115109111317181416[[#This Row],[H CM]]/2.54)</f>
        <v xml:space="preserve"> </v>
      </c>
      <c r="P76" s="35" t="str">
        <f>IF(Inventory_List_Table341115109111317181416[[#This Row],[Q]]&lt;0.1, " ",Inventory_List_Table341115109111317181416[[#This Row],[W CM]]/2.54)</f>
        <v xml:space="preserve"> </v>
      </c>
      <c r="Q76" s="35" t="str">
        <f>IF(Inventory_List_Table341115109111317181416[[#This Row],[Q]]&lt;0.1, " ",Inventory_List_Table341115109111317181416[[#This Row],[D CM ]]/2.54)</f>
        <v xml:space="preserve"> </v>
      </c>
      <c r="R76" s="30" t="str">
        <f>IF(Inventory_List_Table341115109111317181416[[#This Row],[Q]]&lt;0.1, " ",Inventory_List_Table341115109111317181416[[#This Row],[PRICE]]/$L$1)</f>
        <v xml:space="preserve"> </v>
      </c>
      <c r="S7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6" s="30" t="str">
        <f>IF(Inventory_List_Table341115109111317181416[[#This Row],[Q]]&lt;0.1, " ",Inventory_List_Table341115109111317181416[[#This Row],[AQ RND USD]]*1.4)</f>
        <v xml:space="preserve"> </v>
      </c>
      <c r="U7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6" s="30" t="str">
        <f>IF(Inventory_List_Table341115109111317181416[[#This Row],[Q]]&lt;0.1, " ",Inventory_List_Table341115109111317181416[[#This Row],[LND RND USD]]*12)</f>
        <v xml:space="preserve"> </v>
      </c>
      <c r="W76" s="30" t="str">
        <f>IF(Inventory_List_Table341115109111317181416[[#This Row],[Q]]&lt;0.1, " ",Inventory_List_Table341115109111317181416[[#This Row],[AQ USD]])</f>
        <v xml:space="preserve"> </v>
      </c>
      <c r="X7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6" s="30" t="str">
        <f>IF(Inventory_List_Table341115109111317181416[[#This Row],[Q]]&lt;0.1, " ",Inventory_List_Table341115109111317181416[[#This Row],[PRICE]]/Z76*10000)</f>
        <v xml:space="preserve"> </v>
      </c>
      <c r="AB76" s="379"/>
      <c r="AC76" s="1"/>
      <c r="AD76" s="1"/>
    </row>
    <row r="77" spans="1:30" ht="24" customHeight="1" x14ac:dyDescent="0.3">
      <c r="A77" s="373">
        <v>75</v>
      </c>
      <c r="B77" s="1"/>
      <c r="C77" s="375"/>
      <c r="D77" s="375"/>
      <c r="E77" s="375"/>
      <c r="F77" s="38" t="str">
        <f>IF(Inventory_List_Table341115109111317181416[[#This Row],[Q]]&lt;0.1, " ",#REF!&amp;$D$1&amp;#REF!&amp;Inventory_List_Table341115109111317181416[[#This Row],[NOTES]])</f>
        <v xml:space="preserve"> </v>
      </c>
      <c r="G77" s="376"/>
      <c r="H77" s="376"/>
      <c r="I77" s="376"/>
      <c r="J77" s="376"/>
      <c r="K77" s="376"/>
      <c r="L77" s="378"/>
      <c r="M7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7" s="35" t="str">
        <f>IF(Inventory_List_Table341115109111317181416[[#This Row],[Q]]&lt;0.1, " ", Inventory_List_Table341115109111317181416[[#This Row],[KG]]*2.20462)</f>
        <v xml:space="preserve"> </v>
      </c>
      <c r="O77" s="35" t="str">
        <f>IF(Inventory_List_Table341115109111317181416[[#This Row],[Q]]&lt;0.1, " ",Inventory_List_Table341115109111317181416[[#This Row],[H CM]]/2.54)</f>
        <v xml:space="preserve"> </v>
      </c>
      <c r="P77" s="35" t="str">
        <f>IF(Inventory_List_Table341115109111317181416[[#This Row],[Q]]&lt;0.1, " ",Inventory_List_Table341115109111317181416[[#This Row],[W CM]]/2.54)</f>
        <v xml:space="preserve"> </v>
      </c>
      <c r="Q77" s="35" t="str">
        <f>IF(Inventory_List_Table341115109111317181416[[#This Row],[Q]]&lt;0.1, " ",Inventory_List_Table341115109111317181416[[#This Row],[D CM ]]/2.54)</f>
        <v xml:space="preserve"> </v>
      </c>
      <c r="R77" s="30" t="str">
        <f>IF(Inventory_List_Table341115109111317181416[[#This Row],[Q]]&lt;0.1, " ",Inventory_List_Table341115109111317181416[[#This Row],[PRICE]]/$L$1)</f>
        <v xml:space="preserve"> </v>
      </c>
      <c r="S7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7" s="30" t="str">
        <f>IF(Inventory_List_Table341115109111317181416[[#This Row],[Q]]&lt;0.1, " ",Inventory_List_Table341115109111317181416[[#This Row],[AQ RND USD]]*1.4)</f>
        <v xml:space="preserve"> </v>
      </c>
      <c r="U7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7" s="30" t="str">
        <f>IF(Inventory_List_Table341115109111317181416[[#This Row],[Q]]&lt;0.1, " ",Inventory_List_Table341115109111317181416[[#This Row],[LND RND USD]]*12)</f>
        <v xml:space="preserve"> </v>
      </c>
      <c r="W77" s="30" t="str">
        <f>IF(Inventory_List_Table341115109111317181416[[#This Row],[Q]]&lt;0.1, " ",Inventory_List_Table341115109111317181416[[#This Row],[AQ USD]])</f>
        <v xml:space="preserve"> </v>
      </c>
      <c r="X7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7" s="30" t="str">
        <f>IF(Inventory_List_Table341115109111317181416[[#This Row],[Q]]&lt;0.1, " ",Inventory_List_Table341115109111317181416[[#This Row],[PRICE]]/Z77*10000)</f>
        <v xml:space="preserve"> </v>
      </c>
      <c r="AB77" s="379"/>
      <c r="AC77" s="1"/>
      <c r="AD77" s="1"/>
    </row>
    <row r="78" spans="1:30" ht="24" customHeight="1" x14ac:dyDescent="0.3">
      <c r="A78" s="373">
        <v>76</v>
      </c>
      <c r="B78" s="1"/>
      <c r="C78" s="375"/>
      <c r="D78" s="375"/>
      <c r="E78" s="375"/>
      <c r="F78" s="38" t="str">
        <f>IF(Inventory_List_Table341115109111317181416[[#This Row],[Q]]&lt;0.1, " ",#REF!&amp;$D$1&amp;#REF!&amp;Inventory_List_Table341115109111317181416[[#This Row],[NOTES]])</f>
        <v xml:space="preserve"> </v>
      </c>
      <c r="G78" s="376"/>
      <c r="H78" s="376"/>
      <c r="I78" s="376"/>
      <c r="J78" s="376"/>
      <c r="K78" s="376"/>
      <c r="L78" s="378"/>
      <c r="M7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8" s="35" t="str">
        <f>IF(Inventory_List_Table341115109111317181416[[#This Row],[Q]]&lt;0.1, " ", Inventory_List_Table341115109111317181416[[#This Row],[KG]]*2.20462)</f>
        <v xml:space="preserve"> </v>
      </c>
      <c r="O78" s="35" t="str">
        <f>IF(Inventory_List_Table341115109111317181416[[#This Row],[Q]]&lt;0.1, " ",Inventory_List_Table341115109111317181416[[#This Row],[H CM]]/2.54)</f>
        <v xml:space="preserve"> </v>
      </c>
      <c r="P78" s="35" t="str">
        <f>IF(Inventory_List_Table341115109111317181416[[#This Row],[Q]]&lt;0.1, " ",Inventory_List_Table341115109111317181416[[#This Row],[W CM]]/2.54)</f>
        <v xml:space="preserve"> </v>
      </c>
      <c r="Q78" s="35" t="str">
        <f>IF(Inventory_List_Table341115109111317181416[[#This Row],[Q]]&lt;0.1, " ",Inventory_List_Table341115109111317181416[[#This Row],[D CM ]]/2.54)</f>
        <v xml:space="preserve"> </v>
      </c>
      <c r="R78" s="30" t="str">
        <f>IF(Inventory_List_Table341115109111317181416[[#This Row],[Q]]&lt;0.1, " ",Inventory_List_Table341115109111317181416[[#This Row],[PRICE]]/$L$1)</f>
        <v xml:space="preserve"> </v>
      </c>
      <c r="S7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8" s="30" t="str">
        <f>IF(Inventory_List_Table341115109111317181416[[#This Row],[Q]]&lt;0.1, " ",Inventory_List_Table341115109111317181416[[#This Row],[AQ RND USD]]*1.4)</f>
        <v xml:space="preserve"> </v>
      </c>
      <c r="U7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8" s="30" t="str">
        <f>IF(Inventory_List_Table341115109111317181416[[#This Row],[Q]]&lt;0.1, " ",Inventory_List_Table341115109111317181416[[#This Row],[LND RND USD]]*12)</f>
        <v xml:space="preserve"> </v>
      </c>
      <c r="W78" s="30" t="str">
        <f>IF(Inventory_List_Table341115109111317181416[[#This Row],[Q]]&lt;0.1, " ",Inventory_List_Table341115109111317181416[[#This Row],[AQ USD]])</f>
        <v xml:space="preserve"> </v>
      </c>
      <c r="X7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8" s="30" t="str">
        <f>IF(Inventory_List_Table341115109111317181416[[#This Row],[Q]]&lt;0.1, " ",Inventory_List_Table341115109111317181416[[#This Row],[PRICE]]/Z78*10000)</f>
        <v xml:space="preserve"> </v>
      </c>
      <c r="AB78" s="379"/>
      <c r="AC78" s="1"/>
      <c r="AD78" s="1"/>
    </row>
    <row r="79" spans="1:30" ht="24" customHeight="1" x14ac:dyDescent="0.3">
      <c r="A79" s="373">
        <v>77</v>
      </c>
      <c r="B79" s="1"/>
      <c r="C79" s="375"/>
      <c r="D79" s="375"/>
      <c r="E79" s="375"/>
      <c r="F79" s="38" t="str">
        <f>IF(Inventory_List_Table341115109111317181416[[#This Row],[Q]]&lt;0.1, " ",#REF!&amp;$D$1&amp;#REF!&amp;Inventory_List_Table341115109111317181416[[#This Row],[NOTES]])</f>
        <v xml:space="preserve"> </v>
      </c>
      <c r="G79" s="376"/>
      <c r="H79" s="376"/>
      <c r="I79" s="376"/>
      <c r="J79" s="376"/>
      <c r="K79" s="376"/>
      <c r="L79" s="378"/>
      <c r="M7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79" s="35" t="str">
        <f>IF(Inventory_List_Table341115109111317181416[[#This Row],[Q]]&lt;0.1, " ", Inventory_List_Table341115109111317181416[[#This Row],[KG]]*2.20462)</f>
        <v xml:space="preserve"> </v>
      </c>
      <c r="O79" s="35" t="str">
        <f>IF(Inventory_List_Table341115109111317181416[[#This Row],[Q]]&lt;0.1, " ",Inventory_List_Table341115109111317181416[[#This Row],[H CM]]/2.54)</f>
        <v xml:space="preserve"> </v>
      </c>
      <c r="P79" s="35" t="str">
        <f>IF(Inventory_List_Table341115109111317181416[[#This Row],[Q]]&lt;0.1, " ",Inventory_List_Table341115109111317181416[[#This Row],[W CM]]/2.54)</f>
        <v xml:space="preserve"> </v>
      </c>
      <c r="Q79" s="35" t="str">
        <f>IF(Inventory_List_Table341115109111317181416[[#This Row],[Q]]&lt;0.1, " ",Inventory_List_Table341115109111317181416[[#This Row],[D CM ]]/2.54)</f>
        <v xml:space="preserve"> </v>
      </c>
      <c r="R79" s="30" t="str">
        <f>IF(Inventory_List_Table341115109111317181416[[#This Row],[Q]]&lt;0.1, " ",Inventory_List_Table341115109111317181416[[#This Row],[PRICE]]/$L$1)</f>
        <v xml:space="preserve"> </v>
      </c>
      <c r="S7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79" s="30" t="str">
        <f>IF(Inventory_List_Table341115109111317181416[[#This Row],[Q]]&lt;0.1, " ",Inventory_List_Table341115109111317181416[[#This Row],[AQ RND USD]]*1.4)</f>
        <v xml:space="preserve"> </v>
      </c>
      <c r="U7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79" s="30" t="str">
        <f>IF(Inventory_List_Table341115109111317181416[[#This Row],[Q]]&lt;0.1, " ",Inventory_List_Table341115109111317181416[[#This Row],[LND RND USD]]*12)</f>
        <v xml:space="preserve"> </v>
      </c>
      <c r="W79" s="30" t="str">
        <f>IF(Inventory_List_Table341115109111317181416[[#This Row],[Q]]&lt;0.1, " ",Inventory_List_Table341115109111317181416[[#This Row],[AQ USD]])</f>
        <v xml:space="preserve"> </v>
      </c>
      <c r="X7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7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7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79" s="30" t="str">
        <f>IF(Inventory_List_Table341115109111317181416[[#This Row],[Q]]&lt;0.1, " ",Inventory_List_Table341115109111317181416[[#This Row],[PRICE]]/Z79*10000)</f>
        <v xml:space="preserve"> </v>
      </c>
      <c r="AB79" s="379"/>
      <c r="AC79" s="1"/>
      <c r="AD79" s="1"/>
    </row>
    <row r="80" spans="1:30" ht="24" customHeight="1" x14ac:dyDescent="0.3">
      <c r="A80" s="373">
        <v>78</v>
      </c>
      <c r="B80" s="1"/>
      <c r="C80" s="375"/>
      <c r="D80" s="375"/>
      <c r="E80" s="375"/>
      <c r="F80" s="38" t="str">
        <f>IF(Inventory_List_Table341115109111317181416[[#This Row],[Q]]&lt;0.1, " ",#REF!&amp;$D$1&amp;#REF!&amp;Inventory_List_Table341115109111317181416[[#This Row],[NOTES]])</f>
        <v xml:space="preserve"> </v>
      </c>
      <c r="G80" s="376"/>
      <c r="H80" s="376"/>
      <c r="I80" s="376"/>
      <c r="J80" s="376"/>
      <c r="K80" s="376"/>
      <c r="L80" s="378"/>
      <c r="M8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0" s="35" t="str">
        <f>IF(Inventory_List_Table341115109111317181416[[#This Row],[Q]]&lt;0.1, " ", Inventory_List_Table341115109111317181416[[#This Row],[KG]]*2.20462)</f>
        <v xml:space="preserve"> </v>
      </c>
      <c r="O80" s="35" t="str">
        <f>IF(Inventory_List_Table341115109111317181416[[#This Row],[Q]]&lt;0.1, " ",Inventory_List_Table341115109111317181416[[#This Row],[H CM]]/2.54)</f>
        <v xml:space="preserve"> </v>
      </c>
      <c r="P80" s="35" t="str">
        <f>IF(Inventory_List_Table341115109111317181416[[#This Row],[Q]]&lt;0.1, " ",Inventory_List_Table341115109111317181416[[#This Row],[W CM]]/2.54)</f>
        <v xml:space="preserve"> </v>
      </c>
      <c r="Q80" s="35" t="str">
        <f>IF(Inventory_List_Table341115109111317181416[[#This Row],[Q]]&lt;0.1, " ",Inventory_List_Table341115109111317181416[[#This Row],[D CM ]]/2.54)</f>
        <v xml:space="preserve"> </v>
      </c>
      <c r="R80" s="30" t="str">
        <f>IF(Inventory_List_Table341115109111317181416[[#This Row],[Q]]&lt;0.1, " ",Inventory_List_Table341115109111317181416[[#This Row],[PRICE]]/$L$1)</f>
        <v xml:space="preserve"> </v>
      </c>
      <c r="S8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0" s="30" t="str">
        <f>IF(Inventory_List_Table341115109111317181416[[#This Row],[Q]]&lt;0.1, " ",Inventory_List_Table341115109111317181416[[#This Row],[AQ RND USD]]*1.4)</f>
        <v xml:space="preserve"> </v>
      </c>
      <c r="U8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0" s="30" t="str">
        <f>IF(Inventory_List_Table341115109111317181416[[#This Row],[Q]]&lt;0.1, " ",Inventory_List_Table341115109111317181416[[#This Row],[LND RND USD]]*12)</f>
        <v xml:space="preserve"> </v>
      </c>
      <c r="W80" s="30" t="str">
        <f>IF(Inventory_List_Table341115109111317181416[[#This Row],[Q]]&lt;0.1, " ",Inventory_List_Table341115109111317181416[[#This Row],[AQ USD]])</f>
        <v xml:space="preserve"> </v>
      </c>
      <c r="X8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0" s="30" t="str">
        <f>IF(Inventory_List_Table341115109111317181416[[#This Row],[Q]]&lt;0.1, " ",Inventory_List_Table341115109111317181416[[#This Row],[PRICE]]/Z80*10000)</f>
        <v xml:space="preserve"> </v>
      </c>
      <c r="AB80" s="379"/>
      <c r="AC80" s="1"/>
      <c r="AD80" s="1"/>
    </row>
    <row r="81" spans="1:30" ht="24" customHeight="1" x14ac:dyDescent="0.3">
      <c r="A81" s="373">
        <v>79</v>
      </c>
      <c r="B81" s="1"/>
      <c r="C81" s="375"/>
      <c r="D81" s="375"/>
      <c r="E81" s="375"/>
      <c r="F81" s="38" t="str">
        <f>IF(Inventory_List_Table341115109111317181416[[#This Row],[Q]]&lt;0.1, " ",#REF!&amp;$D$1&amp;#REF!&amp;Inventory_List_Table341115109111317181416[[#This Row],[NOTES]])</f>
        <v xml:space="preserve"> </v>
      </c>
      <c r="G81" s="376"/>
      <c r="H81" s="376"/>
      <c r="I81" s="376"/>
      <c r="J81" s="376"/>
      <c r="K81" s="376"/>
      <c r="L81" s="378"/>
      <c r="M8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1" s="35" t="str">
        <f>IF(Inventory_List_Table341115109111317181416[[#This Row],[Q]]&lt;0.1, " ", Inventory_List_Table341115109111317181416[[#This Row],[KG]]*2.20462)</f>
        <v xml:space="preserve"> </v>
      </c>
      <c r="O81" s="35" t="str">
        <f>IF(Inventory_List_Table341115109111317181416[[#This Row],[Q]]&lt;0.1, " ",Inventory_List_Table341115109111317181416[[#This Row],[H CM]]/2.54)</f>
        <v xml:space="preserve"> </v>
      </c>
      <c r="P81" s="35" t="str">
        <f>IF(Inventory_List_Table341115109111317181416[[#This Row],[Q]]&lt;0.1, " ",Inventory_List_Table341115109111317181416[[#This Row],[W CM]]/2.54)</f>
        <v xml:space="preserve"> </v>
      </c>
      <c r="Q81" s="35" t="str">
        <f>IF(Inventory_List_Table341115109111317181416[[#This Row],[Q]]&lt;0.1, " ",Inventory_List_Table341115109111317181416[[#This Row],[D CM ]]/2.54)</f>
        <v xml:space="preserve"> </v>
      </c>
      <c r="R81" s="30" t="str">
        <f>IF(Inventory_List_Table341115109111317181416[[#This Row],[Q]]&lt;0.1, " ",Inventory_List_Table341115109111317181416[[#This Row],[PRICE]]/$L$1)</f>
        <v xml:space="preserve"> </v>
      </c>
      <c r="S8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1" s="30" t="str">
        <f>IF(Inventory_List_Table341115109111317181416[[#This Row],[Q]]&lt;0.1, " ",Inventory_List_Table341115109111317181416[[#This Row],[AQ RND USD]]*1.4)</f>
        <v xml:space="preserve"> </v>
      </c>
      <c r="U8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1" s="30" t="str">
        <f>IF(Inventory_List_Table341115109111317181416[[#This Row],[Q]]&lt;0.1, " ",Inventory_List_Table341115109111317181416[[#This Row],[LND RND USD]]*12)</f>
        <v xml:space="preserve"> </v>
      </c>
      <c r="W81" s="30" t="str">
        <f>IF(Inventory_List_Table341115109111317181416[[#This Row],[Q]]&lt;0.1, " ",Inventory_List_Table341115109111317181416[[#This Row],[AQ USD]])</f>
        <v xml:space="preserve"> </v>
      </c>
      <c r="X8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1" s="30" t="str">
        <f>IF(Inventory_List_Table341115109111317181416[[#This Row],[Q]]&lt;0.1, " ",Inventory_List_Table341115109111317181416[[#This Row],[PRICE]]/Z81*10000)</f>
        <v xml:space="preserve"> </v>
      </c>
      <c r="AB81" s="379"/>
      <c r="AC81" s="1"/>
      <c r="AD81" s="1"/>
    </row>
    <row r="82" spans="1:30" ht="24" customHeight="1" x14ac:dyDescent="0.3">
      <c r="A82" s="373">
        <v>80</v>
      </c>
      <c r="B82" s="1"/>
      <c r="C82" s="375"/>
      <c r="D82" s="375"/>
      <c r="E82" s="375"/>
      <c r="F82" s="38" t="str">
        <f>IF(Inventory_List_Table341115109111317181416[[#This Row],[Q]]&lt;0.1, " ",#REF!&amp;$D$1&amp;#REF!&amp;Inventory_List_Table341115109111317181416[[#This Row],[NOTES]])</f>
        <v xml:space="preserve"> </v>
      </c>
      <c r="G82" s="376"/>
      <c r="H82" s="376"/>
      <c r="I82" s="376"/>
      <c r="J82" s="376"/>
      <c r="K82" s="376"/>
      <c r="L82" s="378"/>
      <c r="M8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2" s="35" t="str">
        <f>IF(Inventory_List_Table341115109111317181416[[#This Row],[Q]]&lt;0.1, " ", Inventory_List_Table341115109111317181416[[#This Row],[KG]]*2.20462)</f>
        <v xml:space="preserve"> </v>
      </c>
      <c r="O82" s="35" t="str">
        <f>IF(Inventory_List_Table341115109111317181416[[#This Row],[Q]]&lt;0.1, " ",Inventory_List_Table341115109111317181416[[#This Row],[H CM]]/2.54)</f>
        <v xml:space="preserve"> </v>
      </c>
      <c r="P82" s="35" t="str">
        <f>IF(Inventory_List_Table341115109111317181416[[#This Row],[Q]]&lt;0.1, " ",Inventory_List_Table341115109111317181416[[#This Row],[W CM]]/2.54)</f>
        <v xml:space="preserve"> </v>
      </c>
      <c r="Q82" s="35" t="str">
        <f>IF(Inventory_List_Table341115109111317181416[[#This Row],[Q]]&lt;0.1, " ",Inventory_List_Table341115109111317181416[[#This Row],[D CM ]]/2.54)</f>
        <v xml:space="preserve"> </v>
      </c>
      <c r="R82" s="30" t="str">
        <f>IF(Inventory_List_Table341115109111317181416[[#This Row],[Q]]&lt;0.1, " ",Inventory_List_Table341115109111317181416[[#This Row],[PRICE]]/$L$1)</f>
        <v xml:space="preserve"> </v>
      </c>
      <c r="S8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2" s="30" t="str">
        <f>IF(Inventory_List_Table341115109111317181416[[#This Row],[Q]]&lt;0.1, " ",Inventory_List_Table341115109111317181416[[#This Row],[AQ RND USD]]*1.4)</f>
        <v xml:space="preserve"> </v>
      </c>
      <c r="U8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2" s="30" t="str">
        <f>IF(Inventory_List_Table341115109111317181416[[#This Row],[Q]]&lt;0.1, " ",Inventory_List_Table341115109111317181416[[#This Row],[LND RND USD]]*12)</f>
        <v xml:space="preserve"> </v>
      </c>
      <c r="W82" s="30" t="str">
        <f>IF(Inventory_List_Table341115109111317181416[[#This Row],[Q]]&lt;0.1, " ",Inventory_List_Table341115109111317181416[[#This Row],[AQ USD]])</f>
        <v xml:space="preserve"> </v>
      </c>
      <c r="X8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2" s="30" t="str">
        <f>IF(Inventory_List_Table341115109111317181416[[#This Row],[Q]]&lt;0.1, " ",Inventory_List_Table341115109111317181416[[#This Row],[PRICE]]/Z82*10000)</f>
        <v xml:space="preserve"> </v>
      </c>
      <c r="AB82" s="379"/>
      <c r="AC82" s="1"/>
      <c r="AD82" s="1"/>
    </row>
    <row r="83" spans="1:30" ht="24" customHeight="1" x14ac:dyDescent="0.3">
      <c r="A83" s="373">
        <v>81</v>
      </c>
      <c r="B83" s="1"/>
      <c r="C83" s="375"/>
      <c r="D83" s="375"/>
      <c r="E83" s="375"/>
      <c r="F83" s="38" t="str">
        <f>IF(Inventory_List_Table341115109111317181416[[#This Row],[Q]]&lt;0.1, " ",#REF!&amp;$D$1&amp;#REF!&amp;Inventory_List_Table341115109111317181416[[#This Row],[NOTES]])</f>
        <v xml:space="preserve"> </v>
      </c>
      <c r="G83" s="376"/>
      <c r="H83" s="376"/>
      <c r="I83" s="376"/>
      <c r="J83" s="376"/>
      <c r="K83" s="376"/>
      <c r="L83" s="378"/>
      <c r="M8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3" s="35" t="str">
        <f>IF(Inventory_List_Table341115109111317181416[[#This Row],[Q]]&lt;0.1, " ", Inventory_List_Table341115109111317181416[[#This Row],[KG]]*2.20462)</f>
        <v xml:space="preserve"> </v>
      </c>
      <c r="O83" s="35" t="str">
        <f>IF(Inventory_List_Table341115109111317181416[[#This Row],[Q]]&lt;0.1, " ",Inventory_List_Table341115109111317181416[[#This Row],[H CM]]/2.54)</f>
        <v xml:space="preserve"> </v>
      </c>
      <c r="P83" s="35" t="str">
        <f>IF(Inventory_List_Table341115109111317181416[[#This Row],[Q]]&lt;0.1, " ",Inventory_List_Table341115109111317181416[[#This Row],[W CM]]/2.54)</f>
        <v xml:space="preserve"> </v>
      </c>
      <c r="Q83" s="35" t="str">
        <f>IF(Inventory_List_Table341115109111317181416[[#This Row],[Q]]&lt;0.1, " ",Inventory_List_Table341115109111317181416[[#This Row],[D CM ]]/2.54)</f>
        <v xml:space="preserve"> </v>
      </c>
      <c r="R83" s="30" t="str">
        <f>IF(Inventory_List_Table341115109111317181416[[#This Row],[Q]]&lt;0.1, " ",Inventory_List_Table341115109111317181416[[#This Row],[PRICE]]/$L$1)</f>
        <v xml:space="preserve"> </v>
      </c>
      <c r="S8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3" s="30" t="str">
        <f>IF(Inventory_List_Table341115109111317181416[[#This Row],[Q]]&lt;0.1, " ",Inventory_List_Table341115109111317181416[[#This Row],[AQ RND USD]]*1.4)</f>
        <v xml:space="preserve"> </v>
      </c>
      <c r="U8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3" s="30" t="str">
        <f>IF(Inventory_List_Table341115109111317181416[[#This Row],[Q]]&lt;0.1, " ",Inventory_List_Table341115109111317181416[[#This Row],[LND RND USD]]*12)</f>
        <v xml:space="preserve"> </v>
      </c>
      <c r="W83" s="30" t="str">
        <f>IF(Inventory_List_Table341115109111317181416[[#This Row],[Q]]&lt;0.1, " ",Inventory_List_Table341115109111317181416[[#This Row],[AQ USD]])</f>
        <v xml:space="preserve"> </v>
      </c>
      <c r="X8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3" s="30" t="str">
        <f>IF(Inventory_List_Table341115109111317181416[[#This Row],[Q]]&lt;0.1, " ",Inventory_List_Table341115109111317181416[[#This Row],[PRICE]]/Z83*10000)</f>
        <v xml:space="preserve"> </v>
      </c>
      <c r="AB83" s="379"/>
      <c r="AC83" s="1"/>
      <c r="AD83" s="1"/>
    </row>
    <row r="84" spans="1:30" ht="24" customHeight="1" x14ac:dyDescent="0.3">
      <c r="A84" s="373">
        <v>82</v>
      </c>
      <c r="B84" s="1"/>
      <c r="C84" s="375"/>
      <c r="D84" s="375"/>
      <c r="E84" s="375"/>
      <c r="F84" s="38" t="str">
        <f>IF(Inventory_List_Table341115109111317181416[[#This Row],[Q]]&lt;0.1, " ",#REF!&amp;$D$1&amp;#REF!&amp;Inventory_List_Table341115109111317181416[[#This Row],[NOTES]])</f>
        <v xml:space="preserve"> </v>
      </c>
      <c r="G84" s="376"/>
      <c r="H84" s="376"/>
      <c r="I84" s="376"/>
      <c r="J84" s="376"/>
      <c r="K84" s="376"/>
      <c r="L84" s="378"/>
      <c r="M8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4" s="35" t="str">
        <f>IF(Inventory_List_Table341115109111317181416[[#This Row],[Q]]&lt;0.1, " ", Inventory_List_Table341115109111317181416[[#This Row],[KG]]*2.20462)</f>
        <v xml:space="preserve"> </v>
      </c>
      <c r="O84" s="35" t="str">
        <f>IF(Inventory_List_Table341115109111317181416[[#This Row],[Q]]&lt;0.1, " ",Inventory_List_Table341115109111317181416[[#This Row],[H CM]]/2.54)</f>
        <v xml:space="preserve"> </v>
      </c>
      <c r="P84" s="35" t="str">
        <f>IF(Inventory_List_Table341115109111317181416[[#This Row],[Q]]&lt;0.1, " ",Inventory_List_Table341115109111317181416[[#This Row],[W CM]]/2.54)</f>
        <v xml:space="preserve"> </v>
      </c>
      <c r="Q84" s="35" t="str">
        <f>IF(Inventory_List_Table341115109111317181416[[#This Row],[Q]]&lt;0.1, " ",Inventory_List_Table341115109111317181416[[#This Row],[D CM ]]/2.54)</f>
        <v xml:space="preserve"> </v>
      </c>
      <c r="R84" s="30" t="str">
        <f>IF(Inventory_List_Table341115109111317181416[[#This Row],[Q]]&lt;0.1, " ",Inventory_List_Table341115109111317181416[[#This Row],[PRICE]]/$L$1)</f>
        <v xml:space="preserve"> </v>
      </c>
      <c r="S8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4" s="30" t="str">
        <f>IF(Inventory_List_Table341115109111317181416[[#This Row],[Q]]&lt;0.1, " ",Inventory_List_Table341115109111317181416[[#This Row],[AQ RND USD]]*1.4)</f>
        <v xml:space="preserve"> </v>
      </c>
      <c r="U8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4" s="30" t="str">
        <f>IF(Inventory_List_Table341115109111317181416[[#This Row],[Q]]&lt;0.1, " ",Inventory_List_Table341115109111317181416[[#This Row],[LND RND USD]]*12)</f>
        <v xml:space="preserve"> </v>
      </c>
      <c r="W84" s="30" t="str">
        <f>IF(Inventory_List_Table341115109111317181416[[#This Row],[Q]]&lt;0.1, " ",Inventory_List_Table341115109111317181416[[#This Row],[AQ USD]])</f>
        <v xml:space="preserve"> </v>
      </c>
      <c r="X8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4" s="30" t="str">
        <f>IF(Inventory_List_Table341115109111317181416[[#This Row],[Q]]&lt;0.1, " ",Inventory_List_Table341115109111317181416[[#This Row],[PRICE]]/Z84*10000)</f>
        <v xml:space="preserve"> </v>
      </c>
      <c r="AB84" s="379"/>
      <c r="AC84" s="1"/>
      <c r="AD84" s="1"/>
    </row>
    <row r="85" spans="1:30" ht="24" customHeight="1" x14ac:dyDescent="0.3">
      <c r="A85" s="373">
        <v>83</v>
      </c>
      <c r="B85" s="1"/>
      <c r="C85" s="375"/>
      <c r="D85" s="375"/>
      <c r="E85" s="375"/>
      <c r="F85" s="38" t="str">
        <f>IF(Inventory_List_Table341115109111317181416[[#This Row],[Q]]&lt;0.1, " ",#REF!&amp;$D$1&amp;#REF!&amp;Inventory_List_Table341115109111317181416[[#This Row],[NOTES]])</f>
        <v xml:space="preserve"> </v>
      </c>
      <c r="G85" s="376"/>
      <c r="H85" s="376"/>
      <c r="I85" s="376"/>
      <c r="J85" s="376"/>
      <c r="K85" s="376"/>
      <c r="L85" s="378"/>
      <c r="M8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5" s="35" t="str">
        <f>IF(Inventory_List_Table341115109111317181416[[#This Row],[Q]]&lt;0.1, " ", Inventory_List_Table341115109111317181416[[#This Row],[KG]]*2.20462)</f>
        <v xml:space="preserve"> </v>
      </c>
      <c r="O85" s="35" t="str">
        <f>IF(Inventory_List_Table341115109111317181416[[#This Row],[Q]]&lt;0.1, " ",Inventory_List_Table341115109111317181416[[#This Row],[H CM]]/2.54)</f>
        <v xml:space="preserve"> </v>
      </c>
      <c r="P85" s="35" t="str">
        <f>IF(Inventory_List_Table341115109111317181416[[#This Row],[Q]]&lt;0.1, " ",Inventory_List_Table341115109111317181416[[#This Row],[W CM]]/2.54)</f>
        <v xml:space="preserve"> </v>
      </c>
      <c r="Q85" s="35" t="str">
        <f>IF(Inventory_List_Table341115109111317181416[[#This Row],[Q]]&lt;0.1, " ",Inventory_List_Table341115109111317181416[[#This Row],[D CM ]]/2.54)</f>
        <v xml:space="preserve"> </v>
      </c>
      <c r="R85" s="30" t="str">
        <f>IF(Inventory_List_Table341115109111317181416[[#This Row],[Q]]&lt;0.1, " ",Inventory_List_Table341115109111317181416[[#This Row],[PRICE]]/$L$1)</f>
        <v xml:space="preserve"> </v>
      </c>
      <c r="S8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5" s="30" t="str">
        <f>IF(Inventory_List_Table341115109111317181416[[#This Row],[Q]]&lt;0.1, " ",Inventory_List_Table341115109111317181416[[#This Row],[AQ RND USD]]*1.4)</f>
        <v xml:space="preserve"> </v>
      </c>
      <c r="U8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5" s="30" t="str">
        <f>IF(Inventory_List_Table341115109111317181416[[#This Row],[Q]]&lt;0.1, " ",Inventory_List_Table341115109111317181416[[#This Row],[LND RND USD]]*12)</f>
        <v xml:space="preserve"> </v>
      </c>
      <c r="W85" s="30" t="str">
        <f>IF(Inventory_List_Table341115109111317181416[[#This Row],[Q]]&lt;0.1, " ",Inventory_List_Table341115109111317181416[[#This Row],[AQ USD]])</f>
        <v xml:space="preserve"> </v>
      </c>
      <c r="X8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5" s="30" t="str">
        <f>IF(Inventory_List_Table341115109111317181416[[#This Row],[Q]]&lt;0.1, " ",Inventory_List_Table341115109111317181416[[#This Row],[PRICE]]/Z85*10000)</f>
        <v xml:space="preserve"> </v>
      </c>
      <c r="AB85" s="379"/>
      <c r="AC85" s="1"/>
      <c r="AD85" s="1"/>
    </row>
    <row r="86" spans="1:30" ht="24" customHeight="1" x14ac:dyDescent="0.3">
      <c r="A86" s="373">
        <v>84</v>
      </c>
      <c r="B86" s="1"/>
      <c r="C86" s="375"/>
      <c r="D86" s="375"/>
      <c r="E86" s="375"/>
      <c r="F86" s="38" t="str">
        <f>IF(Inventory_List_Table341115109111317181416[[#This Row],[Q]]&lt;0.1, " ",#REF!&amp;$D$1&amp;#REF!&amp;Inventory_List_Table341115109111317181416[[#This Row],[NOTES]])</f>
        <v xml:space="preserve"> </v>
      </c>
      <c r="G86" s="376"/>
      <c r="H86" s="376"/>
      <c r="I86" s="376"/>
      <c r="J86" s="376"/>
      <c r="K86" s="376"/>
      <c r="L86" s="378"/>
      <c r="M8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6" s="35" t="str">
        <f>IF(Inventory_List_Table341115109111317181416[[#This Row],[Q]]&lt;0.1, " ", Inventory_List_Table341115109111317181416[[#This Row],[KG]]*2.20462)</f>
        <v xml:space="preserve"> </v>
      </c>
      <c r="O86" s="35" t="str">
        <f>IF(Inventory_List_Table341115109111317181416[[#This Row],[Q]]&lt;0.1, " ",Inventory_List_Table341115109111317181416[[#This Row],[H CM]]/2.54)</f>
        <v xml:space="preserve"> </v>
      </c>
      <c r="P86" s="35" t="str">
        <f>IF(Inventory_List_Table341115109111317181416[[#This Row],[Q]]&lt;0.1, " ",Inventory_List_Table341115109111317181416[[#This Row],[W CM]]/2.54)</f>
        <v xml:space="preserve"> </v>
      </c>
      <c r="Q86" s="35" t="str">
        <f>IF(Inventory_List_Table341115109111317181416[[#This Row],[Q]]&lt;0.1, " ",Inventory_List_Table341115109111317181416[[#This Row],[D CM ]]/2.54)</f>
        <v xml:space="preserve"> </v>
      </c>
      <c r="R86" s="30" t="str">
        <f>IF(Inventory_List_Table341115109111317181416[[#This Row],[Q]]&lt;0.1, " ",Inventory_List_Table341115109111317181416[[#This Row],[PRICE]]/$L$1)</f>
        <v xml:space="preserve"> </v>
      </c>
      <c r="S8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6" s="30" t="str">
        <f>IF(Inventory_List_Table341115109111317181416[[#This Row],[Q]]&lt;0.1, " ",Inventory_List_Table341115109111317181416[[#This Row],[AQ RND USD]]*1.4)</f>
        <v xml:space="preserve"> </v>
      </c>
      <c r="U8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6" s="30" t="str">
        <f>IF(Inventory_List_Table341115109111317181416[[#This Row],[Q]]&lt;0.1, " ",Inventory_List_Table341115109111317181416[[#This Row],[LND RND USD]]*12)</f>
        <v xml:space="preserve"> </v>
      </c>
      <c r="W86" s="30" t="str">
        <f>IF(Inventory_List_Table341115109111317181416[[#This Row],[Q]]&lt;0.1, " ",Inventory_List_Table341115109111317181416[[#This Row],[AQ USD]])</f>
        <v xml:space="preserve"> </v>
      </c>
      <c r="X8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6" s="30" t="str">
        <f>IF(Inventory_List_Table341115109111317181416[[#This Row],[Q]]&lt;0.1, " ",Inventory_List_Table341115109111317181416[[#This Row],[PRICE]]/Z86*10000)</f>
        <v xml:space="preserve"> </v>
      </c>
      <c r="AB86" s="379"/>
      <c r="AC86" s="1"/>
      <c r="AD86" s="1"/>
    </row>
    <row r="87" spans="1:30" ht="24" customHeight="1" x14ac:dyDescent="0.3">
      <c r="A87" s="373">
        <v>85</v>
      </c>
      <c r="B87" s="1"/>
      <c r="C87" s="375"/>
      <c r="D87" s="375"/>
      <c r="E87" s="375"/>
      <c r="F87" s="38" t="str">
        <f>IF(Inventory_List_Table341115109111317181416[[#This Row],[Q]]&lt;0.1, " ",#REF!&amp;$D$1&amp;#REF!&amp;Inventory_List_Table341115109111317181416[[#This Row],[NOTES]])</f>
        <v xml:space="preserve"> </v>
      </c>
      <c r="G87" s="376"/>
      <c r="H87" s="376"/>
      <c r="I87" s="376"/>
      <c r="J87" s="376"/>
      <c r="K87" s="376"/>
      <c r="L87" s="378"/>
      <c r="M8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7" s="35" t="str">
        <f>IF(Inventory_List_Table341115109111317181416[[#This Row],[Q]]&lt;0.1, " ", Inventory_List_Table341115109111317181416[[#This Row],[KG]]*2.20462)</f>
        <v xml:space="preserve"> </v>
      </c>
      <c r="O87" s="35" t="str">
        <f>IF(Inventory_List_Table341115109111317181416[[#This Row],[Q]]&lt;0.1, " ",Inventory_List_Table341115109111317181416[[#This Row],[H CM]]/2.54)</f>
        <v xml:space="preserve"> </v>
      </c>
      <c r="P87" s="35" t="str">
        <f>IF(Inventory_List_Table341115109111317181416[[#This Row],[Q]]&lt;0.1, " ",Inventory_List_Table341115109111317181416[[#This Row],[W CM]]/2.54)</f>
        <v xml:space="preserve"> </v>
      </c>
      <c r="Q87" s="35" t="str">
        <f>IF(Inventory_List_Table341115109111317181416[[#This Row],[Q]]&lt;0.1, " ",Inventory_List_Table341115109111317181416[[#This Row],[D CM ]]/2.54)</f>
        <v xml:space="preserve"> </v>
      </c>
      <c r="R87" s="30" t="str">
        <f>IF(Inventory_List_Table341115109111317181416[[#This Row],[Q]]&lt;0.1, " ",Inventory_List_Table341115109111317181416[[#This Row],[PRICE]]/$L$1)</f>
        <v xml:space="preserve"> </v>
      </c>
      <c r="S8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7" s="30" t="str">
        <f>IF(Inventory_List_Table341115109111317181416[[#This Row],[Q]]&lt;0.1, " ",Inventory_List_Table341115109111317181416[[#This Row],[AQ RND USD]]*1.4)</f>
        <v xml:space="preserve"> </v>
      </c>
      <c r="U8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7" s="30" t="str">
        <f>IF(Inventory_List_Table341115109111317181416[[#This Row],[Q]]&lt;0.1, " ",Inventory_List_Table341115109111317181416[[#This Row],[LND RND USD]]*12)</f>
        <v xml:space="preserve"> </v>
      </c>
      <c r="W87" s="30" t="str">
        <f>IF(Inventory_List_Table341115109111317181416[[#This Row],[Q]]&lt;0.1, " ",Inventory_List_Table341115109111317181416[[#This Row],[AQ USD]])</f>
        <v xml:space="preserve"> </v>
      </c>
      <c r="X8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7" s="30" t="str">
        <f>IF(Inventory_List_Table341115109111317181416[[#This Row],[Q]]&lt;0.1, " ",Inventory_List_Table341115109111317181416[[#This Row],[PRICE]]/Z87*10000)</f>
        <v xml:space="preserve"> </v>
      </c>
      <c r="AB87" s="379"/>
      <c r="AC87" s="1"/>
      <c r="AD87" s="1"/>
    </row>
    <row r="88" spans="1:30" ht="24" customHeight="1" x14ac:dyDescent="0.3">
      <c r="A88" s="373">
        <v>86</v>
      </c>
      <c r="B88" s="1"/>
      <c r="C88" s="375"/>
      <c r="D88" s="375"/>
      <c r="E88" s="375"/>
      <c r="F88" s="38" t="str">
        <f>IF(Inventory_List_Table341115109111317181416[[#This Row],[Q]]&lt;0.1, " ",#REF!&amp;$D$1&amp;#REF!&amp;Inventory_List_Table341115109111317181416[[#This Row],[NOTES]])</f>
        <v xml:space="preserve"> </v>
      </c>
      <c r="G88" s="376"/>
      <c r="H88" s="376"/>
      <c r="I88" s="376"/>
      <c r="J88" s="376"/>
      <c r="K88" s="376"/>
      <c r="L88" s="378"/>
      <c r="M8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8" s="35" t="str">
        <f>IF(Inventory_List_Table341115109111317181416[[#This Row],[Q]]&lt;0.1, " ", Inventory_List_Table341115109111317181416[[#This Row],[KG]]*2.20462)</f>
        <v xml:space="preserve"> </v>
      </c>
      <c r="O88" s="35" t="str">
        <f>IF(Inventory_List_Table341115109111317181416[[#This Row],[Q]]&lt;0.1, " ",Inventory_List_Table341115109111317181416[[#This Row],[H CM]]/2.54)</f>
        <v xml:space="preserve"> </v>
      </c>
      <c r="P88" s="35" t="str">
        <f>IF(Inventory_List_Table341115109111317181416[[#This Row],[Q]]&lt;0.1, " ",Inventory_List_Table341115109111317181416[[#This Row],[W CM]]/2.54)</f>
        <v xml:space="preserve"> </v>
      </c>
      <c r="Q88" s="35" t="str">
        <f>IF(Inventory_List_Table341115109111317181416[[#This Row],[Q]]&lt;0.1, " ",Inventory_List_Table341115109111317181416[[#This Row],[D CM ]]/2.54)</f>
        <v xml:space="preserve"> </v>
      </c>
      <c r="R88" s="30" t="str">
        <f>IF(Inventory_List_Table341115109111317181416[[#This Row],[Q]]&lt;0.1, " ",Inventory_List_Table341115109111317181416[[#This Row],[PRICE]]/$L$1)</f>
        <v xml:space="preserve"> </v>
      </c>
      <c r="S8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8" s="30" t="str">
        <f>IF(Inventory_List_Table341115109111317181416[[#This Row],[Q]]&lt;0.1, " ",Inventory_List_Table341115109111317181416[[#This Row],[AQ RND USD]]*1.4)</f>
        <v xml:space="preserve"> </v>
      </c>
      <c r="U8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8" s="30" t="str">
        <f>IF(Inventory_List_Table341115109111317181416[[#This Row],[Q]]&lt;0.1, " ",Inventory_List_Table341115109111317181416[[#This Row],[LND RND USD]]*12)</f>
        <v xml:space="preserve"> </v>
      </c>
      <c r="W88" s="30" t="str">
        <f>IF(Inventory_List_Table341115109111317181416[[#This Row],[Q]]&lt;0.1, " ",Inventory_List_Table341115109111317181416[[#This Row],[AQ USD]])</f>
        <v xml:space="preserve"> </v>
      </c>
      <c r="X8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8" s="30" t="str">
        <f>IF(Inventory_List_Table341115109111317181416[[#This Row],[Q]]&lt;0.1, " ",Inventory_List_Table341115109111317181416[[#This Row],[PRICE]]/Z88*10000)</f>
        <v xml:space="preserve"> </v>
      </c>
      <c r="AB88" s="379"/>
      <c r="AC88" s="1"/>
      <c r="AD88" s="1"/>
    </row>
    <row r="89" spans="1:30" ht="24" customHeight="1" x14ac:dyDescent="0.3">
      <c r="A89" s="373">
        <v>87</v>
      </c>
      <c r="B89" s="1"/>
      <c r="C89" s="375"/>
      <c r="D89" s="375"/>
      <c r="E89" s="375"/>
      <c r="F89" s="38" t="str">
        <f>IF(Inventory_List_Table341115109111317181416[[#This Row],[Q]]&lt;0.1, " ",#REF!&amp;$D$1&amp;#REF!&amp;Inventory_List_Table341115109111317181416[[#This Row],[NOTES]])</f>
        <v xml:space="preserve"> </v>
      </c>
      <c r="G89" s="376"/>
      <c r="H89" s="376"/>
      <c r="I89" s="376"/>
      <c r="J89" s="376"/>
      <c r="K89" s="376"/>
      <c r="L89" s="378"/>
      <c r="M8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89" s="35" t="str">
        <f>IF(Inventory_List_Table341115109111317181416[[#This Row],[Q]]&lt;0.1, " ", Inventory_List_Table341115109111317181416[[#This Row],[KG]]*2.20462)</f>
        <v xml:space="preserve"> </v>
      </c>
      <c r="O89" s="35" t="str">
        <f>IF(Inventory_List_Table341115109111317181416[[#This Row],[Q]]&lt;0.1, " ",Inventory_List_Table341115109111317181416[[#This Row],[H CM]]/2.54)</f>
        <v xml:space="preserve"> </v>
      </c>
      <c r="P89" s="35" t="str">
        <f>IF(Inventory_List_Table341115109111317181416[[#This Row],[Q]]&lt;0.1, " ",Inventory_List_Table341115109111317181416[[#This Row],[W CM]]/2.54)</f>
        <v xml:space="preserve"> </v>
      </c>
      <c r="Q89" s="35" t="str">
        <f>IF(Inventory_List_Table341115109111317181416[[#This Row],[Q]]&lt;0.1, " ",Inventory_List_Table341115109111317181416[[#This Row],[D CM ]]/2.54)</f>
        <v xml:space="preserve"> </v>
      </c>
      <c r="R89" s="30" t="str">
        <f>IF(Inventory_List_Table341115109111317181416[[#This Row],[Q]]&lt;0.1, " ",Inventory_List_Table341115109111317181416[[#This Row],[PRICE]]/$L$1)</f>
        <v xml:space="preserve"> </v>
      </c>
      <c r="S8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89" s="30" t="str">
        <f>IF(Inventory_List_Table341115109111317181416[[#This Row],[Q]]&lt;0.1, " ",Inventory_List_Table341115109111317181416[[#This Row],[AQ RND USD]]*1.4)</f>
        <v xml:space="preserve"> </v>
      </c>
      <c r="U8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89" s="30" t="str">
        <f>IF(Inventory_List_Table341115109111317181416[[#This Row],[Q]]&lt;0.1, " ",Inventory_List_Table341115109111317181416[[#This Row],[LND RND USD]]*12)</f>
        <v xml:space="preserve"> </v>
      </c>
      <c r="W89" s="30" t="str">
        <f>IF(Inventory_List_Table341115109111317181416[[#This Row],[Q]]&lt;0.1, " ",Inventory_List_Table341115109111317181416[[#This Row],[AQ USD]])</f>
        <v xml:space="preserve"> </v>
      </c>
      <c r="X8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8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8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89" s="30" t="str">
        <f>IF(Inventory_List_Table341115109111317181416[[#This Row],[Q]]&lt;0.1, " ",Inventory_List_Table341115109111317181416[[#This Row],[PRICE]]/Z89*10000)</f>
        <v xml:space="preserve"> </v>
      </c>
      <c r="AB89" s="379"/>
      <c r="AC89" s="1"/>
      <c r="AD89" s="1"/>
    </row>
    <row r="90" spans="1:30" ht="24" customHeight="1" x14ac:dyDescent="0.3">
      <c r="A90" s="373">
        <v>88</v>
      </c>
      <c r="B90" s="1"/>
      <c r="C90" s="375"/>
      <c r="D90" s="375"/>
      <c r="E90" s="375"/>
      <c r="F90" s="38" t="str">
        <f>IF(Inventory_List_Table341115109111317181416[[#This Row],[Q]]&lt;0.1, " ",#REF!&amp;$D$1&amp;#REF!&amp;Inventory_List_Table341115109111317181416[[#This Row],[NOTES]])</f>
        <v xml:space="preserve"> </v>
      </c>
      <c r="G90" s="376"/>
      <c r="H90" s="376"/>
      <c r="I90" s="376"/>
      <c r="J90" s="376"/>
      <c r="K90" s="376"/>
      <c r="L90" s="378"/>
      <c r="M9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0" s="35" t="str">
        <f>IF(Inventory_List_Table341115109111317181416[[#This Row],[Q]]&lt;0.1, " ", Inventory_List_Table341115109111317181416[[#This Row],[KG]]*2.20462)</f>
        <v xml:space="preserve"> </v>
      </c>
      <c r="O90" s="35" t="str">
        <f>IF(Inventory_List_Table341115109111317181416[[#This Row],[Q]]&lt;0.1, " ",Inventory_List_Table341115109111317181416[[#This Row],[H CM]]/2.54)</f>
        <v xml:space="preserve"> </v>
      </c>
      <c r="P90" s="35" t="str">
        <f>IF(Inventory_List_Table341115109111317181416[[#This Row],[Q]]&lt;0.1, " ",Inventory_List_Table341115109111317181416[[#This Row],[W CM]]/2.54)</f>
        <v xml:space="preserve"> </v>
      </c>
      <c r="Q90" s="35" t="str">
        <f>IF(Inventory_List_Table341115109111317181416[[#This Row],[Q]]&lt;0.1, " ",Inventory_List_Table341115109111317181416[[#This Row],[D CM ]]/2.54)</f>
        <v xml:space="preserve"> </v>
      </c>
      <c r="R90" s="30" t="str">
        <f>IF(Inventory_List_Table341115109111317181416[[#This Row],[Q]]&lt;0.1, " ",Inventory_List_Table341115109111317181416[[#This Row],[PRICE]]/$L$1)</f>
        <v xml:space="preserve"> </v>
      </c>
      <c r="S9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0" s="30" t="str">
        <f>IF(Inventory_List_Table341115109111317181416[[#This Row],[Q]]&lt;0.1, " ",Inventory_List_Table341115109111317181416[[#This Row],[AQ RND USD]]*1.4)</f>
        <v xml:space="preserve"> </v>
      </c>
      <c r="U9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0" s="30" t="str">
        <f>IF(Inventory_List_Table341115109111317181416[[#This Row],[Q]]&lt;0.1, " ",Inventory_List_Table341115109111317181416[[#This Row],[LND RND USD]]*12)</f>
        <v xml:space="preserve"> </v>
      </c>
      <c r="W90" s="30" t="str">
        <f>IF(Inventory_List_Table341115109111317181416[[#This Row],[Q]]&lt;0.1, " ",Inventory_List_Table341115109111317181416[[#This Row],[AQ USD]])</f>
        <v xml:space="preserve"> </v>
      </c>
      <c r="X9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0" s="30" t="str">
        <f>IF(Inventory_List_Table341115109111317181416[[#This Row],[Q]]&lt;0.1, " ",Inventory_List_Table341115109111317181416[[#This Row],[PRICE]]/Z90*10000)</f>
        <v xml:space="preserve"> </v>
      </c>
      <c r="AB90" s="379"/>
      <c r="AC90" s="1"/>
      <c r="AD90" s="1"/>
    </row>
    <row r="91" spans="1:30" ht="24" customHeight="1" x14ac:dyDescent="0.3">
      <c r="A91" s="373">
        <v>89</v>
      </c>
      <c r="B91" s="1"/>
      <c r="C91" s="375"/>
      <c r="D91" s="375"/>
      <c r="E91" s="375"/>
      <c r="F91" s="38" t="str">
        <f>IF(Inventory_List_Table341115109111317181416[[#This Row],[Q]]&lt;0.1, " ",#REF!&amp;$D$1&amp;#REF!&amp;Inventory_List_Table341115109111317181416[[#This Row],[NOTES]])</f>
        <v xml:space="preserve"> </v>
      </c>
      <c r="G91" s="376"/>
      <c r="H91" s="376"/>
      <c r="I91" s="376"/>
      <c r="J91" s="376"/>
      <c r="K91" s="376"/>
      <c r="L91" s="378"/>
      <c r="M9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1" s="35" t="str">
        <f>IF(Inventory_List_Table341115109111317181416[[#This Row],[Q]]&lt;0.1, " ", Inventory_List_Table341115109111317181416[[#This Row],[KG]]*2.20462)</f>
        <v xml:space="preserve"> </v>
      </c>
      <c r="O91" s="35" t="str">
        <f>IF(Inventory_List_Table341115109111317181416[[#This Row],[Q]]&lt;0.1, " ",Inventory_List_Table341115109111317181416[[#This Row],[H CM]]/2.54)</f>
        <v xml:space="preserve"> </v>
      </c>
      <c r="P91" s="35" t="str">
        <f>IF(Inventory_List_Table341115109111317181416[[#This Row],[Q]]&lt;0.1, " ",Inventory_List_Table341115109111317181416[[#This Row],[W CM]]/2.54)</f>
        <v xml:space="preserve"> </v>
      </c>
      <c r="Q91" s="35" t="str">
        <f>IF(Inventory_List_Table341115109111317181416[[#This Row],[Q]]&lt;0.1, " ",Inventory_List_Table341115109111317181416[[#This Row],[D CM ]]/2.54)</f>
        <v xml:space="preserve"> </v>
      </c>
      <c r="R91" s="30" t="str">
        <f>IF(Inventory_List_Table341115109111317181416[[#This Row],[Q]]&lt;0.1, " ",Inventory_List_Table341115109111317181416[[#This Row],[PRICE]]/$L$1)</f>
        <v xml:space="preserve"> </v>
      </c>
      <c r="S9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1" s="30" t="str">
        <f>IF(Inventory_List_Table341115109111317181416[[#This Row],[Q]]&lt;0.1, " ",Inventory_List_Table341115109111317181416[[#This Row],[AQ RND USD]]*1.4)</f>
        <v xml:space="preserve"> </v>
      </c>
      <c r="U9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1" s="30" t="str">
        <f>IF(Inventory_List_Table341115109111317181416[[#This Row],[Q]]&lt;0.1, " ",Inventory_List_Table341115109111317181416[[#This Row],[LND RND USD]]*12)</f>
        <v xml:space="preserve"> </v>
      </c>
      <c r="W91" s="30" t="str">
        <f>IF(Inventory_List_Table341115109111317181416[[#This Row],[Q]]&lt;0.1, " ",Inventory_List_Table341115109111317181416[[#This Row],[AQ USD]])</f>
        <v xml:space="preserve"> </v>
      </c>
      <c r="X9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1" s="30" t="str">
        <f>IF(Inventory_List_Table341115109111317181416[[#This Row],[Q]]&lt;0.1, " ",Inventory_List_Table341115109111317181416[[#This Row],[PRICE]]/Z91*10000)</f>
        <v xml:space="preserve"> </v>
      </c>
      <c r="AB91" s="379"/>
      <c r="AC91" s="1"/>
      <c r="AD91" s="1"/>
    </row>
    <row r="92" spans="1:30" ht="24" customHeight="1" x14ac:dyDescent="0.3">
      <c r="A92" s="373">
        <v>90</v>
      </c>
      <c r="B92" s="1"/>
      <c r="C92" s="375"/>
      <c r="D92" s="375"/>
      <c r="E92" s="375"/>
      <c r="F92" s="38" t="str">
        <f>IF(Inventory_List_Table341115109111317181416[[#This Row],[Q]]&lt;0.1, " ",#REF!&amp;$D$1&amp;#REF!&amp;Inventory_List_Table341115109111317181416[[#This Row],[NOTES]])</f>
        <v xml:space="preserve"> </v>
      </c>
      <c r="G92" s="376"/>
      <c r="H92" s="376"/>
      <c r="I92" s="376"/>
      <c r="J92" s="376"/>
      <c r="K92" s="376"/>
      <c r="L92" s="378"/>
      <c r="M9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2" s="35" t="str">
        <f>IF(Inventory_List_Table341115109111317181416[[#This Row],[Q]]&lt;0.1, " ", Inventory_List_Table341115109111317181416[[#This Row],[KG]]*2.20462)</f>
        <v xml:space="preserve"> </v>
      </c>
      <c r="O92" s="35" t="str">
        <f>IF(Inventory_List_Table341115109111317181416[[#This Row],[Q]]&lt;0.1, " ",Inventory_List_Table341115109111317181416[[#This Row],[H CM]]/2.54)</f>
        <v xml:space="preserve"> </v>
      </c>
      <c r="P92" s="35" t="str">
        <f>IF(Inventory_List_Table341115109111317181416[[#This Row],[Q]]&lt;0.1, " ",Inventory_List_Table341115109111317181416[[#This Row],[W CM]]/2.54)</f>
        <v xml:space="preserve"> </v>
      </c>
      <c r="Q92" s="35" t="str">
        <f>IF(Inventory_List_Table341115109111317181416[[#This Row],[Q]]&lt;0.1, " ",Inventory_List_Table341115109111317181416[[#This Row],[D CM ]]/2.54)</f>
        <v xml:space="preserve"> </v>
      </c>
      <c r="R92" s="30" t="str">
        <f>IF(Inventory_List_Table341115109111317181416[[#This Row],[Q]]&lt;0.1, " ",Inventory_List_Table341115109111317181416[[#This Row],[PRICE]]/$L$1)</f>
        <v xml:space="preserve"> </v>
      </c>
      <c r="S9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2" s="30" t="str">
        <f>IF(Inventory_List_Table341115109111317181416[[#This Row],[Q]]&lt;0.1, " ",Inventory_List_Table341115109111317181416[[#This Row],[AQ RND USD]]*1.4)</f>
        <v xml:space="preserve"> </v>
      </c>
      <c r="U9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2" s="30" t="str">
        <f>IF(Inventory_List_Table341115109111317181416[[#This Row],[Q]]&lt;0.1, " ",Inventory_List_Table341115109111317181416[[#This Row],[LND RND USD]]*12)</f>
        <v xml:space="preserve"> </v>
      </c>
      <c r="W92" s="30" t="str">
        <f>IF(Inventory_List_Table341115109111317181416[[#This Row],[Q]]&lt;0.1, " ",Inventory_List_Table341115109111317181416[[#This Row],[AQ USD]])</f>
        <v xml:space="preserve"> </v>
      </c>
      <c r="X9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2" s="30" t="str">
        <f>IF(Inventory_List_Table341115109111317181416[[#This Row],[Q]]&lt;0.1, " ",Inventory_List_Table341115109111317181416[[#This Row],[PRICE]]/Z92*10000)</f>
        <v xml:space="preserve"> </v>
      </c>
      <c r="AB92" s="379"/>
      <c r="AC92" s="1"/>
      <c r="AD92" s="1"/>
    </row>
    <row r="93" spans="1:30" ht="24" customHeight="1" x14ac:dyDescent="0.3">
      <c r="A93" s="373">
        <v>91</v>
      </c>
      <c r="B93" s="1"/>
      <c r="C93" s="375"/>
      <c r="D93" s="375"/>
      <c r="E93" s="375"/>
      <c r="F93" s="38" t="str">
        <f>IF(Inventory_List_Table341115109111317181416[[#This Row],[Q]]&lt;0.1, " ",#REF!&amp;$D$1&amp;#REF!&amp;Inventory_List_Table341115109111317181416[[#This Row],[NOTES]])</f>
        <v xml:space="preserve"> </v>
      </c>
      <c r="G93" s="376"/>
      <c r="H93" s="376"/>
      <c r="I93" s="376"/>
      <c r="J93" s="376"/>
      <c r="K93" s="376"/>
      <c r="L93" s="378"/>
      <c r="M93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3" s="35" t="str">
        <f>IF(Inventory_List_Table341115109111317181416[[#This Row],[Q]]&lt;0.1, " ", Inventory_List_Table341115109111317181416[[#This Row],[KG]]*2.20462)</f>
        <v xml:space="preserve"> </v>
      </c>
      <c r="O93" s="35" t="str">
        <f>IF(Inventory_List_Table341115109111317181416[[#This Row],[Q]]&lt;0.1, " ",Inventory_List_Table341115109111317181416[[#This Row],[H CM]]/2.54)</f>
        <v xml:space="preserve"> </v>
      </c>
      <c r="P93" s="35" t="str">
        <f>IF(Inventory_List_Table341115109111317181416[[#This Row],[Q]]&lt;0.1, " ",Inventory_List_Table341115109111317181416[[#This Row],[W CM]]/2.54)</f>
        <v xml:space="preserve"> </v>
      </c>
      <c r="Q93" s="35" t="str">
        <f>IF(Inventory_List_Table341115109111317181416[[#This Row],[Q]]&lt;0.1, " ",Inventory_List_Table341115109111317181416[[#This Row],[D CM ]]/2.54)</f>
        <v xml:space="preserve"> </v>
      </c>
      <c r="R93" s="30" t="str">
        <f>IF(Inventory_List_Table341115109111317181416[[#This Row],[Q]]&lt;0.1, " ",Inventory_List_Table341115109111317181416[[#This Row],[PRICE]]/$L$1)</f>
        <v xml:space="preserve"> </v>
      </c>
      <c r="S93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3" s="30" t="str">
        <f>IF(Inventory_List_Table341115109111317181416[[#This Row],[Q]]&lt;0.1, " ",Inventory_List_Table341115109111317181416[[#This Row],[AQ RND USD]]*1.4)</f>
        <v xml:space="preserve"> </v>
      </c>
      <c r="U93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3" s="30" t="str">
        <f>IF(Inventory_List_Table341115109111317181416[[#This Row],[Q]]&lt;0.1, " ",Inventory_List_Table341115109111317181416[[#This Row],[LND RND USD]]*12)</f>
        <v xml:space="preserve"> </v>
      </c>
      <c r="W93" s="30" t="str">
        <f>IF(Inventory_List_Table341115109111317181416[[#This Row],[Q]]&lt;0.1, " ",Inventory_List_Table341115109111317181416[[#This Row],[AQ USD]])</f>
        <v xml:space="preserve"> </v>
      </c>
      <c r="X93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3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3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3" s="30" t="str">
        <f>IF(Inventory_List_Table341115109111317181416[[#This Row],[Q]]&lt;0.1, " ",Inventory_List_Table341115109111317181416[[#This Row],[PRICE]]/Z93*10000)</f>
        <v xml:space="preserve"> </v>
      </c>
      <c r="AB93" s="379"/>
      <c r="AC93" s="1"/>
      <c r="AD93" s="1"/>
    </row>
    <row r="94" spans="1:30" ht="24" customHeight="1" x14ac:dyDescent="0.3">
      <c r="A94" s="373">
        <v>92</v>
      </c>
      <c r="B94" s="1"/>
      <c r="C94" s="375"/>
      <c r="D94" s="375"/>
      <c r="E94" s="375"/>
      <c r="F94" s="38" t="str">
        <f>IF(Inventory_List_Table341115109111317181416[[#This Row],[Q]]&lt;0.1, " ",#REF!&amp;$D$1&amp;#REF!&amp;Inventory_List_Table341115109111317181416[[#This Row],[NOTES]])</f>
        <v xml:space="preserve"> </v>
      </c>
      <c r="G94" s="376"/>
      <c r="H94" s="376"/>
      <c r="I94" s="376"/>
      <c r="J94" s="376"/>
      <c r="K94" s="376"/>
      <c r="L94" s="378"/>
      <c r="M94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4" s="35" t="str">
        <f>IF(Inventory_List_Table341115109111317181416[[#This Row],[Q]]&lt;0.1, " ", Inventory_List_Table341115109111317181416[[#This Row],[KG]]*2.20462)</f>
        <v xml:space="preserve"> </v>
      </c>
      <c r="O94" s="35" t="str">
        <f>IF(Inventory_List_Table341115109111317181416[[#This Row],[Q]]&lt;0.1, " ",Inventory_List_Table341115109111317181416[[#This Row],[H CM]]/2.54)</f>
        <v xml:space="preserve"> </v>
      </c>
      <c r="P94" s="35" t="str">
        <f>IF(Inventory_List_Table341115109111317181416[[#This Row],[Q]]&lt;0.1, " ",Inventory_List_Table341115109111317181416[[#This Row],[W CM]]/2.54)</f>
        <v xml:space="preserve"> </v>
      </c>
      <c r="Q94" s="35" t="str">
        <f>IF(Inventory_List_Table341115109111317181416[[#This Row],[Q]]&lt;0.1, " ",Inventory_List_Table341115109111317181416[[#This Row],[D CM ]]/2.54)</f>
        <v xml:space="preserve"> </v>
      </c>
      <c r="R94" s="30" t="str">
        <f>IF(Inventory_List_Table341115109111317181416[[#This Row],[Q]]&lt;0.1, " ",Inventory_List_Table341115109111317181416[[#This Row],[PRICE]]/$L$1)</f>
        <v xml:space="preserve"> </v>
      </c>
      <c r="S94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4" s="30" t="str">
        <f>IF(Inventory_List_Table341115109111317181416[[#This Row],[Q]]&lt;0.1, " ",Inventory_List_Table341115109111317181416[[#This Row],[AQ RND USD]]*1.4)</f>
        <v xml:space="preserve"> </v>
      </c>
      <c r="U94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4" s="30" t="str">
        <f>IF(Inventory_List_Table341115109111317181416[[#This Row],[Q]]&lt;0.1, " ",Inventory_List_Table341115109111317181416[[#This Row],[LND RND USD]]*12)</f>
        <v xml:space="preserve"> </v>
      </c>
      <c r="W94" s="30" t="str">
        <f>IF(Inventory_List_Table341115109111317181416[[#This Row],[Q]]&lt;0.1, " ",Inventory_List_Table341115109111317181416[[#This Row],[AQ USD]])</f>
        <v xml:space="preserve"> </v>
      </c>
      <c r="X94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4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4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4" s="30" t="str">
        <f>IF(Inventory_List_Table341115109111317181416[[#This Row],[Q]]&lt;0.1, " ",Inventory_List_Table341115109111317181416[[#This Row],[PRICE]]/Z94*10000)</f>
        <v xml:space="preserve"> </v>
      </c>
      <c r="AB94" s="379"/>
      <c r="AC94" s="1"/>
      <c r="AD94" s="1"/>
    </row>
    <row r="95" spans="1:30" ht="24" customHeight="1" x14ac:dyDescent="0.3">
      <c r="A95" s="373">
        <v>93</v>
      </c>
      <c r="B95" s="1"/>
      <c r="C95" s="375"/>
      <c r="D95" s="375"/>
      <c r="E95" s="375"/>
      <c r="F95" s="38" t="str">
        <f>IF(Inventory_List_Table341115109111317181416[[#This Row],[Q]]&lt;0.1, " ",#REF!&amp;$D$1&amp;#REF!&amp;Inventory_List_Table341115109111317181416[[#This Row],[NOTES]])</f>
        <v xml:space="preserve"> </v>
      </c>
      <c r="G95" s="376"/>
      <c r="H95" s="376"/>
      <c r="I95" s="376"/>
      <c r="J95" s="376"/>
      <c r="K95" s="376"/>
      <c r="L95" s="378"/>
      <c r="M95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5" s="35" t="str">
        <f>IF(Inventory_List_Table341115109111317181416[[#This Row],[Q]]&lt;0.1, " ", Inventory_List_Table341115109111317181416[[#This Row],[KG]]*2.20462)</f>
        <v xml:space="preserve"> </v>
      </c>
      <c r="O95" s="35" t="str">
        <f>IF(Inventory_List_Table341115109111317181416[[#This Row],[Q]]&lt;0.1, " ",Inventory_List_Table341115109111317181416[[#This Row],[H CM]]/2.54)</f>
        <v xml:space="preserve"> </v>
      </c>
      <c r="P95" s="35" t="str">
        <f>IF(Inventory_List_Table341115109111317181416[[#This Row],[Q]]&lt;0.1, " ",Inventory_List_Table341115109111317181416[[#This Row],[W CM]]/2.54)</f>
        <v xml:space="preserve"> </v>
      </c>
      <c r="Q95" s="35" t="str">
        <f>IF(Inventory_List_Table341115109111317181416[[#This Row],[Q]]&lt;0.1, " ",Inventory_List_Table341115109111317181416[[#This Row],[D CM ]]/2.54)</f>
        <v xml:space="preserve"> </v>
      </c>
      <c r="R95" s="30" t="str">
        <f>IF(Inventory_List_Table341115109111317181416[[#This Row],[Q]]&lt;0.1, " ",Inventory_List_Table341115109111317181416[[#This Row],[PRICE]]/$L$1)</f>
        <v xml:space="preserve"> </v>
      </c>
      <c r="S95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5" s="30" t="str">
        <f>IF(Inventory_List_Table341115109111317181416[[#This Row],[Q]]&lt;0.1, " ",Inventory_List_Table341115109111317181416[[#This Row],[AQ RND USD]]*1.4)</f>
        <v xml:space="preserve"> </v>
      </c>
      <c r="U95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5" s="30" t="str">
        <f>IF(Inventory_List_Table341115109111317181416[[#This Row],[Q]]&lt;0.1, " ",Inventory_List_Table341115109111317181416[[#This Row],[LND RND USD]]*12)</f>
        <v xml:space="preserve"> </v>
      </c>
      <c r="W95" s="30" t="str">
        <f>IF(Inventory_List_Table341115109111317181416[[#This Row],[Q]]&lt;0.1, " ",Inventory_List_Table341115109111317181416[[#This Row],[AQ USD]])</f>
        <v xml:space="preserve"> </v>
      </c>
      <c r="X95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5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5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5" s="30" t="str">
        <f>IF(Inventory_List_Table341115109111317181416[[#This Row],[Q]]&lt;0.1, " ",Inventory_List_Table341115109111317181416[[#This Row],[PRICE]]/Z95*10000)</f>
        <v xml:space="preserve"> </v>
      </c>
      <c r="AB95" s="379"/>
      <c r="AC95" s="1"/>
      <c r="AD95" s="1"/>
    </row>
    <row r="96" spans="1:30" ht="24" customHeight="1" x14ac:dyDescent="0.3">
      <c r="A96" s="373">
        <v>94</v>
      </c>
      <c r="B96" s="1"/>
      <c r="C96" s="375"/>
      <c r="D96" s="375"/>
      <c r="E96" s="375"/>
      <c r="F96" s="38" t="str">
        <f>IF(Inventory_List_Table341115109111317181416[[#This Row],[Q]]&lt;0.1, " ",#REF!&amp;$D$1&amp;#REF!&amp;Inventory_List_Table341115109111317181416[[#This Row],[NOTES]])</f>
        <v xml:space="preserve"> </v>
      </c>
      <c r="G96" s="376"/>
      <c r="H96" s="376"/>
      <c r="I96" s="376"/>
      <c r="J96" s="376"/>
      <c r="K96" s="376"/>
      <c r="L96" s="378"/>
      <c r="M96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6" s="35" t="str">
        <f>IF(Inventory_List_Table341115109111317181416[[#This Row],[Q]]&lt;0.1, " ", Inventory_List_Table341115109111317181416[[#This Row],[KG]]*2.20462)</f>
        <v xml:space="preserve"> </v>
      </c>
      <c r="O96" s="35" t="str">
        <f>IF(Inventory_List_Table341115109111317181416[[#This Row],[Q]]&lt;0.1, " ",Inventory_List_Table341115109111317181416[[#This Row],[H CM]]/2.54)</f>
        <v xml:space="preserve"> </v>
      </c>
      <c r="P96" s="35" t="str">
        <f>IF(Inventory_List_Table341115109111317181416[[#This Row],[Q]]&lt;0.1, " ",Inventory_List_Table341115109111317181416[[#This Row],[W CM]]/2.54)</f>
        <v xml:space="preserve"> </v>
      </c>
      <c r="Q96" s="35" t="str">
        <f>IF(Inventory_List_Table341115109111317181416[[#This Row],[Q]]&lt;0.1, " ",Inventory_List_Table341115109111317181416[[#This Row],[D CM ]]/2.54)</f>
        <v xml:space="preserve"> </v>
      </c>
      <c r="R96" s="30" t="str">
        <f>IF(Inventory_List_Table341115109111317181416[[#This Row],[Q]]&lt;0.1, " ",Inventory_List_Table341115109111317181416[[#This Row],[PRICE]]/$L$1)</f>
        <v xml:space="preserve"> </v>
      </c>
      <c r="S96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6" s="30" t="str">
        <f>IF(Inventory_List_Table341115109111317181416[[#This Row],[Q]]&lt;0.1, " ",Inventory_List_Table341115109111317181416[[#This Row],[AQ RND USD]]*1.4)</f>
        <v xml:space="preserve"> </v>
      </c>
      <c r="U96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6" s="30" t="str">
        <f>IF(Inventory_List_Table341115109111317181416[[#This Row],[Q]]&lt;0.1, " ",Inventory_List_Table341115109111317181416[[#This Row],[LND RND USD]]*12)</f>
        <v xml:space="preserve"> </v>
      </c>
      <c r="W96" s="30" t="str">
        <f>IF(Inventory_List_Table341115109111317181416[[#This Row],[Q]]&lt;0.1, " ",Inventory_List_Table341115109111317181416[[#This Row],[AQ USD]])</f>
        <v xml:space="preserve"> </v>
      </c>
      <c r="X96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6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6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6" s="30" t="str">
        <f>IF(Inventory_List_Table341115109111317181416[[#This Row],[Q]]&lt;0.1, " ",Inventory_List_Table341115109111317181416[[#This Row],[PRICE]]/Z96*10000)</f>
        <v xml:space="preserve"> </v>
      </c>
      <c r="AB96" s="379"/>
      <c r="AC96" s="1"/>
      <c r="AD96" s="1"/>
    </row>
    <row r="97" spans="1:30" ht="24" customHeight="1" x14ac:dyDescent="0.3">
      <c r="A97" s="373">
        <v>95</v>
      </c>
      <c r="B97" s="1"/>
      <c r="C97" s="375"/>
      <c r="D97" s="375"/>
      <c r="E97" s="375"/>
      <c r="F97" s="38" t="str">
        <f>IF(Inventory_List_Table341115109111317181416[[#This Row],[Q]]&lt;0.1, " ",#REF!&amp;$D$1&amp;#REF!&amp;Inventory_List_Table341115109111317181416[[#This Row],[NOTES]])</f>
        <v xml:space="preserve"> </v>
      </c>
      <c r="G97" s="376"/>
      <c r="H97" s="376"/>
      <c r="I97" s="376"/>
      <c r="J97" s="376"/>
      <c r="K97" s="376"/>
      <c r="L97" s="378"/>
      <c r="M97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7" s="35" t="str">
        <f>IF(Inventory_List_Table341115109111317181416[[#This Row],[Q]]&lt;0.1, " ", Inventory_List_Table341115109111317181416[[#This Row],[KG]]*2.20462)</f>
        <v xml:space="preserve"> </v>
      </c>
      <c r="O97" s="35" t="str">
        <f>IF(Inventory_List_Table341115109111317181416[[#This Row],[Q]]&lt;0.1, " ",Inventory_List_Table341115109111317181416[[#This Row],[H CM]]/2.54)</f>
        <v xml:space="preserve"> </v>
      </c>
      <c r="P97" s="35" t="str">
        <f>IF(Inventory_List_Table341115109111317181416[[#This Row],[Q]]&lt;0.1, " ",Inventory_List_Table341115109111317181416[[#This Row],[W CM]]/2.54)</f>
        <v xml:space="preserve"> </v>
      </c>
      <c r="Q97" s="35" t="str">
        <f>IF(Inventory_List_Table341115109111317181416[[#This Row],[Q]]&lt;0.1, " ",Inventory_List_Table341115109111317181416[[#This Row],[D CM ]]/2.54)</f>
        <v xml:space="preserve"> </v>
      </c>
      <c r="R97" s="30" t="str">
        <f>IF(Inventory_List_Table341115109111317181416[[#This Row],[Q]]&lt;0.1, " ",Inventory_List_Table341115109111317181416[[#This Row],[PRICE]]/$L$1)</f>
        <v xml:space="preserve"> </v>
      </c>
      <c r="S97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7" s="30" t="str">
        <f>IF(Inventory_List_Table341115109111317181416[[#This Row],[Q]]&lt;0.1, " ",Inventory_List_Table341115109111317181416[[#This Row],[AQ RND USD]]*1.4)</f>
        <v xml:space="preserve"> </v>
      </c>
      <c r="U97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7" s="30" t="str">
        <f>IF(Inventory_List_Table341115109111317181416[[#This Row],[Q]]&lt;0.1, " ",Inventory_List_Table341115109111317181416[[#This Row],[LND RND USD]]*12)</f>
        <v xml:space="preserve"> </v>
      </c>
      <c r="W97" s="30" t="str">
        <f>IF(Inventory_List_Table341115109111317181416[[#This Row],[Q]]&lt;0.1, " ",Inventory_List_Table341115109111317181416[[#This Row],[AQ USD]])</f>
        <v xml:space="preserve"> </v>
      </c>
      <c r="X97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7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7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7" s="30" t="str">
        <f>IF(Inventory_List_Table341115109111317181416[[#This Row],[Q]]&lt;0.1, " ",Inventory_List_Table341115109111317181416[[#This Row],[PRICE]]/Z97*10000)</f>
        <v xml:space="preserve"> </v>
      </c>
      <c r="AB97" s="379"/>
      <c r="AC97" s="1"/>
      <c r="AD97" s="1"/>
    </row>
    <row r="98" spans="1:30" ht="24" customHeight="1" x14ac:dyDescent="0.3">
      <c r="A98" s="373">
        <v>96</v>
      </c>
      <c r="B98" s="1"/>
      <c r="C98" s="375"/>
      <c r="D98" s="375"/>
      <c r="E98" s="375"/>
      <c r="F98" s="38" t="str">
        <f>IF(Inventory_List_Table341115109111317181416[[#This Row],[Q]]&lt;0.1, " ",#REF!&amp;$D$1&amp;#REF!&amp;Inventory_List_Table341115109111317181416[[#This Row],[NOTES]])</f>
        <v xml:space="preserve"> </v>
      </c>
      <c r="G98" s="376"/>
      <c r="H98" s="376"/>
      <c r="I98" s="376"/>
      <c r="J98" s="376"/>
      <c r="K98" s="376"/>
      <c r="L98" s="378"/>
      <c r="M98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8" s="35" t="str">
        <f>IF(Inventory_List_Table341115109111317181416[[#This Row],[Q]]&lt;0.1, " ", Inventory_List_Table341115109111317181416[[#This Row],[KG]]*2.20462)</f>
        <v xml:space="preserve"> </v>
      </c>
      <c r="O98" s="35" t="str">
        <f>IF(Inventory_List_Table341115109111317181416[[#This Row],[Q]]&lt;0.1, " ",Inventory_List_Table341115109111317181416[[#This Row],[H CM]]/2.54)</f>
        <v xml:space="preserve"> </v>
      </c>
      <c r="P98" s="35" t="str">
        <f>IF(Inventory_List_Table341115109111317181416[[#This Row],[Q]]&lt;0.1, " ",Inventory_List_Table341115109111317181416[[#This Row],[W CM]]/2.54)</f>
        <v xml:space="preserve"> </v>
      </c>
      <c r="Q98" s="35" t="str">
        <f>IF(Inventory_List_Table341115109111317181416[[#This Row],[Q]]&lt;0.1, " ",Inventory_List_Table341115109111317181416[[#This Row],[D CM ]]/2.54)</f>
        <v xml:space="preserve"> </v>
      </c>
      <c r="R98" s="30" t="str">
        <f>IF(Inventory_List_Table341115109111317181416[[#This Row],[Q]]&lt;0.1, " ",Inventory_List_Table341115109111317181416[[#This Row],[PRICE]]/$L$1)</f>
        <v xml:space="preserve"> </v>
      </c>
      <c r="S98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8" s="30" t="str">
        <f>IF(Inventory_List_Table341115109111317181416[[#This Row],[Q]]&lt;0.1, " ",Inventory_List_Table341115109111317181416[[#This Row],[AQ RND USD]]*1.4)</f>
        <v xml:space="preserve"> </v>
      </c>
      <c r="U98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8" s="30" t="str">
        <f>IF(Inventory_List_Table341115109111317181416[[#This Row],[Q]]&lt;0.1, " ",Inventory_List_Table341115109111317181416[[#This Row],[LND RND USD]]*12)</f>
        <v xml:space="preserve"> </v>
      </c>
      <c r="W98" s="30" t="str">
        <f>IF(Inventory_List_Table341115109111317181416[[#This Row],[Q]]&lt;0.1, " ",Inventory_List_Table341115109111317181416[[#This Row],[AQ USD]])</f>
        <v xml:space="preserve"> </v>
      </c>
      <c r="X98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8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8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8" s="30" t="str">
        <f>IF(Inventory_List_Table341115109111317181416[[#This Row],[Q]]&lt;0.1, " ",Inventory_List_Table341115109111317181416[[#This Row],[PRICE]]/Z98*10000)</f>
        <v xml:space="preserve"> </v>
      </c>
      <c r="AB98" s="379"/>
      <c r="AC98" s="1"/>
      <c r="AD98" s="1"/>
    </row>
    <row r="99" spans="1:30" ht="24" customHeight="1" x14ac:dyDescent="0.3">
      <c r="A99" s="373">
        <v>97</v>
      </c>
      <c r="B99" s="1"/>
      <c r="C99" s="375"/>
      <c r="D99" s="375"/>
      <c r="E99" s="375"/>
      <c r="F99" s="38" t="str">
        <f>IF(Inventory_List_Table341115109111317181416[[#This Row],[Q]]&lt;0.1, " ",#REF!&amp;$D$1&amp;#REF!&amp;Inventory_List_Table341115109111317181416[[#This Row],[NOTES]])</f>
        <v xml:space="preserve"> </v>
      </c>
      <c r="G99" s="376"/>
      <c r="H99" s="376"/>
      <c r="I99" s="376"/>
      <c r="J99" s="376"/>
      <c r="K99" s="376"/>
      <c r="L99" s="378"/>
      <c r="M99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99" s="35" t="str">
        <f>IF(Inventory_List_Table341115109111317181416[[#This Row],[Q]]&lt;0.1, " ", Inventory_List_Table341115109111317181416[[#This Row],[KG]]*2.20462)</f>
        <v xml:space="preserve"> </v>
      </c>
      <c r="O99" s="35" t="str">
        <f>IF(Inventory_List_Table341115109111317181416[[#This Row],[Q]]&lt;0.1, " ",Inventory_List_Table341115109111317181416[[#This Row],[H CM]]/2.54)</f>
        <v xml:space="preserve"> </v>
      </c>
      <c r="P99" s="35" t="str">
        <f>IF(Inventory_List_Table341115109111317181416[[#This Row],[Q]]&lt;0.1, " ",Inventory_List_Table341115109111317181416[[#This Row],[W CM]]/2.54)</f>
        <v xml:space="preserve"> </v>
      </c>
      <c r="Q99" s="35" t="str">
        <f>IF(Inventory_List_Table341115109111317181416[[#This Row],[Q]]&lt;0.1, " ",Inventory_List_Table341115109111317181416[[#This Row],[D CM ]]/2.54)</f>
        <v xml:space="preserve"> </v>
      </c>
      <c r="R99" s="30" t="str">
        <f>IF(Inventory_List_Table341115109111317181416[[#This Row],[Q]]&lt;0.1, " ",Inventory_List_Table341115109111317181416[[#This Row],[PRICE]]/$L$1)</f>
        <v xml:space="preserve"> </v>
      </c>
      <c r="S99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99" s="30" t="str">
        <f>IF(Inventory_List_Table341115109111317181416[[#This Row],[Q]]&lt;0.1, " ",Inventory_List_Table341115109111317181416[[#This Row],[AQ RND USD]]*1.4)</f>
        <v xml:space="preserve"> </v>
      </c>
      <c r="U99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99" s="30" t="str">
        <f>IF(Inventory_List_Table341115109111317181416[[#This Row],[Q]]&lt;0.1, " ",Inventory_List_Table341115109111317181416[[#This Row],[LND RND USD]]*12)</f>
        <v xml:space="preserve"> </v>
      </c>
      <c r="W99" s="30" t="str">
        <f>IF(Inventory_List_Table341115109111317181416[[#This Row],[Q]]&lt;0.1, " ",Inventory_List_Table341115109111317181416[[#This Row],[AQ USD]])</f>
        <v xml:space="preserve"> </v>
      </c>
      <c r="X99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99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99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99" s="30" t="str">
        <f>IF(Inventory_List_Table341115109111317181416[[#This Row],[Q]]&lt;0.1, " ",Inventory_List_Table341115109111317181416[[#This Row],[PRICE]]/Z99*10000)</f>
        <v xml:space="preserve"> </v>
      </c>
      <c r="AB99" s="379"/>
      <c r="AC99" s="1"/>
      <c r="AD99" s="1"/>
    </row>
    <row r="100" spans="1:30" ht="24" customHeight="1" x14ac:dyDescent="0.3">
      <c r="A100" s="373">
        <v>98</v>
      </c>
      <c r="B100" s="1"/>
      <c r="C100" s="375"/>
      <c r="D100" s="375"/>
      <c r="E100" s="375"/>
      <c r="F100" s="38" t="str">
        <f>IF(Inventory_List_Table341115109111317181416[[#This Row],[Q]]&lt;0.1, " ",#REF!&amp;$D$1&amp;#REF!&amp;Inventory_List_Table341115109111317181416[[#This Row],[NOTES]])</f>
        <v xml:space="preserve"> </v>
      </c>
      <c r="G100" s="376"/>
      <c r="H100" s="376"/>
      <c r="I100" s="376"/>
      <c r="J100" s="376"/>
      <c r="K100" s="376"/>
      <c r="L100" s="378"/>
      <c r="M100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00" s="35" t="str">
        <f>IF(Inventory_List_Table341115109111317181416[[#This Row],[Q]]&lt;0.1, " ", Inventory_List_Table341115109111317181416[[#This Row],[KG]]*2.20462)</f>
        <v xml:space="preserve"> </v>
      </c>
      <c r="O100" s="35" t="str">
        <f>IF(Inventory_List_Table341115109111317181416[[#This Row],[Q]]&lt;0.1, " ",Inventory_List_Table341115109111317181416[[#This Row],[H CM]]/2.54)</f>
        <v xml:space="preserve"> </v>
      </c>
      <c r="P100" s="35" t="str">
        <f>IF(Inventory_List_Table341115109111317181416[[#This Row],[Q]]&lt;0.1, " ",Inventory_List_Table341115109111317181416[[#This Row],[W CM]]/2.54)</f>
        <v xml:space="preserve"> </v>
      </c>
      <c r="Q100" s="35" t="str">
        <f>IF(Inventory_List_Table341115109111317181416[[#This Row],[Q]]&lt;0.1, " ",Inventory_List_Table341115109111317181416[[#This Row],[D CM ]]/2.54)</f>
        <v xml:space="preserve"> </v>
      </c>
      <c r="R100" s="30" t="str">
        <f>IF(Inventory_List_Table341115109111317181416[[#This Row],[Q]]&lt;0.1, " ",Inventory_List_Table341115109111317181416[[#This Row],[PRICE]]/$L$1)</f>
        <v xml:space="preserve"> </v>
      </c>
      <c r="S100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00" s="30" t="str">
        <f>IF(Inventory_List_Table341115109111317181416[[#This Row],[Q]]&lt;0.1, " ",Inventory_List_Table341115109111317181416[[#This Row],[AQ RND USD]]*1.4)</f>
        <v xml:space="preserve"> </v>
      </c>
      <c r="U100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00" s="30" t="str">
        <f>IF(Inventory_List_Table341115109111317181416[[#This Row],[Q]]&lt;0.1, " ",Inventory_List_Table341115109111317181416[[#This Row],[LND RND USD]]*12)</f>
        <v xml:space="preserve"> </v>
      </c>
      <c r="W100" s="30" t="str">
        <f>IF(Inventory_List_Table341115109111317181416[[#This Row],[Q]]&lt;0.1, " ",Inventory_List_Table341115109111317181416[[#This Row],[AQ USD]])</f>
        <v xml:space="preserve"> </v>
      </c>
      <c r="X100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00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00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00" s="30" t="str">
        <f>IF(Inventory_List_Table341115109111317181416[[#This Row],[Q]]&lt;0.1, " ",Inventory_List_Table341115109111317181416[[#This Row],[PRICE]]/Z100*10000)</f>
        <v xml:space="preserve"> </v>
      </c>
      <c r="AB100" s="379"/>
      <c r="AC100" s="1"/>
      <c r="AD100" s="1"/>
    </row>
    <row r="101" spans="1:30" ht="24" customHeight="1" x14ac:dyDescent="0.3">
      <c r="A101" s="373">
        <v>99</v>
      </c>
      <c r="B101" s="1"/>
      <c r="C101" s="375"/>
      <c r="D101" s="375"/>
      <c r="E101" s="375"/>
      <c r="F101" s="38" t="str">
        <f>IF(Inventory_List_Table341115109111317181416[[#This Row],[Q]]&lt;0.1, " ",#REF!&amp;$D$1&amp;#REF!&amp;Inventory_List_Table341115109111317181416[[#This Row],[NOTES]])</f>
        <v xml:space="preserve"> </v>
      </c>
      <c r="G101" s="376"/>
      <c r="H101" s="376"/>
      <c r="I101" s="376"/>
      <c r="J101" s="376"/>
      <c r="K101" s="376"/>
      <c r="L101" s="378"/>
      <c r="M101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01" s="35" t="str">
        <f>IF(Inventory_List_Table341115109111317181416[[#This Row],[Q]]&lt;0.1, " ", Inventory_List_Table341115109111317181416[[#This Row],[KG]]*2.20462)</f>
        <v xml:space="preserve"> </v>
      </c>
      <c r="O101" s="35" t="str">
        <f>IF(Inventory_List_Table341115109111317181416[[#This Row],[Q]]&lt;0.1, " ",Inventory_List_Table341115109111317181416[[#This Row],[H CM]]/2.54)</f>
        <v xml:space="preserve"> </v>
      </c>
      <c r="P101" s="35" t="str">
        <f>IF(Inventory_List_Table341115109111317181416[[#This Row],[Q]]&lt;0.1, " ",Inventory_List_Table341115109111317181416[[#This Row],[W CM]]/2.54)</f>
        <v xml:space="preserve"> </v>
      </c>
      <c r="Q101" s="35" t="str">
        <f>IF(Inventory_List_Table341115109111317181416[[#This Row],[Q]]&lt;0.1, " ",Inventory_List_Table341115109111317181416[[#This Row],[D CM ]]/2.54)</f>
        <v xml:space="preserve"> </v>
      </c>
      <c r="R101" s="30" t="str">
        <f>IF(Inventory_List_Table341115109111317181416[[#This Row],[Q]]&lt;0.1, " ",Inventory_List_Table341115109111317181416[[#This Row],[PRICE]]/$L$1)</f>
        <v xml:space="preserve"> </v>
      </c>
      <c r="S101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01" s="30" t="str">
        <f>IF(Inventory_List_Table341115109111317181416[[#This Row],[Q]]&lt;0.1, " ",Inventory_List_Table341115109111317181416[[#This Row],[AQ RND USD]]*1.4)</f>
        <v xml:space="preserve"> </v>
      </c>
      <c r="U101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01" s="30" t="str">
        <f>IF(Inventory_List_Table341115109111317181416[[#This Row],[Q]]&lt;0.1, " ",Inventory_List_Table341115109111317181416[[#This Row],[LND RND USD]]*12)</f>
        <v xml:space="preserve"> </v>
      </c>
      <c r="W101" s="30" t="str">
        <f>IF(Inventory_List_Table341115109111317181416[[#This Row],[Q]]&lt;0.1, " ",Inventory_List_Table341115109111317181416[[#This Row],[AQ USD]])</f>
        <v xml:space="preserve"> </v>
      </c>
      <c r="X101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01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01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01" s="30" t="str">
        <f>IF(Inventory_List_Table341115109111317181416[[#This Row],[Q]]&lt;0.1, " ",Inventory_List_Table341115109111317181416[[#This Row],[PRICE]]/Z101*10000)</f>
        <v xml:space="preserve"> </v>
      </c>
      <c r="AB101" s="379"/>
      <c r="AC101" s="1"/>
      <c r="AD101" s="1"/>
    </row>
    <row r="102" spans="1:30" ht="24" customHeight="1" x14ac:dyDescent="0.3">
      <c r="A102" s="373">
        <v>100</v>
      </c>
      <c r="B102" s="1"/>
      <c r="C102" s="375"/>
      <c r="D102" s="375"/>
      <c r="E102" s="375"/>
      <c r="F102" s="38" t="str">
        <f>IF(Inventory_List_Table341115109111317181416[[#This Row],[Q]]&lt;0.1, " ",#REF!&amp;$D$1&amp;#REF!&amp;Inventory_List_Table341115109111317181416[[#This Row],[NOTES]])</f>
        <v xml:space="preserve"> </v>
      </c>
      <c r="G102" s="376"/>
      <c r="H102" s="376"/>
      <c r="I102" s="376"/>
      <c r="J102" s="376"/>
      <c r="K102" s="376"/>
      <c r="L102" s="378"/>
      <c r="M102" s="30" t="str">
        <f>IF(Inventory_List_Table341115109111317181416[[#This Row],[Q]]&lt;0.1, " ", Inventory_List_Table341115109111317181416[[#This Row],[Q]]*Inventory_List_Table341115109111317181416[[#This Row],[PRICE]])</f>
        <v xml:space="preserve"> </v>
      </c>
      <c r="N102" s="35" t="str">
        <f>IF(Inventory_List_Table341115109111317181416[[#This Row],[Q]]&lt;0.1, " ", Inventory_List_Table341115109111317181416[[#This Row],[KG]]*2.20462)</f>
        <v xml:space="preserve"> </v>
      </c>
      <c r="O102" s="35" t="str">
        <f>IF(Inventory_List_Table341115109111317181416[[#This Row],[Q]]&lt;0.1, " ",Inventory_List_Table341115109111317181416[[#This Row],[H CM]]/2.54)</f>
        <v xml:space="preserve"> </v>
      </c>
      <c r="P102" s="35" t="str">
        <f>IF(Inventory_List_Table341115109111317181416[[#This Row],[Q]]&lt;0.1, " ",Inventory_List_Table341115109111317181416[[#This Row],[W CM]]/2.54)</f>
        <v xml:space="preserve"> </v>
      </c>
      <c r="Q102" s="35" t="str">
        <f>IF(Inventory_List_Table341115109111317181416[[#This Row],[Q]]&lt;0.1, " ",Inventory_List_Table341115109111317181416[[#This Row],[D CM ]]/2.54)</f>
        <v xml:space="preserve"> </v>
      </c>
      <c r="R102" s="30" t="str">
        <f>IF(Inventory_List_Table341115109111317181416[[#This Row],[Q]]&lt;0.1, " ",Inventory_List_Table341115109111317181416[[#This Row],[PRICE]]/$L$1)</f>
        <v xml:space="preserve"> </v>
      </c>
      <c r="S102" s="30" t="str">
        <f>IF(Inventory_List_Table341115109111317181416[[#This Row],[Q]]&lt;0.1, " ",IF(MOD(Inventory_List_Table341115109111317181416[[#This Row],[AQ USD]],1)&gt;0.4,ROUNDUP(Inventory_List_Table341115109111317181416[[#This Row],[AQ USD]],0),ROUNDDOWN(Inventory_List_Table341115109111317181416[[#This Row],[AQ USD]],0)))</f>
        <v xml:space="preserve"> </v>
      </c>
      <c r="T102" s="30" t="str">
        <f>IF(Inventory_List_Table341115109111317181416[[#This Row],[Q]]&lt;0.1, " ",Inventory_List_Table341115109111317181416[[#This Row],[AQ RND USD]]*1.4)</f>
        <v xml:space="preserve"> </v>
      </c>
      <c r="U102" s="30" t="str">
        <f>IF(Inventory_List_Table341115109111317181416[[#This Row],[Q]]&lt;0.1, " ",IF(MOD(Inventory_List_Table341115109111317181416[[#This Row],[LND USD]],1)&gt;0.4,ROUNDUP(Inventory_List_Table341115109111317181416[[#This Row],[LND USD]],0),ROUNDDOWN(Inventory_List_Table341115109111317181416[[#This Row],[LND USD]],0)))</f>
        <v xml:space="preserve"> </v>
      </c>
      <c r="V102" s="30" t="str">
        <f>IF(Inventory_List_Table341115109111317181416[[#This Row],[Q]]&lt;0.1, " ",Inventory_List_Table341115109111317181416[[#This Row],[LND RND USD]]*12)</f>
        <v xml:space="preserve"> </v>
      </c>
      <c r="W102" s="30" t="str">
        <f>IF(Inventory_List_Table341115109111317181416[[#This Row],[Q]]&lt;0.1, " ",Inventory_List_Table341115109111317181416[[#This Row],[AQ USD]])</f>
        <v xml:space="preserve"> </v>
      </c>
      <c r="X102" s="1" t="str">
        <f>IF(Inventory_List_Table341115109111317181416[[#This Row],[Q]]&lt;0.1, " ",SUBSTITUTE(SUBSTITUTE(SUBSTITUTE(SUBSTITUTE(SUBSTITUTE(SUBSTITUTE(SUBSTITUTE(SUBSTITUTE(SUBSTITUTE(SUBSTITUTE(Inventory_List_Table341115109111317181416[[#This Row],[AQ RND USD]], "1", "M"), "2", "O"), "3", "X"), "4", "H"), "5", "E"), "6", "L"), "7", "F"), "8", "A"), "9", "N"), "0", "D"))</f>
        <v xml:space="preserve"> </v>
      </c>
      <c r="Y102" s="1" t="str">
        <f>IF(Inventory_List_Table341115109111317181416[[#This Row],[Q]]&lt;0.1, " ",SUBSTITUTE(SUBSTITUTE(SUBSTITUTE(SUBSTITUTE(SUBSTITUTE(SUBSTITUTE(SUBSTITUTE(SUBSTITUTE(SUBSTITUTE(SUBSTITUTE(Inventory_List_Table341115109111317181416[[#This Row],[LND RND USD]], "1", "M"), "2", "O"), "3", "X"), "4", "H"), "5", "E"), "6", "L"), "7", "F"), "8", "A"), "9", "N"), "0", "D"))</f>
        <v xml:space="preserve"> </v>
      </c>
      <c r="Z102" s="1" t="str">
        <f>IF(Inventory_List_Table341115109111317181416[[#This Row],[Q]]&lt;0.1, " ",Inventory_List_Table341115109111317181416[[#This Row],[H CM]]*Inventory_List_Table341115109111317181416[[#This Row],[D CM ]]*4+Inventory_List_Table341115109111317181416[[#This Row],[W CM]]*Inventory_List_Table341115109111317181416[[#This Row],[D CM ]]/10000)</f>
        <v xml:space="preserve"> </v>
      </c>
      <c r="AA102" s="30" t="str">
        <f>IF(Inventory_List_Table341115109111317181416[[#This Row],[Q]]&lt;0.1, " ",Inventory_List_Table341115109111317181416[[#This Row],[PRICE]]/Z102*10000)</f>
        <v xml:space="preserve"> </v>
      </c>
      <c r="AB102" s="379"/>
      <c r="AC102" s="1"/>
      <c r="AD102" s="1"/>
    </row>
  </sheetData>
  <dataValidations count="12">
    <dataValidation allowBlank="1" showInputMessage="1" showErrorMessage="1" prompt="Enter a description of the item in this column" sqref="G2:G3" xr:uid="{9BE1B1A2-DCF2-408B-9FB0-44A8664EC954}"/>
    <dataValidation allowBlank="1" showInputMessage="1" showErrorMessage="1" prompt="Enter the unit price of each item in this column" sqref="H2:H3" xr:uid="{4E0359B1-6A69-4E63-960F-7888EE06616F}"/>
    <dataValidation allowBlank="1" showInputMessage="1" showErrorMessage="1" prompt="Enter the quantity in stock for each item in this column" sqref="I2:I3" xr:uid="{C37AE5DB-E423-4DC0-A393-DD4E60E68B97}"/>
    <dataValidation allowBlank="1" showInputMessage="1" showErrorMessage="1" prompt="This is an automated column._x000a__x000a_The inventory value for each item is automatically calculated in this column." sqref="J2:J3" xr:uid="{62BD7A93-7803-4231-9439-5B0E108732E5}"/>
    <dataValidation allowBlank="1" showInputMessage="1" showErrorMessage="1" prompt="Enter the reorder level for each item in this column" sqref="K2:K3" xr:uid="{2B4DDCB9-059C-4887-9C8B-24B0B70CC30F}"/>
    <dataValidation allowBlank="1" showInputMessage="1" showErrorMessage="1" prompt="Enter the number of days it takes to reorder each item in this column" sqref="L2:N3" xr:uid="{A958E6D3-F66D-414C-ABA4-6A64E387A19A}"/>
    <dataValidation allowBlank="1" showInputMessage="1" showErrorMessage="1" prompt="Enter the quantity in reorder for each item in this column" sqref="O2:O3" xr:uid="{7F934869-5BD6-4148-9BF4-BAD3348B8D1B}"/>
    <dataValidation allowBlank="1" showInputMessage="1" showErrorMessage="1" prompt="Enter yes if the item has been discontinued. When a yes is entered, the corresponding row is highlighted a light grey and the font style changed to strikethrough" sqref="P2:P3" xr:uid="{9C23804B-50EB-416C-BA28-E76DB7F782FB}"/>
    <dataValidation allowBlank="1" showInputMessage="1" showErrorMessage="1" prompt="Enter the name of the item in this column" sqref="F2:F3" xr:uid="{9C7BCFAE-357F-425B-9407-BE4EA49F68E8}"/>
    <dataValidation allowBlank="1" showInputMessage="1" showErrorMessage="1" prompt="Enter the item inventory ID in this column" sqref="E2:E3" xr:uid="{3D22F999-E67B-4DDE-A600-4802EA609498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BE36F726-79EB-4536-98DE-C3EECC4B2004}"/>
    <dataValidation allowBlank="1" showInputMessage="1" showErrorMessage="1" prompt="Enter company name in this cell" sqref="B1" xr:uid="{40B327ED-F853-419B-A607-EF017D7C336B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429C-1A23-485C-94D8-D929D2FE210F}">
  <sheetPr>
    <tabColor rgb="FFF36F21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29" bestFit="1" customWidth="1"/>
    <col min="2" max="2" width="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4.5" x14ac:dyDescent="0.25">
      <c r="A1" s="380" t="s">
        <v>130</v>
      </c>
      <c r="B1" s="384" t="s">
        <v>131</v>
      </c>
      <c r="C1" s="384" t="s">
        <v>17</v>
      </c>
      <c r="D1" s="384">
        <v>326</v>
      </c>
      <c r="E1" s="384"/>
      <c r="F1" s="384"/>
      <c r="G1" s="384"/>
      <c r="H1" s="384"/>
      <c r="I1" s="384"/>
      <c r="J1" s="387"/>
      <c r="K1" s="384" t="s">
        <v>18</v>
      </c>
      <c r="L1" s="388">
        <v>18</v>
      </c>
      <c r="M1" s="392">
        <f>SUM(Inventory_List_Table34111510911131718141619[TOTAL PESOS])</f>
        <v>0</v>
      </c>
      <c r="N1" s="393"/>
      <c r="O1" s="393"/>
      <c r="P1" s="393"/>
      <c r="Q1" s="394"/>
      <c r="R1" s="395"/>
      <c r="S1" s="396"/>
      <c r="T1" s="397"/>
      <c r="U1" s="397"/>
      <c r="V1" s="397"/>
      <c r="W1" s="398">
        <f>SUM(Inventory_List_Table34111510911131718141619[TOTAL USD])</f>
        <v>0</v>
      </c>
      <c r="X1" s="399"/>
      <c r="Y1" s="399"/>
      <c r="Z1" s="399"/>
      <c r="AA1" s="400" t="str">
        <f>IF(G3&gt;0.1, AVERAGE(Inventory_List_Table34111510911131718141619[NOTES]), " ")</f>
        <v xml:space="preserve"> </v>
      </c>
      <c r="AB1" s="395"/>
    </row>
    <row r="2" spans="1:30" s="39" customFormat="1" ht="39" x14ac:dyDescent="0.25">
      <c r="A2" s="381" t="s">
        <v>19</v>
      </c>
      <c r="B2" s="385" t="s">
        <v>56</v>
      </c>
      <c r="C2" s="385" t="s">
        <v>146</v>
      </c>
      <c r="D2" s="385" t="s">
        <v>145</v>
      </c>
      <c r="E2" s="385" t="s">
        <v>55</v>
      </c>
      <c r="F2" s="381" t="s">
        <v>20</v>
      </c>
      <c r="G2" s="381" t="s">
        <v>9</v>
      </c>
      <c r="H2" s="381" t="s">
        <v>10</v>
      </c>
      <c r="I2" s="381" t="s">
        <v>15</v>
      </c>
      <c r="J2" s="381" t="s">
        <v>11</v>
      </c>
      <c r="K2" s="381" t="s">
        <v>12</v>
      </c>
      <c r="L2" s="385" t="s">
        <v>25</v>
      </c>
      <c r="M2" s="401" t="s">
        <v>21</v>
      </c>
      <c r="N2" s="402" t="s">
        <v>13</v>
      </c>
      <c r="O2" s="402" t="s">
        <v>22</v>
      </c>
      <c r="P2" s="402" t="s">
        <v>23</v>
      </c>
      <c r="Q2" s="402" t="s">
        <v>24</v>
      </c>
      <c r="R2" s="403" t="s">
        <v>57</v>
      </c>
      <c r="S2" s="385" t="s">
        <v>58</v>
      </c>
      <c r="T2" s="403" t="s">
        <v>59</v>
      </c>
      <c r="U2" s="403" t="s">
        <v>60</v>
      </c>
      <c r="V2" s="403" t="s">
        <v>61</v>
      </c>
      <c r="W2" s="404" t="s">
        <v>14</v>
      </c>
      <c r="X2" s="404" t="s">
        <v>16</v>
      </c>
      <c r="Y2" s="404" t="s">
        <v>1</v>
      </c>
      <c r="Z2" s="384" t="s">
        <v>62</v>
      </c>
      <c r="AA2" s="388" t="s">
        <v>63</v>
      </c>
      <c r="AB2" s="384" t="s">
        <v>64</v>
      </c>
    </row>
    <row r="3" spans="1:30" s="29" customFormat="1" ht="23.25" x14ac:dyDescent="0.35">
      <c r="A3" s="382">
        <v>1</v>
      </c>
      <c r="B3" s="1"/>
      <c r="C3" s="386"/>
      <c r="D3" s="386"/>
      <c r="E3" s="386"/>
      <c r="F3" s="38" t="str">
        <f>IF(Inventory_List_Table34111510911131718141619[[#This Row],[Q]]&lt;0.1, " ",A1&amp;$D$1&amp;Inventory_List_Table34111510911131718141619[[#This Row],['#]]&amp;Inventory_List_Table34111510911131718141619[[#This Row],[LC]])</f>
        <v xml:space="preserve"> </v>
      </c>
      <c r="G3" s="389"/>
      <c r="H3" s="389"/>
      <c r="I3" s="389"/>
      <c r="J3" s="389"/>
      <c r="K3" s="389"/>
      <c r="L3" s="390"/>
      <c r="M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" s="35" t="str">
        <f>IF(Inventory_List_Table34111510911131718141619[[#This Row],[Q]]&lt;0.1, " ", Inventory_List_Table34111510911131718141619[[#This Row],[KG]]*2.20462)</f>
        <v xml:space="preserve"> </v>
      </c>
      <c r="O3" s="35" t="str">
        <f>IF(Inventory_List_Table34111510911131718141619[[#This Row],[Q]]&lt;0.1, " ",Inventory_List_Table34111510911131718141619[[#This Row],[H CM]]/2.54)</f>
        <v xml:space="preserve"> </v>
      </c>
      <c r="P3" s="35" t="str">
        <f>IF(Inventory_List_Table34111510911131718141619[[#This Row],[Q]]&lt;0.1, " ",Inventory_List_Table34111510911131718141619[[#This Row],[W CM]]/2.54)</f>
        <v xml:space="preserve"> </v>
      </c>
      <c r="Q3" s="35" t="str">
        <f>IF(Inventory_List_Table34111510911131718141619[[#This Row],[Q]]&lt;0.1, " ",Inventory_List_Table34111510911131718141619[[#This Row],[D CM ]]/2.54)</f>
        <v xml:space="preserve"> </v>
      </c>
      <c r="R3" s="30" t="str">
        <f>IF(Inventory_List_Table34111510911131718141619[[#This Row],[Q]]&lt;0.1, " ",Inventory_List_Table34111510911131718141619[[#This Row],[PRICE]]/$L$1)</f>
        <v xml:space="preserve"> </v>
      </c>
      <c r="S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" s="30" t="str">
        <f>IF(Inventory_List_Table34111510911131718141619[[#This Row],[Q]]&lt;0.1, " ",Inventory_List_Table34111510911131718141619[[#This Row],[AQ RND USD]]*1.4)</f>
        <v xml:space="preserve"> </v>
      </c>
      <c r="U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" s="30" t="str">
        <f>IF(Inventory_List_Table34111510911131718141619[[#This Row],[Q]]&lt;0.1, " ",Inventory_List_Table34111510911131718141619[[#This Row],[LND RND USD]]*12)</f>
        <v xml:space="preserve"> </v>
      </c>
      <c r="W3" s="30" t="str">
        <f>IF(Inventory_List_Table34111510911131718141619[[#This Row],[Q]]&lt;0.1, " ",Inventory_List_Table34111510911131718141619[[#This Row],[AQ USD]])</f>
        <v xml:space="preserve"> </v>
      </c>
      <c r="X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" s="36" t="str">
        <f>IF(Inventory_List_Table34111510911131718141619[[#This Row],[Q]]&lt;0.1, " ",Inventory_List_Table34111510911131718141619[[#This Row],[PRICE]]/Z3*10000)</f>
        <v xml:space="preserve"> </v>
      </c>
      <c r="AB3" s="383"/>
      <c r="AC3" s="27"/>
      <c r="AD3" s="28"/>
    </row>
    <row r="4" spans="1:30" ht="21" x14ac:dyDescent="0.3">
      <c r="A4" s="382">
        <v>2</v>
      </c>
      <c r="B4" s="1"/>
      <c r="C4" s="386"/>
      <c r="D4" s="386"/>
      <c r="E4" s="386"/>
      <c r="F4" s="38" t="str">
        <f>IF(Inventory_List_Table34111510911131718141619[[#This Row],[Q]]&lt;0.1, " ",#REF!&amp;$D$1&amp;#REF!&amp;Inventory_List_Table34111510911131718141619[[#This Row],[NOTES]])</f>
        <v xml:space="preserve"> </v>
      </c>
      <c r="G4" s="389"/>
      <c r="H4" s="389"/>
      <c r="I4" s="389"/>
      <c r="J4" s="389"/>
      <c r="K4" s="389"/>
      <c r="L4" s="391"/>
      <c r="M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" s="35" t="str">
        <f>IF(Inventory_List_Table34111510911131718141619[[#This Row],[Q]]&lt;0.1, " ", Inventory_List_Table34111510911131718141619[[#This Row],[KG]]*2.20462)</f>
        <v xml:space="preserve"> </v>
      </c>
      <c r="O4" s="35" t="str">
        <f>IF(Inventory_List_Table34111510911131718141619[[#This Row],[Q]]&lt;0.1, " ",Inventory_List_Table34111510911131718141619[[#This Row],[H CM]]/2.54)</f>
        <v xml:space="preserve"> </v>
      </c>
      <c r="P4" s="35" t="str">
        <f>IF(Inventory_List_Table34111510911131718141619[[#This Row],[Q]]&lt;0.1, " ",Inventory_List_Table34111510911131718141619[[#This Row],[W CM]]/2.54)</f>
        <v xml:space="preserve"> </v>
      </c>
      <c r="Q4" s="35" t="str">
        <f>IF(Inventory_List_Table34111510911131718141619[[#This Row],[Q]]&lt;0.1, " ",Inventory_List_Table34111510911131718141619[[#This Row],[D CM ]]/2.54)</f>
        <v xml:space="preserve"> </v>
      </c>
      <c r="R4" s="30" t="str">
        <f>IF(Inventory_List_Table34111510911131718141619[[#This Row],[Q]]&lt;0.1, " ",Inventory_List_Table34111510911131718141619[[#This Row],[PRICE]]/$L$1)</f>
        <v xml:space="preserve"> </v>
      </c>
      <c r="S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" s="30" t="str">
        <f>IF(Inventory_List_Table34111510911131718141619[[#This Row],[Q]]&lt;0.1, " ",Inventory_List_Table34111510911131718141619[[#This Row],[AQ RND USD]]*1.4)</f>
        <v xml:space="preserve"> </v>
      </c>
      <c r="U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" s="30" t="str">
        <f>IF(Inventory_List_Table34111510911131718141619[[#This Row],[Q]]&lt;0.1, " ",Inventory_List_Table34111510911131718141619[[#This Row],[LND RND USD]]*12)</f>
        <v xml:space="preserve"> </v>
      </c>
      <c r="W4" s="30" t="str">
        <f>IF(Inventory_List_Table34111510911131718141619[[#This Row],[Q]]&lt;0.1, " ",Inventory_List_Table34111510911131718141619[[#This Row],[AQ USD]])</f>
        <v xml:space="preserve"> </v>
      </c>
      <c r="X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" s="30" t="str">
        <f>IF(Inventory_List_Table34111510911131718141619[[#This Row],[Q]]&lt;0.1, " ",Inventory_List_Table34111510911131718141619[[#This Row],[PRICE]]/Z4*10000)</f>
        <v xml:space="preserve"> </v>
      </c>
      <c r="AB4" s="405"/>
      <c r="AC4" s="1"/>
      <c r="AD4" s="1"/>
    </row>
    <row r="5" spans="1:30" ht="24" customHeight="1" x14ac:dyDescent="0.3">
      <c r="A5" s="382">
        <v>3</v>
      </c>
      <c r="B5" s="1"/>
      <c r="C5" s="386"/>
      <c r="D5" s="386"/>
      <c r="E5" s="386"/>
      <c r="F5" s="38" t="str">
        <f>IF(Inventory_List_Table34111510911131718141619[[#This Row],[Q]]&lt;0.1, " ",#REF!&amp;$D$1&amp;#REF!&amp;Inventory_List_Table34111510911131718141619[[#This Row],[NOTES]])</f>
        <v xml:space="preserve"> </v>
      </c>
      <c r="G5" s="389"/>
      <c r="H5" s="389"/>
      <c r="I5" s="389"/>
      <c r="J5" s="389"/>
      <c r="K5" s="389"/>
      <c r="L5" s="391"/>
      <c r="M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" s="35" t="str">
        <f>IF(Inventory_List_Table34111510911131718141619[[#This Row],[Q]]&lt;0.1, " ", Inventory_List_Table34111510911131718141619[[#This Row],[KG]]*2.20462)</f>
        <v xml:space="preserve"> </v>
      </c>
      <c r="O5" s="35" t="str">
        <f>IF(Inventory_List_Table34111510911131718141619[[#This Row],[Q]]&lt;0.1, " ",Inventory_List_Table34111510911131718141619[[#This Row],[H CM]]/2.54)</f>
        <v xml:space="preserve"> </v>
      </c>
      <c r="P5" s="35" t="str">
        <f>IF(Inventory_List_Table34111510911131718141619[[#This Row],[Q]]&lt;0.1, " ",Inventory_List_Table34111510911131718141619[[#This Row],[W CM]]/2.54)</f>
        <v xml:space="preserve"> </v>
      </c>
      <c r="Q5" s="35" t="str">
        <f>IF(Inventory_List_Table34111510911131718141619[[#This Row],[Q]]&lt;0.1, " ",Inventory_List_Table34111510911131718141619[[#This Row],[D CM ]]/2.54)</f>
        <v xml:space="preserve"> </v>
      </c>
      <c r="R5" s="30" t="str">
        <f>IF(Inventory_List_Table34111510911131718141619[[#This Row],[Q]]&lt;0.1, " ",Inventory_List_Table34111510911131718141619[[#This Row],[PRICE]]/$L$1)</f>
        <v xml:space="preserve"> </v>
      </c>
      <c r="S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" s="30" t="str">
        <f>IF(Inventory_List_Table34111510911131718141619[[#This Row],[Q]]&lt;0.1, " ",Inventory_List_Table34111510911131718141619[[#This Row],[AQ RND USD]]*1.4)</f>
        <v xml:space="preserve"> </v>
      </c>
      <c r="U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" s="30" t="str">
        <f>IF(Inventory_List_Table34111510911131718141619[[#This Row],[Q]]&lt;0.1, " ",Inventory_List_Table34111510911131718141619[[#This Row],[LND RND USD]]*12)</f>
        <v xml:space="preserve"> </v>
      </c>
      <c r="W5" s="30" t="str">
        <f>IF(Inventory_List_Table34111510911131718141619[[#This Row],[Q]]&lt;0.1, " ",Inventory_List_Table34111510911131718141619[[#This Row],[AQ USD]])</f>
        <v xml:space="preserve"> </v>
      </c>
      <c r="X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" s="30" t="str">
        <f>IF(Inventory_List_Table34111510911131718141619[[#This Row],[Q]]&lt;0.1, " ",Inventory_List_Table34111510911131718141619[[#This Row],[PRICE]]/Z5*10000)</f>
        <v xml:space="preserve"> </v>
      </c>
      <c r="AB5" s="405"/>
      <c r="AC5" s="1"/>
      <c r="AD5" s="1"/>
    </row>
    <row r="6" spans="1:30" ht="24" customHeight="1" x14ac:dyDescent="0.3">
      <c r="A6" s="382">
        <v>4</v>
      </c>
      <c r="B6" s="1"/>
      <c r="C6" s="386"/>
      <c r="D6" s="386"/>
      <c r="E6" s="386"/>
      <c r="F6" s="38" t="str">
        <f>IF(Inventory_List_Table34111510911131718141619[[#This Row],[Q]]&lt;0.1, " ",#REF!&amp;$D$1&amp;#REF!&amp;Inventory_List_Table34111510911131718141619[[#This Row],[NOTES]])</f>
        <v xml:space="preserve"> </v>
      </c>
      <c r="G6" s="389"/>
      <c r="H6" s="389"/>
      <c r="I6" s="389"/>
      <c r="J6" s="389"/>
      <c r="K6" s="389"/>
      <c r="L6" s="391"/>
      <c r="M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" s="35" t="str">
        <f>IF(Inventory_List_Table34111510911131718141619[[#This Row],[Q]]&lt;0.1, " ", Inventory_List_Table34111510911131718141619[[#This Row],[KG]]*2.20462)</f>
        <v xml:space="preserve"> </v>
      </c>
      <c r="O6" s="35" t="str">
        <f>IF(Inventory_List_Table34111510911131718141619[[#This Row],[Q]]&lt;0.1, " ",Inventory_List_Table34111510911131718141619[[#This Row],[H CM]]/2.54)</f>
        <v xml:space="preserve"> </v>
      </c>
      <c r="P6" s="35" t="str">
        <f>IF(Inventory_List_Table34111510911131718141619[[#This Row],[Q]]&lt;0.1, " ",Inventory_List_Table34111510911131718141619[[#This Row],[W CM]]/2.54)</f>
        <v xml:space="preserve"> </v>
      </c>
      <c r="Q6" s="35" t="str">
        <f>IF(Inventory_List_Table34111510911131718141619[[#This Row],[Q]]&lt;0.1, " ",Inventory_List_Table34111510911131718141619[[#This Row],[D CM ]]/2.54)</f>
        <v xml:space="preserve"> </v>
      </c>
      <c r="R6" s="30" t="str">
        <f>IF(Inventory_List_Table34111510911131718141619[[#This Row],[Q]]&lt;0.1, " ",Inventory_List_Table34111510911131718141619[[#This Row],[PRICE]]/$L$1)</f>
        <v xml:space="preserve"> </v>
      </c>
      <c r="S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" s="30" t="str">
        <f>IF(Inventory_List_Table34111510911131718141619[[#This Row],[Q]]&lt;0.1, " ",Inventory_List_Table34111510911131718141619[[#This Row],[AQ RND USD]]*1.4)</f>
        <v xml:space="preserve"> </v>
      </c>
      <c r="U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" s="30" t="str">
        <f>IF(Inventory_List_Table34111510911131718141619[[#This Row],[Q]]&lt;0.1, " ",Inventory_List_Table34111510911131718141619[[#This Row],[LND RND USD]]*12)</f>
        <v xml:space="preserve"> </v>
      </c>
      <c r="W6" s="30" t="str">
        <f>IF(Inventory_List_Table34111510911131718141619[[#This Row],[Q]]&lt;0.1, " ",Inventory_List_Table34111510911131718141619[[#This Row],[AQ USD]])</f>
        <v xml:space="preserve"> </v>
      </c>
      <c r="X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" s="30" t="str">
        <f>IF(Inventory_List_Table34111510911131718141619[[#This Row],[Q]]&lt;0.1, " ",Inventory_List_Table34111510911131718141619[[#This Row],[PRICE]]/Z6*10000)</f>
        <v xml:space="preserve"> </v>
      </c>
      <c r="AB6" s="405"/>
      <c r="AC6" s="1"/>
      <c r="AD6" s="1"/>
    </row>
    <row r="7" spans="1:30" ht="24" customHeight="1" x14ac:dyDescent="0.3">
      <c r="A7" s="382">
        <v>5</v>
      </c>
      <c r="B7" s="1"/>
      <c r="C7" s="386"/>
      <c r="D7" s="386"/>
      <c r="E7" s="386"/>
      <c r="F7" s="38" t="str">
        <f>IF(Inventory_List_Table34111510911131718141619[[#This Row],[Q]]&lt;0.1, " ",#REF!&amp;$D$1&amp;#REF!&amp;Inventory_List_Table34111510911131718141619[[#This Row],[NOTES]])</f>
        <v xml:space="preserve"> </v>
      </c>
      <c r="G7" s="389"/>
      <c r="H7" s="389"/>
      <c r="I7" s="389"/>
      <c r="J7" s="389"/>
      <c r="K7" s="389"/>
      <c r="L7" s="391"/>
      <c r="M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" s="35" t="str">
        <f>IF(Inventory_List_Table34111510911131718141619[[#This Row],[Q]]&lt;0.1, " ", Inventory_List_Table34111510911131718141619[[#This Row],[KG]]*2.20462)</f>
        <v xml:space="preserve"> </v>
      </c>
      <c r="O7" s="35" t="str">
        <f>IF(Inventory_List_Table34111510911131718141619[[#This Row],[Q]]&lt;0.1, " ",Inventory_List_Table34111510911131718141619[[#This Row],[H CM]]/2.54)</f>
        <v xml:space="preserve"> </v>
      </c>
      <c r="P7" s="35" t="str">
        <f>IF(Inventory_List_Table34111510911131718141619[[#This Row],[Q]]&lt;0.1, " ",Inventory_List_Table34111510911131718141619[[#This Row],[W CM]]/2.54)</f>
        <v xml:space="preserve"> </v>
      </c>
      <c r="Q7" s="35" t="str">
        <f>IF(Inventory_List_Table34111510911131718141619[[#This Row],[Q]]&lt;0.1, " ",Inventory_List_Table34111510911131718141619[[#This Row],[D CM ]]/2.54)</f>
        <v xml:space="preserve"> </v>
      </c>
      <c r="R7" s="30" t="str">
        <f>IF(Inventory_List_Table34111510911131718141619[[#This Row],[Q]]&lt;0.1, " ",Inventory_List_Table34111510911131718141619[[#This Row],[PRICE]]/$L$1)</f>
        <v xml:space="preserve"> </v>
      </c>
      <c r="S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" s="30" t="str">
        <f>IF(Inventory_List_Table34111510911131718141619[[#This Row],[Q]]&lt;0.1, " ",Inventory_List_Table34111510911131718141619[[#This Row],[AQ RND USD]]*1.4)</f>
        <v xml:space="preserve"> </v>
      </c>
      <c r="U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" s="30" t="str">
        <f>IF(Inventory_List_Table34111510911131718141619[[#This Row],[Q]]&lt;0.1, " ",Inventory_List_Table34111510911131718141619[[#This Row],[LND RND USD]]*12)</f>
        <v xml:space="preserve"> </v>
      </c>
      <c r="W7" s="30" t="str">
        <f>IF(Inventory_List_Table34111510911131718141619[[#This Row],[Q]]&lt;0.1, " ",Inventory_List_Table34111510911131718141619[[#This Row],[AQ USD]])</f>
        <v xml:space="preserve"> </v>
      </c>
      <c r="X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" s="30" t="str">
        <f>IF(Inventory_List_Table34111510911131718141619[[#This Row],[Q]]&lt;0.1, " ",Inventory_List_Table34111510911131718141619[[#This Row],[PRICE]]/Z7*10000)</f>
        <v xml:space="preserve"> </v>
      </c>
      <c r="AB7" s="405"/>
      <c r="AC7" s="1"/>
      <c r="AD7" s="1"/>
    </row>
    <row r="8" spans="1:30" ht="24" customHeight="1" x14ac:dyDescent="0.3">
      <c r="A8" s="382">
        <v>6</v>
      </c>
      <c r="B8" s="1"/>
      <c r="C8" s="386"/>
      <c r="D8" s="386"/>
      <c r="E8" s="386"/>
      <c r="F8" s="38" t="str">
        <f>IF(Inventory_List_Table34111510911131718141619[[#This Row],[Q]]&lt;0.1, " ",#REF!&amp;$D$1&amp;#REF!&amp;Inventory_List_Table34111510911131718141619[[#This Row],[NOTES]])</f>
        <v xml:space="preserve"> </v>
      </c>
      <c r="G8" s="389"/>
      <c r="H8" s="389"/>
      <c r="I8" s="389"/>
      <c r="J8" s="389"/>
      <c r="K8" s="389"/>
      <c r="L8" s="391"/>
      <c r="M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" s="35" t="str">
        <f>IF(Inventory_List_Table34111510911131718141619[[#This Row],[Q]]&lt;0.1, " ", Inventory_List_Table34111510911131718141619[[#This Row],[KG]]*2.20462)</f>
        <v xml:space="preserve"> </v>
      </c>
      <c r="O8" s="35" t="str">
        <f>IF(Inventory_List_Table34111510911131718141619[[#This Row],[Q]]&lt;0.1, " ",Inventory_List_Table34111510911131718141619[[#This Row],[H CM]]/2.54)</f>
        <v xml:space="preserve"> </v>
      </c>
      <c r="P8" s="35" t="str">
        <f>IF(Inventory_List_Table34111510911131718141619[[#This Row],[Q]]&lt;0.1, " ",Inventory_List_Table34111510911131718141619[[#This Row],[W CM]]/2.54)</f>
        <v xml:space="preserve"> </v>
      </c>
      <c r="Q8" s="35" t="str">
        <f>IF(Inventory_List_Table34111510911131718141619[[#This Row],[Q]]&lt;0.1, " ",Inventory_List_Table34111510911131718141619[[#This Row],[D CM ]]/2.54)</f>
        <v xml:space="preserve"> </v>
      </c>
      <c r="R8" s="30" t="str">
        <f>IF(Inventory_List_Table34111510911131718141619[[#This Row],[Q]]&lt;0.1, " ",Inventory_List_Table34111510911131718141619[[#This Row],[PRICE]]/$L$1)</f>
        <v xml:space="preserve"> </v>
      </c>
      <c r="S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" s="30" t="str">
        <f>IF(Inventory_List_Table34111510911131718141619[[#This Row],[Q]]&lt;0.1, " ",Inventory_List_Table34111510911131718141619[[#This Row],[AQ RND USD]]*1.4)</f>
        <v xml:space="preserve"> </v>
      </c>
      <c r="U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" s="30" t="str">
        <f>IF(Inventory_List_Table34111510911131718141619[[#This Row],[Q]]&lt;0.1, " ",Inventory_List_Table34111510911131718141619[[#This Row],[LND RND USD]]*12)</f>
        <v xml:space="preserve"> </v>
      </c>
      <c r="W8" s="30" t="str">
        <f>IF(Inventory_List_Table34111510911131718141619[[#This Row],[Q]]&lt;0.1, " ",Inventory_List_Table34111510911131718141619[[#This Row],[AQ USD]])</f>
        <v xml:space="preserve"> </v>
      </c>
      <c r="X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" s="30" t="str">
        <f>IF(Inventory_List_Table34111510911131718141619[[#This Row],[Q]]&lt;0.1, " ",Inventory_List_Table34111510911131718141619[[#This Row],[PRICE]]/Z8*10000)</f>
        <v xml:space="preserve"> </v>
      </c>
      <c r="AB8" s="405"/>
      <c r="AC8" s="1"/>
      <c r="AD8" s="1"/>
    </row>
    <row r="9" spans="1:30" ht="24" customHeight="1" x14ac:dyDescent="0.3">
      <c r="A9" s="382">
        <v>7</v>
      </c>
      <c r="B9" s="1"/>
      <c r="C9" s="386"/>
      <c r="D9" s="386"/>
      <c r="E9" s="386"/>
      <c r="F9" s="38" t="str">
        <f>IF(Inventory_List_Table34111510911131718141619[[#This Row],[Q]]&lt;0.1, " ",#REF!&amp;$D$1&amp;#REF!&amp;Inventory_List_Table34111510911131718141619[[#This Row],[NOTES]])</f>
        <v xml:space="preserve"> </v>
      </c>
      <c r="G9" s="389"/>
      <c r="H9" s="389"/>
      <c r="I9" s="389"/>
      <c r="J9" s="389"/>
      <c r="K9" s="389"/>
      <c r="L9" s="391"/>
      <c r="M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" s="35" t="str">
        <f>IF(Inventory_List_Table34111510911131718141619[[#This Row],[Q]]&lt;0.1, " ", Inventory_List_Table34111510911131718141619[[#This Row],[KG]]*2.20462)</f>
        <v xml:space="preserve"> </v>
      </c>
      <c r="O9" s="35" t="str">
        <f>IF(Inventory_List_Table34111510911131718141619[[#This Row],[Q]]&lt;0.1, " ",Inventory_List_Table34111510911131718141619[[#This Row],[H CM]]/2.54)</f>
        <v xml:space="preserve"> </v>
      </c>
      <c r="P9" s="35" t="str">
        <f>IF(Inventory_List_Table34111510911131718141619[[#This Row],[Q]]&lt;0.1, " ",Inventory_List_Table34111510911131718141619[[#This Row],[W CM]]/2.54)</f>
        <v xml:space="preserve"> </v>
      </c>
      <c r="Q9" s="35" t="str">
        <f>IF(Inventory_List_Table34111510911131718141619[[#This Row],[Q]]&lt;0.1, " ",Inventory_List_Table34111510911131718141619[[#This Row],[D CM ]]/2.54)</f>
        <v xml:space="preserve"> </v>
      </c>
      <c r="R9" s="30" t="str">
        <f>IF(Inventory_List_Table34111510911131718141619[[#This Row],[Q]]&lt;0.1, " ",Inventory_List_Table34111510911131718141619[[#This Row],[PRICE]]/$L$1)</f>
        <v xml:space="preserve"> </v>
      </c>
      <c r="S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" s="30" t="str">
        <f>IF(Inventory_List_Table34111510911131718141619[[#This Row],[Q]]&lt;0.1, " ",Inventory_List_Table34111510911131718141619[[#This Row],[AQ RND USD]]*1.4)</f>
        <v xml:space="preserve"> </v>
      </c>
      <c r="U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" s="30" t="str">
        <f>IF(Inventory_List_Table34111510911131718141619[[#This Row],[Q]]&lt;0.1, " ",Inventory_List_Table34111510911131718141619[[#This Row],[LND RND USD]]*12)</f>
        <v xml:space="preserve"> </v>
      </c>
      <c r="W9" s="30" t="str">
        <f>IF(Inventory_List_Table34111510911131718141619[[#This Row],[Q]]&lt;0.1, " ",Inventory_List_Table34111510911131718141619[[#This Row],[AQ USD]])</f>
        <v xml:space="preserve"> </v>
      </c>
      <c r="X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" s="30" t="str">
        <f>IF(Inventory_List_Table34111510911131718141619[[#This Row],[Q]]&lt;0.1, " ",Inventory_List_Table34111510911131718141619[[#This Row],[PRICE]]/Z9*10000)</f>
        <v xml:space="preserve"> </v>
      </c>
      <c r="AB9" s="405"/>
      <c r="AC9" s="1"/>
      <c r="AD9" s="1"/>
    </row>
    <row r="10" spans="1:30" ht="24" customHeight="1" x14ac:dyDescent="0.3">
      <c r="A10" s="382">
        <v>8</v>
      </c>
      <c r="B10" s="1"/>
      <c r="C10" s="386"/>
      <c r="D10" s="386"/>
      <c r="E10" s="386"/>
      <c r="F10" s="38" t="str">
        <f>IF(Inventory_List_Table34111510911131718141619[[#This Row],[Q]]&lt;0.1, " ",#REF!&amp;$D$1&amp;#REF!&amp;Inventory_List_Table34111510911131718141619[[#This Row],[NOTES]])</f>
        <v xml:space="preserve"> </v>
      </c>
      <c r="G10" s="389"/>
      <c r="H10" s="389"/>
      <c r="I10" s="389"/>
      <c r="J10" s="389"/>
      <c r="K10" s="389"/>
      <c r="L10" s="391"/>
      <c r="M1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0" s="35" t="str">
        <f>IF(Inventory_List_Table34111510911131718141619[[#This Row],[Q]]&lt;0.1, " ", Inventory_List_Table34111510911131718141619[[#This Row],[KG]]*2.20462)</f>
        <v xml:space="preserve"> </v>
      </c>
      <c r="O10" s="35" t="str">
        <f>IF(Inventory_List_Table34111510911131718141619[[#This Row],[Q]]&lt;0.1, " ",Inventory_List_Table34111510911131718141619[[#This Row],[H CM]]/2.54)</f>
        <v xml:space="preserve"> </v>
      </c>
      <c r="P10" s="35" t="str">
        <f>IF(Inventory_List_Table34111510911131718141619[[#This Row],[Q]]&lt;0.1, " ",Inventory_List_Table34111510911131718141619[[#This Row],[W CM]]/2.54)</f>
        <v xml:space="preserve"> </v>
      </c>
      <c r="Q10" s="35" t="str">
        <f>IF(Inventory_List_Table34111510911131718141619[[#This Row],[Q]]&lt;0.1, " ",Inventory_List_Table34111510911131718141619[[#This Row],[D CM ]]/2.54)</f>
        <v xml:space="preserve"> </v>
      </c>
      <c r="R10" s="30" t="str">
        <f>IF(Inventory_List_Table34111510911131718141619[[#This Row],[Q]]&lt;0.1, " ",Inventory_List_Table34111510911131718141619[[#This Row],[PRICE]]/$L$1)</f>
        <v xml:space="preserve"> </v>
      </c>
      <c r="S1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0" s="30" t="str">
        <f>IF(Inventory_List_Table34111510911131718141619[[#This Row],[Q]]&lt;0.1, " ",Inventory_List_Table34111510911131718141619[[#This Row],[AQ RND USD]]*1.4)</f>
        <v xml:space="preserve"> </v>
      </c>
      <c r="U1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0" s="30" t="str">
        <f>IF(Inventory_List_Table34111510911131718141619[[#This Row],[Q]]&lt;0.1, " ",Inventory_List_Table34111510911131718141619[[#This Row],[LND RND USD]]*12)</f>
        <v xml:space="preserve"> </v>
      </c>
      <c r="W10" s="30" t="str">
        <f>IF(Inventory_List_Table34111510911131718141619[[#This Row],[Q]]&lt;0.1, " ",Inventory_List_Table34111510911131718141619[[#This Row],[AQ USD]])</f>
        <v xml:space="preserve"> </v>
      </c>
      <c r="X1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0" s="30" t="str">
        <f>IF(Inventory_List_Table34111510911131718141619[[#This Row],[Q]]&lt;0.1, " ",Inventory_List_Table34111510911131718141619[[#This Row],[PRICE]]/Z10*10000)</f>
        <v xml:space="preserve"> </v>
      </c>
      <c r="AB10" s="405"/>
      <c r="AC10" s="1"/>
      <c r="AD10" s="1"/>
    </row>
    <row r="11" spans="1:30" ht="24" customHeight="1" x14ac:dyDescent="0.3">
      <c r="A11" s="382">
        <v>9</v>
      </c>
      <c r="B11" s="1"/>
      <c r="C11" s="386"/>
      <c r="D11" s="386"/>
      <c r="E11" s="386"/>
      <c r="F11" s="38" t="str">
        <f>IF(Inventory_List_Table34111510911131718141619[[#This Row],[Q]]&lt;0.1, " ",#REF!&amp;$D$1&amp;#REF!&amp;Inventory_List_Table34111510911131718141619[[#This Row],[NOTES]])</f>
        <v xml:space="preserve"> </v>
      </c>
      <c r="G11" s="389"/>
      <c r="H11" s="389"/>
      <c r="I11" s="389"/>
      <c r="J11" s="389"/>
      <c r="K11" s="389"/>
      <c r="L11" s="391"/>
      <c r="M1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1" s="35" t="str">
        <f>IF(Inventory_List_Table34111510911131718141619[[#This Row],[Q]]&lt;0.1, " ", Inventory_List_Table34111510911131718141619[[#This Row],[KG]]*2.20462)</f>
        <v xml:space="preserve"> </v>
      </c>
      <c r="O11" s="35" t="str">
        <f>IF(Inventory_List_Table34111510911131718141619[[#This Row],[Q]]&lt;0.1, " ",Inventory_List_Table34111510911131718141619[[#This Row],[H CM]]/2.54)</f>
        <v xml:space="preserve"> </v>
      </c>
      <c r="P11" s="35" t="str">
        <f>IF(Inventory_List_Table34111510911131718141619[[#This Row],[Q]]&lt;0.1, " ",Inventory_List_Table34111510911131718141619[[#This Row],[W CM]]/2.54)</f>
        <v xml:space="preserve"> </v>
      </c>
      <c r="Q11" s="35" t="str">
        <f>IF(Inventory_List_Table34111510911131718141619[[#This Row],[Q]]&lt;0.1, " ",Inventory_List_Table34111510911131718141619[[#This Row],[D CM ]]/2.54)</f>
        <v xml:space="preserve"> </v>
      </c>
      <c r="R11" s="30" t="str">
        <f>IF(Inventory_List_Table34111510911131718141619[[#This Row],[Q]]&lt;0.1, " ",Inventory_List_Table34111510911131718141619[[#This Row],[PRICE]]/$L$1)</f>
        <v xml:space="preserve"> </v>
      </c>
      <c r="S1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1" s="30" t="str">
        <f>IF(Inventory_List_Table34111510911131718141619[[#This Row],[Q]]&lt;0.1, " ",Inventory_List_Table34111510911131718141619[[#This Row],[AQ RND USD]]*1.4)</f>
        <v xml:space="preserve"> </v>
      </c>
      <c r="U1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1" s="30" t="str">
        <f>IF(Inventory_List_Table34111510911131718141619[[#This Row],[Q]]&lt;0.1, " ",Inventory_List_Table34111510911131718141619[[#This Row],[LND RND USD]]*12)</f>
        <v xml:space="preserve"> </v>
      </c>
      <c r="W11" s="30" t="str">
        <f>IF(Inventory_List_Table34111510911131718141619[[#This Row],[Q]]&lt;0.1, " ",Inventory_List_Table34111510911131718141619[[#This Row],[AQ USD]])</f>
        <v xml:space="preserve"> </v>
      </c>
      <c r="X1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1" s="30" t="str">
        <f>IF(Inventory_List_Table34111510911131718141619[[#This Row],[Q]]&lt;0.1, " ",Inventory_List_Table34111510911131718141619[[#This Row],[PRICE]]/Z11*10000)</f>
        <v xml:space="preserve"> </v>
      </c>
      <c r="AB11" s="405"/>
      <c r="AC11" s="1"/>
      <c r="AD11" s="1"/>
    </row>
    <row r="12" spans="1:30" ht="24" customHeight="1" x14ac:dyDescent="0.3">
      <c r="A12" s="382">
        <v>10</v>
      </c>
      <c r="B12" s="1"/>
      <c r="C12" s="386"/>
      <c r="D12" s="386"/>
      <c r="E12" s="386"/>
      <c r="F12" s="38" t="str">
        <f>IF(Inventory_List_Table34111510911131718141619[[#This Row],[Q]]&lt;0.1, " ",#REF!&amp;$D$1&amp;#REF!&amp;Inventory_List_Table34111510911131718141619[[#This Row],[NOTES]])</f>
        <v xml:space="preserve"> </v>
      </c>
      <c r="G12" s="389"/>
      <c r="H12" s="389"/>
      <c r="I12" s="389"/>
      <c r="J12" s="389"/>
      <c r="K12" s="389"/>
      <c r="L12" s="391"/>
      <c r="M1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2" s="35" t="str">
        <f>IF(Inventory_List_Table34111510911131718141619[[#This Row],[Q]]&lt;0.1, " ", Inventory_List_Table34111510911131718141619[[#This Row],[KG]]*2.20462)</f>
        <v xml:space="preserve"> </v>
      </c>
      <c r="O12" s="35" t="str">
        <f>IF(Inventory_List_Table34111510911131718141619[[#This Row],[Q]]&lt;0.1, " ",Inventory_List_Table34111510911131718141619[[#This Row],[H CM]]/2.54)</f>
        <v xml:space="preserve"> </v>
      </c>
      <c r="P12" s="35" t="str">
        <f>IF(Inventory_List_Table34111510911131718141619[[#This Row],[Q]]&lt;0.1, " ",Inventory_List_Table34111510911131718141619[[#This Row],[W CM]]/2.54)</f>
        <v xml:space="preserve"> </v>
      </c>
      <c r="Q12" s="35" t="str">
        <f>IF(Inventory_List_Table34111510911131718141619[[#This Row],[Q]]&lt;0.1, " ",Inventory_List_Table34111510911131718141619[[#This Row],[D CM ]]/2.54)</f>
        <v xml:space="preserve"> </v>
      </c>
      <c r="R12" s="30" t="str">
        <f>IF(Inventory_List_Table34111510911131718141619[[#This Row],[Q]]&lt;0.1, " ",Inventory_List_Table34111510911131718141619[[#This Row],[PRICE]]/$L$1)</f>
        <v xml:space="preserve"> </v>
      </c>
      <c r="S1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2" s="30" t="str">
        <f>IF(Inventory_List_Table34111510911131718141619[[#This Row],[Q]]&lt;0.1, " ",Inventory_List_Table34111510911131718141619[[#This Row],[AQ RND USD]]*1.4)</f>
        <v xml:space="preserve"> </v>
      </c>
      <c r="U1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2" s="30" t="str">
        <f>IF(Inventory_List_Table34111510911131718141619[[#This Row],[Q]]&lt;0.1, " ",Inventory_List_Table34111510911131718141619[[#This Row],[LND RND USD]]*12)</f>
        <v xml:space="preserve"> </v>
      </c>
      <c r="W12" s="30" t="str">
        <f>IF(Inventory_List_Table34111510911131718141619[[#This Row],[Q]]&lt;0.1, " ",Inventory_List_Table34111510911131718141619[[#This Row],[AQ USD]])</f>
        <v xml:space="preserve"> </v>
      </c>
      <c r="X1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2" s="30" t="str">
        <f>IF(Inventory_List_Table34111510911131718141619[[#This Row],[Q]]&lt;0.1, " ",Inventory_List_Table34111510911131718141619[[#This Row],[PRICE]]/Z12*10000)</f>
        <v xml:space="preserve"> </v>
      </c>
      <c r="AB12" s="405"/>
      <c r="AC12" s="1"/>
      <c r="AD12" s="1"/>
    </row>
    <row r="13" spans="1:30" ht="24" customHeight="1" x14ac:dyDescent="0.3">
      <c r="A13" s="382">
        <v>11</v>
      </c>
      <c r="B13" s="1"/>
      <c r="C13" s="386"/>
      <c r="D13" s="386"/>
      <c r="E13" s="386"/>
      <c r="F13" s="38" t="str">
        <f>IF(Inventory_List_Table34111510911131718141619[[#This Row],[Q]]&lt;0.1, " ",#REF!&amp;$D$1&amp;#REF!&amp;Inventory_List_Table34111510911131718141619[[#This Row],[NOTES]])</f>
        <v xml:space="preserve"> </v>
      </c>
      <c r="G13" s="389"/>
      <c r="H13" s="389"/>
      <c r="I13" s="389"/>
      <c r="J13" s="389"/>
      <c r="K13" s="389"/>
      <c r="L13" s="391"/>
      <c r="M1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3" s="35" t="str">
        <f>IF(Inventory_List_Table34111510911131718141619[[#This Row],[Q]]&lt;0.1, " ", Inventory_List_Table34111510911131718141619[[#This Row],[KG]]*2.20462)</f>
        <v xml:space="preserve"> </v>
      </c>
      <c r="O13" s="35" t="str">
        <f>IF(Inventory_List_Table34111510911131718141619[[#This Row],[Q]]&lt;0.1, " ",Inventory_List_Table34111510911131718141619[[#This Row],[H CM]]/2.54)</f>
        <v xml:space="preserve"> </v>
      </c>
      <c r="P13" s="35" t="str">
        <f>IF(Inventory_List_Table34111510911131718141619[[#This Row],[Q]]&lt;0.1, " ",Inventory_List_Table34111510911131718141619[[#This Row],[W CM]]/2.54)</f>
        <v xml:space="preserve"> </v>
      </c>
      <c r="Q13" s="35" t="str">
        <f>IF(Inventory_List_Table34111510911131718141619[[#This Row],[Q]]&lt;0.1, " ",Inventory_List_Table34111510911131718141619[[#This Row],[D CM ]]/2.54)</f>
        <v xml:space="preserve"> </v>
      </c>
      <c r="R13" s="30" t="str">
        <f>IF(Inventory_List_Table34111510911131718141619[[#This Row],[Q]]&lt;0.1, " ",Inventory_List_Table34111510911131718141619[[#This Row],[PRICE]]/$L$1)</f>
        <v xml:space="preserve"> </v>
      </c>
      <c r="S1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3" s="30" t="str">
        <f>IF(Inventory_List_Table34111510911131718141619[[#This Row],[Q]]&lt;0.1, " ",Inventory_List_Table34111510911131718141619[[#This Row],[AQ RND USD]]*1.4)</f>
        <v xml:space="preserve"> </v>
      </c>
      <c r="U1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3" s="30" t="str">
        <f>IF(Inventory_List_Table34111510911131718141619[[#This Row],[Q]]&lt;0.1, " ",Inventory_List_Table34111510911131718141619[[#This Row],[LND RND USD]]*12)</f>
        <v xml:space="preserve"> </v>
      </c>
      <c r="W13" s="30" t="str">
        <f>IF(Inventory_List_Table34111510911131718141619[[#This Row],[Q]]&lt;0.1, " ",Inventory_List_Table34111510911131718141619[[#This Row],[AQ USD]])</f>
        <v xml:space="preserve"> </v>
      </c>
      <c r="X1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3" s="30" t="str">
        <f>IF(Inventory_List_Table34111510911131718141619[[#This Row],[Q]]&lt;0.1, " ",Inventory_List_Table34111510911131718141619[[#This Row],[PRICE]]/Z13*10000)</f>
        <v xml:space="preserve"> </v>
      </c>
      <c r="AB13" s="405"/>
      <c r="AC13" s="1"/>
      <c r="AD13" s="1"/>
    </row>
    <row r="14" spans="1:30" ht="24" customHeight="1" x14ac:dyDescent="0.3">
      <c r="A14" s="382">
        <v>12</v>
      </c>
      <c r="B14" s="1"/>
      <c r="C14" s="386"/>
      <c r="D14" s="386"/>
      <c r="E14" s="386"/>
      <c r="F14" s="38" t="str">
        <f>IF(Inventory_List_Table34111510911131718141619[[#This Row],[Q]]&lt;0.1, " ",#REF!&amp;$D$1&amp;#REF!&amp;Inventory_List_Table34111510911131718141619[[#This Row],[NOTES]])</f>
        <v xml:space="preserve"> </v>
      </c>
      <c r="G14" s="389"/>
      <c r="H14" s="389"/>
      <c r="I14" s="389"/>
      <c r="J14" s="389"/>
      <c r="K14" s="389"/>
      <c r="L14" s="391"/>
      <c r="M1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4" s="35" t="str">
        <f>IF(Inventory_List_Table34111510911131718141619[[#This Row],[Q]]&lt;0.1, " ", Inventory_List_Table34111510911131718141619[[#This Row],[KG]]*2.20462)</f>
        <v xml:space="preserve"> </v>
      </c>
      <c r="O14" s="35" t="str">
        <f>IF(Inventory_List_Table34111510911131718141619[[#This Row],[Q]]&lt;0.1, " ",Inventory_List_Table34111510911131718141619[[#This Row],[H CM]]/2.54)</f>
        <v xml:space="preserve"> </v>
      </c>
      <c r="P14" s="35" t="str">
        <f>IF(Inventory_List_Table34111510911131718141619[[#This Row],[Q]]&lt;0.1, " ",Inventory_List_Table34111510911131718141619[[#This Row],[W CM]]/2.54)</f>
        <v xml:space="preserve"> </v>
      </c>
      <c r="Q14" s="35" t="str">
        <f>IF(Inventory_List_Table34111510911131718141619[[#This Row],[Q]]&lt;0.1, " ",Inventory_List_Table34111510911131718141619[[#This Row],[D CM ]]/2.54)</f>
        <v xml:space="preserve"> </v>
      </c>
      <c r="R14" s="30" t="str">
        <f>IF(Inventory_List_Table34111510911131718141619[[#This Row],[Q]]&lt;0.1, " ",Inventory_List_Table34111510911131718141619[[#This Row],[PRICE]]/$L$1)</f>
        <v xml:space="preserve"> </v>
      </c>
      <c r="S1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4" s="30" t="str">
        <f>IF(Inventory_List_Table34111510911131718141619[[#This Row],[Q]]&lt;0.1, " ",Inventory_List_Table34111510911131718141619[[#This Row],[AQ RND USD]]*1.4)</f>
        <v xml:space="preserve"> </v>
      </c>
      <c r="U1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4" s="30" t="str">
        <f>IF(Inventory_List_Table34111510911131718141619[[#This Row],[Q]]&lt;0.1, " ",Inventory_List_Table34111510911131718141619[[#This Row],[LND RND USD]]*12)</f>
        <v xml:space="preserve"> </v>
      </c>
      <c r="W14" s="30" t="str">
        <f>IF(Inventory_List_Table34111510911131718141619[[#This Row],[Q]]&lt;0.1, " ",Inventory_List_Table34111510911131718141619[[#This Row],[AQ USD]])</f>
        <v xml:space="preserve"> </v>
      </c>
      <c r="X1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4" s="30" t="str">
        <f>IF(Inventory_List_Table34111510911131718141619[[#This Row],[Q]]&lt;0.1, " ",Inventory_List_Table34111510911131718141619[[#This Row],[PRICE]]/Z14*10000)</f>
        <v xml:space="preserve"> </v>
      </c>
      <c r="AB14" s="405"/>
      <c r="AC14" s="1"/>
      <c r="AD14" s="1"/>
    </row>
    <row r="15" spans="1:30" ht="24" customHeight="1" x14ac:dyDescent="0.3">
      <c r="A15" s="382">
        <v>13</v>
      </c>
      <c r="B15" s="1"/>
      <c r="C15" s="386"/>
      <c r="D15" s="386"/>
      <c r="E15" s="386"/>
      <c r="F15" s="38" t="str">
        <f>IF(Inventory_List_Table34111510911131718141619[[#This Row],[Q]]&lt;0.1, " ",#REF!&amp;$D$1&amp;#REF!&amp;Inventory_List_Table34111510911131718141619[[#This Row],[NOTES]])</f>
        <v xml:space="preserve"> </v>
      </c>
      <c r="G15" s="389"/>
      <c r="H15" s="389"/>
      <c r="I15" s="389"/>
      <c r="J15" s="389"/>
      <c r="K15" s="389"/>
      <c r="L15" s="391"/>
      <c r="M1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5" s="35" t="str">
        <f>IF(Inventory_List_Table34111510911131718141619[[#This Row],[Q]]&lt;0.1, " ", Inventory_List_Table34111510911131718141619[[#This Row],[KG]]*2.20462)</f>
        <v xml:space="preserve"> </v>
      </c>
      <c r="O15" s="35" t="str">
        <f>IF(Inventory_List_Table34111510911131718141619[[#This Row],[Q]]&lt;0.1, " ",Inventory_List_Table34111510911131718141619[[#This Row],[H CM]]/2.54)</f>
        <v xml:space="preserve"> </v>
      </c>
      <c r="P15" s="35" t="str">
        <f>IF(Inventory_List_Table34111510911131718141619[[#This Row],[Q]]&lt;0.1, " ",Inventory_List_Table34111510911131718141619[[#This Row],[W CM]]/2.54)</f>
        <v xml:space="preserve"> </v>
      </c>
      <c r="Q15" s="35" t="str">
        <f>IF(Inventory_List_Table34111510911131718141619[[#This Row],[Q]]&lt;0.1, " ",Inventory_List_Table34111510911131718141619[[#This Row],[D CM ]]/2.54)</f>
        <v xml:space="preserve"> </v>
      </c>
      <c r="R15" s="30" t="str">
        <f>IF(Inventory_List_Table34111510911131718141619[[#This Row],[Q]]&lt;0.1, " ",Inventory_List_Table34111510911131718141619[[#This Row],[PRICE]]/$L$1)</f>
        <v xml:space="preserve"> </v>
      </c>
      <c r="S1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5" s="30" t="str">
        <f>IF(Inventory_List_Table34111510911131718141619[[#This Row],[Q]]&lt;0.1, " ",Inventory_List_Table34111510911131718141619[[#This Row],[AQ RND USD]]*1.4)</f>
        <v xml:space="preserve"> </v>
      </c>
      <c r="U1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5" s="30" t="str">
        <f>IF(Inventory_List_Table34111510911131718141619[[#This Row],[Q]]&lt;0.1, " ",Inventory_List_Table34111510911131718141619[[#This Row],[LND RND USD]]*12)</f>
        <v xml:space="preserve"> </v>
      </c>
      <c r="W15" s="30" t="str">
        <f>IF(Inventory_List_Table34111510911131718141619[[#This Row],[Q]]&lt;0.1, " ",Inventory_List_Table34111510911131718141619[[#This Row],[AQ USD]])</f>
        <v xml:space="preserve"> </v>
      </c>
      <c r="X1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5" s="30" t="str">
        <f>IF(Inventory_List_Table34111510911131718141619[[#This Row],[Q]]&lt;0.1, " ",Inventory_List_Table34111510911131718141619[[#This Row],[PRICE]]/Z15*10000)</f>
        <v xml:space="preserve"> </v>
      </c>
      <c r="AB15" s="405"/>
      <c r="AC15" s="1"/>
      <c r="AD15" s="1"/>
    </row>
    <row r="16" spans="1:30" ht="24" customHeight="1" x14ac:dyDescent="0.3">
      <c r="A16" s="382">
        <v>14</v>
      </c>
      <c r="B16" s="1"/>
      <c r="C16" s="386"/>
      <c r="D16" s="386"/>
      <c r="E16" s="386"/>
      <c r="F16" s="38" t="str">
        <f>IF(Inventory_List_Table34111510911131718141619[[#This Row],[Q]]&lt;0.1, " ",#REF!&amp;$D$1&amp;#REF!&amp;Inventory_List_Table34111510911131718141619[[#This Row],[NOTES]])</f>
        <v xml:space="preserve"> </v>
      </c>
      <c r="G16" s="389"/>
      <c r="H16" s="389"/>
      <c r="I16" s="389"/>
      <c r="J16" s="389"/>
      <c r="K16" s="389"/>
      <c r="L16" s="391"/>
      <c r="M1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6" s="35" t="str">
        <f>IF(Inventory_List_Table34111510911131718141619[[#This Row],[Q]]&lt;0.1, " ", Inventory_List_Table34111510911131718141619[[#This Row],[KG]]*2.20462)</f>
        <v xml:space="preserve"> </v>
      </c>
      <c r="O16" s="35" t="str">
        <f>IF(Inventory_List_Table34111510911131718141619[[#This Row],[Q]]&lt;0.1, " ",Inventory_List_Table34111510911131718141619[[#This Row],[H CM]]/2.54)</f>
        <v xml:space="preserve"> </v>
      </c>
      <c r="P16" s="35" t="str">
        <f>IF(Inventory_List_Table34111510911131718141619[[#This Row],[Q]]&lt;0.1, " ",Inventory_List_Table34111510911131718141619[[#This Row],[W CM]]/2.54)</f>
        <v xml:space="preserve"> </v>
      </c>
      <c r="Q16" s="35" t="str">
        <f>IF(Inventory_List_Table34111510911131718141619[[#This Row],[Q]]&lt;0.1, " ",Inventory_List_Table34111510911131718141619[[#This Row],[D CM ]]/2.54)</f>
        <v xml:space="preserve"> </v>
      </c>
      <c r="R16" s="30" t="str">
        <f>IF(Inventory_List_Table34111510911131718141619[[#This Row],[Q]]&lt;0.1, " ",Inventory_List_Table34111510911131718141619[[#This Row],[PRICE]]/$L$1)</f>
        <v xml:space="preserve"> </v>
      </c>
      <c r="S1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6" s="30" t="str">
        <f>IF(Inventory_List_Table34111510911131718141619[[#This Row],[Q]]&lt;0.1, " ",Inventory_List_Table34111510911131718141619[[#This Row],[AQ RND USD]]*1.4)</f>
        <v xml:space="preserve"> </v>
      </c>
      <c r="U1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6" s="30" t="str">
        <f>IF(Inventory_List_Table34111510911131718141619[[#This Row],[Q]]&lt;0.1, " ",Inventory_List_Table34111510911131718141619[[#This Row],[LND RND USD]]*12)</f>
        <v xml:space="preserve"> </v>
      </c>
      <c r="W16" s="30" t="str">
        <f>IF(Inventory_List_Table34111510911131718141619[[#This Row],[Q]]&lt;0.1, " ",Inventory_List_Table34111510911131718141619[[#This Row],[AQ USD]])</f>
        <v xml:space="preserve"> </v>
      </c>
      <c r="X1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6" s="30" t="str">
        <f>IF(Inventory_List_Table34111510911131718141619[[#This Row],[Q]]&lt;0.1, " ",Inventory_List_Table34111510911131718141619[[#This Row],[PRICE]]/Z16*10000)</f>
        <v xml:space="preserve"> </v>
      </c>
      <c r="AB16" s="405"/>
      <c r="AC16" s="1"/>
      <c r="AD16" s="1"/>
    </row>
    <row r="17" spans="1:30" ht="24" customHeight="1" x14ac:dyDescent="0.3">
      <c r="A17" s="382">
        <v>15</v>
      </c>
      <c r="B17" s="1"/>
      <c r="C17" s="386"/>
      <c r="D17" s="386"/>
      <c r="E17" s="386"/>
      <c r="F17" s="38" t="str">
        <f>IF(Inventory_List_Table34111510911131718141619[[#This Row],[Q]]&lt;0.1, " ",#REF!&amp;$D$1&amp;#REF!&amp;Inventory_List_Table34111510911131718141619[[#This Row],[NOTES]])</f>
        <v xml:space="preserve"> </v>
      </c>
      <c r="G17" s="389"/>
      <c r="H17" s="389"/>
      <c r="I17" s="389"/>
      <c r="J17" s="389"/>
      <c r="K17" s="389"/>
      <c r="L17" s="391"/>
      <c r="M1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7" s="35" t="str">
        <f>IF(Inventory_List_Table34111510911131718141619[[#This Row],[Q]]&lt;0.1, " ", Inventory_List_Table34111510911131718141619[[#This Row],[KG]]*2.20462)</f>
        <v xml:space="preserve"> </v>
      </c>
      <c r="O17" s="35" t="str">
        <f>IF(Inventory_List_Table34111510911131718141619[[#This Row],[Q]]&lt;0.1, " ",Inventory_List_Table34111510911131718141619[[#This Row],[H CM]]/2.54)</f>
        <v xml:space="preserve"> </v>
      </c>
      <c r="P17" s="35" t="str">
        <f>IF(Inventory_List_Table34111510911131718141619[[#This Row],[Q]]&lt;0.1, " ",Inventory_List_Table34111510911131718141619[[#This Row],[W CM]]/2.54)</f>
        <v xml:space="preserve"> </v>
      </c>
      <c r="Q17" s="35" t="str">
        <f>IF(Inventory_List_Table34111510911131718141619[[#This Row],[Q]]&lt;0.1, " ",Inventory_List_Table34111510911131718141619[[#This Row],[D CM ]]/2.54)</f>
        <v xml:space="preserve"> </v>
      </c>
      <c r="R17" s="30" t="str">
        <f>IF(Inventory_List_Table34111510911131718141619[[#This Row],[Q]]&lt;0.1, " ",Inventory_List_Table34111510911131718141619[[#This Row],[PRICE]]/$L$1)</f>
        <v xml:space="preserve"> </v>
      </c>
      <c r="S1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7" s="30" t="str">
        <f>IF(Inventory_List_Table34111510911131718141619[[#This Row],[Q]]&lt;0.1, " ",Inventory_List_Table34111510911131718141619[[#This Row],[AQ RND USD]]*1.4)</f>
        <v xml:space="preserve"> </v>
      </c>
      <c r="U1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7" s="30" t="str">
        <f>IF(Inventory_List_Table34111510911131718141619[[#This Row],[Q]]&lt;0.1, " ",Inventory_List_Table34111510911131718141619[[#This Row],[LND RND USD]]*12)</f>
        <v xml:space="preserve"> </v>
      </c>
      <c r="W17" s="30" t="str">
        <f>IF(Inventory_List_Table34111510911131718141619[[#This Row],[Q]]&lt;0.1, " ",Inventory_List_Table34111510911131718141619[[#This Row],[AQ USD]])</f>
        <v xml:space="preserve"> </v>
      </c>
      <c r="X1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7" s="30" t="str">
        <f>IF(Inventory_List_Table34111510911131718141619[[#This Row],[Q]]&lt;0.1, " ",Inventory_List_Table34111510911131718141619[[#This Row],[PRICE]]/Z17*10000)</f>
        <v xml:space="preserve"> </v>
      </c>
      <c r="AB17" s="405"/>
      <c r="AC17" s="1"/>
      <c r="AD17" s="1"/>
    </row>
    <row r="18" spans="1:30" ht="24" customHeight="1" x14ac:dyDescent="0.3">
      <c r="A18" s="382">
        <v>16</v>
      </c>
      <c r="B18" s="1"/>
      <c r="C18" s="386"/>
      <c r="D18" s="386"/>
      <c r="E18" s="386"/>
      <c r="F18" s="38" t="str">
        <f>IF(Inventory_List_Table34111510911131718141619[[#This Row],[Q]]&lt;0.1, " ",#REF!&amp;$D$1&amp;#REF!&amp;Inventory_List_Table34111510911131718141619[[#This Row],[NOTES]])</f>
        <v xml:space="preserve"> </v>
      </c>
      <c r="G18" s="389"/>
      <c r="H18" s="389"/>
      <c r="I18" s="389"/>
      <c r="J18" s="389"/>
      <c r="K18" s="389"/>
      <c r="L18" s="391"/>
      <c r="M1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8" s="35" t="str">
        <f>IF(Inventory_List_Table34111510911131718141619[[#This Row],[Q]]&lt;0.1, " ", Inventory_List_Table34111510911131718141619[[#This Row],[KG]]*2.20462)</f>
        <v xml:space="preserve"> </v>
      </c>
      <c r="O18" s="35" t="str">
        <f>IF(Inventory_List_Table34111510911131718141619[[#This Row],[Q]]&lt;0.1, " ",Inventory_List_Table34111510911131718141619[[#This Row],[H CM]]/2.54)</f>
        <v xml:space="preserve"> </v>
      </c>
      <c r="P18" s="35" t="str">
        <f>IF(Inventory_List_Table34111510911131718141619[[#This Row],[Q]]&lt;0.1, " ",Inventory_List_Table34111510911131718141619[[#This Row],[W CM]]/2.54)</f>
        <v xml:space="preserve"> </v>
      </c>
      <c r="Q18" s="35" t="str">
        <f>IF(Inventory_List_Table34111510911131718141619[[#This Row],[Q]]&lt;0.1, " ",Inventory_List_Table34111510911131718141619[[#This Row],[D CM ]]/2.54)</f>
        <v xml:space="preserve"> </v>
      </c>
      <c r="R18" s="30" t="str">
        <f>IF(Inventory_List_Table34111510911131718141619[[#This Row],[Q]]&lt;0.1, " ",Inventory_List_Table34111510911131718141619[[#This Row],[PRICE]]/$L$1)</f>
        <v xml:space="preserve"> </v>
      </c>
      <c r="S1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8" s="30" t="str">
        <f>IF(Inventory_List_Table34111510911131718141619[[#This Row],[Q]]&lt;0.1, " ",Inventory_List_Table34111510911131718141619[[#This Row],[AQ RND USD]]*1.4)</f>
        <v xml:space="preserve"> </v>
      </c>
      <c r="U1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8" s="30" t="str">
        <f>IF(Inventory_List_Table34111510911131718141619[[#This Row],[Q]]&lt;0.1, " ",Inventory_List_Table34111510911131718141619[[#This Row],[LND RND USD]]*12)</f>
        <v xml:space="preserve"> </v>
      </c>
      <c r="W18" s="30" t="str">
        <f>IF(Inventory_List_Table34111510911131718141619[[#This Row],[Q]]&lt;0.1, " ",Inventory_List_Table34111510911131718141619[[#This Row],[AQ USD]])</f>
        <v xml:space="preserve"> </v>
      </c>
      <c r="X1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8" s="30" t="str">
        <f>IF(Inventory_List_Table34111510911131718141619[[#This Row],[Q]]&lt;0.1, " ",Inventory_List_Table34111510911131718141619[[#This Row],[PRICE]]/Z18*10000)</f>
        <v xml:space="preserve"> </v>
      </c>
      <c r="AB18" s="405"/>
      <c r="AC18" s="1"/>
      <c r="AD18" s="1"/>
    </row>
    <row r="19" spans="1:30" ht="24" customHeight="1" x14ac:dyDescent="0.3">
      <c r="A19" s="382">
        <v>17</v>
      </c>
      <c r="B19" s="1"/>
      <c r="C19" s="386"/>
      <c r="D19" s="386"/>
      <c r="E19" s="386"/>
      <c r="F19" s="38" t="str">
        <f>IF(Inventory_List_Table34111510911131718141619[[#This Row],[Q]]&lt;0.1, " ",#REF!&amp;$D$1&amp;#REF!&amp;Inventory_List_Table34111510911131718141619[[#This Row],[NOTES]])</f>
        <v xml:space="preserve"> </v>
      </c>
      <c r="G19" s="389"/>
      <c r="H19" s="389"/>
      <c r="I19" s="389"/>
      <c r="J19" s="389"/>
      <c r="K19" s="389"/>
      <c r="L19" s="391"/>
      <c r="M1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9" s="35" t="str">
        <f>IF(Inventory_List_Table34111510911131718141619[[#This Row],[Q]]&lt;0.1, " ", Inventory_List_Table34111510911131718141619[[#This Row],[KG]]*2.20462)</f>
        <v xml:space="preserve"> </v>
      </c>
      <c r="O19" s="35" t="str">
        <f>IF(Inventory_List_Table34111510911131718141619[[#This Row],[Q]]&lt;0.1, " ",Inventory_List_Table34111510911131718141619[[#This Row],[H CM]]/2.54)</f>
        <v xml:space="preserve"> </v>
      </c>
      <c r="P19" s="35" t="str">
        <f>IF(Inventory_List_Table34111510911131718141619[[#This Row],[Q]]&lt;0.1, " ",Inventory_List_Table34111510911131718141619[[#This Row],[W CM]]/2.54)</f>
        <v xml:space="preserve"> </v>
      </c>
      <c r="Q19" s="35" t="str">
        <f>IF(Inventory_List_Table34111510911131718141619[[#This Row],[Q]]&lt;0.1, " ",Inventory_List_Table34111510911131718141619[[#This Row],[D CM ]]/2.54)</f>
        <v xml:space="preserve"> </v>
      </c>
      <c r="R19" s="30" t="str">
        <f>IF(Inventory_List_Table34111510911131718141619[[#This Row],[Q]]&lt;0.1, " ",Inventory_List_Table34111510911131718141619[[#This Row],[PRICE]]/$L$1)</f>
        <v xml:space="preserve"> </v>
      </c>
      <c r="S1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9" s="30" t="str">
        <f>IF(Inventory_List_Table34111510911131718141619[[#This Row],[Q]]&lt;0.1, " ",Inventory_List_Table34111510911131718141619[[#This Row],[AQ RND USD]]*1.4)</f>
        <v xml:space="preserve"> </v>
      </c>
      <c r="U1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9" s="30" t="str">
        <f>IF(Inventory_List_Table34111510911131718141619[[#This Row],[Q]]&lt;0.1, " ",Inventory_List_Table34111510911131718141619[[#This Row],[LND RND USD]]*12)</f>
        <v xml:space="preserve"> </v>
      </c>
      <c r="W19" s="30" t="str">
        <f>IF(Inventory_List_Table34111510911131718141619[[#This Row],[Q]]&lt;0.1, " ",Inventory_List_Table34111510911131718141619[[#This Row],[AQ USD]])</f>
        <v xml:space="preserve"> </v>
      </c>
      <c r="X1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9" s="30" t="str">
        <f>IF(Inventory_List_Table34111510911131718141619[[#This Row],[Q]]&lt;0.1, " ",Inventory_List_Table34111510911131718141619[[#This Row],[PRICE]]/Z19*10000)</f>
        <v xml:space="preserve"> </v>
      </c>
      <c r="AB19" s="405"/>
      <c r="AC19" s="1"/>
      <c r="AD19" s="1"/>
    </row>
    <row r="20" spans="1:30" ht="24" customHeight="1" x14ac:dyDescent="0.3">
      <c r="A20" s="382">
        <v>18</v>
      </c>
      <c r="B20" s="1"/>
      <c r="C20" s="386"/>
      <c r="D20" s="386"/>
      <c r="E20" s="386"/>
      <c r="F20" s="38" t="str">
        <f>IF(Inventory_List_Table34111510911131718141619[[#This Row],[Q]]&lt;0.1, " ",#REF!&amp;$D$1&amp;#REF!&amp;Inventory_List_Table34111510911131718141619[[#This Row],[NOTES]])</f>
        <v xml:space="preserve"> </v>
      </c>
      <c r="G20" s="389"/>
      <c r="H20" s="389"/>
      <c r="I20" s="389"/>
      <c r="J20" s="389"/>
      <c r="K20" s="389"/>
      <c r="L20" s="391"/>
      <c r="M2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0" s="35" t="str">
        <f>IF(Inventory_List_Table34111510911131718141619[[#This Row],[Q]]&lt;0.1, " ", Inventory_List_Table34111510911131718141619[[#This Row],[KG]]*2.20462)</f>
        <v xml:space="preserve"> </v>
      </c>
      <c r="O20" s="35" t="str">
        <f>IF(Inventory_List_Table34111510911131718141619[[#This Row],[Q]]&lt;0.1, " ",Inventory_List_Table34111510911131718141619[[#This Row],[H CM]]/2.54)</f>
        <v xml:space="preserve"> </v>
      </c>
      <c r="P20" s="35" t="str">
        <f>IF(Inventory_List_Table34111510911131718141619[[#This Row],[Q]]&lt;0.1, " ",Inventory_List_Table34111510911131718141619[[#This Row],[W CM]]/2.54)</f>
        <v xml:space="preserve"> </v>
      </c>
      <c r="Q20" s="35" t="str">
        <f>IF(Inventory_List_Table34111510911131718141619[[#This Row],[Q]]&lt;0.1, " ",Inventory_List_Table34111510911131718141619[[#This Row],[D CM ]]/2.54)</f>
        <v xml:space="preserve"> </v>
      </c>
      <c r="R20" s="30" t="str">
        <f>IF(Inventory_List_Table34111510911131718141619[[#This Row],[Q]]&lt;0.1, " ",Inventory_List_Table34111510911131718141619[[#This Row],[PRICE]]/$L$1)</f>
        <v xml:space="preserve"> </v>
      </c>
      <c r="S2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0" s="30" t="str">
        <f>IF(Inventory_List_Table34111510911131718141619[[#This Row],[Q]]&lt;0.1, " ",Inventory_List_Table34111510911131718141619[[#This Row],[AQ RND USD]]*1.4)</f>
        <v xml:space="preserve"> </v>
      </c>
      <c r="U2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0" s="30" t="str">
        <f>IF(Inventory_List_Table34111510911131718141619[[#This Row],[Q]]&lt;0.1, " ",Inventory_List_Table34111510911131718141619[[#This Row],[LND RND USD]]*12)</f>
        <v xml:space="preserve"> </v>
      </c>
      <c r="W20" s="30" t="str">
        <f>IF(Inventory_List_Table34111510911131718141619[[#This Row],[Q]]&lt;0.1, " ",Inventory_List_Table34111510911131718141619[[#This Row],[AQ USD]])</f>
        <v xml:space="preserve"> </v>
      </c>
      <c r="X2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0" s="30" t="str">
        <f>IF(Inventory_List_Table34111510911131718141619[[#This Row],[Q]]&lt;0.1, " ",Inventory_List_Table34111510911131718141619[[#This Row],[PRICE]]/Z20*10000)</f>
        <v xml:space="preserve"> </v>
      </c>
      <c r="AB20" s="405"/>
      <c r="AC20" s="1"/>
      <c r="AD20" s="1"/>
    </row>
    <row r="21" spans="1:30" ht="24" customHeight="1" x14ac:dyDescent="0.3">
      <c r="A21" s="382">
        <v>19</v>
      </c>
      <c r="B21" s="1"/>
      <c r="C21" s="386"/>
      <c r="D21" s="386"/>
      <c r="E21" s="386"/>
      <c r="F21" s="38" t="str">
        <f>IF(Inventory_List_Table34111510911131718141619[[#This Row],[Q]]&lt;0.1, " ",#REF!&amp;$D$1&amp;#REF!&amp;Inventory_List_Table34111510911131718141619[[#This Row],[NOTES]])</f>
        <v xml:space="preserve"> </v>
      </c>
      <c r="G21" s="389"/>
      <c r="H21" s="389"/>
      <c r="I21" s="389"/>
      <c r="J21" s="389"/>
      <c r="K21" s="389"/>
      <c r="L21" s="391"/>
      <c r="M2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1" s="35" t="str">
        <f>IF(Inventory_List_Table34111510911131718141619[[#This Row],[Q]]&lt;0.1, " ", Inventory_List_Table34111510911131718141619[[#This Row],[KG]]*2.20462)</f>
        <v xml:space="preserve"> </v>
      </c>
      <c r="O21" s="35" t="str">
        <f>IF(Inventory_List_Table34111510911131718141619[[#This Row],[Q]]&lt;0.1, " ",Inventory_List_Table34111510911131718141619[[#This Row],[H CM]]/2.54)</f>
        <v xml:space="preserve"> </v>
      </c>
      <c r="P21" s="35" t="str">
        <f>IF(Inventory_List_Table34111510911131718141619[[#This Row],[Q]]&lt;0.1, " ",Inventory_List_Table34111510911131718141619[[#This Row],[W CM]]/2.54)</f>
        <v xml:space="preserve"> </v>
      </c>
      <c r="Q21" s="35" t="str">
        <f>IF(Inventory_List_Table34111510911131718141619[[#This Row],[Q]]&lt;0.1, " ",Inventory_List_Table34111510911131718141619[[#This Row],[D CM ]]/2.54)</f>
        <v xml:space="preserve"> </v>
      </c>
      <c r="R21" s="30" t="str">
        <f>IF(Inventory_List_Table34111510911131718141619[[#This Row],[Q]]&lt;0.1, " ",Inventory_List_Table34111510911131718141619[[#This Row],[PRICE]]/$L$1)</f>
        <v xml:space="preserve"> </v>
      </c>
      <c r="S2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1" s="30" t="str">
        <f>IF(Inventory_List_Table34111510911131718141619[[#This Row],[Q]]&lt;0.1, " ",Inventory_List_Table34111510911131718141619[[#This Row],[AQ RND USD]]*1.4)</f>
        <v xml:space="preserve"> </v>
      </c>
      <c r="U2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1" s="30" t="str">
        <f>IF(Inventory_List_Table34111510911131718141619[[#This Row],[Q]]&lt;0.1, " ",Inventory_List_Table34111510911131718141619[[#This Row],[LND RND USD]]*12)</f>
        <v xml:space="preserve"> </v>
      </c>
      <c r="W21" s="30" t="str">
        <f>IF(Inventory_List_Table34111510911131718141619[[#This Row],[Q]]&lt;0.1, " ",Inventory_List_Table34111510911131718141619[[#This Row],[AQ USD]])</f>
        <v xml:space="preserve"> </v>
      </c>
      <c r="X2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1" s="30" t="str">
        <f>IF(Inventory_List_Table34111510911131718141619[[#This Row],[Q]]&lt;0.1, " ",Inventory_List_Table34111510911131718141619[[#This Row],[PRICE]]/Z21*10000)</f>
        <v xml:space="preserve"> </v>
      </c>
      <c r="AB21" s="405"/>
      <c r="AC21" s="1"/>
      <c r="AD21" s="1"/>
    </row>
    <row r="22" spans="1:30" ht="24" customHeight="1" x14ac:dyDescent="0.3">
      <c r="A22" s="382">
        <v>20</v>
      </c>
      <c r="B22" s="1"/>
      <c r="C22" s="386"/>
      <c r="D22" s="386"/>
      <c r="E22" s="386"/>
      <c r="F22" s="38" t="str">
        <f>IF(Inventory_List_Table34111510911131718141619[[#This Row],[Q]]&lt;0.1, " ",#REF!&amp;$D$1&amp;#REF!&amp;Inventory_List_Table34111510911131718141619[[#This Row],[NOTES]])</f>
        <v xml:space="preserve"> </v>
      </c>
      <c r="G22" s="389"/>
      <c r="H22" s="389"/>
      <c r="I22" s="389"/>
      <c r="J22" s="389"/>
      <c r="K22" s="389"/>
      <c r="L22" s="391"/>
      <c r="M2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2" s="35" t="str">
        <f>IF(Inventory_List_Table34111510911131718141619[[#This Row],[Q]]&lt;0.1, " ", Inventory_List_Table34111510911131718141619[[#This Row],[KG]]*2.20462)</f>
        <v xml:space="preserve"> </v>
      </c>
      <c r="O22" s="35" t="str">
        <f>IF(Inventory_List_Table34111510911131718141619[[#This Row],[Q]]&lt;0.1, " ",Inventory_List_Table34111510911131718141619[[#This Row],[H CM]]/2.54)</f>
        <v xml:space="preserve"> </v>
      </c>
      <c r="P22" s="35" t="str">
        <f>IF(Inventory_List_Table34111510911131718141619[[#This Row],[Q]]&lt;0.1, " ",Inventory_List_Table34111510911131718141619[[#This Row],[W CM]]/2.54)</f>
        <v xml:space="preserve"> </v>
      </c>
      <c r="Q22" s="35" t="str">
        <f>IF(Inventory_List_Table34111510911131718141619[[#This Row],[Q]]&lt;0.1, " ",Inventory_List_Table34111510911131718141619[[#This Row],[D CM ]]/2.54)</f>
        <v xml:space="preserve"> </v>
      </c>
      <c r="R22" s="30" t="str">
        <f>IF(Inventory_List_Table34111510911131718141619[[#This Row],[Q]]&lt;0.1, " ",Inventory_List_Table34111510911131718141619[[#This Row],[PRICE]]/$L$1)</f>
        <v xml:space="preserve"> </v>
      </c>
      <c r="S2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2" s="30" t="str">
        <f>IF(Inventory_List_Table34111510911131718141619[[#This Row],[Q]]&lt;0.1, " ",Inventory_List_Table34111510911131718141619[[#This Row],[AQ RND USD]]*1.4)</f>
        <v xml:space="preserve"> </v>
      </c>
      <c r="U2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2" s="30" t="str">
        <f>IF(Inventory_List_Table34111510911131718141619[[#This Row],[Q]]&lt;0.1, " ",Inventory_List_Table34111510911131718141619[[#This Row],[LND RND USD]]*12)</f>
        <v xml:space="preserve"> </v>
      </c>
      <c r="W22" s="30" t="str">
        <f>IF(Inventory_List_Table34111510911131718141619[[#This Row],[Q]]&lt;0.1, " ",Inventory_List_Table34111510911131718141619[[#This Row],[AQ USD]])</f>
        <v xml:space="preserve"> </v>
      </c>
      <c r="X2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2" s="30" t="str">
        <f>IF(Inventory_List_Table34111510911131718141619[[#This Row],[Q]]&lt;0.1, " ",Inventory_List_Table34111510911131718141619[[#This Row],[PRICE]]/Z22*10000)</f>
        <v xml:space="preserve"> </v>
      </c>
      <c r="AB22" s="405"/>
      <c r="AC22" s="1"/>
      <c r="AD22" s="1"/>
    </row>
    <row r="23" spans="1:30" ht="24" customHeight="1" x14ac:dyDescent="0.3">
      <c r="A23" s="382">
        <v>21</v>
      </c>
      <c r="B23" s="1"/>
      <c r="C23" s="386"/>
      <c r="D23" s="386"/>
      <c r="E23" s="386"/>
      <c r="F23" s="38" t="str">
        <f>IF(Inventory_List_Table34111510911131718141619[[#This Row],[Q]]&lt;0.1, " ",#REF!&amp;$D$1&amp;#REF!&amp;Inventory_List_Table34111510911131718141619[[#This Row],[NOTES]])</f>
        <v xml:space="preserve"> </v>
      </c>
      <c r="G23" s="389"/>
      <c r="H23" s="389"/>
      <c r="I23" s="389"/>
      <c r="J23" s="389"/>
      <c r="K23" s="389"/>
      <c r="L23" s="391"/>
      <c r="M2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3" s="35" t="str">
        <f>IF(Inventory_List_Table34111510911131718141619[[#This Row],[Q]]&lt;0.1, " ", Inventory_List_Table34111510911131718141619[[#This Row],[KG]]*2.20462)</f>
        <v xml:space="preserve"> </v>
      </c>
      <c r="O23" s="35" t="str">
        <f>IF(Inventory_List_Table34111510911131718141619[[#This Row],[Q]]&lt;0.1, " ",Inventory_List_Table34111510911131718141619[[#This Row],[H CM]]/2.54)</f>
        <v xml:space="preserve"> </v>
      </c>
      <c r="P23" s="35" t="str">
        <f>IF(Inventory_List_Table34111510911131718141619[[#This Row],[Q]]&lt;0.1, " ",Inventory_List_Table34111510911131718141619[[#This Row],[W CM]]/2.54)</f>
        <v xml:space="preserve"> </v>
      </c>
      <c r="Q23" s="35" t="str">
        <f>IF(Inventory_List_Table34111510911131718141619[[#This Row],[Q]]&lt;0.1, " ",Inventory_List_Table34111510911131718141619[[#This Row],[D CM ]]/2.54)</f>
        <v xml:space="preserve"> </v>
      </c>
      <c r="R23" s="30" t="str">
        <f>IF(Inventory_List_Table34111510911131718141619[[#This Row],[Q]]&lt;0.1, " ",Inventory_List_Table34111510911131718141619[[#This Row],[PRICE]]/$L$1)</f>
        <v xml:space="preserve"> </v>
      </c>
      <c r="S2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3" s="30" t="str">
        <f>IF(Inventory_List_Table34111510911131718141619[[#This Row],[Q]]&lt;0.1, " ",Inventory_List_Table34111510911131718141619[[#This Row],[AQ RND USD]]*1.4)</f>
        <v xml:space="preserve"> </v>
      </c>
      <c r="U2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3" s="30" t="str">
        <f>IF(Inventory_List_Table34111510911131718141619[[#This Row],[Q]]&lt;0.1, " ",Inventory_List_Table34111510911131718141619[[#This Row],[LND RND USD]]*12)</f>
        <v xml:space="preserve"> </v>
      </c>
      <c r="W23" s="30" t="str">
        <f>IF(Inventory_List_Table34111510911131718141619[[#This Row],[Q]]&lt;0.1, " ",Inventory_List_Table34111510911131718141619[[#This Row],[AQ USD]])</f>
        <v xml:space="preserve"> </v>
      </c>
      <c r="X2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3" s="30" t="str">
        <f>IF(Inventory_List_Table34111510911131718141619[[#This Row],[Q]]&lt;0.1, " ",Inventory_List_Table34111510911131718141619[[#This Row],[PRICE]]/Z23*10000)</f>
        <v xml:space="preserve"> </v>
      </c>
      <c r="AB23" s="405"/>
      <c r="AC23" s="1"/>
      <c r="AD23" s="1"/>
    </row>
    <row r="24" spans="1:30" ht="24" customHeight="1" x14ac:dyDescent="0.3">
      <c r="A24" s="382">
        <v>22</v>
      </c>
      <c r="B24" s="1"/>
      <c r="C24" s="386"/>
      <c r="D24" s="386"/>
      <c r="E24" s="386"/>
      <c r="F24" s="38" t="str">
        <f>IF(Inventory_List_Table34111510911131718141619[[#This Row],[Q]]&lt;0.1, " ",#REF!&amp;$D$1&amp;#REF!&amp;Inventory_List_Table34111510911131718141619[[#This Row],[NOTES]])</f>
        <v xml:space="preserve"> </v>
      </c>
      <c r="G24" s="389"/>
      <c r="H24" s="389"/>
      <c r="I24" s="389"/>
      <c r="J24" s="389"/>
      <c r="K24" s="389"/>
      <c r="L24" s="391"/>
      <c r="M2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4" s="35" t="str">
        <f>IF(Inventory_List_Table34111510911131718141619[[#This Row],[Q]]&lt;0.1, " ", Inventory_List_Table34111510911131718141619[[#This Row],[KG]]*2.20462)</f>
        <v xml:space="preserve"> </v>
      </c>
      <c r="O24" s="35" t="str">
        <f>IF(Inventory_List_Table34111510911131718141619[[#This Row],[Q]]&lt;0.1, " ",Inventory_List_Table34111510911131718141619[[#This Row],[H CM]]/2.54)</f>
        <v xml:space="preserve"> </v>
      </c>
      <c r="P24" s="35" t="str">
        <f>IF(Inventory_List_Table34111510911131718141619[[#This Row],[Q]]&lt;0.1, " ",Inventory_List_Table34111510911131718141619[[#This Row],[W CM]]/2.54)</f>
        <v xml:space="preserve"> </v>
      </c>
      <c r="Q24" s="35" t="str">
        <f>IF(Inventory_List_Table34111510911131718141619[[#This Row],[Q]]&lt;0.1, " ",Inventory_List_Table34111510911131718141619[[#This Row],[D CM ]]/2.54)</f>
        <v xml:space="preserve"> </v>
      </c>
      <c r="R24" s="30" t="str">
        <f>IF(Inventory_List_Table34111510911131718141619[[#This Row],[Q]]&lt;0.1, " ",Inventory_List_Table34111510911131718141619[[#This Row],[PRICE]]/$L$1)</f>
        <v xml:space="preserve"> </v>
      </c>
      <c r="S2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4" s="30" t="str">
        <f>IF(Inventory_List_Table34111510911131718141619[[#This Row],[Q]]&lt;0.1, " ",Inventory_List_Table34111510911131718141619[[#This Row],[AQ RND USD]]*1.4)</f>
        <v xml:space="preserve"> </v>
      </c>
      <c r="U2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4" s="30" t="str">
        <f>IF(Inventory_List_Table34111510911131718141619[[#This Row],[Q]]&lt;0.1, " ",Inventory_List_Table34111510911131718141619[[#This Row],[LND RND USD]]*12)</f>
        <v xml:space="preserve"> </v>
      </c>
      <c r="W24" s="30" t="str">
        <f>IF(Inventory_List_Table34111510911131718141619[[#This Row],[Q]]&lt;0.1, " ",Inventory_List_Table34111510911131718141619[[#This Row],[AQ USD]])</f>
        <v xml:space="preserve"> </v>
      </c>
      <c r="X2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4" s="30" t="str">
        <f>IF(Inventory_List_Table34111510911131718141619[[#This Row],[Q]]&lt;0.1, " ",Inventory_List_Table34111510911131718141619[[#This Row],[PRICE]]/Z24*10000)</f>
        <v xml:space="preserve"> </v>
      </c>
      <c r="AB24" s="405"/>
      <c r="AC24" s="1"/>
      <c r="AD24" s="1"/>
    </row>
    <row r="25" spans="1:30" ht="24" customHeight="1" x14ac:dyDescent="0.3">
      <c r="A25" s="382">
        <v>23</v>
      </c>
      <c r="B25" s="1"/>
      <c r="C25" s="386"/>
      <c r="D25" s="386"/>
      <c r="E25" s="386"/>
      <c r="F25" s="38" t="str">
        <f>IF(Inventory_List_Table34111510911131718141619[[#This Row],[Q]]&lt;0.1, " ",#REF!&amp;$D$1&amp;#REF!&amp;Inventory_List_Table34111510911131718141619[[#This Row],[NOTES]])</f>
        <v xml:space="preserve"> </v>
      </c>
      <c r="G25" s="389"/>
      <c r="H25" s="389"/>
      <c r="I25" s="389"/>
      <c r="J25" s="389"/>
      <c r="K25" s="389"/>
      <c r="L25" s="391"/>
      <c r="M2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5" s="35" t="str">
        <f>IF(Inventory_List_Table34111510911131718141619[[#This Row],[Q]]&lt;0.1, " ", Inventory_List_Table34111510911131718141619[[#This Row],[KG]]*2.20462)</f>
        <v xml:space="preserve"> </v>
      </c>
      <c r="O25" s="35" t="str">
        <f>IF(Inventory_List_Table34111510911131718141619[[#This Row],[Q]]&lt;0.1, " ",Inventory_List_Table34111510911131718141619[[#This Row],[H CM]]/2.54)</f>
        <v xml:space="preserve"> </v>
      </c>
      <c r="P25" s="35" t="str">
        <f>IF(Inventory_List_Table34111510911131718141619[[#This Row],[Q]]&lt;0.1, " ",Inventory_List_Table34111510911131718141619[[#This Row],[W CM]]/2.54)</f>
        <v xml:space="preserve"> </v>
      </c>
      <c r="Q25" s="35" t="str">
        <f>IF(Inventory_List_Table34111510911131718141619[[#This Row],[Q]]&lt;0.1, " ",Inventory_List_Table34111510911131718141619[[#This Row],[D CM ]]/2.54)</f>
        <v xml:space="preserve"> </v>
      </c>
      <c r="R25" s="30" t="str">
        <f>IF(Inventory_List_Table34111510911131718141619[[#This Row],[Q]]&lt;0.1, " ",Inventory_List_Table34111510911131718141619[[#This Row],[PRICE]]/$L$1)</f>
        <v xml:space="preserve"> </v>
      </c>
      <c r="S2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5" s="30" t="str">
        <f>IF(Inventory_List_Table34111510911131718141619[[#This Row],[Q]]&lt;0.1, " ",Inventory_List_Table34111510911131718141619[[#This Row],[AQ RND USD]]*1.4)</f>
        <v xml:space="preserve"> </v>
      </c>
      <c r="U2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5" s="30" t="str">
        <f>IF(Inventory_List_Table34111510911131718141619[[#This Row],[Q]]&lt;0.1, " ",Inventory_List_Table34111510911131718141619[[#This Row],[LND RND USD]]*12)</f>
        <v xml:space="preserve"> </v>
      </c>
      <c r="W25" s="30" t="str">
        <f>IF(Inventory_List_Table34111510911131718141619[[#This Row],[Q]]&lt;0.1, " ",Inventory_List_Table34111510911131718141619[[#This Row],[AQ USD]])</f>
        <v xml:space="preserve"> </v>
      </c>
      <c r="X2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5" s="30" t="str">
        <f>IF(Inventory_List_Table34111510911131718141619[[#This Row],[Q]]&lt;0.1, " ",Inventory_List_Table34111510911131718141619[[#This Row],[PRICE]]/Z25*10000)</f>
        <v xml:space="preserve"> </v>
      </c>
      <c r="AB25" s="405"/>
      <c r="AC25" s="1"/>
      <c r="AD25" s="1"/>
    </row>
    <row r="26" spans="1:30" ht="24" customHeight="1" x14ac:dyDescent="0.3">
      <c r="A26" s="382">
        <v>24</v>
      </c>
      <c r="B26" s="1"/>
      <c r="C26" s="386"/>
      <c r="D26" s="386"/>
      <c r="E26" s="386"/>
      <c r="F26" s="38" t="str">
        <f>IF(Inventory_List_Table34111510911131718141619[[#This Row],[Q]]&lt;0.1, " ",#REF!&amp;$D$1&amp;#REF!&amp;Inventory_List_Table34111510911131718141619[[#This Row],[NOTES]])</f>
        <v xml:space="preserve"> </v>
      </c>
      <c r="G26" s="389"/>
      <c r="H26" s="389"/>
      <c r="I26" s="389"/>
      <c r="J26" s="389"/>
      <c r="K26" s="389"/>
      <c r="L26" s="391"/>
      <c r="M2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6" s="35" t="str">
        <f>IF(Inventory_List_Table34111510911131718141619[[#This Row],[Q]]&lt;0.1, " ", Inventory_List_Table34111510911131718141619[[#This Row],[KG]]*2.20462)</f>
        <v xml:space="preserve"> </v>
      </c>
      <c r="O26" s="35" t="str">
        <f>IF(Inventory_List_Table34111510911131718141619[[#This Row],[Q]]&lt;0.1, " ",Inventory_List_Table34111510911131718141619[[#This Row],[H CM]]/2.54)</f>
        <v xml:space="preserve"> </v>
      </c>
      <c r="P26" s="35" t="str">
        <f>IF(Inventory_List_Table34111510911131718141619[[#This Row],[Q]]&lt;0.1, " ",Inventory_List_Table34111510911131718141619[[#This Row],[W CM]]/2.54)</f>
        <v xml:space="preserve"> </v>
      </c>
      <c r="Q26" s="35" t="str">
        <f>IF(Inventory_List_Table34111510911131718141619[[#This Row],[Q]]&lt;0.1, " ",Inventory_List_Table34111510911131718141619[[#This Row],[D CM ]]/2.54)</f>
        <v xml:space="preserve"> </v>
      </c>
      <c r="R26" s="30" t="str">
        <f>IF(Inventory_List_Table34111510911131718141619[[#This Row],[Q]]&lt;0.1, " ",Inventory_List_Table34111510911131718141619[[#This Row],[PRICE]]/$L$1)</f>
        <v xml:space="preserve"> </v>
      </c>
      <c r="S2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6" s="30" t="str">
        <f>IF(Inventory_List_Table34111510911131718141619[[#This Row],[Q]]&lt;0.1, " ",Inventory_List_Table34111510911131718141619[[#This Row],[AQ RND USD]]*1.4)</f>
        <v xml:space="preserve"> </v>
      </c>
      <c r="U2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6" s="30" t="str">
        <f>IF(Inventory_List_Table34111510911131718141619[[#This Row],[Q]]&lt;0.1, " ",Inventory_List_Table34111510911131718141619[[#This Row],[LND RND USD]]*12)</f>
        <v xml:space="preserve"> </v>
      </c>
      <c r="W26" s="30" t="str">
        <f>IF(Inventory_List_Table34111510911131718141619[[#This Row],[Q]]&lt;0.1, " ",Inventory_List_Table34111510911131718141619[[#This Row],[AQ USD]])</f>
        <v xml:space="preserve"> </v>
      </c>
      <c r="X2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6" s="30" t="str">
        <f>IF(Inventory_List_Table34111510911131718141619[[#This Row],[Q]]&lt;0.1, " ",Inventory_List_Table34111510911131718141619[[#This Row],[PRICE]]/Z26*10000)</f>
        <v xml:space="preserve"> </v>
      </c>
      <c r="AB26" s="405"/>
      <c r="AC26" s="1"/>
      <c r="AD26" s="1"/>
    </row>
    <row r="27" spans="1:30" ht="24" customHeight="1" x14ac:dyDescent="0.3">
      <c r="A27" s="382">
        <v>25</v>
      </c>
      <c r="B27" s="1"/>
      <c r="C27" s="386"/>
      <c r="D27" s="386"/>
      <c r="E27" s="386"/>
      <c r="F27" s="38" t="str">
        <f>IF(Inventory_List_Table34111510911131718141619[[#This Row],[Q]]&lt;0.1, " ",#REF!&amp;$D$1&amp;#REF!&amp;Inventory_List_Table34111510911131718141619[[#This Row],[NOTES]])</f>
        <v xml:space="preserve"> </v>
      </c>
      <c r="G27" s="389"/>
      <c r="H27" s="389"/>
      <c r="I27" s="389"/>
      <c r="J27" s="389"/>
      <c r="K27" s="389"/>
      <c r="L27" s="391"/>
      <c r="M2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7" s="35" t="str">
        <f>IF(Inventory_List_Table34111510911131718141619[[#This Row],[Q]]&lt;0.1, " ", Inventory_List_Table34111510911131718141619[[#This Row],[KG]]*2.20462)</f>
        <v xml:space="preserve"> </v>
      </c>
      <c r="O27" s="35" t="str">
        <f>IF(Inventory_List_Table34111510911131718141619[[#This Row],[Q]]&lt;0.1, " ",Inventory_List_Table34111510911131718141619[[#This Row],[H CM]]/2.54)</f>
        <v xml:space="preserve"> </v>
      </c>
      <c r="P27" s="35" t="str">
        <f>IF(Inventory_List_Table34111510911131718141619[[#This Row],[Q]]&lt;0.1, " ",Inventory_List_Table34111510911131718141619[[#This Row],[W CM]]/2.54)</f>
        <v xml:space="preserve"> </v>
      </c>
      <c r="Q27" s="35" t="str">
        <f>IF(Inventory_List_Table34111510911131718141619[[#This Row],[Q]]&lt;0.1, " ",Inventory_List_Table34111510911131718141619[[#This Row],[D CM ]]/2.54)</f>
        <v xml:space="preserve"> </v>
      </c>
      <c r="R27" s="30" t="str">
        <f>IF(Inventory_List_Table34111510911131718141619[[#This Row],[Q]]&lt;0.1, " ",Inventory_List_Table34111510911131718141619[[#This Row],[PRICE]]/$L$1)</f>
        <v xml:space="preserve"> </v>
      </c>
      <c r="S2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7" s="30" t="str">
        <f>IF(Inventory_List_Table34111510911131718141619[[#This Row],[Q]]&lt;0.1, " ",Inventory_List_Table34111510911131718141619[[#This Row],[AQ RND USD]]*1.4)</f>
        <v xml:space="preserve"> </v>
      </c>
      <c r="U2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7" s="30" t="str">
        <f>IF(Inventory_List_Table34111510911131718141619[[#This Row],[Q]]&lt;0.1, " ",Inventory_List_Table34111510911131718141619[[#This Row],[LND RND USD]]*12)</f>
        <v xml:space="preserve"> </v>
      </c>
      <c r="W27" s="30" t="str">
        <f>IF(Inventory_List_Table34111510911131718141619[[#This Row],[Q]]&lt;0.1, " ",Inventory_List_Table34111510911131718141619[[#This Row],[AQ USD]])</f>
        <v xml:space="preserve"> </v>
      </c>
      <c r="X2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7" s="30" t="str">
        <f>IF(Inventory_List_Table34111510911131718141619[[#This Row],[Q]]&lt;0.1, " ",Inventory_List_Table34111510911131718141619[[#This Row],[PRICE]]/Z27*10000)</f>
        <v xml:space="preserve"> </v>
      </c>
      <c r="AB27" s="405"/>
      <c r="AC27" s="1"/>
      <c r="AD27" s="1"/>
    </row>
    <row r="28" spans="1:30" ht="24" customHeight="1" x14ac:dyDescent="0.3">
      <c r="A28" s="382">
        <v>26</v>
      </c>
      <c r="B28" s="1"/>
      <c r="C28" s="386"/>
      <c r="D28" s="386"/>
      <c r="E28" s="386"/>
      <c r="F28" s="38" t="str">
        <f>IF(Inventory_List_Table34111510911131718141619[[#This Row],[Q]]&lt;0.1, " ",#REF!&amp;$D$1&amp;#REF!&amp;Inventory_List_Table34111510911131718141619[[#This Row],[NOTES]])</f>
        <v xml:space="preserve"> </v>
      </c>
      <c r="G28" s="389"/>
      <c r="H28" s="389"/>
      <c r="I28" s="389"/>
      <c r="J28" s="389"/>
      <c r="K28" s="389"/>
      <c r="L28" s="391"/>
      <c r="M2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8" s="35" t="str">
        <f>IF(Inventory_List_Table34111510911131718141619[[#This Row],[Q]]&lt;0.1, " ", Inventory_List_Table34111510911131718141619[[#This Row],[KG]]*2.20462)</f>
        <v xml:space="preserve"> </v>
      </c>
      <c r="O28" s="35" t="str">
        <f>IF(Inventory_List_Table34111510911131718141619[[#This Row],[Q]]&lt;0.1, " ",Inventory_List_Table34111510911131718141619[[#This Row],[H CM]]/2.54)</f>
        <v xml:space="preserve"> </v>
      </c>
      <c r="P28" s="35" t="str">
        <f>IF(Inventory_List_Table34111510911131718141619[[#This Row],[Q]]&lt;0.1, " ",Inventory_List_Table34111510911131718141619[[#This Row],[W CM]]/2.54)</f>
        <v xml:space="preserve"> </v>
      </c>
      <c r="Q28" s="35" t="str">
        <f>IF(Inventory_List_Table34111510911131718141619[[#This Row],[Q]]&lt;0.1, " ",Inventory_List_Table34111510911131718141619[[#This Row],[D CM ]]/2.54)</f>
        <v xml:space="preserve"> </v>
      </c>
      <c r="R28" s="30" t="str">
        <f>IF(Inventory_List_Table34111510911131718141619[[#This Row],[Q]]&lt;0.1, " ",Inventory_List_Table34111510911131718141619[[#This Row],[PRICE]]/$L$1)</f>
        <v xml:space="preserve"> </v>
      </c>
      <c r="S2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8" s="30" t="str">
        <f>IF(Inventory_List_Table34111510911131718141619[[#This Row],[Q]]&lt;0.1, " ",Inventory_List_Table34111510911131718141619[[#This Row],[AQ RND USD]]*1.4)</f>
        <v xml:space="preserve"> </v>
      </c>
      <c r="U2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8" s="30" t="str">
        <f>IF(Inventory_List_Table34111510911131718141619[[#This Row],[Q]]&lt;0.1, " ",Inventory_List_Table34111510911131718141619[[#This Row],[LND RND USD]]*12)</f>
        <v xml:space="preserve"> </v>
      </c>
      <c r="W28" s="30" t="str">
        <f>IF(Inventory_List_Table34111510911131718141619[[#This Row],[Q]]&lt;0.1, " ",Inventory_List_Table34111510911131718141619[[#This Row],[AQ USD]])</f>
        <v xml:space="preserve"> </v>
      </c>
      <c r="X2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8" s="30" t="str">
        <f>IF(Inventory_List_Table34111510911131718141619[[#This Row],[Q]]&lt;0.1, " ",Inventory_List_Table34111510911131718141619[[#This Row],[PRICE]]/Z28*10000)</f>
        <v xml:space="preserve"> </v>
      </c>
      <c r="AB28" s="405"/>
      <c r="AC28" s="1"/>
      <c r="AD28" s="1"/>
    </row>
    <row r="29" spans="1:30" ht="24" customHeight="1" x14ac:dyDescent="0.3">
      <c r="A29" s="382">
        <v>27</v>
      </c>
      <c r="B29" s="1"/>
      <c r="C29" s="386"/>
      <c r="D29" s="386"/>
      <c r="E29" s="386"/>
      <c r="F29" s="38" t="str">
        <f>IF(Inventory_List_Table34111510911131718141619[[#This Row],[Q]]&lt;0.1, " ",#REF!&amp;$D$1&amp;#REF!&amp;Inventory_List_Table34111510911131718141619[[#This Row],[NOTES]])</f>
        <v xml:space="preserve"> </v>
      </c>
      <c r="G29" s="389"/>
      <c r="H29" s="389"/>
      <c r="I29" s="389"/>
      <c r="J29" s="389"/>
      <c r="K29" s="389"/>
      <c r="L29" s="391"/>
      <c r="M2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29" s="35" t="str">
        <f>IF(Inventory_List_Table34111510911131718141619[[#This Row],[Q]]&lt;0.1, " ", Inventory_List_Table34111510911131718141619[[#This Row],[KG]]*2.20462)</f>
        <v xml:space="preserve"> </v>
      </c>
      <c r="O29" s="35" t="str">
        <f>IF(Inventory_List_Table34111510911131718141619[[#This Row],[Q]]&lt;0.1, " ",Inventory_List_Table34111510911131718141619[[#This Row],[H CM]]/2.54)</f>
        <v xml:space="preserve"> </v>
      </c>
      <c r="P29" s="35" t="str">
        <f>IF(Inventory_List_Table34111510911131718141619[[#This Row],[Q]]&lt;0.1, " ",Inventory_List_Table34111510911131718141619[[#This Row],[W CM]]/2.54)</f>
        <v xml:space="preserve"> </v>
      </c>
      <c r="Q29" s="35" t="str">
        <f>IF(Inventory_List_Table34111510911131718141619[[#This Row],[Q]]&lt;0.1, " ",Inventory_List_Table34111510911131718141619[[#This Row],[D CM ]]/2.54)</f>
        <v xml:space="preserve"> </v>
      </c>
      <c r="R29" s="30" t="str">
        <f>IF(Inventory_List_Table34111510911131718141619[[#This Row],[Q]]&lt;0.1, " ",Inventory_List_Table34111510911131718141619[[#This Row],[PRICE]]/$L$1)</f>
        <v xml:space="preserve"> </v>
      </c>
      <c r="S2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29" s="30" t="str">
        <f>IF(Inventory_List_Table34111510911131718141619[[#This Row],[Q]]&lt;0.1, " ",Inventory_List_Table34111510911131718141619[[#This Row],[AQ RND USD]]*1.4)</f>
        <v xml:space="preserve"> </v>
      </c>
      <c r="U2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29" s="30" t="str">
        <f>IF(Inventory_List_Table34111510911131718141619[[#This Row],[Q]]&lt;0.1, " ",Inventory_List_Table34111510911131718141619[[#This Row],[LND RND USD]]*12)</f>
        <v xml:space="preserve"> </v>
      </c>
      <c r="W29" s="30" t="str">
        <f>IF(Inventory_List_Table34111510911131718141619[[#This Row],[Q]]&lt;0.1, " ",Inventory_List_Table34111510911131718141619[[#This Row],[AQ USD]])</f>
        <v xml:space="preserve"> </v>
      </c>
      <c r="X2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2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2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29" s="30" t="str">
        <f>IF(Inventory_List_Table34111510911131718141619[[#This Row],[Q]]&lt;0.1, " ",Inventory_List_Table34111510911131718141619[[#This Row],[PRICE]]/Z29*10000)</f>
        <v xml:space="preserve"> </v>
      </c>
      <c r="AB29" s="405"/>
      <c r="AC29" s="1"/>
      <c r="AD29" s="1"/>
    </row>
    <row r="30" spans="1:30" ht="24" customHeight="1" x14ac:dyDescent="0.3">
      <c r="A30" s="382">
        <v>28</v>
      </c>
      <c r="B30" s="1"/>
      <c r="C30" s="386"/>
      <c r="D30" s="386"/>
      <c r="E30" s="386"/>
      <c r="F30" s="38" t="str">
        <f>IF(Inventory_List_Table34111510911131718141619[[#This Row],[Q]]&lt;0.1, " ",#REF!&amp;$D$1&amp;#REF!&amp;Inventory_List_Table34111510911131718141619[[#This Row],[NOTES]])</f>
        <v xml:space="preserve"> </v>
      </c>
      <c r="G30" s="389"/>
      <c r="H30" s="389"/>
      <c r="I30" s="389"/>
      <c r="J30" s="389"/>
      <c r="K30" s="389"/>
      <c r="L30" s="391"/>
      <c r="M3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0" s="35" t="str">
        <f>IF(Inventory_List_Table34111510911131718141619[[#This Row],[Q]]&lt;0.1, " ", Inventory_List_Table34111510911131718141619[[#This Row],[KG]]*2.20462)</f>
        <v xml:space="preserve"> </v>
      </c>
      <c r="O30" s="35" t="str">
        <f>IF(Inventory_List_Table34111510911131718141619[[#This Row],[Q]]&lt;0.1, " ",Inventory_List_Table34111510911131718141619[[#This Row],[H CM]]/2.54)</f>
        <v xml:space="preserve"> </v>
      </c>
      <c r="P30" s="35" t="str">
        <f>IF(Inventory_List_Table34111510911131718141619[[#This Row],[Q]]&lt;0.1, " ",Inventory_List_Table34111510911131718141619[[#This Row],[W CM]]/2.54)</f>
        <v xml:space="preserve"> </v>
      </c>
      <c r="Q30" s="35" t="str">
        <f>IF(Inventory_List_Table34111510911131718141619[[#This Row],[Q]]&lt;0.1, " ",Inventory_List_Table34111510911131718141619[[#This Row],[D CM ]]/2.54)</f>
        <v xml:space="preserve"> </v>
      </c>
      <c r="R30" s="30" t="str">
        <f>IF(Inventory_List_Table34111510911131718141619[[#This Row],[Q]]&lt;0.1, " ",Inventory_List_Table34111510911131718141619[[#This Row],[PRICE]]/$L$1)</f>
        <v xml:space="preserve"> </v>
      </c>
      <c r="S3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0" s="30" t="str">
        <f>IF(Inventory_List_Table34111510911131718141619[[#This Row],[Q]]&lt;0.1, " ",Inventory_List_Table34111510911131718141619[[#This Row],[AQ RND USD]]*1.4)</f>
        <v xml:space="preserve"> </v>
      </c>
      <c r="U3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0" s="30" t="str">
        <f>IF(Inventory_List_Table34111510911131718141619[[#This Row],[Q]]&lt;0.1, " ",Inventory_List_Table34111510911131718141619[[#This Row],[LND RND USD]]*12)</f>
        <v xml:space="preserve"> </v>
      </c>
      <c r="W30" s="30" t="str">
        <f>IF(Inventory_List_Table34111510911131718141619[[#This Row],[Q]]&lt;0.1, " ",Inventory_List_Table34111510911131718141619[[#This Row],[AQ USD]])</f>
        <v xml:space="preserve"> </v>
      </c>
      <c r="X3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0" s="30" t="str">
        <f>IF(Inventory_List_Table34111510911131718141619[[#This Row],[Q]]&lt;0.1, " ",Inventory_List_Table34111510911131718141619[[#This Row],[PRICE]]/Z30*10000)</f>
        <v xml:space="preserve"> </v>
      </c>
      <c r="AB30" s="405"/>
      <c r="AC30" s="1"/>
      <c r="AD30" s="1"/>
    </row>
    <row r="31" spans="1:30" ht="24" customHeight="1" x14ac:dyDescent="0.3">
      <c r="A31" s="382">
        <v>29</v>
      </c>
      <c r="B31" s="1"/>
      <c r="C31" s="386"/>
      <c r="D31" s="386"/>
      <c r="E31" s="386"/>
      <c r="F31" s="38" t="str">
        <f>IF(Inventory_List_Table34111510911131718141619[[#This Row],[Q]]&lt;0.1, " ",#REF!&amp;$D$1&amp;#REF!&amp;Inventory_List_Table34111510911131718141619[[#This Row],[NOTES]])</f>
        <v xml:space="preserve"> </v>
      </c>
      <c r="G31" s="389"/>
      <c r="H31" s="389"/>
      <c r="I31" s="389"/>
      <c r="J31" s="389"/>
      <c r="K31" s="389"/>
      <c r="L31" s="391"/>
      <c r="M3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1" s="35" t="str">
        <f>IF(Inventory_List_Table34111510911131718141619[[#This Row],[Q]]&lt;0.1, " ", Inventory_List_Table34111510911131718141619[[#This Row],[KG]]*2.20462)</f>
        <v xml:space="preserve"> </v>
      </c>
      <c r="O31" s="35" t="str">
        <f>IF(Inventory_List_Table34111510911131718141619[[#This Row],[Q]]&lt;0.1, " ",Inventory_List_Table34111510911131718141619[[#This Row],[H CM]]/2.54)</f>
        <v xml:space="preserve"> </v>
      </c>
      <c r="P31" s="35" t="str">
        <f>IF(Inventory_List_Table34111510911131718141619[[#This Row],[Q]]&lt;0.1, " ",Inventory_List_Table34111510911131718141619[[#This Row],[W CM]]/2.54)</f>
        <v xml:space="preserve"> </v>
      </c>
      <c r="Q31" s="35" t="str">
        <f>IF(Inventory_List_Table34111510911131718141619[[#This Row],[Q]]&lt;0.1, " ",Inventory_List_Table34111510911131718141619[[#This Row],[D CM ]]/2.54)</f>
        <v xml:space="preserve"> </v>
      </c>
      <c r="R31" s="30" t="str">
        <f>IF(Inventory_List_Table34111510911131718141619[[#This Row],[Q]]&lt;0.1, " ",Inventory_List_Table34111510911131718141619[[#This Row],[PRICE]]/$L$1)</f>
        <v xml:space="preserve"> </v>
      </c>
      <c r="S3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1" s="30" t="str">
        <f>IF(Inventory_List_Table34111510911131718141619[[#This Row],[Q]]&lt;0.1, " ",Inventory_List_Table34111510911131718141619[[#This Row],[AQ RND USD]]*1.4)</f>
        <v xml:space="preserve"> </v>
      </c>
      <c r="U3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1" s="30" t="str">
        <f>IF(Inventory_List_Table34111510911131718141619[[#This Row],[Q]]&lt;0.1, " ",Inventory_List_Table34111510911131718141619[[#This Row],[LND RND USD]]*12)</f>
        <v xml:space="preserve"> </v>
      </c>
      <c r="W31" s="30" t="str">
        <f>IF(Inventory_List_Table34111510911131718141619[[#This Row],[Q]]&lt;0.1, " ",Inventory_List_Table34111510911131718141619[[#This Row],[AQ USD]])</f>
        <v xml:space="preserve"> </v>
      </c>
      <c r="X3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1" s="30" t="str">
        <f>IF(Inventory_List_Table34111510911131718141619[[#This Row],[Q]]&lt;0.1, " ",Inventory_List_Table34111510911131718141619[[#This Row],[PRICE]]/Z31*10000)</f>
        <v xml:space="preserve"> </v>
      </c>
      <c r="AB31" s="405"/>
      <c r="AC31" s="1"/>
      <c r="AD31" s="1"/>
    </row>
    <row r="32" spans="1:30" ht="24" customHeight="1" x14ac:dyDescent="0.3">
      <c r="A32" s="382">
        <v>30</v>
      </c>
      <c r="B32" s="1"/>
      <c r="C32" s="386"/>
      <c r="D32" s="386"/>
      <c r="E32" s="386"/>
      <c r="F32" s="38" t="str">
        <f>IF(Inventory_List_Table34111510911131718141619[[#This Row],[Q]]&lt;0.1, " ",#REF!&amp;$D$1&amp;#REF!&amp;Inventory_List_Table34111510911131718141619[[#This Row],[NOTES]])</f>
        <v xml:space="preserve"> </v>
      </c>
      <c r="G32" s="389"/>
      <c r="H32" s="389"/>
      <c r="I32" s="389"/>
      <c r="J32" s="389"/>
      <c r="K32" s="389"/>
      <c r="L32" s="391"/>
      <c r="M3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2" s="35" t="str">
        <f>IF(Inventory_List_Table34111510911131718141619[[#This Row],[Q]]&lt;0.1, " ", Inventory_List_Table34111510911131718141619[[#This Row],[KG]]*2.20462)</f>
        <v xml:space="preserve"> </v>
      </c>
      <c r="O32" s="35" t="str">
        <f>IF(Inventory_List_Table34111510911131718141619[[#This Row],[Q]]&lt;0.1, " ",Inventory_List_Table34111510911131718141619[[#This Row],[H CM]]/2.54)</f>
        <v xml:space="preserve"> </v>
      </c>
      <c r="P32" s="35" t="str">
        <f>IF(Inventory_List_Table34111510911131718141619[[#This Row],[Q]]&lt;0.1, " ",Inventory_List_Table34111510911131718141619[[#This Row],[W CM]]/2.54)</f>
        <v xml:space="preserve"> </v>
      </c>
      <c r="Q32" s="35" t="str">
        <f>IF(Inventory_List_Table34111510911131718141619[[#This Row],[Q]]&lt;0.1, " ",Inventory_List_Table34111510911131718141619[[#This Row],[D CM ]]/2.54)</f>
        <v xml:space="preserve"> </v>
      </c>
      <c r="R32" s="30" t="str">
        <f>IF(Inventory_List_Table34111510911131718141619[[#This Row],[Q]]&lt;0.1, " ",Inventory_List_Table34111510911131718141619[[#This Row],[PRICE]]/$L$1)</f>
        <v xml:space="preserve"> </v>
      </c>
      <c r="S3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2" s="30" t="str">
        <f>IF(Inventory_List_Table34111510911131718141619[[#This Row],[Q]]&lt;0.1, " ",Inventory_List_Table34111510911131718141619[[#This Row],[AQ RND USD]]*1.4)</f>
        <v xml:space="preserve"> </v>
      </c>
      <c r="U3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2" s="30" t="str">
        <f>IF(Inventory_List_Table34111510911131718141619[[#This Row],[Q]]&lt;0.1, " ",Inventory_List_Table34111510911131718141619[[#This Row],[LND RND USD]]*12)</f>
        <v xml:space="preserve"> </v>
      </c>
      <c r="W32" s="30" t="str">
        <f>IF(Inventory_List_Table34111510911131718141619[[#This Row],[Q]]&lt;0.1, " ",Inventory_List_Table34111510911131718141619[[#This Row],[AQ USD]])</f>
        <v xml:space="preserve"> </v>
      </c>
      <c r="X3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2" s="30" t="str">
        <f>IF(Inventory_List_Table34111510911131718141619[[#This Row],[Q]]&lt;0.1, " ",Inventory_List_Table34111510911131718141619[[#This Row],[PRICE]]/Z32*10000)</f>
        <v xml:space="preserve"> </v>
      </c>
      <c r="AB32" s="405"/>
      <c r="AC32" s="1"/>
      <c r="AD32" s="1"/>
    </row>
    <row r="33" spans="1:30" ht="24" customHeight="1" x14ac:dyDescent="0.3">
      <c r="A33" s="382">
        <v>31</v>
      </c>
      <c r="B33" s="1"/>
      <c r="C33" s="386"/>
      <c r="D33" s="386"/>
      <c r="E33" s="386"/>
      <c r="F33" s="38" t="str">
        <f>IF(Inventory_List_Table34111510911131718141619[[#This Row],[Q]]&lt;0.1, " ",#REF!&amp;$D$1&amp;#REF!&amp;Inventory_List_Table34111510911131718141619[[#This Row],[NOTES]])</f>
        <v xml:space="preserve"> </v>
      </c>
      <c r="G33" s="389"/>
      <c r="H33" s="389"/>
      <c r="I33" s="389"/>
      <c r="J33" s="389"/>
      <c r="K33" s="389"/>
      <c r="L33" s="391"/>
      <c r="M3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3" s="35" t="str">
        <f>IF(Inventory_List_Table34111510911131718141619[[#This Row],[Q]]&lt;0.1, " ", Inventory_List_Table34111510911131718141619[[#This Row],[KG]]*2.20462)</f>
        <v xml:space="preserve"> </v>
      </c>
      <c r="O33" s="35" t="str">
        <f>IF(Inventory_List_Table34111510911131718141619[[#This Row],[Q]]&lt;0.1, " ",Inventory_List_Table34111510911131718141619[[#This Row],[H CM]]/2.54)</f>
        <v xml:space="preserve"> </v>
      </c>
      <c r="P33" s="35" t="str">
        <f>IF(Inventory_List_Table34111510911131718141619[[#This Row],[Q]]&lt;0.1, " ",Inventory_List_Table34111510911131718141619[[#This Row],[W CM]]/2.54)</f>
        <v xml:space="preserve"> </v>
      </c>
      <c r="Q33" s="35" t="str">
        <f>IF(Inventory_List_Table34111510911131718141619[[#This Row],[Q]]&lt;0.1, " ",Inventory_List_Table34111510911131718141619[[#This Row],[D CM ]]/2.54)</f>
        <v xml:space="preserve"> </v>
      </c>
      <c r="R33" s="30" t="str">
        <f>IF(Inventory_List_Table34111510911131718141619[[#This Row],[Q]]&lt;0.1, " ",Inventory_List_Table34111510911131718141619[[#This Row],[PRICE]]/$L$1)</f>
        <v xml:space="preserve"> </v>
      </c>
      <c r="S3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3" s="30" t="str">
        <f>IF(Inventory_List_Table34111510911131718141619[[#This Row],[Q]]&lt;0.1, " ",Inventory_List_Table34111510911131718141619[[#This Row],[AQ RND USD]]*1.4)</f>
        <v xml:space="preserve"> </v>
      </c>
      <c r="U3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3" s="30" t="str">
        <f>IF(Inventory_List_Table34111510911131718141619[[#This Row],[Q]]&lt;0.1, " ",Inventory_List_Table34111510911131718141619[[#This Row],[LND RND USD]]*12)</f>
        <v xml:space="preserve"> </v>
      </c>
      <c r="W33" s="30" t="str">
        <f>IF(Inventory_List_Table34111510911131718141619[[#This Row],[Q]]&lt;0.1, " ",Inventory_List_Table34111510911131718141619[[#This Row],[AQ USD]])</f>
        <v xml:space="preserve"> </v>
      </c>
      <c r="X3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3" s="30" t="str">
        <f>IF(Inventory_List_Table34111510911131718141619[[#This Row],[Q]]&lt;0.1, " ",Inventory_List_Table34111510911131718141619[[#This Row],[PRICE]]/Z33*10000)</f>
        <v xml:space="preserve"> </v>
      </c>
      <c r="AB33" s="405"/>
      <c r="AC33" s="1"/>
      <c r="AD33" s="1"/>
    </row>
    <row r="34" spans="1:30" ht="24" customHeight="1" x14ac:dyDescent="0.3">
      <c r="A34" s="382">
        <v>32</v>
      </c>
      <c r="B34" s="1"/>
      <c r="C34" s="386"/>
      <c r="D34" s="386"/>
      <c r="E34" s="386"/>
      <c r="F34" s="38" t="str">
        <f>IF(Inventory_List_Table34111510911131718141619[[#This Row],[Q]]&lt;0.1, " ",#REF!&amp;$D$1&amp;#REF!&amp;Inventory_List_Table34111510911131718141619[[#This Row],[NOTES]])</f>
        <v xml:space="preserve"> </v>
      </c>
      <c r="G34" s="389"/>
      <c r="H34" s="389"/>
      <c r="I34" s="389"/>
      <c r="J34" s="389"/>
      <c r="K34" s="389"/>
      <c r="L34" s="391"/>
      <c r="M3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4" s="35" t="str">
        <f>IF(Inventory_List_Table34111510911131718141619[[#This Row],[Q]]&lt;0.1, " ", Inventory_List_Table34111510911131718141619[[#This Row],[KG]]*2.20462)</f>
        <v xml:space="preserve"> </v>
      </c>
      <c r="O34" s="35" t="str">
        <f>IF(Inventory_List_Table34111510911131718141619[[#This Row],[Q]]&lt;0.1, " ",Inventory_List_Table34111510911131718141619[[#This Row],[H CM]]/2.54)</f>
        <v xml:space="preserve"> </v>
      </c>
      <c r="P34" s="35" t="str">
        <f>IF(Inventory_List_Table34111510911131718141619[[#This Row],[Q]]&lt;0.1, " ",Inventory_List_Table34111510911131718141619[[#This Row],[W CM]]/2.54)</f>
        <v xml:space="preserve"> </v>
      </c>
      <c r="Q34" s="35" t="str">
        <f>IF(Inventory_List_Table34111510911131718141619[[#This Row],[Q]]&lt;0.1, " ",Inventory_List_Table34111510911131718141619[[#This Row],[D CM ]]/2.54)</f>
        <v xml:space="preserve"> </v>
      </c>
      <c r="R34" s="30" t="str">
        <f>IF(Inventory_List_Table34111510911131718141619[[#This Row],[Q]]&lt;0.1, " ",Inventory_List_Table34111510911131718141619[[#This Row],[PRICE]]/$L$1)</f>
        <v xml:space="preserve"> </v>
      </c>
      <c r="S3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4" s="30" t="str">
        <f>IF(Inventory_List_Table34111510911131718141619[[#This Row],[Q]]&lt;0.1, " ",Inventory_List_Table34111510911131718141619[[#This Row],[AQ RND USD]]*1.4)</f>
        <v xml:space="preserve"> </v>
      </c>
      <c r="U3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4" s="30" t="str">
        <f>IF(Inventory_List_Table34111510911131718141619[[#This Row],[Q]]&lt;0.1, " ",Inventory_List_Table34111510911131718141619[[#This Row],[LND RND USD]]*12)</f>
        <v xml:space="preserve"> </v>
      </c>
      <c r="W34" s="30" t="str">
        <f>IF(Inventory_List_Table34111510911131718141619[[#This Row],[Q]]&lt;0.1, " ",Inventory_List_Table34111510911131718141619[[#This Row],[AQ USD]])</f>
        <v xml:space="preserve"> </v>
      </c>
      <c r="X3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4" s="30" t="str">
        <f>IF(Inventory_List_Table34111510911131718141619[[#This Row],[Q]]&lt;0.1, " ",Inventory_List_Table34111510911131718141619[[#This Row],[PRICE]]/Z34*10000)</f>
        <v xml:space="preserve"> </v>
      </c>
      <c r="AB34" s="405"/>
      <c r="AC34" s="1"/>
      <c r="AD34" s="1"/>
    </row>
    <row r="35" spans="1:30" ht="24" customHeight="1" x14ac:dyDescent="0.3">
      <c r="A35" s="382">
        <v>33</v>
      </c>
      <c r="B35" s="1"/>
      <c r="C35" s="386"/>
      <c r="D35" s="386"/>
      <c r="E35" s="386"/>
      <c r="F35" s="38" t="str">
        <f>IF(Inventory_List_Table34111510911131718141619[[#This Row],[Q]]&lt;0.1, " ",#REF!&amp;$D$1&amp;#REF!&amp;Inventory_List_Table34111510911131718141619[[#This Row],[NOTES]])</f>
        <v xml:space="preserve"> </v>
      </c>
      <c r="G35" s="389"/>
      <c r="H35" s="389"/>
      <c r="I35" s="389"/>
      <c r="J35" s="389"/>
      <c r="K35" s="389"/>
      <c r="L35" s="391"/>
      <c r="M3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5" s="35" t="str">
        <f>IF(Inventory_List_Table34111510911131718141619[[#This Row],[Q]]&lt;0.1, " ", Inventory_List_Table34111510911131718141619[[#This Row],[KG]]*2.20462)</f>
        <v xml:space="preserve"> </v>
      </c>
      <c r="O35" s="35" t="str">
        <f>IF(Inventory_List_Table34111510911131718141619[[#This Row],[Q]]&lt;0.1, " ",Inventory_List_Table34111510911131718141619[[#This Row],[H CM]]/2.54)</f>
        <v xml:space="preserve"> </v>
      </c>
      <c r="P35" s="35" t="str">
        <f>IF(Inventory_List_Table34111510911131718141619[[#This Row],[Q]]&lt;0.1, " ",Inventory_List_Table34111510911131718141619[[#This Row],[W CM]]/2.54)</f>
        <v xml:space="preserve"> </v>
      </c>
      <c r="Q35" s="35" t="str">
        <f>IF(Inventory_List_Table34111510911131718141619[[#This Row],[Q]]&lt;0.1, " ",Inventory_List_Table34111510911131718141619[[#This Row],[D CM ]]/2.54)</f>
        <v xml:space="preserve"> </v>
      </c>
      <c r="R35" s="30" t="str">
        <f>IF(Inventory_List_Table34111510911131718141619[[#This Row],[Q]]&lt;0.1, " ",Inventory_List_Table34111510911131718141619[[#This Row],[PRICE]]/$L$1)</f>
        <v xml:space="preserve"> </v>
      </c>
      <c r="S3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5" s="30" t="str">
        <f>IF(Inventory_List_Table34111510911131718141619[[#This Row],[Q]]&lt;0.1, " ",Inventory_List_Table34111510911131718141619[[#This Row],[AQ RND USD]]*1.4)</f>
        <v xml:space="preserve"> </v>
      </c>
      <c r="U3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5" s="30" t="str">
        <f>IF(Inventory_List_Table34111510911131718141619[[#This Row],[Q]]&lt;0.1, " ",Inventory_List_Table34111510911131718141619[[#This Row],[LND RND USD]]*12)</f>
        <v xml:space="preserve"> </v>
      </c>
      <c r="W35" s="30" t="str">
        <f>IF(Inventory_List_Table34111510911131718141619[[#This Row],[Q]]&lt;0.1, " ",Inventory_List_Table34111510911131718141619[[#This Row],[AQ USD]])</f>
        <v xml:space="preserve"> </v>
      </c>
      <c r="X3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5" s="30" t="str">
        <f>IF(Inventory_List_Table34111510911131718141619[[#This Row],[Q]]&lt;0.1, " ",Inventory_List_Table34111510911131718141619[[#This Row],[PRICE]]/Z35*10000)</f>
        <v xml:space="preserve"> </v>
      </c>
      <c r="AB35" s="405"/>
      <c r="AC35" s="1"/>
      <c r="AD35" s="1"/>
    </row>
    <row r="36" spans="1:30" ht="24" customHeight="1" x14ac:dyDescent="0.3">
      <c r="A36" s="382">
        <v>34</v>
      </c>
      <c r="B36" s="1"/>
      <c r="C36" s="386"/>
      <c r="D36" s="386"/>
      <c r="E36" s="386"/>
      <c r="F36" s="38" t="str">
        <f>IF(Inventory_List_Table34111510911131718141619[[#This Row],[Q]]&lt;0.1, " ",#REF!&amp;$D$1&amp;#REF!&amp;Inventory_List_Table34111510911131718141619[[#This Row],[NOTES]])</f>
        <v xml:space="preserve"> </v>
      </c>
      <c r="G36" s="389"/>
      <c r="H36" s="389"/>
      <c r="I36" s="389"/>
      <c r="J36" s="389"/>
      <c r="K36" s="389"/>
      <c r="L36" s="391"/>
      <c r="M3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6" s="35" t="str">
        <f>IF(Inventory_List_Table34111510911131718141619[[#This Row],[Q]]&lt;0.1, " ", Inventory_List_Table34111510911131718141619[[#This Row],[KG]]*2.20462)</f>
        <v xml:space="preserve"> </v>
      </c>
      <c r="O36" s="35" t="str">
        <f>IF(Inventory_List_Table34111510911131718141619[[#This Row],[Q]]&lt;0.1, " ",Inventory_List_Table34111510911131718141619[[#This Row],[H CM]]/2.54)</f>
        <v xml:space="preserve"> </v>
      </c>
      <c r="P36" s="35" t="str">
        <f>IF(Inventory_List_Table34111510911131718141619[[#This Row],[Q]]&lt;0.1, " ",Inventory_List_Table34111510911131718141619[[#This Row],[W CM]]/2.54)</f>
        <v xml:space="preserve"> </v>
      </c>
      <c r="Q36" s="35" t="str">
        <f>IF(Inventory_List_Table34111510911131718141619[[#This Row],[Q]]&lt;0.1, " ",Inventory_List_Table34111510911131718141619[[#This Row],[D CM ]]/2.54)</f>
        <v xml:space="preserve"> </v>
      </c>
      <c r="R36" s="30" t="str">
        <f>IF(Inventory_List_Table34111510911131718141619[[#This Row],[Q]]&lt;0.1, " ",Inventory_List_Table34111510911131718141619[[#This Row],[PRICE]]/$L$1)</f>
        <v xml:space="preserve"> </v>
      </c>
      <c r="S3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6" s="30" t="str">
        <f>IF(Inventory_List_Table34111510911131718141619[[#This Row],[Q]]&lt;0.1, " ",Inventory_List_Table34111510911131718141619[[#This Row],[AQ RND USD]]*1.4)</f>
        <v xml:space="preserve"> </v>
      </c>
      <c r="U3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6" s="30" t="str">
        <f>IF(Inventory_List_Table34111510911131718141619[[#This Row],[Q]]&lt;0.1, " ",Inventory_List_Table34111510911131718141619[[#This Row],[LND RND USD]]*12)</f>
        <v xml:space="preserve"> </v>
      </c>
      <c r="W36" s="30" t="str">
        <f>IF(Inventory_List_Table34111510911131718141619[[#This Row],[Q]]&lt;0.1, " ",Inventory_List_Table34111510911131718141619[[#This Row],[AQ USD]])</f>
        <v xml:space="preserve"> </v>
      </c>
      <c r="X3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6" s="30" t="str">
        <f>IF(Inventory_List_Table34111510911131718141619[[#This Row],[Q]]&lt;0.1, " ",Inventory_List_Table34111510911131718141619[[#This Row],[PRICE]]/Z36*10000)</f>
        <v xml:space="preserve"> </v>
      </c>
      <c r="AB36" s="405"/>
      <c r="AC36" s="1"/>
      <c r="AD36" s="1"/>
    </row>
    <row r="37" spans="1:30" ht="24" customHeight="1" x14ac:dyDescent="0.3">
      <c r="A37" s="382">
        <v>35</v>
      </c>
      <c r="B37" s="1"/>
      <c r="C37" s="386"/>
      <c r="D37" s="386"/>
      <c r="E37" s="386"/>
      <c r="F37" s="38" t="str">
        <f>IF(Inventory_List_Table34111510911131718141619[[#This Row],[Q]]&lt;0.1, " ",#REF!&amp;$D$1&amp;#REF!&amp;Inventory_List_Table34111510911131718141619[[#This Row],[NOTES]])</f>
        <v xml:space="preserve"> </v>
      </c>
      <c r="G37" s="389"/>
      <c r="H37" s="389"/>
      <c r="I37" s="389"/>
      <c r="J37" s="389"/>
      <c r="K37" s="389"/>
      <c r="L37" s="391"/>
      <c r="M3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7" s="35" t="str">
        <f>IF(Inventory_List_Table34111510911131718141619[[#This Row],[Q]]&lt;0.1, " ", Inventory_List_Table34111510911131718141619[[#This Row],[KG]]*2.20462)</f>
        <v xml:space="preserve"> </v>
      </c>
      <c r="O37" s="35" t="str">
        <f>IF(Inventory_List_Table34111510911131718141619[[#This Row],[Q]]&lt;0.1, " ",Inventory_List_Table34111510911131718141619[[#This Row],[H CM]]/2.54)</f>
        <v xml:space="preserve"> </v>
      </c>
      <c r="P37" s="35" t="str">
        <f>IF(Inventory_List_Table34111510911131718141619[[#This Row],[Q]]&lt;0.1, " ",Inventory_List_Table34111510911131718141619[[#This Row],[W CM]]/2.54)</f>
        <v xml:space="preserve"> </v>
      </c>
      <c r="Q37" s="35" t="str">
        <f>IF(Inventory_List_Table34111510911131718141619[[#This Row],[Q]]&lt;0.1, " ",Inventory_List_Table34111510911131718141619[[#This Row],[D CM ]]/2.54)</f>
        <v xml:space="preserve"> </v>
      </c>
      <c r="R37" s="30" t="str">
        <f>IF(Inventory_List_Table34111510911131718141619[[#This Row],[Q]]&lt;0.1, " ",Inventory_List_Table34111510911131718141619[[#This Row],[PRICE]]/$L$1)</f>
        <v xml:space="preserve"> </v>
      </c>
      <c r="S3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7" s="30" t="str">
        <f>IF(Inventory_List_Table34111510911131718141619[[#This Row],[Q]]&lt;0.1, " ",Inventory_List_Table34111510911131718141619[[#This Row],[AQ RND USD]]*1.4)</f>
        <v xml:space="preserve"> </v>
      </c>
      <c r="U3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7" s="30" t="str">
        <f>IF(Inventory_List_Table34111510911131718141619[[#This Row],[Q]]&lt;0.1, " ",Inventory_List_Table34111510911131718141619[[#This Row],[LND RND USD]]*12)</f>
        <v xml:space="preserve"> </v>
      </c>
      <c r="W37" s="30" t="str">
        <f>IF(Inventory_List_Table34111510911131718141619[[#This Row],[Q]]&lt;0.1, " ",Inventory_List_Table34111510911131718141619[[#This Row],[AQ USD]])</f>
        <v xml:space="preserve"> </v>
      </c>
      <c r="X3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7" s="30" t="str">
        <f>IF(Inventory_List_Table34111510911131718141619[[#This Row],[Q]]&lt;0.1, " ",Inventory_List_Table34111510911131718141619[[#This Row],[PRICE]]/Z37*10000)</f>
        <v xml:space="preserve"> </v>
      </c>
      <c r="AB37" s="405"/>
      <c r="AC37" s="1"/>
      <c r="AD37" s="1"/>
    </row>
    <row r="38" spans="1:30" ht="24" customHeight="1" x14ac:dyDescent="0.3">
      <c r="A38" s="382">
        <v>36</v>
      </c>
      <c r="B38" s="1"/>
      <c r="C38" s="386"/>
      <c r="D38" s="386"/>
      <c r="E38" s="386"/>
      <c r="F38" s="38" t="str">
        <f>IF(Inventory_List_Table34111510911131718141619[[#This Row],[Q]]&lt;0.1, " ",#REF!&amp;$D$1&amp;#REF!&amp;Inventory_List_Table34111510911131718141619[[#This Row],[NOTES]])</f>
        <v xml:space="preserve"> </v>
      </c>
      <c r="G38" s="389"/>
      <c r="H38" s="389"/>
      <c r="I38" s="389"/>
      <c r="J38" s="389"/>
      <c r="K38" s="389"/>
      <c r="L38" s="391"/>
      <c r="M3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8" s="35" t="str">
        <f>IF(Inventory_List_Table34111510911131718141619[[#This Row],[Q]]&lt;0.1, " ", Inventory_List_Table34111510911131718141619[[#This Row],[KG]]*2.20462)</f>
        <v xml:space="preserve"> </v>
      </c>
      <c r="O38" s="35" t="str">
        <f>IF(Inventory_List_Table34111510911131718141619[[#This Row],[Q]]&lt;0.1, " ",Inventory_List_Table34111510911131718141619[[#This Row],[H CM]]/2.54)</f>
        <v xml:space="preserve"> </v>
      </c>
      <c r="P38" s="35" t="str">
        <f>IF(Inventory_List_Table34111510911131718141619[[#This Row],[Q]]&lt;0.1, " ",Inventory_List_Table34111510911131718141619[[#This Row],[W CM]]/2.54)</f>
        <v xml:space="preserve"> </v>
      </c>
      <c r="Q38" s="35" t="str">
        <f>IF(Inventory_List_Table34111510911131718141619[[#This Row],[Q]]&lt;0.1, " ",Inventory_List_Table34111510911131718141619[[#This Row],[D CM ]]/2.54)</f>
        <v xml:space="preserve"> </v>
      </c>
      <c r="R38" s="30" t="str">
        <f>IF(Inventory_List_Table34111510911131718141619[[#This Row],[Q]]&lt;0.1, " ",Inventory_List_Table34111510911131718141619[[#This Row],[PRICE]]/$L$1)</f>
        <v xml:space="preserve"> </v>
      </c>
      <c r="S3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8" s="30" t="str">
        <f>IF(Inventory_List_Table34111510911131718141619[[#This Row],[Q]]&lt;0.1, " ",Inventory_List_Table34111510911131718141619[[#This Row],[AQ RND USD]]*1.4)</f>
        <v xml:space="preserve"> </v>
      </c>
      <c r="U3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8" s="30" t="str">
        <f>IF(Inventory_List_Table34111510911131718141619[[#This Row],[Q]]&lt;0.1, " ",Inventory_List_Table34111510911131718141619[[#This Row],[LND RND USD]]*12)</f>
        <v xml:space="preserve"> </v>
      </c>
      <c r="W38" s="30" t="str">
        <f>IF(Inventory_List_Table34111510911131718141619[[#This Row],[Q]]&lt;0.1, " ",Inventory_List_Table34111510911131718141619[[#This Row],[AQ USD]])</f>
        <v xml:space="preserve"> </v>
      </c>
      <c r="X3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8" s="30" t="str">
        <f>IF(Inventory_List_Table34111510911131718141619[[#This Row],[Q]]&lt;0.1, " ",Inventory_List_Table34111510911131718141619[[#This Row],[PRICE]]/Z38*10000)</f>
        <v xml:space="preserve"> </v>
      </c>
      <c r="AB38" s="405"/>
      <c r="AC38" s="1"/>
      <c r="AD38" s="1"/>
    </row>
    <row r="39" spans="1:30" ht="24" customHeight="1" x14ac:dyDescent="0.3">
      <c r="A39" s="382">
        <v>37</v>
      </c>
      <c r="B39" s="1"/>
      <c r="C39" s="386"/>
      <c r="D39" s="386"/>
      <c r="E39" s="386"/>
      <c r="F39" s="38" t="str">
        <f>IF(Inventory_List_Table34111510911131718141619[[#This Row],[Q]]&lt;0.1, " ",#REF!&amp;$D$1&amp;#REF!&amp;Inventory_List_Table34111510911131718141619[[#This Row],[NOTES]])</f>
        <v xml:space="preserve"> </v>
      </c>
      <c r="G39" s="389"/>
      <c r="H39" s="389"/>
      <c r="I39" s="389"/>
      <c r="J39" s="389"/>
      <c r="K39" s="389"/>
      <c r="L39" s="391"/>
      <c r="M3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39" s="35" t="str">
        <f>IF(Inventory_List_Table34111510911131718141619[[#This Row],[Q]]&lt;0.1, " ", Inventory_List_Table34111510911131718141619[[#This Row],[KG]]*2.20462)</f>
        <v xml:space="preserve"> </v>
      </c>
      <c r="O39" s="35" t="str">
        <f>IF(Inventory_List_Table34111510911131718141619[[#This Row],[Q]]&lt;0.1, " ",Inventory_List_Table34111510911131718141619[[#This Row],[H CM]]/2.54)</f>
        <v xml:space="preserve"> </v>
      </c>
      <c r="P39" s="35" t="str">
        <f>IF(Inventory_List_Table34111510911131718141619[[#This Row],[Q]]&lt;0.1, " ",Inventory_List_Table34111510911131718141619[[#This Row],[W CM]]/2.54)</f>
        <v xml:space="preserve"> </v>
      </c>
      <c r="Q39" s="35" t="str">
        <f>IF(Inventory_List_Table34111510911131718141619[[#This Row],[Q]]&lt;0.1, " ",Inventory_List_Table34111510911131718141619[[#This Row],[D CM ]]/2.54)</f>
        <v xml:space="preserve"> </v>
      </c>
      <c r="R39" s="30" t="str">
        <f>IF(Inventory_List_Table34111510911131718141619[[#This Row],[Q]]&lt;0.1, " ",Inventory_List_Table34111510911131718141619[[#This Row],[PRICE]]/$L$1)</f>
        <v xml:space="preserve"> </v>
      </c>
      <c r="S3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39" s="30" t="str">
        <f>IF(Inventory_List_Table34111510911131718141619[[#This Row],[Q]]&lt;0.1, " ",Inventory_List_Table34111510911131718141619[[#This Row],[AQ RND USD]]*1.4)</f>
        <v xml:space="preserve"> </v>
      </c>
      <c r="U3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39" s="30" t="str">
        <f>IF(Inventory_List_Table34111510911131718141619[[#This Row],[Q]]&lt;0.1, " ",Inventory_List_Table34111510911131718141619[[#This Row],[LND RND USD]]*12)</f>
        <v xml:space="preserve"> </v>
      </c>
      <c r="W39" s="30" t="str">
        <f>IF(Inventory_List_Table34111510911131718141619[[#This Row],[Q]]&lt;0.1, " ",Inventory_List_Table34111510911131718141619[[#This Row],[AQ USD]])</f>
        <v xml:space="preserve"> </v>
      </c>
      <c r="X3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3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3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39" s="30" t="str">
        <f>IF(Inventory_List_Table34111510911131718141619[[#This Row],[Q]]&lt;0.1, " ",Inventory_List_Table34111510911131718141619[[#This Row],[PRICE]]/Z39*10000)</f>
        <v xml:space="preserve"> </v>
      </c>
      <c r="AB39" s="405"/>
      <c r="AC39" s="1"/>
      <c r="AD39" s="1"/>
    </row>
    <row r="40" spans="1:30" ht="24" customHeight="1" x14ac:dyDescent="0.3">
      <c r="A40" s="382">
        <v>38</v>
      </c>
      <c r="B40" s="1"/>
      <c r="C40" s="386"/>
      <c r="D40" s="386"/>
      <c r="E40" s="386"/>
      <c r="F40" s="38" t="str">
        <f>IF(Inventory_List_Table34111510911131718141619[[#This Row],[Q]]&lt;0.1, " ",#REF!&amp;$D$1&amp;#REF!&amp;Inventory_List_Table34111510911131718141619[[#This Row],[NOTES]])</f>
        <v xml:space="preserve"> </v>
      </c>
      <c r="G40" s="389"/>
      <c r="H40" s="389"/>
      <c r="I40" s="389"/>
      <c r="J40" s="389"/>
      <c r="K40" s="389"/>
      <c r="L40" s="391"/>
      <c r="M4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0" s="35" t="str">
        <f>IF(Inventory_List_Table34111510911131718141619[[#This Row],[Q]]&lt;0.1, " ", Inventory_List_Table34111510911131718141619[[#This Row],[KG]]*2.20462)</f>
        <v xml:space="preserve"> </v>
      </c>
      <c r="O40" s="35" t="str">
        <f>IF(Inventory_List_Table34111510911131718141619[[#This Row],[Q]]&lt;0.1, " ",Inventory_List_Table34111510911131718141619[[#This Row],[H CM]]/2.54)</f>
        <v xml:space="preserve"> </v>
      </c>
      <c r="P40" s="35" t="str">
        <f>IF(Inventory_List_Table34111510911131718141619[[#This Row],[Q]]&lt;0.1, " ",Inventory_List_Table34111510911131718141619[[#This Row],[W CM]]/2.54)</f>
        <v xml:space="preserve"> </v>
      </c>
      <c r="Q40" s="35" t="str">
        <f>IF(Inventory_List_Table34111510911131718141619[[#This Row],[Q]]&lt;0.1, " ",Inventory_List_Table34111510911131718141619[[#This Row],[D CM ]]/2.54)</f>
        <v xml:space="preserve"> </v>
      </c>
      <c r="R40" s="30" t="str">
        <f>IF(Inventory_List_Table34111510911131718141619[[#This Row],[Q]]&lt;0.1, " ",Inventory_List_Table34111510911131718141619[[#This Row],[PRICE]]/$L$1)</f>
        <v xml:space="preserve"> </v>
      </c>
      <c r="S4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0" s="30" t="str">
        <f>IF(Inventory_List_Table34111510911131718141619[[#This Row],[Q]]&lt;0.1, " ",Inventory_List_Table34111510911131718141619[[#This Row],[AQ RND USD]]*1.4)</f>
        <v xml:space="preserve"> </v>
      </c>
      <c r="U4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0" s="30" t="str">
        <f>IF(Inventory_List_Table34111510911131718141619[[#This Row],[Q]]&lt;0.1, " ",Inventory_List_Table34111510911131718141619[[#This Row],[LND RND USD]]*12)</f>
        <v xml:space="preserve"> </v>
      </c>
      <c r="W40" s="30" t="str">
        <f>IF(Inventory_List_Table34111510911131718141619[[#This Row],[Q]]&lt;0.1, " ",Inventory_List_Table34111510911131718141619[[#This Row],[AQ USD]])</f>
        <v xml:space="preserve"> </v>
      </c>
      <c r="X4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0" s="30" t="str">
        <f>IF(Inventory_List_Table34111510911131718141619[[#This Row],[Q]]&lt;0.1, " ",Inventory_List_Table34111510911131718141619[[#This Row],[PRICE]]/Z40*10000)</f>
        <v xml:space="preserve"> </v>
      </c>
      <c r="AB40" s="405"/>
      <c r="AC40" s="1"/>
      <c r="AD40" s="1"/>
    </row>
    <row r="41" spans="1:30" ht="24" customHeight="1" x14ac:dyDescent="0.3">
      <c r="A41" s="382">
        <v>39</v>
      </c>
      <c r="B41" s="1"/>
      <c r="C41" s="386"/>
      <c r="D41" s="386"/>
      <c r="E41" s="386"/>
      <c r="F41" s="38" t="str">
        <f>IF(Inventory_List_Table34111510911131718141619[[#This Row],[Q]]&lt;0.1, " ",#REF!&amp;$D$1&amp;#REF!&amp;Inventory_List_Table34111510911131718141619[[#This Row],[NOTES]])</f>
        <v xml:space="preserve"> </v>
      </c>
      <c r="G41" s="389"/>
      <c r="H41" s="389"/>
      <c r="I41" s="389"/>
      <c r="J41" s="389"/>
      <c r="K41" s="389"/>
      <c r="L41" s="391"/>
      <c r="M4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1" s="35" t="str">
        <f>IF(Inventory_List_Table34111510911131718141619[[#This Row],[Q]]&lt;0.1, " ", Inventory_List_Table34111510911131718141619[[#This Row],[KG]]*2.20462)</f>
        <v xml:space="preserve"> </v>
      </c>
      <c r="O41" s="35" t="str">
        <f>IF(Inventory_List_Table34111510911131718141619[[#This Row],[Q]]&lt;0.1, " ",Inventory_List_Table34111510911131718141619[[#This Row],[H CM]]/2.54)</f>
        <v xml:space="preserve"> </v>
      </c>
      <c r="P41" s="35" t="str">
        <f>IF(Inventory_List_Table34111510911131718141619[[#This Row],[Q]]&lt;0.1, " ",Inventory_List_Table34111510911131718141619[[#This Row],[W CM]]/2.54)</f>
        <v xml:space="preserve"> </v>
      </c>
      <c r="Q41" s="35" t="str">
        <f>IF(Inventory_List_Table34111510911131718141619[[#This Row],[Q]]&lt;0.1, " ",Inventory_List_Table34111510911131718141619[[#This Row],[D CM ]]/2.54)</f>
        <v xml:space="preserve"> </v>
      </c>
      <c r="R41" s="30" t="str">
        <f>IF(Inventory_List_Table34111510911131718141619[[#This Row],[Q]]&lt;0.1, " ",Inventory_List_Table34111510911131718141619[[#This Row],[PRICE]]/$L$1)</f>
        <v xml:space="preserve"> </v>
      </c>
      <c r="S4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1" s="30" t="str">
        <f>IF(Inventory_List_Table34111510911131718141619[[#This Row],[Q]]&lt;0.1, " ",Inventory_List_Table34111510911131718141619[[#This Row],[AQ RND USD]]*1.4)</f>
        <v xml:space="preserve"> </v>
      </c>
      <c r="U4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1" s="30" t="str">
        <f>IF(Inventory_List_Table34111510911131718141619[[#This Row],[Q]]&lt;0.1, " ",Inventory_List_Table34111510911131718141619[[#This Row],[LND RND USD]]*12)</f>
        <v xml:space="preserve"> </v>
      </c>
      <c r="W41" s="30" t="str">
        <f>IF(Inventory_List_Table34111510911131718141619[[#This Row],[Q]]&lt;0.1, " ",Inventory_List_Table34111510911131718141619[[#This Row],[AQ USD]])</f>
        <v xml:space="preserve"> </v>
      </c>
      <c r="X4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1" s="30" t="str">
        <f>IF(Inventory_List_Table34111510911131718141619[[#This Row],[Q]]&lt;0.1, " ",Inventory_List_Table34111510911131718141619[[#This Row],[PRICE]]/Z41*10000)</f>
        <v xml:space="preserve"> </v>
      </c>
      <c r="AB41" s="405"/>
      <c r="AC41" s="1"/>
      <c r="AD41" s="1"/>
    </row>
    <row r="42" spans="1:30" ht="24" customHeight="1" x14ac:dyDescent="0.3">
      <c r="A42" s="382">
        <v>40</v>
      </c>
      <c r="B42" s="1"/>
      <c r="C42" s="386"/>
      <c r="D42" s="386"/>
      <c r="E42" s="386"/>
      <c r="F42" s="38" t="str">
        <f>IF(Inventory_List_Table34111510911131718141619[[#This Row],[Q]]&lt;0.1, " ",#REF!&amp;$D$1&amp;#REF!&amp;Inventory_List_Table34111510911131718141619[[#This Row],[NOTES]])</f>
        <v xml:space="preserve"> </v>
      </c>
      <c r="G42" s="389"/>
      <c r="H42" s="389"/>
      <c r="I42" s="389"/>
      <c r="J42" s="389"/>
      <c r="K42" s="389"/>
      <c r="L42" s="391"/>
      <c r="M4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2" s="35" t="str">
        <f>IF(Inventory_List_Table34111510911131718141619[[#This Row],[Q]]&lt;0.1, " ", Inventory_List_Table34111510911131718141619[[#This Row],[KG]]*2.20462)</f>
        <v xml:space="preserve"> </v>
      </c>
      <c r="O42" s="35" t="str">
        <f>IF(Inventory_List_Table34111510911131718141619[[#This Row],[Q]]&lt;0.1, " ",Inventory_List_Table34111510911131718141619[[#This Row],[H CM]]/2.54)</f>
        <v xml:space="preserve"> </v>
      </c>
      <c r="P42" s="35" t="str">
        <f>IF(Inventory_List_Table34111510911131718141619[[#This Row],[Q]]&lt;0.1, " ",Inventory_List_Table34111510911131718141619[[#This Row],[W CM]]/2.54)</f>
        <v xml:space="preserve"> </v>
      </c>
      <c r="Q42" s="35" t="str">
        <f>IF(Inventory_List_Table34111510911131718141619[[#This Row],[Q]]&lt;0.1, " ",Inventory_List_Table34111510911131718141619[[#This Row],[D CM ]]/2.54)</f>
        <v xml:space="preserve"> </v>
      </c>
      <c r="R42" s="30" t="str">
        <f>IF(Inventory_List_Table34111510911131718141619[[#This Row],[Q]]&lt;0.1, " ",Inventory_List_Table34111510911131718141619[[#This Row],[PRICE]]/$L$1)</f>
        <v xml:space="preserve"> </v>
      </c>
      <c r="S4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2" s="30" t="str">
        <f>IF(Inventory_List_Table34111510911131718141619[[#This Row],[Q]]&lt;0.1, " ",Inventory_List_Table34111510911131718141619[[#This Row],[AQ RND USD]]*1.4)</f>
        <v xml:space="preserve"> </v>
      </c>
      <c r="U4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2" s="30" t="str">
        <f>IF(Inventory_List_Table34111510911131718141619[[#This Row],[Q]]&lt;0.1, " ",Inventory_List_Table34111510911131718141619[[#This Row],[LND RND USD]]*12)</f>
        <v xml:space="preserve"> </v>
      </c>
      <c r="W42" s="30" t="str">
        <f>IF(Inventory_List_Table34111510911131718141619[[#This Row],[Q]]&lt;0.1, " ",Inventory_List_Table34111510911131718141619[[#This Row],[AQ USD]])</f>
        <v xml:space="preserve"> </v>
      </c>
      <c r="X4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2" s="30" t="str">
        <f>IF(Inventory_List_Table34111510911131718141619[[#This Row],[Q]]&lt;0.1, " ",Inventory_List_Table34111510911131718141619[[#This Row],[PRICE]]/Z42*10000)</f>
        <v xml:space="preserve"> </v>
      </c>
      <c r="AB42" s="405"/>
      <c r="AC42" s="1"/>
      <c r="AD42" s="1"/>
    </row>
    <row r="43" spans="1:30" ht="24" customHeight="1" x14ac:dyDescent="0.3">
      <c r="A43" s="382">
        <v>41</v>
      </c>
      <c r="B43" s="1"/>
      <c r="C43" s="386"/>
      <c r="D43" s="386"/>
      <c r="E43" s="386"/>
      <c r="F43" s="38" t="str">
        <f>IF(Inventory_List_Table34111510911131718141619[[#This Row],[Q]]&lt;0.1, " ",#REF!&amp;$D$1&amp;#REF!&amp;Inventory_List_Table34111510911131718141619[[#This Row],[NOTES]])</f>
        <v xml:space="preserve"> </v>
      </c>
      <c r="G43" s="389"/>
      <c r="H43" s="389"/>
      <c r="I43" s="389"/>
      <c r="J43" s="389"/>
      <c r="K43" s="389"/>
      <c r="L43" s="391"/>
      <c r="M4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3" s="35" t="str">
        <f>IF(Inventory_List_Table34111510911131718141619[[#This Row],[Q]]&lt;0.1, " ", Inventory_List_Table34111510911131718141619[[#This Row],[KG]]*2.20462)</f>
        <v xml:space="preserve"> </v>
      </c>
      <c r="O43" s="35" t="str">
        <f>IF(Inventory_List_Table34111510911131718141619[[#This Row],[Q]]&lt;0.1, " ",Inventory_List_Table34111510911131718141619[[#This Row],[H CM]]/2.54)</f>
        <v xml:space="preserve"> </v>
      </c>
      <c r="P43" s="35" t="str">
        <f>IF(Inventory_List_Table34111510911131718141619[[#This Row],[Q]]&lt;0.1, " ",Inventory_List_Table34111510911131718141619[[#This Row],[W CM]]/2.54)</f>
        <v xml:space="preserve"> </v>
      </c>
      <c r="Q43" s="35" t="str">
        <f>IF(Inventory_List_Table34111510911131718141619[[#This Row],[Q]]&lt;0.1, " ",Inventory_List_Table34111510911131718141619[[#This Row],[D CM ]]/2.54)</f>
        <v xml:space="preserve"> </v>
      </c>
      <c r="R43" s="30" t="str">
        <f>IF(Inventory_List_Table34111510911131718141619[[#This Row],[Q]]&lt;0.1, " ",Inventory_List_Table34111510911131718141619[[#This Row],[PRICE]]/$L$1)</f>
        <v xml:space="preserve"> </v>
      </c>
      <c r="S4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3" s="30" t="str">
        <f>IF(Inventory_List_Table34111510911131718141619[[#This Row],[Q]]&lt;0.1, " ",Inventory_List_Table34111510911131718141619[[#This Row],[AQ RND USD]]*1.4)</f>
        <v xml:space="preserve"> </v>
      </c>
      <c r="U4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3" s="30" t="str">
        <f>IF(Inventory_List_Table34111510911131718141619[[#This Row],[Q]]&lt;0.1, " ",Inventory_List_Table34111510911131718141619[[#This Row],[LND RND USD]]*12)</f>
        <v xml:space="preserve"> </v>
      </c>
      <c r="W43" s="30" t="str">
        <f>IF(Inventory_List_Table34111510911131718141619[[#This Row],[Q]]&lt;0.1, " ",Inventory_List_Table34111510911131718141619[[#This Row],[AQ USD]])</f>
        <v xml:space="preserve"> </v>
      </c>
      <c r="X4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3" s="30" t="str">
        <f>IF(Inventory_List_Table34111510911131718141619[[#This Row],[Q]]&lt;0.1, " ",Inventory_List_Table34111510911131718141619[[#This Row],[PRICE]]/Z43*10000)</f>
        <v xml:space="preserve"> </v>
      </c>
      <c r="AB43" s="405"/>
      <c r="AC43" s="1"/>
      <c r="AD43" s="1"/>
    </row>
    <row r="44" spans="1:30" ht="24" customHeight="1" x14ac:dyDescent="0.3">
      <c r="A44" s="382">
        <v>42</v>
      </c>
      <c r="B44" s="1"/>
      <c r="C44" s="386"/>
      <c r="D44" s="386"/>
      <c r="E44" s="386"/>
      <c r="F44" s="38" t="str">
        <f>IF(Inventory_List_Table34111510911131718141619[[#This Row],[Q]]&lt;0.1, " ",#REF!&amp;$D$1&amp;#REF!&amp;Inventory_List_Table34111510911131718141619[[#This Row],[NOTES]])</f>
        <v xml:space="preserve"> </v>
      </c>
      <c r="G44" s="389"/>
      <c r="H44" s="389"/>
      <c r="I44" s="389"/>
      <c r="J44" s="389"/>
      <c r="K44" s="389"/>
      <c r="L44" s="391"/>
      <c r="M4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4" s="35" t="str">
        <f>IF(Inventory_List_Table34111510911131718141619[[#This Row],[Q]]&lt;0.1, " ", Inventory_List_Table34111510911131718141619[[#This Row],[KG]]*2.20462)</f>
        <v xml:space="preserve"> </v>
      </c>
      <c r="O44" s="35" t="str">
        <f>IF(Inventory_List_Table34111510911131718141619[[#This Row],[Q]]&lt;0.1, " ",Inventory_List_Table34111510911131718141619[[#This Row],[H CM]]/2.54)</f>
        <v xml:space="preserve"> </v>
      </c>
      <c r="P44" s="35" t="str">
        <f>IF(Inventory_List_Table34111510911131718141619[[#This Row],[Q]]&lt;0.1, " ",Inventory_List_Table34111510911131718141619[[#This Row],[W CM]]/2.54)</f>
        <v xml:space="preserve"> </v>
      </c>
      <c r="Q44" s="35" t="str">
        <f>IF(Inventory_List_Table34111510911131718141619[[#This Row],[Q]]&lt;0.1, " ",Inventory_List_Table34111510911131718141619[[#This Row],[D CM ]]/2.54)</f>
        <v xml:space="preserve"> </v>
      </c>
      <c r="R44" s="30" t="str">
        <f>IF(Inventory_List_Table34111510911131718141619[[#This Row],[Q]]&lt;0.1, " ",Inventory_List_Table34111510911131718141619[[#This Row],[PRICE]]/$L$1)</f>
        <v xml:space="preserve"> </v>
      </c>
      <c r="S4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4" s="30" t="str">
        <f>IF(Inventory_List_Table34111510911131718141619[[#This Row],[Q]]&lt;0.1, " ",Inventory_List_Table34111510911131718141619[[#This Row],[AQ RND USD]]*1.4)</f>
        <v xml:space="preserve"> </v>
      </c>
      <c r="U4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4" s="30" t="str">
        <f>IF(Inventory_List_Table34111510911131718141619[[#This Row],[Q]]&lt;0.1, " ",Inventory_List_Table34111510911131718141619[[#This Row],[LND RND USD]]*12)</f>
        <v xml:space="preserve"> </v>
      </c>
      <c r="W44" s="30" t="str">
        <f>IF(Inventory_List_Table34111510911131718141619[[#This Row],[Q]]&lt;0.1, " ",Inventory_List_Table34111510911131718141619[[#This Row],[AQ USD]])</f>
        <v xml:space="preserve"> </v>
      </c>
      <c r="X4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4" s="30" t="str">
        <f>IF(Inventory_List_Table34111510911131718141619[[#This Row],[Q]]&lt;0.1, " ",Inventory_List_Table34111510911131718141619[[#This Row],[PRICE]]/Z44*10000)</f>
        <v xml:space="preserve"> </v>
      </c>
      <c r="AB44" s="405"/>
      <c r="AC44" s="1"/>
      <c r="AD44" s="1"/>
    </row>
    <row r="45" spans="1:30" ht="24" customHeight="1" x14ac:dyDescent="0.3">
      <c r="A45" s="382">
        <v>43</v>
      </c>
      <c r="B45" s="1"/>
      <c r="C45" s="386"/>
      <c r="D45" s="386"/>
      <c r="E45" s="386"/>
      <c r="F45" s="38" t="str">
        <f>IF(Inventory_List_Table34111510911131718141619[[#This Row],[Q]]&lt;0.1, " ",#REF!&amp;$D$1&amp;#REF!&amp;Inventory_List_Table34111510911131718141619[[#This Row],[NOTES]])</f>
        <v xml:space="preserve"> </v>
      </c>
      <c r="G45" s="389"/>
      <c r="H45" s="389"/>
      <c r="I45" s="389"/>
      <c r="J45" s="389"/>
      <c r="K45" s="389"/>
      <c r="L45" s="391"/>
      <c r="M4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5" s="35" t="str">
        <f>IF(Inventory_List_Table34111510911131718141619[[#This Row],[Q]]&lt;0.1, " ", Inventory_List_Table34111510911131718141619[[#This Row],[KG]]*2.20462)</f>
        <v xml:space="preserve"> </v>
      </c>
      <c r="O45" s="35" t="str">
        <f>IF(Inventory_List_Table34111510911131718141619[[#This Row],[Q]]&lt;0.1, " ",Inventory_List_Table34111510911131718141619[[#This Row],[H CM]]/2.54)</f>
        <v xml:space="preserve"> </v>
      </c>
      <c r="P45" s="35" t="str">
        <f>IF(Inventory_List_Table34111510911131718141619[[#This Row],[Q]]&lt;0.1, " ",Inventory_List_Table34111510911131718141619[[#This Row],[W CM]]/2.54)</f>
        <v xml:space="preserve"> </v>
      </c>
      <c r="Q45" s="35" t="str">
        <f>IF(Inventory_List_Table34111510911131718141619[[#This Row],[Q]]&lt;0.1, " ",Inventory_List_Table34111510911131718141619[[#This Row],[D CM ]]/2.54)</f>
        <v xml:space="preserve"> </v>
      </c>
      <c r="R45" s="30" t="str">
        <f>IF(Inventory_List_Table34111510911131718141619[[#This Row],[Q]]&lt;0.1, " ",Inventory_List_Table34111510911131718141619[[#This Row],[PRICE]]/$L$1)</f>
        <v xml:space="preserve"> </v>
      </c>
      <c r="S4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5" s="30" t="str">
        <f>IF(Inventory_List_Table34111510911131718141619[[#This Row],[Q]]&lt;0.1, " ",Inventory_List_Table34111510911131718141619[[#This Row],[AQ RND USD]]*1.4)</f>
        <v xml:space="preserve"> </v>
      </c>
      <c r="U4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5" s="30" t="str">
        <f>IF(Inventory_List_Table34111510911131718141619[[#This Row],[Q]]&lt;0.1, " ",Inventory_List_Table34111510911131718141619[[#This Row],[LND RND USD]]*12)</f>
        <v xml:space="preserve"> </v>
      </c>
      <c r="W45" s="30" t="str">
        <f>IF(Inventory_List_Table34111510911131718141619[[#This Row],[Q]]&lt;0.1, " ",Inventory_List_Table34111510911131718141619[[#This Row],[AQ USD]])</f>
        <v xml:space="preserve"> </v>
      </c>
      <c r="X4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5" s="30" t="str">
        <f>IF(Inventory_List_Table34111510911131718141619[[#This Row],[Q]]&lt;0.1, " ",Inventory_List_Table34111510911131718141619[[#This Row],[PRICE]]/Z45*10000)</f>
        <v xml:space="preserve"> </v>
      </c>
      <c r="AB45" s="405"/>
      <c r="AC45" s="1"/>
      <c r="AD45" s="1"/>
    </row>
    <row r="46" spans="1:30" ht="24" customHeight="1" x14ac:dyDescent="0.3">
      <c r="A46" s="382">
        <v>44</v>
      </c>
      <c r="B46" s="1"/>
      <c r="C46" s="386"/>
      <c r="D46" s="386"/>
      <c r="E46" s="386"/>
      <c r="F46" s="38" t="str">
        <f>IF(Inventory_List_Table34111510911131718141619[[#This Row],[Q]]&lt;0.1, " ",#REF!&amp;$D$1&amp;#REF!&amp;Inventory_List_Table34111510911131718141619[[#This Row],[NOTES]])</f>
        <v xml:space="preserve"> </v>
      </c>
      <c r="G46" s="389"/>
      <c r="H46" s="389"/>
      <c r="I46" s="389"/>
      <c r="J46" s="389"/>
      <c r="K46" s="389"/>
      <c r="L46" s="391"/>
      <c r="M4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6" s="35" t="str">
        <f>IF(Inventory_List_Table34111510911131718141619[[#This Row],[Q]]&lt;0.1, " ", Inventory_List_Table34111510911131718141619[[#This Row],[KG]]*2.20462)</f>
        <v xml:space="preserve"> </v>
      </c>
      <c r="O46" s="35" t="str">
        <f>IF(Inventory_List_Table34111510911131718141619[[#This Row],[Q]]&lt;0.1, " ",Inventory_List_Table34111510911131718141619[[#This Row],[H CM]]/2.54)</f>
        <v xml:space="preserve"> </v>
      </c>
      <c r="P46" s="35" t="str">
        <f>IF(Inventory_List_Table34111510911131718141619[[#This Row],[Q]]&lt;0.1, " ",Inventory_List_Table34111510911131718141619[[#This Row],[W CM]]/2.54)</f>
        <v xml:space="preserve"> </v>
      </c>
      <c r="Q46" s="35" t="str">
        <f>IF(Inventory_List_Table34111510911131718141619[[#This Row],[Q]]&lt;0.1, " ",Inventory_List_Table34111510911131718141619[[#This Row],[D CM ]]/2.54)</f>
        <v xml:space="preserve"> </v>
      </c>
      <c r="R46" s="30" t="str">
        <f>IF(Inventory_List_Table34111510911131718141619[[#This Row],[Q]]&lt;0.1, " ",Inventory_List_Table34111510911131718141619[[#This Row],[PRICE]]/$L$1)</f>
        <v xml:space="preserve"> </v>
      </c>
      <c r="S4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6" s="30" t="str">
        <f>IF(Inventory_List_Table34111510911131718141619[[#This Row],[Q]]&lt;0.1, " ",Inventory_List_Table34111510911131718141619[[#This Row],[AQ RND USD]]*1.4)</f>
        <v xml:space="preserve"> </v>
      </c>
      <c r="U4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6" s="30" t="str">
        <f>IF(Inventory_List_Table34111510911131718141619[[#This Row],[Q]]&lt;0.1, " ",Inventory_List_Table34111510911131718141619[[#This Row],[LND RND USD]]*12)</f>
        <v xml:space="preserve"> </v>
      </c>
      <c r="W46" s="30" t="str">
        <f>IF(Inventory_List_Table34111510911131718141619[[#This Row],[Q]]&lt;0.1, " ",Inventory_List_Table34111510911131718141619[[#This Row],[AQ USD]])</f>
        <v xml:space="preserve"> </v>
      </c>
      <c r="X4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6" s="30" t="str">
        <f>IF(Inventory_List_Table34111510911131718141619[[#This Row],[Q]]&lt;0.1, " ",Inventory_List_Table34111510911131718141619[[#This Row],[PRICE]]/Z46*10000)</f>
        <v xml:space="preserve"> </v>
      </c>
      <c r="AB46" s="405"/>
      <c r="AC46" s="1"/>
      <c r="AD46" s="1"/>
    </row>
    <row r="47" spans="1:30" ht="24" customHeight="1" x14ac:dyDescent="0.3">
      <c r="A47" s="382">
        <v>45</v>
      </c>
      <c r="B47" s="1"/>
      <c r="C47" s="386"/>
      <c r="D47" s="386"/>
      <c r="E47" s="386"/>
      <c r="F47" s="38" t="str">
        <f>IF(Inventory_List_Table34111510911131718141619[[#This Row],[Q]]&lt;0.1, " ",#REF!&amp;$D$1&amp;#REF!&amp;Inventory_List_Table34111510911131718141619[[#This Row],[NOTES]])</f>
        <v xml:space="preserve"> </v>
      </c>
      <c r="G47" s="389"/>
      <c r="H47" s="389"/>
      <c r="I47" s="389"/>
      <c r="J47" s="389"/>
      <c r="K47" s="389"/>
      <c r="L47" s="391"/>
      <c r="M4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7" s="35" t="str">
        <f>IF(Inventory_List_Table34111510911131718141619[[#This Row],[Q]]&lt;0.1, " ", Inventory_List_Table34111510911131718141619[[#This Row],[KG]]*2.20462)</f>
        <v xml:space="preserve"> </v>
      </c>
      <c r="O47" s="35" t="str">
        <f>IF(Inventory_List_Table34111510911131718141619[[#This Row],[Q]]&lt;0.1, " ",Inventory_List_Table34111510911131718141619[[#This Row],[H CM]]/2.54)</f>
        <v xml:space="preserve"> </v>
      </c>
      <c r="P47" s="35" t="str">
        <f>IF(Inventory_List_Table34111510911131718141619[[#This Row],[Q]]&lt;0.1, " ",Inventory_List_Table34111510911131718141619[[#This Row],[W CM]]/2.54)</f>
        <v xml:space="preserve"> </v>
      </c>
      <c r="Q47" s="35" t="str">
        <f>IF(Inventory_List_Table34111510911131718141619[[#This Row],[Q]]&lt;0.1, " ",Inventory_List_Table34111510911131718141619[[#This Row],[D CM ]]/2.54)</f>
        <v xml:space="preserve"> </v>
      </c>
      <c r="R47" s="30" t="str">
        <f>IF(Inventory_List_Table34111510911131718141619[[#This Row],[Q]]&lt;0.1, " ",Inventory_List_Table34111510911131718141619[[#This Row],[PRICE]]/$L$1)</f>
        <v xml:space="preserve"> </v>
      </c>
      <c r="S4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7" s="30" t="str">
        <f>IF(Inventory_List_Table34111510911131718141619[[#This Row],[Q]]&lt;0.1, " ",Inventory_List_Table34111510911131718141619[[#This Row],[AQ RND USD]]*1.4)</f>
        <v xml:space="preserve"> </v>
      </c>
      <c r="U4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7" s="30" t="str">
        <f>IF(Inventory_List_Table34111510911131718141619[[#This Row],[Q]]&lt;0.1, " ",Inventory_List_Table34111510911131718141619[[#This Row],[LND RND USD]]*12)</f>
        <v xml:space="preserve"> </v>
      </c>
      <c r="W47" s="30" t="str">
        <f>IF(Inventory_List_Table34111510911131718141619[[#This Row],[Q]]&lt;0.1, " ",Inventory_List_Table34111510911131718141619[[#This Row],[AQ USD]])</f>
        <v xml:space="preserve"> </v>
      </c>
      <c r="X4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7" s="30" t="str">
        <f>IF(Inventory_List_Table34111510911131718141619[[#This Row],[Q]]&lt;0.1, " ",Inventory_List_Table34111510911131718141619[[#This Row],[PRICE]]/Z47*10000)</f>
        <v xml:space="preserve"> </v>
      </c>
      <c r="AB47" s="405"/>
      <c r="AC47" s="1"/>
      <c r="AD47" s="1"/>
    </row>
    <row r="48" spans="1:30" ht="24" customHeight="1" x14ac:dyDescent="0.3">
      <c r="A48" s="382">
        <v>46</v>
      </c>
      <c r="B48" s="1"/>
      <c r="C48" s="386"/>
      <c r="D48" s="386"/>
      <c r="E48" s="386"/>
      <c r="F48" s="38" t="str">
        <f>IF(Inventory_List_Table34111510911131718141619[[#This Row],[Q]]&lt;0.1, " ",#REF!&amp;$D$1&amp;#REF!&amp;Inventory_List_Table34111510911131718141619[[#This Row],[NOTES]])</f>
        <v xml:space="preserve"> </v>
      </c>
      <c r="G48" s="389"/>
      <c r="H48" s="389"/>
      <c r="I48" s="389"/>
      <c r="J48" s="389"/>
      <c r="K48" s="389"/>
      <c r="L48" s="391"/>
      <c r="M4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8" s="35" t="str">
        <f>IF(Inventory_List_Table34111510911131718141619[[#This Row],[Q]]&lt;0.1, " ", Inventory_List_Table34111510911131718141619[[#This Row],[KG]]*2.20462)</f>
        <v xml:space="preserve"> </v>
      </c>
      <c r="O48" s="35" t="str">
        <f>IF(Inventory_List_Table34111510911131718141619[[#This Row],[Q]]&lt;0.1, " ",Inventory_List_Table34111510911131718141619[[#This Row],[H CM]]/2.54)</f>
        <v xml:space="preserve"> </v>
      </c>
      <c r="P48" s="35" t="str">
        <f>IF(Inventory_List_Table34111510911131718141619[[#This Row],[Q]]&lt;0.1, " ",Inventory_List_Table34111510911131718141619[[#This Row],[W CM]]/2.54)</f>
        <v xml:space="preserve"> </v>
      </c>
      <c r="Q48" s="35" t="str">
        <f>IF(Inventory_List_Table34111510911131718141619[[#This Row],[Q]]&lt;0.1, " ",Inventory_List_Table34111510911131718141619[[#This Row],[D CM ]]/2.54)</f>
        <v xml:space="preserve"> </v>
      </c>
      <c r="R48" s="30" t="str">
        <f>IF(Inventory_List_Table34111510911131718141619[[#This Row],[Q]]&lt;0.1, " ",Inventory_List_Table34111510911131718141619[[#This Row],[PRICE]]/$L$1)</f>
        <v xml:space="preserve"> </v>
      </c>
      <c r="S4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8" s="30" t="str">
        <f>IF(Inventory_List_Table34111510911131718141619[[#This Row],[Q]]&lt;0.1, " ",Inventory_List_Table34111510911131718141619[[#This Row],[AQ RND USD]]*1.4)</f>
        <v xml:space="preserve"> </v>
      </c>
      <c r="U4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8" s="30" t="str">
        <f>IF(Inventory_List_Table34111510911131718141619[[#This Row],[Q]]&lt;0.1, " ",Inventory_List_Table34111510911131718141619[[#This Row],[LND RND USD]]*12)</f>
        <v xml:space="preserve"> </v>
      </c>
      <c r="W48" s="30" t="str">
        <f>IF(Inventory_List_Table34111510911131718141619[[#This Row],[Q]]&lt;0.1, " ",Inventory_List_Table34111510911131718141619[[#This Row],[AQ USD]])</f>
        <v xml:space="preserve"> </v>
      </c>
      <c r="X4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8" s="30" t="str">
        <f>IF(Inventory_List_Table34111510911131718141619[[#This Row],[Q]]&lt;0.1, " ",Inventory_List_Table34111510911131718141619[[#This Row],[PRICE]]/Z48*10000)</f>
        <v xml:space="preserve"> </v>
      </c>
      <c r="AB48" s="405"/>
      <c r="AC48" s="1"/>
      <c r="AD48" s="1"/>
    </row>
    <row r="49" spans="1:30" ht="24" customHeight="1" x14ac:dyDescent="0.3">
      <c r="A49" s="382">
        <v>47</v>
      </c>
      <c r="B49" s="1"/>
      <c r="C49" s="386"/>
      <c r="D49" s="386"/>
      <c r="E49" s="386"/>
      <c r="F49" s="38" t="str">
        <f>IF(Inventory_List_Table34111510911131718141619[[#This Row],[Q]]&lt;0.1, " ",#REF!&amp;$D$1&amp;#REF!&amp;Inventory_List_Table34111510911131718141619[[#This Row],[NOTES]])</f>
        <v xml:space="preserve"> </v>
      </c>
      <c r="G49" s="389"/>
      <c r="H49" s="389"/>
      <c r="I49" s="389"/>
      <c r="J49" s="389"/>
      <c r="K49" s="389"/>
      <c r="L49" s="391"/>
      <c r="M4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49" s="35" t="str">
        <f>IF(Inventory_List_Table34111510911131718141619[[#This Row],[Q]]&lt;0.1, " ", Inventory_List_Table34111510911131718141619[[#This Row],[KG]]*2.20462)</f>
        <v xml:space="preserve"> </v>
      </c>
      <c r="O49" s="35" t="str">
        <f>IF(Inventory_List_Table34111510911131718141619[[#This Row],[Q]]&lt;0.1, " ",Inventory_List_Table34111510911131718141619[[#This Row],[H CM]]/2.54)</f>
        <v xml:space="preserve"> </v>
      </c>
      <c r="P49" s="35" t="str">
        <f>IF(Inventory_List_Table34111510911131718141619[[#This Row],[Q]]&lt;0.1, " ",Inventory_List_Table34111510911131718141619[[#This Row],[W CM]]/2.54)</f>
        <v xml:space="preserve"> </v>
      </c>
      <c r="Q49" s="35" t="str">
        <f>IF(Inventory_List_Table34111510911131718141619[[#This Row],[Q]]&lt;0.1, " ",Inventory_List_Table34111510911131718141619[[#This Row],[D CM ]]/2.54)</f>
        <v xml:space="preserve"> </v>
      </c>
      <c r="R49" s="30" t="str">
        <f>IF(Inventory_List_Table34111510911131718141619[[#This Row],[Q]]&lt;0.1, " ",Inventory_List_Table34111510911131718141619[[#This Row],[PRICE]]/$L$1)</f>
        <v xml:space="preserve"> </v>
      </c>
      <c r="S4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49" s="30" t="str">
        <f>IF(Inventory_List_Table34111510911131718141619[[#This Row],[Q]]&lt;0.1, " ",Inventory_List_Table34111510911131718141619[[#This Row],[AQ RND USD]]*1.4)</f>
        <v xml:space="preserve"> </v>
      </c>
      <c r="U4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49" s="30" t="str">
        <f>IF(Inventory_List_Table34111510911131718141619[[#This Row],[Q]]&lt;0.1, " ",Inventory_List_Table34111510911131718141619[[#This Row],[LND RND USD]]*12)</f>
        <v xml:space="preserve"> </v>
      </c>
      <c r="W49" s="30" t="str">
        <f>IF(Inventory_List_Table34111510911131718141619[[#This Row],[Q]]&lt;0.1, " ",Inventory_List_Table34111510911131718141619[[#This Row],[AQ USD]])</f>
        <v xml:space="preserve"> </v>
      </c>
      <c r="X4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4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4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49" s="30" t="str">
        <f>IF(Inventory_List_Table34111510911131718141619[[#This Row],[Q]]&lt;0.1, " ",Inventory_List_Table34111510911131718141619[[#This Row],[PRICE]]/Z49*10000)</f>
        <v xml:space="preserve"> </v>
      </c>
      <c r="AB49" s="405"/>
      <c r="AC49" s="1"/>
      <c r="AD49" s="1"/>
    </row>
    <row r="50" spans="1:30" ht="24" customHeight="1" x14ac:dyDescent="0.3">
      <c r="A50" s="382">
        <v>48</v>
      </c>
      <c r="B50" s="1"/>
      <c r="C50" s="386"/>
      <c r="D50" s="386"/>
      <c r="E50" s="386"/>
      <c r="F50" s="38" t="str">
        <f>IF(Inventory_List_Table34111510911131718141619[[#This Row],[Q]]&lt;0.1, " ",#REF!&amp;$D$1&amp;#REF!&amp;Inventory_List_Table34111510911131718141619[[#This Row],[NOTES]])</f>
        <v xml:space="preserve"> </v>
      </c>
      <c r="G50" s="389"/>
      <c r="H50" s="389"/>
      <c r="I50" s="389"/>
      <c r="J50" s="389"/>
      <c r="K50" s="389"/>
      <c r="L50" s="391"/>
      <c r="M5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0" s="35" t="str">
        <f>IF(Inventory_List_Table34111510911131718141619[[#This Row],[Q]]&lt;0.1, " ", Inventory_List_Table34111510911131718141619[[#This Row],[KG]]*2.20462)</f>
        <v xml:space="preserve"> </v>
      </c>
      <c r="O50" s="35" t="str">
        <f>IF(Inventory_List_Table34111510911131718141619[[#This Row],[Q]]&lt;0.1, " ",Inventory_List_Table34111510911131718141619[[#This Row],[H CM]]/2.54)</f>
        <v xml:space="preserve"> </v>
      </c>
      <c r="P50" s="35" t="str">
        <f>IF(Inventory_List_Table34111510911131718141619[[#This Row],[Q]]&lt;0.1, " ",Inventory_List_Table34111510911131718141619[[#This Row],[W CM]]/2.54)</f>
        <v xml:space="preserve"> </v>
      </c>
      <c r="Q50" s="35" t="str">
        <f>IF(Inventory_List_Table34111510911131718141619[[#This Row],[Q]]&lt;0.1, " ",Inventory_List_Table34111510911131718141619[[#This Row],[D CM ]]/2.54)</f>
        <v xml:space="preserve"> </v>
      </c>
      <c r="R50" s="30" t="str">
        <f>IF(Inventory_List_Table34111510911131718141619[[#This Row],[Q]]&lt;0.1, " ",Inventory_List_Table34111510911131718141619[[#This Row],[PRICE]]/$L$1)</f>
        <v xml:space="preserve"> </v>
      </c>
      <c r="S5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0" s="30" t="str">
        <f>IF(Inventory_List_Table34111510911131718141619[[#This Row],[Q]]&lt;0.1, " ",Inventory_List_Table34111510911131718141619[[#This Row],[AQ RND USD]]*1.4)</f>
        <v xml:space="preserve"> </v>
      </c>
      <c r="U5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0" s="30" t="str">
        <f>IF(Inventory_List_Table34111510911131718141619[[#This Row],[Q]]&lt;0.1, " ",Inventory_List_Table34111510911131718141619[[#This Row],[LND RND USD]]*12)</f>
        <v xml:space="preserve"> </v>
      </c>
      <c r="W50" s="30" t="str">
        <f>IF(Inventory_List_Table34111510911131718141619[[#This Row],[Q]]&lt;0.1, " ",Inventory_List_Table34111510911131718141619[[#This Row],[AQ USD]])</f>
        <v xml:space="preserve"> </v>
      </c>
      <c r="X5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0" s="30" t="str">
        <f>IF(Inventory_List_Table34111510911131718141619[[#This Row],[Q]]&lt;0.1, " ",Inventory_List_Table34111510911131718141619[[#This Row],[PRICE]]/Z50*10000)</f>
        <v xml:space="preserve"> </v>
      </c>
      <c r="AB50" s="405"/>
      <c r="AC50" s="1"/>
      <c r="AD50" s="1"/>
    </row>
    <row r="51" spans="1:30" ht="24" customHeight="1" x14ac:dyDescent="0.3">
      <c r="A51" s="382">
        <v>49</v>
      </c>
      <c r="B51" s="1"/>
      <c r="C51" s="386"/>
      <c r="D51" s="386"/>
      <c r="E51" s="386"/>
      <c r="F51" s="38" t="str">
        <f>IF(Inventory_List_Table34111510911131718141619[[#This Row],[Q]]&lt;0.1, " ",#REF!&amp;$D$1&amp;#REF!&amp;Inventory_List_Table34111510911131718141619[[#This Row],[NOTES]])</f>
        <v xml:space="preserve"> </v>
      </c>
      <c r="G51" s="389"/>
      <c r="H51" s="389"/>
      <c r="I51" s="389"/>
      <c r="J51" s="389"/>
      <c r="K51" s="389"/>
      <c r="L51" s="391"/>
      <c r="M5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1" s="35" t="str">
        <f>IF(Inventory_List_Table34111510911131718141619[[#This Row],[Q]]&lt;0.1, " ", Inventory_List_Table34111510911131718141619[[#This Row],[KG]]*2.20462)</f>
        <v xml:space="preserve"> </v>
      </c>
      <c r="O51" s="35" t="str">
        <f>IF(Inventory_List_Table34111510911131718141619[[#This Row],[Q]]&lt;0.1, " ",Inventory_List_Table34111510911131718141619[[#This Row],[H CM]]/2.54)</f>
        <v xml:space="preserve"> </v>
      </c>
      <c r="P51" s="35" t="str">
        <f>IF(Inventory_List_Table34111510911131718141619[[#This Row],[Q]]&lt;0.1, " ",Inventory_List_Table34111510911131718141619[[#This Row],[W CM]]/2.54)</f>
        <v xml:space="preserve"> </v>
      </c>
      <c r="Q51" s="35" t="str">
        <f>IF(Inventory_List_Table34111510911131718141619[[#This Row],[Q]]&lt;0.1, " ",Inventory_List_Table34111510911131718141619[[#This Row],[D CM ]]/2.54)</f>
        <v xml:space="preserve"> </v>
      </c>
      <c r="R51" s="30" t="str">
        <f>IF(Inventory_List_Table34111510911131718141619[[#This Row],[Q]]&lt;0.1, " ",Inventory_List_Table34111510911131718141619[[#This Row],[PRICE]]/$L$1)</f>
        <v xml:space="preserve"> </v>
      </c>
      <c r="S5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1" s="30" t="str">
        <f>IF(Inventory_List_Table34111510911131718141619[[#This Row],[Q]]&lt;0.1, " ",Inventory_List_Table34111510911131718141619[[#This Row],[AQ RND USD]]*1.4)</f>
        <v xml:space="preserve"> </v>
      </c>
      <c r="U5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1" s="30" t="str">
        <f>IF(Inventory_List_Table34111510911131718141619[[#This Row],[Q]]&lt;0.1, " ",Inventory_List_Table34111510911131718141619[[#This Row],[LND RND USD]]*12)</f>
        <v xml:space="preserve"> </v>
      </c>
      <c r="W51" s="30" t="str">
        <f>IF(Inventory_List_Table34111510911131718141619[[#This Row],[Q]]&lt;0.1, " ",Inventory_List_Table34111510911131718141619[[#This Row],[AQ USD]])</f>
        <v xml:space="preserve"> </v>
      </c>
      <c r="X5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1" s="30" t="str">
        <f>IF(Inventory_List_Table34111510911131718141619[[#This Row],[Q]]&lt;0.1, " ",Inventory_List_Table34111510911131718141619[[#This Row],[PRICE]]/Z51*10000)</f>
        <v xml:space="preserve"> </v>
      </c>
      <c r="AB51" s="405"/>
      <c r="AC51" s="1"/>
      <c r="AD51" s="1"/>
    </row>
    <row r="52" spans="1:30" ht="24" customHeight="1" x14ac:dyDescent="0.3">
      <c r="A52" s="382">
        <v>50</v>
      </c>
      <c r="B52" s="1"/>
      <c r="C52" s="386"/>
      <c r="D52" s="386"/>
      <c r="E52" s="386"/>
      <c r="F52" s="38" t="str">
        <f>IF(Inventory_List_Table34111510911131718141619[[#This Row],[Q]]&lt;0.1, " ",#REF!&amp;$D$1&amp;#REF!&amp;Inventory_List_Table34111510911131718141619[[#This Row],[NOTES]])</f>
        <v xml:space="preserve"> </v>
      </c>
      <c r="G52" s="389"/>
      <c r="H52" s="389"/>
      <c r="I52" s="389"/>
      <c r="J52" s="389"/>
      <c r="K52" s="389"/>
      <c r="L52" s="391"/>
      <c r="M5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2" s="35" t="str">
        <f>IF(Inventory_List_Table34111510911131718141619[[#This Row],[Q]]&lt;0.1, " ", Inventory_List_Table34111510911131718141619[[#This Row],[KG]]*2.20462)</f>
        <v xml:space="preserve"> </v>
      </c>
      <c r="O52" s="35" t="str">
        <f>IF(Inventory_List_Table34111510911131718141619[[#This Row],[Q]]&lt;0.1, " ",Inventory_List_Table34111510911131718141619[[#This Row],[H CM]]/2.54)</f>
        <v xml:space="preserve"> </v>
      </c>
      <c r="P52" s="35" t="str">
        <f>IF(Inventory_List_Table34111510911131718141619[[#This Row],[Q]]&lt;0.1, " ",Inventory_List_Table34111510911131718141619[[#This Row],[W CM]]/2.54)</f>
        <v xml:space="preserve"> </v>
      </c>
      <c r="Q52" s="35" t="str">
        <f>IF(Inventory_List_Table34111510911131718141619[[#This Row],[Q]]&lt;0.1, " ",Inventory_List_Table34111510911131718141619[[#This Row],[D CM ]]/2.54)</f>
        <v xml:space="preserve"> </v>
      </c>
      <c r="R52" s="30" t="str">
        <f>IF(Inventory_List_Table34111510911131718141619[[#This Row],[Q]]&lt;0.1, " ",Inventory_List_Table34111510911131718141619[[#This Row],[PRICE]]/$L$1)</f>
        <v xml:space="preserve"> </v>
      </c>
      <c r="S5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2" s="30" t="str">
        <f>IF(Inventory_List_Table34111510911131718141619[[#This Row],[Q]]&lt;0.1, " ",Inventory_List_Table34111510911131718141619[[#This Row],[AQ RND USD]]*1.4)</f>
        <v xml:space="preserve"> </v>
      </c>
      <c r="U5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2" s="30" t="str">
        <f>IF(Inventory_List_Table34111510911131718141619[[#This Row],[Q]]&lt;0.1, " ",Inventory_List_Table34111510911131718141619[[#This Row],[LND RND USD]]*12)</f>
        <v xml:space="preserve"> </v>
      </c>
      <c r="W52" s="30" t="str">
        <f>IF(Inventory_List_Table34111510911131718141619[[#This Row],[Q]]&lt;0.1, " ",Inventory_List_Table34111510911131718141619[[#This Row],[AQ USD]])</f>
        <v xml:space="preserve"> </v>
      </c>
      <c r="X5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2" s="30" t="str">
        <f>IF(Inventory_List_Table34111510911131718141619[[#This Row],[Q]]&lt;0.1, " ",Inventory_List_Table34111510911131718141619[[#This Row],[PRICE]]/Z52*10000)</f>
        <v xml:space="preserve"> </v>
      </c>
      <c r="AB52" s="405"/>
      <c r="AC52" s="1"/>
      <c r="AD52" s="1"/>
    </row>
    <row r="53" spans="1:30" ht="24" customHeight="1" x14ac:dyDescent="0.3">
      <c r="A53" s="382">
        <v>51</v>
      </c>
      <c r="B53" s="1"/>
      <c r="C53" s="386"/>
      <c r="D53" s="386"/>
      <c r="E53" s="386"/>
      <c r="F53" s="38" t="str">
        <f>IF(Inventory_List_Table34111510911131718141619[[#This Row],[Q]]&lt;0.1, " ",#REF!&amp;$D$1&amp;#REF!&amp;Inventory_List_Table34111510911131718141619[[#This Row],[NOTES]])</f>
        <v xml:space="preserve"> </v>
      </c>
      <c r="G53" s="389"/>
      <c r="H53" s="389"/>
      <c r="I53" s="389"/>
      <c r="J53" s="389"/>
      <c r="K53" s="389"/>
      <c r="L53" s="391"/>
      <c r="M5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3" s="35" t="str">
        <f>IF(Inventory_List_Table34111510911131718141619[[#This Row],[Q]]&lt;0.1, " ", Inventory_List_Table34111510911131718141619[[#This Row],[KG]]*2.20462)</f>
        <v xml:space="preserve"> </v>
      </c>
      <c r="O53" s="35" t="str">
        <f>IF(Inventory_List_Table34111510911131718141619[[#This Row],[Q]]&lt;0.1, " ",Inventory_List_Table34111510911131718141619[[#This Row],[H CM]]/2.54)</f>
        <v xml:space="preserve"> </v>
      </c>
      <c r="P53" s="35" t="str">
        <f>IF(Inventory_List_Table34111510911131718141619[[#This Row],[Q]]&lt;0.1, " ",Inventory_List_Table34111510911131718141619[[#This Row],[W CM]]/2.54)</f>
        <v xml:space="preserve"> </v>
      </c>
      <c r="Q53" s="35" t="str">
        <f>IF(Inventory_List_Table34111510911131718141619[[#This Row],[Q]]&lt;0.1, " ",Inventory_List_Table34111510911131718141619[[#This Row],[D CM ]]/2.54)</f>
        <v xml:space="preserve"> </v>
      </c>
      <c r="R53" s="30" t="str">
        <f>IF(Inventory_List_Table34111510911131718141619[[#This Row],[Q]]&lt;0.1, " ",Inventory_List_Table34111510911131718141619[[#This Row],[PRICE]]/$L$1)</f>
        <v xml:space="preserve"> </v>
      </c>
      <c r="S5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3" s="30" t="str">
        <f>IF(Inventory_List_Table34111510911131718141619[[#This Row],[Q]]&lt;0.1, " ",Inventory_List_Table34111510911131718141619[[#This Row],[AQ RND USD]]*1.4)</f>
        <v xml:space="preserve"> </v>
      </c>
      <c r="U5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3" s="30" t="str">
        <f>IF(Inventory_List_Table34111510911131718141619[[#This Row],[Q]]&lt;0.1, " ",Inventory_List_Table34111510911131718141619[[#This Row],[LND RND USD]]*12)</f>
        <v xml:space="preserve"> </v>
      </c>
      <c r="W53" s="30" t="str">
        <f>IF(Inventory_List_Table34111510911131718141619[[#This Row],[Q]]&lt;0.1, " ",Inventory_List_Table34111510911131718141619[[#This Row],[AQ USD]])</f>
        <v xml:space="preserve"> </v>
      </c>
      <c r="X5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3" s="30" t="str">
        <f>IF(Inventory_List_Table34111510911131718141619[[#This Row],[Q]]&lt;0.1, " ",Inventory_List_Table34111510911131718141619[[#This Row],[PRICE]]/Z53*10000)</f>
        <v xml:space="preserve"> </v>
      </c>
      <c r="AB53" s="405"/>
      <c r="AC53" s="1"/>
      <c r="AD53" s="1"/>
    </row>
    <row r="54" spans="1:30" ht="24" customHeight="1" x14ac:dyDescent="0.3">
      <c r="A54" s="382">
        <v>52</v>
      </c>
      <c r="B54" s="1"/>
      <c r="C54" s="386"/>
      <c r="D54" s="386"/>
      <c r="E54" s="386"/>
      <c r="F54" s="38" t="str">
        <f>IF(Inventory_List_Table34111510911131718141619[[#This Row],[Q]]&lt;0.1, " ",#REF!&amp;$D$1&amp;#REF!&amp;Inventory_List_Table34111510911131718141619[[#This Row],[NOTES]])</f>
        <v xml:space="preserve"> </v>
      </c>
      <c r="G54" s="389"/>
      <c r="H54" s="389"/>
      <c r="I54" s="389"/>
      <c r="J54" s="389"/>
      <c r="K54" s="389"/>
      <c r="L54" s="391"/>
      <c r="M5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4" s="35" t="str">
        <f>IF(Inventory_List_Table34111510911131718141619[[#This Row],[Q]]&lt;0.1, " ", Inventory_List_Table34111510911131718141619[[#This Row],[KG]]*2.20462)</f>
        <v xml:space="preserve"> </v>
      </c>
      <c r="O54" s="35" t="str">
        <f>IF(Inventory_List_Table34111510911131718141619[[#This Row],[Q]]&lt;0.1, " ",Inventory_List_Table34111510911131718141619[[#This Row],[H CM]]/2.54)</f>
        <v xml:space="preserve"> </v>
      </c>
      <c r="P54" s="35" t="str">
        <f>IF(Inventory_List_Table34111510911131718141619[[#This Row],[Q]]&lt;0.1, " ",Inventory_List_Table34111510911131718141619[[#This Row],[W CM]]/2.54)</f>
        <v xml:space="preserve"> </v>
      </c>
      <c r="Q54" s="35" t="str">
        <f>IF(Inventory_List_Table34111510911131718141619[[#This Row],[Q]]&lt;0.1, " ",Inventory_List_Table34111510911131718141619[[#This Row],[D CM ]]/2.54)</f>
        <v xml:space="preserve"> </v>
      </c>
      <c r="R54" s="30" t="str">
        <f>IF(Inventory_List_Table34111510911131718141619[[#This Row],[Q]]&lt;0.1, " ",Inventory_List_Table34111510911131718141619[[#This Row],[PRICE]]/$L$1)</f>
        <v xml:space="preserve"> </v>
      </c>
      <c r="S5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4" s="30" t="str">
        <f>IF(Inventory_List_Table34111510911131718141619[[#This Row],[Q]]&lt;0.1, " ",Inventory_List_Table34111510911131718141619[[#This Row],[AQ RND USD]]*1.4)</f>
        <v xml:space="preserve"> </v>
      </c>
      <c r="U5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4" s="30" t="str">
        <f>IF(Inventory_List_Table34111510911131718141619[[#This Row],[Q]]&lt;0.1, " ",Inventory_List_Table34111510911131718141619[[#This Row],[LND RND USD]]*12)</f>
        <v xml:space="preserve"> </v>
      </c>
      <c r="W54" s="30" t="str">
        <f>IF(Inventory_List_Table34111510911131718141619[[#This Row],[Q]]&lt;0.1, " ",Inventory_List_Table34111510911131718141619[[#This Row],[AQ USD]])</f>
        <v xml:space="preserve"> </v>
      </c>
      <c r="X5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4" s="30" t="str">
        <f>IF(Inventory_List_Table34111510911131718141619[[#This Row],[Q]]&lt;0.1, " ",Inventory_List_Table34111510911131718141619[[#This Row],[PRICE]]/Z54*10000)</f>
        <v xml:space="preserve"> </v>
      </c>
      <c r="AB54" s="405"/>
      <c r="AC54" s="1"/>
      <c r="AD54" s="1"/>
    </row>
    <row r="55" spans="1:30" ht="24" customHeight="1" x14ac:dyDescent="0.3">
      <c r="A55" s="382">
        <v>53</v>
      </c>
      <c r="B55" s="1"/>
      <c r="C55" s="386"/>
      <c r="D55" s="386"/>
      <c r="E55" s="386"/>
      <c r="F55" s="38" t="str">
        <f>IF(Inventory_List_Table34111510911131718141619[[#This Row],[Q]]&lt;0.1, " ",#REF!&amp;$D$1&amp;#REF!&amp;Inventory_List_Table34111510911131718141619[[#This Row],[NOTES]])</f>
        <v xml:space="preserve"> </v>
      </c>
      <c r="G55" s="389"/>
      <c r="H55" s="389"/>
      <c r="I55" s="389"/>
      <c r="J55" s="389"/>
      <c r="K55" s="389"/>
      <c r="L55" s="391"/>
      <c r="M5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5" s="35" t="str">
        <f>IF(Inventory_List_Table34111510911131718141619[[#This Row],[Q]]&lt;0.1, " ", Inventory_List_Table34111510911131718141619[[#This Row],[KG]]*2.20462)</f>
        <v xml:space="preserve"> </v>
      </c>
      <c r="O55" s="35" t="str">
        <f>IF(Inventory_List_Table34111510911131718141619[[#This Row],[Q]]&lt;0.1, " ",Inventory_List_Table34111510911131718141619[[#This Row],[H CM]]/2.54)</f>
        <v xml:space="preserve"> </v>
      </c>
      <c r="P55" s="35" t="str">
        <f>IF(Inventory_List_Table34111510911131718141619[[#This Row],[Q]]&lt;0.1, " ",Inventory_List_Table34111510911131718141619[[#This Row],[W CM]]/2.54)</f>
        <v xml:space="preserve"> </v>
      </c>
      <c r="Q55" s="35" t="str">
        <f>IF(Inventory_List_Table34111510911131718141619[[#This Row],[Q]]&lt;0.1, " ",Inventory_List_Table34111510911131718141619[[#This Row],[D CM ]]/2.54)</f>
        <v xml:space="preserve"> </v>
      </c>
      <c r="R55" s="30" t="str">
        <f>IF(Inventory_List_Table34111510911131718141619[[#This Row],[Q]]&lt;0.1, " ",Inventory_List_Table34111510911131718141619[[#This Row],[PRICE]]/$L$1)</f>
        <v xml:space="preserve"> </v>
      </c>
      <c r="S5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5" s="30" t="str">
        <f>IF(Inventory_List_Table34111510911131718141619[[#This Row],[Q]]&lt;0.1, " ",Inventory_List_Table34111510911131718141619[[#This Row],[AQ RND USD]]*1.4)</f>
        <v xml:space="preserve"> </v>
      </c>
      <c r="U5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5" s="30" t="str">
        <f>IF(Inventory_List_Table34111510911131718141619[[#This Row],[Q]]&lt;0.1, " ",Inventory_List_Table34111510911131718141619[[#This Row],[LND RND USD]]*12)</f>
        <v xml:space="preserve"> </v>
      </c>
      <c r="W55" s="30" t="str">
        <f>IF(Inventory_List_Table34111510911131718141619[[#This Row],[Q]]&lt;0.1, " ",Inventory_List_Table34111510911131718141619[[#This Row],[AQ USD]])</f>
        <v xml:space="preserve"> </v>
      </c>
      <c r="X5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5" s="30" t="str">
        <f>IF(Inventory_List_Table34111510911131718141619[[#This Row],[Q]]&lt;0.1, " ",Inventory_List_Table34111510911131718141619[[#This Row],[PRICE]]/Z55*10000)</f>
        <v xml:space="preserve"> </v>
      </c>
      <c r="AB55" s="405"/>
      <c r="AC55" s="1"/>
      <c r="AD55" s="1"/>
    </row>
    <row r="56" spans="1:30" ht="24" customHeight="1" x14ac:dyDescent="0.3">
      <c r="A56" s="382">
        <v>54</v>
      </c>
      <c r="B56" s="1"/>
      <c r="C56" s="386"/>
      <c r="D56" s="386"/>
      <c r="E56" s="386"/>
      <c r="F56" s="38" t="str">
        <f>IF(Inventory_List_Table34111510911131718141619[[#This Row],[Q]]&lt;0.1, " ",#REF!&amp;$D$1&amp;#REF!&amp;Inventory_List_Table34111510911131718141619[[#This Row],[NOTES]])</f>
        <v xml:space="preserve"> </v>
      </c>
      <c r="G56" s="389"/>
      <c r="H56" s="389"/>
      <c r="I56" s="389"/>
      <c r="J56" s="389"/>
      <c r="K56" s="389"/>
      <c r="L56" s="391"/>
      <c r="M5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6" s="35" t="str">
        <f>IF(Inventory_List_Table34111510911131718141619[[#This Row],[Q]]&lt;0.1, " ", Inventory_List_Table34111510911131718141619[[#This Row],[KG]]*2.20462)</f>
        <v xml:space="preserve"> </v>
      </c>
      <c r="O56" s="35" t="str">
        <f>IF(Inventory_List_Table34111510911131718141619[[#This Row],[Q]]&lt;0.1, " ",Inventory_List_Table34111510911131718141619[[#This Row],[H CM]]/2.54)</f>
        <v xml:space="preserve"> </v>
      </c>
      <c r="P56" s="35" t="str">
        <f>IF(Inventory_List_Table34111510911131718141619[[#This Row],[Q]]&lt;0.1, " ",Inventory_List_Table34111510911131718141619[[#This Row],[W CM]]/2.54)</f>
        <v xml:space="preserve"> </v>
      </c>
      <c r="Q56" s="35" t="str">
        <f>IF(Inventory_List_Table34111510911131718141619[[#This Row],[Q]]&lt;0.1, " ",Inventory_List_Table34111510911131718141619[[#This Row],[D CM ]]/2.54)</f>
        <v xml:space="preserve"> </v>
      </c>
      <c r="R56" s="30" t="str">
        <f>IF(Inventory_List_Table34111510911131718141619[[#This Row],[Q]]&lt;0.1, " ",Inventory_List_Table34111510911131718141619[[#This Row],[PRICE]]/$L$1)</f>
        <v xml:space="preserve"> </v>
      </c>
      <c r="S5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6" s="30" t="str">
        <f>IF(Inventory_List_Table34111510911131718141619[[#This Row],[Q]]&lt;0.1, " ",Inventory_List_Table34111510911131718141619[[#This Row],[AQ RND USD]]*1.4)</f>
        <v xml:space="preserve"> </v>
      </c>
      <c r="U5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6" s="30" t="str">
        <f>IF(Inventory_List_Table34111510911131718141619[[#This Row],[Q]]&lt;0.1, " ",Inventory_List_Table34111510911131718141619[[#This Row],[LND RND USD]]*12)</f>
        <v xml:space="preserve"> </v>
      </c>
      <c r="W56" s="30" t="str">
        <f>IF(Inventory_List_Table34111510911131718141619[[#This Row],[Q]]&lt;0.1, " ",Inventory_List_Table34111510911131718141619[[#This Row],[AQ USD]])</f>
        <v xml:space="preserve"> </v>
      </c>
      <c r="X5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6" s="30" t="str">
        <f>IF(Inventory_List_Table34111510911131718141619[[#This Row],[Q]]&lt;0.1, " ",Inventory_List_Table34111510911131718141619[[#This Row],[PRICE]]/Z56*10000)</f>
        <v xml:space="preserve"> </v>
      </c>
      <c r="AB56" s="405"/>
      <c r="AC56" s="1"/>
      <c r="AD56" s="1"/>
    </row>
    <row r="57" spans="1:30" ht="24" customHeight="1" x14ac:dyDescent="0.3">
      <c r="A57" s="382">
        <v>55</v>
      </c>
      <c r="B57" s="1"/>
      <c r="C57" s="386"/>
      <c r="D57" s="386"/>
      <c r="E57" s="386"/>
      <c r="F57" s="38" t="str">
        <f>IF(Inventory_List_Table34111510911131718141619[[#This Row],[Q]]&lt;0.1, " ",#REF!&amp;$D$1&amp;#REF!&amp;Inventory_List_Table34111510911131718141619[[#This Row],[NOTES]])</f>
        <v xml:space="preserve"> </v>
      </c>
      <c r="G57" s="389"/>
      <c r="H57" s="389"/>
      <c r="I57" s="389"/>
      <c r="J57" s="389"/>
      <c r="K57" s="389"/>
      <c r="L57" s="391"/>
      <c r="M5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7" s="35" t="str">
        <f>IF(Inventory_List_Table34111510911131718141619[[#This Row],[Q]]&lt;0.1, " ", Inventory_List_Table34111510911131718141619[[#This Row],[KG]]*2.20462)</f>
        <v xml:space="preserve"> </v>
      </c>
      <c r="O57" s="35" t="str">
        <f>IF(Inventory_List_Table34111510911131718141619[[#This Row],[Q]]&lt;0.1, " ",Inventory_List_Table34111510911131718141619[[#This Row],[H CM]]/2.54)</f>
        <v xml:space="preserve"> </v>
      </c>
      <c r="P57" s="35" t="str">
        <f>IF(Inventory_List_Table34111510911131718141619[[#This Row],[Q]]&lt;0.1, " ",Inventory_List_Table34111510911131718141619[[#This Row],[W CM]]/2.54)</f>
        <v xml:space="preserve"> </v>
      </c>
      <c r="Q57" s="35" t="str">
        <f>IF(Inventory_List_Table34111510911131718141619[[#This Row],[Q]]&lt;0.1, " ",Inventory_List_Table34111510911131718141619[[#This Row],[D CM ]]/2.54)</f>
        <v xml:space="preserve"> </v>
      </c>
      <c r="R57" s="30" t="str">
        <f>IF(Inventory_List_Table34111510911131718141619[[#This Row],[Q]]&lt;0.1, " ",Inventory_List_Table34111510911131718141619[[#This Row],[PRICE]]/$L$1)</f>
        <v xml:space="preserve"> </v>
      </c>
      <c r="S5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7" s="30" t="str">
        <f>IF(Inventory_List_Table34111510911131718141619[[#This Row],[Q]]&lt;0.1, " ",Inventory_List_Table34111510911131718141619[[#This Row],[AQ RND USD]]*1.4)</f>
        <v xml:space="preserve"> </v>
      </c>
      <c r="U5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7" s="30" t="str">
        <f>IF(Inventory_List_Table34111510911131718141619[[#This Row],[Q]]&lt;0.1, " ",Inventory_List_Table34111510911131718141619[[#This Row],[LND RND USD]]*12)</f>
        <v xml:space="preserve"> </v>
      </c>
      <c r="W57" s="30" t="str">
        <f>IF(Inventory_List_Table34111510911131718141619[[#This Row],[Q]]&lt;0.1, " ",Inventory_List_Table34111510911131718141619[[#This Row],[AQ USD]])</f>
        <v xml:space="preserve"> </v>
      </c>
      <c r="X5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7" s="30" t="str">
        <f>IF(Inventory_List_Table34111510911131718141619[[#This Row],[Q]]&lt;0.1, " ",Inventory_List_Table34111510911131718141619[[#This Row],[PRICE]]/Z57*10000)</f>
        <v xml:space="preserve"> </v>
      </c>
      <c r="AB57" s="405"/>
      <c r="AC57" s="1"/>
      <c r="AD57" s="1"/>
    </row>
    <row r="58" spans="1:30" ht="24" customHeight="1" x14ac:dyDescent="0.3">
      <c r="A58" s="382">
        <v>56</v>
      </c>
      <c r="B58" s="1"/>
      <c r="C58" s="386"/>
      <c r="D58" s="386"/>
      <c r="E58" s="386"/>
      <c r="F58" s="38" t="str">
        <f>IF(Inventory_List_Table34111510911131718141619[[#This Row],[Q]]&lt;0.1, " ",#REF!&amp;$D$1&amp;#REF!&amp;Inventory_List_Table34111510911131718141619[[#This Row],[NOTES]])</f>
        <v xml:space="preserve"> </v>
      </c>
      <c r="G58" s="389"/>
      <c r="H58" s="389"/>
      <c r="I58" s="389"/>
      <c r="J58" s="389"/>
      <c r="K58" s="389"/>
      <c r="L58" s="391"/>
      <c r="M5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8" s="35" t="str">
        <f>IF(Inventory_List_Table34111510911131718141619[[#This Row],[Q]]&lt;0.1, " ", Inventory_List_Table34111510911131718141619[[#This Row],[KG]]*2.20462)</f>
        <v xml:space="preserve"> </v>
      </c>
      <c r="O58" s="35" t="str">
        <f>IF(Inventory_List_Table34111510911131718141619[[#This Row],[Q]]&lt;0.1, " ",Inventory_List_Table34111510911131718141619[[#This Row],[H CM]]/2.54)</f>
        <v xml:space="preserve"> </v>
      </c>
      <c r="P58" s="35" t="str">
        <f>IF(Inventory_List_Table34111510911131718141619[[#This Row],[Q]]&lt;0.1, " ",Inventory_List_Table34111510911131718141619[[#This Row],[W CM]]/2.54)</f>
        <v xml:space="preserve"> </v>
      </c>
      <c r="Q58" s="35" t="str">
        <f>IF(Inventory_List_Table34111510911131718141619[[#This Row],[Q]]&lt;0.1, " ",Inventory_List_Table34111510911131718141619[[#This Row],[D CM ]]/2.54)</f>
        <v xml:space="preserve"> </v>
      </c>
      <c r="R58" s="30" t="str">
        <f>IF(Inventory_List_Table34111510911131718141619[[#This Row],[Q]]&lt;0.1, " ",Inventory_List_Table34111510911131718141619[[#This Row],[PRICE]]/$L$1)</f>
        <v xml:space="preserve"> </v>
      </c>
      <c r="S5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8" s="30" t="str">
        <f>IF(Inventory_List_Table34111510911131718141619[[#This Row],[Q]]&lt;0.1, " ",Inventory_List_Table34111510911131718141619[[#This Row],[AQ RND USD]]*1.4)</f>
        <v xml:space="preserve"> </v>
      </c>
      <c r="U5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8" s="30" t="str">
        <f>IF(Inventory_List_Table34111510911131718141619[[#This Row],[Q]]&lt;0.1, " ",Inventory_List_Table34111510911131718141619[[#This Row],[LND RND USD]]*12)</f>
        <v xml:space="preserve"> </v>
      </c>
      <c r="W58" s="30" t="str">
        <f>IF(Inventory_List_Table34111510911131718141619[[#This Row],[Q]]&lt;0.1, " ",Inventory_List_Table34111510911131718141619[[#This Row],[AQ USD]])</f>
        <v xml:space="preserve"> </v>
      </c>
      <c r="X5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8" s="30" t="str">
        <f>IF(Inventory_List_Table34111510911131718141619[[#This Row],[Q]]&lt;0.1, " ",Inventory_List_Table34111510911131718141619[[#This Row],[PRICE]]/Z58*10000)</f>
        <v xml:space="preserve"> </v>
      </c>
      <c r="AB58" s="405"/>
      <c r="AC58" s="1"/>
      <c r="AD58" s="1"/>
    </row>
    <row r="59" spans="1:30" ht="24" customHeight="1" x14ac:dyDescent="0.3">
      <c r="A59" s="382">
        <v>57</v>
      </c>
      <c r="B59" s="1"/>
      <c r="C59" s="386"/>
      <c r="D59" s="386"/>
      <c r="E59" s="386"/>
      <c r="F59" s="38" t="str">
        <f>IF(Inventory_List_Table34111510911131718141619[[#This Row],[Q]]&lt;0.1, " ",#REF!&amp;$D$1&amp;#REF!&amp;Inventory_List_Table34111510911131718141619[[#This Row],[NOTES]])</f>
        <v xml:space="preserve"> </v>
      </c>
      <c r="G59" s="389"/>
      <c r="H59" s="389"/>
      <c r="I59" s="389"/>
      <c r="J59" s="389"/>
      <c r="K59" s="389"/>
      <c r="L59" s="391"/>
      <c r="M5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59" s="35" t="str">
        <f>IF(Inventory_List_Table34111510911131718141619[[#This Row],[Q]]&lt;0.1, " ", Inventory_List_Table34111510911131718141619[[#This Row],[KG]]*2.20462)</f>
        <v xml:space="preserve"> </v>
      </c>
      <c r="O59" s="35" t="str">
        <f>IF(Inventory_List_Table34111510911131718141619[[#This Row],[Q]]&lt;0.1, " ",Inventory_List_Table34111510911131718141619[[#This Row],[H CM]]/2.54)</f>
        <v xml:space="preserve"> </v>
      </c>
      <c r="P59" s="35" t="str">
        <f>IF(Inventory_List_Table34111510911131718141619[[#This Row],[Q]]&lt;0.1, " ",Inventory_List_Table34111510911131718141619[[#This Row],[W CM]]/2.54)</f>
        <v xml:space="preserve"> </v>
      </c>
      <c r="Q59" s="35" t="str">
        <f>IF(Inventory_List_Table34111510911131718141619[[#This Row],[Q]]&lt;0.1, " ",Inventory_List_Table34111510911131718141619[[#This Row],[D CM ]]/2.54)</f>
        <v xml:space="preserve"> </v>
      </c>
      <c r="R59" s="30" t="str">
        <f>IF(Inventory_List_Table34111510911131718141619[[#This Row],[Q]]&lt;0.1, " ",Inventory_List_Table34111510911131718141619[[#This Row],[PRICE]]/$L$1)</f>
        <v xml:space="preserve"> </v>
      </c>
      <c r="S5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59" s="30" t="str">
        <f>IF(Inventory_List_Table34111510911131718141619[[#This Row],[Q]]&lt;0.1, " ",Inventory_List_Table34111510911131718141619[[#This Row],[AQ RND USD]]*1.4)</f>
        <v xml:space="preserve"> </v>
      </c>
      <c r="U5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59" s="30" t="str">
        <f>IF(Inventory_List_Table34111510911131718141619[[#This Row],[Q]]&lt;0.1, " ",Inventory_List_Table34111510911131718141619[[#This Row],[LND RND USD]]*12)</f>
        <v xml:space="preserve"> </v>
      </c>
      <c r="W59" s="30" t="str">
        <f>IF(Inventory_List_Table34111510911131718141619[[#This Row],[Q]]&lt;0.1, " ",Inventory_List_Table34111510911131718141619[[#This Row],[AQ USD]])</f>
        <v xml:space="preserve"> </v>
      </c>
      <c r="X5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5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5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59" s="30" t="str">
        <f>IF(Inventory_List_Table34111510911131718141619[[#This Row],[Q]]&lt;0.1, " ",Inventory_List_Table34111510911131718141619[[#This Row],[PRICE]]/Z59*10000)</f>
        <v xml:space="preserve"> </v>
      </c>
      <c r="AB59" s="405"/>
      <c r="AC59" s="1"/>
      <c r="AD59" s="1"/>
    </row>
    <row r="60" spans="1:30" ht="24" customHeight="1" x14ac:dyDescent="0.3">
      <c r="A60" s="382">
        <v>58</v>
      </c>
      <c r="B60" s="1"/>
      <c r="C60" s="386"/>
      <c r="D60" s="386"/>
      <c r="E60" s="386"/>
      <c r="F60" s="38" t="str">
        <f>IF(Inventory_List_Table34111510911131718141619[[#This Row],[Q]]&lt;0.1, " ",#REF!&amp;$D$1&amp;#REF!&amp;Inventory_List_Table34111510911131718141619[[#This Row],[NOTES]])</f>
        <v xml:space="preserve"> </v>
      </c>
      <c r="G60" s="389"/>
      <c r="H60" s="389"/>
      <c r="I60" s="389"/>
      <c r="J60" s="389"/>
      <c r="K60" s="389"/>
      <c r="L60" s="391"/>
      <c r="M6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0" s="35" t="str">
        <f>IF(Inventory_List_Table34111510911131718141619[[#This Row],[Q]]&lt;0.1, " ", Inventory_List_Table34111510911131718141619[[#This Row],[KG]]*2.20462)</f>
        <v xml:space="preserve"> </v>
      </c>
      <c r="O60" s="35" t="str">
        <f>IF(Inventory_List_Table34111510911131718141619[[#This Row],[Q]]&lt;0.1, " ",Inventory_List_Table34111510911131718141619[[#This Row],[H CM]]/2.54)</f>
        <v xml:space="preserve"> </v>
      </c>
      <c r="P60" s="35" t="str">
        <f>IF(Inventory_List_Table34111510911131718141619[[#This Row],[Q]]&lt;0.1, " ",Inventory_List_Table34111510911131718141619[[#This Row],[W CM]]/2.54)</f>
        <v xml:space="preserve"> </v>
      </c>
      <c r="Q60" s="35" t="str">
        <f>IF(Inventory_List_Table34111510911131718141619[[#This Row],[Q]]&lt;0.1, " ",Inventory_List_Table34111510911131718141619[[#This Row],[D CM ]]/2.54)</f>
        <v xml:space="preserve"> </v>
      </c>
      <c r="R60" s="30" t="str">
        <f>IF(Inventory_List_Table34111510911131718141619[[#This Row],[Q]]&lt;0.1, " ",Inventory_List_Table34111510911131718141619[[#This Row],[PRICE]]/$L$1)</f>
        <v xml:space="preserve"> </v>
      </c>
      <c r="S6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0" s="30" t="str">
        <f>IF(Inventory_List_Table34111510911131718141619[[#This Row],[Q]]&lt;0.1, " ",Inventory_List_Table34111510911131718141619[[#This Row],[AQ RND USD]]*1.4)</f>
        <v xml:space="preserve"> </v>
      </c>
      <c r="U6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0" s="30" t="str">
        <f>IF(Inventory_List_Table34111510911131718141619[[#This Row],[Q]]&lt;0.1, " ",Inventory_List_Table34111510911131718141619[[#This Row],[LND RND USD]]*12)</f>
        <v xml:space="preserve"> </v>
      </c>
      <c r="W60" s="30" t="str">
        <f>IF(Inventory_List_Table34111510911131718141619[[#This Row],[Q]]&lt;0.1, " ",Inventory_List_Table34111510911131718141619[[#This Row],[AQ USD]])</f>
        <v xml:space="preserve"> </v>
      </c>
      <c r="X6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0" s="30" t="str">
        <f>IF(Inventory_List_Table34111510911131718141619[[#This Row],[Q]]&lt;0.1, " ",Inventory_List_Table34111510911131718141619[[#This Row],[PRICE]]/Z60*10000)</f>
        <v xml:space="preserve"> </v>
      </c>
      <c r="AB60" s="405"/>
      <c r="AC60" s="1"/>
      <c r="AD60" s="1"/>
    </row>
    <row r="61" spans="1:30" ht="24" customHeight="1" x14ac:dyDescent="0.3">
      <c r="A61" s="382">
        <v>59</v>
      </c>
      <c r="B61" s="1"/>
      <c r="C61" s="386"/>
      <c r="D61" s="386"/>
      <c r="E61" s="386"/>
      <c r="F61" s="38" t="str">
        <f>IF(Inventory_List_Table34111510911131718141619[[#This Row],[Q]]&lt;0.1, " ",#REF!&amp;$D$1&amp;#REF!&amp;Inventory_List_Table34111510911131718141619[[#This Row],[NOTES]])</f>
        <v xml:space="preserve"> </v>
      </c>
      <c r="G61" s="389"/>
      <c r="H61" s="389"/>
      <c r="I61" s="389"/>
      <c r="J61" s="389"/>
      <c r="K61" s="389"/>
      <c r="L61" s="391"/>
      <c r="M6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1" s="35" t="str">
        <f>IF(Inventory_List_Table34111510911131718141619[[#This Row],[Q]]&lt;0.1, " ", Inventory_List_Table34111510911131718141619[[#This Row],[KG]]*2.20462)</f>
        <v xml:space="preserve"> </v>
      </c>
      <c r="O61" s="35" t="str">
        <f>IF(Inventory_List_Table34111510911131718141619[[#This Row],[Q]]&lt;0.1, " ",Inventory_List_Table34111510911131718141619[[#This Row],[H CM]]/2.54)</f>
        <v xml:space="preserve"> </v>
      </c>
      <c r="P61" s="35" t="str">
        <f>IF(Inventory_List_Table34111510911131718141619[[#This Row],[Q]]&lt;0.1, " ",Inventory_List_Table34111510911131718141619[[#This Row],[W CM]]/2.54)</f>
        <v xml:space="preserve"> </v>
      </c>
      <c r="Q61" s="35" t="str">
        <f>IF(Inventory_List_Table34111510911131718141619[[#This Row],[Q]]&lt;0.1, " ",Inventory_List_Table34111510911131718141619[[#This Row],[D CM ]]/2.54)</f>
        <v xml:space="preserve"> </v>
      </c>
      <c r="R61" s="30" t="str">
        <f>IF(Inventory_List_Table34111510911131718141619[[#This Row],[Q]]&lt;0.1, " ",Inventory_List_Table34111510911131718141619[[#This Row],[PRICE]]/$L$1)</f>
        <v xml:space="preserve"> </v>
      </c>
      <c r="S6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1" s="30" t="str">
        <f>IF(Inventory_List_Table34111510911131718141619[[#This Row],[Q]]&lt;0.1, " ",Inventory_List_Table34111510911131718141619[[#This Row],[AQ RND USD]]*1.4)</f>
        <v xml:space="preserve"> </v>
      </c>
      <c r="U6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1" s="30" t="str">
        <f>IF(Inventory_List_Table34111510911131718141619[[#This Row],[Q]]&lt;0.1, " ",Inventory_List_Table34111510911131718141619[[#This Row],[LND RND USD]]*12)</f>
        <v xml:space="preserve"> </v>
      </c>
      <c r="W61" s="30" t="str">
        <f>IF(Inventory_List_Table34111510911131718141619[[#This Row],[Q]]&lt;0.1, " ",Inventory_List_Table34111510911131718141619[[#This Row],[AQ USD]])</f>
        <v xml:space="preserve"> </v>
      </c>
      <c r="X6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1" s="30" t="str">
        <f>IF(Inventory_List_Table34111510911131718141619[[#This Row],[Q]]&lt;0.1, " ",Inventory_List_Table34111510911131718141619[[#This Row],[PRICE]]/Z61*10000)</f>
        <v xml:space="preserve"> </v>
      </c>
      <c r="AB61" s="405"/>
      <c r="AC61" s="1"/>
      <c r="AD61" s="1"/>
    </row>
    <row r="62" spans="1:30" ht="24" customHeight="1" x14ac:dyDescent="0.3">
      <c r="A62" s="382">
        <v>60</v>
      </c>
      <c r="B62" s="1"/>
      <c r="C62" s="386"/>
      <c r="D62" s="386"/>
      <c r="E62" s="386"/>
      <c r="F62" s="38" t="str">
        <f>IF(Inventory_List_Table34111510911131718141619[[#This Row],[Q]]&lt;0.1, " ",#REF!&amp;$D$1&amp;#REF!&amp;Inventory_List_Table34111510911131718141619[[#This Row],[NOTES]])</f>
        <v xml:space="preserve"> </v>
      </c>
      <c r="G62" s="389"/>
      <c r="H62" s="389"/>
      <c r="I62" s="389"/>
      <c r="J62" s="389"/>
      <c r="K62" s="389"/>
      <c r="L62" s="391"/>
      <c r="M6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2" s="35" t="str">
        <f>IF(Inventory_List_Table34111510911131718141619[[#This Row],[Q]]&lt;0.1, " ", Inventory_List_Table34111510911131718141619[[#This Row],[KG]]*2.20462)</f>
        <v xml:space="preserve"> </v>
      </c>
      <c r="O62" s="35" t="str">
        <f>IF(Inventory_List_Table34111510911131718141619[[#This Row],[Q]]&lt;0.1, " ",Inventory_List_Table34111510911131718141619[[#This Row],[H CM]]/2.54)</f>
        <v xml:space="preserve"> </v>
      </c>
      <c r="P62" s="35" t="str">
        <f>IF(Inventory_List_Table34111510911131718141619[[#This Row],[Q]]&lt;0.1, " ",Inventory_List_Table34111510911131718141619[[#This Row],[W CM]]/2.54)</f>
        <v xml:space="preserve"> </v>
      </c>
      <c r="Q62" s="35" t="str">
        <f>IF(Inventory_List_Table34111510911131718141619[[#This Row],[Q]]&lt;0.1, " ",Inventory_List_Table34111510911131718141619[[#This Row],[D CM ]]/2.54)</f>
        <v xml:space="preserve"> </v>
      </c>
      <c r="R62" s="30" t="str">
        <f>IF(Inventory_List_Table34111510911131718141619[[#This Row],[Q]]&lt;0.1, " ",Inventory_List_Table34111510911131718141619[[#This Row],[PRICE]]/$L$1)</f>
        <v xml:space="preserve"> </v>
      </c>
      <c r="S6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2" s="30" t="str">
        <f>IF(Inventory_List_Table34111510911131718141619[[#This Row],[Q]]&lt;0.1, " ",Inventory_List_Table34111510911131718141619[[#This Row],[AQ RND USD]]*1.4)</f>
        <v xml:space="preserve"> </v>
      </c>
      <c r="U6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2" s="30" t="str">
        <f>IF(Inventory_List_Table34111510911131718141619[[#This Row],[Q]]&lt;0.1, " ",Inventory_List_Table34111510911131718141619[[#This Row],[LND RND USD]]*12)</f>
        <v xml:space="preserve"> </v>
      </c>
      <c r="W62" s="30" t="str">
        <f>IF(Inventory_List_Table34111510911131718141619[[#This Row],[Q]]&lt;0.1, " ",Inventory_List_Table34111510911131718141619[[#This Row],[AQ USD]])</f>
        <v xml:space="preserve"> </v>
      </c>
      <c r="X6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2" s="30" t="str">
        <f>IF(Inventory_List_Table34111510911131718141619[[#This Row],[Q]]&lt;0.1, " ",Inventory_List_Table34111510911131718141619[[#This Row],[PRICE]]/Z62*10000)</f>
        <v xml:space="preserve"> </v>
      </c>
      <c r="AB62" s="405"/>
      <c r="AC62" s="1"/>
      <c r="AD62" s="1"/>
    </row>
    <row r="63" spans="1:30" ht="24" customHeight="1" x14ac:dyDescent="0.3">
      <c r="A63" s="382">
        <v>61</v>
      </c>
      <c r="B63" s="1"/>
      <c r="C63" s="386"/>
      <c r="D63" s="386"/>
      <c r="E63" s="386"/>
      <c r="F63" s="38" t="str">
        <f>IF(Inventory_List_Table34111510911131718141619[[#This Row],[Q]]&lt;0.1, " ",#REF!&amp;$D$1&amp;#REF!&amp;Inventory_List_Table34111510911131718141619[[#This Row],[NOTES]])</f>
        <v xml:space="preserve"> </v>
      </c>
      <c r="G63" s="389"/>
      <c r="H63" s="389"/>
      <c r="I63" s="389"/>
      <c r="J63" s="389"/>
      <c r="K63" s="389"/>
      <c r="L63" s="391"/>
      <c r="M6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3" s="35" t="str">
        <f>IF(Inventory_List_Table34111510911131718141619[[#This Row],[Q]]&lt;0.1, " ", Inventory_List_Table34111510911131718141619[[#This Row],[KG]]*2.20462)</f>
        <v xml:space="preserve"> </v>
      </c>
      <c r="O63" s="35" t="str">
        <f>IF(Inventory_List_Table34111510911131718141619[[#This Row],[Q]]&lt;0.1, " ",Inventory_List_Table34111510911131718141619[[#This Row],[H CM]]/2.54)</f>
        <v xml:space="preserve"> </v>
      </c>
      <c r="P63" s="35" t="str">
        <f>IF(Inventory_List_Table34111510911131718141619[[#This Row],[Q]]&lt;0.1, " ",Inventory_List_Table34111510911131718141619[[#This Row],[W CM]]/2.54)</f>
        <v xml:space="preserve"> </v>
      </c>
      <c r="Q63" s="35" t="str">
        <f>IF(Inventory_List_Table34111510911131718141619[[#This Row],[Q]]&lt;0.1, " ",Inventory_List_Table34111510911131718141619[[#This Row],[D CM ]]/2.54)</f>
        <v xml:space="preserve"> </v>
      </c>
      <c r="R63" s="30" t="str">
        <f>IF(Inventory_List_Table34111510911131718141619[[#This Row],[Q]]&lt;0.1, " ",Inventory_List_Table34111510911131718141619[[#This Row],[PRICE]]/$L$1)</f>
        <v xml:space="preserve"> </v>
      </c>
      <c r="S6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3" s="30" t="str">
        <f>IF(Inventory_List_Table34111510911131718141619[[#This Row],[Q]]&lt;0.1, " ",Inventory_List_Table34111510911131718141619[[#This Row],[AQ RND USD]]*1.4)</f>
        <v xml:space="preserve"> </v>
      </c>
      <c r="U6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3" s="30" t="str">
        <f>IF(Inventory_List_Table34111510911131718141619[[#This Row],[Q]]&lt;0.1, " ",Inventory_List_Table34111510911131718141619[[#This Row],[LND RND USD]]*12)</f>
        <v xml:space="preserve"> </v>
      </c>
      <c r="W63" s="30" t="str">
        <f>IF(Inventory_List_Table34111510911131718141619[[#This Row],[Q]]&lt;0.1, " ",Inventory_List_Table34111510911131718141619[[#This Row],[AQ USD]])</f>
        <v xml:space="preserve"> </v>
      </c>
      <c r="X6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3" s="30" t="str">
        <f>IF(Inventory_List_Table34111510911131718141619[[#This Row],[Q]]&lt;0.1, " ",Inventory_List_Table34111510911131718141619[[#This Row],[PRICE]]/Z63*10000)</f>
        <v xml:space="preserve"> </v>
      </c>
      <c r="AB63" s="405"/>
      <c r="AC63" s="1"/>
      <c r="AD63" s="1"/>
    </row>
    <row r="64" spans="1:30" ht="24" customHeight="1" x14ac:dyDescent="0.3">
      <c r="A64" s="382">
        <v>62</v>
      </c>
      <c r="B64" s="1"/>
      <c r="C64" s="386"/>
      <c r="D64" s="386"/>
      <c r="E64" s="386"/>
      <c r="F64" s="38" t="str">
        <f>IF(Inventory_List_Table34111510911131718141619[[#This Row],[Q]]&lt;0.1, " ",#REF!&amp;$D$1&amp;#REF!&amp;Inventory_List_Table34111510911131718141619[[#This Row],[NOTES]])</f>
        <v xml:space="preserve"> </v>
      </c>
      <c r="G64" s="389"/>
      <c r="H64" s="389"/>
      <c r="I64" s="389"/>
      <c r="J64" s="389"/>
      <c r="K64" s="389"/>
      <c r="L64" s="391"/>
      <c r="M6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4" s="35" t="str">
        <f>IF(Inventory_List_Table34111510911131718141619[[#This Row],[Q]]&lt;0.1, " ", Inventory_List_Table34111510911131718141619[[#This Row],[KG]]*2.20462)</f>
        <v xml:space="preserve"> </v>
      </c>
      <c r="O64" s="35" t="str">
        <f>IF(Inventory_List_Table34111510911131718141619[[#This Row],[Q]]&lt;0.1, " ",Inventory_List_Table34111510911131718141619[[#This Row],[H CM]]/2.54)</f>
        <v xml:space="preserve"> </v>
      </c>
      <c r="P64" s="35" t="str">
        <f>IF(Inventory_List_Table34111510911131718141619[[#This Row],[Q]]&lt;0.1, " ",Inventory_List_Table34111510911131718141619[[#This Row],[W CM]]/2.54)</f>
        <v xml:space="preserve"> </v>
      </c>
      <c r="Q64" s="35" t="str">
        <f>IF(Inventory_List_Table34111510911131718141619[[#This Row],[Q]]&lt;0.1, " ",Inventory_List_Table34111510911131718141619[[#This Row],[D CM ]]/2.54)</f>
        <v xml:space="preserve"> </v>
      </c>
      <c r="R64" s="30" t="str">
        <f>IF(Inventory_List_Table34111510911131718141619[[#This Row],[Q]]&lt;0.1, " ",Inventory_List_Table34111510911131718141619[[#This Row],[PRICE]]/$L$1)</f>
        <v xml:space="preserve"> </v>
      </c>
      <c r="S6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4" s="30" t="str">
        <f>IF(Inventory_List_Table34111510911131718141619[[#This Row],[Q]]&lt;0.1, " ",Inventory_List_Table34111510911131718141619[[#This Row],[AQ RND USD]]*1.4)</f>
        <v xml:space="preserve"> </v>
      </c>
      <c r="U6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4" s="30" t="str">
        <f>IF(Inventory_List_Table34111510911131718141619[[#This Row],[Q]]&lt;0.1, " ",Inventory_List_Table34111510911131718141619[[#This Row],[LND RND USD]]*12)</f>
        <v xml:space="preserve"> </v>
      </c>
      <c r="W64" s="30" t="str">
        <f>IF(Inventory_List_Table34111510911131718141619[[#This Row],[Q]]&lt;0.1, " ",Inventory_List_Table34111510911131718141619[[#This Row],[AQ USD]])</f>
        <v xml:space="preserve"> </v>
      </c>
      <c r="X6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4" s="30" t="str">
        <f>IF(Inventory_List_Table34111510911131718141619[[#This Row],[Q]]&lt;0.1, " ",Inventory_List_Table34111510911131718141619[[#This Row],[PRICE]]/Z64*10000)</f>
        <v xml:space="preserve"> </v>
      </c>
      <c r="AB64" s="405"/>
      <c r="AC64" s="1"/>
      <c r="AD64" s="1"/>
    </row>
    <row r="65" spans="1:30" ht="24" customHeight="1" x14ac:dyDescent="0.3">
      <c r="A65" s="382">
        <v>63</v>
      </c>
      <c r="B65" s="1"/>
      <c r="C65" s="386"/>
      <c r="D65" s="386"/>
      <c r="E65" s="386"/>
      <c r="F65" s="38" t="str">
        <f>IF(Inventory_List_Table34111510911131718141619[[#This Row],[Q]]&lt;0.1, " ",#REF!&amp;$D$1&amp;#REF!&amp;Inventory_List_Table34111510911131718141619[[#This Row],[NOTES]])</f>
        <v xml:space="preserve"> </v>
      </c>
      <c r="G65" s="389"/>
      <c r="H65" s="389"/>
      <c r="I65" s="389"/>
      <c r="J65" s="389"/>
      <c r="K65" s="389"/>
      <c r="L65" s="391"/>
      <c r="M6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5" s="35" t="str">
        <f>IF(Inventory_List_Table34111510911131718141619[[#This Row],[Q]]&lt;0.1, " ", Inventory_List_Table34111510911131718141619[[#This Row],[KG]]*2.20462)</f>
        <v xml:space="preserve"> </v>
      </c>
      <c r="O65" s="35" t="str">
        <f>IF(Inventory_List_Table34111510911131718141619[[#This Row],[Q]]&lt;0.1, " ",Inventory_List_Table34111510911131718141619[[#This Row],[H CM]]/2.54)</f>
        <v xml:space="preserve"> </v>
      </c>
      <c r="P65" s="35" t="str">
        <f>IF(Inventory_List_Table34111510911131718141619[[#This Row],[Q]]&lt;0.1, " ",Inventory_List_Table34111510911131718141619[[#This Row],[W CM]]/2.54)</f>
        <v xml:space="preserve"> </v>
      </c>
      <c r="Q65" s="35" t="str">
        <f>IF(Inventory_List_Table34111510911131718141619[[#This Row],[Q]]&lt;0.1, " ",Inventory_List_Table34111510911131718141619[[#This Row],[D CM ]]/2.54)</f>
        <v xml:space="preserve"> </v>
      </c>
      <c r="R65" s="30" t="str">
        <f>IF(Inventory_List_Table34111510911131718141619[[#This Row],[Q]]&lt;0.1, " ",Inventory_List_Table34111510911131718141619[[#This Row],[PRICE]]/$L$1)</f>
        <v xml:space="preserve"> </v>
      </c>
      <c r="S6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5" s="30" t="str">
        <f>IF(Inventory_List_Table34111510911131718141619[[#This Row],[Q]]&lt;0.1, " ",Inventory_List_Table34111510911131718141619[[#This Row],[AQ RND USD]]*1.4)</f>
        <v xml:space="preserve"> </v>
      </c>
      <c r="U6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5" s="30" t="str">
        <f>IF(Inventory_List_Table34111510911131718141619[[#This Row],[Q]]&lt;0.1, " ",Inventory_List_Table34111510911131718141619[[#This Row],[LND RND USD]]*12)</f>
        <v xml:space="preserve"> </v>
      </c>
      <c r="W65" s="30" t="str">
        <f>IF(Inventory_List_Table34111510911131718141619[[#This Row],[Q]]&lt;0.1, " ",Inventory_List_Table34111510911131718141619[[#This Row],[AQ USD]])</f>
        <v xml:space="preserve"> </v>
      </c>
      <c r="X6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5" s="30" t="str">
        <f>IF(Inventory_List_Table34111510911131718141619[[#This Row],[Q]]&lt;0.1, " ",Inventory_List_Table34111510911131718141619[[#This Row],[PRICE]]/Z65*10000)</f>
        <v xml:space="preserve"> </v>
      </c>
      <c r="AB65" s="405"/>
      <c r="AC65" s="1"/>
      <c r="AD65" s="1"/>
    </row>
    <row r="66" spans="1:30" ht="24" customHeight="1" x14ac:dyDescent="0.3">
      <c r="A66" s="382">
        <v>64</v>
      </c>
      <c r="B66" s="1"/>
      <c r="C66" s="386"/>
      <c r="D66" s="386"/>
      <c r="E66" s="386"/>
      <c r="F66" s="38" t="str">
        <f>IF(Inventory_List_Table34111510911131718141619[[#This Row],[Q]]&lt;0.1, " ",#REF!&amp;$D$1&amp;#REF!&amp;Inventory_List_Table34111510911131718141619[[#This Row],[NOTES]])</f>
        <v xml:space="preserve"> </v>
      </c>
      <c r="G66" s="389"/>
      <c r="H66" s="389"/>
      <c r="I66" s="389"/>
      <c r="J66" s="389"/>
      <c r="K66" s="389"/>
      <c r="L66" s="391"/>
      <c r="M6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6" s="35" t="str">
        <f>IF(Inventory_List_Table34111510911131718141619[[#This Row],[Q]]&lt;0.1, " ", Inventory_List_Table34111510911131718141619[[#This Row],[KG]]*2.20462)</f>
        <v xml:space="preserve"> </v>
      </c>
      <c r="O66" s="35" t="str">
        <f>IF(Inventory_List_Table34111510911131718141619[[#This Row],[Q]]&lt;0.1, " ",Inventory_List_Table34111510911131718141619[[#This Row],[H CM]]/2.54)</f>
        <v xml:space="preserve"> </v>
      </c>
      <c r="P66" s="35" t="str">
        <f>IF(Inventory_List_Table34111510911131718141619[[#This Row],[Q]]&lt;0.1, " ",Inventory_List_Table34111510911131718141619[[#This Row],[W CM]]/2.54)</f>
        <v xml:space="preserve"> </v>
      </c>
      <c r="Q66" s="35" t="str">
        <f>IF(Inventory_List_Table34111510911131718141619[[#This Row],[Q]]&lt;0.1, " ",Inventory_List_Table34111510911131718141619[[#This Row],[D CM ]]/2.54)</f>
        <v xml:space="preserve"> </v>
      </c>
      <c r="R66" s="30" t="str">
        <f>IF(Inventory_List_Table34111510911131718141619[[#This Row],[Q]]&lt;0.1, " ",Inventory_List_Table34111510911131718141619[[#This Row],[PRICE]]/$L$1)</f>
        <v xml:space="preserve"> </v>
      </c>
      <c r="S6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6" s="30" t="str">
        <f>IF(Inventory_List_Table34111510911131718141619[[#This Row],[Q]]&lt;0.1, " ",Inventory_List_Table34111510911131718141619[[#This Row],[AQ RND USD]]*1.4)</f>
        <v xml:space="preserve"> </v>
      </c>
      <c r="U6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6" s="30" t="str">
        <f>IF(Inventory_List_Table34111510911131718141619[[#This Row],[Q]]&lt;0.1, " ",Inventory_List_Table34111510911131718141619[[#This Row],[LND RND USD]]*12)</f>
        <v xml:space="preserve"> </v>
      </c>
      <c r="W66" s="30" t="str">
        <f>IF(Inventory_List_Table34111510911131718141619[[#This Row],[Q]]&lt;0.1, " ",Inventory_List_Table34111510911131718141619[[#This Row],[AQ USD]])</f>
        <v xml:space="preserve"> </v>
      </c>
      <c r="X6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6" s="30" t="str">
        <f>IF(Inventory_List_Table34111510911131718141619[[#This Row],[Q]]&lt;0.1, " ",Inventory_List_Table34111510911131718141619[[#This Row],[PRICE]]/Z66*10000)</f>
        <v xml:space="preserve"> </v>
      </c>
      <c r="AB66" s="405"/>
      <c r="AC66" s="1"/>
      <c r="AD66" s="1"/>
    </row>
    <row r="67" spans="1:30" ht="24" customHeight="1" x14ac:dyDescent="0.3">
      <c r="A67" s="382">
        <v>65</v>
      </c>
      <c r="B67" s="1"/>
      <c r="C67" s="386"/>
      <c r="D67" s="386"/>
      <c r="E67" s="386"/>
      <c r="F67" s="38" t="str">
        <f>IF(Inventory_List_Table34111510911131718141619[[#This Row],[Q]]&lt;0.1, " ",#REF!&amp;$D$1&amp;#REF!&amp;Inventory_List_Table34111510911131718141619[[#This Row],[NOTES]])</f>
        <v xml:space="preserve"> </v>
      </c>
      <c r="G67" s="389"/>
      <c r="H67" s="389"/>
      <c r="I67" s="389"/>
      <c r="J67" s="389"/>
      <c r="K67" s="389"/>
      <c r="L67" s="391"/>
      <c r="M6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7" s="35" t="str">
        <f>IF(Inventory_List_Table34111510911131718141619[[#This Row],[Q]]&lt;0.1, " ", Inventory_List_Table34111510911131718141619[[#This Row],[KG]]*2.20462)</f>
        <v xml:space="preserve"> </v>
      </c>
      <c r="O67" s="35" t="str">
        <f>IF(Inventory_List_Table34111510911131718141619[[#This Row],[Q]]&lt;0.1, " ",Inventory_List_Table34111510911131718141619[[#This Row],[H CM]]/2.54)</f>
        <v xml:space="preserve"> </v>
      </c>
      <c r="P67" s="35" t="str">
        <f>IF(Inventory_List_Table34111510911131718141619[[#This Row],[Q]]&lt;0.1, " ",Inventory_List_Table34111510911131718141619[[#This Row],[W CM]]/2.54)</f>
        <v xml:space="preserve"> </v>
      </c>
      <c r="Q67" s="35" t="str">
        <f>IF(Inventory_List_Table34111510911131718141619[[#This Row],[Q]]&lt;0.1, " ",Inventory_List_Table34111510911131718141619[[#This Row],[D CM ]]/2.54)</f>
        <v xml:space="preserve"> </v>
      </c>
      <c r="R67" s="30" t="str">
        <f>IF(Inventory_List_Table34111510911131718141619[[#This Row],[Q]]&lt;0.1, " ",Inventory_List_Table34111510911131718141619[[#This Row],[PRICE]]/$L$1)</f>
        <v xml:space="preserve"> </v>
      </c>
      <c r="S6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7" s="30" t="str">
        <f>IF(Inventory_List_Table34111510911131718141619[[#This Row],[Q]]&lt;0.1, " ",Inventory_List_Table34111510911131718141619[[#This Row],[AQ RND USD]]*1.4)</f>
        <v xml:space="preserve"> </v>
      </c>
      <c r="U6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7" s="30" t="str">
        <f>IF(Inventory_List_Table34111510911131718141619[[#This Row],[Q]]&lt;0.1, " ",Inventory_List_Table34111510911131718141619[[#This Row],[LND RND USD]]*12)</f>
        <v xml:space="preserve"> </v>
      </c>
      <c r="W67" s="30" t="str">
        <f>IF(Inventory_List_Table34111510911131718141619[[#This Row],[Q]]&lt;0.1, " ",Inventory_List_Table34111510911131718141619[[#This Row],[AQ USD]])</f>
        <v xml:space="preserve"> </v>
      </c>
      <c r="X6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7" s="30" t="str">
        <f>IF(Inventory_List_Table34111510911131718141619[[#This Row],[Q]]&lt;0.1, " ",Inventory_List_Table34111510911131718141619[[#This Row],[PRICE]]/Z67*10000)</f>
        <v xml:space="preserve"> </v>
      </c>
      <c r="AB67" s="405"/>
      <c r="AC67" s="1"/>
      <c r="AD67" s="1"/>
    </row>
    <row r="68" spans="1:30" ht="24" customHeight="1" x14ac:dyDescent="0.3">
      <c r="A68" s="382">
        <v>66</v>
      </c>
      <c r="B68" s="1"/>
      <c r="C68" s="386"/>
      <c r="D68" s="386"/>
      <c r="E68" s="386"/>
      <c r="F68" s="38" t="str">
        <f>IF(Inventory_List_Table34111510911131718141619[[#This Row],[Q]]&lt;0.1, " ",#REF!&amp;$D$1&amp;#REF!&amp;Inventory_List_Table34111510911131718141619[[#This Row],[NOTES]])</f>
        <v xml:space="preserve"> </v>
      </c>
      <c r="G68" s="389"/>
      <c r="H68" s="389"/>
      <c r="I68" s="389"/>
      <c r="J68" s="389"/>
      <c r="K68" s="389"/>
      <c r="L68" s="391"/>
      <c r="M6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8" s="35" t="str">
        <f>IF(Inventory_List_Table34111510911131718141619[[#This Row],[Q]]&lt;0.1, " ", Inventory_List_Table34111510911131718141619[[#This Row],[KG]]*2.20462)</f>
        <v xml:space="preserve"> </v>
      </c>
      <c r="O68" s="35" t="str">
        <f>IF(Inventory_List_Table34111510911131718141619[[#This Row],[Q]]&lt;0.1, " ",Inventory_List_Table34111510911131718141619[[#This Row],[H CM]]/2.54)</f>
        <v xml:space="preserve"> </v>
      </c>
      <c r="P68" s="35" t="str">
        <f>IF(Inventory_List_Table34111510911131718141619[[#This Row],[Q]]&lt;0.1, " ",Inventory_List_Table34111510911131718141619[[#This Row],[W CM]]/2.54)</f>
        <v xml:space="preserve"> </v>
      </c>
      <c r="Q68" s="35" t="str">
        <f>IF(Inventory_List_Table34111510911131718141619[[#This Row],[Q]]&lt;0.1, " ",Inventory_List_Table34111510911131718141619[[#This Row],[D CM ]]/2.54)</f>
        <v xml:space="preserve"> </v>
      </c>
      <c r="R68" s="30" t="str">
        <f>IF(Inventory_List_Table34111510911131718141619[[#This Row],[Q]]&lt;0.1, " ",Inventory_List_Table34111510911131718141619[[#This Row],[PRICE]]/$L$1)</f>
        <v xml:space="preserve"> </v>
      </c>
      <c r="S6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8" s="30" t="str">
        <f>IF(Inventory_List_Table34111510911131718141619[[#This Row],[Q]]&lt;0.1, " ",Inventory_List_Table34111510911131718141619[[#This Row],[AQ RND USD]]*1.4)</f>
        <v xml:space="preserve"> </v>
      </c>
      <c r="U6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8" s="30" t="str">
        <f>IF(Inventory_List_Table34111510911131718141619[[#This Row],[Q]]&lt;0.1, " ",Inventory_List_Table34111510911131718141619[[#This Row],[LND RND USD]]*12)</f>
        <v xml:space="preserve"> </v>
      </c>
      <c r="W68" s="30" t="str">
        <f>IF(Inventory_List_Table34111510911131718141619[[#This Row],[Q]]&lt;0.1, " ",Inventory_List_Table34111510911131718141619[[#This Row],[AQ USD]])</f>
        <v xml:space="preserve"> </v>
      </c>
      <c r="X6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8" s="30" t="str">
        <f>IF(Inventory_List_Table34111510911131718141619[[#This Row],[Q]]&lt;0.1, " ",Inventory_List_Table34111510911131718141619[[#This Row],[PRICE]]/Z68*10000)</f>
        <v xml:space="preserve"> </v>
      </c>
      <c r="AB68" s="405"/>
      <c r="AC68" s="1"/>
      <c r="AD68" s="1"/>
    </row>
    <row r="69" spans="1:30" ht="24" customHeight="1" x14ac:dyDescent="0.3">
      <c r="A69" s="382">
        <v>67</v>
      </c>
      <c r="B69" s="1"/>
      <c r="C69" s="386"/>
      <c r="D69" s="386"/>
      <c r="E69" s="386"/>
      <c r="F69" s="38" t="str">
        <f>IF(Inventory_List_Table34111510911131718141619[[#This Row],[Q]]&lt;0.1, " ",#REF!&amp;$D$1&amp;#REF!&amp;Inventory_List_Table34111510911131718141619[[#This Row],[NOTES]])</f>
        <v xml:space="preserve"> </v>
      </c>
      <c r="G69" s="389"/>
      <c r="H69" s="389"/>
      <c r="I69" s="389"/>
      <c r="J69" s="389"/>
      <c r="K69" s="389"/>
      <c r="L69" s="391"/>
      <c r="M6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69" s="35" t="str">
        <f>IF(Inventory_List_Table34111510911131718141619[[#This Row],[Q]]&lt;0.1, " ", Inventory_List_Table34111510911131718141619[[#This Row],[KG]]*2.20462)</f>
        <v xml:space="preserve"> </v>
      </c>
      <c r="O69" s="35" t="str">
        <f>IF(Inventory_List_Table34111510911131718141619[[#This Row],[Q]]&lt;0.1, " ",Inventory_List_Table34111510911131718141619[[#This Row],[H CM]]/2.54)</f>
        <v xml:space="preserve"> </v>
      </c>
      <c r="P69" s="35" t="str">
        <f>IF(Inventory_List_Table34111510911131718141619[[#This Row],[Q]]&lt;0.1, " ",Inventory_List_Table34111510911131718141619[[#This Row],[W CM]]/2.54)</f>
        <v xml:space="preserve"> </v>
      </c>
      <c r="Q69" s="35" t="str">
        <f>IF(Inventory_List_Table34111510911131718141619[[#This Row],[Q]]&lt;0.1, " ",Inventory_List_Table34111510911131718141619[[#This Row],[D CM ]]/2.54)</f>
        <v xml:space="preserve"> </v>
      </c>
      <c r="R69" s="30" t="str">
        <f>IF(Inventory_List_Table34111510911131718141619[[#This Row],[Q]]&lt;0.1, " ",Inventory_List_Table34111510911131718141619[[#This Row],[PRICE]]/$L$1)</f>
        <v xml:space="preserve"> </v>
      </c>
      <c r="S6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69" s="30" t="str">
        <f>IF(Inventory_List_Table34111510911131718141619[[#This Row],[Q]]&lt;0.1, " ",Inventory_List_Table34111510911131718141619[[#This Row],[AQ RND USD]]*1.4)</f>
        <v xml:space="preserve"> </v>
      </c>
      <c r="U6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69" s="30" t="str">
        <f>IF(Inventory_List_Table34111510911131718141619[[#This Row],[Q]]&lt;0.1, " ",Inventory_List_Table34111510911131718141619[[#This Row],[LND RND USD]]*12)</f>
        <v xml:space="preserve"> </v>
      </c>
      <c r="W69" s="30" t="str">
        <f>IF(Inventory_List_Table34111510911131718141619[[#This Row],[Q]]&lt;0.1, " ",Inventory_List_Table34111510911131718141619[[#This Row],[AQ USD]])</f>
        <v xml:space="preserve"> </v>
      </c>
      <c r="X6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6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6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69" s="30" t="str">
        <f>IF(Inventory_List_Table34111510911131718141619[[#This Row],[Q]]&lt;0.1, " ",Inventory_List_Table34111510911131718141619[[#This Row],[PRICE]]/Z69*10000)</f>
        <v xml:space="preserve"> </v>
      </c>
      <c r="AB69" s="405"/>
      <c r="AC69" s="1"/>
      <c r="AD69" s="1"/>
    </row>
    <row r="70" spans="1:30" ht="24" customHeight="1" x14ac:dyDescent="0.3">
      <c r="A70" s="382">
        <v>68</v>
      </c>
      <c r="B70" s="1"/>
      <c r="C70" s="386"/>
      <c r="D70" s="386"/>
      <c r="E70" s="386"/>
      <c r="F70" s="38" t="str">
        <f>IF(Inventory_List_Table34111510911131718141619[[#This Row],[Q]]&lt;0.1, " ",#REF!&amp;$D$1&amp;#REF!&amp;Inventory_List_Table34111510911131718141619[[#This Row],[NOTES]])</f>
        <v xml:space="preserve"> </v>
      </c>
      <c r="G70" s="389"/>
      <c r="H70" s="389"/>
      <c r="I70" s="389"/>
      <c r="J70" s="389"/>
      <c r="K70" s="389"/>
      <c r="L70" s="391"/>
      <c r="M7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0" s="35" t="str">
        <f>IF(Inventory_List_Table34111510911131718141619[[#This Row],[Q]]&lt;0.1, " ", Inventory_List_Table34111510911131718141619[[#This Row],[KG]]*2.20462)</f>
        <v xml:space="preserve"> </v>
      </c>
      <c r="O70" s="35" t="str">
        <f>IF(Inventory_List_Table34111510911131718141619[[#This Row],[Q]]&lt;0.1, " ",Inventory_List_Table34111510911131718141619[[#This Row],[H CM]]/2.54)</f>
        <v xml:space="preserve"> </v>
      </c>
      <c r="P70" s="35" t="str">
        <f>IF(Inventory_List_Table34111510911131718141619[[#This Row],[Q]]&lt;0.1, " ",Inventory_List_Table34111510911131718141619[[#This Row],[W CM]]/2.54)</f>
        <v xml:space="preserve"> </v>
      </c>
      <c r="Q70" s="35" t="str">
        <f>IF(Inventory_List_Table34111510911131718141619[[#This Row],[Q]]&lt;0.1, " ",Inventory_List_Table34111510911131718141619[[#This Row],[D CM ]]/2.54)</f>
        <v xml:space="preserve"> </v>
      </c>
      <c r="R70" s="30" t="str">
        <f>IF(Inventory_List_Table34111510911131718141619[[#This Row],[Q]]&lt;0.1, " ",Inventory_List_Table34111510911131718141619[[#This Row],[PRICE]]/$L$1)</f>
        <v xml:space="preserve"> </v>
      </c>
      <c r="S7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0" s="30" t="str">
        <f>IF(Inventory_List_Table34111510911131718141619[[#This Row],[Q]]&lt;0.1, " ",Inventory_List_Table34111510911131718141619[[#This Row],[AQ RND USD]]*1.4)</f>
        <v xml:space="preserve"> </v>
      </c>
      <c r="U7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0" s="30" t="str">
        <f>IF(Inventory_List_Table34111510911131718141619[[#This Row],[Q]]&lt;0.1, " ",Inventory_List_Table34111510911131718141619[[#This Row],[LND RND USD]]*12)</f>
        <v xml:space="preserve"> </v>
      </c>
      <c r="W70" s="30" t="str">
        <f>IF(Inventory_List_Table34111510911131718141619[[#This Row],[Q]]&lt;0.1, " ",Inventory_List_Table34111510911131718141619[[#This Row],[AQ USD]])</f>
        <v xml:space="preserve"> </v>
      </c>
      <c r="X7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0" s="30" t="str">
        <f>IF(Inventory_List_Table34111510911131718141619[[#This Row],[Q]]&lt;0.1, " ",Inventory_List_Table34111510911131718141619[[#This Row],[PRICE]]/Z70*10000)</f>
        <v xml:space="preserve"> </v>
      </c>
      <c r="AB70" s="405"/>
      <c r="AC70" s="1"/>
      <c r="AD70" s="1"/>
    </row>
    <row r="71" spans="1:30" ht="24" customHeight="1" x14ac:dyDescent="0.3">
      <c r="A71" s="382">
        <v>69</v>
      </c>
      <c r="B71" s="1"/>
      <c r="C71" s="386"/>
      <c r="D71" s="386"/>
      <c r="E71" s="386"/>
      <c r="F71" s="38" t="str">
        <f>IF(Inventory_List_Table34111510911131718141619[[#This Row],[Q]]&lt;0.1, " ",#REF!&amp;$D$1&amp;#REF!&amp;Inventory_List_Table34111510911131718141619[[#This Row],[NOTES]])</f>
        <v xml:space="preserve"> </v>
      </c>
      <c r="G71" s="389"/>
      <c r="H71" s="389"/>
      <c r="I71" s="389"/>
      <c r="J71" s="389"/>
      <c r="K71" s="389"/>
      <c r="L71" s="391"/>
      <c r="M7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1" s="35" t="str">
        <f>IF(Inventory_List_Table34111510911131718141619[[#This Row],[Q]]&lt;0.1, " ", Inventory_List_Table34111510911131718141619[[#This Row],[KG]]*2.20462)</f>
        <v xml:space="preserve"> </v>
      </c>
      <c r="O71" s="35" t="str">
        <f>IF(Inventory_List_Table34111510911131718141619[[#This Row],[Q]]&lt;0.1, " ",Inventory_List_Table34111510911131718141619[[#This Row],[H CM]]/2.54)</f>
        <v xml:space="preserve"> </v>
      </c>
      <c r="P71" s="35" t="str">
        <f>IF(Inventory_List_Table34111510911131718141619[[#This Row],[Q]]&lt;0.1, " ",Inventory_List_Table34111510911131718141619[[#This Row],[W CM]]/2.54)</f>
        <v xml:space="preserve"> </v>
      </c>
      <c r="Q71" s="35" t="str">
        <f>IF(Inventory_List_Table34111510911131718141619[[#This Row],[Q]]&lt;0.1, " ",Inventory_List_Table34111510911131718141619[[#This Row],[D CM ]]/2.54)</f>
        <v xml:space="preserve"> </v>
      </c>
      <c r="R71" s="30" t="str">
        <f>IF(Inventory_List_Table34111510911131718141619[[#This Row],[Q]]&lt;0.1, " ",Inventory_List_Table34111510911131718141619[[#This Row],[PRICE]]/$L$1)</f>
        <v xml:space="preserve"> </v>
      </c>
      <c r="S7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1" s="30" t="str">
        <f>IF(Inventory_List_Table34111510911131718141619[[#This Row],[Q]]&lt;0.1, " ",Inventory_List_Table34111510911131718141619[[#This Row],[AQ RND USD]]*1.4)</f>
        <v xml:space="preserve"> </v>
      </c>
      <c r="U7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1" s="30" t="str">
        <f>IF(Inventory_List_Table34111510911131718141619[[#This Row],[Q]]&lt;0.1, " ",Inventory_List_Table34111510911131718141619[[#This Row],[LND RND USD]]*12)</f>
        <v xml:space="preserve"> </v>
      </c>
      <c r="W71" s="30" t="str">
        <f>IF(Inventory_List_Table34111510911131718141619[[#This Row],[Q]]&lt;0.1, " ",Inventory_List_Table34111510911131718141619[[#This Row],[AQ USD]])</f>
        <v xml:space="preserve"> </v>
      </c>
      <c r="X7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1" s="30" t="str">
        <f>IF(Inventory_List_Table34111510911131718141619[[#This Row],[Q]]&lt;0.1, " ",Inventory_List_Table34111510911131718141619[[#This Row],[PRICE]]/Z71*10000)</f>
        <v xml:space="preserve"> </v>
      </c>
      <c r="AB71" s="405"/>
      <c r="AC71" s="1"/>
      <c r="AD71" s="1"/>
    </row>
    <row r="72" spans="1:30" ht="24" customHeight="1" x14ac:dyDescent="0.3">
      <c r="A72" s="382">
        <v>70</v>
      </c>
      <c r="B72" s="1"/>
      <c r="C72" s="386"/>
      <c r="D72" s="386"/>
      <c r="E72" s="386"/>
      <c r="F72" s="38" t="str">
        <f>IF(Inventory_List_Table34111510911131718141619[[#This Row],[Q]]&lt;0.1, " ",#REF!&amp;$D$1&amp;#REF!&amp;Inventory_List_Table34111510911131718141619[[#This Row],[NOTES]])</f>
        <v xml:space="preserve"> </v>
      </c>
      <c r="G72" s="389"/>
      <c r="H72" s="389"/>
      <c r="I72" s="389"/>
      <c r="J72" s="389"/>
      <c r="K72" s="389"/>
      <c r="L72" s="391"/>
      <c r="M7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2" s="35" t="str">
        <f>IF(Inventory_List_Table34111510911131718141619[[#This Row],[Q]]&lt;0.1, " ", Inventory_List_Table34111510911131718141619[[#This Row],[KG]]*2.20462)</f>
        <v xml:space="preserve"> </v>
      </c>
      <c r="O72" s="35" t="str">
        <f>IF(Inventory_List_Table34111510911131718141619[[#This Row],[Q]]&lt;0.1, " ",Inventory_List_Table34111510911131718141619[[#This Row],[H CM]]/2.54)</f>
        <v xml:space="preserve"> </v>
      </c>
      <c r="P72" s="35" t="str">
        <f>IF(Inventory_List_Table34111510911131718141619[[#This Row],[Q]]&lt;0.1, " ",Inventory_List_Table34111510911131718141619[[#This Row],[W CM]]/2.54)</f>
        <v xml:space="preserve"> </v>
      </c>
      <c r="Q72" s="35" t="str">
        <f>IF(Inventory_List_Table34111510911131718141619[[#This Row],[Q]]&lt;0.1, " ",Inventory_List_Table34111510911131718141619[[#This Row],[D CM ]]/2.54)</f>
        <v xml:space="preserve"> </v>
      </c>
      <c r="R72" s="30" t="str">
        <f>IF(Inventory_List_Table34111510911131718141619[[#This Row],[Q]]&lt;0.1, " ",Inventory_List_Table34111510911131718141619[[#This Row],[PRICE]]/$L$1)</f>
        <v xml:space="preserve"> </v>
      </c>
      <c r="S7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2" s="30" t="str">
        <f>IF(Inventory_List_Table34111510911131718141619[[#This Row],[Q]]&lt;0.1, " ",Inventory_List_Table34111510911131718141619[[#This Row],[AQ RND USD]]*1.4)</f>
        <v xml:space="preserve"> </v>
      </c>
      <c r="U7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2" s="30" t="str">
        <f>IF(Inventory_List_Table34111510911131718141619[[#This Row],[Q]]&lt;0.1, " ",Inventory_List_Table34111510911131718141619[[#This Row],[LND RND USD]]*12)</f>
        <v xml:space="preserve"> </v>
      </c>
      <c r="W72" s="30" t="str">
        <f>IF(Inventory_List_Table34111510911131718141619[[#This Row],[Q]]&lt;0.1, " ",Inventory_List_Table34111510911131718141619[[#This Row],[AQ USD]])</f>
        <v xml:space="preserve"> </v>
      </c>
      <c r="X7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2" s="30" t="str">
        <f>IF(Inventory_List_Table34111510911131718141619[[#This Row],[Q]]&lt;0.1, " ",Inventory_List_Table34111510911131718141619[[#This Row],[PRICE]]/Z72*10000)</f>
        <v xml:space="preserve"> </v>
      </c>
      <c r="AB72" s="405"/>
      <c r="AC72" s="1"/>
      <c r="AD72" s="1"/>
    </row>
    <row r="73" spans="1:30" ht="24" customHeight="1" x14ac:dyDescent="0.3">
      <c r="A73" s="382">
        <v>71</v>
      </c>
      <c r="B73" s="1"/>
      <c r="C73" s="386"/>
      <c r="D73" s="386"/>
      <c r="E73" s="386"/>
      <c r="F73" s="38" t="str">
        <f>IF(Inventory_List_Table34111510911131718141619[[#This Row],[Q]]&lt;0.1, " ",#REF!&amp;$D$1&amp;#REF!&amp;Inventory_List_Table34111510911131718141619[[#This Row],[NOTES]])</f>
        <v xml:space="preserve"> </v>
      </c>
      <c r="G73" s="389"/>
      <c r="H73" s="389"/>
      <c r="I73" s="389"/>
      <c r="J73" s="389"/>
      <c r="K73" s="389"/>
      <c r="L73" s="391"/>
      <c r="M7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3" s="35" t="str">
        <f>IF(Inventory_List_Table34111510911131718141619[[#This Row],[Q]]&lt;0.1, " ", Inventory_List_Table34111510911131718141619[[#This Row],[KG]]*2.20462)</f>
        <v xml:space="preserve"> </v>
      </c>
      <c r="O73" s="35" t="str">
        <f>IF(Inventory_List_Table34111510911131718141619[[#This Row],[Q]]&lt;0.1, " ",Inventory_List_Table34111510911131718141619[[#This Row],[H CM]]/2.54)</f>
        <v xml:space="preserve"> </v>
      </c>
      <c r="P73" s="35" t="str">
        <f>IF(Inventory_List_Table34111510911131718141619[[#This Row],[Q]]&lt;0.1, " ",Inventory_List_Table34111510911131718141619[[#This Row],[W CM]]/2.54)</f>
        <v xml:space="preserve"> </v>
      </c>
      <c r="Q73" s="35" t="str">
        <f>IF(Inventory_List_Table34111510911131718141619[[#This Row],[Q]]&lt;0.1, " ",Inventory_List_Table34111510911131718141619[[#This Row],[D CM ]]/2.54)</f>
        <v xml:space="preserve"> </v>
      </c>
      <c r="R73" s="30" t="str">
        <f>IF(Inventory_List_Table34111510911131718141619[[#This Row],[Q]]&lt;0.1, " ",Inventory_List_Table34111510911131718141619[[#This Row],[PRICE]]/$L$1)</f>
        <v xml:space="preserve"> </v>
      </c>
      <c r="S7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3" s="30" t="str">
        <f>IF(Inventory_List_Table34111510911131718141619[[#This Row],[Q]]&lt;0.1, " ",Inventory_List_Table34111510911131718141619[[#This Row],[AQ RND USD]]*1.4)</f>
        <v xml:space="preserve"> </v>
      </c>
      <c r="U7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3" s="30" t="str">
        <f>IF(Inventory_List_Table34111510911131718141619[[#This Row],[Q]]&lt;0.1, " ",Inventory_List_Table34111510911131718141619[[#This Row],[LND RND USD]]*12)</f>
        <v xml:space="preserve"> </v>
      </c>
      <c r="W73" s="30" t="str">
        <f>IF(Inventory_List_Table34111510911131718141619[[#This Row],[Q]]&lt;0.1, " ",Inventory_List_Table34111510911131718141619[[#This Row],[AQ USD]])</f>
        <v xml:space="preserve"> </v>
      </c>
      <c r="X7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3" s="30" t="str">
        <f>IF(Inventory_List_Table34111510911131718141619[[#This Row],[Q]]&lt;0.1, " ",Inventory_List_Table34111510911131718141619[[#This Row],[PRICE]]/Z73*10000)</f>
        <v xml:space="preserve"> </v>
      </c>
      <c r="AB73" s="405"/>
      <c r="AC73" s="1"/>
      <c r="AD73" s="1"/>
    </row>
    <row r="74" spans="1:30" ht="24" customHeight="1" x14ac:dyDescent="0.3">
      <c r="A74" s="382">
        <v>72</v>
      </c>
      <c r="B74" s="1"/>
      <c r="C74" s="386"/>
      <c r="D74" s="386"/>
      <c r="E74" s="386"/>
      <c r="F74" s="38" t="str">
        <f>IF(Inventory_List_Table34111510911131718141619[[#This Row],[Q]]&lt;0.1, " ",#REF!&amp;$D$1&amp;#REF!&amp;Inventory_List_Table34111510911131718141619[[#This Row],[NOTES]])</f>
        <v xml:space="preserve"> </v>
      </c>
      <c r="G74" s="389"/>
      <c r="H74" s="389"/>
      <c r="I74" s="389"/>
      <c r="J74" s="389"/>
      <c r="K74" s="389"/>
      <c r="L74" s="391"/>
      <c r="M7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4" s="35" t="str">
        <f>IF(Inventory_List_Table34111510911131718141619[[#This Row],[Q]]&lt;0.1, " ", Inventory_List_Table34111510911131718141619[[#This Row],[KG]]*2.20462)</f>
        <v xml:space="preserve"> </v>
      </c>
      <c r="O74" s="35" t="str">
        <f>IF(Inventory_List_Table34111510911131718141619[[#This Row],[Q]]&lt;0.1, " ",Inventory_List_Table34111510911131718141619[[#This Row],[H CM]]/2.54)</f>
        <v xml:space="preserve"> </v>
      </c>
      <c r="P74" s="35" t="str">
        <f>IF(Inventory_List_Table34111510911131718141619[[#This Row],[Q]]&lt;0.1, " ",Inventory_List_Table34111510911131718141619[[#This Row],[W CM]]/2.54)</f>
        <v xml:space="preserve"> </v>
      </c>
      <c r="Q74" s="35" t="str">
        <f>IF(Inventory_List_Table34111510911131718141619[[#This Row],[Q]]&lt;0.1, " ",Inventory_List_Table34111510911131718141619[[#This Row],[D CM ]]/2.54)</f>
        <v xml:space="preserve"> </v>
      </c>
      <c r="R74" s="30" t="str">
        <f>IF(Inventory_List_Table34111510911131718141619[[#This Row],[Q]]&lt;0.1, " ",Inventory_List_Table34111510911131718141619[[#This Row],[PRICE]]/$L$1)</f>
        <v xml:space="preserve"> </v>
      </c>
      <c r="S7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4" s="30" t="str">
        <f>IF(Inventory_List_Table34111510911131718141619[[#This Row],[Q]]&lt;0.1, " ",Inventory_List_Table34111510911131718141619[[#This Row],[AQ RND USD]]*1.4)</f>
        <v xml:space="preserve"> </v>
      </c>
      <c r="U7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4" s="30" t="str">
        <f>IF(Inventory_List_Table34111510911131718141619[[#This Row],[Q]]&lt;0.1, " ",Inventory_List_Table34111510911131718141619[[#This Row],[LND RND USD]]*12)</f>
        <v xml:space="preserve"> </v>
      </c>
      <c r="W74" s="30" t="str">
        <f>IF(Inventory_List_Table34111510911131718141619[[#This Row],[Q]]&lt;0.1, " ",Inventory_List_Table34111510911131718141619[[#This Row],[AQ USD]])</f>
        <v xml:space="preserve"> </v>
      </c>
      <c r="X7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4" s="30" t="str">
        <f>IF(Inventory_List_Table34111510911131718141619[[#This Row],[Q]]&lt;0.1, " ",Inventory_List_Table34111510911131718141619[[#This Row],[PRICE]]/Z74*10000)</f>
        <v xml:space="preserve"> </v>
      </c>
      <c r="AB74" s="405"/>
      <c r="AC74" s="1"/>
      <c r="AD74" s="1"/>
    </row>
    <row r="75" spans="1:30" ht="24" customHeight="1" x14ac:dyDescent="0.3">
      <c r="A75" s="382">
        <v>73</v>
      </c>
      <c r="B75" s="1"/>
      <c r="C75" s="386"/>
      <c r="D75" s="386"/>
      <c r="E75" s="386"/>
      <c r="F75" s="38" t="str">
        <f>IF(Inventory_List_Table34111510911131718141619[[#This Row],[Q]]&lt;0.1, " ",#REF!&amp;$D$1&amp;#REF!&amp;Inventory_List_Table34111510911131718141619[[#This Row],[NOTES]])</f>
        <v xml:space="preserve"> </v>
      </c>
      <c r="G75" s="389"/>
      <c r="H75" s="389"/>
      <c r="I75" s="389"/>
      <c r="J75" s="389"/>
      <c r="K75" s="389"/>
      <c r="L75" s="391"/>
      <c r="M7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5" s="35" t="str">
        <f>IF(Inventory_List_Table34111510911131718141619[[#This Row],[Q]]&lt;0.1, " ", Inventory_List_Table34111510911131718141619[[#This Row],[KG]]*2.20462)</f>
        <v xml:space="preserve"> </v>
      </c>
      <c r="O75" s="35" t="str">
        <f>IF(Inventory_List_Table34111510911131718141619[[#This Row],[Q]]&lt;0.1, " ",Inventory_List_Table34111510911131718141619[[#This Row],[H CM]]/2.54)</f>
        <v xml:space="preserve"> </v>
      </c>
      <c r="P75" s="35" t="str">
        <f>IF(Inventory_List_Table34111510911131718141619[[#This Row],[Q]]&lt;0.1, " ",Inventory_List_Table34111510911131718141619[[#This Row],[W CM]]/2.54)</f>
        <v xml:space="preserve"> </v>
      </c>
      <c r="Q75" s="35" t="str">
        <f>IF(Inventory_List_Table34111510911131718141619[[#This Row],[Q]]&lt;0.1, " ",Inventory_List_Table34111510911131718141619[[#This Row],[D CM ]]/2.54)</f>
        <v xml:space="preserve"> </v>
      </c>
      <c r="R75" s="30" t="str">
        <f>IF(Inventory_List_Table34111510911131718141619[[#This Row],[Q]]&lt;0.1, " ",Inventory_List_Table34111510911131718141619[[#This Row],[PRICE]]/$L$1)</f>
        <v xml:space="preserve"> </v>
      </c>
      <c r="S7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5" s="30" t="str">
        <f>IF(Inventory_List_Table34111510911131718141619[[#This Row],[Q]]&lt;0.1, " ",Inventory_List_Table34111510911131718141619[[#This Row],[AQ RND USD]]*1.4)</f>
        <v xml:space="preserve"> </v>
      </c>
      <c r="U7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5" s="30" t="str">
        <f>IF(Inventory_List_Table34111510911131718141619[[#This Row],[Q]]&lt;0.1, " ",Inventory_List_Table34111510911131718141619[[#This Row],[LND RND USD]]*12)</f>
        <v xml:space="preserve"> </v>
      </c>
      <c r="W75" s="30" t="str">
        <f>IF(Inventory_List_Table34111510911131718141619[[#This Row],[Q]]&lt;0.1, " ",Inventory_List_Table34111510911131718141619[[#This Row],[AQ USD]])</f>
        <v xml:space="preserve"> </v>
      </c>
      <c r="X7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5" s="30" t="str">
        <f>IF(Inventory_List_Table34111510911131718141619[[#This Row],[Q]]&lt;0.1, " ",Inventory_List_Table34111510911131718141619[[#This Row],[PRICE]]/Z75*10000)</f>
        <v xml:space="preserve"> </v>
      </c>
      <c r="AB75" s="405"/>
      <c r="AC75" s="1"/>
      <c r="AD75" s="1"/>
    </row>
    <row r="76" spans="1:30" ht="24" customHeight="1" x14ac:dyDescent="0.3">
      <c r="A76" s="382">
        <v>74</v>
      </c>
      <c r="B76" s="1"/>
      <c r="C76" s="386"/>
      <c r="D76" s="386"/>
      <c r="E76" s="386"/>
      <c r="F76" s="38" t="str">
        <f>IF(Inventory_List_Table34111510911131718141619[[#This Row],[Q]]&lt;0.1, " ",#REF!&amp;$D$1&amp;#REF!&amp;Inventory_List_Table34111510911131718141619[[#This Row],[NOTES]])</f>
        <v xml:space="preserve"> </v>
      </c>
      <c r="G76" s="389"/>
      <c r="H76" s="389"/>
      <c r="I76" s="389"/>
      <c r="J76" s="389"/>
      <c r="K76" s="389"/>
      <c r="L76" s="391"/>
      <c r="M7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6" s="35" t="str">
        <f>IF(Inventory_List_Table34111510911131718141619[[#This Row],[Q]]&lt;0.1, " ", Inventory_List_Table34111510911131718141619[[#This Row],[KG]]*2.20462)</f>
        <v xml:space="preserve"> </v>
      </c>
      <c r="O76" s="35" t="str">
        <f>IF(Inventory_List_Table34111510911131718141619[[#This Row],[Q]]&lt;0.1, " ",Inventory_List_Table34111510911131718141619[[#This Row],[H CM]]/2.54)</f>
        <v xml:space="preserve"> </v>
      </c>
      <c r="P76" s="35" t="str">
        <f>IF(Inventory_List_Table34111510911131718141619[[#This Row],[Q]]&lt;0.1, " ",Inventory_List_Table34111510911131718141619[[#This Row],[W CM]]/2.54)</f>
        <v xml:space="preserve"> </v>
      </c>
      <c r="Q76" s="35" t="str">
        <f>IF(Inventory_List_Table34111510911131718141619[[#This Row],[Q]]&lt;0.1, " ",Inventory_List_Table34111510911131718141619[[#This Row],[D CM ]]/2.54)</f>
        <v xml:space="preserve"> </v>
      </c>
      <c r="R76" s="30" t="str">
        <f>IF(Inventory_List_Table34111510911131718141619[[#This Row],[Q]]&lt;0.1, " ",Inventory_List_Table34111510911131718141619[[#This Row],[PRICE]]/$L$1)</f>
        <v xml:space="preserve"> </v>
      </c>
      <c r="S7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6" s="30" t="str">
        <f>IF(Inventory_List_Table34111510911131718141619[[#This Row],[Q]]&lt;0.1, " ",Inventory_List_Table34111510911131718141619[[#This Row],[AQ RND USD]]*1.4)</f>
        <v xml:space="preserve"> </v>
      </c>
      <c r="U7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6" s="30" t="str">
        <f>IF(Inventory_List_Table34111510911131718141619[[#This Row],[Q]]&lt;0.1, " ",Inventory_List_Table34111510911131718141619[[#This Row],[LND RND USD]]*12)</f>
        <v xml:space="preserve"> </v>
      </c>
      <c r="W76" s="30" t="str">
        <f>IF(Inventory_List_Table34111510911131718141619[[#This Row],[Q]]&lt;0.1, " ",Inventory_List_Table34111510911131718141619[[#This Row],[AQ USD]])</f>
        <v xml:space="preserve"> </v>
      </c>
      <c r="X7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6" s="30" t="str">
        <f>IF(Inventory_List_Table34111510911131718141619[[#This Row],[Q]]&lt;0.1, " ",Inventory_List_Table34111510911131718141619[[#This Row],[PRICE]]/Z76*10000)</f>
        <v xml:space="preserve"> </v>
      </c>
      <c r="AB76" s="405"/>
      <c r="AC76" s="1"/>
      <c r="AD76" s="1"/>
    </row>
    <row r="77" spans="1:30" ht="24" customHeight="1" x14ac:dyDescent="0.3">
      <c r="A77" s="382">
        <v>75</v>
      </c>
      <c r="B77" s="1"/>
      <c r="C77" s="386"/>
      <c r="D77" s="386"/>
      <c r="E77" s="386"/>
      <c r="F77" s="38" t="str">
        <f>IF(Inventory_List_Table34111510911131718141619[[#This Row],[Q]]&lt;0.1, " ",#REF!&amp;$D$1&amp;#REF!&amp;Inventory_List_Table34111510911131718141619[[#This Row],[NOTES]])</f>
        <v xml:space="preserve"> </v>
      </c>
      <c r="G77" s="389"/>
      <c r="H77" s="389"/>
      <c r="I77" s="389"/>
      <c r="J77" s="389"/>
      <c r="K77" s="389"/>
      <c r="L77" s="391"/>
      <c r="M7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7" s="35" t="str">
        <f>IF(Inventory_List_Table34111510911131718141619[[#This Row],[Q]]&lt;0.1, " ", Inventory_List_Table34111510911131718141619[[#This Row],[KG]]*2.20462)</f>
        <v xml:space="preserve"> </v>
      </c>
      <c r="O77" s="35" t="str">
        <f>IF(Inventory_List_Table34111510911131718141619[[#This Row],[Q]]&lt;0.1, " ",Inventory_List_Table34111510911131718141619[[#This Row],[H CM]]/2.54)</f>
        <v xml:space="preserve"> </v>
      </c>
      <c r="P77" s="35" t="str">
        <f>IF(Inventory_List_Table34111510911131718141619[[#This Row],[Q]]&lt;0.1, " ",Inventory_List_Table34111510911131718141619[[#This Row],[W CM]]/2.54)</f>
        <v xml:space="preserve"> </v>
      </c>
      <c r="Q77" s="35" t="str">
        <f>IF(Inventory_List_Table34111510911131718141619[[#This Row],[Q]]&lt;0.1, " ",Inventory_List_Table34111510911131718141619[[#This Row],[D CM ]]/2.54)</f>
        <v xml:space="preserve"> </v>
      </c>
      <c r="R77" s="30" t="str">
        <f>IF(Inventory_List_Table34111510911131718141619[[#This Row],[Q]]&lt;0.1, " ",Inventory_List_Table34111510911131718141619[[#This Row],[PRICE]]/$L$1)</f>
        <v xml:space="preserve"> </v>
      </c>
      <c r="S7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7" s="30" t="str">
        <f>IF(Inventory_List_Table34111510911131718141619[[#This Row],[Q]]&lt;0.1, " ",Inventory_List_Table34111510911131718141619[[#This Row],[AQ RND USD]]*1.4)</f>
        <v xml:space="preserve"> </v>
      </c>
      <c r="U7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7" s="30" t="str">
        <f>IF(Inventory_List_Table34111510911131718141619[[#This Row],[Q]]&lt;0.1, " ",Inventory_List_Table34111510911131718141619[[#This Row],[LND RND USD]]*12)</f>
        <v xml:space="preserve"> </v>
      </c>
      <c r="W77" s="30" t="str">
        <f>IF(Inventory_List_Table34111510911131718141619[[#This Row],[Q]]&lt;0.1, " ",Inventory_List_Table34111510911131718141619[[#This Row],[AQ USD]])</f>
        <v xml:space="preserve"> </v>
      </c>
      <c r="X7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7" s="30" t="str">
        <f>IF(Inventory_List_Table34111510911131718141619[[#This Row],[Q]]&lt;0.1, " ",Inventory_List_Table34111510911131718141619[[#This Row],[PRICE]]/Z77*10000)</f>
        <v xml:space="preserve"> </v>
      </c>
      <c r="AB77" s="405"/>
      <c r="AC77" s="1"/>
      <c r="AD77" s="1"/>
    </row>
    <row r="78" spans="1:30" ht="24" customHeight="1" x14ac:dyDescent="0.3">
      <c r="A78" s="382">
        <v>76</v>
      </c>
      <c r="B78" s="1"/>
      <c r="C78" s="386"/>
      <c r="D78" s="386"/>
      <c r="E78" s="386"/>
      <c r="F78" s="38" t="str">
        <f>IF(Inventory_List_Table34111510911131718141619[[#This Row],[Q]]&lt;0.1, " ",#REF!&amp;$D$1&amp;#REF!&amp;Inventory_List_Table34111510911131718141619[[#This Row],[NOTES]])</f>
        <v xml:space="preserve"> </v>
      </c>
      <c r="G78" s="389"/>
      <c r="H78" s="389"/>
      <c r="I78" s="389"/>
      <c r="J78" s="389"/>
      <c r="K78" s="389"/>
      <c r="L78" s="391"/>
      <c r="M7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8" s="35" t="str">
        <f>IF(Inventory_List_Table34111510911131718141619[[#This Row],[Q]]&lt;0.1, " ", Inventory_List_Table34111510911131718141619[[#This Row],[KG]]*2.20462)</f>
        <v xml:space="preserve"> </v>
      </c>
      <c r="O78" s="35" t="str">
        <f>IF(Inventory_List_Table34111510911131718141619[[#This Row],[Q]]&lt;0.1, " ",Inventory_List_Table34111510911131718141619[[#This Row],[H CM]]/2.54)</f>
        <v xml:space="preserve"> </v>
      </c>
      <c r="P78" s="35" t="str">
        <f>IF(Inventory_List_Table34111510911131718141619[[#This Row],[Q]]&lt;0.1, " ",Inventory_List_Table34111510911131718141619[[#This Row],[W CM]]/2.54)</f>
        <v xml:space="preserve"> </v>
      </c>
      <c r="Q78" s="35" t="str">
        <f>IF(Inventory_List_Table34111510911131718141619[[#This Row],[Q]]&lt;0.1, " ",Inventory_List_Table34111510911131718141619[[#This Row],[D CM ]]/2.54)</f>
        <v xml:space="preserve"> </v>
      </c>
      <c r="R78" s="30" t="str">
        <f>IF(Inventory_List_Table34111510911131718141619[[#This Row],[Q]]&lt;0.1, " ",Inventory_List_Table34111510911131718141619[[#This Row],[PRICE]]/$L$1)</f>
        <v xml:space="preserve"> </v>
      </c>
      <c r="S7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8" s="30" t="str">
        <f>IF(Inventory_List_Table34111510911131718141619[[#This Row],[Q]]&lt;0.1, " ",Inventory_List_Table34111510911131718141619[[#This Row],[AQ RND USD]]*1.4)</f>
        <v xml:space="preserve"> </v>
      </c>
      <c r="U7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8" s="30" t="str">
        <f>IF(Inventory_List_Table34111510911131718141619[[#This Row],[Q]]&lt;0.1, " ",Inventory_List_Table34111510911131718141619[[#This Row],[LND RND USD]]*12)</f>
        <v xml:space="preserve"> </v>
      </c>
      <c r="W78" s="30" t="str">
        <f>IF(Inventory_List_Table34111510911131718141619[[#This Row],[Q]]&lt;0.1, " ",Inventory_List_Table34111510911131718141619[[#This Row],[AQ USD]])</f>
        <v xml:space="preserve"> </v>
      </c>
      <c r="X7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8" s="30" t="str">
        <f>IF(Inventory_List_Table34111510911131718141619[[#This Row],[Q]]&lt;0.1, " ",Inventory_List_Table34111510911131718141619[[#This Row],[PRICE]]/Z78*10000)</f>
        <v xml:space="preserve"> </v>
      </c>
      <c r="AB78" s="405"/>
      <c r="AC78" s="1"/>
      <c r="AD78" s="1"/>
    </row>
    <row r="79" spans="1:30" ht="24" customHeight="1" x14ac:dyDescent="0.3">
      <c r="A79" s="382">
        <v>77</v>
      </c>
      <c r="B79" s="1"/>
      <c r="C79" s="386"/>
      <c r="D79" s="386"/>
      <c r="E79" s="386"/>
      <c r="F79" s="38" t="str">
        <f>IF(Inventory_List_Table34111510911131718141619[[#This Row],[Q]]&lt;0.1, " ",#REF!&amp;$D$1&amp;#REF!&amp;Inventory_List_Table34111510911131718141619[[#This Row],[NOTES]])</f>
        <v xml:space="preserve"> </v>
      </c>
      <c r="G79" s="389"/>
      <c r="H79" s="389"/>
      <c r="I79" s="389"/>
      <c r="J79" s="389"/>
      <c r="K79" s="389"/>
      <c r="L79" s="391"/>
      <c r="M7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79" s="35" t="str">
        <f>IF(Inventory_List_Table34111510911131718141619[[#This Row],[Q]]&lt;0.1, " ", Inventory_List_Table34111510911131718141619[[#This Row],[KG]]*2.20462)</f>
        <v xml:space="preserve"> </v>
      </c>
      <c r="O79" s="35" t="str">
        <f>IF(Inventory_List_Table34111510911131718141619[[#This Row],[Q]]&lt;0.1, " ",Inventory_List_Table34111510911131718141619[[#This Row],[H CM]]/2.54)</f>
        <v xml:space="preserve"> </v>
      </c>
      <c r="P79" s="35" t="str">
        <f>IF(Inventory_List_Table34111510911131718141619[[#This Row],[Q]]&lt;0.1, " ",Inventory_List_Table34111510911131718141619[[#This Row],[W CM]]/2.54)</f>
        <v xml:space="preserve"> </v>
      </c>
      <c r="Q79" s="35" t="str">
        <f>IF(Inventory_List_Table34111510911131718141619[[#This Row],[Q]]&lt;0.1, " ",Inventory_List_Table34111510911131718141619[[#This Row],[D CM ]]/2.54)</f>
        <v xml:space="preserve"> </v>
      </c>
      <c r="R79" s="30" t="str">
        <f>IF(Inventory_List_Table34111510911131718141619[[#This Row],[Q]]&lt;0.1, " ",Inventory_List_Table34111510911131718141619[[#This Row],[PRICE]]/$L$1)</f>
        <v xml:space="preserve"> </v>
      </c>
      <c r="S7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79" s="30" t="str">
        <f>IF(Inventory_List_Table34111510911131718141619[[#This Row],[Q]]&lt;0.1, " ",Inventory_List_Table34111510911131718141619[[#This Row],[AQ RND USD]]*1.4)</f>
        <v xml:space="preserve"> </v>
      </c>
      <c r="U7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79" s="30" t="str">
        <f>IF(Inventory_List_Table34111510911131718141619[[#This Row],[Q]]&lt;0.1, " ",Inventory_List_Table34111510911131718141619[[#This Row],[LND RND USD]]*12)</f>
        <v xml:space="preserve"> </v>
      </c>
      <c r="W79" s="30" t="str">
        <f>IF(Inventory_List_Table34111510911131718141619[[#This Row],[Q]]&lt;0.1, " ",Inventory_List_Table34111510911131718141619[[#This Row],[AQ USD]])</f>
        <v xml:space="preserve"> </v>
      </c>
      <c r="X7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7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7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79" s="30" t="str">
        <f>IF(Inventory_List_Table34111510911131718141619[[#This Row],[Q]]&lt;0.1, " ",Inventory_List_Table34111510911131718141619[[#This Row],[PRICE]]/Z79*10000)</f>
        <v xml:space="preserve"> </v>
      </c>
      <c r="AB79" s="405"/>
      <c r="AC79" s="1"/>
      <c r="AD79" s="1"/>
    </row>
    <row r="80" spans="1:30" ht="24" customHeight="1" x14ac:dyDescent="0.3">
      <c r="A80" s="382">
        <v>78</v>
      </c>
      <c r="B80" s="1"/>
      <c r="C80" s="386"/>
      <c r="D80" s="386"/>
      <c r="E80" s="386"/>
      <c r="F80" s="38" t="str">
        <f>IF(Inventory_List_Table34111510911131718141619[[#This Row],[Q]]&lt;0.1, " ",#REF!&amp;$D$1&amp;#REF!&amp;Inventory_List_Table34111510911131718141619[[#This Row],[NOTES]])</f>
        <v xml:space="preserve"> </v>
      </c>
      <c r="G80" s="389"/>
      <c r="H80" s="389"/>
      <c r="I80" s="389"/>
      <c r="J80" s="389"/>
      <c r="K80" s="389"/>
      <c r="L80" s="391"/>
      <c r="M8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0" s="35" t="str">
        <f>IF(Inventory_List_Table34111510911131718141619[[#This Row],[Q]]&lt;0.1, " ", Inventory_List_Table34111510911131718141619[[#This Row],[KG]]*2.20462)</f>
        <v xml:space="preserve"> </v>
      </c>
      <c r="O80" s="35" t="str">
        <f>IF(Inventory_List_Table34111510911131718141619[[#This Row],[Q]]&lt;0.1, " ",Inventory_List_Table34111510911131718141619[[#This Row],[H CM]]/2.54)</f>
        <v xml:space="preserve"> </v>
      </c>
      <c r="P80" s="35" t="str">
        <f>IF(Inventory_List_Table34111510911131718141619[[#This Row],[Q]]&lt;0.1, " ",Inventory_List_Table34111510911131718141619[[#This Row],[W CM]]/2.54)</f>
        <v xml:space="preserve"> </v>
      </c>
      <c r="Q80" s="35" t="str">
        <f>IF(Inventory_List_Table34111510911131718141619[[#This Row],[Q]]&lt;0.1, " ",Inventory_List_Table34111510911131718141619[[#This Row],[D CM ]]/2.54)</f>
        <v xml:space="preserve"> </v>
      </c>
      <c r="R80" s="30" t="str">
        <f>IF(Inventory_List_Table34111510911131718141619[[#This Row],[Q]]&lt;0.1, " ",Inventory_List_Table34111510911131718141619[[#This Row],[PRICE]]/$L$1)</f>
        <v xml:space="preserve"> </v>
      </c>
      <c r="S8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0" s="30" t="str">
        <f>IF(Inventory_List_Table34111510911131718141619[[#This Row],[Q]]&lt;0.1, " ",Inventory_List_Table34111510911131718141619[[#This Row],[AQ RND USD]]*1.4)</f>
        <v xml:space="preserve"> </v>
      </c>
      <c r="U8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0" s="30" t="str">
        <f>IF(Inventory_List_Table34111510911131718141619[[#This Row],[Q]]&lt;0.1, " ",Inventory_List_Table34111510911131718141619[[#This Row],[LND RND USD]]*12)</f>
        <v xml:space="preserve"> </v>
      </c>
      <c r="W80" s="30" t="str">
        <f>IF(Inventory_List_Table34111510911131718141619[[#This Row],[Q]]&lt;0.1, " ",Inventory_List_Table34111510911131718141619[[#This Row],[AQ USD]])</f>
        <v xml:space="preserve"> </v>
      </c>
      <c r="X8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0" s="30" t="str">
        <f>IF(Inventory_List_Table34111510911131718141619[[#This Row],[Q]]&lt;0.1, " ",Inventory_List_Table34111510911131718141619[[#This Row],[PRICE]]/Z80*10000)</f>
        <v xml:space="preserve"> </v>
      </c>
      <c r="AB80" s="405"/>
      <c r="AC80" s="1"/>
      <c r="AD80" s="1"/>
    </row>
    <row r="81" spans="1:30" ht="24" customHeight="1" x14ac:dyDescent="0.3">
      <c r="A81" s="382">
        <v>79</v>
      </c>
      <c r="B81" s="1"/>
      <c r="C81" s="386"/>
      <c r="D81" s="386"/>
      <c r="E81" s="386"/>
      <c r="F81" s="38" t="str">
        <f>IF(Inventory_List_Table34111510911131718141619[[#This Row],[Q]]&lt;0.1, " ",#REF!&amp;$D$1&amp;#REF!&amp;Inventory_List_Table34111510911131718141619[[#This Row],[NOTES]])</f>
        <v xml:space="preserve"> </v>
      </c>
      <c r="G81" s="389"/>
      <c r="H81" s="389"/>
      <c r="I81" s="389"/>
      <c r="J81" s="389"/>
      <c r="K81" s="389"/>
      <c r="L81" s="391"/>
      <c r="M8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1" s="35" t="str">
        <f>IF(Inventory_List_Table34111510911131718141619[[#This Row],[Q]]&lt;0.1, " ", Inventory_List_Table34111510911131718141619[[#This Row],[KG]]*2.20462)</f>
        <v xml:space="preserve"> </v>
      </c>
      <c r="O81" s="35" t="str">
        <f>IF(Inventory_List_Table34111510911131718141619[[#This Row],[Q]]&lt;0.1, " ",Inventory_List_Table34111510911131718141619[[#This Row],[H CM]]/2.54)</f>
        <v xml:space="preserve"> </v>
      </c>
      <c r="P81" s="35" t="str">
        <f>IF(Inventory_List_Table34111510911131718141619[[#This Row],[Q]]&lt;0.1, " ",Inventory_List_Table34111510911131718141619[[#This Row],[W CM]]/2.54)</f>
        <v xml:space="preserve"> </v>
      </c>
      <c r="Q81" s="35" t="str">
        <f>IF(Inventory_List_Table34111510911131718141619[[#This Row],[Q]]&lt;0.1, " ",Inventory_List_Table34111510911131718141619[[#This Row],[D CM ]]/2.54)</f>
        <v xml:space="preserve"> </v>
      </c>
      <c r="R81" s="30" t="str">
        <f>IF(Inventory_List_Table34111510911131718141619[[#This Row],[Q]]&lt;0.1, " ",Inventory_List_Table34111510911131718141619[[#This Row],[PRICE]]/$L$1)</f>
        <v xml:space="preserve"> </v>
      </c>
      <c r="S8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1" s="30" t="str">
        <f>IF(Inventory_List_Table34111510911131718141619[[#This Row],[Q]]&lt;0.1, " ",Inventory_List_Table34111510911131718141619[[#This Row],[AQ RND USD]]*1.4)</f>
        <v xml:space="preserve"> </v>
      </c>
      <c r="U8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1" s="30" t="str">
        <f>IF(Inventory_List_Table34111510911131718141619[[#This Row],[Q]]&lt;0.1, " ",Inventory_List_Table34111510911131718141619[[#This Row],[LND RND USD]]*12)</f>
        <v xml:space="preserve"> </v>
      </c>
      <c r="W81" s="30" t="str">
        <f>IF(Inventory_List_Table34111510911131718141619[[#This Row],[Q]]&lt;0.1, " ",Inventory_List_Table34111510911131718141619[[#This Row],[AQ USD]])</f>
        <v xml:space="preserve"> </v>
      </c>
      <c r="X8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1" s="30" t="str">
        <f>IF(Inventory_List_Table34111510911131718141619[[#This Row],[Q]]&lt;0.1, " ",Inventory_List_Table34111510911131718141619[[#This Row],[PRICE]]/Z81*10000)</f>
        <v xml:space="preserve"> </v>
      </c>
      <c r="AB81" s="405"/>
      <c r="AC81" s="1"/>
      <c r="AD81" s="1"/>
    </row>
    <row r="82" spans="1:30" ht="24" customHeight="1" x14ac:dyDescent="0.3">
      <c r="A82" s="382">
        <v>80</v>
      </c>
      <c r="B82" s="1"/>
      <c r="C82" s="386"/>
      <c r="D82" s="386"/>
      <c r="E82" s="386"/>
      <c r="F82" s="38" t="str">
        <f>IF(Inventory_List_Table34111510911131718141619[[#This Row],[Q]]&lt;0.1, " ",#REF!&amp;$D$1&amp;#REF!&amp;Inventory_List_Table34111510911131718141619[[#This Row],[NOTES]])</f>
        <v xml:space="preserve"> </v>
      </c>
      <c r="G82" s="389"/>
      <c r="H82" s="389"/>
      <c r="I82" s="389"/>
      <c r="J82" s="389"/>
      <c r="K82" s="389"/>
      <c r="L82" s="391"/>
      <c r="M8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2" s="35" t="str">
        <f>IF(Inventory_List_Table34111510911131718141619[[#This Row],[Q]]&lt;0.1, " ", Inventory_List_Table34111510911131718141619[[#This Row],[KG]]*2.20462)</f>
        <v xml:space="preserve"> </v>
      </c>
      <c r="O82" s="35" t="str">
        <f>IF(Inventory_List_Table34111510911131718141619[[#This Row],[Q]]&lt;0.1, " ",Inventory_List_Table34111510911131718141619[[#This Row],[H CM]]/2.54)</f>
        <v xml:space="preserve"> </v>
      </c>
      <c r="P82" s="35" t="str">
        <f>IF(Inventory_List_Table34111510911131718141619[[#This Row],[Q]]&lt;0.1, " ",Inventory_List_Table34111510911131718141619[[#This Row],[W CM]]/2.54)</f>
        <v xml:space="preserve"> </v>
      </c>
      <c r="Q82" s="35" t="str">
        <f>IF(Inventory_List_Table34111510911131718141619[[#This Row],[Q]]&lt;0.1, " ",Inventory_List_Table34111510911131718141619[[#This Row],[D CM ]]/2.54)</f>
        <v xml:space="preserve"> </v>
      </c>
      <c r="R82" s="30" t="str">
        <f>IF(Inventory_List_Table34111510911131718141619[[#This Row],[Q]]&lt;0.1, " ",Inventory_List_Table34111510911131718141619[[#This Row],[PRICE]]/$L$1)</f>
        <v xml:space="preserve"> </v>
      </c>
      <c r="S8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2" s="30" t="str">
        <f>IF(Inventory_List_Table34111510911131718141619[[#This Row],[Q]]&lt;0.1, " ",Inventory_List_Table34111510911131718141619[[#This Row],[AQ RND USD]]*1.4)</f>
        <v xml:space="preserve"> </v>
      </c>
      <c r="U8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2" s="30" t="str">
        <f>IF(Inventory_List_Table34111510911131718141619[[#This Row],[Q]]&lt;0.1, " ",Inventory_List_Table34111510911131718141619[[#This Row],[LND RND USD]]*12)</f>
        <v xml:space="preserve"> </v>
      </c>
      <c r="W82" s="30" t="str">
        <f>IF(Inventory_List_Table34111510911131718141619[[#This Row],[Q]]&lt;0.1, " ",Inventory_List_Table34111510911131718141619[[#This Row],[AQ USD]])</f>
        <v xml:space="preserve"> </v>
      </c>
      <c r="X8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2" s="30" t="str">
        <f>IF(Inventory_List_Table34111510911131718141619[[#This Row],[Q]]&lt;0.1, " ",Inventory_List_Table34111510911131718141619[[#This Row],[PRICE]]/Z82*10000)</f>
        <v xml:space="preserve"> </v>
      </c>
      <c r="AB82" s="405"/>
      <c r="AC82" s="1"/>
      <c r="AD82" s="1"/>
    </row>
    <row r="83" spans="1:30" ht="24" customHeight="1" x14ac:dyDescent="0.3">
      <c r="A83" s="382">
        <v>81</v>
      </c>
      <c r="B83" s="1"/>
      <c r="C83" s="386"/>
      <c r="D83" s="386"/>
      <c r="E83" s="386"/>
      <c r="F83" s="38" t="str">
        <f>IF(Inventory_List_Table34111510911131718141619[[#This Row],[Q]]&lt;0.1, " ",#REF!&amp;$D$1&amp;#REF!&amp;Inventory_List_Table34111510911131718141619[[#This Row],[NOTES]])</f>
        <v xml:space="preserve"> </v>
      </c>
      <c r="G83" s="389"/>
      <c r="H83" s="389"/>
      <c r="I83" s="389"/>
      <c r="J83" s="389"/>
      <c r="K83" s="389"/>
      <c r="L83" s="391"/>
      <c r="M8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3" s="35" t="str">
        <f>IF(Inventory_List_Table34111510911131718141619[[#This Row],[Q]]&lt;0.1, " ", Inventory_List_Table34111510911131718141619[[#This Row],[KG]]*2.20462)</f>
        <v xml:space="preserve"> </v>
      </c>
      <c r="O83" s="35" t="str">
        <f>IF(Inventory_List_Table34111510911131718141619[[#This Row],[Q]]&lt;0.1, " ",Inventory_List_Table34111510911131718141619[[#This Row],[H CM]]/2.54)</f>
        <v xml:space="preserve"> </v>
      </c>
      <c r="P83" s="35" t="str">
        <f>IF(Inventory_List_Table34111510911131718141619[[#This Row],[Q]]&lt;0.1, " ",Inventory_List_Table34111510911131718141619[[#This Row],[W CM]]/2.54)</f>
        <v xml:space="preserve"> </v>
      </c>
      <c r="Q83" s="35" t="str">
        <f>IF(Inventory_List_Table34111510911131718141619[[#This Row],[Q]]&lt;0.1, " ",Inventory_List_Table34111510911131718141619[[#This Row],[D CM ]]/2.54)</f>
        <v xml:space="preserve"> </v>
      </c>
      <c r="R83" s="30" t="str">
        <f>IF(Inventory_List_Table34111510911131718141619[[#This Row],[Q]]&lt;0.1, " ",Inventory_List_Table34111510911131718141619[[#This Row],[PRICE]]/$L$1)</f>
        <v xml:space="preserve"> </v>
      </c>
      <c r="S8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3" s="30" t="str">
        <f>IF(Inventory_List_Table34111510911131718141619[[#This Row],[Q]]&lt;0.1, " ",Inventory_List_Table34111510911131718141619[[#This Row],[AQ RND USD]]*1.4)</f>
        <v xml:space="preserve"> </v>
      </c>
      <c r="U8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3" s="30" t="str">
        <f>IF(Inventory_List_Table34111510911131718141619[[#This Row],[Q]]&lt;0.1, " ",Inventory_List_Table34111510911131718141619[[#This Row],[LND RND USD]]*12)</f>
        <v xml:space="preserve"> </v>
      </c>
      <c r="W83" s="30" t="str">
        <f>IF(Inventory_List_Table34111510911131718141619[[#This Row],[Q]]&lt;0.1, " ",Inventory_List_Table34111510911131718141619[[#This Row],[AQ USD]])</f>
        <v xml:space="preserve"> </v>
      </c>
      <c r="X8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3" s="30" t="str">
        <f>IF(Inventory_List_Table34111510911131718141619[[#This Row],[Q]]&lt;0.1, " ",Inventory_List_Table34111510911131718141619[[#This Row],[PRICE]]/Z83*10000)</f>
        <v xml:space="preserve"> </v>
      </c>
      <c r="AB83" s="405"/>
      <c r="AC83" s="1"/>
      <c r="AD83" s="1"/>
    </row>
    <row r="84" spans="1:30" ht="24" customHeight="1" x14ac:dyDescent="0.3">
      <c r="A84" s="382">
        <v>82</v>
      </c>
      <c r="B84" s="1"/>
      <c r="C84" s="386"/>
      <c r="D84" s="386"/>
      <c r="E84" s="386"/>
      <c r="F84" s="38" t="str">
        <f>IF(Inventory_List_Table34111510911131718141619[[#This Row],[Q]]&lt;0.1, " ",#REF!&amp;$D$1&amp;#REF!&amp;Inventory_List_Table34111510911131718141619[[#This Row],[NOTES]])</f>
        <v xml:space="preserve"> </v>
      </c>
      <c r="G84" s="389"/>
      <c r="H84" s="389"/>
      <c r="I84" s="389"/>
      <c r="J84" s="389"/>
      <c r="K84" s="389"/>
      <c r="L84" s="391"/>
      <c r="M8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4" s="35" t="str">
        <f>IF(Inventory_List_Table34111510911131718141619[[#This Row],[Q]]&lt;0.1, " ", Inventory_List_Table34111510911131718141619[[#This Row],[KG]]*2.20462)</f>
        <v xml:space="preserve"> </v>
      </c>
      <c r="O84" s="35" t="str">
        <f>IF(Inventory_List_Table34111510911131718141619[[#This Row],[Q]]&lt;0.1, " ",Inventory_List_Table34111510911131718141619[[#This Row],[H CM]]/2.54)</f>
        <v xml:space="preserve"> </v>
      </c>
      <c r="P84" s="35" t="str">
        <f>IF(Inventory_List_Table34111510911131718141619[[#This Row],[Q]]&lt;0.1, " ",Inventory_List_Table34111510911131718141619[[#This Row],[W CM]]/2.54)</f>
        <v xml:space="preserve"> </v>
      </c>
      <c r="Q84" s="35" t="str">
        <f>IF(Inventory_List_Table34111510911131718141619[[#This Row],[Q]]&lt;0.1, " ",Inventory_List_Table34111510911131718141619[[#This Row],[D CM ]]/2.54)</f>
        <v xml:space="preserve"> </v>
      </c>
      <c r="R84" s="30" t="str">
        <f>IF(Inventory_List_Table34111510911131718141619[[#This Row],[Q]]&lt;0.1, " ",Inventory_List_Table34111510911131718141619[[#This Row],[PRICE]]/$L$1)</f>
        <v xml:space="preserve"> </v>
      </c>
      <c r="S8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4" s="30" t="str">
        <f>IF(Inventory_List_Table34111510911131718141619[[#This Row],[Q]]&lt;0.1, " ",Inventory_List_Table34111510911131718141619[[#This Row],[AQ RND USD]]*1.4)</f>
        <v xml:space="preserve"> </v>
      </c>
      <c r="U8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4" s="30" t="str">
        <f>IF(Inventory_List_Table34111510911131718141619[[#This Row],[Q]]&lt;0.1, " ",Inventory_List_Table34111510911131718141619[[#This Row],[LND RND USD]]*12)</f>
        <v xml:space="preserve"> </v>
      </c>
      <c r="W84" s="30" t="str">
        <f>IF(Inventory_List_Table34111510911131718141619[[#This Row],[Q]]&lt;0.1, " ",Inventory_List_Table34111510911131718141619[[#This Row],[AQ USD]])</f>
        <v xml:space="preserve"> </v>
      </c>
      <c r="X8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4" s="30" t="str">
        <f>IF(Inventory_List_Table34111510911131718141619[[#This Row],[Q]]&lt;0.1, " ",Inventory_List_Table34111510911131718141619[[#This Row],[PRICE]]/Z84*10000)</f>
        <v xml:space="preserve"> </v>
      </c>
      <c r="AB84" s="405"/>
      <c r="AC84" s="1"/>
      <c r="AD84" s="1"/>
    </row>
    <row r="85" spans="1:30" ht="24" customHeight="1" x14ac:dyDescent="0.3">
      <c r="A85" s="382">
        <v>83</v>
      </c>
      <c r="B85" s="1"/>
      <c r="C85" s="386"/>
      <c r="D85" s="386"/>
      <c r="E85" s="386"/>
      <c r="F85" s="38" t="str">
        <f>IF(Inventory_List_Table34111510911131718141619[[#This Row],[Q]]&lt;0.1, " ",#REF!&amp;$D$1&amp;#REF!&amp;Inventory_List_Table34111510911131718141619[[#This Row],[NOTES]])</f>
        <v xml:space="preserve"> </v>
      </c>
      <c r="G85" s="389"/>
      <c r="H85" s="389"/>
      <c r="I85" s="389"/>
      <c r="J85" s="389"/>
      <c r="K85" s="389"/>
      <c r="L85" s="391"/>
      <c r="M8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5" s="35" t="str">
        <f>IF(Inventory_List_Table34111510911131718141619[[#This Row],[Q]]&lt;0.1, " ", Inventory_List_Table34111510911131718141619[[#This Row],[KG]]*2.20462)</f>
        <v xml:space="preserve"> </v>
      </c>
      <c r="O85" s="35" t="str">
        <f>IF(Inventory_List_Table34111510911131718141619[[#This Row],[Q]]&lt;0.1, " ",Inventory_List_Table34111510911131718141619[[#This Row],[H CM]]/2.54)</f>
        <v xml:space="preserve"> </v>
      </c>
      <c r="P85" s="35" t="str">
        <f>IF(Inventory_List_Table34111510911131718141619[[#This Row],[Q]]&lt;0.1, " ",Inventory_List_Table34111510911131718141619[[#This Row],[W CM]]/2.54)</f>
        <v xml:space="preserve"> </v>
      </c>
      <c r="Q85" s="35" t="str">
        <f>IF(Inventory_List_Table34111510911131718141619[[#This Row],[Q]]&lt;0.1, " ",Inventory_List_Table34111510911131718141619[[#This Row],[D CM ]]/2.54)</f>
        <v xml:space="preserve"> </v>
      </c>
      <c r="R85" s="30" t="str">
        <f>IF(Inventory_List_Table34111510911131718141619[[#This Row],[Q]]&lt;0.1, " ",Inventory_List_Table34111510911131718141619[[#This Row],[PRICE]]/$L$1)</f>
        <v xml:space="preserve"> </v>
      </c>
      <c r="S8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5" s="30" t="str">
        <f>IF(Inventory_List_Table34111510911131718141619[[#This Row],[Q]]&lt;0.1, " ",Inventory_List_Table34111510911131718141619[[#This Row],[AQ RND USD]]*1.4)</f>
        <v xml:space="preserve"> </v>
      </c>
      <c r="U8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5" s="30" t="str">
        <f>IF(Inventory_List_Table34111510911131718141619[[#This Row],[Q]]&lt;0.1, " ",Inventory_List_Table34111510911131718141619[[#This Row],[LND RND USD]]*12)</f>
        <v xml:space="preserve"> </v>
      </c>
      <c r="W85" s="30" t="str">
        <f>IF(Inventory_List_Table34111510911131718141619[[#This Row],[Q]]&lt;0.1, " ",Inventory_List_Table34111510911131718141619[[#This Row],[AQ USD]])</f>
        <v xml:space="preserve"> </v>
      </c>
      <c r="X8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5" s="30" t="str">
        <f>IF(Inventory_List_Table34111510911131718141619[[#This Row],[Q]]&lt;0.1, " ",Inventory_List_Table34111510911131718141619[[#This Row],[PRICE]]/Z85*10000)</f>
        <v xml:space="preserve"> </v>
      </c>
      <c r="AB85" s="405"/>
      <c r="AC85" s="1"/>
      <c r="AD85" s="1"/>
    </row>
    <row r="86" spans="1:30" ht="24" customHeight="1" x14ac:dyDescent="0.3">
      <c r="A86" s="382">
        <v>84</v>
      </c>
      <c r="B86" s="1"/>
      <c r="C86" s="386"/>
      <c r="D86" s="386"/>
      <c r="E86" s="386"/>
      <c r="F86" s="38" t="str">
        <f>IF(Inventory_List_Table34111510911131718141619[[#This Row],[Q]]&lt;0.1, " ",#REF!&amp;$D$1&amp;#REF!&amp;Inventory_List_Table34111510911131718141619[[#This Row],[NOTES]])</f>
        <v xml:space="preserve"> </v>
      </c>
      <c r="G86" s="389"/>
      <c r="H86" s="389"/>
      <c r="I86" s="389"/>
      <c r="J86" s="389"/>
      <c r="K86" s="389"/>
      <c r="L86" s="391"/>
      <c r="M8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6" s="35" t="str">
        <f>IF(Inventory_List_Table34111510911131718141619[[#This Row],[Q]]&lt;0.1, " ", Inventory_List_Table34111510911131718141619[[#This Row],[KG]]*2.20462)</f>
        <v xml:space="preserve"> </v>
      </c>
      <c r="O86" s="35" t="str">
        <f>IF(Inventory_List_Table34111510911131718141619[[#This Row],[Q]]&lt;0.1, " ",Inventory_List_Table34111510911131718141619[[#This Row],[H CM]]/2.54)</f>
        <v xml:space="preserve"> </v>
      </c>
      <c r="P86" s="35" t="str">
        <f>IF(Inventory_List_Table34111510911131718141619[[#This Row],[Q]]&lt;0.1, " ",Inventory_List_Table34111510911131718141619[[#This Row],[W CM]]/2.54)</f>
        <v xml:space="preserve"> </v>
      </c>
      <c r="Q86" s="35" t="str">
        <f>IF(Inventory_List_Table34111510911131718141619[[#This Row],[Q]]&lt;0.1, " ",Inventory_List_Table34111510911131718141619[[#This Row],[D CM ]]/2.54)</f>
        <v xml:space="preserve"> </v>
      </c>
      <c r="R86" s="30" t="str">
        <f>IF(Inventory_List_Table34111510911131718141619[[#This Row],[Q]]&lt;0.1, " ",Inventory_List_Table34111510911131718141619[[#This Row],[PRICE]]/$L$1)</f>
        <v xml:space="preserve"> </v>
      </c>
      <c r="S8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6" s="30" t="str">
        <f>IF(Inventory_List_Table34111510911131718141619[[#This Row],[Q]]&lt;0.1, " ",Inventory_List_Table34111510911131718141619[[#This Row],[AQ RND USD]]*1.4)</f>
        <v xml:space="preserve"> </v>
      </c>
      <c r="U8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6" s="30" t="str">
        <f>IF(Inventory_List_Table34111510911131718141619[[#This Row],[Q]]&lt;0.1, " ",Inventory_List_Table34111510911131718141619[[#This Row],[LND RND USD]]*12)</f>
        <v xml:space="preserve"> </v>
      </c>
      <c r="W86" s="30" t="str">
        <f>IF(Inventory_List_Table34111510911131718141619[[#This Row],[Q]]&lt;0.1, " ",Inventory_List_Table34111510911131718141619[[#This Row],[AQ USD]])</f>
        <v xml:space="preserve"> </v>
      </c>
      <c r="X8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6" s="30" t="str">
        <f>IF(Inventory_List_Table34111510911131718141619[[#This Row],[Q]]&lt;0.1, " ",Inventory_List_Table34111510911131718141619[[#This Row],[PRICE]]/Z86*10000)</f>
        <v xml:space="preserve"> </v>
      </c>
      <c r="AB86" s="405"/>
      <c r="AC86" s="1"/>
      <c r="AD86" s="1"/>
    </row>
    <row r="87" spans="1:30" ht="24" customHeight="1" x14ac:dyDescent="0.3">
      <c r="A87" s="382">
        <v>85</v>
      </c>
      <c r="B87" s="1"/>
      <c r="C87" s="386"/>
      <c r="D87" s="386"/>
      <c r="E87" s="386"/>
      <c r="F87" s="38" t="str">
        <f>IF(Inventory_List_Table34111510911131718141619[[#This Row],[Q]]&lt;0.1, " ",#REF!&amp;$D$1&amp;#REF!&amp;Inventory_List_Table34111510911131718141619[[#This Row],[NOTES]])</f>
        <v xml:space="preserve"> </v>
      </c>
      <c r="G87" s="389"/>
      <c r="H87" s="389"/>
      <c r="I87" s="389"/>
      <c r="J87" s="389"/>
      <c r="K87" s="389"/>
      <c r="L87" s="391"/>
      <c r="M8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7" s="35" t="str">
        <f>IF(Inventory_List_Table34111510911131718141619[[#This Row],[Q]]&lt;0.1, " ", Inventory_List_Table34111510911131718141619[[#This Row],[KG]]*2.20462)</f>
        <v xml:space="preserve"> </v>
      </c>
      <c r="O87" s="35" t="str">
        <f>IF(Inventory_List_Table34111510911131718141619[[#This Row],[Q]]&lt;0.1, " ",Inventory_List_Table34111510911131718141619[[#This Row],[H CM]]/2.54)</f>
        <v xml:space="preserve"> </v>
      </c>
      <c r="P87" s="35" t="str">
        <f>IF(Inventory_List_Table34111510911131718141619[[#This Row],[Q]]&lt;0.1, " ",Inventory_List_Table34111510911131718141619[[#This Row],[W CM]]/2.54)</f>
        <v xml:space="preserve"> </v>
      </c>
      <c r="Q87" s="35" t="str">
        <f>IF(Inventory_List_Table34111510911131718141619[[#This Row],[Q]]&lt;0.1, " ",Inventory_List_Table34111510911131718141619[[#This Row],[D CM ]]/2.54)</f>
        <v xml:space="preserve"> </v>
      </c>
      <c r="R87" s="30" t="str">
        <f>IF(Inventory_List_Table34111510911131718141619[[#This Row],[Q]]&lt;0.1, " ",Inventory_List_Table34111510911131718141619[[#This Row],[PRICE]]/$L$1)</f>
        <v xml:space="preserve"> </v>
      </c>
      <c r="S8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7" s="30" t="str">
        <f>IF(Inventory_List_Table34111510911131718141619[[#This Row],[Q]]&lt;0.1, " ",Inventory_List_Table34111510911131718141619[[#This Row],[AQ RND USD]]*1.4)</f>
        <v xml:space="preserve"> </v>
      </c>
      <c r="U8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7" s="30" t="str">
        <f>IF(Inventory_List_Table34111510911131718141619[[#This Row],[Q]]&lt;0.1, " ",Inventory_List_Table34111510911131718141619[[#This Row],[LND RND USD]]*12)</f>
        <v xml:space="preserve"> </v>
      </c>
      <c r="W87" s="30" t="str">
        <f>IF(Inventory_List_Table34111510911131718141619[[#This Row],[Q]]&lt;0.1, " ",Inventory_List_Table34111510911131718141619[[#This Row],[AQ USD]])</f>
        <v xml:space="preserve"> </v>
      </c>
      <c r="X8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7" s="30" t="str">
        <f>IF(Inventory_List_Table34111510911131718141619[[#This Row],[Q]]&lt;0.1, " ",Inventory_List_Table34111510911131718141619[[#This Row],[PRICE]]/Z87*10000)</f>
        <v xml:space="preserve"> </v>
      </c>
      <c r="AB87" s="405"/>
      <c r="AC87" s="1"/>
      <c r="AD87" s="1"/>
    </row>
    <row r="88" spans="1:30" ht="24" customHeight="1" x14ac:dyDescent="0.3">
      <c r="A88" s="382">
        <v>86</v>
      </c>
      <c r="B88" s="1"/>
      <c r="C88" s="386"/>
      <c r="D88" s="386"/>
      <c r="E88" s="386"/>
      <c r="F88" s="38" t="str">
        <f>IF(Inventory_List_Table34111510911131718141619[[#This Row],[Q]]&lt;0.1, " ",#REF!&amp;$D$1&amp;#REF!&amp;Inventory_List_Table34111510911131718141619[[#This Row],[NOTES]])</f>
        <v xml:space="preserve"> </v>
      </c>
      <c r="G88" s="389"/>
      <c r="H88" s="389"/>
      <c r="I88" s="389"/>
      <c r="J88" s="389"/>
      <c r="K88" s="389"/>
      <c r="L88" s="391"/>
      <c r="M8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8" s="35" t="str">
        <f>IF(Inventory_List_Table34111510911131718141619[[#This Row],[Q]]&lt;0.1, " ", Inventory_List_Table34111510911131718141619[[#This Row],[KG]]*2.20462)</f>
        <v xml:space="preserve"> </v>
      </c>
      <c r="O88" s="35" t="str">
        <f>IF(Inventory_List_Table34111510911131718141619[[#This Row],[Q]]&lt;0.1, " ",Inventory_List_Table34111510911131718141619[[#This Row],[H CM]]/2.54)</f>
        <v xml:space="preserve"> </v>
      </c>
      <c r="P88" s="35" t="str">
        <f>IF(Inventory_List_Table34111510911131718141619[[#This Row],[Q]]&lt;0.1, " ",Inventory_List_Table34111510911131718141619[[#This Row],[W CM]]/2.54)</f>
        <v xml:space="preserve"> </v>
      </c>
      <c r="Q88" s="35" t="str">
        <f>IF(Inventory_List_Table34111510911131718141619[[#This Row],[Q]]&lt;0.1, " ",Inventory_List_Table34111510911131718141619[[#This Row],[D CM ]]/2.54)</f>
        <v xml:space="preserve"> </v>
      </c>
      <c r="R88" s="30" t="str">
        <f>IF(Inventory_List_Table34111510911131718141619[[#This Row],[Q]]&lt;0.1, " ",Inventory_List_Table34111510911131718141619[[#This Row],[PRICE]]/$L$1)</f>
        <v xml:space="preserve"> </v>
      </c>
      <c r="S8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8" s="30" t="str">
        <f>IF(Inventory_List_Table34111510911131718141619[[#This Row],[Q]]&lt;0.1, " ",Inventory_List_Table34111510911131718141619[[#This Row],[AQ RND USD]]*1.4)</f>
        <v xml:space="preserve"> </v>
      </c>
      <c r="U8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8" s="30" t="str">
        <f>IF(Inventory_List_Table34111510911131718141619[[#This Row],[Q]]&lt;0.1, " ",Inventory_List_Table34111510911131718141619[[#This Row],[LND RND USD]]*12)</f>
        <v xml:space="preserve"> </v>
      </c>
      <c r="W88" s="30" t="str">
        <f>IF(Inventory_List_Table34111510911131718141619[[#This Row],[Q]]&lt;0.1, " ",Inventory_List_Table34111510911131718141619[[#This Row],[AQ USD]])</f>
        <v xml:space="preserve"> </v>
      </c>
      <c r="X8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8" s="30" t="str">
        <f>IF(Inventory_List_Table34111510911131718141619[[#This Row],[Q]]&lt;0.1, " ",Inventory_List_Table34111510911131718141619[[#This Row],[PRICE]]/Z88*10000)</f>
        <v xml:space="preserve"> </v>
      </c>
      <c r="AB88" s="405"/>
      <c r="AC88" s="1"/>
      <c r="AD88" s="1"/>
    </row>
    <row r="89" spans="1:30" ht="24" customHeight="1" x14ac:dyDescent="0.3">
      <c r="A89" s="382">
        <v>87</v>
      </c>
      <c r="B89" s="1"/>
      <c r="C89" s="386"/>
      <c r="D89" s="386"/>
      <c r="E89" s="386"/>
      <c r="F89" s="38" t="str">
        <f>IF(Inventory_List_Table34111510911131718141619[[#This Row],[Q]]&lt;0.1, " ",#REF!&amp;$D$1&amp;#REF!&amp;Inventory_List_Table34111510911131718141619[[#This Row],[NOTES]])</f>
        <v xml:space="preserve"> </v>
      </c>
      <c r="G89" s="389"/>
      <c r="H89" s="389"/>
      <c r="I89" s="389"/>
      <c r="J89" s="389"/>
      <c r="K89" s="389"/>
      <c r="L89" s="391"/>
      <c r="M8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89" s="35" t="str">
        <f>IF(Inventory_List_Table34111510911131718141619[[#This Row],[Q]]&lt;0.1, " ", Inventory_List_Table34111510911131718141619[[#This Row],[KG]]*2.20462)</f>
        <v xml:space="preserve"> </v>
      </c>
      <c r="O89" s="35" t="str">
        <f>IF(Inventory_List_Table34111510911131718141619[[#This Row],[Q]]&lt;0.1, " ",Inventory_List_Table34111510911131718141619[[#This Row],[H CM]]/2.54)</f>
        <v xml:space="preserve"> </v>
      </c>
      <c r="P89" s="35" t="str">
        <f>IF(Inventory_List_Table34111510911131718141619[[#This Row],[Q]]&lt;0.1, " ",Inventory_List_Table34111510911131718141619[[#This Row],[W CM]]/2.54)</f>
        <v xml:space="preserve"> </v>
      </c>
      <c r="Q89" s="35" t="str">
        <f>IF(Inventory_List_Table34111510911131718141619[[#This Row],[Q]]&lt;0.1, " ",Inventory_List_Table34111510911131718141619[[#This Row],[D CM ]]/2.54)</f>
        <v xml:space="preserve"> </v>
      </c>
      <c r="R89" s="30" t="str">
        <f>IF(Inventory_List_Table34111510911131718141619[[#This Row],[Q]]&lt;0.1, " ",Inventory_List_Table34111510911131718141619[[#This Row],[PRICE]]/$L$1)</f>
        <v xml:space="preserve"> </v>
      </c>
      <c r="S8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89" s="30" t="str">
        <f>IF(Inventory_List_Table34111510911131718141619[[#This Row],[Q]]&lt;0.1, " ",Inventory_List_Table34111510911131718141619[[#This Row],[AQ RND USD]]*1.4)</f>
        <v xml:space="preserve"> </v>
      </c>
      <c r="U8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89" s="30" t="str">
        <f>IF(Inventory_List_Table34111510911131718141619[[#This Row],[Q]]&lt;0.1, " ",Inventory_List_Table34111510911131718141619[[#This Row],[LND RND USD]]*12)</f>
        <v xml:space="preserve"> </v>
      </c>
      <c r="W89" s="30" t="str">
        <f>IF(Inventory_List_Table34111510911131718141619[[#This Row],[Q]]&lt;0.1, " ",Inventory_List_Table34111510911131718141619[[#This Row],[AQ USD]])</f>
        <v xml:space="preserve"> </v>
      </c>
      <c r="X8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8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8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89" s="30" t="str">
        <f>IF(Inventory_List_Table34111510911131718141619[[#This Row],[Q]]&lt;0.1, " ",Inventory_List_Table34111510911131718141619[[#This Row],[PRICE]]/Z89*10000)</f>
        <v xml:space="preserve"> </v>
      </c>
      <c r="AB89" s="405"/>
      <c r="AC89" s="1"/>
      <c r="AD89" s="1"/>
    </row>
    <row r="90" spans="1:30" ht="24" customHeight="1" x14ac:dyDescent="0.3">
      <c r="A90" s="382">
        <v>88</v>
      </c>
      <c r="B90" s="1"/>
      <c r="C90" s="386"/>
      <c r="D90" s="386"/>
      <c r="E90" s="386"/>
      <c r="F90" s="38" t="str">
        <f>IF(Inventory_List_Table34111510911131718141619[[#This Row],[Q]]&lt;0.1, " ",#REF!&amp;$D$1&amp;#REF!&amp;Inventory_List_Table34111510911131718141619[[#This Row],[NOTES]])</f>
        <v xml:space="preserve"> </v>
      </c>
      <c r="G90" s="389"/>
      <c r="H90" s="389"/>
      <c r="I90" s="389"/>
      <c r="J90" s="389"/>
      <c r="K90" s="389"/>
      <c r="L90" s="391"/>
      <c r="M9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0" s="35" t="str">
        <f>IF(Inventory_List_Table34111510911131718141619[[#This Row],[Q]]&lt;0.1, " ", Inventory_List_Table34111510911131718141619[[#This Row],[KG]]*2.20462)</f>
        <v xml:space="preserve"> </v>
      </c>
      <c r="O90" s="35" t="str">
        <f>IF(Inventory_List_Table34111510911131718141619[[#This Row],[Q]]&lt;0.1, " ",Inventory_List_Table34111510911131718141619[[#This Row],[H CM]]/2.54)</f>
        <v xml:space="preserve"> </v>
      </c>
      <c r="P90" s="35" t="str">
        <f>IF(Inventory_List_Table34111510911131718141619[[#This Row],[Q]]&lt;0.1, " ",Inventory_List_Table34111510911131718141619[[#This Row],[W CM]]/2.54)</f>
        <v xml:space="preserve"> </v>
      </c>
      <c r="Q90" s="35" t="str">
        <f>IF(Inventory_List_Table34111510911131718141619[[#This Row],[Q]]&lt;0.1, " ",Inventory_List_Table34111510911131718141619[[#This Row],[D CM ]]/2.54)</f>
        <v xml:space="preserve"> </v>
      </c>
      <c r="R90" s="30" t="str">
        <f>IF(Inventory_List_Table34111510911131718141619[[#This Row],[Q]]&lt;0.1, " ",Inventory_List_Table34111510911131718141619[[#This Row],[PRICE]]/$L$1)</f>
        <v xml:space="preserve"> </v>
      </c>
      <c r="S9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0" s="30" t="str">
        <f>IF(Inventory_List_Table34111510911131718141619[[#This Row],[Q]]&lt;0.1, " ",Inventory_List_Table34111510911131718141619[[#This Row],[AQ RND USD]]*1.4)</f>
        <v xml:space="preserve"> </v>
      </c>
      <c r="U9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0" s="30" t="str">
        <f>IF(Inventory_List_Table34111510911131718141619[[#This Row],[Q]]&lt;0.1, " ",Inventory_List_Table34111510911131718141619[[#This Row],[LND RND USD]]*12)</f>
        <v xml:space="preserve"> </v>
      </c>
      <c r="W90" s="30" t="str">
        <f>IF(Inventory_List_Table34111510911131718141619[[#This Row],[Q]]&lt;0.1, " ",Inventory_List_Table34111510911131718141619[[#This Row],[AQ USD]])</f>
        <v xml:space="preserve"> </v>
      </c>
      <c r="X9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0" s="30" t="str">
        <f>IF(Inventory_List_Table34111510911131718141619[[#This Row],[Q]]&lt;0.1, " ",Inventory_List_Table34111510911131718141619[[#This Row],[PRICE]]/Z90*10000)</f>
        <v xml:space="preserve"> </v>
      </c>
      <c r="AB90" s="405"/>
      <c r="AC90" s="1"/>
      <c r="AD90" s="1"/>
    </row>
    <row r="91" spans="1:30" ht="24" customHeight="1" x14ac:dyDescent="0.3">
      <c r="A91" s="382">
        <v>89</v>
      </c>
      <c r="B91" s="1"/>
      <c r="C91" s="386"/>
      <c r="D91" s="386"/>
      <c r="E91" s="386"/>
      <c r="F91" s="38" t="str">
        <f>IF(Inventory_List_Table34111510911131718141619[[#This Row],[Q]]&lt;0.1, " ",#REF!&amp;$D$1&amp;#REF!&amp;Inventory_List_Table34111510911131718141619[[#This Row],[NOTES]])</f>
        <v xml:space="preserve"> </v>
      </c>
      <c r="G91" s="389"/>
      <c r="H91" s="389"/>
      <c r="I91" s="389"/>
      <c r="J91" s="389"/>
      <c r="K91" s="389"/>
      <c r="L91" s="391"/>
      <c r="M9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1" s="35" t="str">
        <f>IF(Inventory_List_Table34111510911131718141619[[#This Row],[Q]]&lt;0.1, " ", Inventory_List_Table34111510911131718141619[[#This Row],[KG]]*2.20462)</f>
        <v xml:space="preserve"> </v>
      </c>
      <c r="O91" s="35" t="str">
        <f>IF(Inventory_List_Table34111510911131718141619[[#This Row],[Q]]&lt;0.1, " ",Inventory_List_Table34111510911131718141619[[#This Row],[H CM]]/2.54)</f>
        <v xml:space="preserve"> </v>
      </c>
      <c r="P91" s="35" t="str">
        <f>IF(Inventory_List_Table34111510911131718141619[[#This Row],[Q]]&lt;0.1, " ",Inventory_List_Table34111510911131718141619[[#This Row],[W CM]]/2.54)</f>
        <v xml:space="preserve"> </v>
      </c>
      <c r="Q91" s="35" t="str">
        <f>IF(Inventory_List_Table34111510911131718141619[[#This Row],[Q]]&lt;0.1, " ",Inventory_List_Table34111510911131718141619[[#This Row],[D CM ]]/2.54)</f>
        <v xml:space="preserve"> </v>
      </c>
      <c r="R91" s="30" t="str">
        <f>IF(Inventory_List_Table34111510911131718141619[[#This Row],[Q]]&lt;0.1, " ",Inventory_List_Table34111510911131718141619[[#This Row],[PRICE]]/$L$1)</f>
        <v xml:space="preserve"> </v>
      </c>
      <c r="S9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1" s="30" t="str">
        <f>IF(Inventory_List_Table34111510911131718141619[[#This Row],[Q]]&lt;0.1, " ",Inventory_List_Table34111510911131718141619[[#This Row],[AQ RND USD]]*1.4)</f>
        <v xml:space="preserve"> </v>
      </c>
      <c r="U9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1" s="30" t="str">
        <f>IF(Inventory_List_Table34111510911131718141619[[#This Row],[Q]]&lt;0.1, " ",Inventory_List_Table34111510911131718141619[[#This Row],[LND RND USD]]*12)</f>
        <v xml:space="preserve"> </v>
      </c>
      <c r="W91" s="30" t="str">
        <f>IF(Inventory_List_Table34111510911131718141619[[#This Row],[Q]]&lt;0.1, " ",Inventory_List_Table34111510911131718141619[[#This Row],[AQ USD]])</f>
        <v xml:space="preserve"> </v>
      </c>
      <c r="X9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1" s="30" t="str">
        <f>IF(Inventory_List_Table34111510911131718141619[[#This Row],[Q]]&lt;0.1, " ",Inventory_List_Table34111510911131718141619[[#This Row],[PRICE]]/Z91*10000)</f>
        <v xml:space="preserve"> </v>
      </c>
      <c r="AB91" s="405"/>
      <c r="AC91" s="1"/>
      <c r="AD91" s="1"/>
    </row>
    <row r="92" spans="1:30" ht="24" customHeight="1" x14ac:dyDescent="0.3">
      <c r="A92" s="382">
        <v>90</v>
      </c>
      <c r="B92" s="1"/>
      <c r="C92" s="386"/>
      <c r="D92" s="386"/>
      <c r="E92" s="386"/>
      <c r="F92" s="38" t="str">
        <f>IF(Inventory_List_Table34111510911131718141619[[#This Row],[Q]]&lt;0.1, " ",#REF!&amp;$D$1&amp;#REF!&amp;Inventory_List_Table34111510911131718141619[[#This Row],[NOTES]])</f>
        <v xml:space="preserve"> </v>
      </c>
      <c r="G92" s="389"/>
      <c r="H92" s="389"/>
      <c r="I92" s="389"/>
      <c r="J92" s="389"/>
      <c r="K92" s="389"/>
      <c r="L92" s="391"/>
      <c r="M9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2" s="35" t="str">
        <f>IF(Inventory_List_Table34111510911131718141619[[#This Row],[Q]]&lt;0.1, " ", Inventory_List_Table34111510911131718141619[[#This Row],[KG]]*2.20462)</f>
        <v xml:space="preserve"> </v>
      </c>
      <c r="O92" s="35" t="str">
        <f>IF(Inventory_List_Table34111510911131718141619[[#This Row],[Q]]&lt;0.1, " ",Inventory_List_Table34111510911131718141619[[#This Row],[H CM]]/2.54)</f>
        <v xml:space="preserve"> </v>
      </c>
      <c r="P92" s="35" t="str">
        <f>IF(Inventory_List_Table34111510911131718141619[[#This Row],[Q]]&lt;0.1, " ",Inventory_List_Table34111510911131718141619[[#This Row],[W CM]]/2.54)</f>
        <v xml:space="preserve"> </v>
      </c>
      <c r="Q92" s="35" t="str">
        <f>IF(Inventory_List_Table34111510911131718141619[[#This Row],[Q]]&lt;0.1, " ",Inventory_List_Table34111510911131718141619[[#This Row],[D CM ]]/2.54)</f>
        <v xml:space="preserve"> </v>
      </c>
      <c r="R92" s="30" t="str">
        <f>IF(Inventory_List_Table34111510911131718141619[[#This Row],[Q]]&lt;0.1, " ",Inventory_List_Table34111510911131718141619[[#This Row],[PRICE]]/$L$1)</f>
        <v xml:space="preserve"> </v>
      </c>
      <c r="S9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2" s="30" t="str">
        <f>IF(Inventory_List_Table34111510911131718141619[[#This Row],[Q]]&lt;0.1, " ",Inventory_List_Table34111510911131718141619[[#This Row],[AQ RND USD]]*1.4)</f>
        <v xml:space="preserve"> </v>
      </c>
      <c r="U9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2" s="30" t="str">
        <f>IF(Inventory_List_Table34111510911131718141619[[#This Row],[Q]]&lt;0.1, " ",Inventory_List_Table34111510911131718141619[[#This Row],[LND RND USD]]*12)</f>
        <v xml:space="preserve"> </v>
      </c>
      <c r="W92" s="30" t="str">
        <f>IF(Inventory_List_Table34111510911131718141619[[#This Row],[Q]]&lt;0.1, " ",Inventory_List_Table34111510911131718141619[[#This Row],[AQ USD]])</f>
        <v xml:space="preserve"> </v>
      </c>
      <c r="X9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2" s="30" t="str">
        <f>IF(Inventory_List_Table34111510911131718141619[[#This Row],[Q]]&lt;0.1, " ",Inventory_List_Table34111510911131718141619[[#This Row],[PRICE]]/Z92*10000)</f>
        <v xml:space="preserve"> </v>
      </c>
      <c r="AB92" s="405"/>
      <c r="AC92" s="1"/>
      <c r="AD92" s="1"/>
    </row>
    <row r="93" spans="1:30" ht="24" customHeight="1" x14ac:dyDescent="0.3">
      <c r="A93" s="382">
        <v>91</v>
      </c>
      <c r="B93" s="1"/>
      <c r="C93" s="386"/>
      <c r="D93" s="386"/>
      <c r="E93" s="386"/>
      <c r="F93" s="38" t="str">
        <f>IF(Inventory_List_Table34111510911131718141619[[#This Row],[Q]]&lt;0.1, " ",#REF!&amp;$D$1&amp;#REF!&amp;Inventory_List_Table34111510911131718141619[[#This Row],[NOTES]])</f>
        <v xml:space="preserve"> </v>
      </c>
      <c r="G93" s="389"/>
      <c r="H93" s="389"/>
      <c r="I93" s="389"/>
      <c r="J93" s="389"/>
      <c r="K93" s="389"/>
      <c r="L93" s="391"/>
      <c r="M93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3" s="35" t="str">
        <f>IF(Inventory_List_Table34111510911131718141619[[#This Row],[Q]]&lt;0.1, " ", Inventory_List_Table34111510911131718141619[[#This Row],[KG]]*2.20462)</f>
        <v xml:space="preserve"> </v>
      </c>
      <c r="O93" s="35" t="str">
        <f>IF(Inventory_List_Table34111510911131718141619[[#This Row],[Q]]&lt;0.1, " ",Inventory_List_Table34111510911131718141619[[#This Row],[H CM]]/2.54)</f>
        <v xml:space="preserve"> </v>
      </c>
      <c r="P93" s="35" t="str">
        <f>IF(Inventory_List_Table34111510911131718141619[[#This Row],[Q]]&lt;0.1, " ",Inventory_List_Table34111510911131718141619[[#This Row],[W CM]]/2.54)</f>
        <v xml:space="preserve"> </v>
      </c>
      <c r="Q93" s="35" t="str">
        <f>IF(Inventory_List_Table34111510911131718141619[[#This Row],[Q]]&lt;0.1, " ",Inventory_List_Table34111510911131718141619[[#This Row],[D CM ]]/2.54)</f>
        <v xml:space="preserve"> </v>
      </c>
      <c r="R93" s="30" t="str">
        <f>IF(Inventory_List_Table34111510911131718141619[[#This Row],[Q]]&lt;0.1, " ",Inventory_List_Table34111510911131718141619[[#This Row],[PRICE]]/$L$1)</f>
        <v xml:space="preserve"> </v>
      </c>
      <c r="S93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3" s="30" t="str">
        <f>IF(Inventory_List_Table34111510911131718141619[[#This Row],[Q]]&lt;0.1, " ",Inventory_List_Table34111510911131718141619[[#This Row],[AQ RND USD]]*1.4)</f>
        <v xml:space="preserve"> </v>
      </c>
      <c r="U93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3" s="30" t="str">
        <f>IF(Inventory_List_Table34111510911131718141619[[#This Row],[Q]]&lt;0.1, " ",Inventory_List_Table34111510911131718141619[[#This Row],[LND RND USD]]*12)</f>
        <v xml:space="preserve"> </v>
      </c>
      <c r="W93" s="30" t="str">
        <f>IF(Inventory_List_Table34111510911131718141619[[#This Row],[Q]]&lt;0.1, " ",Inventory_List_Table34111510911131718141619[[#This Row],[AQ USD]])</f>
        <v xml:space="preserve"> </v>
      </c>
      <c r="X93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3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3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3" s="30" t="str">
        <f>IF(Inventory_List_Table34111510911131718141619[[#This Row],[Q]]&lt;0.1, " ",Inventory_List_Table34111510911131718141619[[#This Row],[PRICE]]/Z93*10000)</f>
        <v xml:space="preserve"> </v>
      </c>
      <c r="AB93" s="405"/>
      <c r="AC93" s="1"/>
      <c r="AD93" s="1"/>
    </row>
    <row r="94" spans="1:30" ht="24" customHeight="1" x14ac:dyDescent="0.3">
      <c r="A94" s="382">
        <v>92</v>
      </c>
      <c r="B94" s="1"/>
      <c r="C94" s="386"/>
      <c r="D94" s="386"/>
      <c r="E94" s="386"/>
      <c r="F94" s="38" t="str">
        <f>IF(Inventory_List_Table34111510911131718141619[[#This Row],[Q]]&lt;0.1, " ",#REF!&amp;$D$1&amp;#REF!&amp;Inventory_List_Table34111510911131718141619[[#This Row],[NOTES]])</f>
        <v xml:space="preserve"> </v>
      </c>
      <c r="G94" s="389"/>
      <c r="H94" s="389"/>
      <c r="I94" s="389"/>
      <c r="J94" s="389"/>
      <c r="K94" s="389"/>
      <c r="L94" s="391"/>
      <c r="M94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4" s="35" t="str">
        <f>IF(Inventory_List_Table34111510911131718141619[[#This Row],[Q]]&lt;0.1, " ", Inventory_List_Table34111510911131718141619[[#This Row],[KG]]*2.20462)</f>
        <v xml:space="preserve"> </v>
      </c>
      <c r="O94" s="35" t="str">
        <f>IF(Inventory_List_Table34111510911131718141619[[#This Row],[Q]]&lt;0.1, " ",Inventory_List_Table34111510911131718141619[[#This Row],[H CM]]/2.54)</f>
        <v xml:space="preserve"> </v>
      </c>
      <c r="P94" s="35" t="str">
        <f>IF(Inventory_List_Table34111510911131718141619[[#This Row],[Q]]&lt;0.1, " ",Inventory_List_Table34111510911131718141619[[#This Row],[W CM]]/2.54)</f>
        <v xml:space="preserve"> </v>
      </c>
      <c r="Q94" s="35" t="str">
        <f>IF(Inventory_List_Table34111510911131718141619[[#This Row],[Q]]&lt;0.1, " ",Inventory_List_Table34111510911131718141619[[#This Row],[D CM ]]/2.54)</f>
        <v xml:space="preserve"> </v>
      </c>
      <c r="R94" s="30" t="str">
        <f>IF(Inventory_List_Table34111510911131718141619[[#This Row],[Q]]&lt;0.1, " ",Inventory_List_Table34111510911131718141619[[#This Row],[PRICE]]/$L$1)</f>
        <v xml:space="preserve"> </v>
      </c>
      <c r="S94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4" s="30" t="str">
        <f>IF(Inventory_List_Table34111510911131718141619[[#This Row],[Q]]&lt;0.1, " ",Inventory_List_Table34111510911131718141619[[#This Row],[AQ RND USD]]*1.4)</f>
        <v xml:space="preserve"> </v>
      </c>
      <c r="U94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4" s="30" t="str">
        <f>IF(Inventory_List_Table34111510911131718141619[[#This Row],[Q]]&lt;0.1, " ",Inventory_List_Table34111510911131718141619[[#This Row],[LND RND USD]]*12)</f>
        <v xml:space="preserve"> </v>
      </c>
      <c r="W94" s="30" t="str">
        <f>IF(Inventory_List_Table34111510911131718141619[[#This Row],[Q]]&lt;0.1, " ",Inventory_List_Table34111510911131718141619[[#This Row],[AQ USD]])</f>
        <v xml:space="preserve"> </v>
      </c>
      <c r="X94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4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4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4" s="30" t="str">
        <f>IF(Inventory_List_Table34111510911131718141619[[#This Row],[Q]]&lt;0.1, " ",Inventory_List_Table34111510911131718141619[[#This Row],[PRICE]]/Z94*10000)</f>
        <v xml:space="preserve"> </v>
      </c>
      <c r="AB94" s="405"/>
      <c r="AC94" s="1"/>
      <c r="AD94" s="1"/>
    </row>
    <row r="95" spans="1:30" ht="24" customHeight="1" x14ac:dyDescent="0.3">
      <c r="A95" s="382">
        <v>93</v>
      </c>
      <c r="B95" s="1"/>
      <c r="C95" s="386"/>
      <c r="D95" s="386"/>
      <c r="E95" s="386"/>
      <c r="F95" s="38" t="str">
        <f>IF(Inventory_List_Table34111510911131718141619[[#This Row],[Q]]&lt;0.1, " ",#REF!&amp;$D$1&amp;#REF!&amp;Inventory_List_Table34111510911131718141619[[#This Row],[NOTES]])</f>
        <v xml:space="preserve"> </v>
      </c>
      <c r="G95" s="389"/>
      <c r="H95" s="389"/>
      <c r="I95" s="389"/>
      <c r="J95" s="389"/>
      <c r="K95" s="389"/>
      <c r="L95" s="391"/>
      <c r="M95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5" s="35" t="str">
        <f>IF(Inventory_List_Table34111510911131718141619[[#This Row],[Q]]&lt;0.1, " ", Inventory_List_Table34111510911131718141619[[#This Row],[KG]]*2.20462)</f>
        <v xml:space="preserve"> </v>
      </c>
      <c r="O95" s="35" t="str">
        <f>IF(Inventory_List_Table34111510911131718141619[[#This Row],[Q]]&lt;0.1, " ",Inventory_List_Table34111510911131718141619[[#This Row],[H CM]]/2.54)</f>
        <v xml:space="preserve"> </v>
      </c>
      <c r="P95" s="35" t="str">
        <f>IF(Inventory_List_Table34111510911131718141619[[#This Row],[Q]]&lt;0.1, " ",Inventory_List_Table34111510911131718141619[[#This Row],[W CM]]/2.54)</f>
        <v xml:space="preserve"> </v>
      </c>
      <c r="Q95" s="35" t="str">
        <f>IF(Inventory_List_Table34111510911131718141619[[#This Row],[Q]]&lt;0.1, " ",Inventory_List_Table34111510911131718141619[[#This Row],[D CM ]]/2.54)</f>
        <v xml:space="preserve"> </v>
      </c>
      <c r="R95" s="30" t="str">
        <f>IF(Inventory_List_Table34111510911131718141619[[#This Row],[Q]]&lt;0.1, " ",Inventory_List_Table34111510911131718141619[[#This Row],[PRICE]]/$L$1)</f>
        <v xml:space="preserve"> </v>
      </c>
      <c r="S95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5" s="30" t="str">
        <f>IF(Inventory_List_Table34111510911131718141619[[#This Row],[Q]]&lt;0.1, " ",Inventory_List_Table34111510911131718141619[[#This Row],[AQ RND USD]]*1.4)</f>
        <v xml:space="preserve"> </v>
      </c>
      <c r="U95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5" s="30" t="str">
        <f>IF(Inventory_List_Table34111510911131718141619[[#This Row],[Q]]&lt;0.1, " ",Inventory_List_Table34111510911131718141619[[#This Row],[LND RND USD]]*12)</f>
        <v xml:space="preserve"> </v>
      </c>
      <c r="W95" s="30" t="str">
        <f>IF(Inventory_List_Table34111510911131718141619[[#This Row],[Q]]&lt;0.1, " ",Inventory_List_Table34111510911131718141619[[#This Row],[AQ USD]])</f>
        <v xml:space="preserve"> </v>
      </c>
      <c r="X95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5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5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5" s="30" t="str">
        <f>IF(Inventory_List_Table34111510911131718141619[[#This Row],[Q]]&lt;0.1, " ",Inventory_List_Table34111510911131718141619[[#This Row],[PRICE]]/Z95*10000)</f>
        <v xml:space="preserve"> </v>
      </c>
      <c r="AB95" s="405"/>
      <c r="AC95" s="1"/>
      <c r="AD95" s="1"/>
    </row>
    <row r="96" spans="1:30" ht="24" customHeight="1" x14ac:dyDescent="0.3">
      <c r="A96" s="382">
        <v>94</v>
      </c>
      <c r="B96" s="1"/>
      <c r="C96" s="386"/>
      <c r="D96" s="386"/>
      <c r="E96" s="386"/>
      <c r="F96" s="38" t="str">
        <f>IF(Inventory_List_Table34111510911131718141619[[#This Row],[Q]]&lt;0.1, " ",#REF!&amp;$D$1&amp;#REF!&amp;Inventory_List_Table34111510911131718141619[[#This Row],[NOTES]])</f>
        <v xml:space="preserve"> </v>
      </c>
      <c r="G96" s="389"/>
      <c r="H96" s="389"/>
      <c r="I96" s="389"/>
      <c r="J96" s="389"/>
      <c r="K96" s="389"/>
      <c r="L96" s="391"/>
      <c r="M96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6" s="35" t="str">
        <f>IF(Inventory_List_Table34111510911131718141619[[#This Row],[Q]]&lt;0.1, " ", Inventory_List_Table34111510911131718141619[[#This Row],[KG]]*2.20462)</f>
        <v xml:space="preserve"> </v>
      </c>
      <c r="O96" s="35" t="str">
        <f>IF(Inventory_List_Table34111510911131718141619[[#This Row],[Q]]&lt;0.1, " ",Inventory_List_Table34111510911131718141619[[#This Row],[H CM]]/2.54)</f>
        <v xml:space="preserve"> </v>
      </c>
      <c r="P96" s="35" t="str">
        <f>IF(Inventory_List_Table34111510911131718141619[[#This Row],[Q]]&lt;0.1, " ",Inventory_List_Table34111510911131718141619[[#This Row],[W CM]]/2.54)</f>
        <v xml:space="preserve"> </v>
      </c>
      <c r="Q96" s="35" t="str">
        <f>IF(Inventory_List_Table34111510911131718141619[[#This Row],[Q]]&lt;0.1, " ",Inventory_List_Table34111510911131718141619[[#This Row],[D CM ]]/2.54)</f>
        <v xml:space="preserve"> </v>
      </c>
      <c r="R96" s="30" t="str">
        <f>IF(Inventory_List_Table34111510911131718141619[[#This Row],[Q]]&lt;0.1, " ",Inventory_List_Table34111510911131718141619[[#This Row],[PRICE]]/$L$1)</f>
        <v xml:space="preserve"> </v>
      </c>
      <c r="S96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6" s="30" t="str">
        <f>IF(Inventory_List_Table34111510911131718141619[[#This Row],[Q]]&lt;0.1, " ",Inventory_List_Table34111510911131718141619[[#This Row],[AQ RND USD]]*1.4)</f>
        <v xml:space="preserve"> </v>
      </c>
      <c r="U96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6" s="30" t="str">
        <f>IF(Inventory_List_Table34111510911131718141619[[#This Row],[Q]]&lt;0.1, " ",Inventory_List_Table34111510911131718141619[[#This Row],[LND RND USD]]*12)</f>
        <v xml:space="preserve"> </v>
      </c>
      <c r="W96" s="30" t="str">
        <f>IF(Inventory_List_Table34111510911131718141619[[#This Row],[Q]]&lt;0.1, " ",Inventory_List_Table34111510911131718141619[[#This Row],[AQ USD]])</f>
        <v xml:space="preserve"> </v>
      </c>
      <c r="X96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6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6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6" s="30" t="str">
        <f>IF(Inventory_List_Table34111510911131718141619[[#This Row],[Q]]&lt;0.1, " ",Inventory_List_Table34111510911131718141619[[#This Row],[PRICE]]/Z96*10000)</f>
        <v xml:space="preserve"> </v>
      </c>
      <c r="AB96" s="405"/>
      <c r="AC96" s="1"/>
      <c r="AD96" s="1"/>
    </row>
    <row r="97" spans="1:30" ht="24" customHeight="1" x14ac:dyDescent="0.3">
      <c r="A97" s="382">
        <v>95</v>
      </c>
      <c r="B97" s="1"/>
      <c r="C97" s="386"/>
      <c r="D97" s="386"/>
      <c r="E97" s="386"/>
      <c r="F97" s="38" t="str">
        <f>IF(Inventory_List_Table34111510911131718141619[[#This Row],[Q]]&lt;0.1, " ",#REF!&amp;$D$1&amp;#REF!&amp;Inventory_List_Table34111510911131718141619[[#This Row],[NOTES]])</f>
        <v xml:space="preserve"> </v>
      </c>
      <c r="G97" s="389"/>
      <c r="H97" s="389"/>
      <c r="I97" s="389"/>
      <c r="J97" s="389"/>
      <c r="K97" s="389"/>
      <c r="L97" s="391"/>
      <c r="M97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7" s="35" t="str">
        <f>IF(Inventory_List_Table34111510911131718141619[[#This Row],[Q]]&lt;0.1, " ", Inventory_List_Table34111510911131718141619[[#This Row],[KG]]*2.20462)</f>
        <v xml:space="preserve"> </v>
      </c>
      <c r="O97" s="35" t="str">
        <f>IF(Inventory_List_Table34111510911131718141619[[#This Row],[Q]]&lt;0.1, " ",Inventory_List_Table34111510911131718141619[[#This Row],[H CM]]/2.54)</f>
        <v xml:space="preserve"> </v>
      </c>
      <c r="P97" s="35" t="str">
        <f>IF(Inventory_List_Table34111510911131718141619[[#This Row],[Q]]&lt;0.1, " ",Inventory_List_Table34111510911131718141619[[#This Row],[W CM]]/2.54)</f>
        <v xml:space="preserve"> </v>
      </c>
      <c r="Q97" s="35" t="str">
        <f>IF(Inventory_List_Table34111510911131718141619[[#This Row],[Q]]&lt;0.1, " ",Inventory_List_Table34111510911131718141619[[#This Row],[D CM ]]/2.54)</f>
        <v xml:space="preserve"> </v>
      </c>
      <c r="R97" s="30" t="str">
        <f>IF(Inventory_List_Table34111510911131718141619[[#This Row],[Q]]&lt;0.1, " ",Inventory_List_Table34111510911131718141619[[#This Row],[PRICE]]/$L$1)</f>
        <v xml:space="preserve"> </v>
      </c>
      <c r="S97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7" s="30" t="str">
        <f>IF(Inventory_List_Table34111510911131718141619[[#This Row],[Q]]&lt;0.1, " ",Inventory_List_Table34111510911131718141619[[#This Row],[AQ RND USD]]*1.4)</f>
        <v xml:space="preserve"> </v>
      </c>
      <c r="U97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7" s="30" t="str">
        <f>IF(Inventory_List_Table34111510911131718141619[[#This Row],[Q]]&lt;0.1, " ",Inventory_List_Table34111510911131718141619[[#This Row],[LND RND USD]]*12)</f>
        <v xml:space="preserve"> </v>
      </c>
      <c r="W97" s="30" t="str">
        <f>IF(Inventory_List_Table34111510911131718141619[[#This Row],[Q]]&lt;0.1, " ",Inventory_List_Table34111510911131718141619[[#This Row],[AQ USD]])</f>
        <v xml:space="preserve"> </v>
      </c>
      <c r="X97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7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7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7" s="30" t="str">
        <f>IF(Inventory_List_Table34111510911131718141619[[#This Row],[Q]]&lt;0.1, " ",Inventory_List_Table34111510911131718141619[[#This Row],[PRICE]]/Z97*10000)</f>
        <v xml:space="preserve"> </v>
      </c>
      <c r="AB97" s="405"/>
      <c r="AC97" s="1"/>
      <c r="AD97" s="1"/>
    </row>
    <row r="98" spans="1:30" ht="24" customHeight="1" x14ac:dyDescent="0.3">
      <c r="A98" s="382">
        <v>96</v>
      </c>
      <c r="B98" s="1"/>
      <c r="C98" s="386"/>
      <c r="D98" s="386"/>
      <c r="E98" s="386"/>
      <c r="F98" s="38" t="str">
        <f>IF(Inventory_List_Table34111510911131718141619[[#This Row],[Q]]&lt;0.1, " ",#REF!&amp;$D$1&amp;#REF!&amp;Inventory_List_Table34111510911131718141619[[#This Row],[NOTES]])</f>
        <v xml:space="preserve"> </v>
      </c>
      <c r="G98" s="389"/>
      <c r="H98" s="389"/>
      <c r="I98" s="389"/>
      <c r="J98" s="389"/>
      <c r="K98" s="389"/>
      <c r="L98" s="391"/>
      <c r="M98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8" s="35" t="str">
        <f>IF(Inventory_List_Table34111510911131718141619[[#This Row],[Q]]&lt;0.1, " ", Inventory_List_Table34111510911131718141619[[#This Row],[KG]]*2.20462)</f>
        <v xml:space="preserve"> </v>
      </c>
      <c r="O98" s="35" t="str">
        <f>IF(Inventory_List_Table34111510911131718141619[[#This Row],[Q]]&lt;0.1, " ",Inventory_List_Table34111510911131718141619[[#This Row],[H CM]]/2.54)</f>
        <v xml:space="preserve"> </v>
      </c>
      <c r="P98" s="35" t="str">
        <f>IF(Inventory_List_Table34111510911131718141619[[#This Row],[Q]]&lt;0.1, " ",Inventory_List_Table34111510911131718141619[[#This Row],[W CM]]/2.54)</f>
        <v xml:space="preserve"> </v>
      </c>
      <c r="Q98" s="35" t="str">
        <f>IF(Inventory_List_Table34111510911131718141619[[#This Row],[Q]]&lt;0.1, " ",Inventory_List_Table34111510911131718141619[[#This Row],[D CM ]]/2.54)</f>
        <v xml:space="preserve"> </v>
      </c>
      <c r="R98" s="30" t="str">
        <f>IF(Inventory_List_Table34111510911131718141619[[#This Row],[Q]]&lt;0.1, " ",Inventory_List_Table34111510911131718141619[[#This Row],[PRICE]]/$L$1)</f>
        <v xml:space="preserve"> </v>
      </c>
      <c r="S98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8" s="30" t="str">
        <f>IF(Inventory_List_Table34111510911131718141619[[#This Row],[Q]]&lt;0.1, " ",Inventory_List_Table34111510911131718141619[[#This Row],[AQ RND USD]]*1.4)</f>
        <v xml:space="preserve"> </v>
      </c>
      <c r="U98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8" s="30" t="str">
        <f>IF(Inventory_List_Table34111510911131718141619[[#This Row],[Q]]&lt;0.1, " ",Inventory_List_Table34111510911131718141619[[#This Row],[LND RND USD]]*12)</f>
        <v xml:space="preserve"> </v>
      </c>
      <c r="W98" s="30" t="str">
        <f>IF(Inventory_List_Table34111510911131718141619[[#This Row],[Q]]&lt;0.1, " ",Inventory_List_Table34111510911131718141619[[#This Row],[AQ USD]])</f>
        <v xml:space="preserve"> </v>
      </c>
      <c r="X98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8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8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8" s="30" t="str">
        <f>IF(Inventory_List_Table34111510911131718141619[[#This Row],[Q]]&lt;0.1, " ",Inventory_List_Table34111510911131718141619[[#This Row],[PRICE]]/Z98*10000)</f>
        <v xml:space="preserve"> </v>
      </c>
      <c r="AB98" s="405"/>
      <c r="AC98" s="1"/>
      <c r="AD98" s="1"/>
    </row>
    <row r="99" spans="1:30" ht="24" customHeight="1" x14ac:dyDescent="0.3">
      <c r="A99" s="382">
        <v>97</v>
      </c>
      <c r="B99" s="1"/>
      <c r="C99" s="386"/>
      <c r="D99" s="386"/>
      <c r="E99" s="386"/>
      <c r="F99" s="38" t="str">
        <f>IF(Inventory_List_Table34111510911131718141619[[#This Row],[Q]]&lt;0.1, " ",#REF!&amp;$D$1&amp;#REF!&amp;Inventory_List_Table34111510911131718141619[[#This Row],[NOTES]])</f>
        <v xml:space="preserve"> </v>
      </c>
      <c r="G99" s="389"/>
      <c r="H99" s="389"/>
      <c r="I99" s="389"/>
      <c r="J99" s="389"/>
      <c r="K99" s="389"/>
      <c r="L99" s="391"/>
      <c r="M99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99" s="35" t="str">
        <f>IF(Inventory_List_Table34111510911131718141619[[#This Row],[Q]]&lt;0.1, " ", Inventory_List_Table34111510911131718141619[[#This Row],[KG]]*2.20462)</f>
        <v xml:space="preserve"> </v>
      </c>
      <c r="O99" s="35" t="str">
        <f>IF(Inventory_List_Table34111510911131718141619[[#This Row],[Q]]&lt;0.1, " ",Inventory_List_Table34111510911131718141619[[#This Row],[H CM]]/2.54)</f>
        <v xml:space="preserve"> </v>
      </c>
      <c r="P99" s="35" t="str">
        <f>IF(Inventory_List_Table34111510911131718141619[[#This Row],[Q]]&lt;0.1, " ",Inventory_List_Table34111510911131718141619[[#This Row],[W CM]]/2.54)</f>
        <v xml:space="preserve"> </v>
      </c>
      <c r="Q99" s="35" t="str">
        <f>IF(Inventory_List_Table34111510911131718141619[[#This Row],[Q]]&lt;0.1, " ",Inventory_List_Table34111510911131718141619[[#This Row],[D CM ]]/2.54)</f>
        <v xml:space="preserve"> </v>
      </c>
      <c r="R99" s="30" t="str">
        <f>IF(Inventory_List_Table34111510911131718141619[[#This Row],[Q]]&lt;0.1, " ",Inventory_List_Table34111510911131718141619[[#This Row],[PRICE]]/$L$1)</f>
        <v xml:space="preserve"> </v>
      </c>
      <c r="S99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99" s="30" t="str">
        <f>IF(Inventory_List_Table34111510911131718141619[[#This Row],[Q]]&lt;0.1, " ",Inventory_List_Table34111510911131718141619[[#This Row],[AQ RND USD]]*1.4)</f>
        <v xml:space="preserve"> </v>
      </c>
      <c r="U99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99" s="30" t="str">
        <f>IF(Inventory_List_Table34111510911131718141619[[#This Row],[Q]]&lt;0.1, " ",Inventory_List_Table34111510911131718141619[[#This Row],[LND RND USD]]*12)</f>
        <v xml:space="preserve"> </v>
      </c>
      <c r="W99" s="30" t="str">
        <f>IF(Inventory_List_Table34111510911131718141619[[#This Row],[Q]]&lt;0.1, " ",Inventory_List_Table34111510911131718141619[[#This Row],[AQ USD]])</f>
        <v xml:space="preserve"> </v>
      </c>
      <c r="X99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99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99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99" s="30" t="str">
        <f>IF(Inventory_List_Table34111510911131718141619[[#This Row],[Q]]&lt;0.1, " ",Inventory_List_Table34111510911131718141619[[#This Row],[PRICE]]/Z99*10000)</f>
        <v xml:space="preserve"> </v>
      </c>
      <c r="AB99" s="405"/>
      <c r="AC99" s="1"/>
      <c r="AD99" s="1"/>
    </row>
    <row r="100" spans="1:30" ht="24" customHeight="1" x14ac:dyDescent="0.3">
      <c r="A100" s="382">
        <v>98</v>
      </c>
      <c r="B100" s="1"/>
      <c r="C100" s="386"/>
      <c r="D100" s="386"/>
      <c r="E100" s="386"/>
      <c r="F100" s="38" t="str">
        <f>IF(Inventory_List_Table34111510911131718141619[[#This Row],[Q]]&lt;0.1, " ",#REF!&amp;$D$1&amp;#REF!&amp;Inventory_List_Table34111510911131718141619[[#This Row],[NOTES]])</f>
        <v xml:space="preserve"> </v>
      </c>
      <c r="G100" s="389"/>
      <c r="H100" s="389"/>
      <c r="I100" s="389"/>
      <c r="J100" s="389"/>
      <c r="K100" s="389"/>
      <c r="L100" s="391"/>
      <c r="M100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00" s="35" t="str">
        <f>IF(Inventory_List_Table34111510911131718141619[[#This Row],[Q]]&lt;0.1, " ", Inventory_List_Table34111510911131718141619[[#This Row],[KG]]*2.20462)</f>
        <v xml:space="preserve"> </v>
      </c>
      <c r="O100" s="35" t="str">
        <f>IF(Inventory_List_Table34111510911131718141619[[#This Row],[Q]]&lt;0.1, " ",Inventory_List_Table34111510911131718141619[[#This Row],[H CM]]/2.54)</f>
        <v xml:space="preserve"> </v>
      </c>
      <c r="P100" s="35" t="str">
        <f>IF(Inventory_List_Table34111510911131718141619[[#This Row],[Q]]&lt;0.1, " ",Inventory_List_Table34111510911131718141619[[#This Row],[W CM]]/2.54)</f>
        <v xml:space="preserve"> </v>
      </c>
      <c r="Q100" s="35" t="str">
        <f>IF(Inventory_List_Table34111510911131718141619[[#This Row],[Q]]&lt;0.1, " ",Inventory_List_Table34111510911131718141619[[#This Row],[D CM ]]/2.54)</f>
        <v xml:space="preserve"> </v>
      </c>
      <c r="R100" s="30" t="str">
        <f>IF(Inventory_List_Table34111510911131718141619[[#This Row],[Q]]&lt;0.1, " ",Inventory_List_Table34111510911131718141619[[#This Row],[PRICE]]/$L$1)</f>
        <v xml:space="preserve"> </v>
      </c>
      <c r="S100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00" s="30" t="str">
        <f>IF(Inventory_List_Table34111510911131718141619[[#This Row],[Q]]&lt;0.1, " ",Inventory_List_Table34111510911131718141619[[#This Row],[AQ RND USD]]*1.4)</f>
        <v xml:space="preserve"> </v>
      </c>
      <c r="U100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00" s="30" t="str">
        <f>IF(Inventory_List_Table34111510911131718141619[[#This Row],[Q]]&lt;0.1, " ",Inventory_List_Table34111510911131718141619[[#This Row],[LND RND USD]]*12)</f>
        <v xml:space="preserve"> </v>
      </c>
      <c r="W100" s="30" t="str">
        <f>IF(Inventory_List_Table34111510911131718141619[[#This Row],[Q]]&lt;0.1, " ",Inventory_List_Table34111510911131718141619[[#This Row],[AQ USD]])</f>
        <v xml:space="preserve"> </v>
      </c>
      <c r="X100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00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00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00" s="30" t="str">
        <f>IF(Inventory_List_Table34111510911131718141619[[#This Row],[Q]]&lt;0.1, " ",Inventory_List_Table34111510911131718141619[[#This Row],[PRICE]]/Z100*10000)</f>
        <v xml:space="preserve"> </v>
      </c>
      <c r="AB100" s="405"/>
      <c r="AC100" s="1"/>
      <c r="AD100" s="1"/>
    </row>
    <row r="101" spans="1:30" ht="24" customHeight="1" x14ac:dyDescent="0.3">
      <c r="A101" s="382">
        <v>99</v>
      </c>
      <c r="B101" s="1"/>
      <c r="C101" s="386"/>
      <c r="D101" s="386"/>
      <c r="E101" s="386"/>
      <c r="F101" s="38" t="str">
        <f>IF(Inventory_List_Table34111510911131718141619[[#This Row],[Q]]&lt;0.1, " ",#REF!&amp;$D$1&amp;#REF!&amp;Inventory_List_Table34111510911131718141619[[#This Row],[NOTES]])</f>
        <v xml:space="preserve"> </v>
      </c>
      <c r="G101" s="389"/>
      <c r="H101" s="389"/>
      <c r="I101" s="389"/>
      <c r="J101" s="389"/>
      <c r="K101" s="389"/>
      <c r="L101" s="391"/>
      <c r="M101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01" s="35" t="str">
        <f>IF(Inventory_List_Table34111510911131718141619[[#This Row],[Q]]&lt;0.1, " ", Inventory_List_Table34111510911131718141619[[#This Row],[KG]]*2.20462)</f>
        <v xml:space="preserve"> </v>
      </c>
      <c r="O101" s="35" t="str">
        <f>IF(Inventory_List_Table34111510911131718141619[[#This Row],[Q]]&lt;0.1, " ",Inventory_List_Table34111510911131718141619[[#This Row],[H CM]]/2.54)</f>
        <v xml:space="preserve"> </v>
      </c>
      <c r="P101" s="35" t="str">
        <f>IF(Inventory_List_Table34111510911131718141619[[#This Row],[Q]]&lt;0.1, " ",Inventory_List_Table34111510911131718141619[[#This Row],[W CM]]/2.54)</f>
        <v xml:space="preserve"> </v>
      </c>
      <c r="Q101" s="35" t="str">
        <f>IF(Inventory_List_Table34111510911131718141619[[#This Row],[Q]]&lt;0.1, " ",Inventory_List_Table34111510911131718141619[[#This Row],[D CM ]]/2.54)</f>
        <v xml:space="preserve"> </v>
      </c>
      <c r="R101" s="30" t="str">
        <f>IF(Inventory_List_Table34111510911131718141619[[#This Row],[Q]]&lt;0.1, " ",Inventory_List_Table34111510911131718141619[[#This Row],[PRICE]]/$L$1)</f>
        <v xml:space="preserve"> </v>
      </c>
      <c r="S101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01" s="30" t="str">
        <f>IF(Inventory_List_Table34111510911131718141619[[#This Row],[Q]]&lt;0.1, " ",Inventory_List_Table34111510911131718141619[[#This Row],[AQ RND USD]]*1.4)</f>
        <v xml:space="preserve"> </v>
      </c>
      <c r="U101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01" s="30" t="str">
        <f>IF(Inventory_List_Table34111510911131718141619[[#This Row],[Q]]&lt;0.1, " ",Inventory_List_Table34111510911131718141619[[#This Row],[LND RND USD]]*12)</f>
        <v xml:space="preserve"> </v>
      </c>
      <c r="W101" s="30" t="str">
        <f>IF(Inventory_List_Table34111510911131718141619[[#This Row],[Q]]&lt;0.1, " ",Inventory_List_Table34111510911131718141619[[#This Row],[AQ USD]])</f>
        <v xml:space="preserve"> </v>
      </c>
      <c r="X101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01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01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01" s="30" t="str">
        <f>IF(Inventory_List_Table34111510911131718141619[[#This Row],[Q]]&lt;0.1, " ",Inventory_List_Table34111510911131718141619[[#This Row],[PRICE]]/Z101*10000)</f>
        <v xml:space="preserve"> </v>
      </c>
      <c r="AB101" s="405"/>
      <c r="AC101" s="1"/>
      <c r="AD101" s="1"/>
    </row>
    <row r="102" spans="1:30" ht="24" customHeight="1" x14ac:dyDescent="0.3">
      <c r="A102" s="382">
        <v>100</v>
      </c>
      <c r="B102" s="1"/>
      <c r="C102" s="386"/>
      <c r="D102" s="386"/>
      <c r="E102" s="386"/>
      <c r="F102" s="38" t="str">
        <f>IF(Inventory_List_Table34111510911131718141619[[#This Row],[Q]]&lt;0.1, " ",#REF!&amp;$D$1&amp;#REF!&amp;Inventory_List_Table34111510911131718141619[[#This Row],[NOTES]])</f>
        <v xml:space="preserve"> </v>
      </c>
      <c r="G102" s="389"/>
      <c r="H102" s="389"/>
      <c r="I102" s="389"/>
      <c r="J102" s="389"/>
      <c r="K102" s="389"/>
      <c r="L102" s="391"/>
      <c r="M102" s="30" t="str">
        <f>IF(Inventory_List_Table34111510911131718141619[[#This Row],[Q]]&lt;0.1, " ", Inventory_List_Table34111510911131718141619[[#This Row],[Q]]*Inventory_List_Table34111510911131718141619[[#This Row],[PRICE]])</f>
        <v xml:space="preserve"> </v>
      </c>
      <c r="N102" s="35" t="str">
        <f>IF(Inventory_List_Table34111510911131718141619[[#This Row],[Q]]&lt;0.1, " ", Inventory_List_Table34111510911131718141619[[#This Row],[KG]]*2.20462)</f>
        <v xml:space="preserve"> </v>
      </c>
      <c r="O102" s="35" t="str">
        <f>IF(Inventory_List_Table34111510911131718141619[[#This Row],[Q]]&lt;0.1, " ",Inventory_List_Table34111510911131718141619[[#This Row],[H CM]]/2.54)</f>
        <v xml:space="preserve"> </v>
      </c>
      <c r="P102" s="35" t="str">
        <f>IF(Inventory_List_Table34111510911131718141619[[#This Row],[Q]]&lt;0.1, " ",Inventory_List_Table34111510911131718141619[[#This Row],[W CM]]/2.54)</f>
        <v xml:space="preserve"> </v>
      </c>
      <c r="Q102" s="35" t="str">
        <f>IF(Inventory_List_Table34111510911131718141619[[#This Row],[Q]]&lt;0.1, " ",Inventory_List_Table34111510911131718141619[[#This Row],[D CM ]]/2.54)</f>
        <v xml:space="preserve"> </v>
      </c>
      <c r="R102" s="30" t="str">
        <f>IF(Inventory_List_Table34111510911131718141619[[#This Row],[Q]]&lt;0.1, " ",Inventory_List_Table34111510911131718141619[[#This Row],[PRICE]]/$L$1)</f>
        <v xml:space="preserve"> </v>
      </c>
      <c r="S102" s="30" t="str">
        <f>IF(Inventory_List_Table34111510911131718141619[[#This Row],[Q]]&lt;0.1, " ",IF(MOD(Inventory_List_Table34111510911131718141619[[#This Row],[AQ USD]],1)&gt;0.4,ROUNDUP(Inventory_List_Table34111510911131718141619[[#This Row],[AQ USD]],0),ROUNDDOWN(Inventory_List_Table34111510911131718141619[[#This Row],[AQ USD]],0)))</f>
        <v xml:space="preserve"> </v>
      </c>
      <c r="T102" s="30" t="str">
        <f>IF(Inventory_List_Table34111510911131718141619[[#This Row],[Q]]&lt;0.1, " ",Inventory_List_Table34111510911131718141619[[#This Row],[AQ RND USD]]*1.4)</f>
        <v xml:space="preserve"> </v>
      </c>
      <c r="U102" s="30" t="str">
        <f>IF(Inventory_List_Table34111510911131718141619[[#This Row],[Q]]&lt;0.1, " ",IF(MOD(Inventory_List_Table34111510911131718141619[[#This Row],[LND USD]],1)&gt;0.4,ROUNDUP(Inventory_List_Table34111510911131718141619[[#This Row],[LND USD]],0),ROUNDDOWN(Inventory_List_Table34111510911131718141619[[#This Row],[LND USD]],0)))</f>
        <v xml:space="preserve"> </v>
      </c>
      <c r="V102" s="30" t="str">
        <f>IF(Inventory_List_Table34111510911131718141619[[#This Row],[Q]]&lt;0.1, " ",Inventory_List_Table34111510911131718141619[[#This Row],[LND RND USD]]*12)</f>
        <v xml:space="preserve"> </v>
      </c>
      <c r="W102" s="30" t="str">
        <f>IF(Inventory_List_Table34111510911131718141619[[#This Row],[Q]]&lt;0.1, " ",Inventory_List_Table34111510911131718141619[[#This Row],[AQ USD]])</f>
        <v xml:space="preserve"> </v>
      </c>
      <c r="X102" s="1" t="str">
        <f>IF(Inventory_List_Table34111510911131718141619[[#This Row],[Q]]&lt;0.1, " ",SUBSTITUTE(SUBSTITUTE(SUBSTITUTE(SUBSTITUTE(SUBSTITUTE(SUBSTITUTE(SUBSTITUTE(SUBSTITUTE(SUBSTITUTE(SUBSTITUTE(Inventory_List_Table34111510911131718141619[[#This Row],[AQ RND USD]], "1", "M"), "2", "O"), "3", "X"), "4", "H"), "5", "E"), "6", "L"), "7", "F"), "8", "A"), "9", "N"), "0", "D"))</f>
        <v xml:space="preserve"> </v>
      </c>
      <c r="Y102" s="1" t="str">
        <f>IF(Inventory_List_Table34111510911131718141619[[#This Row],[Q]]&lt;0.1, " ",SUBSTITUTE(SUBSTITUTE(SUBSTITUTE(SUBSTITUTE(SUBSTITUTE(SUBSTITUTE(SUBSTITUTE(SUBSTITUTE(SUBSTITUTE(SUBSTITUTE(Inventory_List_Table34111510911131718141619[[#This Row],[LND RND USD]], "1", "M"), "2", "O"), "3", "X"), "4", "H"), "5", "E"), "6", "L"), "7", "F"), "8", "A"), "9", "N"), "0", "D"))</f>
        <v xml:space="preserve"> </v>
      </c>
      <c r="Z102" s="1" t="str">
        <f>IF(Inventory_List_Table34111510911131718141619[[#This Row],[Q]]&lt;0.1, " ",Inventory_List_Table34111510911131718141619[[#This Row],[H CM]]*Inventory_List_Table34111510911131718141619[[#This Row],[D CM ]]*4+Inventory_List_Table34111510911131718141619[[#This Row],[W CM]]*Inventory_List_Table34111510911131718141619[[#This Row],[D CM ]]/10000)</f>
        <v xml:space="preserve"> </v>
      </c>
      <c r="AA102" s="30" t="str">
        <f>IF(Inventory_List_Table34111510911131718141619[[#This Row],[Q]]&lt;0.1, " ",Inventory_List_Table34111510911131718141619[[#This Row],[PRICE]]/Z102*10000)</f>
        <v xml:space="preserve"> </v>
      </c>
      <c r="AB102" s="405"/>
      <c r="AC102" s="1"/>
      <c r="AD102" s="1"/>
    </row>
  </sheetData>
  <dataValidations count="12">
    <dataValidation allowBlank="1" showInputMessage="1" showErrorMessage="1" prompt="Enter company name in this cell" sqref="B1" xr:uid="{B620122D-FA3F-4ED7-866E-5E86A65E822C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16DA9215-576F-4BD5-9922-C124CC295E44}"/>
    <dataValidation allowBlank="1" showInputMessage="1" showErrorMessage="1" prompt="Enter the item inventory ID in this column" sqref="E2:E3" xr:uid="{CF4B3E52-3B34-4E18-8F7A-7A8BAAC7D709}"/>
    <dataValidation allowBlank="1" showInputMessage="1" showErrorMessage="1" prompt="Enter the name of the item in this column" sqref="F2:F3" xr:uid="{9DDFE6D4-C353-42B2-8A46-402CC1736564}"/>
    <dataValidation allowBlank="1" showInputMessage="1" showErrorMessage="1" prompt="Enter yes if the item has been discontinued. When a yes is entered, the corresponding row is highlighted a light grey and the font style changed to strikethrough" sqref="P2:P3" xr:uid="{176000D1-4F82-4B1A-BF42-857717705642}"/>
    <dataValidation allowBlank="1" showInputMessage="1" showErrorMessage="1" prompt="Enter the quantity in reorder for each item in this column" sqref="O2:O3" xr:uid="{062202E8-F1B5-4E38-9367-6C8B56B505CE}"/>
    <dataValidation allowBlank="1" showInputMessage="1" showErrorMessage="1" prompt="Enter the number of days it takes to reorder each item in this column" sqref="L2:N3" xr:uid="{844A5311-B2C5-4634-BAAE-4456013FA724}"/>
    <dataValidation allowBlank="1" showInputMessage="1" showErrorMessage="1" prompt="Enter the reorder level for each item in this column" sqref="K2:K3" xr:uid="{F9EF76D9-2053-465B-8326-F0D36C628B5A}"/>
    <dataValidation allowBlank="1" showInputMessage="1" showErrorMessage="1" prompt="This is an automated column._x000a__x000a_The inventory value for each item is automatically calculated in this column." sqref="J2:J3" xr:uid="{9ACBD0B8-2868-465F-B9C7-4F2B07476DF4}"/>
    <dataValidation allowBlank="1" showInputMessage="1" showErrorMessage="1" prompt="Enter the quantity in stock for each item in this column" sqref="I2:I3" xr:uid="{143CBCCD-ED59-4571-977D-57D092D1F99C}"/>
    <dataValidation allowBlank="1" showInputMessage="1" showErrorMessage="1" prompt="Enter the unit price of each item in this column" sqref="H2:H3" xr:uid="{AF2D40BB-0A87-4CE4-BC2B-CF58CE611286}"/>
    <dataValidation allowBlank="1" showInputMessage="1" showErrorMessage="1" prompt="Enter a description of the item in this column" sqref="G2:G3" xr:uid="{B23F1A6B-4106-407D-A4A3-1E8552B1D3B6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818F-AAD6-4948-A9AA-2C62E6173572}">
  <sheetPr>
    <tabColor rgb="FF636466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7.625" style="553" bestFit="1" customWidth="1"/>
    <col min="2" max="2" width="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4.5" x14ac:dyDescent="0.25">
      <c r="A1" s="406" t="s">
        <v>132</v>
      </c>
      <c r="B1" s="407" t="s">
        <v>133</v>
      </c>
      <c r="C1" s="407" t="s">
        <v>17</v>
      </c>
      <c r="D1" s="407">
        <v>326</v>
      </c>
      <c r="E1" s="407"/>
      <c r="F1" s="407"/>
      <c r="G1" s="407"/>
      <c r="H1" s="407"/>
      <c r="I1" s="407"/>
      <c r="J1" s="408"/>
      <c r="K1" s="407" t="s">
        <v>18</v>
      </c>
      <c r="L1" s="409">
        <v>18</v>
      </c>
      <c r="M1" s="410">
        <f>SUM(Inventory_List_Table3411151091113171814161920[TOTAL PESOS])</f>
        <v>0</v>
      </c>
      <c r="N1" s="411"/>
      <c r="O1" s="411"/>
      <c r="P1" s="411"/>
      <c r="Q1" s="412"/>
      <c r="R1" s="413"/>
      <c r="S1" s="414"/>
      <c r="T1" s="415"/>
      <c r="U1" s="415"/>
      <c r="V1" s="415"/>
      <c r="W1" s="416">
        <f>SUM(Inventory_List_Table3411151091113171814161920[TOTAL USD])</f>
        <v>0</v>
      </c>
      <c r="X1" s="417"/>
      <c r="Y1" s="417"/>
      <c r="Z1" s="417"/>
      <c r="AA1" s="418" t="str">
        <f>IF(G3&gt;0.1, AVERAGE(Inventory_List_Table3411151091113171814161920[NOTES]), " ")</f>
        <v xml:space="preserve"> </v>
      </c>
      <c r="AB1" s="413"/>
    </row>
    <row r="2" spans="1:30" s="39" customFormat="1" ht="39" x14ac:dyDescent="0.25">
      <c r="A2" s="419" t="s">
        <v>19</v>
      </c>
      <c r="B2" s="420" t="s">
        <v>56</v>
      </c>
      <c r="C2" s="420" t="s">
        <v>146</v>
      </c>
      <c r="D2" s="420" t="s">
        <v>145</v>
      </c>
      <c r="E2" s="420" t="s">
        <v>55</v>
      </c>
      <c r="F2" s="419" t="s">
        <v>20</v>
      </c>
      <c r="G2" s="419" t="s">
        <v>9</v>
      </c>
      <c r="H2" s="419" t="s">
        <v>10</v>
      </c>
      <c r="I2" s="419" t="s">
        <v>15</v>
      </c>
      <c r="J2" s="419" t="s">
        <v>11</v>
      </c>
      <c r="K2" s="419" t="s">
        <v>12</v>
      </c>
      <c r="L2" s="420" t="s">
        <v>25</v>
      </c>
      <c r="M2" s="421" t="s">
        <v>21</v>
      </c>
      <c r="N2" s="422" t="s">
        <v>13</v>
      </c>
      <c r="O2" s="422" t="s">
        <v>22</v>
      </c>
      <c r="P2" s="422" t="s">
        <v>23</v>
      </c>
      <c r="Q2" s="422" t="s">
        <v>24</v>
      </c>
      <c r="R2" s="423" t="s">
        <v>57</v>
      </c>
      <c r="S2" s="420" t="s">
        <v>58</v>
      </c>
      <c r="T2" s="423" t="s">
        <v>59</v>
      </c>
      <c r="U2" s="423" t="s">
        <v>60</v>
      </c>
      <c r="V2" s="423" t="s">
        <v>61</v>
      </c>
      <c r="W2" s="424" t="s">
        <v>14</v>
      </c>
      <c r="X2" s="424" t="s">
        <v>16</v>
      </c>
      <c r="Y2" s="424" t="s">
        <v>1</v>
      </c>
      <c r="Z2" s="407" t="s">
        <v>62</v>
      </c>
      <c r="AA2" s="409" t="s">
        <v>63</v>
      </c>
      <c r="AB2" s="407" t="s">
        <v>64</v>
      </c>
    </row>
    <row r="3" spans="1:30" s="29" customFormat="1" ht="23.25" x14ac:dyDescent="0.35">
      <c r="A3" s="431">
        <v>1</v>
      </c>
      <c r="B3" s="1"/>
      <c r="C3" s="425"/>
      <c r="D3" s="425"/>
      <c r="E3" s="425"/>
      <c r="F3" s="38" t="str">
        <f>IF(Inventory_List_Table3411151091113171814161920[[#This Row],[Q]]&lt;0.1, " ",A1&amp;$D$1&amp;Inventory_List_Table3411151091113171814161920[[#This Row],['#]]&amp;Inventory_List_Table3411151091113171814161920[[#This Row],[LC]])</f>
        <v xml:space="preserve"> </v>
      </c>
      <c r="G3" s="427"/>
      <c r="H3" s="427"/>
      <c r="I3" s="427"/>
      <c r="J3" s="427"/>
      <c r="K3" s="427"/>
      <c r="L3" s="428"/>
      <c r="M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" s="35" t="str">
        <f>IF(Inventory_List_Table3411151091113171814161920[[#This Row],[Q]]&lt;0.1, " ", Inventory_List_Table3411151091113171814161920[[#This Row],[KG]]*2.20462)</f>
        <v xml:space="preserve"> </v>
      </c>
      <c r="O3" s="35" t="str">
        <f>IF(Inventory_List_Table3411151091113171814161920[[#This Row],[Q]]&lt;0.1, " ",Inventory_List_Table3411151091113171814161920[[#This Row],[H CM]]/2.54)</f>
        <v xml:space="preserve"> </v>
      </c>
      <c r="P3" s="35" t="str">
        <f>IF(Inventory_List_Table3411151091113171814161920[[#This Row],[Q]]&lt;0.1, " ",Inventory_List_Table3411151091113171814161920[[#This Row],[W CM]]/2.54)</f>
        <v xml:space="preserve"> </v>
      </c>
      <c r="Q3" s="35" t="str">
        <f>IF(Inventory_List_Table3411151091113171814161920[[#This Row],[Q]]&lt;0.1, " ",Inventory_List_Table3411151091113171814161920[[#This Row],[D CM ]]/2.54)</f>
        <v xml:space="preserve"> </v>
      </c>
      <c r="R3" s="30" t="str">
        <f>IF(Inventory_List_Table3411151091113171814161920[[#This Row],[Q]]&lt;0.1, " ",Inventory_List_Table3411151091113171814161920[[#This Row],[PRICE]]/$L$1)</f>
        <v xml:space="preserve"> </v>
      </c>
      <c r="S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" s="30" t="str">
        <f>IF(Inventory_List_Table3411151091113171814161920[[#This Row],[Q]]&lt;0.1, " ",Inventory_List_Table3411151091113171814161920[[#This Row],[AQ RND USD]]*1.4)</f>
        <v xml:space="preserve"> </v>
      </c>
      <c r="U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" s="30" t="str">
        <f>IF(Inventory_List_Table3411151091113171814161920[[#This Row],[Q]]&lt;0.1, " ",Inventory_List_Table3411151091113171814161920[[#This Row],[LND RND USD]]*12)</f>
        <v xml:space="preserve"> </v>
      </c>
      <c r="W3" s="30" t="str">
        <f>IF(Inventory_List_Table3411151091113171814161920[[#This Row],[Q]]&lt;0.1, " ",Inventory_List_Table3411151091113171814161920[[#This Row],[AQ USD]])</f>
        <v xml:space="preserve"> </v>
      </c>
      <c r="X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" s="36" t="str">
        <f>IF(Inventory_List_Table3411151091113171814161920[[#This Row],[Q]]&lt;0.1, " ",Inventory_List_Table3411151091113171814161920[[#This Row],[PRICE]]/Z3*10000)</f>
        <v xml:space="preserve"> </v>
      </c>
      <c r="AB3" s="426"/>
      <c r="AC3" s="27"/>
      <c r="AD3" s="28"/>
    </row>
    <row r="4" spans="1:30" ht="21" x14ac:dyDescent="0.3">
      <c r="A4" s="431">
        <v>2</v>
      </c>
      <c r="B4" s="1"/>
      <c r="C4" s="425"/>
      <c r="D4" s="425"/>
      <c r="E4" s="425"/>
      <c r="F4" s="38" t="str">
        <f>IF(Inventory_List_Table3411151091113171814161920[[#This Row],[Q]]&lt;0.1, " ",#REF!&amp;$D$1&amp;#REF!&amp;Inventory_List_Table3411151091113171814161920[[#This Row],[NOTES]])</f>
        <v xml:space="preserve"> </v>
      </c>
      <c r="G4" s="427"/>
      <c r="H4" s="427"/>
      <c r="I4" s="427"/>
      <c r="J4" s="427"/>
      <c r="K4" s="427"/>
      <c r="L4" s="429"/>
      <c r="M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" s="35" t="str">
        <f>IF(Inventory_List_Table3411151091113171814161920[[#This Row],[Q]]&lt;0.1, " ", Inventory_List_Table3411151091113171814161920[[#This Row],[KG]]*2.20462)</f>
        <v xml:space="preserve"> </v>
      </c>
      <c r="O4" s="35" t="str">
        <f>IF(Inventory_List_Table3411151091113171814161920[[#This Row],[Q]]&lt;0.1, " ",Inventory_List_Table3411151091113171814161920[[#This Row],[H CM]]/2.54)</f>
        <v xml:space="preserve"> </v>
      </c>
      <c r="P4" s="35" t="str">
        <f>IF(Inventory_List_Table3411151091113171814161920[[#This Row],[Q]]&lt;0.1, " ",Inventory_List_Table3411151091113171814161920[[#This Row],[W CM]]/2.54)</f>
        <v xml:space="preserve"> </v>
      </c>
      <c r="Q4" s="35" t="str">
        <f>IF(Inventory_List_Table3411151091113171814161920[[#This Row],[Q]]&lt;0.1, " ",Inventory_List_Table3411151091113171814161920[[#This Row],[D CM ]]/2.54)</f>
        <v xml:space="preserve"> </v>
      </c>
      <c r="R4" s="30" t="str">
        <f>IF(Inventory_List_Table3411151091113171814161920[[#This Row],[Q]]&lt;0.1, " ",Inventory_List_Table3411151091113171814161920[[#This Row],[PRICE]]/$L$1)</f>
        <v xml:space="preserve"> </v>
      </c>
      <c r="S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" s="30" t="str">
        <f>IF(Inventory_List_Table3411151091113171814161920[[#This Row],[Q]]&lt;0.1, " ",Inventory_List_Table3411151091113171814161920[[#This Row],[AQ RND USD]]*1.4)</f>
        <v xml:space="preserve"> </v>
      </c>
      <c r="U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" s="30" t="str">
        <f>IF(Inventory_List_Table3411151091113171814161920[[#This Row],[Q]]&lt;0.1, " ",Inventory_List_Table3411151091113171814161920[[#This Row],[LND RND USD]]*12)</f>
        <v xml:space="preserve"> </v>
      </c>
      <c r="W4" s="30" t="str">
        <f>IF(Inventory_List_Table3411151091113171814161920[[#This Row],[Q]]&lt;0.1, " ",Inventory_List_Table3411151091113171814161920[[#This Row],[AQ USD]])</f>
        <v xml:space="preserve"> </v>
      </c>
      <c r="X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" s="30" t="str">
        <f>IF(Inventory_List_Table3411151091113171814161920[[#This Row],[Q]]&lt;0.1, " ",Inventory_List_Table3411151091113171814161920[[#This Row],[PRICE]]/Z4*10000)</f>
        <v xml:space="preserve"> </v>
      </c>
      <c r="AB4" s="430"/>
      <c r="AC4" s="1"/>
      <c r="AD4" s="1"/>
    </row>
    <row r="5" spans="1:30" ht="24" customHeight="1" x14ac:dyDescent="0.3">
      <c r="A5" s="431">
        <v>3</v>
      </c>
      <c r="B5" s="1"/>
      <c r="C5" s="425"/>
      <c r="D5" s="425"/>
      <c r="E5" s="425"/>
      <c r="F5" s="38" t="str">
        <f>IF(Inventory_List_Table3411151091113171814161920[[#This Row],[Q]]&lt;0.1, " ",#REF!&amp;$D$1&amp;#REF!&amp;Inventory_List_Table3411151091113171814161920[[#This Row],[NOTES]])</f>
        <v xml:space="preserve"> </v>
      </c>
      <c r="G5" s="427"/>
      <c r="H5" s="427"/>
      <c r="I5" s="427"/>
      <c r="J5" s="427"/>
      <c r="K5" s="427"/>
      <c r="L5" s="429"/>
      <c r="M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" s="35" t="str">
        <f>IF(Inventory_List_Table3411151091113171814161920[[#This Row],[Q]]&lt;0.1, " ", Inventory_List_Table3411151091113171814161920[[#This Row],[KG]]*2.20462)</f>
        <v xml:space="preserve"> </v>
      </c>
      <c r="O5" s="35" t="str">
        <f>IF(Inventory_List_Table3411151091113171814161920[[#This Row],[Q]]&lt;0.1, " ",Inventory_List_Table3411151091113171814161920[[#This Row],[H CM]]/2.54)</f>
        <v xml:space="preserve"> </v>
      </c>
      <c r="P5" s="35" t="str">
        <f>IF(Inventory_List_Table3411151091113171814161920[[#This Row],[Q]]&lt;0.1, " ",Inventory_List_Table3411151091113171814161920[[#This Row],[W CM]]/2.54)</f>
        <v xml:space="preserve"> </v>
      </c>
      <c r="Q5" s="35" t="str">
        <f>IF(Inventory_List_Table3411151091113171814161920[[#This Row],[Q]]&lt;0.1, " ",Inventory_List_Table3411151091113171814161920[[#This Row],[D CM ]]/2.54)</f>
        <v xml:space="preserve"> </v>
      </c>
      <c r="R5" s="30" t="str">
        <f>IF(Inventory_List_Table3411151091113171814161920[[#This Row],[Q]]&lt;0.1, " ",Inventory_List_Table3411151091113171814161920[[#This Row],[PRICE]]/$L$1)</f>
        <v xml:space="preserve"> </v>
      </c>
      <c r="S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" s="30" t="str">
        <f>IF(Inventory_List_Table3411151091113171814161920[[#This Row],[Q]]&lt;0.1, " ",Inventory_List_Table3411151091113171814161920[[#This Row],[AQ RND USD]]*1.4)</f>
        <v xml:space="preserve"> </v>
      </c>
      <c r="U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" s="30" t="str">
        <f>IF(Inventory_List_Table3411151091113171814161920[[#This Row],[Q]]&lt;0.1, " ",Inventory_List_Table3411151091113171814161920[[#This Row],[LND RND USD]]*12)</f>
        <v xml:space="preserve"> </v>
      </c>
      <c r="W5" s="30" t="str">
        <f>IF(Inventory_List_Table3411151091113171814161920[[#This Row],[Q]]&lt;0.1, " ",Inventory_List_Table3411151091113171814161920[[#This Row],[AQ USD]])</f>
        <v xml:space="preserve"> </v>
      </c>
      <c r="X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" s="30" t="str">
        <f>IF(Inventory_List_Table3411151091113171814161920[[#This Row],[Q]]&lt;0.1, " ",Inventory_List_Table3411151091113171814161920[[#This Row],[PRICE]]/Z5*10000)</f>
        <v xml:space="preserve"> </v>
      </c>
      <c r="AB5" s="430"/>
      <c r="AC5" s="1"/>
      <c r="AD5" s="1"/>
    </row>
    <row r="6" spans="1:30" ht="24" customHeight="1" x14ac:dyDescent="0.3">
      <c r="A6" s="431">
        <v>4</v>
      </c>
      <c r="B6" s="1"/>
      <c r="C6" s="425"/>
      <c r="D6" s="425"/>
      <c r="E6" s="425"/>
      <c r="F6" s="38" t="str">
        <f>IF(Inventory_List_Table3411151091113171814161920[[#This Row],[Q]]&lt;0.1, " ",#REF!&amp;$D$1&amp;#REF!&amp;Inventory_List_Table3411151091113171814161920[[#This Row],[NOTES]])</f>
        <v xml:space="preserve"> </v>
      </c>
      <c r="G6" s="427"/>
      <c r="H6" s="427"/>
      <c r="I6" s="427"/>
      <c r="J6" s="427"/>
      <c r="K6" s="427"/>
      <c r="L6" s="429"/>
      <c r="M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" s="35" t="str">
        <f>IF(Inventory_List_Table3411151091113171814161920[[#This Row],[Q]]&lt;0.1, " ", Inventory_List_Table3411151091113171814161920[[#This Row],[KG]]*2.20462)</f>
        <v xml:space="preserve"> </v>
      </c>
      <c r="O6" s="35" t="str">
        <f>IF(Inventory_List_Table3411151091113171814161920[[#This Row],[Q]]&lt;0.1, " ",Inventory_List_Table3411151091113171814161920[[#This Row],[H CM]]/2.54)</f>
        <v xml:space="preserve"> </v>
      </c>
      <c r="P6" s="35" t="str">
        <f>IF(Inventory_List_Table3411151091113171814161920[[#This Row],[Q]]&lt;0.1, " ",Inventory_List_Table3411151091113171814161920[[#This Row],[W CM]]/2.54)</f>
        <v xml:space="preserve"> </v>
      </c>
      <c r="Q6" s="35" t="str">
        <f>IF(Inventory_List_Table3411151091113171814161920[[#This Row],[Q]]&lt;0.1, " ",Inventory_List_Table3411151091113171814161920[[#This Row],[D CM ]]/2.54)</f>
        <v xml:space="preserve"> </v>
      </c>
      <c r="R6" s="30" t="str">
        <f>IF(Inventory_List_Table3411151091113171814161920[[#This Row],[Q]]&lt;0.1, " ",Inventory_List_Table3411151091113171814161920[[#This Row],[PRICE]]/$L$1)</f>
        <v xml:space="preserve"> </v>
      </c>
      <c r="S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" s="30" t="str">
        <f>IF(Inventory_List_Table3411151091113171814161920[[#This Row],[Q]]&lt;0.1, " ",Inventory_List_Table3411151091113171814161920[[#This Row],[AQ RND USD]]*1.4)</f>
        <v xml:space="preserve"> </v>
      </c>
      <c r="U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" s="30" t="str">
        <f>IF(Inventory_List_Table3411151091113171814161920[[#This Row],[Q]]&lt;0.1, " ",Inventory_List_Table3411151091113171814161920[[#This Row],[LND RND USD]]*12)</f>
        <v xml:space="preserve"> </v>
      </c>
      <c r="W6" s="30" t="str">
        <f>IF(Inventory_List_Table3411151091113171814161920[[#This Row],[Q]]&lt;0.1, " ",Inventory_List_Table3411151091113171814161920[[#This Row],[AQ USD]])</f>
        <v xml:space="preserve"> </v>
      </c>
      <c r="X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" s="30" t="str">
        <f>IF(Inventory_List_Table3411151091113171814161920[[#This Row],[Q]]&lt;0.1, " ",Inventory_List_Table3411151091113171814161920[[#This Row],[PRICE]]/Z6*10000)</f>
        <v xml:space="preserve"> </v>
      </c>
      <c r="AB6" s="430"/>
      <c r="AC6" s="1"/>
      <c r="AD6" s="1"/>
    </row>
    <row r="7" spans="1:30" ht="24" customHeight="1" x14ac:dyDescent="0.3">
      <c r="A7" s="431">
        <v>5</v>
      </c>
      <c r="B7" s="1"/>
      <c r="C7" s="425"/>
      <c r="D7" s="425"/>
      <c r="E7" s="425"/>
      <c r="F7" s="38" t="str">
        <f>IF(Inventory_List_Table3411151091113171814161920[[#This Row],[Q]]&lt;0.1, " ",#REF!&amp;$D$1&amp;#REF!&amp;Inventory_List_Table3411151091113171814161920[[#This Row],[NOTES]])</f>
        <v xml:space="preserve"> </v>
      </c>
      <c r="G7" s="427"/>
      <c r="H7" s="427"/>
      <c r="I7" s="427"/>
      <c r="J7" s="427"/>
      <c r="K7" s="427"/>
      <c r="L7" s="429"/>
      <c r="M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" s="35" t="str">
        <f>IF(Inventory_List_Table3411151091113171814161920[[#This Row],[Q]]&lt;0.1, " ", Inventory_List_Table3411151091113171814161920[[#This Row],[KG]]*2.20462)</f>
        <v xml:space="preserve"> </v>
      </c>
      <c r="O7" s="35" t="str">
        <f>IF(Inventory_List_Table3411151091113171814161920[[#This Row],[Q]]&lt;0.1, " ",Inventory_List_Table3411151091113171814161920[[#This Row],[H CM]]/2.54)</f>
        <v xml:space="preserve"> </v>
      </c>
      <c r="P7" s="35" t="str">
        <f>IF(Inventory_List_Table3411151091113171814161920[[#This Row],[Q]]&lt;0.1, " ",Inventory_List_Table3411151091113171814161920[[#This Row],[W CM]]/2.54)</f>
        <v xml:space="preserve"> </v>
      </c>
      <c r="Q7" s="35" t="str">
        <f>IF(Inventory_List_Table3411151091113171814161920[[#This Row],[Q]]&lt;0.1, " ",Inventory_List_Table3411151091113171814161920[[#This Row],[D CM ]]/2.54)</f>
        <v xml:space="preserve"> </v>
      </c>
      <c r="R7" s="30" t="str">
        <f>IF(Inventory_List_Table3411151091113171814161920[[#This Row],[Q]]&lt;0.1, " ",Inventory_List_Table3411151091113171814161920[[#This Row],[PRICE]]/$L$1)</f>
        <v xml:space="preserve"> </v>
      </c>
      <c r="S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" s="30" t="str">
        <f>IF(Inventory_List_Table3411151091113171814161920[[#This Row],[Q]]&lt;0.1, " ",Inventory_List_Table3411151091113171814161920[[#This Row],[AQ RND USD]]*1.4)</f>
        <v xml:space="preserve"> </v>
      </c>
      <c r="U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" s="30" t="str">
        <f>IF(Inventory_List_Table3411151091113171814161920[[#This Row],[Q]]&lt;0.1, " ",Inventory_List_Table3411151091113171814161920[[#This Row],[LND RND USD]]*12)</f>
        <v xml:space="preserve"> </v>
      </c>
      <c r="W7" s="30" t="str">
        <f>IF(Inventory_List_Table3411151091113171814161920[[#This Row],[Q]]&lt;0.1, " ",Inventory_List_Table3411151091113171814161920[[#This Row],[AQ USD]])</f>
        <v xml:space="preserve"> </v>
      </c>
      <c r="X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" s="30" t="str">
        <f>IF(Inventory_List_Table3411151091113171814161920[[#This Row],[Q]]&lt;0.1, " ",Inventory_List_Table3411151091113171814161920[[#This Row],[PRICE]]/Z7*10000)</f>
        <v xml:space="preserve"> </v>
      </c>
      <c r="AB7" s="430"/>
      <c r="AC7" s="1"/>
      <c r="AD7" s="1"/>
    </row>
    <row r="8" spans="1:30" ht="24" customHeight="1" x14ac:dyDescent="0.3">
      <c r="A8" s="431">
        <v>6</v>
      </c>
      <c r="B8" s="1"/>
      <c r="C8" s="425"/>
      <c r="D8" s="425"/>
      <c r="E8" s="425"/>
      <c r="F8" s="38" t="str">
        <f>IF(Inventory_List_Table3411151091113171814161920[[#This Row],[Q]]&lt;0.1, " ",#REF!&amp;$D$1&amp;#REF!&amp;Inventory_List_Table3411151091113171814161920[[#This Row],[NOTES]])</f>
        <v xml:space="preserve"> </v>
      </c>
      <c r="G8" s="427"/>
      <c r="H8" s="427"/>
      <c r="I8" s="427"/>
      <c r="J8" s="427"/>
      <c r="K8" s="427"/>
      <c r="L8" s="429"/>
      <c r="M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" s="35" t="str">
        <f>IF(Inventory_List_Table3411151091113171814161920[[#This Row],[Q]]&lt;0.1, " ", Inventory_List_Table3411151091113171814161920[[#This Row],[KG]]*2.20462)</f>
        <v xml:space="preserve"> </v>
      </c>
      <c r="O8" s="35" t="str">
        <f>IF(Inventory_List_Table3411151091113171814161920[[#This Row],[Q]]&lt;0.1, " ",Inventory_List_Table3411151091113171814161920[[#This Row],[H CM]]/2.54)</f>
        <v xml:space="preserve"> </v>
      </c>
      <c r="P8" s="35" t="str">
        <f>IF(Inventory_List_Table3411151091113171814161920[[#This Row],[Q]]&lt;0.1, " ",Inventory_List_Table3411151091113171814161920[[#This Row],[W CM]]/2.54)</f>
        <v xml:space="preserve"> </v>
      </c>
      <c r="Q8" s="35" t="str">
        <f>IF(Inventory_List_Table3411151091113171814161920[[#This Row],[Q]]&lt;0.1, " ",Inventory_List_Table3411151091113171814161920[[#This Row],[D CM ]]/2.54)</f>
        <v xml:space="preserve"> </v>
      </c>
      <c r="R8" s="30" t="str">
        <f>IF(Inventory_List_Table3411151091113171814161920[[#This Row],[Q]]&lt;0.1, " ",Inventory_List_Table3411151091113171814161920[[#This Row],[PRICE]]/$L$1)</f>
        <v xml:space="preserve"> </v>
      </c>
      <c r="S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" s="30" t="str">
        <f>IF(Inventory_List_Table3411151091113171814161920[[#This Row],[Q]]&lt;0.1, " ",Inventory_List_Table3411151091113171814161920[[#This Row],[AQ RND USD]]*1.4)</f>
        <v xml:space="preserve"> </v>
      </c>
      <c r="U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" s="30" t="str">
        <f>IF(Inventory_List_Table3411151091113171814161920[[#This Row],[Q]]&lt;0.1, " ",Inventory_List_Table3411151091113171814161920[[#This Row],[LND RND USD]]*12)</f>
        <v xml:space="preserve"> </v>
      </c>
      <c r="W8" s="30" t="str">
        <f>IF(Inventory_List_Table3411151091113171814161920[[#This Row],[Q]]&lt;0.1, " ",Inventory_List_Table3411151091113171814161920[[#This Row],[AQ USD]])</f>
        <v xml:space="preserve"> </v>
      </c>
      <c r="X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" s="30" t="str">
        <f>IF(Inventory_List_Table3411151091113171814161920[[#This Row],[Q]]&lt;0.1, " ",Inventory_List_Table3411151091113171814161920[[#This Row],[PRICE]]/Z8*10000)</f>
        <v xml:space="preserve"> </v>
      </c>
      <c r="AB8" s="430"/>
      <c r="AC8" s="1"/>
      <c r="AD8" s="1"/>
    </row>
    <row r="9" spans="1:30" ht="24" customHeight="1" x14ac:dyDescent="0.3">
      <c r="A9" s="431">
        <v>7</v>
      </c>
      <c r="B9" s="1"/>
      <c r="C9" s="425"/>
      <c r="D9" s="425"/>
      <c r="E9" s="425"/>
      <c r="F9" s="38" t="str">
        <f>IF(Inventory_List_Table3411151091113171814161920[[#This Row],[Q]]&lt;0.1, " ",#REF!&amp;$D$1&amp;#REF!&amp;Inventory_List_Table3411151091113171814161920[[#This Row],[NOTES]])</f>
        <v xml:space="preserve"> </v>
      </c>
      <c r="G9" s="427"/>
      <c r="H9" s="427"/>
      <c r="I9" s="427"/>
      <c r="J9" s="427"/>
      <c r="K9" s="427"/>
      <c r="L9" s="429"/>
      <c r="M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" s="35" t="str">
        <f>IF(Inventory_List_Table3411151091113171814161920[[#This Row],[Q]]&lt;0.1, " ", Inventory_List_Table3411151091113171814161920[[#This Row],[KG]]*2.20462)</f>
        <v xml:space="preserve"> </v>
      </c>
      <c r="O9" s="35" t="str">
        <f>IF(Inventory_List_Table3411151091113171814161920[[#This Row],[Q]]&lt;0.1, " ",Inventory_List_Table3411151091113171814161920[[#This Row],[H CM]]/2.54)</f>
        <v xml:space="preserve"> </v>
      </c>
      <c r="P9" s="35" t="str">
        <f>IF(Inventory_List_Table3411151091113171814161920[[#This Row],[Q]]&lt;0.1, " ",Inventory_List_Table3411151091113171814161920[[#This Row],[W CM]]/2.54)</f>
        <v xml:space="preserve"> </v>
      </c>
      <c r="Q9" s="35" t="str">
        <f>IF(Inventory_List_Table3411151091113171814161920[[#This Row],[Q]]&lt;0.1, " ",Inventory_List_Table3411151091113171814161920[[#This Row],[D CM ]]/2.54)</f>
        <v xml:space="preserve"> </v>
      </c>
      <c r="R9" s="30" t="str">
        <f>IF(Inventory_List_Table3411151091113171814161920[[#This Row],[Q]]&lt;0.1, " ",Inventory_List_Table3411151091113171814161920[[#This Row],[PRICE]]/$L$1)</f>
        <v xml:space="preserve"> </v>
      </c>
      <c r="S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" s="30" t="str">
        <f>IF(Inventory_List_Table3411151091113171814161920[[#This Row],[Q]]&lt;0.1, " ",Inventory_List_Table3411151091113171814161920[[#This Row],[AQ RND USD]]*1.4)</f>
        <v xml:space="preserve"> </v>
      </c>
      <c r="U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" s="30" t="str">
        <f>IF(Inventory_List_Table3411151091113171814161920[[#This Row],[Q]]&lt;0.1, " ",Inventory_List_Table3411151091113171814161920[[#This Row],[LND RND USD]]*12)</f>
        <v xml:space="preserve"> </v>
      </c>
      <c r="W9" s="30" t="str">
        <f>IF(Inventory_List_Table3411151091113171814161920[[#This Row],[Q]]&lt;0.1, " ",Inventory_List_Table3411151091113171814161920[[#This Row],[AQ USD]])</f>
        <v xml:space="preserve"> </v>
      </c>
      <c r="X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" s="30" t="str">
        <f>IF(Inventory_List_Table3411151091113171814161920[[#This Row],[Q]]&lt;0.1, " ",Inventory_List_Table3411151091113171814161920[[#This Row],[PRICE]]/Z9*10000)</f>
        <v xml:space="preserve"> </v>
      </c>
      <c r="AB9" s="430"/>
      <c r="AC9" s="1"/>
      <c r="AD9" s="1"/>
    </row>
    <row r="10" spans="1:30" ht="24" customHeight="1" x14ac:dyDescent="0.3">
      <c r="A10" s="431">
        <v>8</v>
      </c>
      <c r="B10" s="1"/>
      <c r="C10" s="425"/>
      <c r="D10" s="425"/>
      <c r="E10" s="425"/>
      <c r="F10" s="38" t="str">
        <f>IF(Inventory_List_Table3411151091113171814161920[[#This Row],[Q]]&lt;0.1, " ",#REF!&amp;$D$1&amp;#REF!&amp;Inventory_List_Table3411151091113171814161920[[#This Row],[NOTES]])</f>
        <v xml:space="preserve"> </v>
      </c>
      <c r="G10" s="427"/>
      <c r="H10" s="427"/>
      <c r="I10" s="427"/>
      <c r="J10" s="427"/>
      <c r="K10" s="427"/>
      <c r="L10" s="429"/>
      <c r="M1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0" s="35" t="str">
        <f>IF(Inventory_List_Table3411151091113171814161920[[#This Row],[Q]]&lt;0.1, " ", Inventory_List_Table3411151091113171814161920[[#This Row],[KG]]*2.20462)</f>
        <v xml:space="preserve"> </v>
      </c>
      <c r="O10" s="35" t="str">
        <f>IF(Inventory_List_Table3411151091113171814161920[[#This Row],[Q]]&lt;0.1, " ",Inventory_List_Table3411151091113171814161920[[#This Row],[H CM]]/2.54)</f>
        <v xml:space="preserve"> </v>
      </c>
      <c r="P10" s="35" t="str">
        <f>IF(Inventory_List_Table3411151091113171814161920[[#This Row],[Q]]&lt;0.1, " ",Inventory_List_Table3411151091113171814161920[[#This Row],[W CM]]/2.54)</f>
        <v xml:space="preserve"> </v>
      </c>
      <c r="Q10" s="35" t="str">
        <f>IF(Inventory_List_Table3411151091113171814161920[[#This Row],[Q]]&lt;0.1, " ",Inventory_List_Table3411151091113171814161920[[#This Row],[D CM ]]/2.54)</f>
        <v xml:space="preserve"> </v>
      </c>
      <c r="R10" s="30" t="str">
        <f>IF(Inventory_List_Table3411151091113171814161920[[#This Row],[Q]]&lt;0.1, " ",Inventory_List_Table3411151091113171814161920[[#This Row],[PRICE]]/$L$1)</f>
        <v xml:space="preserve"> </v>
      </c>
      <c r="S1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0" s="30" t="str">
        <f>IF(Inventory_List_Table3411151091113171814161920[[#This Row],[Q]]&lt;0.1, " ",Inventory_List_Table3411151091113171814161920[[#This Row],[AQ RND USD]]*1.4)</f>
        <v xml:space="preserve"> </v>
      </c>
      <c r="U1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0" s="30" t="str">
        <f>IF(Inventory_List_Table3411151091113171814161920[[#This Row],[Q]]&lt;0.1, " ",Inventory_List_Table3411151091113171814161920[[#This Row],[LND RND USD]]*12)</f>
        <v xml:space="preserve"> </v>
      </c>
      <c r="W10" s="30" t="str">
        <f>IF(Inventory_List_Table3411151091113171814161920[[#This Row],[Q]]&lt;0.1, " ",Inventory_List_Table3411151091113171814161920[[#This Row],[AQ USD]])</f>
        <v xml:space="preserve"> </v>
      </c>
      <c r="X1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0" s="30" t="str">
        <f>IF(Inventory_List_Table3411151091113171814161920[[#This Row],[Q]]&lt;0.1, " ",Inventory_List_Table3411151091113171814161920[[#This Row],[PRICE]]/Z10*10000)</f>
        <v xml:space="preserve"> </v>
      </c>
      <c r="AB10" s="430"/>
      <c r="AC10" s="1"/>
      <c r="AD10" s="1"/>
    </row>
    <row r="11" spans="1:30" ht="24" customHeight="1" x14ac:dyDescent="0.3">
      <c r="A11" s="431">
        <v>9</v>
      </c>
      <c r="B11" s="1"/>
      <c r="C11" s="425"/>
      <c r="D11" s="425"/>
      <c r="E11" s="425"/>
      <c r="F11" s="38" t="str">
        <f>IF(Inventory_List_Table3411151091113171814161920[[#This Row],[Q]]&lt;0.1, " ",#REF!&amp;$D$1&amp;#REF!&amp;Inventory_List_Table3411151091113171814161920[[#This Row],[NOTES]])</f>
        <v xml:space="preserve"> </v>
      </c>
      <c r="G11" s="427"/>
      <c r="H11" s="427"/>
      <c r="I11" s="427"/>
      <c r="J11" s="427"/>
      <c r="K11" s="427"/>
      <c r="L11" s="429"/>
      <c r="M1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1" s="35" t="str">
        <f>IF(Inventory_List_Table3411151091113171814161920[[#This Row],[Q]]&lt;0.1, " ", Inventory_List_Table3411151091113171814161920[[#This Row],[KG]]*2.20462)</f>
        <v xml:space="preserve"> </v>
      </c>
      <c r="O11" s="35" t="str">
        <f>IF(Inventory_List_Table3411151091113171814161920[[#This Row],[Q]]&lt;0.1, " ",Inventory_List_Table3411151091113171814161920[[#This Row],[H CM]]/2.54)</f>
        <v xml:space="preserve"> </v>
      </c>
      <c r="P11" s="35" t="str">
        <f>IF(Inventory_List_Table3411151091113171814161920[[#This Row],[Q]]&lt;0.1, " ",Inventory_List_Table3411151091113171814161920[[#This Row],[W CM]]/2.54)</f>
        <v xml:space="preserve"> </v>
      </c>
      <c r="Q11" s="35" t="str">
        <f>IF(Inventory_List_Table3411151091113171814161920[[#This Row],[Q]]&lt;0.1, " ",Inventory_List_Table3411151091113171814161920[[#This Row],[D CM ]]/2.54)</f>
        <v xml:space="preserve"> </v>
      </c>
      <c r="R11" s="30" t="str">
        <f>IF(Inventory_List_Table3411151091113171814161920[[#This Row],[Q]]&lt;0.1, " ",Inventory_List_Table3411151091113171814161920[[#This Row],[PRICE]]/$L$1)</f>
        <v xml:space="preserve"> </v>
      </c>
      <c r="S1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1" s="30" t="str">
        <f>IF(Inventory_List_Table3411151091113171814161920[[#This Row],[Q]]&lt;0.1, " ",Inventory_List_Table3411151091113171814161920[[#This Row],[AQ RND USD]]*1.4)</f>
        <v xml:space="preserve"> </v>
      </c>
      <c r="U1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1" s="30" t="str">
        <f>IF(Inventory_List_Table3411151091113171814161920[[#This Row],[Q]]&lt;0.1, " ",Inventory_List_Table3411151091113171814161920[[#This Row],[LND RND USD]]*12)</f>
        <v xml:space="preserve"> </v>
      </c>
      <c r="W11" s="30" t="str">
        <f>IF(Inventory_List_Table3411151091113171814161920[[#This Row],[Q]]&lt;0.1, " ",Inventory_List_Table3411151091113171814161920[[#This Row],[AQ USD]])</f>
        <v xml:space="preserve"> </v>
      </c>
      <c r="X1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1" s="30" t="str">
        <f>IF(Inventory_List_Table3411151091113171814161920[[#This Row],[Q]]&lt;0.1, " ",Inventory_List_Table3411151091113171814161920[[#This Row],[PRICE]]/Z11*10000)</f>
        <v xml:space="preserve"> </v>
      </c>
      <c r="AB11" s="430"/>
      <c r="AC11" s="1"/>
      <c r="AD11" s="1"/>
    </row>
    <row r="12" spans="1:30" ht="24" customHeight="1" x14ac:dyDescent="0.3">
      <c r="A12" s="431">
        <v>10</v>
      </c>
      <c r="B12" s="1"/>
      <c r="C12" s="425"/>
      <c r="D12" s="425"/>
      <c r="E12" s="425"/>
      <c r="F12" s="38" t="str">
        <f>IF(Inventory_List_Table3411151091113171814161920[[#This Row],[Q]]&lt;0.1, " ",#REF!&amp;$D$1&amp;#REF!&amp;Inventory_List_Table3411151091113171814161920[[#This Row],[NOTES]])</f>
        <v xml:space="preserve"> </v>
      </c>
      <c r="G12" s="427"/>
      <c r="H12" s="427"/>
      <c r="I12" s="427"/>
      <c r="J12" s="427"/>
      <c r="K12" s="427"/>
      <c r="L12" s="429"/>
      <c r="M1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2" s="35" t="str">
        <f>IF(Inventory_List_Table3411151091113171814161920[[#This Row],[Q]]&lt;0.1, " ", Inventory_List_Table3411151091113171814161920[[#This Row],[KG]]*2.20462)</f>
        <v xml:space="preserve"> </v>
      </c>
      <c r="O12" s="35" t="str">
        <f>IF(Inventory_List_Table3411151091113171814161920[[#This Row],[Q]]&lt;0.1, " ",Inventory_List_Table3411151091113171814161920[[#This Row],[H CM]]/2.54)</f>
        <v xml:space="preserve"> </v>
      </c>
      <c r="P12" s="35" t="str">
        <f>IF(Inventory_List_Table3411151091113171814161920[[#This Row],[Q]]&lt;0.1, " ",Inventory_List_Table3411151091113171814161920[[#This Row],[W CM]]/2.54)</f>
        <v xml:space="preserve"> </v>
      </c>
      <c r="Q12" s="35" t="str">
        <f>IF(Inventory_List_Table3411151091113171814161920[[#This Row],[Q]]&lt;0.1, " ",Inventory_List_Table3411151091113171814161920[[#This Row],[D CM ]]/2.54)</f>
        <v xml:space="preserve"> </v>
      </c>
      <c r="R12" s="30" t="str">
        <f>IF(Inventory_List_Table3411151091113171814161920[[#This Row],[Q]]&lt;0.1, " ",Inventory_List_Table3411151091113171814161920[[#This Row],[PRICE]]/$L$1)</f>
        <v xml:space="preserve"> </v>
      </c>
      <c r="S1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2" s="30" t="str">
        <f>IF(Inventory_List_Table3411151091113171814161920[[#This Row],[Q]]&lt;0.1, " ",Inventory_List_Table3411151091113171814161920[[#This Row],[AQ RND USD]]*1.4)</f>
        <v xml:space="preserve"> </v>
      </c>
      <c r="U1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2" s="30" t="str">
        <f>IF(Inventory_List_Table3411151091113171814161920[[#This Row],[Q]]&lt;0.1, " ",Inventory_List_Table3411151091113171814161920[[#This Row],[LND RND USD]]*12)</f>
        <v xml:space="preserve"> </v>
      </c>
      <c r="W12" s="30" t="str">
        <f>IF(Inventory_List_Table3411151091113171814161920[[#This Row],[Q]]&lt;0.1, " ",Inventory_List_Table3411151091113171814161920[[#This Row],[AQ USD]])</f>
        <v xml:space="preserve"> </v>
      </c>
      <c r="X1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2" s="30" t="str">
        <f>IF(Inventory_List_Table3411151091113171814161920[[#This Row],[Q]]&lt;0.1, " ",Inventory_List_Table3411151091113171814161920[[#This Row],[PRICE]]/Z12*10000)</f>
        <v xml:space="preserve"> </v>
      </c>
      <c r="AB12" s="430"/>
      <c r="AC12" s="1"/>
      <c r="AD12" s="1"/>
    </row>
    <row r="13" spans="1:30" ht="24" customHeight="1" x14ac:dyDescent="0.3">
      <c r="A13" s="431">
        <v>11</v>
      </c>
      <c r="B13" s="1"/>
      <c r="C13" s="425"/>
      <c r="D13" s="425"/>
      <c r="E13" s="425"/>
      <c r="F13" s="38" t="str">
        <f>IF(Inventory_List_Table3411151091113171814161920[[#This Row],[Q]]&lt;0.1, " ",#REF!&amp;$D$1&amp;#REF!&amp;Inventory_List_Table3411151091113171814161920[[#This Row],[NOTES]])</f>
        <v xml:space="preserve"> </v>
      </c>
      <c r="G13" s="427"/>
      <c r="H13" s="427"/>
      <c r="I13" s="427"/>
      <c r="J13" s="427"/>
      <c r="K13" s="427"/>
      <c r="L13" s="429"/>
      <c r="M1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3" s="35" t="str">
        <f>IF(Inventory_List_Table3411151091113171814161920[[#This Row],[Q]]&lt;0.1, " ", Inventory_List_Table3411151091113171814161920[[#This Row],[KG]]*2.20462)</f>
        <v xml:space="preserve"> </v>
      </c>
      <c r="O13" s="35" t="str">
        <f>IF(Inventory_List_Table3411151091113171814161920[[#This Row],[Q]]&lt;0.1, " ",Inventory_List_Table3411151091113171814161920[[#This Row],[H CM]]/2.54)</f>
        <v xml:space="preserve"> </v>
      </c>
      <c r="P13" s="35" t="str">
        <f>IF(Inventory_List_Table3411151091113171814161920[[#This Row],[Q]]&lt;0.1, " ",Inventory_List_Table3411151091113171814161920[[#This Row],[W CM]]/2.54)</f>
        <v xml:space="preserve"> </v>
      </c>
      <c r="Q13" s="35" t="str">
        <f>IF(Inventory_List_Table3411151091113171814161920[[#This Row],[Q]]&lt;0.1, " ",Inventory_List_Table3411151091113171814161920[[#This Row],[D CM ]]/2.54)</f>
        <v xml:space="preserve"> </v>
      </c>
      <c r="R13" s="30" t="str">
        <f>IF(Inventory_List_Table3411151091113171814161920[[#This Row],[Q]]&lt;0.1, " ",Inventory_List_Table3411151091113171814161920[[#This Row],[PRICE]]/$L$1)</f>
        <v xml:space="preserve"> </v>
      </c>
      <c r="S1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3" s="30" t="str">
        <f>IF(Inventory_List_Table3411151091113171814161920[[#This Row],[Q]]&lt;0.1, " ",Inventory_List_Table3411151091113171814161920[[#This Row],[AQ RND USD]]*1.4)</f>
        <v xml:space="preserve"> </v>
      </c>
      <c r="U1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3" s="30" t="str">
        <f>IF(Inventory_List_Table3411151091113171814161920[[#This Row],[Q]]&lt;0.1, " ",Inventory_List_Table3411151091113171814161920[[#This Row],[LND RND USD]]*12)</f>
        <v xml:space="preserve"> </v>
      </c>
      <c r="W13" s="30" t="str">
        <f>IF(Inventory_List_Table3411151091113171814161920[[#This Row],[Q]]&lt;0.1, " ",Inventory_List_Table3411151091113171814161920[[#This Row],[AQ USD]])</f>
        <v xml:space="preserve"> </v>
      </c>
      <c r="X1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3" s="30" t="str">
        <f>IF(Inventory_List_Table3411151091113171814161920[[#This Row],[Q]]&lt;0.1, " ",Inventory_List_Table3411151091113171814161920[[#This Row],[PRICE]]/Z13*10000)</f>
        <v xml:space="preserve"> </v>
      </c>
      <c r="AB13" s="430"/>
      <c r="AC13" s="1"/>
      <c r="AD13" s="1"/>
    </row>
    <row r="14" spans="1:30" ht="24" customHeight="1" x14ac:dyDescent="0.3">
      <c r="A14" s="431">
        <v>12</v>
      </c>
      <c r="B14" s="1"/>
      <c r="C14" s="425"/>
      <c r="D14" s="425"/>
      <c r="E14" s="425"/>
      <c r="F14" s="38" t="str">
        <f>IF(Inventory_List_Table3411151091113171814161920[[#This Row],[Q]]&lt;0.1, " ",#REF!&amp;$D$1&amp;#REF!&amp;Inventory_List_Table3411151091113171814161920[[#This Row],[NOTES]])</f>
        <v xml:space="preserve"> </v>
      </c>
      <c r="G14" s="427"/>
      <c r="H14" s="427"/>
      <c r="I14" s="427"/>
      <c r="J14" s="427"/>
      <c r="K14" s="427"/>
      <c r="L14" s="429"/>
      <c r="M1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4" s="35" t="str">
        <f>IF(Inventory_List_Table3411151091113171814161920[[#This Row],[Q]]&lt;0.1, " ", Inventory_List_Table3411151091113171814161920[[#This Row],[KG]]*2.20462)</f>
        <v xml:space="preserve"> </v>
      </c>
      <c r="O14" s="35" t="str">
        <f>IF(Inventory_List_Table3411151091113171814161920[[#This Row],[Q]]&lt;0.1, " ",Inventory_List_Table3411151091113171814161920[[#This Row],[H CM]]/2.54)</f>
        <v xml:space="preserve"> </v>
      </c>
      <c r="P14" s="35" t="str">
        <f>IF(Inventory_List_Table3411151091113171814161920[[#This Row],[Q]]&lt;0.1, " ",Inventory_List_Table3411151091113171814161920[[#This Row],[W CM]]/2.54)</f>
        <v xml:space="preserve"> </v>
      </c>
      <c r="Q14" s="35" t="str">
        <f>IF(Inventory_List_Table3411151091113171814161920[[#This Row],[Q]]&lt;0.1, " ",Inventory_List_Table3411151091113171814161920[[#This Row],[D CM ]]/2.54)</f>
        <v xml:space="preserve"> </v>
      </c>
      <c r="R14" s="30" t="str">
        <f>IF(Inventory_List_Table3411151091113171814161920[[#This Row],[Q]]&lt;0.1, " ",Inventory_List_Table3411151091113171814161920[[#This Row],[PRICE]]/$L$1)</f>
        <v xml:space="preserve"> </v>
      </c>
      <c r="S1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4" s="30" t="str">
        <f>IF(Inventory_List_Table3411151091113171814161920[[#This Row],[Q]]&lt;0.1, " ",Inventory_List_Table3411151091113171814161920[[#This Row],[AQ RND USD]]*1.4)</f>
        <v xml:space="preserve"> </v>
      </c>
      <c r="U1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4" s="30" t="str">
        <f>IF(Inventory_List_Table3411151091113171814161920[[#This Row],[Q]]&lt;0.1, " ",Inventory_List_Table3411151091113171814161920[[#This Row],[LND RND USD]]*12)</f>
        <v xml:space="preserve"> </v>
      </c>
      <c r="W14" s="30" t="str">
        <f>IF(Inventory_List_Table3411151091113171814161920[[#This Row],[Q]]&lt;0.1, " ",Inventory_List_Table3411151091113171814161920[[#This Row],[AQ USD]])</f>
        <v xml:space="preserve"> </v>
      </c>
      <c r="X1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4" s="30" t="str">
        <f>IF(Inventory_List_Table3411151091113171814161920[[#This Row],[Q]]&lt;0.1, " ",Inventory_List_Table3411151091113171814161920[[#This Row],[PRICE]]/Z14*10000)</f>
        <v xml:space="preserve"> </v>
      </c>
      <c r="AB14" s="430"/>
      <c r="AC14" s="1"/>
      <c r="AD14" s="1"/>
    </row>
    <row r="15" spans="1:30" ht="24" customHeight="1" x14ac:dyDescent="0.3">
      <c r="A15" s="431">
        <v>13</v>
      </c>
      <c r="B15" s="1"/>
      <c r="C15" s="425"/>
      <c r="D15" s="425"/>
      <c r="E15" s="425"/>
      <c r="F15" s="38" t="str">
        <f>IF(Inventory_List_Table3411151091113171814161920[[#This Row],[Q]]&lt;0.1, " ",#REF!&amp;$D$1&amp;#REF!&amp;Inventory_List_Table3411151091113171814161920[[#This Row],[NOTES]])</f>
        <v xml:space="preserve"> </v>
      </c>
      <c r="G15" s="427"/>
      <c r="H15" s="427"/>
      <c r="I15" s="427"/>
      <c r="J15" s="427"/>
      <c r="K15" s="427"/>
      <c r="L15" s="429"/>
      <c r="M1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5" s="35" t="str">
        <f>IF(Inventory_List_Table3411151091113171814161920[[#This Row],[Q]]&lt;0.1, " ", Inventory_List_Table3411151091113171814161920[[#This Row],[KG]]*2.20462)</f>
        <v xml:space="preserve"> </v>
      </c>
      <c r="O15" s="35" t="str">
        <f>IF(Inventory_List_Table3411151091113171814161920[[#This Row],[Q]]&lt;0.1, " ",Inventory_List_Table3411151091113171814161920[[#This Row],[H CM]]/2.54)</f>
        <v xml:space="preserve"> </v>
      </c>
      <c r="P15" s="35" t="str">
        <f>IF(Inventory_List_Table3411151091113171814161920[[#This Row],[Q]]&lt;0.1, " ",Inventory_List_Table3411151091113171814161920[[#This Row],[W CM]]/2.54)</f>
        <v xml:space="preserve"> </v>
      </c>
      <c r="Q15" s="35" t="str">
        <f>IF(Inventory_List_Table3411151091113171814161920[[#This Row],[Q]]&lt;0.1, " ",Inventory_List_Table3411151091113171814161920[[#This Row],[D CM ]]/2.54)</f>
        <v xml:space="preserve"> </v>
      </c>
      <c r="R15" s="30" t="str">
        <f>IF(Inventory_List_Table3411151091113171814161920[[#This Row],[Q]]&lt;0.1, " ",Inventory_List_Table3411151091113171814161920[[#This Row],[PRICE]]/$L$1)</f>
        <v xml:space="preserve"> </v>
      </c>
      <c r="S1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5" s="30" t="str">
        <f>IF(Inventory_List_Table3411151091113171814161920[[#This Row],[Q]]&lt;0.1, " ",Inventory_List_Table3411151091113171814161920[[#This Row],[AQ RND USD]]*1.4)</f>
        <v xml:space="preserve"> </v>
      </c>
      <c r="U1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5" s="30" t="str">
        <f>IF(Inventory_List_Table3411151091113171814161920[[#This Row],[Q]]&lt;0.1, " ",Inventory_List_Table3411151091113171814161920[[#This Row],[LND RND USD]]*12)</f>
        <v xml:space="preserve"> </v>
      </c>
      <c r="W15" s="30" t="str">
        <f>IF(Inventory_List_Table3411151091113171814161920[[#This Row],[Q]]&lt;0.1, " ",Inventory_List_Table3411151091113171814161920[[#This Row],[AQ USD]])</f>
        <v xml:space="preserve"> </v>
      </c>
      <c r="X1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5" s="30" t="str">
        <f>IF(Inventory_List_Table3411151091113171814161920[[#This Row],[Q]]&lt;0.1, " ",Inventory_List_Table3411151091113171814161920[[#This Row],[PRICE]]/Z15*10000)</f>
        <v xml:space="preserve"> </v>
      </c>
      <c r="AB15" s="430"/>
      <c r="AC15" s="1"/>
      <c r="AD15" s="1"/>
    </row>
    <row r="16" spans="1:30" ht="24" customHeight="1" x14ac:dyDescent="0.3">
      <c r="A16" s="431">
        <v>14</v>
      </c>
      <c r="B16" s="1"/>
      <c r="C16" s="425"/>
      <c r="D16" s="425"/>
      <c r="E16" s="425"/>
      <c r="F16" s="38" t="str">
        <f>IF(Inventory_List_Table3411151091113171814161920[[#This Row],[Q]]&lt;0.1, " ",#REF!&amp;$D$1&amp;#REF!&amp;Inventory_List_Table3411151091113171814161920[[#This Row],[NOTES]])</f>
        <v xml:space="preserve"> </v>
      </c>
      <c r="G16" s="427"/>
      <c r="H16" s="427"/>
      <c r="I16" s="427"/>
      <c r="J16" s="427"/>
      <c r="K16" s="427"/>
      <c r="L16" s="429"/>
      <c r="M1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6" s="35" t="str">
        <f>IF(Inventory_List_Table3411151091113171814161920[[#This Row],[Q]]&lt;0.1, " ", Inventory_List_Table3411151091113171814161920[[#This Row],[KG]]*2.20462)</f>
        <v xml:space="preserve"> </v>
      </c>
      <c r="O16" s="35" t="str">
        <f>IF(Inventory_List_Table3411151091113171814161920[[#This Row],[Q]]&lt;0.1, " ",Inventory_List_Table3411151091113171814161920[[#This Row],[H CM]]/2.54)</f>
        <v xml:space="preserve"> </v>
      </c>
      <c r="P16" s="35" t="str">
        <f>IF(Inventory_List_Table3411151091113171814161920[[#This Row],[Q]]&lt;0.1, " ",Inventory_List_Table3411151091113171814161920[[#This Row],[W CM]]/2.54)</f>
        <v xml:space="preserve"> </v>
      </c>
      <c r="Q16" s="35" t="str">
        <f>IF(Inventory_List_Table3411151091113171814161920[[#This Row],[Q]]&lt;0.1, " ",Inventory_List_Table3411151091113171814161920[[#This Row],[D CM ]]/2.54)</f>
        <v xml:space="preserve"> </v>
      </c>
      <c r="R16" s="30" t="str">
        <f>IF(Inventory_List_Table3411151091113171814161920[[#This Row],[Q]]&lt;0.1, " ",Inventory_List_Table3411151091113171814161920[[#This Row],[PRICE]]/$L$1)</f>
        <v xml:space="preserve"> </v>
      </c>
      <c r="S1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6" s="30" t="str">
        <f>IF(Inventory_List_Table3411151091113171814161920[[#This Row],[Q]]&lt;0.1, " ",Inventory_List_Table3411151091113171814161920[[#This Row],[AQ RND USD]]*1.4)</f>
        <v xml:space="preserve"> </v>
      </c>
      <c r="U1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6" s="30" t="str">
        <f>IF(Inventory_List_Table3411151091113171814161920[[#This Row],[Q]]&lt;0.1, " ",Inventory_List_Table3411151091113171814161920[[#This Row],[LND RND USD]]*12)</f>
        <v xml:space="preserve"> </v>
      </c>
      <c r="W16" s="30" t="str">
        <f>IF(Inventory_List_Table3411151091113171814161920[[#This Row],[Q]]&lt;0.1, " ",Inventory_List_Table3411151091113171814161920[[#This Row],[AQ USD]])</f>
        <v xml:space="preserve"> </v>
      </c>
      <c r="X1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6" s="30" t="str">
        <f>IF(Inventory_List_Table3411151091113171814161920[[#This Row],[Q]]&lt;0.1, " ",Inventory_List_Table3411151091113171814161920[[#This Row],[PRICE]]/Z16*10000)</f>
        <v xml:space="preserve"> </v>
      </c>
      <c r="AB16" s="430"/>
      <c r="AC16" s="1"/>
      <c r="AD16" s="1"/>
    </row>
    <row r="17" spans="1:30" ht="24" customHeight="1" x14ac:dyDescent="0.3">
      <c r="A17" s="431">
        <v>15</v>
      </c>
      <c r="B17" s="1"/>
      <c r="C17" s="425"/>
      <c r="D17" s="425"/>
      <c r="E17" s="425"/>
      <c r="F17" s="38" t="str">
        <f>IF(Inventory_List_Table3411151091113171814161920[[#This Row],[Q]]&lt;0.1, " ",#REF!&amp;$D$1&amp;#REF!&amp;Inventory_List_Table3411151091113171814161920[[#This Row],[NOTES]])</f>
        <v xml:space="preserve"> </v>
      </c>
      <c r="G17" s="427"/>
      <c r="H17" s="427"/>
      <c r="I17" s="427"/>
      <c r="J17" s="427"/>
      <c r="K17" s="427"/>
      <c r="L17" s="429"/>
      <c r="M1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7" s="35" t="str">
        <f>IF(Inventory_List_Table3411151091113171814161920[[#This Row],[Q]]&lt;0.1, " ", Inventory_List_Table3411151091113171814161920[[#This Row],[KG]]*2.20462)</f>
        <v xml:space="preserve"> </v>
      </c>
      <c r="O17" s="35" t="str">
        <f>IF(Inventory_List_Table3411151091113171814161920[[#This Row],[Q]]&lt;0.1, " ",Inventory_List_Table3411151091113171814161920[[#This Row],[H CM]]/2.54)</f>
        <v xml:space="preserve"> </v>
      </c>
      <c r="P17" s="35" t="str">
        <f>IF(Inventory_List_Table3411151091113171814161920[[#This Row],[Q]]&lt;0.1, " ",Inventory_List_Table3411151091113171814161920[[#This Row],[W CM]]/2.54)</f>
        <v xml:space="preserve"> </v>
      </c>
      <c r="Q17" s="35" t="str">
        <f>IF(Inventory_List_Table3411151091113171814161920[[#This Row],[Q]]&lt;0.1, " ",Inventory_List_Table3411151091113171814161920[[#This Row],[D CM ]]/2.54)</f>
        <v xml:space="preserve"> </v>
      </c>
      <c r="R17" s="30" t="str">
        <f>IF(Inventory_List_Table3411151091113171814161920[[#This Row],[Q]]&lt;0.1, " ",Inventory_List_Table3411151091113171814161920[[#This Row],[PRICE]]/$L$1)</f>
        <v xml:space="preserve"> </v>
      </c>
      <c r="S1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7" s="30" t="str">
        <f>IF(Inventory_List_Table3411151091113171814161920[[#This Row],[Q]]&lt;0.1, " ",Inventory_List_Table3411151091113171814161920[[#This Row],[AQ RND USD]]*1.4)</f>
        <v xml:space="preserve"> </v>
      </c>
      <c r="U1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7" s="30" t="str">
        <f>IF(Inventory_List_Table3411151091113171814161920[[#This Row],[Q]]&lt;0.1, " ",Inventory_List_Table3411151091113171814161920[[#This Row],[LND RND USD]]*12)</f>
        <v xml:space="preserve"> </v>
      </c>
      <c r="W17" s="30" t="str">
        <f>IF(Inventory_List_Table3411151091113171814161920[[#This Row],[Q]]&lt;0.1, " ",Inventory_List_Table3411151091113171814161920[[#This Row],[AQ USD]])</f>
        <v xml:space="preserve"> </v>
      </c>
      <c r="X1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7" s="30" t="str">
        <f>IF(Inventory_List_Table3411151091113171814161920[[#This Row],[Q]]&lt;0.1, " ",Inventory_List_Table3411151091113171814161920[[#This Row],[PRICE]]/Z17*10000)</f>
        <v xml:space="preserve"> </v>
      </c>
      <c r="AB17" s="430"/>
      <c r="AC17" s="1"/>
      <c r="AD17" s="1"/>
    </row>
    <row r="18" spans="1:30" ht="24" customHeight="1" x14ac:dyDescent="0.3">
      <c r="A18" s="431">
        <v>16</v>
      </c>
      <c r="B18" s="1"/>
      <c r="C18" s="425"/>
      <c r="D18" s="425"/>
      <c r="E18" s="425"/>
      <c r="F18" s="38" t="str">
        <f>IF(Inventory_List_Table3411151091113171814161920[[#This Row],[Q]]&lt;0.1, " ",#REF!&amp;$D$1&amp;#REF!&amp;Inventory_List_Table3411151091113171814161920[[#This Row],[NOTES]])</f>
        <v xml:space="preserve"> </v>
      </c>
      <c r="G18" s="427"/>
      <c r="H18" s="427"/>
      <c r="I18" s="427"/>
      <c r="J18" s="427"/>
      <c r="K18" s="427"/>
      <c r="L18" s="429"/>
      <c r="M1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8" s="35" t="str">
        <f>IF(Inventory_List_Table3411151091113171814161920[[#This Row],[Q]]&lt;0.1, " ", Inventory_List_Table3411151091113171814161920[[#This Row],[KG]]*2.20462)</f>
        <v xml:space="preserve"> </v>
      </c>
      <c r="O18" s="35" t="str">
        <f>IF(Inventory_List_Table3411151091113171814161920[[#This Row],[Q]]&lt;0.1, " ",Inventory_List_Table3411151091113171814161920[[#This Row],[H CM]]/2.54)</f>
        <v xml:space="preserve"> </v>
      </c>
      <c r="P18" s="35" t="str">
        <f>IF(Inventory_List_Table3411151091113171814161920[[#This Row],[Q]]&lt;0.1, " ",Inventory_List_Table3411151091113171814161920[[#This Row],[W CM]]/2.54)</f>
        <v xml:space="preserve"> </v>
      </c>
      <c r="Q18" s="35" t="str">
        <f>IF(Inventory_List_Table3411151091113171814161920[[#This Row],[Q]]&lt;0.1, " ",Inventory_List_Table3411151091113171814161920[[#This Row],[D CM ]]/2.54)</f>
        <v xml:space="preserve"> </v>
      </c>
      <c r="R18" s="30" t="str">
        <f>IF(Inventory_List_Table3411151091113171814161920[[#This Row],[Q]]&lt;0.1, " ",Inventory_List_Table3411151091113171814161920[[#This Row],[PRICE]]/$L$1)</f>
        <v xml:space="preserve"> </v>
      </c>
      <c r="S1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8" s="30" t="str">
        <f>IF(Inventory_List_Table3411151091113171814161920[[#This Row],[Q]]&lt;0.1, " ",Inventory_List_Table3411151091113171814161920[[#This Row],[AQ RND USD]]*1.4)</f>
        <v xml:space="preserve"> </v>
      </c>
      <c r="U1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8" s="30" t="str">
        <f>IF(Inventory_List_Table3411151091113171814161920[[#This Row],[Q]]&lt;0.1, " ",Inventory_List_Table3411151091113171814161920[[#This Row],[LND RND USD]]*12)</f>
        <v xml:space="preserve"> </v>
      </c>
      <c r="W18" s="30" t="str">
        <f>IF(Inventory_List_Table3411151091113171814161920[[#This Row],[Q]]&lt;0.1, " ",Inventory_List_Table3411151091113171814161920[[#This Row],[AQ USD]])</f>
        <v xml:space="preserve"> </v>
      </c>
      <c r="X1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8" s="30" t="str">
        <f>IF(Inventory_List_Table3411151091113171814161920[[#This Row],[Q]]&lt;0.1, " ",Inventory_List_Table3411151091113171814161920[[#This Row],[PRICE]]/Z18*10000)</f>
        <v xml:space="preserve"> </v>
      </c>
      <c r="AB18" s="430"/>
      <c r="AC18" s="1"/>
      <c r="AD18" s="1"/>
    </row>
    <row r="19" spans="1:30" ht="24" customHeight="1" x14ac:dyDescent="0.3">
      <c r="A19" s="431">
        <v>17</v>
      </c>
      <c r="B19" s="1"/>
      <c r="C19" s="425"/>
      <c r="D19" s="425"/>
      <c r="E19" s="425"/>
      <c r="F19" s="38" t="str">
        <f>IF(Inventory_List_Table3411151091113171814161920[[#This Row],[Q]]&lt;0.1, " ",#REF!&amp;$D$1&amp;#REF!&amp;Inventory_List_Table3411151091113171814161920[[#This Row],[NOTES]])</f>
        <v xml:space="preserve"> </v>
      </c>
      <c r="G19" s="427"/>
      <c r="H19" s="427"/>
      <c r="I19" s="427"/>
      <c r="J19" s="427"/>
      <c r="K19" s="427"/>
      <c r="L19" s="429"/>
      <c r="M1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9" s="35" t="str">
        <f>IF(Inventory_List_Table3411151091113171814161920[[#This Row],[Q]]&lt;0.1, " ", Inventory_List_Table3411151091113171814161920[[#This Row],[KG]]*2.20462)</f>
        <v xml:space="preserve"> </v>
      </c>
      <c r="O19" s="35" t="str">
        <f>IF(Inventory_List_Table3411151091113171814161920[[#This Row],[Q]]&lt;0.1, " ",Inventory_List_Table3411151091113171814161920[[#This Row],[H CM]]/2.54)</f>
        <v xml:space="preserve"> </v>
      </c>
      <c r="P19" s="35" t="str">
        <f>IF(Inventory_List_Table3411151091113171814161920[[#This Row],[Q]]&lt;0.1, " ",Inventory_List_Table3411151091113171814161920[[#This Row],[W CM]]/2.54)</f>
        <v xml:space="preserve"> </v>
      </c>
      <c r="Q19" s="35" t="str">
        <f>IF(Inventory_List_Table3411151091113171814161920[[#This Row],[Q]]&lt;0.1, " ",Inventory_List_Table3411151091113171814161920[[#This Row],[D CM ]]/2.54)</f>
        <v xml:space="preserve"> </v>
      </c>
      <c r="R19" s="30" t="str">
        <f>IF(Inventory_List_Table3411151091113171814161920[[#This Row],[Q]]&lt;0.1, " ",Inventory_List_Table3411151091113171814161920[[#This Row],[PRICE]]/$L$1)</f>
        <v xml:space="preserve"> </v>
      </c>
      <c r="S1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9" s="30" t="str">
        <f>IF(Inventory_List_Table3411151091113171814161920[[#This Row],[Q]]&lt;0.1, " ",Inventory_List_Table3411151091113171814161920[[#This Row],[AQ RND USD]]*1.4)</f>
        <v xml:space="preserve"> </v>
      </c>
      <c r="U1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9" s="30" t="str">
        <f>IF(Inventory_List_Table3411151091113171814161920[[#This Row],[Q]]&lt;0.1, " ",Inventory_List_Table3411151091113171814161920[[#This Row],[LND RND USD]]*12)</f>
        <v xml:space="preserve"> </v>
      </c>
      <c r="W19" s="30" t="str">
        <f>IF(Inventory_List_Table3411151091113171814161920[[#This Row],[Q]]&lt;0.1, " ",Inventory_List_Table3411151091113171814161920[[#This Row],[AQ USD]])</f>
        <v xml:space="preserve"> </v>
      </c>
      <c r="X1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9" s="30" t="str">
        <f>IF(Inventory_List_Table3411151091113171814161920[[#This Row],[Q]]&lt;0.1, " ",Inventory_List_Table3411151091113171814161920[[#This Row],[PRICE]]/Z19*10000)</f>
        <v xml:space="preserve"> </v>
      </c>
      <c r="AB19" s="430"/>
      <c r="AC19" s="1"/>
      <c r="AD19" s="1"/>
    </row>
    <row r="20" spans="1:30" ht="24" customHeight="1" x14ac:dyDescent="0.3">
      <c r="A20" s="431">
        <v>18</v>
      </c>
      <c r="B20" s="1"/>
      <c r="C20" s="425"/>
      <c r="D20" s="425"/>
      <c r="E20" s="425"/>
      <c r="F20" s="38" t="str">
        <f>IF(Inventory_List_Table3411151091113171814161920[[#This Row],[Q]]&lt;0.1, " ",#REF!&amp;$D$1&amp;#REF!&amp;Inventory_List_Table3411151091113171814161920[[#This Row],[NOTES]])</f>
        <v xml:space="preserve"> </v>
      </c>
      <c r="G20" s="427"/>
      <c r="H20" s="427"/>
      <c r="I20" s="427"/>
      <c r="J20" s="427"/>
      <c r="K20" s="427"/>
      <c r="L20" s="429"/>
      <c r="M2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0" s="35" t="str">
        <f>IF(Inventory_List_Table3411151091113171814161920[[#This Row],[Q]]&lt;0.1, " ", Inventory_List_Table3411151091113171814161920[[#This Row],[KG]]*2.20462)</f>
        <v xml:space="preserve"> </v>
      </c>
      <c r="O20" s="35" t="str">
        <f>IF(Inventory_List_Table3411151091113171814161920[[#This Row],[Q]]&lt;0.1, " ",Inventory_List_Table3411151091113171814161920[[#This Row],[H CM]]/2.54)</f>
        <v xml:space="preserve"> </v>
      </c>
      <c r="P20" s="35" t="str">
        <f>IF(Inventory_List_Table3411151091113171814161920[[#This Row],[Q]]&lt;0.1, " ",Inventory_List_Table3411151091113171814161920[[#This Row],[W CM]]/2.54)</f>
        <v xml:space="preserve"> </v>
      </c>
      <c r="Q20" s="35" t="str">
        <f>IF(Inventory_List_Table3411151091113171814161920[[#This Row],[Q]]&lt;0.1, " ",Inventory_List_Table3411151091113171814161920[[#This Row],[D CM ]]/2.54)</f>
        <v xml:space="preserve"> </v>
      </c>
      <c r="R20" s="30" t="str">
        <f>IF(Inventory_List_Table3411151091113171814161920[[#This Row],[Q]]&lt;0.1, " ",Inventory_List_Table3411151091113171814161920[[#This Row],[PRICE]]/$L$1)</f>
        <v xml:space="preserve"> </v>
      </c>
      <c r="S2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0" s="30" t="str">
        <f>IF(Inventory_List_Table3411151091113171814161920[[#This Row],[Q]]&lt;0.1, " ",Inventory_List_Table3411151091113171814161920[[#This Row],[AQ RND USD]]*1.4)</f>
        <v xml:space="preserve"> </v>
      </c>
      <c r="U2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0" s="30" t="str">
        <f>IF(Inventory_List_Table3411151091113171814161920[[#This Row],[Q]]&lt;0.1, " ",Inventory_List_Table3411151091113171814161920[[#This Row],[LND RND USD]]*12)</f>
        <v xml:space="preserve"> </v>
      </c>
      <c r="W20" s="30" t="str">
        <f>IF(Inventory_List_Table3411151091113171814161920[[#This Row],[Q]]&lt;0.1, " ",Inventory_List_Table3411151091113171814161920[[#This Row],[AQ USD]])</f>
        <v xml:space="preserve"> </v>
      </c>
      <c r="X2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0" s="30" t="str">
        <f>IF(Inventory_List_Table3411151091113171814161920[[#This Row],[Q]]&lt;0.1, " ",Inventory_List_Table3411151091113171814161920[[#This Row],[PRICE]]/Z20*10000)</f>
        <v xml:space="preserve"> </v>
      </c>
      <c r="AB20" s="430"/>
      <c r="AC20" s="1"/>
      <c r="AD20" s="1"/>
    </row>
    <row r="21" spans="1:30" ht="24" customHeight="1" x14ac:dyDescent="0.3">
      <c r="A21" s="431">
        <v>19</v>
      </c>
      <c r="B21" s="1"/>
      <c r="C21" s="425"/>
      <c r="D21" s="425"/>
      <c r="E21" s="425"/>
      <c r="F21" s="38" t="str">
        <f>IF(Inventory_List_Table3411151091113171814161920[[#This Row],[Q]]&lt;0.1, " ",#REF!&amp;$D$1&amp;#REF!&amp;Inventory_List_Table3411151091113171814161920[[#This Row],[NOTES]])</f>
        <v xml:space="preserve"> </v>
      </c>
      <c r="G21" s="427"/>
      <c r="H21" s="427"/>
      <c r="I21" s="427"/>
      <c r="J21" s="427"/>
      <c r="K21" s="427"/>
      <c r="L21" s="429"/>
      <c r="M2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1" s="35" t="str">
        <f>IF(Inventory_List_Table3411151091113171814161920[[#This Row],[Q]]&lt;0.1, " ", Inventory_List_Table3411151091113171814161920[[#This Row],[KG]]*2.20462)</f>
        <v xml:space="preserve"> </v>
      </c>
      <c r="O21" s="35" t="str">
        <f>IF(Inventory_List_Table3411151091113171814161920[[#This Row],[Q]]&lt;0.1, " ",Inventory_List_Table3411151091113171814161920[[#This Row],[H CM]]/2.54)</f>
        <v xml:space="preserve"> </v>
      </c>
      <c r="P21" s="35" t="str">
        <f>IF(Inventory_List_Table3411151091113171814161920[[#This Row],[Q]]&lt;0.1, " ",Inventory_List_Table3411151091113171814161920[[#This Row],[W CM]]/2.54)</f>
        <v xml:space="preserve"> </v>
      </c>
      <c r="Q21" s="35" t="str">
        <f>IF(Inventory_List_Table3411151091113171814161920[[#This Row],[Q]]&lt;0.1, " ",Inventory_List_Table3411151091113171814161920[[#This Row],[D CM ]]/2.54)</f>
        <v xml:space="preserve"> </v>
      </c>
      <c r="R21" s="30" t="str">
        <f>IF(Inventory_List_Table3411151091113171814161920[[#This Row],[Q]]&lt;0.1, " ",Inventory_List_Table3411151091113171814161920[[#This Row],[PRICE]]/$L$1)</f>
        <v xml:space="preserve"> </v>
      </c>
      <c r="S2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1" s="30" t="str">
        <f>IF(Inventory_List_Table3411151091113171814161920[[#This Row],[Q]]&lt;0.1, " ",Inventory_List_Table3411151091113171814161920[[#This Row],[AQ RND USD]]*1.4)</f>
        <v xml:space="preserve"> </v>
      </c>
      <c r="U2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1" s="30" t="str">
        <f>IF(Inventory_List_Table3411151091113171814161920[[#This Row],[Q]]&lt;0.1, " ",Inventory_List_Table3411151091113171814161920[[#This Row],[LND RND USD]]*12)</f>
        <v xml:space="preserve"> </v>
      </c>
      <c r="W21" s="30" t="str">
        <f>IF(Inventory_List_Table3411151091113171814161920[[#This Row],[Q]]&lt;0.1, " ",Inventory_List_Table3411151091113171814161920[[#This Row],[AQ USD]])</f>
        <v xml:space="preserve"> </v>
      </c>
      <c r="X2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1" s="30" t="str">
        <f>IF(Inventory_List_Table3411151091113171814161920[[#This Row],[Q]]&lt;0.1, " ",Inventory_List_Table3411151091113171814161920[[#This Row],[PRICE]]/Z21*10000)</f>
        <v xml:space="preserve"> </v>
      </c>
      <c r="AB21" s="430"/>
      <c r="AC21" s="1"/>
      <c r="AD21" s="1"/>
    </row>
    <row r="22" spans="1:30" ht="24" customHeight="1" x14ac:dyDescent="0.3">
      <c r="A22" s="431">
        <v>20</v>
      </c>
      <c r="B22" s="1"/>
      <c r="C22" s="425"/>
      <c r="D22" s="425"/>
      <c r="E22" s="425"/>
      <c r="F22" s="38" t="str">
        <f>IF(Inventory_List_Table3411151091113171814161920[[#This Row],[Q]]&lt;0.1, " ",#REF!&amp;$D$1&amp;#REF!&amp;Inventory_List_Table3411151091113171814161920[[#This Row],[NOTES]])</f>
        <v xml:space="preserve"> </v>
      </c>
      <c r="G22" s="427"/>
      <c r="H22" s="427"/>
      <c r="I22" s="427"/>
      <c r="J22" s="427"/>
      <c r="K22" s="427"/>
      <c r="L22" s="429"/>
      <c r="M2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2" s="35" t="str">
        <f>IF(Inventory_List_Table3411151091113171814161920[[#This Row],[Q]]&lt;0.1, " ", Inventory_List_Table3411151091113171814161920[[#This Row],[KG]]*2.20462)</f>
        <v xml:space="preserve"> </v>
      </c>
      <c r="O22" s="35" t="str">
        <f>IF(Inventory_List_Table3411151091113171814161920[[#This Row],[Q]]&lt;0.1, " ",Inventory_List_Table3411151091113171814161920[[#This Row],[H CM]]/2.54)</f>
        <v xml:space="preserve"> </v>
      </c>
      <c r="P22" s="35" t="str">
        <f>IF(Inventory_List_Table3411151091113171814161920[[#This Row],[Q]]&lt;0.1, " ",Inventory_List_Table3411151091113171814161920[[#This Row],[W CM]]/2.54)</f>
        <v xml:space="preserve"> </v>
      </c>
      <c r="Q22" s="35" t="str">
        <f>IF(Inventory_List_Table3411151091113171814161920[[#This Row],[Q]]&lt;0.1, " ",Inventory_List_Table3411151091113171814161920[[#This Row],[D CM ]]/2.54)</f>
        <v xml:space="preserve"> </v>
      </c>
      <c r="R22" s="30" t="str">
        <f>IF(Inventory_List_Table3411151091113171814161920[[#This Row],[Q]]&lt;0.1, " ",Inventory_List_Table3411151091113171814161920[[#This Row],[PRICE]]/$L$1)</f>
        <v xml:space="preserve"> </v>
      </c>
      <c r="S2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2" s="30" t="str">
        <f>IF(Inventory_List_Table3411151091113171814161920[[#This Row],[Q]]&lt;0.1, " ",Inventory_List_Table3411151091113171814161920[[#This Row],[AQ RND USD]]*1.4)</f>
        <v xml:space="preserve"> </v>
      </c>
      <c r="U2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2" s="30" t="str">
        <f>IF(Inventory_List_Table3411151091113171814161920[[#This Row],[Q]]&lt;0.1, " ",Inventory_List_Table3411151091113171814161920[[#This Row],[LND RND USD]]*12)</f>
        <v xml:space="preserve"> </v>
      </c>
      <c r="W22" s="30" t="str">
        <f>IF(Inventory_List_Table3411151091113171814161920[[#This Row],[Q]]&lt;0.1, " ",Inventory_List_Table3411151091113171814161920[[#This Row],[AQ USD]])</f>
        <v xml:space="preserve"> </v>
      </c>
      <c r="X2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2" s="30" t="str">
        <f>IF(Inventory_List_Table3411151091113171814161920[[#This Row],[Q]]&lt;0.1, " ",Inventory_List_Table3411151091113171814161920[[#This Row],[PRICE]]/Z22*10000)</f>
        <v xml:space="preserve"> </v>
      </c>
      <c r="AB22" s="430"/>
      <c r="AC22" s="1"/>
      <c r="AD22" s="1"/>
    </row>
    <row r="23" spans="1:30" ht="24" customHeight="1" x14ac:dyDescent="0.3">
      <c r="A23" s="431">
        <v>21</v>
      </c>
      <c r="B23" s="1"/>
      <c r="C23" s="425"/>
      <c r="D23" s="425"/>
      <c r="E23" s="425"/>
      <c r="F23" s="38" t="str">
        <f>IF(Inventory_List_Table3411151091113171814161920[[#This Row],[Q]]&lt;0.1, " ",#REF!&amp;$D$1&amp;#REF!&amp;Inventory_List_Table3411151091113171814161920[[#This Row],[NOTES]])</f>
        <v xml:space="preserve"> </v>
      </c>
      <c r="G23" s="427"/>
      <c r="H23" s="427"/>
      <c r="I23" s="427"/>
      <c r="J23" s="427"/>
      <c r="K23" s="427"/>
      <c r="L23" s="429"/>
      <c r="M2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3" s="35" t="str">
        <f>IF(Inventory_List_Table3411151091113171814161920[[#This Row],[Q]]&lt;0.1, " ", Inventory_List_Table3411151091113171814161920[[#This Row],[KG]]*2.20462)</f>
        <v xml:space="preserve"> </v>
      </c>
      <c r="O23" s="35" t="str">
        <f>IF(Inventory_List_Table3411151091113171814161920[[#This Row],[Q]]&lt;0.1, " ",Inventory_List_Table3411151091113171814161920[[#This Row],[H CM]]/2.54)</f>
        <v xml:space="preserve"> </v>
      </c>
      <c r="P23" s="35" t="str">
        <f>IF(Inventory_List_Table3411151091113171814161920[[#This Row],[Q]]&lt;0.1, " ",Inventory_List_Table3411151091113171814161920[[#This Row],[W CM]]/2.54)</f>
        <v xml:space="preserve"> </v>
      </c>
      <c r="Q23" s="35" t="str">
        <f>IF(Inventory_List_Table3411151091113171814161920[[#This Row],[Q]]&lt;0.1, " ",Inventory_List_Table3411151091113171814161920[[#This Row],[D CM ]]/2.54)</f>
        <v xml:space="preserve"> </v>
      </c>
      <c r="R23" s="30" t="str">
        <f>IF(Inventory_List_Table3411151091113171814161920[[#This Row],[Q]]&lt;0.1, " ",Inventory_List_Table3411151091113171814161920[[#This Row],[PRICE]]/$L$1)</f>
        <v xml:space="preserve"> </v>
      </c>
      <c r="S2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3" s="30" t="str">
        <f>IF(Inventory_List_Table3411151091113171814161920[[#This Row],[Q]]&lt;0.1, " ",Inventory_List_Table3411151091113171814161920[[#This Row],[AQ RND USD]]*1.4)</f>
        <v xml:space="preserve"> </v>
      </c>
      <c r="U2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3" s="30" t="str">
        <f>IF(Inventory_List_Table3411151091113171814161920[[#This Row],[Q]]&lt;0.1, " ",Inventory_List_Table3411151091113171814161920[[#This Row],[LND RND USD]]*12)</f>
        <v xml:space="preserve"> </v>
      </c>
      <c r="W23" s="30" t="str">
        <f>IF(Inventory_List_Table3411151091113171814161920[[#This Row],[Q]]&lt;0.1, " ",Inventory_List_Table3411151091113171814161920[[#This Row],[AQ USD]])</f>
        <v xml:space="preserve"> </v>
      </c>
      <c r="X2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3" s="30" t="str">
        <f>IF(Inventory_List_Table3411151091113171814161920[[#This Row],[Q]]&lt;0.1, " ",Inventory_List_Table3411151091113171814161920[[#This Row],[PRICE]]/Z23*10000)</f>
        <v xml:space="preserve"> </v>
      </c>
      <c r="AB23" s="430"/>
      <c r="AC23" s="1"/>
      <c r="AD23" s="1"/>
    </row>
    <row r="24" spans="1:30" ht="24" customHeight="1" x14ac:dyDescent="0.3">
      <c r="A24" s="431">
        <v>22</v>
      </c>
      <c r="B24" s="1"/>
      <c r="C24" s="425"/>
      <c r="D24" s="425"/>
      <c r="E24" s="425"/>
      <c r="F24" s="38" t="str">
        <f>IF(Inventory_List_Table3411151091113171814161920[[#This Row],[Q]]&lt;0.1, " ",#REF!&amp;$D$1&amp;#REF!&amp;Inventory_List_Table3411151091113171814161920[[#This Row],[NOTES]])</f>
        <v xml:space="preserve"> </v>
      </c>
      <c r="G24" s="427"/>
      <c r="H24" s="427"/>
      <c r="I24" s="427"/>
      <c r="J24" s="427"/>
      <c r="K24" s="427"/>
      <c r="L24" s="429"/>
      <c r="M2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4" s="35" t="str">
        <f>IF(Inventory_List_Table3411151091113171814161920[[#This Row],[Q]]&lt;0.1, " ", Inventory_List_Table3411151091113171814161920[[#This Row],[KG]]*2.20462)</f>
        <v xml:space="preserve"> </v>
      </c>
      <c r="O24" s="35" t="str">
        <f>IF(Inventory_List_Table3411151091113171814161920[[#This Row],[Q]]&lt;0.1, " ",Inventory_List_Table3411151091113171814161920[[#This Row],[H CM]]/2.54)</f>
        <v xml:space="preserve"> </v>
      </c>
      <c r="P24" s="35" t="str">
        <f>IF(Inventory_List_Table3411151091113171814161920[[#This Row],[Q]]&lt;0.1, " ",Inventory_List_Table3411151091113171814161920[[#This Row],[W CM]]/2.54)</f>
        <v xml:space="preserve"> </v>
      </c>
      <c r="Q24" s="35" t="str">
        <f>IF(Inventory_List_Table3411151091113171814161920[[#This Row],[Q]]&lt;0.1, " ",Inventory_List_Table3411151091113171814161920[[#This Row],[D CM ]]/2.54)</f>
        <v xml:space="preserve"> </v>
      </c>
      <c r="R24" s="30" t="str">
        <f>IF(Inventory_List_Table3411151091113171814161920[[#This Row],[Q]]&lt;0.1, " ",Inventory_List_Table3411151091113171814161920[[#This Row],[PRICE]]/$L$1)</f>
        <v xml:space="preserve"> </v>
      </c>
      <c r="S2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4" s="30" t="str">
        <f>IF(Inventory_List_Table3411151091113171814161920[[#This Row],[Q]]&lt;0.1, " ",Inventory_List_Table3411151091113171814161920[[#This Row],[AQ RND USD]]*1.4)</f>
        <v xml:space="preserve"> </v>
      </c>
      <c r="U2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4" s="30" t="str">
        <f>IF(Inventory_List_Table3411151091113171814161920[[#This Row],[Q]]&lt;0.1, " ",Inventory_List_Table3411151091113171814161920[[#This Row],[LND RND USD]]*12)</f>
        <v xml:space="preserve"> </v>
      </c>
      <c r="W24" s="30" t="str">
        <f>IF(Inventory_List_Table3411151091113171814161920[[#This Row],[Q]]&lt;0.1, " ",Inventory_List_Table3411151091113171814161920[[#This Row],[AQ USD]])</f>
        <v xml:space="preserve"> </v>
      </c>
      <c r="X2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4" s="30" t="str">
        <f>IF(Inventory_List_Table3411151091113171814161920[[#This Row],[Q]]&lt;0.1, " ",Inventory_List_Table3411151091113171814161920[[#This Row],[PRICE]]/Z24*10000)</f>
        <v xml:space="preserve"> </v>
      </c>
      <c r="AB24" s="430"/>
      <c r="AC24" s="1"/>
      <c r="AD24" s="1"/>
    </row>
    <row r="25" spans="1:30" ht="24" customHeight="1" x14ac:dyDescent="0.3">
      <c r="A25" s="431">
        <v>23</v>
      </c>
      <c r="B25" s="1"/>
      <c r="C25" s="425"/>
      <c r="D25" s="425"/>
      <c r="E25" s="425"/>
      <c r="F25" s="38" t="str">
        <f>IF(Inventory_List_Table3411151091113171814161920[[#This Row],[Q]]&lt;0.1, " ",#REF!&amp;$D$1&amp;#REF!&amp;Inventory_List_Table3411151091113171814161920[[#This Row],[NOTES]])</f>
        <v xml:space="preserve"> </v>
      </c>
      <c r="G25" s="427"/>
      <c r="H25" s="427"/>
      <c r="I25" s="427"/>
      <c r="J25" s="427"/>
      <c r="K25" s="427"/>
      <c r="L25" s="429"/>
      <c r="M2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5" s="35" t="str">
        <f>IF(Inventory_List_Table3411151091113171814161920[[#This Row],[Q]]&lt;0.1, " ", Inventory_List_Table3411151091113171814161920[[#This Row],[KG]]*2.20462)</f>
        <v xml:space="preserve"> </v>
      </c>
      <c r="O25" s="35" t="str">
        <f>IF(Inventory_List_Table3411151091113171814161920[[#This Row],[Q]]&lt;0.1, " ",Inventory_List_Table3411151091113171814161920[[#This Row],[H CM]]/2.54)</f>
        <v xml:space="preserve"> </v>
      </c>
      <c r="P25" s="35" t="str">
        <f>IF(Inventory_List_Table3411151091113171814161920[[#This Row],[Q]]&lt;0.1, " ",Inventory_List_Table3411151091113171814161920[[#This Row],[W CM]]/2.54)</f>
        <v xml:space="preserve"> </v>
      </c>
      <c r="Q25" s="35" t="str">
        <f>IF(Inventory_List_Table3411151091113171814161920[[#This Row],[Q]]&lt;0.1, " ",Inventory_List_Table3411151091113171814161920[[#This Row],[D CM ]]/2.54)</f>
        <v xml:space="preserve"> </v>
      </c>
      <c r="R25" s="30" t="str">
        <f>IF(Inventory_List_Table3411151091113171814161920[[#This Row],[Q]]&lt;0.1, " ",Inventory_List_Table3411151091113171814161920[[#This Row],[PRICE]]/$L$1)</f>
        <v xml:space="preserve"> </v>
      </c>
      <c r="S2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5" s="30" t="str">
        <f>IF(Inventory_List_Table3411151091113171814161920[[#This Row],[Q]]&lt;0.1, " ",Inventory_List_Table3411151091113171814161920[[#This Row],[AQ RND USD]]*1.4)</f>
        <v xml:space="preserve"> </v>
      </c>
      <c r="U2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5" s="30" t="str">
        <f>IF(Inventory_List_Table3411151091113171814161920[[#This Row],[Q]]&lt;0.1, " ",Inventory_List_Table3411151091113171814161920[[#This Row],[LND RND USD]]*12)</f>
        <v xml:space="preserve"> </v>
      </c>
      <c r="W25" s="30" t="str">
        <f>IF(Inventory_List_Table3411151091113171814161920[[#This Row],[Q]]&lt;0.1, " ",Inventory_List_Table3411151091113171814161920[[#This Row],[AQ USD]])</f>
        <v xml:space="preserve"> </v>
      </c>
      <c r="X2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5" s="30" t="str">
        <f>IF(Inventory_List_Table3411151091113171814161920[[#This Row],[Q]]&lt;0.1, " ",Inventory_List_Table3411151091113171814161920[[#This Row],[PRICE]]/Z25*10000)</f>
        <v xml:space="preserve"> </v>
      </c>
      <c r="AB25" s="430"/>
      <c r="AC25" s="1"/>
      <c r="AD25" s="1"/>
    </row>
    <row r="26" spans="1:30" ht="24" customHeight="1" x14ac:dyDescent="0.3">
      <c r="A26" s="431">
        <v>24</v>
      </c>
      <c r="B26" s="1"/>
      <c r="C26" s="425"/>
      <c r="D26" s="425"/>
      <c r="E26" s="425"/>
      <c r="F26" s="38" t="str">
        <f>IF(Inventory_List_Table3411151091113171814161920[[#This Row],[Q]]&lt;0.1, " ",#REF!&amp;$D$1&amp;#REF!&amp;Inventory_List_Table3411151091113171814161920[[#This Row],[NOTES]])</f>
        <v xml:space="preserve"> </v>
      </c>
      <c r="G26" s="427"/>
      <c r="H26" s="427"/>
      <c r="I26" s="427"/>
      <c r="J26" s="427"/>
      <c r="K26" s="427"/>
      <c r="L26" s="429"/>
      <c r="M2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6" s="35" t="str">
        <f>IF(Inventory_List_Table3411151091113171814161920[[#This Row],[Q]]&lt;0.1, " ", Inventory_List_Table3411151091113171814161920[[#This Row],[KG]]*2.20462)</f>
        <v xml:space="preserve"> </v>
      </c>
      <c r="O26" s="35" t="str">
        <f>IF(Inventory_List_Table3411151091113171814161920[[#This Row],[Q]]&lt;0.1, " ",Inventory_List_Table3411151091113171814161920[[#This Row],[H CM]]/2.54)</f>
        <v xml:space="preserve"> </v>
      </c>
      <c r="P26" s="35" t="str">
        <f>IF(Inventory_List_Table3411151091113171814161920[[#This Row],[Q]]&lt;0.1, " ",Inventory_List_Table3411151091113171814161920[[#This Row],[W CM]]/2.54)</f>
        <v xml:space="preserve"> </v>
      </c>
      <c r="Q26" s="35" t="str">
        <f>IF(Inventory_List_Table3411151091113171814161920[[#This Row],[Q]]&lt;0.1, " ",Inventory_List_Table3411151091113171814161920[[#This Row],[D CM ]]/2.54)</f>
        <v xml:space="preserve"> </v>
      </c>
      <c r="R26" s="30" t="str">
        <f>IF(Inventory_List_Table3411151091113171814161920[[#This Row],[Q]]&lt;0.1, " ",Inventory_List_Table3411151091113171814161920[[#This Row],[PRICE]]/$L$1)</f>
        <v xml:space="preserve"> </v>
      </c>
      <c r="S2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6" s="30" t="str">
        <f>IF(Inventory_List_Table3411151091113171814161920[[#This Row],[Q]]&lt;0.1, " ",Inventory_List_Table3411151091113171814161920[[#This Row],[AQ RND USD]]*1.4)</f>
        <v xml:space="preserve"> </v>
      </c>
      <c r="U2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6" s="30" t="str">
        <f>IF(Inventory_List_Table3411151091113171814161920[[#This Row],[Q]]&lt;0.1, " ",Inventory_List_Table3411151091113171814161920[[#This Row],[LND RND USD]]*12)</f>
        <v xml:space="preserve"> </v>
      </c>
      <c r="W26" s="30" t="str">
        <f>IF(Inventory_List_Table3411151091113171814161920[[#This Row],[Q]]&lt;0.1, " ",Inventory_List_Table3411151091113171814161920[[#This Row],[AQ USD]])</f>
        <v xml:space="preserve"> </v>
      </c>
      <c r="X2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6" s="30" t="str">
        <f>IF(Inventory_List_Table3411151091113171814161920[[#This Row],[Q]]&lt;0.1, " ",Inventory_List_Table3411151091113171814161920[[#This Row],[PRICE]]/Z26*10000)</f>
        <v xml:space="preserve"> </v>
      </c>
      <c r="AB26" s="430"/>
      <c r="AC26" s="1"/>
      <c r="AD26" s="1"/>
    </row>
    <row r="27" spans="1:30" ht="24" customHeight="1" x14ac:dyDescent="0.3">
      <c r="A27" s="431">
        <v>25</v>
      </c>
      <c r="B27" s="1"/>
      <c r="C27" s="425"/>
      <c r="D27" s="425"/>
      <c r="E27" s="425"/>
      <c r="F27" s="38" t="str">
        <f>IF(Inventory_List_Table3411151091113171814161920[[#This Row],[Q]]&lt;0.1, " ",#REF!&amp;$D$1&amp;#REF!&amp;Inventory_List_Table3411151091113171814161920[[#This Row],[NOTES]])</f>
        <v xml:space="preserve"> </v>
      </c>
      <c r="G27" s="427"/>
      <c r="H27" s="427"/>
      <c r="I27" s="427"/>
      <c r="J27" s="427"/>
      <c r="K27" s="427"/>
      <c r="L27" s="429"/>
      <c r="M2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7" s="35" t="str">
        <f>IF(Inventory_List_Table3411151091113171814161920[[#This Row],[Q]]&lt;0.1, " ", Inventory_List_Table3411151091113171814161920[[#This Row],[KG]]*2.20462)</f>
        <v xml:space="preserve"> </v>
      </c>
      <c r="O27" s="35" t="str">
        <f>IF(Inventory_List_Table3411151091113171814161920[[#This Row],[Q]]&lt;0.1, " ",Inventory_List_Table3411151091113171814161920[[#This Row],[H CM]]/2.54)</f>
        <v xml:space="preserve"> </v>
      </c>
      <c r="P27" s="35" t="str">
        <f>IF(Inventory_List_Table3411151091113171814161920[[#This Row],[Q]]&lt;0.1, " ",Inventory_List_Table3411151091113171814161920[[#This Row],[W CM]]/2.54)</f>
        <v xml:space="preserve"> </v>
      </c>
      <c r="Q27" s="35" t="str">
        <f>IF(Inventory_List_Table3411151091113171814161920[[#This Row],[Q]]&lt;0.1, " ",Inventory_List_Table3411151091113171814161920[[#This Row],[D CM ]]/2.54)</f>
        <v xml:space="preserve"> </v>
      </c>
      <c r="R27" s="30" t="str">
        <f>IF(Inventory_List_Table3411151091113171814161920[[#This Row],[Q]]&lt;0.1, " ",Inventory_List_Table3411151091113171814161920[[#This Row],[PRICE]]/$L$1)</f>
        <v xml:space="preserve"> </v>
      </c>
      <c r="S2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7" s="30" t="str">
        <f>IF(Inventory_List_Table3411151091113171814161920[[#This Row],[Q]]&lt;0.1, " ",Inventory_List_Table3411151091113171814161920[[#This Row],[AQ RND USD]]*1.4)</f>
        <v xml:space="preserve"> </v>
      </c>
      <c r="U2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7" s="30" t="str">
        <f>IF(Inventory_List_Table3411151091113171814161920[[#This Row],[Q]]&lt;0.1, " ",Inventory_List_Table3411151091113171814161920[[#This Row],[LND RND USD]]*12)</f>
        <v xml:space="preserve"> </v>
      </c>
      <c r="W27" s="30" t="str">
        <f>IF(Inventory_List_Table3411151091113171814161920[[#This Row],[Q]]&lt;0.1, " ",Inventory_List_Table3411151091113171814161920[[#This Row],[AQ USD]])</f>
        <v xml:space="preserve"> </v>
      </c>
      <c r="X2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7" s="30" t="str">
        <f>IF(Inventory_List_Table3411151091113171814161920[[#This Row],[Q]]&lt;0.1, " ",Inventory_List_Table3411151091113171814161920[[#This Row],[PRICE]]/Z27*10000)</f>
        <v xml:space="preserve"> </v>
      </c>
      <c r="AB27" s="430"/>
      <c r="AC27" s="1"/>
      <c r="AD27" s="1"/>
    </row>
    <row r="28" spans="1:30" ht="24" customHeight="1" x14ac:dyDescent="0.3">
      <c r="A28" s="431">
        <v>26</v>
      </c>
      <c r="B28" s="1"/>
      <c r="C28" s="425"/>
      <c r="D28" s="425"/>
      <c r="E28" s="425"/>
      <c r="F28" s="38" t="str">
        <f>IF(Inventory_List_Table3411151091113171814161920[[#This Row],[Q]]&lt;0.1, " ",#REF!&amp;$D$1&amp;#REF!&amp;Inventory_List_Table3411151091113171814161920[[#This Row],[NOTES]])</f>
        <v xml:space="preserve"> </v>
      </c>
      <c r="G28" s="427"/>
      <c r="H28" s="427"/>
      <c r="I28" s="427"/>
      <c r="J28" s="427"/>
      <c r="K28" s="427"/>
      <c r="L28" s="429"/>
      <c r="M2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8" s="35" t="str">
        <f>IF(Inventory_List_Table3411151091113171814161920[[#This Row],[Q]]&lt;0.1, " ", Inventory_List_Table3411151091113171814161920[[#This Row],[KG]]*2.20462)</f>
        <v xml:space="preserve"> </v>
      </c>
      <c r="O28" s="35" t="str">
        <f>IF(Inventory_List_Table3411151091113171814161920[[#This Row],[Q]]&lt;0.1, " ",Inventory_List_Table3411151091113171814161920[[#This Row],[H CM]]/2.54)</f>
        <v xml:space="preserve"> </v>
      </c>
      <c r="P28" s="35" t="str">
        <f>IF(Inventory_List_Table3411151091113171814161920[[#This Row],[Q]]&lt;0.1, " ",Inventory_List_Table3411151091113171814161920[[#This Row],[W CM]]/2.54)</f>
        <v xml:space="preserve"> </v>
      </c>
      <c r="Q28" s="35" t="str">
        <f>IF(Inventory_List_Table3411151091113171814161920[[#This Row],[Q]]&lt;0.1, " ",Inventory_List_Table3411151091113171814161920[[#This Row],[D CM ]]/2.54)</f>
        <v xml:space="preserve"> </v>
      </c>
      <c r="R28" s="30" t="str">
        <f>IF(Inventory_List_Table3411151091113171814161920[[#This Row],[Q]]&lt;0.1, " ",Inventory_List_Table3411151091113171814161920[[#This Row],[PRICE]]/$L$1)</f>
        <v xml:space="preserve"> </v>
      </c>
      <c r="S2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8" s="30" t="str">
        <f>IF(Inventory_List_Table3411151091113171814161920[[#This Row],[Q]]&lt;0.1, " ",Inventory_List_Table3411151091113171814161920[[#This Row],[AQ RND USD]]*1.4)</f>
        <v xml:space="preserve"> </v>
      </c>
      <c r="U2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8" s="30" t="str">
        <f>IF(Inventory_List_Table3411151091113171814161920[[#This Row],[Q]]&lt;0.1, " ",Inventory_List_Table3411151091113171814161920[[#This Row],[LND RND USD]]*12)</f>
        <v xml:space="preserve"> </v>
      </c>
      <c r="W28" s="30" t="str">
        <f>IF(Inventory_List_Table3411151091113171814161920[[#This Row],[Q]]&lt;0.1, " ",Inventory_List_Table3411151091113171814161920[[#This Row],[AQ USD]])</f>
        <v xml:space="preserve"> </v>
      </c>
      <c r="X2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8" s="30" t="str">
        <f>IF(Inventory_List_Table3411151091113171814161920[[#This Row],[Q]]&lt;0.1, " ",Inventory_List_Table3411151091113171814161920[[#This Row],[PRICE]]/Z28*10000)</f>
        <v xml:space="preserve"> </v>
      </c>
      <c r="AB28" s="430"/>
      <c r="AC28" s="1"/>
      <c r="AD28" s="1"/>
    </row>
    <row r="29" spans="1:30" ht="24" customHeight="1" x14ac:dyDescent="0.3">
      <c r="A29" s="431">
        <v>27</v>
      </c>
      <c r="B29" s="1"/>
      <c r="C29" s="425"/>
      <c r="D29" s="425"/>
      <c r="E29" s="425"/>
      <c r="F29" s="38" t="str">
        <f>IF(Inventory_List_Table3411151091113171814161920[[#This Row],[Q]]&lt;0.1, " ",#REF!&amp;$D$1&amp;#REF!&amp;Inventory_List_Table3411151091113171814161920[[#This Row],[NOTES]])</f>
        <v xml:space="preserve"> </v>
      </c>
      <c r="G29" s="427"/>
      <c r="H29" s="427"/>
      <c r="I29" s="427"/>
      <c r="J29" s="427"/>
      <c r="K29" s="427"/>
      <c r="L29" s="429"/>
      <c r="M2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29" s="35" t="str">
        <f>IF(Inventory_List_Table3411151091113171814161920[[#This Row],[Q]]&lt;0.1, " ", Inventory_List_Table3411151091113171814161920[[#This Row],[KG]]*2.20462)</f>
        <v xml:space="preserve"> </v>
      </c>
      <c r="O29" s="35" t="str">
        <f>IF(Inventory_List_Table3411151091113171814161920[[#This Row],[Q]]&lt;0.1, " ",Inventory_List_Table3411151091113171814161920[[#This Row],[H CM]]/2.54)</f>
        <v xml:space="preserve"> </v>
      </c>
      <c r="P29" s="35" t="str">
        <f>IF(Inventory_List_Table3411151091113171814161920[[#This Row],[Q]]&lt;0.1, " ",Inventory_List_Table3411151091113171814161920[[#This Row],[W CM]]/2.54)</f>
        <v xml:space="preserve"> </v>
      </c>
      <c r="Q29" s="35" t="str">
        <f>IF(Inventory_List_Table3411151091113171814161920[[#This Row],[Q]]&lt;0.1, " ",Inventory_List_Table3411151091113171814161920[[#This Row],[D CM ]]/2.54)</f>
        <v xml:space="preserve"> </v>
      </c>
      <c r="R29" s="30" t="str">
        <f>IF(Inventory_List_Table3411151091113171814161920[[#This Row],[Q]]&lt;0.1, " ",Inventory_List_Table3411151091113171814161920[[#This Row],[PRICE]]/$L$1)</f>
        <v xml:space="preserve"> </v>
      </c>
      <c r="S2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29" s="30" t="str">
        <f>IF(Inventory_List_Table3411151091113171814161920[[#This Row],[Q]]&lt;0.1, " ",Inventory_List_Table3411151091113171814161920[[#This Row],[AQ RND USD]]*1.4)</f>
        <v xml:space="preserve"> </v>
      </c>
      <c r="U2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29" s="30" t="str">
        <f>IF(Inventory_List_Table3411151091113171814161920[[#This Row],[Q]]&lt;0.1, " ",Inventory_List_Table3411151091113171814161920[[#This Row],[LND RND USD]]*12)</f>
        <v xml:space="preserve"> </v>
      </c>
      <c r="W29" s="30" t="str">
        <f>IF(Inventory_List_Table3411151091113171814161920[[#This Row],[Q]]&lt;0.1, " ",Inventory_List_Table3411151091113171814161920[[#This Row],[AQ USD]])</f>
        <v xml:space="preserve"> </v>
      </c>
      <c r="X2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2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2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29" s="30" t="str">
        <f>IF(Inventory_List_Table3411151091113171814161920[[#This Row],[Q]]&lt;0.1, " ",Inventory_List_Table3411151091113171814161920[[#This Row],[PRICE]]/Z29*10000)</f>
        <v xml:space="preserve"> </v>
      </c>
      <c r="AB29" s="430"/>
      <c r="AC29" s="1"/>
      <c r="AD29" s="1"/>
    </row>
    <row r="30" spans="1:30" ht="24" customHeight="1" x14ac:dyDescent="0.3">
      <c r="A30" s="431">
        <v>28</v>
      </c>
      <c r="B30" s="1"/>
      <c r="C30" s="425"/>
      <c r="D30" s="425"/>
      <c r="E30" s="425"/>
      <c r="F30" s="38" t="str">
        <f>IF(Inventory_List_Table3411151091113171814161920[[#This Row],[Q]]&lt;0.1, " ",#REF!&amp;$D$1&amp;#REF!&amp;Inventory_List_Table3411151091113171814161920[[#This Row],[NOTES]])</f>
        <v xml:space="preserve"> </v>
      </c>
      <c r="G30" s="427"/>
      <c r="H30" s="427"/>
      <c r="I30" s="427"/>
      <c r="J30" s="427"/>
      <c r="K30" s="427"/>
      <c r="L30" s="429"/>
      <c r="M3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0" s="35" t="str">
        <f>IF(Inventory_List_Table3411151091113171814161920[[#This Row],[Q]]&lt;0.1, " ", Inventory_List_Table3411151091113171814161920[[#This Row],[KG]]*2.20462)</f>
        <v xml:space="preserve"> </v>
      </c>
      <c r="O30" s="35" t="str">
        <f>IF(Inventory_List_Table3411151091113171814161920[[#This Row],[Q]]&lt;0.1, " ",Inventory_List_Table3411151091113171814161920[[#This Row],[H CM]]/2.54)</f>
        <v xml:space="preserve"> </v>
      </c>
      <c r="P30" s="35" t="str">
        <f>IF(Inventory_List_Table3411151091113171814161920[[#This Row],[Q]]&lt;0.1, " ",Inventory_List_Table3411151091113171814161920[[#This Row],[W CM]]/2.54)</f>
        <v xml:space="preserve"> </v>
      </c>
      <c r="Q30" s="35" t="str">
        <f>IF(Inventory_List_Table3411151091113171814161920[[#This Row],[Q]]&lt;0.1, " ",Inventory_List_Table3411151091113171814161920[[#This Row],[D CM ]]/2.54)</f>
        <v xml:space="preserve"> </v>
      </c>
      <c r="R30" s="30" t="str">
        <f>IF(Inventory_List_Table3411151091113171814161920[[#This Row],[Q]]&lt;0.1, " ",Inventory_List_Table3411151091113171814161920[[#This Row],[PRICE]]/$L$1)</f>
        <v xml:space="preserve"> </v>
      </c>
      <c r="S3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0" s="30" t="str">
        <f>IF(Inventory_List_Table3411151091113171814161920[[#This Row],[Q]]&lt;0.1, " ",Inventory_List_Table3411151091113171814161920[[#This Row],[AQ RND USD]]*1.4)</f>
        <v xml:space="preserve"> </v>
      </c>
      <c r="U3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0" s="30" t="str">
        <f>IF(Inventory_List_Table3411151091113171814161920[[#This Row],[Q]]&lt;0.1, " ",Inventory_List_Table3411151091113171814161920[[#This Row],[LND RND USD]]*12)</f>
        <v xml:space="preserve"> </v>
      </c>
      <c r="W30" s="30" t="str">
        <f>IF(Inventory_List_Table3411151091113171814161920[[#This Row],[Q]]&lt;0.1, " ",Inventory_List_Table3411151091113171814161920[[#This Row],[AQ USD]])</f>
        <v xml:space="preserve"> </v>
      </c>
      <c r="X3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0" s="30" t="str">
        <f>IF(Inventory_List_Table3411151091113171814161920[[#This Row],[Q]]&lt;0.1, " ",Inventory_List_Table3411151091113171814161920[[#This Row],[PRICE]]/Z30*10000)</f>
        <v xml:space="preserve"> </v>
      </c>
      <c r="AB30" s="430"/>
      <c r="AC30" s="1"/>
      <c r="AD30" s="1"/>
    </row>
    <row r="31" spans="1:30" ht="24" customHeight="1" x14ac:dyDescent="0.3">
      <c r="A31" s="431">
        <v>29</v>
      </c>
      <c r="B31" s="1"/>
      <c r="C31" s="425"/>
      <c r="D31" s="425"/>
      <c r="E31" s="425"/>
      <c r="F31" s="38" t="str">
        <f>IF(Inventory_List_Table3411151091113171814161920[[#This Row],[Q]]&lt;0.1, " ",#REF!&amp;$D$1&amp;#REF!&amp;Inventory_List_Table3411151091113171814161920[[#This Row],[NOTES]])</f>
        <v xml:space="preserve"> </v>
      </c>
      <c r="G31" s="427"/>
      <c r="H31" s="427"/>
      <c r="I31" s="427"/>
      <c r="J31" s="427"/>
      <c r="K31" s="427"/>
      <c r="L31" s="429"/>
      <c r="M3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1" s="35" t="str">
        <f>IF(Inventory_List_Table3411151091113171814161920[[#This Row],[Q]]&lt;0.1, " ", Inventory_List_Table3411151091113171814161920[[#This Row],[KG]]*2.20462)</f>
        <v xml:space="preserve"> </v>
      </c>
      <c r="O31" s="35" t="str">
        <f>IF(Inventory_List_Table3411151091113171814161920[[#This Row],[Q]]&lt;0.1, " ",Inventory_List_Table3411151091113171814161920[[#This Row],[H CM]]/2.54)</f>
        <v xml:space="preserve"> </v>
      </c>
      <c r="P31" s="35" t="str">
        <f>IF(Inventory_List_Table3411151091113171814161920[[#This Row],[Q]]&lt;0.1, " ",Inventory_List_Table3411151091113171814161920[[#This Row],[W CM]]/2.54)</f>
        <v xml:space="preserve"> </v>
      </c>
      <c r="Q31" s="35" t="str">
        <f>IF(Inventory_List_Table3411151091113171814161920[[#This Row],[Q]]&lt;0.1, " ",Inventory_List_Table3411151091113171814161920[[#This Row],[D CM ]]/2.54)</f>
        <v xml:space="preserve"> </v>
      </c>
      <c r="R31" s="30" t="str">
        <f>IF(Inventory_List_Table3411151091113171814161920[[#This Row],[Q]]&lt;0.1, " ",Inventory_List_Table3411151091113171814161920[[#This Row],[PRICE]]/$L$1)</f>
        <v xml:space="preserve"> </v>
      </c>
      <c r="S3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1" s="30" t="str">
        <f>IF(Inventory_List_Table3411151091113171814161920[[#This Row],[Q]]&lt;0.1, " ",Inventory_List_Table3411151091113171814161920[[#This Row],[AQ RND USD]]*1.4)</f>
        <v xml:space="preserve"> </v>
      </c>
      <c r="U3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1" s="30" t="str">
        <f>IF(Inventory_List_Table3411151091113171814161920[[#This Row],[Q]]&lt;0.1, " ",Inventory_List_Table3411151091113171814161920[[#This Row],[LND RND USD]]*12)</f>
        <v xml:space="preserve"> </v>
      </c>
      <c r="W31" s="30" t="str">
        <f>IF(Inventory_List_Table3411151091113171814161920[[#This Row],[Q]]&lt;0.1, " ",Inventory_List_Table3411151091113171814161920[[#This Row],[AQ USD]])</f>
        <v xml:space="preserve"> </v>
      </c>
      <c r="X3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1" s="30" t="str">
        <f>IF(Inventory_List_Table3411151091113171814161920[[#This Row],[Q]]&lt;0.1, " ",Inventory_List_Table3411151091113171814161920[[#This Row],[PRICE]]/Z31*10000)</f>
        <v xml:space="preserve"> </v>
      </c>
      <c r="AB31" s="430"/>
      <c r="AC31" s="1"/>
      <c r="AD31" s="1"/>
    </row>
    <row r="32" spans="1:30" ht="24" customHeight="1" x14ac:dyDescent="0.3">
      <c r="A32" s="431">
        <v>30</v>
      </c>
      <c r="B32" s="1"/>
      <c r="C32" s="425"/>
      <c r="D32" s="425"/>
      <c r="E32" s="425"/>
      <c r="F32" s="38" t="str">
        <f>IF(Inventory_List_Table3411151091113171814161920[[#This Row],[Q]]&lt;0.1, " ",#REF!&amp;$D$1&amp;#REF!&amp;Inventory_List_Table3411151091113171814161920[[#This Row],[NOTES]])</f>
        <v xml:space="preserve"> </v>
      </c>
      <c r="G32" s="427"/>
      <c r="H32" s="427"/>
      <c r="I32" s="427"/>
      <c r="J32" s="427"/>
      <c r="K32" s="427"/>
      <c r="L32" s="429"/>
      <c r="M3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2" s="35" t="str">
        <f>IF(Inventory_List_Table3411151091113171814161920[[#This Row],[Q]]&lt;0.1, " ", Inventory_List_Table3411151091113171814161920[[#This Row],[KG]]*2.20462)</f>
        <v xml:space="preserve"> </v>
      </c>
      <c r="O32" s="35" t="str">
        <f>IF(Inventory_List_Table3411151091113171814161920[[#This Row],[Q]]&lt;0.1, " ",Inventory_List_Table3411151091113171814161920[[#This Row],[H CM]]/2.54)</f>
        <v xml:space="preserve"> </v>
      </c>
      <c r="P32" s="35" t="str">
        <f>IF(Inventory_List_Table3411151091113171814161920[[#This Row],[Q]]&lt;0.1, " ",Inventory_List_Table3411151091113171814161920[[#This Row],[W CM]]/2.54)</f>
        <v xml:space="preserve"> </v>
      </c>
      <c r="Q32" s="35" t="str">
        <f>IF(Inventory_List_Table3411151091113171814161920[[#This Row],[Q]]&lt;0.1, " ",Inventory_List_Table3411151091113171814161920[[#This Row],[D CM ]]/2.54)</f>
        <v xml:space="preserve"> </v>
      </c>
      <c r="R32" s="30" t="str">
        <f>IF(Inventory_List_Table3411151091113171814161920[[#This Row],[Q]]&lt;0.1, " ",Inventory_List_Table3411151091113171814161920[[#This Row],[PRICE]]/$L$1)</f>
        <v xml:space="preserve"> </v>
      </c>
      <c r="S3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2" s="30" t="str">
        <f>IF(Inventory_List_Table3411151091113171814161920[[#This Row],[Q]]&lt;0.1, " ",Inventory_List_Table3411151091113171814161920[[#This Row],[AQ RND USD]]*1.4)</f>
        <v xml:space="preserve"> </v>
      </c>
      <c r="U3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2" s="30" t="str">
        <f>IF(Inventory_List_Table3411151091113171814161920[[#This Row],[Q]]&lt;0.1, " ",Inventory_List_Table3411151091113171814161920[[#This Row],[LND RND USD]]*12)</f>
        <v xml:space="preserve"> </v>
      </c>
      <c r="W32" s="30" t="str">
        <f>IF(Inventory_List_Table3411151091113171814161920[[#This Row],[Q]]&lt;0.1, " ",Inventory_List_Table3411151091113171814161920[[#This Row],[AQ USD]])</f>
        <v xml:space="preserve"> </v>
      </c>
      <c r="X3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2" s="30" t="str">
        <f>IF(Inventory_List_Table3411151091113171814161920[[#This Row],[Q]]&lt;0.1, " ",Inventory_List_Table3411151091113171814161920[[#This Row],[PRICE]]/Z32*10000)</f>
        <v xml:space="preserve"> </v>
      </c>
      <c r="AB32" s="430"/>
      <c r="AC32" s="1"/>
      <c r="AD32" s="1"/>
    </row>
    <row r="33" spans="1:30" ht="24" customHeight="1" x14ac:dyDescent="0.3">
      <c r="A33" s="431">
        <v>31</v>
      </c>
      <c r="B33" s="1"/>
      <c r="C33" s="425"/>
      <c r="D33" s="425"/>
      <c r="E33" s="425"/>
      <c r="F33" s="38" t="str">
        <f>IF(Inventory_List_Table3411151091113171814161920[[#This Row],[Q]]&lt;0.1, " ",#REF!&amp;$D$1&amp;#REF!&amp;Inventory_List_Table3411151091113171814161920[[#This Row],[NOTES]])</f>
        <v xml:space="preserve"> </v>
      </c>
      <c r="G33" s="427"/>
      <c r="H33" s="427"/>
      <c r="I33" s="427"/>
      <c r="J33" s="427"/>
      <c r="K33" s="427"/>
      <c r="L33" s="429"/>
      <c r="M3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3" s="35" t="str">
        <f>IF(Inventory_List_Table3411151091113171814161920[[#This Row],[Q]]&lt;0.1, " ", Inventory_List_Table3411151091113171814161920[[#This Row],[KG]]*2.20462)</f>
        <v xml:space="preserve"> </v>
      </c>
      <c r="O33" s="35" t="str">
        <f>IF(Inventory_List_Table3411151091113171814161920[[#This Row],[Q]]&lt;0.1, " ",Inventory_List_Table3411151091113171814161920[[#This Row],[H CM]]/2.54)</f>
        <v xml:space="preserve"> </v>
      </c>
      <c r="P33" s="35" t="str">
        <f>IF(Inventory_List_Table3411151091113171814161920[[#This Row],[Q]]&lt;0.1, " ",Inventory_List_Table3411151091113171814161920[[#This Row],[W CM]]/2.54)</f>
        <v xml:space="preserve"> </v>
      </c>
      <c r="Q33" s="35" t="str">
        <f>IF(Inventory_List_Table3411151091113171814161920[[#This Row],[Q]]&lt;0.1, " ",Inventory_List_Table3411151091113171814161920[[#This Row],[D CM ]]/2.54)</f>
        <v xml:space="preserve"> </v>
      </c>
      <c r="R33" s="30" t="str">
        <f>IF(Inventory_List_Table3411151091113171814161920[[#This Row],[Q]]&lt;0.1, " ",Inventory_List_Table3411151091113171814161920[[#This Row],[PRICE]]/$L$1)</f>
        <v xml:space="preserve"> </v>
      </c>
      <c r="S3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3" s="30" t="str">
        <f>IF(Inventory_List_Table3411151091113171814161920[[#This Row],[Q]]&lt;0.1, " ",Inventory_List_Table3411151091113171814161920[[#This Row],[AQ RND USD]]*1.4)</f>
        <v xml:space="preserve"> </v>
      </c>
      <c r="U3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3" s="30" t="str">
        <f>IF(Inventory_List_Table3411151091113171814161920[[#This Row],[Q]]&lt;0.1, " ",Inventory_List_Table3411151091113171814161920[[#This Row],[LND RND USD]]*12)</f>
        <v xml:space="preserve"> </v>
      </c>
      <c r="W33" s="30" t="str">
        <f>IF(Inventory_List_Table3411151091113171814161920[[#This Row],[Q]]&lt;0.1, " ",Inventory_List_Table3411151091113171814161920[[#This Row],[AQ USD]])</f>
        <v xml:space="preserve"> </v>
      </c>
      <c r="X3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3" s="30" t="str">
        <f>IF(Inventory_List_Table3411151091113171814161920[[#This Row],[Q]]&lt;0.1, " ",Inventory_List_Table3411151091113171814161920[[#This Row],[PRICE]]/Z33*10000)</f>
        <v xml:space="preserve"> </v>
      </c>
      <c r="AB33" s="430"/>
      <c r="AC33" s="1"/>
      <c r="AD33" s="1"/>
    </row>
    <row r="34" spans="1:30" ht="24" customHeight="1" x14ac:dyDescent="0.3">
      <c r="A34" s="431">
        <v>32</v>
      </c>
      <c r="B34" s="1"/>
      <c r="C34" s="425"/>
      <c r="D34" s="425"/>
      <c r="E34" s="425"/>
      <c r="F34" s="38" t="str">
        <f>IF(Inventory_List_Table3411151091113171814161920[[#This Row],[Q]]&lt;0.1, " ",#REF!&amp;$D$1&amp;#REF!&amp;Inventory_List_Table3411151091113171814161920[[#This Row],[NOTES]])</f>
        <v xml:space="preserve"> </v>
      </c>
      <c r="G34" s="427"/>
      <c r="H34" s="427"/>
      <c r="I34" s="427"/>
      <c r="J34" s="427"/>
      <c r="K34" s="427"/>
      <c r="L34" s="429"/>
      <c r="M3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4" s="35" t="str">
        <f>IF(Inventory_List_Table3411151091113171814161920[[#This Row],[Q]]&lt;0.1, " ", Inventory_List_Table3411151091113171814161920[[#This Row],[KG]]*2.20462)</f>
        <v xml:space="preserve"> </v>
      </c>
      <c r="O34" s="35" t="str">
        <f>IF(Inventory_List_Table3411151091113171814161920[[#This Row],[Q]]&lt;0.1, " ",Inventory_List_Table3411151091113171814161920[[#This Row],[H CM]]/2.54)</f>
        <v xml:space="preserve"> </v>
      </c>
      <c r="P34" s="35" t="str">
        <f>IF(Inventory_List_Table3411151091113171814161920[[#This Row],[Q]]&lt;0.1, " ",Inventory_List_Table3411151091113171814161920[[#This Row],[W CM]]/2.54)</f>
        <v xml:space="preserve"> </v>
      </c>
      <c r="Q34" s="35" t="str">
        <f>IF(Inventory_List_Table3411151091113171814161920[[#This Row],[Q]]&lt;0.1, " ",Inventory_List_Table3411151091113171814161920[[#This Row],[D CM ]]/2.54)</f>
        <v xml:space="preserve"> </v>
      </c>
      <c r="R34" s="30" t="str">
        <f>IF(Inventory_List_Table3411151091113171814161920[[#This Row],[Q]]&lt;0.1, " ",Inventory_List_Table3411151091113171814161920[[#This Row],[PRICE]]/$L$1)</f>
        <v xml:space="preserve"> </v>
      </c>
      <c r="S3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4" s="30" t="str">
        <f>IF(Inventory_List_Table3411151091113171814161920[[#This Row],[Q]]&lt;0.1, " ",Inventory_List_Table3411151091113171814161920[[#This Row],[AQ RND USD]]*1.4)</f>
        <v xml:space="preserve"> </v>
      </c>
      <c r="U3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4" s="30" t="str">
        <f>IF(Inventory_List_Table3411151091113171814161920[[#This Row],[Q]]&lt;0.1, " ",Inventory_List_Table3411151091113171814161920[[#This Row],[LND RND USD]]*12)</f>
        <v xml:space="preserve"> </v>
      </c>
      <c r="W34" s="30" t="str">
        <f>IF(Inventory_List_Table3411151091113171814161920[[#This Row],[Q]]&lt;0.1, " ",Inventory_List_Table3411151091113171814161920[[#This Row],[AQ USD]])</f>
        <v xml:space="preserve"> </v>
      </c>
      <c r="X3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4" s="30" t="str">
        <f>IF(Inventory_List_Table3411151091113171814161920[[#This Row],[Q]]&lt;0.1, " ",Inventory_List_Table3411151091113171814161920[[#This Row],[PRICE]]/Z34*10000)</f>
        <v xml:space="preserve"> </v>
      </c>
      <c r="AB34" s="430"/>
      <c r="AC34" s="1"/>
      <c r="AD34" s="1"/>
    </row>
    <row r="35" spans="1:30" ht="24" customHeight="1" x14ac:dyDescent="0.3">
      <c r="A35" s="431">
        <v>33</v>
      </c>
      <c r="B35" s="1"/>
      <c r="C35" s="425"/>
      <c r="D35" s="425"/>
      <c r="E35" s="425"/>
      <c r="F35" s="38" t="str">
        <f>IF(Inventory_List_Table3411151091113171814161920[[#This Row],[Q]]&lt;0.1, " ",#REF!&amp;$D$1&amp;#REF!&amp;Inventory_List_Table3411151091113171814161920[[#This Row],[NOTES]])</f>
        <v xml:space="preserve"> </v>
      </c>
      <c r="G35" s="427"/>
      <c r="H35" s="427"/>
      <c r="I35" s="427"/>
      <c r="J35" s="427"/>
      <c r="K35" s="427"/>
      <c r="L35" s="429"/>
      <c r="M3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5" s="35" t="str">
        <f>IF(Inventory_List_Table3411151091113171814161920[[#This Row],[Q]]&lt;0.1, " ", Inventory_List_Table3411151091113171814161920[[#This Row],[KG]]*2.20462)</f>
        <v xml:space="preserve"> </v>
      </c>
      <c r="O35" s="35" t="str">
        <f>IF(Inventory_List_Table3411151091113171814161920[[#This Row],[Q]]&lt;0.1, " ",Inventory_List_Table3411151091113171814161920[[#This Row],[H CM]]/2.54)</f>
        <v xml:space="preserve"> </v>
      </c>
      <c r="P35" s="35" t="str">
        <f>IF(Inventory_List_Table3411151091113171814161920[[#This Row],[Q]]&lt;0.1, " ",Inventory_List_Table3411151091113171814161920[[#This Row],[W CM]]/2.54)</f>
        <v xml:space="preserve"> </v>
      </c>
      <c r="Q35" s="35" t="str">
        <f>IF(Inventory_List_Table3411151091113171814161920[[#This Row],[Q]]&lt;0.1, " ",Inventory_List_Table3411151091113171814161920[[#This Row],[D CM ]]/2.54)</f>
        <v xml:space="preserve"> </v>
      </c>
      <c r="R35" s="30" t="str">
        <f>IF(Inventory_List_Table3411151091113171814161920[[#This Row],[Q]]&lt;0.1, " ",Inventory_List_Table3411151091113171814161920[[#This Row],[PRICE]]/$L$1)</f>
        <v xml:space="preserve"> </v>
      </c>
      <c r="S3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5" s="30" t="str">
        <f>IF(Inventory_List_Table3411151091113171814161920[[#This Row],[Q]]&lt;0.1, " ",Inventory_List_Table3411151091113171814161920[[#This Row],[AQ RND USD]]*1.4)</f>
        <v xml:space="preserve"> </v>
      </c>
      <c r="U3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5" s="30" t="str">
        <f>IF(Inventory_List_Table3411151091113171814161920[[#This Row],[Q]]&lt;0.1, " ",Inventory_List_Table3411151091113171814161920[[#This Row],[LND RND USD]]*12)</f>
        <v xml:space="preserve"> </v>
      </c>
      <c r="W35" s="30" t="str">
        <f>IF(Inventory_List_Table3411151091113171814161920[[#This Row],[Q]]&lt;0.1, " ",Inventory_List_Table3411151091113171814161920[[#This Row],[AQ USD]])</f>
        <v xml:space="preserve"> </v>
      </c>
      <c r="X3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5" s="30" t="str">
        <f>IF(Inventory_List_Table3411151091113171814161920[[#This Row],[Q]]&lt;0.1, " ",Inventory_List_Table3411151091113171814161920[[#This Row],[PRICE]]/Z35*10000)</f>
        <v xml:space="preserve"> </v>
      </c>
      <c r="AB35" s="430"/>
      <c r="AC35" s="1"/>
      <c r="AD35" s="1"/>
    </row>
    <row r="36" spans="1:30" ht="24" customHeight="1" x14ac:dyDescent="0.3">
      <c r="A36" s="431">
        <v>34</v>
      </c>
      <c r="B36" s="1"/>
      <c r="C36" s="425"/>
      <c r="D36" s="425"/>
      <c r="E36" s="425"/>
      <c r="F36" s="38" t="str">
        <f>IF(Inventory_List_Table3411151091113171814161920[[#This Row],[Q]]&lt;0.1, " ",#REF!&amp;$D$1&amp;#REF!&amp;Inventory_List_Table3411151091113171814161920[[#This Row],[NOTES]])</f>
        <v xml:space="preserve"> </v>
      </c>
      <c r="G36" s="427"/>
      <c r="H36" s="427"/>
      <c r="I36" s="427"/>
      <c r="J36" s="427"/>
      <c r="K36" s="427"/>
      <c r="L36" s="429"/>
      <c r="M3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6" s="35" t="str">
        <f>IF(Inventory_List_Table3411151091113171814161920[[#This Row],[Q]]&lt;0.1, " ", Inventory_List_Table3411151091113171814161920[[#This Row],[KG]]*2.20462)</f>
        <v xml:space="preserve"> </v>
      </c>
      <c r="O36" s="35" t="str">
        <f>IF(Inventory_List_Table3411151091113171814161920[[#This Row],[Q]]&lt;0.1, " ",Inventory_List_Table3411151091113171814161920[[#This Row],[H CM]]/2.54)</f>
        <v xml:space="preserve"> </v>
      </c>
      <c r="P36" s="35" t="str">
        <f>IF(Inventory_List_Table3411151091113171814161920[[#This Row],[Q]]&lt;0.1, " ",Inventory_List_Table3411151091113171814161920[[#This Row],[W CM]]/2.54)</f>
        <v xml:space="preserve"> </v>
      </c>
      <c r="Q36" s="35" t="str">
        <f>IF(Inventory_List_Table3411151091113171814161920[[#This Row],[Q]]&lt;0.1, " ",Inventory_List_Table3411151091113171814161920[[#This Row],[D CM ]]/2.54)</f>
        <v xml:space="preserve"> </v>
      </c>
      <c r="R36" s="30" t="str">
        <f>IF(Inventory_List_Table3411151091113171814161920[[#This Row],[Q]]&lt;0.1, " ",Inventory_List_Table3411151091113171814161920[[#This Row],[PRICE]]/$L$1)</f>
        <v xml:space="preserve"> </v>
      </c>
      <c r="S3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6" s="30" t="str">
        <f>IF(Inventory_List_Table3411151091113171814161920[[#This Row],[Q]]&lt;0.1, " ",Inventory_List_Table3411151091113171814161920[[#This Row],[AQ RND USD]]*1.4)</f>
        <v xml:space="preserve"> </v>
      </c>
      <c r="U3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6" s="30" t="str">
        <f>IF(Inventory_List_Table3411151091113171814161920[[#This Row],[Q]]&lt;0.1, " ",Inventory_List_Table3411151091113171814161920[[#This Row],[LND RND USD]]*12)</f>
        <v xml:space="preserve"> </v>
      </c>
      <c r="W36" s="30" t="str">
        <f>IF(Inventory_List_Table3411151091113171814161920[[#This Row],[Q]]&lt;0.1, " ",Inventory_List_Table3411151091113171814161920[[#This Row],[AQ USD]])</f>
        <v xml:space="preserve"> </v>
      </c>
      <c r="X3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6" s="30" t="str">
        <f>IF(Inventory_List_Table3411151091113171814161920[[#This Row],[Q]]&lt;0.1, " ",Inventory_List_Table3411151091113171814161920[[#This Row],[PRICE]]/Z36*10000)</f>
        <v xml:space="preserve"> </v>
      </c>
      <c r="AB36" s="430"/>
      <c r="AC36" s="1"/>
      <c r="AD36" s="1"/>
    </row>
    <row r="37" spans="1:30" ht="24" customHeight="1" x14ac:dyDescent="0.3">
      <c r="A37" s="431">
        <v>35</v>
      </c>
      <c r="B37" s="1"/>
      <c r="C37" s="425"/>
      <c r="D37" s="425"/>
      <c r="E37" s="425"/>
      <c r="F37" s="38" t="str">
        <f>IF(Inventory_List_Table3411151091113171814161920[[#This Row],[Q]]&lt;0.1, " ",#REF!&amp;$D$1&amp;#REF!&amp;Inventory_List_Table3411151091113171814161920[[#This Row],[NOTES]])</f>
        <v xml:space="preserve"> </v>
      </c>
      <c r="G37" s="427"/>
      <c r="H37" s="427"/>
      <c r="I37" s="427"/>
      <c r="J37" s="427"/>
      <c r="K37" s="427"/>
      <c r="L37" s="429"/>
      <c r="M3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7" s="35" t="str">
        <f>IF(Inventory_List_Table3411151091113171814161920[[#This Row],[Q]]&lt;0.1, " ", Inventory_List_Table3411151091113171814161920[[#This Row],[KG]]*2.20462)</f>
        <v xml:space="preserve"> </v>
      </c>
      <c r="O37" s="35" t="str">
        <f>IF(Inventory_List_Table3411151091113171814161920[[#This Row],[Q]]&lt;0.1, " ",Inventory_List_Table3411151091113171814161920[[#This Row],[H CM]]/2.54)</f>
        <v xml:space="preserve"> </v>
      </c>
      <c r="P37" s="35" t="str">
        <f>IF(Inventory_List_Table3411151091113171814161920[[#This Row],[Q]]&lt;0.1, " ",Inventory_List_Table3411151091113171814161920[[#This Row],[W CM]]/2.54)</f>
        <v xml:space="preserve"> </v>
      </c>
      <c r="Q37" s="35" t="str">
        <f>IF(Inventory_List_Table3411151091113171814161920[[#This Row],[Q]]&lt;0.1, " ",Inventory_List_Table3411151091113171814161920[[#This Row],[D CM ]]/2.54)</f>
        <v xml:space="preserve"> </v>
      </c>
      <c r="R37" s="30" t="str">
        <f>IF(Inventory_List_Table3411151091113171814161920[[#This Row],[Q]]&lt;0.1, " ",Inventory_List_Table3411151091113171814161920[[#This Row],[PRICE]]/$L$1)</f>
        <v xml:space="preserve"> </v>
      </c>
      <c r="S3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7" s="30" t="str">
        <f>IF(Inventory_List_Table3411151091113171814161920[[#This Row],[Q]]&lt;0.1, " ",Inventory_List_Table3411151091113171814161920[[#This Row],[AQ RND USD]]*1.4)</f>
        <v xml:space="preserve"> </v>
      </c>
      <c r="U3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7" s="30" t="str">
        <f>IF(Inventory_List_Table3411151091113171814161920[[#This Row],[Q]]&lt;0.1, " ",Inventory_List_Table3411151091113171814161920[[#This Row],[LND RND USD]]*12)</f>
        <v xml:space="preserve"> </v>
      </c>
      <c r="W37" s="30" t="str">
        <f>IF(Inventory_List_Table3411151091113171814161920[[#This Row],[Q]]&lt;0.1, " ",Inventory_List_Table3411151091113171814161920[[#This Row],[AQ USD]])</f>
        <v xml:space="preserve"> </v>
      </c>
      <c r="X3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7" s="30" t="str">
        <f>IF(Inventory_List_Table3411151091113171814161920[[#This Row],[Q]]&lt;0.1, " ",Inventory_List_Table3411151091113171814161920[[#This Row],[PRICE]]/Z37*10000)</f>
        <v xml:space="preserve"> </v>
      </c>
      <c r="AB37" s="430"/>
      <c r="AC37" s="1"/>
      <c r="AD37" s="1"/>
    </row>
    <row r="38" spans="1:30" ht="24" customHeight="1" x14ac:dyDescent="0.3">
      <c r="A38" s="431">
        <v>36</v>
      </c>
      <c r="B38" s="1"/>
      <c r="C38" s="425"/>
      <c r="D38" s="425"/>
      <c r="E38" s="425"/>
      <c r="F38" s="38" t="str">
        <f>IF(Inventory_List_Table3411151091113171814161920[[#This Row],[Q]]&lt;0.1, " ",#REF!&amp;$D$1&amp;#REF!&amp;Inventory_List_Table3411151091113171814161920[[#This Row],[NOTES]])</f>
        <v xml:space="preserve"> </v>
      </c>
      <c r="G38" s="427"/>
      <c r="H38" s="427"/>
      <c r="I38" s="427"/>
      <c r="J38" s="427"/>
      <c r="K38" s="427"/>
      <c r="L38" s="429"/>
      <c r="M3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8" s="35" t="str">
        <f>IF(Inventory_List_Table3411151091113171814161920[[#This Row],[Q]]&lt;0.1, " ", Inventory_List_Table3411151091113171814161920[[#This Row],[KG]]*2.20462)</f>
        <v xml:space="preserve"> </v>
      </c>
      <c r="O38" s="35" t="str">
        <f>IF(Inventory_List_Table3411151091113171814161920[[#This Row],[Q]]&lt;0.1, " ",Inventory_List_Table3411151091113171814161920[[#This Row],[H CM]]/2.54)</f>
        <v xml:space="preserve"> </v>
      </c>
      <c r="P38" s="35" t="str">
        <f>IF(Inventory_List_Table3411151091113171814161920[[#This Row],[Q]]&lt;0.1, " ",Inventory_List_Table3411151091113171814161920[[#This Row],[W CM]]/2.54)</f>
        <v xml:space="preserve"> </v>
      </c>
      <c r="Q38" s="35" t="str">
        <f>IF(Inventory_List_Table3411151091113171814161920[[#This Row],[Q]]&lt;0.1, " ",Inventory_List_Table3411151091113171814161920[[#This Row],[D CM ]]/2.54)</f>
        <v xml:space="preserve"> </v>
      </c>
      <c r="R38" s="30" t="str">
        <f>IF(Inventory_List_Table3411151091113171814161920[[#This Row],[Q]]&lt;0.1, " ",Inventory_List_Table3411151091113171814161920[[#This Row],[PRICE]]/$L$1)</f>
        <v xml:space="preserve"> </v>
      </c>
      <c r="S3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8" s="30" t="str">
        <f>IF(Inventory_List_Table3411151091113171814161920[[#This Row],[Q]]&lt;0.1, " ",Inventory_List_Table3411151091113171814161920[[#This Row],[AQ RND USD]]*1.4)</f>
        <v xml:space="preserve"> </v>
      </c>
      <c r="U3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8" s="30" t="str">
        <f>IF(Inventory_List_Table3411151091113171814161920[[#This Row],[Q]]&lt;0.1, " ",Inventory_List_Table3411151091113171814161920[[#This Row],[LND RND USD]]*12)</f>
        <v xml:space="preserve"> </v>
      </c>
      <c r="W38" s="30" t="str">
        <f>IF(Inventory_List_Table3411151091113171814161920[[#This Row],[Q]]&lt;0.1, " ",Inventory_List_Table3411151091113171814161920[[#This Row],[AQ USD]])</f>
        <v xml:space="preserve"> </v>
      </c>
      <c r="X3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8" s="30" t="str">
        <f>IF(Inventory_List_Table3411151091113171814161920[[#This Row],[Q]]&lt;0.1, " ",Inventory_List_Table3411151091113171814161920[[#This Row],[PRICE]]/Z38*10000)</f>
        <v xml:space="preserve"> </v>
      </c>
      <c r="AB38" s="430"/>
      <c r="AC38" s="1"/>
      <c r="AD38" s="1"/>
    </row>
    <row r="39" spans="1:30" ht="24" customHeight="1" x14ac:dyDescent="0.3">
      <c r="A39" s="431">
        <v>37</v>
      </c>
      <c r="B39" s="1"/>
      <c r="C39" s="425"/>
      <c r="D39" s="425"/>
      <c r="E39" s="425"/>
      <c r="F39" s="38" t="str">
        <f>IF(Inventory_List_Table3411151091113171814161920[[#This Row],[Q]]&lt;0.1, " ",#REF!&amp;$D$1&amp;#REF!&amp;Inventory_List_Table3411151091113171814161920[[#This Row],[NOTES]])</f>
        <v xml:space="preserve"> </v>
      </c>
      <c r="G39" s="427"/>
      <c r="H39" s="427"/>
      <c r="I39" s="427"/>
      <c r="J39" s="427"/>
      <c r="K39" s="427"/>
      <c r="L39" s="429"/>
      <c r="M3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39" s="35" t="str">
        <f>IF(Inventory_List_Table3411151091113171814161920[[#This Row],[Q]]&lt;0.1, " ", Inventory_List_Table3411151091113171814161920[[#This Row],[KG]]*2.20462)</f>
        <v xml:space="preserve"> </v>
      </c>
      <c r="O39" s="35" t="str">
        <f>IF(Inventory_List_Table3411151091113171814161920[[#This Row],[Q]]&lt;0.1, " ",Inventory_List_Table3411151091113171814161920[[#This Row],[H CM]]/2.54)</f>
        <v xml:space="preserve"> </v>
      </c>
      <c r="P39" s="35" t="str">
        <f>IF(Inventory_List_Table3411151091113171814161920[[#This Row],[Q]]&lt;0.1, " ",Inventory_List_Table3411151091113171814161920[[#This Row],[W CM]]/2.54)</f>
        <v xml:space="preserve"> </v>
      </c>
      <c r="Q39" s="35" t="str">
        <f>IF(Inventory_List_Table3411151091113171814161920[[#This Row],[Q]]&lt;0.1, " ",Inventory_List_Table3411151091113171814161920[[#This Row],[D CM ]]/2.54)</f>
        <v xml:space="preserve"> </v>
      </c>
      <c r="R39" s="30" t="str">
        <f>IF(Inventory_List_Table3411151091113171814161920[[#This Row],[Q]]&lt;0.1, " ",Inventory_List_Table3411151091113171814161920[[#This Row],[PRICE]]/$L$1)</f>
        <v xml:space="preserve"> </v>
      </c>
      <c r="S3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39" s="30" t="str">
        <f>IF(Inventory_List_Table3411151091113171814161920[[#This Row],[Q]]&lt;0.1, " ",Inventory_List_Table3411151091113171814161920[[#This Row],[AQ RND USD]]*1.4)</f>
        <v xml:space="preserve"> </v>
      </c>
      <c r="U3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39" s="30" t="str">
        <f>IF(Inventory_List_Table3411151091113171814161920[[#This Row],[Q]]&lt;0.1, " ",Inventory_List_Table3411151091113171814161920[[#This Row],[LND RND USD]]*12)</f>
        <v xml:space="preserve"> </v>
      </c>
      <c r="W39" s="30" t="str">
        <f>IF(Inventory_List_Table3411151091113171814161920[[#This Row],[Q]]&lt;0.1, " ",Inventory_List_Table3411151091113171814161920[[#This Row],[AQ USD]])</f>
        <v xml:space="preserve"> </v>
      </c>
      <c r="X3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3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3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39" s="30" t="str">
        <f>IF(Inventory_List_Table3411151091113171814161920[[#This Row],[Q]]&lt;0.1, " ",Inventory_List_Table3411151091113171814161920[[#This Row],[PRICE]]/Z39*10000)</f>
        <v xml:space="preserve"> </v>
      </c>
      <c r="AB39" s="430"/>
      <c r="AC39" s="1"/>
      <c r="AD39" s="1"/>
    </row>
    <row r="40" spans="1:30" ht="24" customHeight="1" x14ac:dyDescent="0.3">
      <c r="A40" s="431">
        <v>38</v>
      </c>
      <c r="B40" s="1"/>
      <c r="C40" s="425"/>
      <c r="D40" s="425"/>
      <c r="E40" s="425"/>
      <c r="F40" s="38" t="str">
        <f>IF(Inventory_List_Table3411151091113171814161920[[#This Row],[Q]]&lt;0.1, " ",#REF!&amp;$D$1&amp;#REF!&amp;Inventory_List_Table3411151091113171814161920[[#This Row],[NOTES]])</f>
        <v xml:space="preserve"> </v>
      </c>
      <c r="G40" s="427"/>
      <c r="H40" s="427"/>
      <c r="I40" s="427"/>
      <c r="J40" s="427"/>
      <c r="K40" s="427"/>
      <c r="L40" s="429"/>
      <c r="M4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0" s="35" t="str">
        <f>IF(Inventory_List_Table3411151091113171814161920[[#This Row],[Q]]&lt;0.1, " ", Inventory_List_Table3411151091113171814161920[[#This Row],[KG]]*2.20462)</f>
        <v xml:space="preserve"> </v>
      </c>
      <c r="O40" s="35" t="str">
        <f>IF(Inventory_List_Table3411151091113171814161920[[#This Row],[Q]]&lt;0.1, " ",Inventory_List_Table3411151091113171814161920[[#This Row],[H CM]]/2.54)</f>
        <v xml:space="preserve"> </v>
      </c>
      <c r="P40" s="35" t="str">
        <f>IF(Inventory_List_Table3411151091113171814161920[[#This Row],[Q]]&lt;0.1, " ",Inventory_List_Table3411151091113171814161920[[#This Row],[W CM]]/2.54)</f>
        <v xml:space="preserve"> </v>
      </c>
      <c r="Q40" s="35" t="str">
        <f>IF(Inventory_List_Table3411151091113171814161920[[#This Row],[Q]]&lt;0.1, " ",Inventory_List_Table3411151091113171814161920[[#This Row],[D CM ]]/2.54)</f>
        <v xml:space="preserve"> </v>
      </c>
      <c r="R40" s="30" t="str">
        <f>IF(Inventory_List_Table3411151091113171814161920[[#This Row],[Q]]&lt;0.1, " ",Inventory_List_Table3411151091113171814161920[[#This Row],[PRICE]]/$L$1)</f>
        <v xml:space="preserve"> </v>
      </c>
      <c r="S4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0" s="30" t="str">
        <f>IF(Inventory_List_Table3411151091113171814161920[[#This Row],[Q]]&lt;0.1, " ",Inventory_List_Table3411151091113171814161920[[#This Row],[AQ RND USD]]*1.4)</f>
        <v xml:space="preserve"> </v>
      </c>
      <c r="U4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0" s="30" t="str">
        <f>IF(Inventory_List_Table3411151091113171814161920[[#This Row],[Q]]&lt;0.1, " ",Inventory_List_Table3411151091113171814161920[[#This Row],[LND RND USD]]*12)</f>
        <v xml:space="preserve"> </v>
      </c>
      <c r="W40" s="30" t="str">
        <f>IF(Inventory_List_Table3411151091113171814161920[[#This Row],[Q]]&lt;0.1, " ",Inventory_List_Table3411151091113171814161920[[#This Row],[AQ USD]])</f>
        <v xml:space="preserve"> </v>
      </c>
      <c r="X4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0" s="30" t="str">
        <f>IF(Inventory_List_Table3411151091113171814161920[[#This Row],[Q]]&lt;0.1, " ",Inventory_List_Table3411151091113171814161920[[#This Row],[PRICE]]/Z40*10000)</f>
        <v xml:space="preserve"> </v>
      </c>
      <c r="AB40" s="430"/>
      <c r="AC40" s="1"/>
      <c r="AD40" s="1"/>
    </row>
    <row r="41" spans="1:30" ht="24" customHeight="1" x14ac:dyDescent="0.3">
      <c r="A41" s="431">
        <v>39</v>
      </c>
      <c r="B41" s="1"/>
      <c r="C41" s="425"/>
      <c r="D41" s="425"/>
      <c r="E41" s="425"/>
      <c r="F41" s="38" t="str">
        <f>IF(Inventory_List_Table3411151091113171814161920[[#This Row],[Q]]&lt;0.1, " ",#REF!&amp;$D$1&amp;#REF!&amp;Inventory_List_Table3411151091113171814161920[[#This Row],[NOTES]])</f>
        <v xml:space="preserve"> </v>
      </c>
      <c r="G41" s="427"/>
      <c r="H41" s="427"/>
      <c r="I41" s="427"/>
      <c r="J41" s="427"/>
      <c r="K41" s="427"/>
      <c r="L41" s="429"/>
      <c r="M4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1" s="35" t="str">
        <f>IF(Inventory_List_Table3411151091113171814161920[[#This Row],[Q]]&lt;0.1, " ", Inventory_List_Table3411151091113171814161920[[#This Row],[KG]]*2.20462)</f>
        <v xml:space="preserve"> </v>
      </c>
      <c r="O41" s="35" t="str">
        <f>IF(Inventory_List_Table3411151091113171814161920[[#This Row],[Q]]&lt;0.1, " ",Inventory_List_Table3411151091113171814161920[[#This Row],[H CM]]/2.54)</f>
        <v xml:space="preserve"> </v>
      </c>
      <c r="P41" s="35" t="str">
        <f>IF(Inventory_List_Table3411151091113171814161920[[#This Row],[Q]]&lt;0.1, " ",Inventory_List_Table3411151091113171814161920[[#This Row],[W CM]]/2.54)</f>
        <v xml:space="preserve"> </v>
      </c>
      <c r="Q41" s="35" t="str">
        <f>IF(Inventory_List_Table3411151091113171814161920[[#This Row],[Q]]&lt;0.1, " ",Inventory_List_Table3411151091113171814161920[[#This Row],[D CM ]]/2.54)</f>
        <v xml:space="preserve"> </v>
      </c>
      <c r="R41" s="30" t="str">
        <f>IF(Inventory_List_Table3411151091113171814161920[[#This Row],[Q]]&lt;0.1, " ",Inventory_List_Table3411151091113171814161920[[#This Row],[PRICE]]/$L$1)</f>
        <v xml:space="preserve"> </v>
      </c>
      <c r="S4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1" s="30" t="str">
        <f>IF(Inventory_List_Table3411151091113171814161920[[#This Row],[Q]]&lt;0.1, " ",Inventory_List_Table3411151091113171814161920[[#This Row],[AQ RND USD]]*1.4)</f>
        <v xml:space="preserve"> </v>
      </c>
      <c r="U4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1" s="30" t="str">
        <f>IF(Inventory_List_Table3411151091113171814161920[[#This Row],[Q]]&lt;0.1, " ",Inventory_List_Table3411151091113171814161920[[#This Row],[LND RND USD]]*12)</f>
        <v xml:space="preserve"> </v>
      </c>
      <c r="W41" s="30" t="str">
        <f>IF(Inventory_List_Table3411151091113171814161920[[#This Row],[Q]]&lt;0.1, " ",Inventory_List_Table3411151091113171814161920[[#This Row],[AQ USD]])</f>
        <v xml:space="preserve"> </v>
      </c>
      <c r="X4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1" s="30" t="str">
        <f>IF(Inventory_List_Table3411151091113171814161920[[#This Row],[Q]]&lt;0.1, " ",Inventory_List_Table3411151091113171814161920[[#This Row],[PRICE]]/Z41*10000)</f>
        <v xml:space="preserve"> </v>
      </c>
      <c r="AB41" s="430"/>
      <c r="AC41" s="1"/>
      <c r="AD41" s="1"/>
    </row>
    <row r="42" spans="1:30" ht="24" customHeight="1" x14ac:dyDescent="0.3">
      <c r="A42" s="431">
        <v>40</v>
      </c>
      <c r="B42" s="1"/>
      <c r="C42" s="425"/>
      <c r="D42" s="425"/>
      <c r="E42" s="425"/>
      <c r="F42" s="38" t="str">
        <f>IF(Inventory_List_Table3411151091113171814161920[[#This Row],[Q]]&lt;0.1, " ",#REF!&amp;$D$1&amp;#REF!&amp;Inventory_List_Table3411151091113171814161920[[#This Row],[NOTES]])</f>
        <v xml:space="preserve"> </v>
      </c>
      <c r="G42" s="427"/>
      <c r="H42" s="427"/>
      <c r="I42" s="427"/>
      <c r="J42" s="427"/>
      <c r="K42" s="427"/>
      <c r="L42" s="429"/>
      <c r="M4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2" s="35" t="str">
        <f>IF(Inventory_List_Table3411151091113171814161920[[#This Row],[Q]]&lt;0.1, " ", Inventory_List_Table3411151091113171814161920[[#This Row],[KG]]*2.20462)</f>
        <v xml:space="preserve"> </v>
      </c>
      <c r="O42" s="35" t="str">
        <f>IF(Inventory_List_Table3411151091113171814161920[[#This Row],[Q]]&lt;0.1, " ",Inventory_List_Table3411151091113171814161920[[#This Row],[H CM]]/2.54)</f>
        <v xml:space="preserve"> </v>
      </c>
      <c r="P42" s="35" t="str">
        <f>IF(Inventory_List_Table3411151091113171814161920[[#This Row],[Q]]&lt;0.1, " ",Inventory_List_Table3411151091113171814161920[[#This Row],[W CM]]/2.54)</f>
        <v xml:space="preserve"> </v>
      </c>
      <c r="Q42" s="35" t="str">
        <f>IF(Inventory_List_Table3411151091113171814161920[[#This Row],[Q]]&lt;0.1, " ",Inventory_List_Table3411151091113171814161920[[#This Row],[D CM ]]/2.54)</f>
        <v xml:space="preserve"> </v>
      </c>
      <c r="R42" s="30" t="str">
        <f>IF(Inventory_List_Table3411151091113171814161920[[#This Row],[Q]]&lt;0.1, " ",Inventory_List_Table3411151091113171814161920[[#This Row],[PRICE]]/$L$1)</f>
        <v xml:space="preserve"> </v>
      </c>
      <c r="S4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2" s="30" t="str">
        <f>IF(Inventory_List_Table3411151091113171814161920[[#This Row],[Q]]&lt;0.1, " ",Inventory_List_Table3411151091113171814161920[[#This Row],[AQ RND USD]]*1.4)</f>
        <v xml:space="preserve"> </v>
      </c>
      <c r="U4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2" s="30" t="str">
        <f>IF(Inventory_List_Table3411151091113171814161920[[#This Row],[Q]]&lt;0.1, " ",Inventory_List_Table3411151091113171814161920[[#This Row],[LND RND USD]]*12)</f>
        <v xml:space="preserve"> </v>
      </c>
      <c r="W42" s="30" t="str">
        <f>IF(Inventory_List_Table3411151091113171814161920[[#This Row],[Q]]&lt;0.1, " ",Inventory_List_Table3411151091113171814161920[[#This Row],[AQ USD]])</f>
        <v xml:space="preserve"> </v>
      </c>
      <c r="X4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2" s="30" t="str">
        <f>IF(Inventory_List_Table3411151091113171814161920[[#This Row],[Q]]&lt;0.1, " ",Inventory_List_Table3411151091113171814161920[[#This Row],[PRICE]]/Z42*10000)</f>
        <v xml:space="preserve"> </v>
      </c>
      <c r="AB42" s="430"/>
      <c r="AC42" s="1"/>
      <c r="AD42" s="1"/>
    </row>
    <row r="43" spans="1:30" ht="24" customHeight="1" x14ac:dyDescent="0.3">
      <c r="A43" s="431">
        <v>41</v>
      </c>
      <c r="B43" s="1"/>
      <c r="C43" s="425"/>
      <c r="D43" s="425"/>
      <c r="E43" s="425"/>
      <c r="F43" s="38" t="str">
        <f>IF(Inventory_List_Table3411151091113171814161920[[#This Row],[Q]]&lt;0.1, " ",#REF!&amp;$D$1&amp;#REF!&amp;Inventory_List_Table3411151091113171814161920[[#This Row],[NOTES]])</f>
        <v xml:space="preserve"> </v>
      </c>
      <c r="G43" s="427"/>
      <c r="H43" s="427"/>
      <c r="I43" s="427"/>
      <c r="J43" s="427"/>
      <c r="K43" s="427"/>
      <c r="L43" s="429"/>
      <c r="M4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3" s="35" t="str">
        <f>IF(Inventory_List_Table3411151091113171814161920[[#This Row],[Q]]&lt;0.1, " ", Inventory_List_Table3411151091113171814161920[[#This Row],[KG]]*2.20462)</f>
        <v xml:space="preserve"> </v>
      </c>
      <c r="O43" s="35" t="str">
        <f>IF(Inventory_List_Table3411151091113171814161920[[#This Row],[Q]]&lt;0.1, " ",Inventory_List_Table3411151091113171814161920[[#This Row],[H CM]]/2.54)</f>
        <v xml:space="preserve"> </v>
      </c>
      <c r="P43" s="35" t="str">
        <f>IF(Inventory_List_Table3411151091113171814161920[[#This Row],[Q]]&lt;0.1, " ",Inventory_List_Table3411151091113171814161920[[#This Row],[W CM]]/2.54)</f>
        <v xml:space="preserve"> </v>
      </c>
      <c r="Q43" s="35" t="str">
        <f>IF(Inventory_List_Table3411151091113171814161920[[#This Row],[Q]]&lt;0.1, " ",Inventory_List_Table3411151091113171814161920[[#This Row],[D CM ]]/2.54)</f>
        <v xml:space="preserve"> </v>
      </c>
      <c r="R43" s="30" t="str">
        <f>IF(Inventory_List_Table3411151091113171814161920[[#This Row],[Q]]&lt;0.1, " ",Inventory_List_Table3411151091113171814161920[[#This Row],[PRICE]]/$L$1)</f>
        <v xml:space="preserve"> </v>
      </c>
      <c r="S4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3" s="30" t="str">
        <f>IF(Inventory_List_Table3411151091113171814161920[[#This Row],[Q]]&lt;0.1, " ",Inventory_List_Table3411151091113171814161920[[#This Row],[AQ RND USD]]*1.4)</f>
        <v xml:space="preserve"> </v>
      </c>
      <c r="U4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3" s="30" t="str">
        <f>IF(Inventory_List_Table3411151091113171814161920[[#This Row],[Q]]&lt;0.1, " ",Inventory_List_Table3411151091113171814161920[[#This Row],[LND RND USD]]*12)</f>
        <v xml:space="preserve"> </v>
      </c>
      <c r="W43" s="30" t="str">
        <f>IF(Inventory_List_Table3411151091113171814161920[[#This Row],[Q]]&lt;0.1, " ",Inventory_List_Table3411151091113171814161920[[#This Row],[AQ USD]])</f>
        <v xml:space="preserve"> </v>
      </c>
      <c r="X4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3" s="30" t="str">
        <f>IF(Inventory_List_Table3411151091113171814161920[[#This Row],[Q]]&lt;0.1, " ",Inventory_List_Table3411151091113171814161920[[#This Row],[PRICE]]/Z43*10000)</f>
        <v xml:space="preserve"> </v>
      </c>
      <c r="AB43" s="430"/>
      <c r="AC43" s="1"/>
      <c r="AD43" s="1"/>
    </row>
    <row r="44" spans="1:30" ht="24" customHeight="1" x14ac:dyDescent="0.3">
      <c r="A44" s="431">
        <v>42</v>
      </c>
      <c r="B44" s="1"/>
      <c r="C44" s="425"/>
      <c r="D44" s="425"/>
      <c r="E44" s="425"/>
      <c r="F44" s="38" t="str">
        <f>IF(Inventory_List_Table3411151091113171814161920[[#This Row],[Q]]&lt;0.1, " ",#REF!&amp;$D$1&amp;#REF!&amp;Inventory_List_Table3411151091113171814161920[[#This Row],[NOTES]])</f>
        <v xml:space="preserve"> </v>
      </c>
      <c r="G44" s="427"/>
      <c r="H44" s="427"/>
      <c r="I44" s="427"/>
      <c r="J44" s="427"/>
      <c r="K44" s="427"/>
      <c r="L44" s="429"/>
      <c r="M4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4" s="35" t="str">
        <f>IF(Inventory_List_Table3411151091113171814161920[[#This Row],[Q]]&lt;0.1, " ", Inventory_List_Table3411151091113171814161920[[#This Row],[KG]]*2.20462)</f>
        <v xml:space="preserve"> </v>
      </c>
      <c r="O44" s="35" t="str">
        <f>IF(Inventory_List_Table3411151091113171814161920[[#This Row],[Q]]&lt;0.1, " ",Inventory_List_Table3411151091113171814161920[[#This Row],[H CM]]/2.54)</f>
        <v xml:space="preserve"> </v>
      </c>
      <c r="P44" s="35" t="str">
        <f>IF(Inventory_List_Table3411151091113171814161920[[#This Row],[Q]]&lt;0.1, " ",Inventory_List_Table3411151091113171814161920[[#This Row],[W CM]]/2.54)</f>
        <v xml:space="preserve"> </v>
      </c>
      <c r="Q44" s="35" t="str">
        <f>IF(Inventory_List_Table3411151091113171814161920[[#This Row],[Q]]&lt;0.1, " ",Inventory_List_Table3411151091113171814161920[[#This Row],[D CM ]]/2.54)</f>
        <v xml:space="preserve"> </v>
      </c>
      <c r="R44" s="30" t="str">
        <f>IF(Inventory_List_Table3411151091113171814161920[[#This Row],[Q]]&lt;0.1, " ",Inventory_List_Table3411151091113171814161920[[#This Row],[PRICE]]/$L$1)</f>
        <v xml:space="preserve"> </v>
      </c>
      <c r="S4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4" s="30" t="str">
        <f>IF(Inventory_List_Table3411151091113171814161920[[#This Row],[Q]]&lt;0.1, " ",Inventory_List_Table3411151091113171814161920[[#This Row],[AQ RND USD]]*1.4)</f>
        <v xml:space="preserve"> </v>
      </c>
      <c r="U4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4" s="30" t="str">
        <f>IF(Inventory_List_Table3411151091113171814161920[[#This Row],[Q]]&lt;0.1, " ",Inventory_List_Table3411151091113171814161920[[#This Row],[LND RND USD]]*12)</f>
        <v xml:space="preserve"> </v>
      </c>
      <c r="W44" s="30" t="str">
        <f>IF(Inventory_List_Table3411151091113171814161920[[#This Row],[Q]]&lt;0.1, " ",Inventory_List_Table3411151091113171814161920[[#This Row],[AQ USD]])</f>
        <v xml:space="preserve"> </v>
      </c>
      <c r="X4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4" s="30" t="str">
        <f>IF(Inventory_List_Table3411151091113171814161920[[#This Row],[Q]]&lt;0.1, " ",Inventory_List_Table3411151091113171814161920[[#This Row],[PRICE]]/Z44*10000)</f>
        <v xml:space="preserve"> </v>
      </c>
      <c r="AB44" s="430"/>
      <c r="AC44" s="1"/>
      <c r="AD44" s="1"/>
    </row>
    <row r="45" spans="1:30" ht="24" customHeight="1" x14ac:dyDescent="0.3">
      <c r="A45" s="431">
        <v>43</v>
      </c>
      <c r="B45" s="1"/>
      <c r="C45" s="425"/>
      <c r="D45" s="425"/>
      <c r="E45" s="425"/>
      <c r="F45" s="38" t="str">
        <f>IF(Inventory_List_Table3411151091113171814161920[[#This Row],[Q]]&lt;0.1, " ",#REF!&amp;$D$1&amp;#REF!&amp;Inventory_List_Table3411151091113171814161920[[#This Row],[NOTES]])</f>
        <v xml:space="preserve"> </v>
      </c>
      <c r="G45" s="427"/>
      <c r="H45" s="427"/>
      <c r="I45" s="427"/>
      <c r="J45" s="427"/>
      <c r="K45" s="427"/>
      <c r="L45" s="429"/>
      <c r="M4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5" s="35" t="str">
        <f>IF(Inventory_List_Table3411151091113171814161920[[#This Row],[Q]]&lt;0.1, " ", Inventory_List_Table3411151091113171814161920[[#This Row],[KG]]*2.20462)</f>
        <v xml:space="preserve"> </v>
      </c>
      <c r="O45" s="35" t="str">
        <f>IF(Inventory_List_Table3411151091113171814161920[[#This Row],[Q]]&lt;0.1, " ",Inventory_List_Table3411151091113171814161920[[#This Row],[H CM]]/2.54)</f>
        <v xml:space="preserve"> </v>
      </c>
      <c r="P45" s="35" t="str">
        <f>IF(Inventory_List_Table3411151091113171814161920[[#This Row],[Q]]&lt;0.1, " ",Inventory_List_Table3411151091113171814161920[[#This Row],[W CM]]/2.54)</f>
        <v xml:space="preserve"> </v>
      </c>
      <c r="Q45" s="35" t="str">
        <f>IF(Inventory_List_Table3411151091113171814161920[[#This Row],[Q]]&lt;0.1, " ",Inventory_List_Table3411151091113171814161920[[#This Row],[D CM ]]/2.54)</f>
        <v xml:space="preserve"> </v>
      </c>
      <c r="R45" s="30" t="str">
        <f>IF(Inventory_List_Table3411151091113171814161920[[#This Row],[Q]]&lt;0.1, " ",Inventory_List_Table3411151091113171814161920[[#This Row],[PRICE]]/$L$1)</f>
        <v xml:space="preserve"> </v>
      </c>
      <c r="S4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5" s="30" t="str">
        <f>IF(Inventory_List_Table3411151091113171814161920[[#This Row],[Q]]&lt;0.1, " ",Inventory_List_Table3411151091113171814161920[[#This Row],[AQ RND USD]]*1.4)</f>
        <v xml:space="preserve"> </v>
      </c>
      <c r="U4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5" s="30" t="str">
        <f>IF(Inventory_List_Table3411151091113171814161920[[#This Row],[Q]]&lt;0.1, " ",Inventory_List_Table3411151091113171814161920[[#This Row],[LND RND USD]]*12)</f>
        <v xml:space="preserve"> </v>
      </c>
      <c r="W45" s="30" t="str">
        <f>IF(Inventory_List_Table3411151091113171814161920[[#This Row],[Q]]&lt;0.1, " ",Inventory_List_Table3411151091113171814161920[[#This Row],[AQ USD]])</f>
        <v xml:space="preserve"> </v>
      </c>
      <c r="X4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5" s="30" t="str">
        <f>IF(Inventory_List_Table3411151091113171814161920[[#This Row],[Q]]&lt;0.1, " ",Inventory_List_Table3411151091113171814161920[[#This Row],[PRICE]]/Z45*10000)</f>
        <v xml:space="preserve"> </v>
      </c>
      <c r="AB45" s="430"/>
      <c r="AC45" s="1"/>
      <c r="AD45" s="1"/>
    </row>
    <row r="46" spans="1:30" ht="24" customHeight="1" x14ac:dyDescent="0.3">
      <c r="A46" s="431">
        <v>44</v>
      </c>
      <c r="B46" s="1"/>
      <c r="C46" s="425"/>
      <c r="D46" s="425"/>
      <c r="E46" s="425"/>
      <c r="F46" s="38" t="str">
        <f>IF(Inventory_List_Table3411151091113171814161920[[#This Row],[Q]]&lt;0.1, " ",#REF!&amp;$D$1&amp;#REF!&amp;Inventory_List_Table3411151091113171814161920[[#This Row],[NOTES]])</f>
        <v xml:space="preserve"> </v>
      </c>
      <c r="G46" s="427"/>
      <c r="H46" s="427"/>
      <c r="I46" s="427"/>
      <c r="J46" s="427"/>
      <c r="K46" s="427"/>
      <c r="L46" s="429"/>
      <c r="M4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6" s="35" t="str">
        <f>IF(Inventory_List_Table3411151091113171814161920[[#This Row],[Q]]&lt;0.1, " ", Inventory_List_Table3411151091113171814161920[[#This Row],[KG]]*2.20462)</f>
        <v xml:space="preserve"> </v>
      </c>
      <c r="O46" s="35" t="str">
        <f>IF(Inventory_List_Table3411151091113171814161920[[#This Row],[Q]]&lt;0.1, " ",Inventory_List_Table3411151091113171814161920[[#This Row],[H CM]]/2.54)</f>
        <v xml:space="preserve"> </v>
      </c>
      <c r="P46" s="35" t="str">
        <f>IF(Inventory_List_Table3411151091113171814161920[[#This Row],[Q]]&lt;0.1, " ",Inventory_List_Table3411151091113171814161920[[#This Row],[W CM]]/2.54)</f>
        <v xml:space="preserve"> </v>
      </c>
      <c r="Q46" s="35" t="str">
        <f>IF(Inventory_List_Table3411151091113171814161920[[#This Row],[Q]]&lt;0.1, " ",Inventory_List_Table3411151091113171814161920[[#This Row],[D CM ]]/2.54)</f>
        <v xml:space="preserve"> </v>
      </c>
      <c r="R46" s="30" t="str">
        <f>IF(Inventory_List_Table3411151091113171814161920[[#This Row],[Q]]&lt;0.1, " ",Inventory_List_Table3411151091113171814161920[[#This Row],[PRICE]]/$L$1)</f>
        <v xml:space="preserve"> </v>
      </c>
      <c r="S4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6" s="30" t="str">
        <f>IF(Inventory_List_Table3411151091113171814161920[[#This Row],[Q]]&lt;0.1, " ",Inventory_List_Table3411151091113171814161920[[#This Row],[AQ RND USD]]*1.4)</f>
        <v xml:space="preserve"> </v>
      </c>
      <c r="U4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6" s="30" t="str">
        <f>IF(Inventory_List_Table3411151091113171814161920[[#This Row],[Q]]&lt;0.1, " ",Inventory_List_Table3411151091113171814161920[[#This Row],[LND RND USD]]*12)</f>
        <v xml:space="preserve"> </v>
      </c>
      <c r="W46" s="30" t="str">
        <f>IF(Inventory_List_Table3411151091113171814161920[[#This Row],[Q]]&lt;0.1, " ",Inventory_List_Table3411151091113171814161920[[#This Row],[AQ USD]])</f>
        <v xml:space="preserve"> </v>
      </c>
      <c r="X4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6" s="30" t="str">
        <f>IF(Inventory_List_Table3411151091113171814161920[[#This Row],[Q]]&lt;0.1, " ",Inventory_List_Table3411151091113171814161920[[#This Row],[PRICE]]/Z46*10000)</f>
        <v xml:space="preserve"> </v>
      </c>
      <c r="AB46" s="430"/>
      <c r="AC46" s="1"/>
      <c r="AD46" s="1"/>
    </row>
    <row r="47" spans="1:30" ht="24" customHeight="1" x14ac:dyDescent="0.3">
      <c r="A47" s="431">
        <v>45</v>
      </c>
      <c r="B47" s="1"/>
      <c r="C47" s="425"/>
      <c r="D47" s="425"/>
      <c r="E47" s="425"/>
      <c r="F47" s="38" t="str">
        <f>IF(Inventory_List_Table3411151091113171814161920[[#This Row],[Q]]&lt;0.1, " ",#REF!&amp;$D$1&amp;#REF!&amp;Inventory_List_Table3411151091113171814161920[[#This Row],[NOTES]])</f>
        <v xml:space="preserve"> </v>
      </c>
      <c r="G47" s="427"/>
      <c r="H47" s="427"/>
      <c r="I47" s="427"/>
      <c r="J47" s="427"/>
      <c r="K47" s="427"/>
      <c r="L47" s="429"/>
      <c r="M4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7" s="35" t="str">
        <f>IF(Inventory_List_Table3411151091113171814161920[[#This Row],[Q]]&lt;0.1, " ", Inventory_List_Table3411151091113171814161920[[#This Row],[KG]]*2.20462)</f>
        <v xml:space="preserve"> </v>
      </c>
      <c r="O47" s="35" t="str">
        <f>IF(Inventory_List_Table3411151091113171814161920[[#This Row],[Q]]&lt;0.1, " ",Inventory_List_Table3411151091113171814161920[[#This Row],[H CM]]/2.54)</f>
        <v xml:space="preserve"> </v>
      </c>
      <c r="P47" s="35" t="str">
        <f>IF(Inventory_List_Table3411151091113171814161920[[#This Row],[Q]]&lt;0.1, " ",Inventory_List_Table3411151091113171814161920[[#This Row],[W CM]]/2.54)</f>
        <v xml:space="preserve"> </v>
      </c>
      <c r="Q47" s="35" t="str">
        <f>IF(Inventory_List_Table3411151091113171814161920[[#This Row],[Q]]&lt;0.1, " ",Inventory_List_Table3411151091113171814161920[[#This Row],[D CM ]]/2.54)</f>
        <v xml:space="preserve"> </v>
      </c>
      <c r="R47" s="30" t="str">
        <f>IF(Inventory_List_Table3411151091113171814161920[[#This Row],[Q]]&lt;0.1, " ",Inventory_List_Table3411151091113171814161920[[#This Row],[PRICE]]/$L$1)</f>
        <v xml:space="preserve"> </v>
      </c>
      <c r="S4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7" s="30" t="str">
        <f>IF(Inventory_List_Table3411151091113171814161920[[#This Row],[Q]]&lt;0.1, " ",Inventory_List_Table3411151091113171814161920[[#This Row],[AQ RND USD]]*1.4)</f>
        <v xml:space="preserve"> </v>
      </c>
      <c r="U4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7" s="30" t="str">
        <f>IF(Inventory_List_Table3411151091113171814161920[[#This Row],[Q]]&lt;0.1, " ",Inventory_List_Table3411151091113171814161920[[#This Row],[LND RND USD]]*12)</f>
        <v xml:space="preserve"> </v>
      </c>
      <c r="W47" s="30" t="str">
        <f>IF(Inventory_List_Table3411151091113171814161920[[#This Row],[Q]]&lt;0.1, " ",Inventory_List_Table3411151091113171814161920[[#This Row],[AQ USD]])</f>
        <v xml:space="preserve"> </v>
      </c>
      <c r="X4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7" s="30" t="str">
        <f>IF(Inventory_List_Table3411151091113171814161920[[#This Row],[Q]]&lt;0.1, " ",Inventory_List_Table3411151091113171814161920[[#This Row],[PRICE]]/Z47*10000)</f>
        <v xml:space="preserve"> </v>
      </c>
      <c r="AB47" s="430"/>
      <c r="AC47" s="1"/>
      <c r="AD47" s="1"/>
    </row>
    <row r="48" spans="1:30" ht="24" customHeight="1" x14ac:dyDescent="0.3">
      <c r="A48" s="431">
        <v>46</v>
      </c>
      <c r="B48" s="1"/>
      <c r="C48" s="425"/>
      <c r="D48" s="425"/>
      <c r="E48" s="425"/>
      <c r="F48" s="38" t="str">
        <f>IF(Inventory_List_Table3411151091113171814161920[[#This Row],[Q]]&lt;0.1, " ",#REF!&amp;$D$1&amp;#REF!&amp;Inventory_List_Table3411151091113171814161920[[#This Row],[NOTES]])</f>
        <v xml:space="preserve"> </v>
      </c>
      <c r="G48" s="427"/>
      <c r="H48" s="427"/>
      <c r="I48" s="427"/>
      <c r="J48" s="427"/>
      <c r="K48" s="427"/>
      <c r="L48" s="429"/>
      <c r="M4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8" s="35" t="str">
        <f>IF(Inventory_List_Table3411151091113171814161920[[#This Row],[Q]]&lt;0.1, " ", Inventory_List_Table3411151091113171814161920[[#This Row],[KG]]*2.20462)</f>
        <v xml:space="preserve"> </v>
      </c>
      <c r="O48" s="35" t="str">
        <f>IF(Inventory_List_Table3411151091113171814161920[[#This Row],[Q]]&lt;0.1, " ",Inventory_List_Table3411151091113171814161920[[#This Row],[H CM]]/2.54)</f>
        <v xml:space="preserve"> </v>
      </c>
      <c r="P48" s="35" t="str">
        <f>IF(Inventory_List_Table3411151091113171814161920[[#This Row],[Q]]&lt;0.1, " ",Inventory_List_Table3411151091113171814161920[[#This Row],[W CM]]/2.54)</f>
        <v xml:space="preserve"> </v>
      </c>
      <c r="Q48" s="35" t="str">
        <f>IF(Inventory_List_Table3411151091113171814161920[[#This Row],[Q]]&lt;0.1, " ",Inventory_List_Table3411151091113171814161920[[#This Row],[D CM ]]/2.54)</f>
        <v xml:space="preserve"> </v>
      </c>
      <c r="R48" s="30" t="str">
        <f>IF(Inventory_List_Table3411151091113171814161920[[#This Row],[Q]]&lt;0.1, " ",Inventory_List_Table3411151091113171814161920[[#This Row],[PRICE]]/$L$1)</f>
        <v xml:space="preserve"> </v>
      </c>
      <c r="S4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8" s="30" t="str">
        <f>IF(Inventory_List_Table3411151091113171814161920[[#This Row],[Q]]&lt;0.1, " ",Inventory_List_Table3411151091113171814161920[[#This Row],[AQ RND USD]]*1.4)</f>
        <v xml:space="preserve"> </v>
      </c>
      <c r="U4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8" s="30" t="str">
        <f>IF(Inventory_List_Table3411151091113171814161920[[#This Row],[Q]]&lt;0.1, " ",Inventory_List_Table3411151091113171814161920[[#This Row],[LND RND USD]]*12)</f>
        <v xml:space="preserve"> </v>
      </c>
      <c r="W48" s="30" t="str">
        <f>IF(Inventory_List_Table3411151091113171814161920[[#This Row],[Q]]&lt;0.1, " ",Inventory_List_Table3411151091113171814161920[[#This Row],[AQ USD]])</f>
        <v xml:space="preserve"> </v>
      </c>
      <c r="X4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8" s="30" t="str">
        <f>IF(Inventory_List_Table3411151091113171814161920[[#This Row],[Q]]&lt;0.1, " ",Inventory_List_Table3411151091113171814161920[[#This Row],[PRICE]]/Z48*10000)</f>
        <v xml:space="preserve"> </v>
      </c>
      <c r="AB48" s="430"/>
      <c r="AC48" s="1"/>
      <c r="AD48" s="1"/>
    </row>
    <row r="49" spans="1:30" ht="24" customHeight="1" x14ac:dyDescent="0.3">
      <c r="A49" s="431">
        <v>47</v>
      </c>
      <c r="B49" s="1"/>
      <c r="C49" s="425"/>
      <c r="D49" s="425"/>
      <c r="E49" s="425"/>
      <c r="F49" s="38" t="str">
        <f>IF(Inventory_List_Table3411151091113171814161920[[#This Row],[Q]]&lt;0.1, " ",#REF!&amp;$D$1&amp;#REF!&amp;Inventory_List_Table3411151091113171814161920[[#This Row],[NOTES]])</f>
        <v xml:space="preserve"> </v>
      </c>
      <c r="G49" s="427"/>
      <c r="H49" s="427"/>
      <c r="I49" s="427"/>
      <c r="J49" s="427"/>
      <c r="K49" s="427"/>
      <c r="L49" s="429"/>
      <c r="M4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49" s="35" t="str">
        <f>IF(Inventory_List_Table3411151091113171814161920[[#This Row],[Q]]&lt;0.1, " ", Inventory_List_Table3411151091113171814161920[[#This Row],[KG]]*2.20462)</f>
        <v xml:space="preserve"> </v>
      </c>
      <c r="O49" s="35" t="str">
        <f>IF(Inventory_List_Table3411151091113171814161920[[#This Row],[Q]]&lt;0.1, " ",Inventory_List_Table3411151091113171814161920[[#This Row],[H CM]]/2.54)</f>
        <v xml:space="preserve"> </v>
      </c>
      <c r="P49" s="35" t="str">
        <f>IF(Inventory_List_Table3411151091113171814161920[[#This Row],[Q]]&lt;0.1, " ",Inventory_List_Table3411151091113171814161920[[#This Row],[W CM]]/2.54)</f>
        <v xml:space="preserve"> </v>
      </c>
      <c r="Q49" s="35" t="str">
        <f>IF(Inventory_List_Table3411151091113171814161920[[#This Row],[Q]]&lt;0.1, " ",Inventory_List_Table3411151091113171814161920[[#This Row],[D CM ]]/2.54)</f>
        <v xml:space="preserve"> </v>
      </c>
      <c r="R49" s="30" t="str">
        <f>IF(Inventory_List_Table3411151091113171814161920[[#This Row],[Q]]&lt;0.1, " ",Inventory_List_Table3411151091113171814161920[[#This Row],[PRICE]]/$L$1)</f>
        <v xml:space="preserve"> </v>
      </c>
      <c r="S4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49" s="30" t="str">
        <f>IF(Inventory_List_Table3411151091113171814161920[[#This Row],[Q]]&lt;0.1, " ",Inventory_List_Table3411151091113171814161920[[#This Row],[AQ RND USD]]*1.4)</f>
        <v xml:space="preserve"> </v>
      </c>
      <c r="U4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49" s="30" t="str">
        <f>IF(Inventory_List_Table3411151091113171814161920[[#This Row],[Q]]&lt;0.1, " ",Inventory_List_Table3411151091113171814161920[[#This Row],[LND RND USD]]*12)</f>
        <v xml:space="preserve"> </v>
      </c>
      <c r="W49" s="30" t="str">
        <f>IF(Inventory_List_Table3411151091113171814161920[[#This Row],[Q]]&lt;0.1, " ",Inventory_List_Table3411151091113171814161920[[#This Row],[AQ USD]])</f>
        <v xml:space="preserve"> </v>
      </c>
      <c r="X4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4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4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49" s="30" t="str">
        <f>IF(Inventory_List_Table3411151091113171814161920[[#This Row],[Q]]&lt;0.1, " ",Inventory_List_Table3411151091113171814161920[[#This Row],[PRICE]]/Z49*10000)</f>
        <v xml:space="preserve"> </v>
      </c>
      <c r="AB49" s="430"/>
      <c r="AC49" s="1"/>
      <c r="AD49" s="1"/>
    </row>
    <row r="50" spans="1:30" ht="24" customHeight="1" x14ac:dyDescent="0.3">
      <c r="A50" s="431">
        <v>48</v>
      </c>
      <c r="B50" s="1"/>
      <c r="C50" s="425"/>
      <c r="D50" s="425"/>
      <c r="E50" s="425"/>
      <c r="F50" s="38" t="str">
        <f>IF(Inventory_List_Table3411151091113171814161920[[#This Row],[Q]]&lt;0.1, " ",#REF!&amp;$D$1&amp;#REF!&amp;Inventory_List_Table3411151091113171814161920[[#This Row],[NOTES]])</f>
        <v xml:space="preserve"> </v>
      </c>
      <c r="G50" s="427"/>
      <c r="H50" s="427"/>
      <c r="I50" s="427"/>
      <c r="J50" s="427"/>
      <c r="K50" s="427"/>
      <c r="L50" s="429"/>
      <c r="M5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0" s="35" t="str">
        <f>IF(Inventory_List_Table3411151091113171814161920[[#This Row],[Q]]&lt;0.1, " ", Inventory_List_Table3411151091113171814161920[[#This Row],[KG]]*2.20462)</f>
        <v xml:space="preserve"> </v>
      </c>
      <c r="O50" s="35" t="str">
        <f>IF(Inventory_List_Table3411151091113171814161920[[#This Row],[Q]]&lt;0.1, " ",Inventory_List_Table3411151091113171814161920[[#This Row],[H CM]]/2.54)</f>
        <v xml:space="preserve"> </v>
      </c>
      <c r="P50" s="35" t="str">
        <f>IF(Inventory_List_Table3411151091113171814161920[[#This Row],[Q]]&lt;0.1, " ",Inventory_List_Table3411151091113171814161920[[#This Row],[W CM]]/2.54)</f>
        <v xml:space="preserve"> </v>
      </c>
      <c r="Q50" s="35" t="str">
        <f>IF(Inventory_List_Table3411151091113171814161920[[#This Row],[Q]]&lt;0.1, " ",Inventory_List_Table3411151091113171814161920[[#This Row],[D CM ]]/2.54)</f>
        <v xml:space="preserve"> </v>
      </c>
      <c r="R50" s="30" t="str">
        <f>IF(Inventory_List_Table3411151091113171814161920[[#This Row],[Q]]&lt;0.1, " ",Inventory_List_Table3411151091113171814161920[[#This Row],[PRICE]]/$L$1)</f>
        <v xml:space="preserve"> </v>
      </c>
      <c r="S5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0" s="30" t="str">
        <f>IF(Inventory_List_Table3411151091113171814161920[[#This Row],[Q]]&lt;0.1, " ",Inventory_List_Table3411151091113171814161920[[#This Row],[AQ RND USD]]*1.4)</f>
        <v xml:space="preserve"> </v>
      </c>
      <c r="U5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0" s="30" t="str">
        <f>IF(Inventory_List_Table3411151091113171814161920[[#This Row],[Q]]&lt;0.1, " ",Inventory_List_Table3411151091113171814161920[[#This Row],[LND RND USD]]*12)</f>
        <v xml:space="preserve"> </v>
      </c>
      <c r="W50" s="30" t="str">
        <f>IF(Inventory_List_Table3411151091113171814161920[[#This Row],[Q]]&lt;0.1, " ",Inventory_List_Table3411151091113171814161920[[#This Row],[AQ USD]])</f>
        <v xml:space="preserve"> </v>
      </c>
      <c r="X5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0" s="30" t="str">
        <f>IF(Inventory_List_Table3411151091113171814161920[[#This Row],[Q]]&lt;0.1, " ",Inventory_List_Table3411151091113171814161920[[#This Row],[PRICE]]/Z50*10000)</f>
        <v xml:space="preserve"> </v>
      </c>
      <c r="AB50" s="430"/>
      <c r="AC50" s="1"/>
      <c r="AD50" s="1"/>
    </row>
    <row r="51" spans="1:30" ht="24" customHeight="1" x14ac:dyDescent="0.3">
      <c r="A51" s="431">
        <v>49</v>
      </c>
      <c r="B51" s="1"/>
      <c r="C51" s="425"/>
      <c r="D51" s="425"/>
      <c r="E51" s="425"/>
      <c r="F51" s="38" t="str">
        <f>IF(Inventory_List_Table3411151091113171814161920[[#This Row],[Q]]&lt;0.1, " ",#REF!&amp;$D$1&amp;#REF!&amp;Inventory_List_Table3411151091113171814161920[[#This Row],[NOTES]])</f>
        <v xml:space="preserve"> </v>
      </c>
      <c r="G51" s="427"/>
      <c r="H51" s="427"/>
      <c r="I51" s="427"/>
      <c r="J51" s="427"/>
      <c r="K51" s="427"/>
      <c r="L51" s="429"/>
      <c r="M5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1" s="35" t="str">
        <f>IF(Inventory_List_Table3411151091113171814161920[[#This Row],[Q]]&lt;0.1, " ", Inventory_List_Table3411151091113171814161920[[#This Row],[KG]]*2.20462)</f>
        <v xml:space="preserve"> </v>
      </c>
      <c r="O51" s="35" t="str">
        <f>IF(Inventory_List_Table3411151091113171814161920[[#This Row],[Q]]&lt;0.1, " ",Inventory_List_Table3411151091113171814161920[[#This Row],[H CM]]/2.54)</f>
        <v xml:space="preserve"> </v>
      </c>
      <c r="P51" s="35" t="str">
        <f>IF(Inventory_List_Table3411151091113171814161920[[#This Row],[Q]]&lt;0.1, " ",Inventory_List_Table3411151091113171814161920[[#This Row],[W CM]]/2.54)</f>
        <v xml:space="preserve"> </v>
      </c>
      <c r="Q51" s="35" t="str">
        <f>IF(Inventory_List_Table3411151091113171814161920[[#This Row],[Q]]&lt;0.1, " ",Inventory_List_Table3411151091113171814161920[[#This Row],[D CM ]]/2.54)</f>
        <v xml:space="preserve"> </v>
      </c>
      <c r="R51" s="30" t="str">
        <f>IF(Inventory_List_Table3411151091113171814161920[[#This Row],[Q]]&lt;0.1, " ",Inventory_List_Table3411151091113171814161920[[#This Row],[PRICE]]/$L$1)</f>
        <v xml:space="preserve"> </v>
      </c>
      <c r="S5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1" s="30" t="str">
        <f>IF(Inventory_List_Table3411151091113171814161920[[#This Row],[Q]]&lt;0.1, " ",Inventory_List_Table3411151091113171814161920[[#This Row],[AQ RND USD]]*1.4)</f>
        <v xml:space="preserve"> </v>
      </c>
      <c r="U5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1" s="30" t="str">
        <f>IF(Inventory_List_Table3411151091113171814161920[[#This Row],[Q]]&lt;0.1, " ",Inventory_List_Table3411151091113171814161920[[#This Row],[LND RND USD]]*12)</f>
        <v xml:space="preserve"> </v>
      </c>
      <c r="W51" s="30" t="str">
        <f>IF(Inventory_List_Table3411151091113171814161920[[#This Row],[Q]]&lt;0.1, " ",Inventory_List_Table3411151091113171814161920[[#This Row],[AQ USD]])</f>
        <v xml:space="preserve"> </v>
      </c>
      <c r="X5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1" s="30" t="str">
        <f>IF(Inventory_List_Table3411151091113171814161920[[#This Row],[Q]]&lt;0.1, " ",Inventory_List_Table3411151091113171814161920[[#This Row],[PRICE]]/Z51*10000)</f>
        <v xml:space="preserve"> </v>
      </c>
      <c r="AB51" s="430"/>
      <c r="AC51" s="1"/>
      <c r="AD51" s="1"/>
    </row>
    <row r="52" spans="1:30" ht="24" customHeight="1" x14ac:dyDescent="0.3">
      <c r="A52" s="431">
        <v>50</v>
      </c>
      <c r="B52" s="1"/>
      <c r="C52" s="425"/>
      <c r="D52" s="425"/>
      <c r="E52" s="425"/>
      <c r="F52" s="38" t="str">
        <f>IF(Inventory_List_Table3411151091113171814161920[[#This Row],[Q]]&lt;0.1, " ",#REF!&amp;$D$1&amp;#REF!&amp;Inventory_List_Table3411151091113171814161920[[#This Row],[NOTES]])</f>
        <v xml:space="preserve"> </v>
      </c>
      <c r="G52" s="427"/>
      <c r="H52" s="427"/>
      <c r="I52" s="427"/>
      <c r="J52" s="427"/>
      <c r="K52" s="427"/>
      <c r="L52" s="429"/>
      <c r="M5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2" s="35" t="str">
        <f>IF(Inventory_List_Table3411151091113171814161920[[#This Row],[Q]]&lt;0.1, " ", Inventory_List_Table3411151091113171814161920[[#This Row],[KG]]*2.20462)</f>
        <v xml:space="preserve"> </v>
      </c>
      <c r="O52" s="35" t="str">
        <f>IF(Inventory_List_Table3411151091113171814161920[[#This Row],[Q]]&lt;0.1, " ",Inventory_List_Table3411151091113171814161920[[#This Row],[H CM]]/2.54)</f>
        <v xml:space="preserve"> </v>
      </c>
      <c r="P52" s="35" t="str">
        <f>IF(Inventory_List_Table3411151091113171814161920[[#This Row],[Q]]&lt;0.1, " ",Inventory_List_Table3411151091113171814161920[[#This Row],[W CM]]/2.54)</f>
        <v xml:space="preserve"> </v>
      </c>
      <c r="Q52" s="35" t="str">
        <f>IF(Inventory_List_Table3411151091113171814161920[[#This Row],[Q]]&lt;0.1, " ",Inventory_List_Table3411151091113171814161920[[#This Row],[D CM ]]/2.54)</f>
        <v xml:space="preserve"> </v>
      </c>
      <c r="R52" s="30" t="str">
        <f>IF(Inventory_List_Table3411151091113171814161920[[#This Row],[Q]]&lt;0.1, " ",Inventory_List_Table3411151091113171814161920[[#This Row],[PRICE]]/$L$1)</f>
        <v xml:space="preserve"> </v>
      </c>
      <c r="S5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2" s="30" t="str">
        <f>IF(Inventory_List_Table3411151091113171814161920[[#This Row],[Q]]&lt;0.1, " ",Inventory_List_Table3411151091113171814161920[[#This Row],[AQ RND USD]]*1.4)</f>
        <v xml:space="preserve"> </v>
      </c>
      <c r="U5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2" s="30" t="str">
        <f>IF(Inventory_List_Table3411151091113171814161920[[#This Row],[Q]]&lt;0.1, " ",Inventory_List_Table3411151091113171814161920[[#This Row],[LND RND USD]]*12)</f>
        <v xml:space="preserve"> </v>
      </c>
      <c r="W52" s="30" t="str">
        <f>IF(Inventory_List_Table3411151091113171814161920[[#This Row],[Q]]&lt;0.1, " ",Inventory_List_Table3411151091113171814161920[[#This Row],[AQ USD]])</f>
        <v xml:space="preserve"> </v>
      </c>
      <c r="X5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2" s="30" t="str">
        <f>IF(Inventory_List_Table3411151091113171814161920[[#This Row],[Q]]&lt;0.1, " ",Inventory_List_Table3411151091113171814161920[[#This Row],[PRICE]]/Z52*10000)</f>
        <v xml:space="preserve"> </v>
      </c>
      <c r="AB52" s="430"/>
      <c r="AC52" s="1"/>
      <c r="AD52" s="1"/>
    </row>
    <row r="53" spans="1:30" ht="24" customHeight="1" x14ac:dyDescent="0.3">
      <c r="A53" s="431">
        <v>51</v>
      </c>
      <c r="B53" s="1"/>
      <c r="C53" s="425"/>
      <c r="D53" s="425"/>
      <c r="E53" s="425"/>
      <c r="F53" s="38" t="str">
        <f>IF(Inventory_List_Table3411151091113171814161920[[#This Row],[Q]]&lt;0.1, " ",#REF!&amp;$D$1&amp;#REF!&amp;Inventory_List_Table3411151091113171814161920[[#This Row],[NOTES]])</f>
        <v xml:space="preserve"> </v>
      </c>
      <c r="G53" s="427"/>
      <c r="H53" s="427"/>
      <c r="I53" s="427"/>
      <c r="J53" s="427"/>
      <c r="K53" s="427"/>
      <c r="L53" s="429"/>
      <c r="M5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3" s="35" t="str">
        <f>IF(Inventory_List_Table3411151091113171814161920[[#This Row],[Q]]&lt;0.1, " ", Inventory_List_Table3411151091113171814161920[[#This Row],[KG]]*2.20462)</f>
        <v xml:space="preserve"> </v>
      </c>
      <c r="O53" s="35" t="str">
        <f>IF(Inventory_List_Table3411151091113171814161920[[#This Row],[Q]]&lt;0.1, " ",Inventory_List_Table3411151091113171814161920[[#This Row],[H CM]]/2.54)</f>
        <v xml:space="preserve"> </v>
      </c>
      <c r="P53" s="35" t="str">
        <f>IF(Inventory_List_Table3411151091113171814161920[[#This Row],[Q]]&lt;0.1, " ",Inventory_List_Table3411151091113171814161920[[#This Row],[W CM]]/2.54)</f>
        <v xml:space="preserve"> </v>
      </c>
      <c r="Q53" s="35" t="str">
        <f>IF(Inventory_List_Table3411151091113171814161920[[#This Row],[Q]]&lt;0.1, " ",Inventory_List_Table3411151091113171814161920[[#This Row],[D CM ]]/2.54)</f>
        <v xml:space="preserve"> </v>
      </c>
      <c r="R53" s="30" t="str">
        <f>IF(Inventory_List_Table3411151091113171814161920[[#This Row],[Q]]&lt;0.1, " ",Inventory_List_Table3411151091113171814161920[[#This Row],[PRICE]]/$L$1)</f>
        <v xml:space="preserve"> </v>
      </c>
      <c r="S5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3" s="30" t="str">
        <f>IF(Inventory_List_Table3411151091113171814161920[[#This Row],[Q]]&lt;0.1, " ",Inventory_List_Table3411151091113171814161920[[#This Row],[AQ RND USD]]*1.4)</f>
        <v xml:space="preserve"> </v>
      </c>
      <c r="U5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3" s="30" t="str">
        <f>IF(Inventory_List_Table3411151091113171814161920[[#This Row],[Q]]&lt;0.1, " ",Inventory_List_Table3411151091113171814161920[[#This Row],[LND RND USD]]*12)</f>
        <v xml:space="preserve"> </v>
      </c>
      <c r="W53" s="30" t="str">
        <f>IF(Inventory_List_Table3411151091113171814161920[[#This Row],[Q]]&lt;0.1, " ",Inventory_List_Table3411151091113171814161920[[#This Row],[AQ USD]])</f>
        <v xml:space="preserve"> </v>
      </c>
      <c r="X5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3" s="30" t="str">
        <f>IF(Inventory_List_Table3411151091113171814161920[[#This Row],[Q]]&lt;0.1, " ",Inventory_List_Table3411151091113171814161920[[#This Row],[PRICE]]/Z53*10000)</f>
        <v xml:space="preserve"> </v>
      </c>
      <c r="AB53" s="430"/>
      <c r="AC53" s="1"/>
      <c r="AD53" s="1"/>
    </row>
    <row r="54" spans="1:30" ht="24" customHeight="1" x14ac:dyDescent="0.3">
      <c r="A54" s="431">
        <v>52</v>
      </c>
      <c r="B54" s="1"/>
      <c r="C54" s="425"/>
      <c r="D54" s="425"/>
      <c r="E54" s="425"/>
      <c r="F54" s="38" t="str">
        <f>IF(Inventory_List_Table3411151091113171814161920[[#This Row],[Q]]&lt;0.1, " ",#REF!&amp;$D$1&amp;#REF!&amp;Inventory_List_Table3411151091113171814161920[[#This Row],[NOTES]])</f>
        <v xml:space="preserve"> </v>
      </c>
      <c r="G54" s="427"/>
      <c r="H54" s="427"/>
      <c r="I54" s="427"/>
      <c r="J54" s="427"/>
      <c r="K54" s="427"/>
      <c r="L54" s="429"/>
      <c r="M5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4" s="35" t="str">
        <f>IF(Inventory_List_Table3411151091113171814161920[[#This Row],[Q]]&lt;0.1, " ", Inventory_List_Table3411151091113171814161920[[#This Row],[KG]]*2.20462)</f>
        <v xml:space="preserve"> </v>
      </c>
      <c r="O54" s="35" t="str">
        <f>IF(Inventory_List_Table3411151091113171814161920[[#This Row],[Q]]&lt;0.1, " ",Inventory_List_Table3411151091113171814161920[[#This Row],[H CM]]/2.54)</f>
        <v xml:space="preserve"> </v>
      </c>
      <c r="P54" s="35" t="str">
        <f>IF(Inventory_List_Table3411151091113171814161920[[#This Row],[Q]]&lt;0.1, " ",Inventory_List_Table3411151091113171814161920[[#This Row],[W CM]]/2.54)</f>
        <v xml:space="preserve"> </v>
      </c>
      <c r="Q54" s="35" t="str">
        <f>IF(Inventory_List_Table3411151091113171814161920[[#This Row],[Q]]&lt;0.1, " ",Inventory_List_Table3411151091113171814161920[[#This Row],[D CM ]]/2.54)</f>
        <v xml:space="preserve"> </v>
      </c>
      <c r="R54" s="30" t="str">
        <f>IF(Inventory_List_Table3411151091113171814161920[[#This Row],[Q]]&lt;0.1, " ",Inventory_List_Table3411151091113171814161920[[#This Row],[PRICE]]/$L$1)</f>
        <v xml:space="preserve"> </v>
      </c>
      <c r="S5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4" s="30" t="str">
        <f>IF(Inventory_List_Table3411151091113171814161920[[#This Row],[Q]]&lt;0.1, " ",Inventory_List_Table3411151091113171814161920[[#This Row],[AQ RND USD]]*1.4)</f>
        <v xml:space="preserve"> </v>
      </c>
      <c r="U5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4" s="30" t="str">
        <f>IF(Inventory_List_Table3411151091113171814161920[[#This Row],[Q]]&lt;0.1, " ",Inventory_List_Table3411151091113171814161920[[#This Row],[LND RND USD]]*12)</f>
        <v xml:space="preserve"> </v>
      </c>
      <c r="W54" s="30" t="str">
        <f>IF(Inventory_List_Table3411151091113171814161920[[#This Row],[Q]]&lt;0.1, " ",Inventory_List_Table3411151091113171814161920[[#This Row],[AQ USD]])</f>
        <v xml:space="preserve"> </v>
      </c>
      <c r="X5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4" s="30" t="str">
        <f>IF(Inventory_List_Table3411151091113171814161920[[#This Row],[Q]]&lt;0.1, " ",Inventory_List_Table3411151091113171814161920[[#This Row],[PRICE]]/Z54*10000)</f>
        <v xml:space="preserve"> </v>
      </c>
      <c r="AB54" s="430"/>
      <c r="AC54" s="1"/>
      <c r="AD54" s="1"/>
    </row>
    <row r="55" spans="1:30" ht="24" customHeight="1" x14ac:dyDescent="0.3">
      <c r="A55" s="431">
        <v>53</v>
      </c>
      <c r="B55" s="1"/>
      <c r="C55" s="425"/>
      <c r="D55" s="425"/>
      <c r="E55" s="425"/>
      <c r="F55" s="38" t="str">
        <f>IF(Inventory_List_Table3411151091113171814161920[[#This Row],[Q]]&lt;0.1, " ",#REF!&amp;$D$1&amp;#REF!&amp;Inventory_List_Table3411151091113171814161920[[#This Row],[NOTES]])</f>
        <v xml:space="preserve"> </v>
      </c>
      <c r="G55" s="427"/>
      <c r="H55" s="427"/>
      <c r="I55" s="427"/>
      <c r="J55" s="427"/>
      <c r="K55" s="427"/>
      <c r="L55" s="429"/>
      <c r="M5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5" s="35" t="str">
        <f>IF(Inventory_List_Table3411151091113171814161920[[#This Row],[Q]]&lt;0.1, " ", Inventory_List_Table3411151091113171814161920[[#This Row],[KG]]*2.20462)</f>
        <v xml:space="preserve"> </v>
      </c>
      <c r="O55" s="35" t="str">
        <f>IF(Inventory_List_Table3411151091113171814161920[[#This Row],[Q]]&lt;0.1, " ",Inventory_List_Table3411151091113171814161920[[#This Row],[H CM]]/2.54)</f>
        <v xml:space="preserve"> </v>
      </c>
      <c r="P55" s="35" t="str">
        <f>IF(Inventory_List_Table3411151091113171814161920[[#This Row],[Q]]&lt;0.1, " ",Inventory_List_Table3411151091113171814161920[[#This Row],[W CM]]/2.54)</f>
        <v xml:space="preserve"> </v>
      </c>
      <c r="Q55" s="35" t="str">
        <f>IF(Inventory_List_Table3411151091113171814161920[[#This Row],[Q]]&lt;0.1, " ",Inventory_List_Table3411151091113171814161920[[#This Row],[D CM ]]/2.54)</f>
        <v xml:space="preserve"> </v>
      </c>
      <c r="R55" s="30" t="str">
        <f>IF(Inventory_List_Table3411151091113171814161920[[#This Row],[Q]]&lt;0.1, " ",Inventory_List_Table3411151091113171814161920[[#This Row],[PRICE]]/$L$1)</f>
        <v xml:space="preserve"> </v>
      </c>
      <c r="S5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5" s="30" t="str">
        <f>IF(Inventory_List_Table3411151091113171814161920[[#This Row],[Q]]&lt;0.1, " ",Inventory_List_Table3411151091113171814161920[[#This Row],[AQ RND USD]]*1.4)</f>
        <v xml:space="preserve"> </v>
      </c>
      <c r="U5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5" s="30" t="str">
        <f>IF(Inventory_List_Table3411151091113171814161920[[#This Row],[Q]]&lt;0.1, " ",Inventory_List_Table3411151091113171814161920[[#This Row],[LND RND USD]]*12)</f>
        <v xml:space="preserve"> </v>
      </c>
      <c r="W55" s="30" t="str">
        <f>IF(Inventory_List_Table3411151091113171814161920[[#This Row],[Q]]&lt;0.1, " ",Inventory_List_Table3411151091113171814161920[[#This Row],[AQ USD]])</f>
        <v xml:space="preserve"> </v>
      </c>
      <c r="X5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5" s="30" t="str">
        <f>IF(Inventory_List_Table3411151091113171814161920[[#This Row],[Q]]&lt;0.1, " ",Inventory_List_Table3411151091113171814161920[[#This Row],[PRICE]]/Z55*10000)</f>
        <v xml:space="preserve"> </v>
      </c>
      <c r="AB55" s="430"/>
      <c r="AC55" s="1"/>
      <c r="AD55" s="1"/>
    </row>
    <row r="56" spans="1:30" ht="24" customHeight="1" x14ac:dyDescent="0.3">
      <c r="A56" s="431">
        <v>54</v>
      </c>
      <c r="B56" s="1"/>
      <c r="C56" s="425"/>
      <c r="D56" s="425"/>
      <c r="E56" s="425"/>
      <c r="F56" s="38" t="str">
        <f>IF(Inventory_List_Table3411151091113171814161920[[#This Row],[Q]]&lt;0.1, " ",#REF!&amp;$D$1&amp;#REF!&amp;Inventory_List_Table3411151091113171814161920[[#This Row],[NOTES]])</f>
        <v xml:space="preserve"> </v>
      </c>
      <c r="G56" s="427"/>
      <c r="H56" s="427"/>
      <c r="I56" s="427"/>
      <c r="J56" s="427"/>
      <c r="K56" s="427"/>
      <c r="L56" s="429"/>
      <c r="M5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6" s="35" t="str">
        <f>IF(Inventory_List_Table3411151091113171814161920[[#This Row],[Q]]&lt;0.1, " ", Inventory_List_Table3411151091113171814161920[[#This Row],[KG]]*2.20462)</f>
        <v xml:space="preserve"> </v>
      </c>
      <c r="O56" s="35" t="str">
        <f>IF(Inventory_List_Table3411151091113171814161920[[#This Row],[Q]]&lt;0.1, " ",Inventory_List_Table3411151091113171814161920[[#This Row],[H CM]]/2.54)</f>
        <v xml:space="preserve"> </v>
      </c>
      <c r="P56" s="35" t="str">
        <f>IF(Inventory_List_Table3411151091113171814161920[[#This Row],[Q]]&lt;0.1, " ",Inventory_List_Table3411151091113171814161920[[#This Row],[W CM]]/2.54)</f>
        <v xml:space="preserve"> </v>
      </c>
      <c r="Q56" s="35" t="str">
        <f>IF(Inventory_List_Table3411151091113171814161920[[#This Row],[Q]]&lt;0.1, " ",Inventory_List_Table3411151091113171814161920[[#This Row],[D CM ]]/2.54)</f>
        <v xml:space="preserve"> </v>
      </c>
      <c r="R56" s="30" t="str">
        <f>IF(Inventory_List_Table3411151091113171814161920[[#This Row],[Q]]&lt;0.1, " ",Inventory_List_Table3411151091113171814161920[[#This Row],[PRICE]]/$L$1)</f>
        <v xml:space="preserve"> </v>
      </c>
      <c r="S5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6" s="30" t="str">
        <f>IF(Inventory_List_Table3411151091113171814161920[[#This Row],[Q]]&lt;0.1, " ",Inventory_List_Table3411151091113171814161920[[#This Row],[AQ RND USD]]*1.4)</f>
        <v xml:space="preserve"> </v>
      </c>
      <c r="U5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6" s="30" t="str">
        <f>IF(Inventory_List_Table3411151091113171814161920[[#This Row],[Q]]&lt;0.1, " ",Inventory_List_Table3411151091113171814161920[[#This Row],[LND RND USD]]*12)</f>
        <v xml:space="preserve"> </v>
      </c>
      <c r="W56" s="30" t="str">
        <f>IF(Inventory_List_Table3411151091113171814161920[[#This Row],[Q]]&lt;0.1, " ",Inventory_List_Table3411151091113171814161920[[#This Row],[AQ USD]])</f>
        <v xml:space="preserve"> </v>
      </c>
      <c r="X5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6" s="30" t="str">
        <f>IF(Inventory_List_Table3411151091113171814161920[[#This Row],[Q]]&lt;0.1, " ",Inventory_List_Table3411151091113171814161920[[#This Row],[PRICE]]/Z56*10000)</f>
        <v xml:space="preserve"> </v>
      </c>
      <c r="AB56" s="430"/>
      <c r="AC56" s="1"/>
      <c r="AD56" s="1"/>
    </row>
    <row r="57" spans="1:30" ht="24" customHeight="1" x14ac:dyDescent="0.3">
      <c r="A57" s="431">
        <v>55</v>
      </c>
      <c r="B57" s="1"/>
      <c r="C57" s="425"/>
      <c r="D57" s="425"/>
      <c r="E57" s="425"/>
      <c r="F57" s="38" t="str">
        <f>IF(Inventory_List_Table3411151091113171814161920[[#This Row],[Q]]&lt;0.1, " ",#REF!&amp;$D$1&amp;#REF!&amp;Inventory_List_Table3411151091113171814161920[[#This Row],[NOTES]])</f>
        <v xml:space="preserve"> </v>
      </c>
      <c r="G57" s="427"/>
      <c r="H57" s="427"/>
      <c r="I57" s="427"/>
      <c r="J57" s="427"/>
      <c r="K57" s="427"/>
      <c r="L57" s="429"/>
      <c r="M5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7" s="35" t="str">
        <f>IF(Inventory_List_Table3411151091113171814161920[[#This Row],[Q]]&lt;0.1, " ", Inventory_List_Table3411151091113171814161920[[#This Row],[KG]]*2.20462)</f>
        <v xml:space="preserve"> </v>
      </c>
      <c r="O57" s="35" t="str">
        <f>IF(Inventory_List_Table3411151091113171814161920[[#This Row],[Q]]&lt;0.1, " ",Inventory_List_Table3411151091113171814161920[[#This Row],[H CM]]/2.54)</f>
        <v xml:space="preserve"> </v>
      </c>
      <c r="P57" s="35" t="str">
        <f>IF(Inventory_List_Table3411151091113171814161920[[#This Row],[Q]]&lt;0.1, " ",Inventory_List_Table3411151091113171814161920[[#This Row],[W CM]]/2.54)</f>
        <v xml:space="preserve"> </v>
      </c>
      <c r="Q57" s="35" t="str">
        <f>IF(Inventory_List_Table3411151091113171814161920[[#This Row],[Q]]&lt;0.1, " ",Inventory_List_Table3411151091113171814161920[[#This Row],[D CM ]]/2.54)</f>
        <v xml:space="preserve"> </v>
      </c>
      <c r="R57" s="30" t="str">
        <f>IF(Inventory_List_Table3411151091113171814161920[[#This Row],[Q]]&lt;0.1, " ",Inventory_List_Table3411151091113171814161920[[#This Row],[PRICE]]/$L$1)</f>
        <v xml:space="preserve"> </v>
      </c>
      <c r="S5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7" s="30" t="str">
        <f>IF(Inventory_List_Table3411151091113171814161920[[#This Row],[Q]]&lt;0.1, " ",Inventory_List_Table3411151091113171814161920[[#This Row],[AQ RND USD]]*1.4)</f>
        <v xml:space="preserve"> </v>
      </c>
      <c r="U5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7" s="30" t="str">
        <f>IF(Inventory_List_Table3411151091113171814161920[[#This Row],[Q]]&lt;0.1, " ",Inventory_List_Table3411151091113171814161920[[#This Row],[LND RND USD]]*12)</f>
        <v xml:space="preserve"> </v>
      </c>
      <c r="W57" s="30" t="str">
        <f>IF(Inventory_List_Table3411151091113171814161920[[#This Row],[Q]]&lt;0.1, " ",Inventory_List_Table3411151091113171814161920[[#This Row],[AQ USD]])</f>
        <v xml:space="preserve"> </v>
      </c>
      <c r="X5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7" s="30" t="str">
        <f>IF(Inventory_List_Table3411151091113171814161920[[#This Row],[Q]]&lt;0.1, " ",Inventory_List_Table3411151091113171814161920[[#This Row],[PRICE]]/Z57*10000)</f>
        <v xml:space="preserve"> </v>
      </c>
      <c r="AB57" s="430"/>
      <c r="AC57" s="1"/>
      <c r="AD57" s="1"/>
    </row>
    <row r="58" spans="1:30" ht="24" customHeight="1" x14ac:dyDescent="0.3">
      <c r="A58" s="431">
        <v>56</v>
      </c>
      <c r="B58" s="1"/>
      <c r="C58" s="425"/>
      <c r="D58" s="425"/>
      <c r="E58" s="425"/>
      <c r="F58" s="38" t="str">
        <f>IF(Inventory_List_Table3411151091113171814161920[[#This Row],[Q]]&lt;0.1, " ",#REF!&amp;$D$1&amp;#REF!&amp;Inventory_List_Table3411151091113171814161920[[#This Row],[NOTES]])</f>
        <v xml:space="preserve"> </v>
      </c>
      <c r="G58" s="427"/>
      <c r="H58" s="427"/>
      <c r="I58" s="427"/>
      <c r="J58" s="427"/>
      <c r="K58" s="427"/>
      <c r="L58" s="429"/>
      <c r="M5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8" s="35" t="str">
        <f>IF(Inventory_List_Table3411151091113171814161920[[#This Row],[Q]]&lt;0.1, " ", Inventory_List_Table3411151091113171814161920[[#This Row],[KG]]*2.20462)</f>
        <v xml:space="preserve"> </v>
      </c>
      <c r="O58" s="35" t="str">
        <f>IF(Inventory_List_Table3411151091113171814161920[[#This Row],[Q]]&lt;0.1, " ",Inventory_List_Table3411151091113171814161920[[#This Row],[H CM]]/2.54)</f>
        <v xml:space="preserve"> </v>
      </c>
      <c r="P58" s="35" t="str">
        <f>IF(Inventory_List_Table3411151091113171814161920[[#This Row],[Q]]&lt;0.1, " ",Inventory_List_Table3411151091113171814161920[[#This Row],[W CM]]/2.54)</f>
        <v xml:space="preserve"> </v>
      </c>
      <c r="Q58" s="35" t="str">
        <f>IF(Inventory_List_Table3411151091113171814161920[[#This Row],[Q]]&lt;0.1, " ",Inventory_List_Table3411151091113171814161920[[#This Row],[D CM ]]/2.54)</f>
        <v xml:space="preserve"> </v>
      </c>
      <c r="R58" s="30" t="str">
        <f>IF(Inventory_List_Table3411151091113171814161920[[#This Row],[Q]]&lt;0.1, " ",Inventory_List_Table3411151091113171814161920[[#This Row],[PRICE]]/$L$1)</f>
        <v xml:space="preserve"> </v>
      </c>
      <c r="S5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8" s="30" t="str">
        <f>IF(Inventory_List_Table3411151091113171814161920[[#This Row],[Q]]&lt;0.1, " ",Inventory_List_Table3411151091113171814161920[[#This Row],[AQ RND USD]]*1.4)</f>
        <v xml:space="preserve"> </v>
      </c>
      <c r="U5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8" s="30" t="str">
        <f>IF(Inventory_List_Table3411151091113171814161920[[#This Row],[Q]]&lt;0.1, " ",Inventory_List_Table3411151091113171814161920[[#This Row],[LND RND USD]]*12)</f>
        <v xml:space="preserve"> </v>
      </c>
      <c r="W58" s="30" t="str">
        <f>IF(Inventory_List_Table3411151091113171814161920[[#This Row],[Q]]&lt;0.1, " ",Inventory_List_Table3411151091113171814161920[[#This Row],[AQ USD]])</f>
        <v xml:space="preserve"> </v>
      </c>
      <c r="X5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8" s="30" t="str">
        <f>IF(Inventory_List_Table3411151091113171814161920[[#This Row],[Q]]&lt;0.1, " ",Inventory_List_Table3411151091113171814161920[[#This Row],[PRICE]]/Z58*10000)</f>
        <v xml:space="preserve"> </v>
      </c>
      <c r="AB58" s="430"/>
      <c r="AC58" s="1"/>
      <c r="AD58" s="1"/>
    </row>
    <row r="59" spans="1:30" ht="24" customHeight="1" x14ac:dyDescent="0.3">
      <c r="A59" s="431">
        <v>57</v>
      </c>
      <c r="B59" s="1"/>
      <c r="C59" s="425"/>
      <c r="D59" s="425"/>
      <c r="E59" s="425"/>
      <c r="F59" s="38" t="str">
        <f>IF(Inventory_List_Table3411151091113171814161920[[#This Row],[Q]]&lt;0.1, " ",#REF!&amp;$D$1&amp;#REF!&amp;Inventory_List_Table3411151091113171814161920[[#This Row],[NOTES]])</f>
        <v xml:space="preserve"> </v>
      </c>
      <c r="G59" s="427"/>
      <c r="H59" s="427"/>
      <c r="I59" s="427"/>
      <c r="J59" s="427"/>
      <c r="K59" s="427"/>
      <c r="L59" s="429"/>
      <c r="M5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59" s="35" t="str">
        <f>IF(Inventory_List_Table3411151091113171814161920[[#This Row],[Q]]&lt;0.1, " ", Inventory_List_Table3411151091113171814161920[[#This Row],[KG]]*2.20462)</f>
        <v xml:space="preserve"> </v>
      </c>
      <c r="O59" s="35" t="str">
        <f>IF(Inventory_List_Table3411151091113171814161920[[#This Row],[Q]]&lt;0.1, " ",Inventory_List_Table3411151091113171814161920[[#This Row],[H CM]]/2.54)</f>
        <v xml:space="preserve"> </v>
      </c>
      <c r="P59" s="35" t="str">
        <f>IF(Inventory_List_Table3411151091113171814161920[[#This Row],[Q]]&lt;0.1, " ",Inventory_List_Table3411151091113171814161920[[#This Row],[W CM]]/2.54)</f>
        <v xml:space="preserve"> </v>
      </c>
      <c r="Q59" s="35" t="str">
        <f>IF(Inventory_List_Table3411151091113171814161920[[#This Row],[Q]]&lt;0.1, " ",Inventory_List_Table3411151091113171814161920[[#This Row],[D CM ]]/2.54)</f>
        <v xml:space="preserve"> </v>
      </c>
      <c r="R59" s="30" t="str">
        <f>IF(Inventory_List_Table3411151091113171814161920[[#This Row],[Q]]&lt;0.1, " ",Inventory_List_Table3411151091113171814161920[[#This Row],[PRICE]]/$L$1)</f>
        <v xml:space="preserve"> </v>
      </c>
      <c r="S5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59" s="30" t="str">
        <f>IF(Inventory_List_Table3411151091113171814161920[[#This Row],[Q]]&lt;0.1, " ",Inventory_List_Table3411151091113171814161920[[#This Row],[AQ RND USD]]*1.4)</f>
        <v xml:space="preserve"> </v>
      </c>
      <c r="U5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59" s="30" t="str">
        <f>IF(Inventory_List_Table3411151091113171814161920[[#This Row],[Q]]&lt;0.1, " ",Inventory_List_Table3411151091113171814161920[[#This Row],[LND RND USD]]*12)</f>
        <v xml:space="preserve"> </v>
      </c>
      <c r="W59" s="30" t="str">
        <f>IF(Inventory_List_Table3411151091113171814161920[[#This Row],[Q]]&lt;0.1, " ",Inventory_List_Table3411151091113171814161920[[#This Row],[AQ USD]])</f>
        <v xml:space="preserve"> </v>
      </c>
      <c r="X5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5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5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59" s="30" t="str">
        <f>IF(Inventory_List_Table3411151091113171814161920[[#This Row],[Q]]&lt;0.1, " ",Inventory_List_Table3411151091113171814161920[[#This Row],[PRICE]]/Z59*10000)</f>
        <v xml:space="preserve"> </v>
      </c>
      <c r="AB59" s="430"/>
      <c r="AC59" s="1"/>
      <c r="AD59" s="1"/>
    </row>
    <row r="60" spans="1:30" ht="24" customHeight="1" x14ac:dyDescent="0.3">
      <c r="A60" s="431">
        <v>58</v>
      </c>
      <c r="B60" s="1"/>
      <c r="C60" s="425"/>
      <c r="D60" s="425"/>
      <c r="E60" s="425"/>
      <c r="F60" s="38" t="str">
        <f>IF(Inventory_List_Table3411151091113171814161920[[#This Row],[Q]]&lt;0.1, " ",#REF!&amp;$D$1&amp;#REF!&amp;Inventory_List_Table3411151091113171814161920[[#This Row],[NOTES]])</f>
        <v xml:space="preserve"> </v>
      </c>
      <c r="G60" s="427"/>
      <c r="H60" s="427"/>
      <c r="I60" s="427"/>
      <c r="J60" s="427"/>
      <c r="K60" s="427"/>
      <c r="L60" s="429"/>
      <c r="M6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0" s="35" t="str">
        <f>IF(Inventory_List_Table3411151091113171814161920[[#This Row],[Q]]&lt;0.1, " ", Inventory_List_Table3411151091113171814161920[[#This Row],[KG]]*2.20462)</f>
        <v xml:space="preserve"> </v>
      </c>
      <c r="O60" s="35" t="str">
        <f>IF(Inventory_List_Table3411151091113171814161920[[#This Row],[Q]]&lt;0.1, " ",Inventory_List_Table3411151091113171814161920[[#This Row],[H CM]]/2.54)</f>
        <v xml:space="preserve"> </v>
      </c>
      <c r="P60" s="35" t="str">
        <f>IF(Inventory_List_Table3411151091113171814161920[[#This Row],[Q]]&lt;0.1, " ",Inventory_List_Table3411151091113171814161920[[#This Row],[W CM]]/2.54)</f>
        <v xml:space="preserve"> </v>
      </c>
      <c r="Q60" s="35" t="str">
        <f>IF(Inventory_List_Table3411151091113171814161920[[#This Row],[Q]]&lt;0.1, " ",Inventory_List_Table3411151091113171814161920[[#This Row],[D CM ]]/2.54)</f>
        <v xml:space="preserve"> </v>
      </c>
      <c r="R60" s="30" t="str">
        <f>IF(Inventory_List_Table3411151091113171814161920[[#This Row],[Q]]&lt;0.1, " ",Inventory_List_Table3411151091113171814161920[[#This Row],[PRICE]]/$L$1)</f>
        <v xml:space="preserve"> </v>
      </c>
      <c r="S6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0" s="30" t="str">
        <f>IF(Inventory_List_Table3411151091113171814161920[[#This Row],[Q]]&lt;0.1, " ",Inventory_List_Table3411151091113171814161920[[#This Row],[AQ RND USD]]*1.4)</f>
        <v xml:space="preserve"> </v>
      </c>
      <c r="U6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0" s="30" t="str">
        <f>IF(Inventory_List_Table3411151091113171814161920[[#This Row],[Q]]&lt;0.1, " ",Inventory_List_Table3411151091113171814161920[[#This Row],[LND RND USD]]*12)</f>
        <v xml:space="preserve"> </v>
      </c>
      <c r="W60" s="30" t="str">
        <f>IF(Inventory_List_Table3411151091113171814161920[[#This Row],[Q]]&lt;0.1, " ",Inventory_List_Table3411151091113171814161920[[#This Row],[AQ USD]])</f>
        <v xml:space="preserve"> </v>
      </c>
      <c r="X6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0" s="30" t="str">
        <f>IF(Inventory_List_Table3411151091113171814161920[[#This Row],[Q]]&lt;0.1, " ",Inventory_List_Table3411151091113171814161920[[#This Row],[PRICE]]/Z60*10000)</f>
        <v xml:space="preserve"> </v>
      </c>
      <c r="AB60" s="430"/>
      <c r="AC60" s="1"/>
      <c r="AD60" s="1"/>
    </row>
    <row r="61" spans="1:30" ht="24" customHeight="1" x14ac:dyDescent="0.3">
      <c r="A61" s="431">
        <v>59</v>
      </c>
      <c r="B61" s="1"/>
      <c r="C61" s="425"/>
      <c r="D61" s="425"/>
      <c r="E61" s="425"/>
      <c r="F61" s="38" t="str">
        <f>IF(Inventory_List_Table3411151091113171814161920[[#This Row],[Q]]&lt;0.1, " ",#REF!&amp;$D$1&amp;#REF!&amp;Inventory_List_Table3411151091113171814161920[[#This Row],[NOTES]])</f>
        <v xml:space="preserve"> </v>
      </c>
      <c r="G61" s="427"/>
      <c r="H61" s="427"/>
      <c r="I61" s="427"/>
      <c r="J61" s="427"/>
      <c r="K61" s="427"/>
      <c r="L61" s="429"/>
      <c r="M6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1" s="35" t="str">
        <f>IF(Inventory_List_Table3411151091113171814161920[[#This Row],[Q]]&lt;0.1, " ", Inventory_List_Table3411151091113171814161920[[#This Row],[KG]]*2.20462)</f>
        <v xml:space="preserve"> </v>
      </c>
      <c r="O61" s="35" t="str">
        <f>IF(Inventory_List_Table3411151091113171814161920[[#This Row],[Q]]&lt;0.1, " ",Inventory_List_Table3411151091113171814161920[[#This Row],[H CM]]/2.54)</f>
        <v xml:space="preserve"> </v>
      </c>
      <c r="P61" s="35" t="str">
        <f>IF(Inventory_List_Table3411151091113171814161920[[#This Row],[Q]]&lt;0.1, " ",Inventory_List_Table3411151091113171814161920[[#This Row],[W CM]]/2.54)</f>
        <v xml:space="preserve"> </v>
      </c>
      <c r="Q61" s="35" t="str">
        <f>IF(Inventory_List_Table3411151091113171814161920[[#This Row],[Q]]&lt;0.1, " ",Inventory_List_Table3411151091113171814161920[[#This Row],[D CM ]]/2.54)</f>
        <v xml:space="preserve"> </v>
      </c>
      <c r="R61" s="30" t="str">
        <f>IF(Inventory_List_Table3411151091113171814161920[[#This Row],[Q]]&lt;0.1, " ",Inventory_List_Table3411151091113171814161920[[#This Row],[PRICE]]/$L$1)</f>
        <v xml:space="preserve"> </v>
      </c>
      <c r="S6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1" s="30" t="str">
        <f>IF(Inventory_List_Table3411151091113171814161920[[#This Row],[Q]]&lt;0.1, " ",Inventory_List_Table3411151091113171814161920[[#This Row],[AQ RND USD]]*1.4)</f>
        <v xml:space="preserve"> </v>
      </c>
      <c r="U6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1" s="30" t="str">
        <f>IF(Inventory_List_Table3411151091113171814161920[[#This Row],[Q]]&lt;0.1, " ",Inventory_List_Table3411151091113171814161920[[#This Row],[LND RND USD]]*12)</f>
        <v xml:space="preserve"> </v>
      </c>
      <c r="W61" s="30" t="str">
        <f>IF(Inventory_List_Table3411151091113171814161920[[#This Row],[Q]]&lt;0.1, " ",Inventory_List_Table3411151091113171814161920[[#This Row],[AQ USD]])</f>
        <v xml:space="preserve"> </v>
      </c>
      <c r="X6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1" s="30" t="str">
        <f>IF(Inventory_List_Table3411151091113171814161920[[#This Row],[Q]]&lt;0.1, " ",Inventory_List_Table3411151091113171814161920[[#This Row],[PRICE]]/Z61*10000)</f>
        <v xml:space="preserve"> </v>
      </c>
      <c r="AB61" s="430"/>
      <c r="AC61" s="1"/>
      <c r="AD61" s="1"/>
    </row>
    <row r="62" spans="1:30" ht="24" customHeight="1" x14ac:dyDescent="0.3">
      <c r="A62" s="431">
        <v>60</v>
      </c>
      <c r="B62" s="1"/>
      <c r="C62" s="425"/>
      <c r="D62" s="425"/>
      <c r="E62" s="425"/>
      <c r="F62" s="38" t="str">
        <f>IF(Inventory_List_Table3411151091113171814161920[[#This Row],[Q]]&lt;0.1, " ",#REF!&amp;$D$1&amp;#REF!&amp;Inventory_List_Table3411151091113171814161920[[#This Row],[NOTES]])</f>
        <v xml:space="preserve"> </v>
      </c>
      <c r="G62" s="427"/>
      <c r="H62" s="427"/>
      <c r="I62" s="427"/>
      <c r="J62" s="427"/>
      <c r="K62" s="427"/>
      <c r="L62" s="429"/>
      <c r="M6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2" s="35" t="str">
        <f>IF(Inventory_List_Table3411151091113171814161920[[#This Row],[Q]]&lt;0.1, " ", Inventory_List_Table3411151091113171814161920[[#This Row],[KG]]*2.20462)</f>
        <v xml:space="preserve"> </v>
      </c>
      <c r="O62" s="35" t="str">
        <f>IF(Inventory_List_Table3411151091113171814161920[[#This Row],[Q]]&lt;0.1, " ",Inventory_List_Table3411151091113171814161920[[#This Row],[H CM]]/2.54)</f>
        <v xml:space="preserve"> </v>
      </c>
      <c r="P62" s="35" t="str">
        <f>IF(Inventory_List_Table3411151091113171814161920[[#This Row],[Q]]&lt;0.1, " ",Inventory_List_Table3411151091113171814161920[[#This Row],[W CM]]/2.54)</f>
        <v xml:space="preserve"> </v>
      </c>
      <c r="Q62" s="35" t="str">
        <f>IF(Inventory_List_Table3411151091113171814161920[[#This Row],[Q]]&lt;0.1, " ",Inventory_List_Table3411151091113171814161920[[#This Row],[D CM ]]/2.54)</f>
        <v xml:space="preserve"> </v>
      </c>
      <c r="R62" s="30" t="str">
        <f>IF(Inventory_List_Table3411151091113171814161920[[#This Row],[Q]]&lt;0.1, " ",Inventory_List_Table3411151091113171814161920[[#This Row],[PRICE]]/$L$1)</f>
        <v xml:space="preserve"> </v>
      </c>
      <c r="S6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2" s="30" t="str">
        <f>IF(Inventory_List_Table3411151091113171814161920[[#This Row],[Q]]&lt;0.1, " ",Inventory_List_Table3411151091113171814161920[[#This Row],[AQ RND USD]]*1.4)</f>
        <v xml:space="preserve"> </v>
      </c>
      <c r="U6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2" s="30" t="str">
        <f>IF(Inventory_List_Table3411151091113171814161920[[#This Row],[Q]]&lt;0.1, " ",Inventory_List_Table3411151091113171814161920[[#This Row],[LND RND USD]]*12)</f>
        <v xml:space="preserve"> </v>
      </c>
      <c r="W62" s="30" t="str">
        <f>IF(Inventory_List_Table3411151091113171814161920[[#This Row],[Q]]&lt;0.1, " ",Inventory_List_Table3411151091113171814161920[[#This Row],[AQ USD]])</f>
        <v xml:space="preserve"> </v>
      </c>
      <c r="X6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2" s="30" t="str">
        <f>IF(Inventory_List_Table3411151091113171814161920[[#This Row],[Q]]&lt;0.1, " ",Inventory_List_Table3411151091113171814161920[[#This Row],[PRICE]]/Z62*10000)</f>
        <v xml:space="preserve"> </v>
      </c>
      <c r="AB62" s="430"/>
      <c r="AC62" s="1"/>
      <c r="AD62" s="1"/>
    </row>
    <row r="63" spans="1:30" ht="24" customHeight="1" x14ac:dyDescent="0.3">
      <c r="A63" s="431">
        <v>61</v>
      </c>
      <c r="B63" s="1"/>
      <c r="C63" s="425"/>
      <c r="D63" s="425"/>
      <c r="E63" s="425"/>
      <c r="F63" s="38" t="str">
        <f>IF(Inventory_List_Table3411151091113171814161920[[#This Row],[Q]]&lt;0.1, " ",#REF!&amp;$D$1&amp;#REF!&amp;Inventory_List_Table3411151091113171814161920[[#This Row],[NOTES]])</f>
        <v xml:space="preserve"> </v>
      </c>
      <c r="G63" s="427"/>
      <c r="H63" s="427"/>
      <c r="I63" s="427"/>
      <c r="J63" s="427"/>
      <c r="K63" s="427"/>
      <c r="L63" s="429"/>
      <c r="M6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3" s="35" t="str">
        <f>IF(Inventory_List_Table3411151091113171814161920[[#This Row],[Q]]&lt;0.1, " ", Inventory_List_Table3411151091113171814161920[[#This Row],[KG]]*2.20462)</f>
        <v xml:space="preserve"> </v>
      </c>
      <c r="O63" s="35" t="str">
        <f>IF(Inventory_List_Table3411151091113171814161920[[#This Row],[Q]]&lt;0.1, " ",Inventory_List_Table3411151091113171814161920[[#This Row],[H CM]]/2.54)</f>
        <v xml:space="preserve"> </v>
      </c>
      <c r="P63" s="35" t="str">
        <f>IF(Inventory_List_Table3411151091113171814161920[[#This Row],[Q]]&lt;0.1, " ",Inventory_List_Table3411151091113171814161920[[#This Row],[W CM]]/2.54)</f>
        <v xml:space="preserve"> </v>
      </c>
      <c r="Q63" s="35" t="str">
        <f>IF(Inventory_List_Table3411151091113171814161920[[#This Row],[Q]]&lt;0.1, " ",Inventory_List_Table3411151091113171814161920[[#This Row],[D CM ]]/2.54)</f>
        <v xml:space="preserve"> </v>
      </c>
      <c r="R63" s="30" t="str">
        <f>IF(Inventory_List_Table3411151091113171814161920[[#This Row],[Q]]&lt;0.1, " ",Inventory_List_Table3411151091113171814161920[[#This Row],[PRICE]]/$L$1)</f>
        <v xml:space="preserve"> </v>
      </c>
      <c r="S6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3" s="30" t="str">
        <f>IF(Inventory_List_Table3411151091113171814161920[[#This Row],[Q]]&lt;0.1, " ",Inventory_List_Table3411151091113171814161920[[#This Row],[AQ RND USD]]*1.4)</f>
        <v xml:space="preserve"> </v>
      </c>
      <c r="U6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3" s="30" t="str">
        <f>IF(Inventory_List_Table3411151091113171814161920[[#This Row],[Q]]&lt;0.1, " ",Inventory_List_Table3411151091113171814161920[[#This Row],[LND RND USD]]*12)</f>
        <v xml:space="preserve"> </v>
      </c>
      <c r="W63" s="30" t="str">
        <f>IF(Inventory_List_Table3411151091113171814161920[[#This Row],[Q]]&lt;0.1, " ",Inventory_List_Table3411151091113171814161920[[#This Row],[AQ USD]])</f>
        <v xml:space="preserve"> </v>
      </c>
      <c r="X6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3" s="30" t="str">
        <f>IF(Inventory_List_Table3411151091113171814161920[[#This Row],[Q]]&lt;0.1, " ",Inventory_List_Table3411151091113171814161920[[#This Row],[PRICE]]/Z63*10000)</f>
        <v xml:space="preserve"> </v>
      </c>
      <c r="AB63" s="430"/>
      <c r="AC63" s="1"/>
      <c r="AD63" s="1"/>
    </row>
    <row r="64" spans="1:30" ht="24" customHeight="1" x14ac:dyDescent="0.3">
      <c r="A64" s="431">
        <v>62</v>
      </c>
      <c r="B64" s="1"/>
      <c r="C64" s="425"/>
      <c r="D64" s="425"/>
      <c r="E64" s="425"/>
      <c r="F64" s="38" t="str">
        <f>IF(Inventory_List_Table3411151091113171814161920[[#This Row],[Q]]&lt;0.1, " ",#REF!&amp;$D$1&amp;#REF!&amp;Inventory_List_Table3411151091113171814161920[[#This Row],[NOTES]])</f>
        <v xml:space="preserve"> </v>
      </c>
      <c r="G64" s="427"/>
      <c r="H64" s="427"/>
      <c r="I64" s="427"/>
      <c r="J64" s="427"/>
      <c r="K64" s="427"/>
      <c r="L64" s="429"/>
      <c r="M6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4" s="35" t="str">
        <f>IF(Inventory_List_Table3411151091113171814161920[[#This Row],[Q]]&lt;0.1, " ", Inventory_List_Table3411151091113171814161920[[#This Row],[KG]]*2.20462)</f>
        <v xml:space="preserve"> </v>
      </c>
      <c r="O64" s="35" t="str">
        <f>IF(Inventory_List_Table3411151091113171814161920[[#This Row],[Q]]&lt;0.1, " ",Inventory_List_Table3411151091113171814161920[[#This Row],[H CM]]/2.54)</f>
        <v xml:space="preserve"> </v>
      </c>
      <c r="P64" s="35" t="str">
        <f>IF(Inventory_List_Table3411151091113171814161920[[#This Row],[Q]]&lt;0.1, " ",Inventory_List_Table3411151091113171814161920[[#This Row],[W CM]]/2.54)</f>
        <v xml:space="preserve"> </v>
      </c>
      <c r="Q64" s="35" t="str">
        <f>IF(Inventory_List_Table3411151091113171814161920[[#This Row],[Q]]&lt;0.1, " ",Inventory_List_Table3411151091113171814161920[[#This Row],[D CM ]]/2.54)</f>
        <v xml:space="preserve"> </v>
      </c>
      <c r="R64" s="30" t="str">
        <f>IF(Inventory_List_Table3411151091113171814161920[[#This Row],[Q]]&lt;0.1, " ",Inventory_List_Table3411151091113171814161920[[#This Row],[PRICE]]/$L$1)</f>
        <v xml:space="preserve"> </v>
      </c>
      <c r="S6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4" s="30" t="str">
        <f>IF(Inventory_List_Table3411151091113171814161920[[#This Row],[Q]]&lt;0.1, " ",Inventory_List_Table3411151091113171814161920[[#This Row],[AQ RND USD]]*1.4)</f>
        <v xml:space="preserve"> </v>
      </c>
      <c r="U6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4" s="30" t="str">
        <f>IF(Inventory_List_Table3411151091113171814161920[[#This Row],[Q]]&lt;0.1, " ",Inventory_List_Table3411151091113171814161920[[#This Row],[LND RND USD]]*12)</f>
        <v xml:space="preserve"> </v>
      </c>
      <c r="W64" s="30" t="str">
        <f>IF(Inventory_List_Table3411151091113171814161920[[#This Row],[Q]]&lt;0.1, " ",Inventory_List_Table3411151091113171814161920[[#This Row],[AQ USD]])</f>
        <v xml:space="preserve"> </v>
      </c>
      <c r="X6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4" s="30" t="str">
        <f>IF(Inventory_List_Table3411151091113171814161920[[#This Row],[Q]]&lt;0.1, " ",Inventory_List_Table3411151091113171814161920[[#This Row],[PRICE]]/Z64*10000)</f>
        <v xml:space="preserve"> </v>
      </c>
      <c r="AB64" s="430"/>
      <c r="AC64" s="1"/>
      <c r="AD64" s="1"/>
    </row>
    <row r="65" spans="1:30" ht="24" customHeight="1" x14ac:dyDescent="0.3">
      <c r="A65" s="431">
        <v>63</v>
      </c>
      <c r="B65" s="1"/>
      <c r="C65" s="425"/>
      <c r="D65" s="425"/>
      <c r="E65" s="425"/>
      <c r="F65" s="38" t="str">
        <f>IF(Inventory_List_Table3411151091113171814161920[[#This Row],[Q]]&lt;0.1, " ",#REF!&amp;$D$1&amp;#REF!&amp;Inventory_List_Table3411151091113171814161920[[#This Row],[NOTES]])</f>
        <v xml:space="preserve"> </v>
      </c>
      <c r="G65" s="427"/>
      <c r="H65" s="427"/>
      <c r="I65" s="427"/>
      <c r="J65" s="427"/>
      <c r="K65" s="427"/>
      <c r="L65" s="429"/>
      <c r="M6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5" s="35" t="str">
        <f>IF(Inventory_List_Table3411151091113171814161920[[#This Row],[Q]]&lt;0.1, " ", Inventory_List_Table3411151091113171814161920[[#This Row],[KG]]*2.20462)</f>
        <v xml:space="preserve"> </v>
      </c>
      <c r="O65" s="35" t="str">
        <f>IF(Inventory_List_Table3411151091113171814161920[[#This Row],[Q]]&lt;0.1, " ",Inventory_List_Table3411151091113171814161920[[#This Row],[H CM]]/2.54)</f>
        <v xml:space="preserve"> </v>
      </c>
      <c r="P65" s="35" t="str">
        <f>IF(Inventory_List_Table3411151091113171814161920[[#This Row],[Q]]&lt;0.1, " ",Inventory_List_Table3411151091113171814161920[[#This Row],[W CM]]/2.54)</f>
        <v xml:space="preserve"> </v>
      </c>
      <c r="Q65" s="35" t="str">
        <f>IF(Inventory_List_Table3411151091113171814161920[[#This Row],[Q]]&lt;0.1, " ",Inventory_List_Table3411151091113171814161920[[#This Row],[D CM ]]/2.54)</f>
        <v xml:space="preserve"> </v>
      </c>
      <c r="R65" s="30" t="str">
        <f>IF(Inventory_List_Table3411151091113171814161920[[#This Row],[Q]]&lt;0.1, " ",Inventory_List_Table3411151091113171814161920[[#This Row],[PRICE]]/$L$1)</f>
        <v xml:space="preserve"> </v>
      </c>
      <c r="S6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5" s="30" t="str">
        <f>IF(Inventory_List_Table3411151091113171814161920[[#This Row],[Q]]&lt;0.1, " ",Inventory_List_Table3411151091113171814161920[[#This Row],[AQ RND USD]]*1.4)</f>
        <v xml:space="preserve"> </v>
      </c>
      <c r="U6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5" s="30" t="str">
        <f>IF(Inventory_List_Table3411151091113171814161920[[#This Row],[Q]]&lt;0.1, " ",Inventory_List_Table3411151091113171814161920[[#This Row],[LND RND USD]]*12)</f>
        <v xml:space="preserve"> </v>
      </c>
      <c r="W65" s="30" t="str">
        <f>IF(Inventory_List_Table3411151091113171814161920[[#This Row],[Q]]&lt;0.1, " ",Inventory_List_Table3411151091113171814161920[[#This Row],[AQ USD]])</f>
        <v xml:space="preserve"> </v>
      </c>
      <c r="X6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5" s="30" t="str">
        <f>IF(Inventory_List_Table3411151091113171814161920[[#This Row],[Q]]&lt;0.1, " ",Inventory_List_Table3411151091113171814161920[[#This Row],[PRICE]]/Z65*10000)</f>
        <v xml:space="preserve"> </v>
      </c>
      <c r="AB65" s="430"/>
      <c r="AC65" s="1"/>
      <c r="AD65" s="1"/>
    </row>
    <row r="66" spans="1:30" ht="24" customHeight="1" x14ac:dyDescent="0.3">
      <c r="A66" s="431">
        <v>64</v>
      </c>
      <c r="B66" s="1"/>
      <c r="C66" s="425"/>
      <c r="D66" s="425"/>
      <c r="E66" s="425"/>
      <c r="F66" s="38" t="str">
        <f>IF(Inventory_List_Table3411151091113171814161920[[#This Row],[Q]]&lt;0.1, " ",#REF!&amp;$D$1&amp;#REF!&amp;Inventory_List_Table3411151091113171814161920[[#This Row],[NOTES]])</f>
        <v xml:space="preserve"> </v>
      </c>
      <c r="G66" s="427"/>
      <c r="H66" s="427"/>
      <c r="I66" s="427"/>
      <c r="J66" s="427"/>
      <c r="K66" s="427"/>
      <c r="L66" s="429"/>
      <c r="M6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6" s="35" t="str">
        <f>IF(Inventory_List_Table3411151091113171814161920[[#This Row],[Q]]&lt;0.1, " ", Inventory_List_Table3411151091113171814161920[[#This Row],[KG]]*2.20462)</f>
        <v xml:space="preserve"> </v>
      </c>
      <c r="O66" s="35" t="str">
        <f>IF(Inventory_List_Table3411151091113171814161920[[#This Row],[Q]]&lt;0.1, " ",Inventory_List_Table3411151091113171814161920[[#This Row],[H CM]]/2.54)</f>
        <v xml:space="preserve"> </v>
      </c>
      <c r="P66" s="35" t="str">
        <f>IF(Inventory_List_Table3411151091113171814161920[[#This Row],[Q]]&lt;0.1, " ",Inventory_List_Table3411151091113171814161920[[#This Row],[W CM]]/2.54)</f>
        <v xml:space="preserve"> </v>
      </c>
      <c r="Q66" s="35" t="str">
        <f>IF(Inventory_List_Table3411151091113171814161920[[#This Row],[Q]]&lt;0.1, " ",Inventory_List_Table3411151091113171814161920[[#This Row],[D CM ]]/2.54)</f>
        <v xml:space="preserve"> </v>
      </c>
      <c r="R66" s="30" t="str">
        <f>IF(Inventory_List_Table3411151091113171814161920[[#This Row],[Q]]&lt;0.1, " ",Inventory_List_Table3411151091113171814161920[[#This Row],[PRICE]]/$L$1)</f>
        <v xml:space="preserve"> </v>
      </c>
      <c r="S6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6" s="30" t="str">
        <f>IF(Inventory_List_Table3411151091113171814161920[[#This Row],[Q]]&lt;0.1, " ",Inventory_List_Table3411151091113171814161920[[#This Row],[AQ RND USD]]*1.4)</f>
        <v xml:space="preserve"> </v>
      </c>
      <c r="U6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6" s="30" t="str">
        <f>IF(Inventory_List_Table3411151091113171814161920[[#This Row],[Q]]&lt;0.1, " ",Inventory_List_Table3411151091113171814161920[[#This Row],[LND RND USD]]*12)</f>
        <v xml:space="preserve"> </v>
      </c>
      <c r="W66" s="30" t="str">
        <f>IF(Inventory_List_Table3411151091113171814161920[[#This Row],[Q]]&lt;0.1, " ",Inventory_List_Table3411151091113171814161920[[#This Row],[AQ USD]])</f>
        <v xml:space="preserve"> </v>
      </c>
      <c r="X6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6" s="30" t="str">
        <f>IF(Inventory_List_Table3411151091113171814161920[[#This Row],[Q]]&lt;0.1, " ",Inventory_List_Table3411151091113171814161920[[#This Row],[PRICE]]/Z66*10000)</f>
        <v xml:space="preserve"> </v>
      </c>
      <c r="AB66" s="430"/>
      <c r="AC66" s="1"/>
      <c r="AD66" s="1"/>
    </row>
    <row r="67" spans="1:30" ht="24" customHeight="1" x14ac:dyDescent="0.3">
      <c r="A67" s="431">
        <v>65</v>
      </c>
      <c r="B67" s="1"/>
      <c r="C67" s="425"/>
      <c r="D67" s="425"/>
      <c r="E67" s="425"/>
      <c r="F67" s="38" t="str">
        <f>IF(Inventory_List_Table3411151091113171814161920[[#This Row],[Q]]&lt;0.1, " ",#REF!&amp;$D$1&amp;#REF!&amp;Inventory_List_Table3411151091113171814161920[[#This Row],[NOTES]])</f>
        <v xml:space="preserve"> </v>
      </c>
      <c r="G67" s="427"/>
      <c r="H67" s="427"/>
      <c r="I67" s="427"/>
      <c r="J67" s="427"/>
      <c r="K67" s="427"/>
      <c r="L67" s="429"/>
      <c r="M6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7" s="35" t="str">
        <f>IF(Inventory_List_Table3411151091113171814161920[[#This Row],[Q]]&lt;0.1, " ", Inventory_List_Table3411151091113171814161920[[#This Row],[KG]]*2.20462)</f>
        <v xml:space="preserve"> </v>
      </c>
      <c r="O67" s="35" t="str">
        <f>IF(Inventory_List_Table3411151091113171814161920[[#This Row],[Q]]&lt;0.1, " ",Inventory_List_Table3411151091113171814161920[[#This Row],[H CM]]/2.54)</f>
        <v xml:space="preserve"> </v>
      </c>
      <c r="P67" s="35" t="str">
        <f>IF(Inventory_List_Table3411151091113171814161920[[#This Row],[Q]]&lt;0.1, " ",Inventory_List_Table3411151091113171814161920[[#This Row],[W CM]]/2.54)</f>
        <v xml:space="preserve"> </v>
      </c>
      <c r="Q67" s="35" t="str">
        <f>IF(Inventory_List_Table3411151091113171814161920[[#This Row],[Q]]&lt;0.1, " ",Inventory_List_Table3411151091113171814161920[[#This Row],[D CM ]]/2.54)</f>
        <v xml:space="preserve"> </v>
      </c>
      <c r="R67" s="30" t="str">
        <f>IF(Inventory_List_Table3411151091113171814161920[[#This Row],[Q]]&lt;0.1, " ",Inventory_List_Table3411151091113171814161920[[#This Row],[PRICE]]/$L$1)</f>
        <v xml:space="preserve"> </v>
      </c>
      <c r="S6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7" s="30" t="str">
        <f>IF(Inventory_List_Table3411151091113171814161920[[#This Row],[Q]]&lt;0.1, " ",Inventory_List_Table3411151091113171814161920[[#This Row],[AQ RND USD]]*1.4)</f>
        <v xml:space="preserve"> </v>
      </c>
      <c r="U6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7" s="30" t="str">
        <f>IF(Inventory_List_Table3411151091113171814161920[[#This Row],[Q]]&lt;0.1, " ",Inventory_List_Table3411151091113171814161920[[#This Row],[LND RND USD]]*12)</f>
        <v xml:space="preserve"> </v>
      </c>
      <c r="W67" s="30" t="str">
        <f>IF(Inventory_List_Table3411151091113171814161920[[#This Row],[Q]]&lt;0.1, " ",Inventory_List_Table3411151091113171814161920[[#This Row],[AQ USD]])</f>
        <v xml:space="preserve"> </v>
      </c>
      <c r="X6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7" s="30" t="str">
        <f>IF(Inventory_List_Table3411151091113171814161920[[#This Row],[Q]]&lt;0.1, " ",Inventory_List_Table3411151091113171814161920[[#This Row],[PRICE]]/Z67*10000)</f>
        <v xml:space="preserve"> </v>
      </c>
      <c r="AB67" s="430"/>
      <c r="AC67" s="1"/>
      <c r="AD67" s="1"/>
    </row>
    <row r="68" spans="1:30" ht="24" customHeight="1" x14ac:dyDescent="0.3">
      <c r="A68" s="431">
        <v>66</v>
      </c>
      <c r="B68" s="1"/>
      <c r="C68" s="425"/>
      <c r="D68" s="425"/>
      <c r="E68" s="425"/>
      <c r="F68" s="38" t="str">
        <f>IF(Inventory_List_Table3411151091113171814161920[[#This Row],[Q]]&lt;0.1, " ",#REF!&amp;$D$1&amp;#REF!&amp;Inventory_List_Table3411151091113171814161920[[#This Row],[NOTES]])</f>
        <v xml:space="preserve"> </v>
      </c>
      <c r="G68" s="427"/>
      <c r="H68" s="427"/>
      <c r="I68" s="427"/>
      <c r="J68" s="427"/>
      <c r="K68" s="427"/>
      <c r="L68" s="429"/>
      <c r="M6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8" s="35" t="str">
        <f>IF(Inventory_List_Table3411151091113171814161920[[#This Row],[Q]]&lt;0.1, " ", Inventory_List_Table3411151091113171814161920[[#This Row],[KG]]*2.20462)</f>
        <v xml:space="preserve"> </v>
      </c>
      <c r="O68" s="35" t="str">
        <f>IF(Inventory_List_Table3411151091113171814161920[[#This Row],[Q]]&lt;0.1, " ",Inventory_List_Table3411151091113171814161920[[#This Row],[H CM]]/2.54)</f>
        <v xml:space="preserve"> </v>
      </c>
      <c r="P68" s="35" t="str">
        <f>IF(Inventory_List_Table3411151091113171814161920[[#This Row],[Q]]&lt;0.1, " ",Inventory_List_Table3411151091113171814161920[[#This Row],[W CM]]/2.54)</f>
        <v xml:space="preserve"> </v>
      </c>
      <c r="Q68" s="35" t="str">
        <f>IF(Inventory_List_Table3411151091113171814161920[[#This Row],[Q]]&lt;0.1, " ",Inventory_List_Table3411151091113171814161920[[#This Row],[D CM ]]/2.54)</f>
        <v xml:space="preserve"> </v>
      </c>
      <c r="R68" s="30" t="str">
        <f>IF(Inventory_List_Table3411151091113171814161920[[#This Row],[Q]]&lt;0.1, " ",Inventory_List_Table3411151091113171814161920[[#This Row],[PRICE]]/$L$1)</f>
        <v xml:space="preserve"> </v>
      </c>
      <c r="S6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8" s="30" t="str">
        <f>IF(Inventory_List_Table3411151091113171814161920[[#This Row],[Q]]&lt;0.1, " ",Inventory_List_Table3411151091113171814161920[[#This Row],[AQ RND USD]]*1.4)</f>
        <v xml:space="preserve"> </v>
      </c>
      <c r="U6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8" s="30" t="str">
        <f>IF(Inventory_List_Table3411151091113171814161920[[#This Row],[Q]]&lt;0.1, " ",Inventory_List_Table3411151091113171814161920[[#This Row],[LND RND USD]]*12)</f>
        <v xml:space="preserve"> </v>
      </c>
      <c r="W68" s="30" t="str">
        <f>IF(Inventory_List_Table3411151091113171814161920[[#This Row],[Q]]&lt;0.1, " ",Inventory_List_Table3411151091113171814161920[[#This Row],[AQ USD]])</f>
        <v xml:space="preserve"> </v>
      </c>
      <c r="X6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8" s="30" t="str">
        <f>IF(Inventory_List_Table3411151091113171814161920[[#This Row],[Q]]&lt;0.1, " ",Inventory_List_Table3411151091113171814161920[[#This Row],[PRICE]]/Z68*10000)</f>
        <v xml:space="preserve"> </v>
      </c>
      <c r="AB68" s="430"/>
      <c r="AC68" s="1"/>
      <c r="AD68" s="1"/>
    </row>
    <row r="69" spans="1:30" ht="24" customHeight="1" x14ac:dyDescent="0.3">
      <c r="A69" s="431">
        <v>67</v>
      </c>
      <c r="B69" s="1"/>
      <c r="C69" s="425"/>
      <c r="D69" s="425"/>
      <c r="E69" s="425"/>
      <c r="F69" s="38" t="str">
        <f>IF(Inventory_List_Table3411151091113171814161920[[#This Row],[Q]]&lt;0.1, " ",#REF!&amp;$D$1&amp;#REF!&amp;Inventory_List_Table3411151091113171814161920[[#This Row],[NOTES]])</f>
        <v xml:space="preserve"> </v>
      </c>
      <c r="G69" s="427"/>
      <c r="H69" s="427"/>
      <c r="I69" s="427"/>
      <c r="J69" s="427"/>
      <c r="K69" s="427"/>
      <c r="L69" s="429"/>
      <c r="M6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69" s="35" t="str">
        <f>IF(Inventory_List_Table3411151091113171814161920[[#This Row],[Q]]&lt;0.1, " ", Inventory_List_Table3411151091113171814161920[[#This Row],[KG]]*2.20462)</f>
        <v xml:space="preserve"> </v>
      </c>
      <c r="O69" s="35" t="str">
        <f>IF(Inventory_List_Table3411151091113171814161920[[#This Row],[Q]]&lt;0.1, " ",Inventory_List_Table3411151091113171814161920[[#This Row],[H CM]]/2.54)</f>
        <v xml:space="preserve"> </v>
      </c>
      <c r="P69" s="35" t="str">
        <f>IF(Inventory_List_Table3411151091113171814161920[[#This Row],[Q]]&lt;0.1, " ",Inventory_List_Table3411151091113171814161920[[#This Row],[W CM]]/2.54)</f>
        <v xml:space="preserve"> </v>
      </c>
      <c r="Q69" s="35" t="str">
        <f>IF(Inventory_List_Table3411151091113171814161920[[#This Row],[Q]]&lt;0.1, " ",Inventory_List_Table3411151091113171814161920[[#This Row],[D CM ]]/2.54)</f>
        <v xml:space="preserve"> </v>
      </c>
      <c r="R69" s="30" t="str">
        <f>IF(Inventory_List_Table3411151091113171814161920[[#This Row],[Q]]&lt;0.1, " ",Inventory_List_Table3411151091113171814161920[[#This Row],[PRICE]]/$L$1)</f>
        <v xml:space="preserve"> </v>
      </c>
      <c r="S6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69" s="30" t="str">
        <f>IF(Inventory_List_Table3411151091113171814161920[[#This Row],[Q]]&lt;0.1, " ",Inventory_List_Table3411151091113171814161920[[#This Row],[AQ RND USD]]*1.4)</f>
        <v xml:space="preserve"> </v>
      </c>
      <c r="U6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69" s="30" t="str">
        <f>IF(Inventory_List_Table3411151091113171814161920[[#This Row],[Q]]&lt;0.1, " ",Inventory_List_Table3411151091113171814161920[[#This Row],[LND RND USD]]*12)</f>
        <v xml:space="preserve"> </v>
      </c>
      <c r="W69" s="30" t="str">
        <f>IF(Inventory_List_Table3411151091113171814161920[[#This Row],[Q]]&lt;0.1, " ",Inventory_List_Table3411151091113171814161920[[#This Row],[AQ USD]])</f>
        <v xml:space="preserve"> </v>
      </c>
      <c r="X6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6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6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69" s="30" t="str">
        <f>IF(Inventory_List_Table3411151091113171814161920[[#This Row],[Q]]&lt;0.1, " ",Inventory_List_Table3411151091113171814161920[[#This Row],[PRICE]]/Z69*10000)</f>
        <v xml:space="preserve"> </v>
      </c>
      <c r="AB69" s="430"/>
      <c r="AC69" s="1"/>
      <c r="AD69" s="1"/>
    </row>
    <row r="70" spans="1:30" ht="24" customHeight="1" x14ac:dyDescent="0.3">
      <c r="A70" s="431">
        <v>68</v>
      </c>
      <c r="B70" s="1"/>
      <c r="C70" s="425"/>
      <c r="D70" s="425"/>
      <c r="E70" s="425"/>
      <c r="F70" s="38" t="str">
        <f>IF(Inventory_List_Table3411151091113171814161920[[#This Row],[Q]]&lt;0.1, " ",#REF!&amp;$D$1&amp;#REF!&amp;Inventory_List_Table3411151091113171814161920[[#This Row],[NOTES]])</f>
        <v xml:space="preserve"> </v>
      </c>
      <c r="G70" s="427"/>
      <c r="H70" s="427"/>
      <c r="I70" s="427"/>
      <c r="J70" s="427"/>
      <c r="K70" s="427"/>
      <c r="L70" s="429"/>
      <c r="M7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0" s="35" t="str">
        <f>IF(Inventory_List_Table3411151091113171814161920[[#This Row],[Q]]&lt;0.1, " ", Inventory_List_Table3411151091113171814161920[[#This Row],[KG]]*2.20462)</f>
        <v xml:space="preserve"> </v>
      </c>
      <c r="O70" s="35" t="str">
        <f>IF(Inventory_List_Table3411151091113171814161920[[#This Row],[Q]]&lt;0.1, " ",Inventory_List_Table3411151091113171814161920[[#This Row],[H CM]]/2.54)</f>
        <v xml:space="preserve"> </v>
      </c>
      <c r="P70" s="35" t="str">
        <f>IF(Inventory_List_Table3411151091113171814161920[[#This Row],[Q]]&lt;0.1, " ",Inventory_List_Table3411151091113171814161920[[#This Row],[W CM]]/2.54)</f>
        <v xml:space="preserve"> </v>
      </c>
      <c r="Q70" s="35" t="str">
        <f>IF(Inventory_List_Table3411151091113171814161920[[#This Row],[Q]]&lt;0.1, " ",Inventory_List_Table3411151091113171814161920[[#This Row],[D CM ]]/2.54)</f>
        <v xml:space="preserve"> </v>
      </c>
      <c r="R70" s="30" t="str">
        <f>IF(Inventory_List_Table3411151091113171814161920[[#This Row],[Q]]&lt;0.1, " ",Inventory_List_Table3411151091113171814161920[[#This Row],[PRICE]]/$L$1)</f>
        <v xml:space="preserve"> </v>
      </c>
      <c r="S7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0" s="30" t="str">
        <f>IF(Inventory_List_Table3411151091113171814161920[[#This Row],[Q]]&lt;0.1, " ",Inventory_List_Table3411151091113171814161920[[#This Row],[AQ RND USD]]*1.4)</f>
        <v xml:space="preserve"> </v>
      </c>
      <c r="U7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0" s="30" t="str">
        <f>IF(Inventory_List_Table3411151091113171814161920[[#This Row],[Q]]&lt;0.1, " ",Inventory_List_Table3411151091113171814161920[[#This Row],[LND RND USD]]*12)</f>
        <v xml:space="preserve"> </v>
      </c>
      <c r="W70" s="30" t="str">
        <f>IF(Inventory_List_Table3411151091113171814161920[[#This Row],[Q]]&lt;0.1, " ",Inventory_List_Table3411151091113171814161920[[#This Row],[AQ USD]])</f>
        <v xml:space="preserve"> </v>
      </c>
      <c r="X7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0" s="30" t="str">
        <f>IF(Inventory_List_Table3411151091113171814161920[[#This Row],[Q]]&lt;0.1, " ",Inventory_List_Table3411151091113171814161920[[#This Row],[PRICE]]/Z70*10000)</f>
        <v xml:space="preserve"> </v>
      </c>
      <c r="AB70" s="430"/>
      <c r="AC70" s="1"/>
      <c r="AD70" s="1"/>
    </row>
    <row r="71" spans="1:30" ht="24" customHeight="1" x14ac:dyDescent="0.3">
      <c r="A71" s="431">
        <v>69</v>
      </c>
      <c r="B71" s="1"/>
      <c r="C71" s="425"/>
      <c r="D71" s="425"/>
      <c r="E71" s="425"/>
      <c r="F71" s="38" t="str">
        <f>IF(Inventory_List_Table3411151091113171814161920[[#This Row],[Q]]&lt;0.1, " ",#REF!&amp;$D$1&amp;#REF!&amp;Inventory_List_Table3411151091113171814161920[[#This Row],[NOTES]])</f>
        <v xml:space="preserve"> </v>
      </c>
      <c r="G71" s="427"/>
      <c r="H71" s="427"/>
      <c r="I71" s="427"/>
      <c r="J71" s="427"/>
      <c r="K71" s="427"/>
      <c r="L71" s="429"/>
      <c r="M7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1" s="35" t="str">
        <f>IF(Inventory_List_Table3411151091113171814161920[[#This Row],[Q]]&lt;0.1, " ", Inventory_List_Table3411151091113171814161920[[#This Row],[KG]]*2.20462)</f>
        <v xml:space="preserve"> </v>
      </c>
      <c r="O71" s="35" t="str">
        <f>IF(Inventory_List_Table3411151091113171814161920[[#This Row],[Q]]&lt;0.1, " ",Inventory_List_Table3411151091113171814161920[[#This Row],[H CM]]/2.54)</f>
        <v xml:space="preserve"> </v>
      </c>
      <c r="P71" s="35" t="str">
        <f>IF(Inventory_List_Table3411151091113171814161920[[#This Row],[Q]]&lt;0.1, " ",Inventory_List_Table3411151091113171814161920[[#This Row],[W CM]]/2.54)</f>
        <v xml:space="preserve"> </v>
      </c>
      <c r="Q71" s="35" t="str">
        <f>IF(Inventory_List_Table3411151091113171814161920[[#This Row],[Q]]&lt;0.1, " ",Inventory_List_Table3411151091113171814161920[[#This Row],[D CM ]]/2.54)</f>
        <v xml:space="preserve"> </v>
      </c>
      <c r="R71" s="30" t="str">
        <f>IF(Inventory_List_Table3411151091113171814161920[[#This Row],[Q]]&lt;0.1, " ",Inventory_List_Table3411151091113171814161920[[#This Row],[PRICE]]/$L$1)</f>
        <v xml:space="preserve"> </v>
      </c>
      <c r="S7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1" s="30" t="str">
        <f>IF(Inventory_List_Table3411151091113171814161920[[#This Row],[Q]]&lt;0.1, " ",Inventory_List_Table3411151091113171814161920[[#This Row],[AQ RND USD]]*1.4)</f>
        <v xml:space="preserve"> </v>
      </c>
      <c r="U7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1" s="30" t="str">
        <f>IF(Inventory_List_Table3411151091113171814161920[[#This Row],[Q]]&lt;0.1, " ",Inventory_List_Table3411151091113171814161920[[#This Row],[LND RND USD]]*12)</f>
        <v xml:space="preserve"> </v>
      </c>
      <c r="W71" s="30" t="str">
        <f>IF(Inventory_List_Table3411151091113171814161920[[#This Row],[Q]]&lt;0.1, " ",Inventory_List_Table3411151091113171814161920[[#This Row],[AQ USD]])</f>
        <v xml:space="preserve"> </v>
      </c>
      <c r="X7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1" s="30" t="str">
        <f>IF(Inventory_List_Table3411151091113171814161920[[#This Row],[Q]]&lt;0.1, " ",Inventory_List_Table3411151091113171814161920[[#This Row],[PRICE]]/Z71*10000)</f>
        <v xml:space="preserve"> </v>
      </c>
      <c r="AB71" s="430"/>
      <c r="AC71" s="1"/>
      <c r="AD71" s="1"/>
    </row>
    <row r="72" spans="1:30" ht="24" customHeight="1" x14ac:dyDescent="0.3">
      <c r="A72" s="431">
        <v>70</v>
      </c>
      <c r="B72" s="1"/>
      <c r="C72" s="425"/>
      <c r="D72" s="425"/>
      <c r="E72" s="425"/>
      <c r="F72" s="38" t="str">
        <f>IF(Inventory_List_Table3411151091113171814161920[[#This Row],[Q]]&lt;0.1, " ",#REF!&amp;$D$1&amp;#REF!&amp;Inventory_List_Table3411151091113171814161920[[#This Row],[NOTES]])</f>
        <v xml:space="preserve"> </v>
      </c>
      <c r="G72" s="427"/>
      <c r="H72" s="427"/>
      <c r="I72" s="427"/>
      <c r="J72" s="427"/>
      <c r="K72" s="427"/>
      <c r="L72" s="429"/>
      <c r="M7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2" s="35" t="str">
        <f>IF(Inventory_List_Table3411151091113171814161920[[#This Row],[Q]]&lt;0.1, " ", Inventory_List_Table3411151091113171814161920[[#This Row],[KG]]*2.20462)</f>
        <v xml:space="preserve"> </v>
      </c>
      <c r="O72" s="35" t="str">
        <f>IF(Inventory_List_Table3411151091113171814161920[[#This Row],[Q]]&lt;0.1, " ",Inventory_List_Table3411151091113171814161920[[#This Row],[H CM]]/2.54)</f>
        <v xml:space="preserve"> </v>
      </c>
      <c r="P72" s="35" t="str">
        <f>IF(Inventory_List_Table3411151091113171814161920[[#This Row],[Q]]&lt;0.1, " ",Inventory_List_Table3411151091113171814161920[[#This Row],[W CM]]/2.54)</f>
        <v xml:space="preserve"> </v>
      </c>
      <c r="Q72" s="35" t="str">
        <f>IF(Inventory_List_Table3411151091113171814161920[[#This Row],[Q]]&lt;0.1, " ",Inventory_List_Table3411151091113171814161920[[#This Row],[D CM ]]/2.54)</f>
        <v xml:space="preserve"> </v>
      </c>
      <c r="R72" s="30" t="str">
        <f>IF(Inventory_List_Table3411151091113171814161920[[#This Row],[Q]]&lt;0.1, " ",Inventory_List_Table3411151091113171814161920[[#This Row],[PRICE]]/$L$1)</f>
        <v xml:space="preserve"> </v>
      </c>
      <c r="S7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2" s="30" t="str">
        <f>IF(Inventory_List_Table3411151091113171814161920[[#This Row],[Q]]&lt;0.1, " ",Inventory_List_Table3411151091113171814161920[[#This Row],[AQ RND USD]]*1.4)</f>
        <v xml:space="preserve"> </v>
      </c>
      <c r="U7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2" s="30" t="str">
        <f>IF(Inventory_List_Table3411151091113171814161920[[#This Row],[Q]]&lt;0.1, " ",Inventory_List_Table3411151091113171814161920[[#This Row],[LND RND USD]]*12)</f>
        <v xml:space="preserve"> </v>
      </c>
      <c r="W72" s="30" t="str">
        <f>IF(Inventory_List_Table3411151091113171814161920[[#This Row],[Q]]&lt;0.1, " ",Inventory_List_Table3411151091113171814161920[[#This Row],[AQ USD]])</f>
        <v xml:space="preserve"> </v>
      </c>
      <c r="X7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2" s="30" t="str">
        <f>IF(Inventory_List_Table3411151091113171814161920[[#This Row],[Q]]&lt;0.1, " ",Inventory_List_Table3411151091113171814161920[[#This Row],[PRICE]]/Z72*10000)</f>
        <v xml:space="preserve"> </v>
      </c>
      <c r="AB72" s="430"/>
      <c r="AC72" s="1"/>
      <c r="AD72" s="1"/>
    </row>
    <row r="73" spans="1:30" ht="24" customHeight="1" x14ac:dyDescent="0.3">
      <c r="A73" s="431">
        <v>71</v>
      </c>
      <c r="B73" s="1"/>
      <c r="C73" s="425"/>
      <c r="D73" s="425"/>
      <c r="E73" s="425"/>
      <c r="F73" s="38" t="str">
        <f>IF(Inventory_List_Table3411151091113171814161920[[#This Row],[Q]]&lt;0.1, " ",#REF!&amp;$D$1&amp;#REF!&amp;Inventory_List_Table3411151091113171814161920[[#This Row],[NOTES]])</f>
        <v xml:space="preserve"> </v>
      </c>
      <c r="G73" s="427"/>
      <c r="H73" s="427"/>
      <c r="I73" s="427"/>
      <c r="J73" s="427"/>
      <c r="K73" s="427"/>
      <c r="L73" s="429"/>
      <c r="M7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3" s="35" t="str">
        <f>IF(Inventory_List_Table3411151091113171814161920[[#This Row],[Q]]&lt;0.1, " ", Inventory_List_Table3411151091113171814161920[[#This Row],[KG]]*2.20462)</f>
        <v xml:space="preserve"> </v>
      </c>
      <c r="O73" s="35" t="str">
        <f>IF(Inventory_List_Table3411151091113171814161920[[#This Row],[Q]]&lt;0.1, " ",Inventory_List_Table3411151091113171814161920[[#This Row],[H CM]]/2.54)</f>
        <v xml:space="preserve"> </v>
      </c>
      <c r="P73" s="35" t="str">
        <f>IF(Inventory_List_Table3411151091113171814161920[[#This Row],[Q]]&lt;0.1, " ",Inventory_List_Table3411151091113171814161920[[#This Row],[W CM]]/2.54)</f>
        <v xml:space="preserve"> </v>
      </c>
      <c r="Q73" s="35" t="str">
        <f>IF(Inventory_List_Table3411151091113171814161920[[#This Row],[Q]]&lt;0.1, " ",Inventory_List_Table3411151091113171814161920[[#This Row],[D CM ]]/2.54)</f>
        <v xml:space="preserve"> </v>
      </c>
      <c r="R73" s="30" t="str">
        <f>IF(Inventory_List_Table3411151091113171814161920[[#This Row],[Q]]&lt;0.1, " ",Inventory_List_Table3411151091113171814161920[[#This Row],[PRICE]]/$L$1)</f>
        <v xml:space="preserve"> </v>
      </c>
      <c r="S7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3" s="30" t="str">
        <f>IF(Inventory_List_Table3411151091113171814161920[[#This Row],[Q]]&lt;0.1, " ",Inventory_List_Table3411151091113171814161920[[#This Row],[AQ RND USD]]*1.4)</f>
        <v xml:space="preserve"> </v>
      </c>
      <c r="U7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3" s="30" t="str">
        <f>IF(Inventory_List_Table3411151091113171814161920[[#This Row],[Q]]&lt;0.1, " ",Inventory_List_Table3411151091113171814161920[[#This Row],[LND RND USD]]*12)</f>
        <v xml:space="preserve"> </v>
      </c>
      <c r="W73" s="30" t="str">
        <f>IF(Inventory_List_Table3411151091113171814161920[[#This Row],[Q]]&lt;0.1, " ",Inventory_List_Table3411151091113171814161920[[#This Row],[AQ USD]])</f>
        <v xml:space="preserve"> </v>
      </c>
      <c r="X7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3" s="30" t="str">
        <f>IF(Inventory_List_Table3411151091113171814161920[[#This Row],[Q]]&lt;0.1, " ",Inventory_List_Table3411151091113171814161920[[#This Row],[PRICE]]/Z73*10000)</f>
        <v xml:space="preserve"> </v>
      </c>
      <c r="AB73" s="430"/>
      <c r="AC73" s="1"/>
      <c r="AD73" s="1"/>
    </row>
    <row r="74" spans="1:30" ht="24" customHeight="1" x14ac:dyDescent="0.3">
      <c r="A74" s="431">
        <v>72</v>
      </c>
      <c r="B74" s="1"/>
      <c r="C74" s="425"/>
      <c r="D74" s="425"/>
      <c r="E74" s="425"/>
      <c r="F74" s="38" t="str">
        <f>IF(Inventory_List_Table3411151091113171814161920[[#This Row],[Q]]&lt;0.1, " ",#REF!&amp;$D$1&amp;#REF!&amp;Inventory_List_Table3411151091113171814161920[[#This Row],[NOTES]])</f>
        <v xml:space="preserve"> </v>
      </c>
      <c r="G74" s="427"/>
      <c r="H74" s="427"/>
      <c r="I74" s="427"/>
      <c r="J74" s="427"/>
      <c r="K74" s="427"/>
      <c r="L74" s="429"/>
      <c r="M7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4" s="35" t="str">
        <f>IF(Inventory_List_Table3411151091113171814161920[[#This Row],[Q]]&lt;0.1, " ", Inventory_List_Table3411151091113171814161920[[#This Row],[KG]]*2.20462)</f>
        <v xml:space="preserve"> </v>
      </c>
      <c r="O74" s="35" t="str">
        <f>IF(Inventory_List_Table3411151091113171814161920[[#This Row],[Q]]&lt;0.1, " ",Inventory_List_Table3411151091113171814161920[[#This Row],[H CM]]/2.54)</f>
        <v xml:space="preserve"> </v>
      </c>
      <c r="P74" s="35" t="str">
        <f>IF(Inventory_List_Table3411151091113171814161920[[#This Row],[Q]]&lt;0.1, " ",Inventory_List_Table3411151091113171814161920[[#This Row],[W CM]]/2.54)</f>
        <v xml:space="preserve"> </v>
      </c>
      <c r="Q74" s="35" t="str">
        <f>IF(Inventory_List_Table3411151091113171814161920[[#This Row],[Q]]&lt;0.1, " ",Inventory_List_Table3411151091113171814161920[[#This Row],[D CM ]]/2.54)</f>
        <v xml:space="preserve"> </v>
      </c>
      <c r="R74" s="30" t="str">
        <f>IF(Inventory_List_Table3411151091113171814161920[[#This Row],[Q]]&lt;0.1, " ",Inventory_List_Table3411151091113171814161920[[#This Row],[PRICE]]/$L$1)</f>
        <v xml:space="preserve"> </v>
      </c>
      <c r="S7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4" s="30" t="str">
        <f>IF(Inventory_List_Table3411151091113171814161920[[#This Row],[Q]]&lt;0.1, " ",Inventory_List_Table3411151091113171814161920[[#This Row],[AQ RND USD]]*1.4)</f>
        <v xml:space="preserve"> </v>
      </c>
      <c r="U7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4" s="30" t="str">
        <f>IF(Inventory_List_Table3411151091113171814161920[[#This Row],[Q]]&lt;0.1, " ",Inventory_List_Table3411151091113171814161920[[#This Row],[LND RND USD]]*12)</f>
        <v xml:space="preserve"> </v>
      </c>
      <c r="W74" s="30" t="str">
        <f>IF(Inventory_List_Table3411151091113171814161920[[#This Row],[Q]]&lt;0.1, " ",Inventory_List_Table3411151091113171814161920[[#This Row],[AQ USD]])</f>
        <v xml:space="preserve"> </v>
      </c>
      <c r="X7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4" s="30" t="str">
        <f>IF(Inventory_List_Table3411151091113171814161920[[#This Row],[Q]]&lt;0.1, " ",Inventory_List_Table3411151091113171814161920[[#This Row],[PRICE]]/Z74*10000)</f>
        <v xml:space="preserve"> </v>
      </c>
      <c r="AB74" s="430"/>
      <c r="AC74" s="1"/>
      <c r="AD74" s="1"/>
    </row>
    <row r="75" spans="1:30" ht="24" customHeight="1" x14ac:dyDescent="0.3">
      <c r="A75" s="431">
        <v>73</v>
      </c>
      <c r="B75" s="1"/>
      <c r="C75" s="425"/>
      <c r="D75" s="425"/>
      <c r="E75" s="425"/>
      <c r="F75" s="38" t="str">
        <f>IF(Inventory_List_Table3411151091113171814161920[[#This Row],[Q]]&lt;0.1, " ",#REF!&amp;$D$1&amp;#REF!&amp;Inventory_List_Table3411151091113171814161920[[#This Row],[NOTES]])</f>
        <v xml:space="preserve"> </v>
      </c>
      <c r="G75" s="427"/>
      <c r="H75" s="427"/>
      <c r="I75" s="427"/>
      <c r="J75" s="427"/>
      <c r="K75" s="427"/>
      <c r="L75" s="429"/>
      <c r="M7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5" s="35" t="str">
        <f>IF(Inventory_List_Table3411151091113171814161920[[#This Row],[Q]]&lt;0.1, " ", Inventory_List_Table3411151091113171814161920[[#This Row],[KG]]*2.20462)</f>
        <v xml:space="preserve"> </v>
      </c>
      <c r="O75" s="35" t="str">
        <f>IF(Inventory_List_Table3411151091113171814161920[[#This Row],[Q]]&lt;0.1, " ",Inventory_List_Table3411151091113171814161920[[#This Row],[H CM]]/2.54)</f>
        <v xml:space="preserve"> </v>
      </c>
      <c r="P75" s="35" t="str">
        <f>IF(Inventory_List_Table3411151091113171814161920[[#This Row],[Q]]&lt;0.1, " ",Inventory_List_Table3411151091113171814161920[[#This Row],[W CM]]/2.54)</f>
        <v xml:space="preserve"> </v>
      </c>
      <c r="Q75" s="35" t="str">
        <f>IF(Inventory_List_Table3411151091113171814161920[[#This Row],[Q]]&lt;0.1, " ",Inventory_List_Table3411151091113171814161920[[#This Row],[D CM ]]/2.54)</f>
        <v xml:space="preserve"> </v>
      </c>
      <c r="R75" s="30" t="str">
        <f>IF(Inventory_List_Table3411151091113171814161920[[#This Row],[Q]]&lt;0.1, " ",Inventory_List_Table3411151091113171814161920[[#This Row],[PRICE]]/$L$1)</f>
        <v xml:space="preserve"> </v>
      </c>
      <c r="S7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5" s="30" t="str">
        <f>IF(Inventory_List_Table3411151091113171814161920[[#This Row],[Q]]&lt;0.1, " ",Inventory_List_Table3411151091113171814161920[[#This Row],[AQ RND USD]]*1.4)</f>
        <v xml:space="preserve"> </v>
      </c>
      <c r="U7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5" s="30" t="str">
        <f>IF(Inventory_List_Table3411151091113171814161920[[#This Row],[Q]]&lt;0.1, " ",Inventory_List_Table3411151091113171814161920[[#This Row],[LND RND USD]]*12)</f>
        <v xml:space="preserve"> </v>
      </c>
      <c r="W75" s="30" t="str">
        <f>IF(Inventory_List_Table3411151091113171814161920[[#This Row],[Q]]&lt;0.1, " ",Inventory_List_Table3411151091113171814161920[[#This Row],[AQ USD]])</f>
        <v xml:space="preserve"> </v>
      </c>
      <c r="X7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5" s="30" t="str">
        <f>IF(Inventory_List_Table3411151091113171814161920[[#This Row],[Q]]&lt;0.1, " ",Inventory_List_Table3411151091113171814161920[[#This Row],[PRICE]]/Z75*10000)</f>
        <v xml:space="preserve"> </v>
      </c>
      <c r="AB75" s="430"/>
      <c r="AC75" s="1"/>
      <c r="AD75" s="1"/>
    </row>
    <row r="76" spans="1:30" ht="24" customHeight="1" x14ac:dyDescent="0.3">
      <c r="A76" s="431">
        <v>74</v>
      </c>
      <c r="B76" s="1"/>
      <c r="C76" s="425"/>
      <c r="D76" s="425"/>
      <c r="E76" s="425"/>
      <c r="F76" s="38" t="str">
        <f>IF(Inventory_List_Table3411151091113171814161920[[#This Row],[Q]]&lt;0.1, " ",#REF!&amp;$D$1&amp;#REF!&amp;Inventory_List_Table3411151091113171814161920[[#This Row],[NOTES]])</f>
        <v xml:space="preserve"> </v>
      </c>
      <c r="G76" s="427"/>
      <c r="H76" s="427"/>
      <c r="I76" s="427"/>
      <c r="J76" s="427"/>
      <c r="K76" s="427"/>
      <c r="L76" s="429"/>
      <c r="M7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6" s="35" t="str">
        <f>IF(Inventory_List_Table3411151091113171814161920[[#This Row],[Q]]&lt;0.1, " ", Inventory_List_Table3411151091113171814161920[[#This Row],[KG]]*2.20462)</f>
        <v xml:space="preserve"> </v>
      </c>
      <c r="O76" s="35" t="str">
        <f>IF(Inventory_List_Table3411151091113171814161920[[#This Row],[Q]]&lt;0.1, " ",Inventory_List_Table3411151091113171814161920[[#This Row],[H CM]]/2.54)</f>
        <v xml:space="preserve"> </v>
      </c>
      <c r="P76" s="35" t="str">
        <f>IF(Inventory_List_Table3411151091113171814161920[[#This Row],[Q]]&lt;0.1, " ",Inventory_List_Table3411151091113171814161920[[#This Row],[W CM]]/2.54)</f>
        <v xml:space="preserve"> </v>
      </c>
      <c r="Q76" s="35" t="str">
        <f>IF(Inventory_List_Table3411151091113171814161920[[#This Row],[Q]]&lt;0.1, " ",Inventory_List_Table3411151091113171814161920[[#This Row],[D CM ]]/2.54)</f>
        <v xml:space="preserve"> </v>
      </c>
      <c r="R76" s="30" t="str">
        <f>IF(Inventory_List_Table3411151091113171814161920[[#This Row],[Q]]&lt;0.1, " ",Inventory_List_Table3411151091113171814161920[[#This Row],[PRICE]]/$L$1)</f>
        <v xml:space="preserve"> </v>
      </c>
      <c r="S7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6" s="30" t="str">
        <f>IF(Inventory_List_Table3411151091113171814161920[[#This Row],[Q]]&lt;0.1, " ",Inventory_List_Table3411151091113171814161920[[#This Row],[AQ RND USD]]*1.4)</f>
        <v xml:space="preserve"> </v>
      </c>
      <c r="U7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6" s="30" t="str">
        <f>IF(Inventory_List_Table3411151091113171814161920[[#This Row],[Q]]&lt;0.1, " ",Inventory_List_Table3411151091113171814161920[[#This Row],[LND RND USD]]*12)</f>
        <v xml:space="preserve"> </v>
      </c>
      <c r="W76" s="30" t="str">
        <f>IF(Inventory_List_Table3411151091113171814161920[[#This Row],[Q]]&lt;0.1, " ",Inventory_List_Table3411151091113171814161920[[#This Row],[AQ USD]])</f>
        <v xml:space="preserve"> </v>
      </c>
      <c r="X7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6" s="30" t="str">
        <f>IF(Inventory_List_Table3411151091113171814161920[[#This Row],[Q]]&lt;0.1, " ",Inventory_List_Table3411151091113171814161920[[#This Row],[PRICE]]/Z76*10000)</f>
        <v xml:space="preserve"> </v>
      </c>
      <c r="AB76" s="430"/>
      <c r="AC76" s="1"/>
      <c r="AD76" s="1"/>
    </row>
    <row r="77" spans="1:30" ht="24" customHeight="1" x14ac:dyDescent="0.3">
      <c r="A77" s="431">
        <v>75</v>
      </c>
      <c r="B77" s="1"/>
      <c r="C77" s="425"/>
      <c r="D77" s="425"/>
      <c r="E77" s="425"/>
      <c r="F77" s="38" t="str">
        <f>IF(Inventory_List_Table3411151091113171814161920[[#This Row],[Q]]&lt;0.1, " ",#REF!&amp;$D$1&amp;#REF!&amp;Inventory_List_Table3411151091113171814161920[[#This Row],[NOTES]])</f>
        <v xml:space="preserve"> </v>
      </c>
      <c r="G77" s="427"/>
      <c r="H77" s="427"/>
      <c r="I77" s="427"/>
      <c r="J77" s="427"/>
      <c r="K77" s="427"/>
      <c r="L77" s="429"/>
      <c r="M7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7" s="35" t="str">
        <f>IF(Inventory_List_Table3411151091113171814161920[[#This Row],[Q]]&lt;0.1, " ", Inventory_List_Table3411151091113171814161920[[#This Row],[KG]]*2.20462)</f>
        <v xml:space="preserve"> </v>
      </c>
      <c r="O77" s="35" t="str">
        <f>IF(Inventory_List_Table3411151091113171814161920[[#This Row],[Q]]&lt;0.1, " ",Inventory_List_Table3411151091113171814161920[[#This Row],[H CM]]/2.54)</f>
        <v xml:space="preserve"> </v>
      </c>
      <c r="P77" s="35" t="str">
        <f>IF(Inventory_List_Table3411151091113171814161920[[#This Row],[Q]]&lt;0.1, " ",Inventory_List_Table3411151091113171814161920[[#This Row],[W CM]]/2.54)</f>
        <v xml:space="preserve"> </v>
      </c>
      <c r="Q77" s="35" t="str">
        <f>IF(Inventory_List_Table3411151091113171814161920[[#This Row],[Q]]&lt;0.1, " ",Inventory_List_Table3411151091113171814161920[[#This Row],[D CM ]]/2.54)</f>
        <v xml:space="preserve"> </v>
      </c>
      <c r="R77" s="30" t="str">
        <f>IF(Inventory_List_Table3411151091113171814161920[[#This Row],[Q]]&lt;0.1, " ",Inventory_List_Table3411151091113171814161920[[#This Row],[PRICE]]/$L$1)</f>
        <v xml:space="preserve"> </v>
      </c>
      <c r="S7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7" s="30" t="str">
        <f>IF(Inventory_List_Table3411151091113171814161920[[#This Row],[Q]]&lt;0.1, " ",Inventory_List_Table3411151091113171814161920[[#This Row],[AQ RND USD]]*1.4)</f>
        <v xml:space="preserve"> </v>
      </c>
      <c r="U7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7" s="30" t="str">
        <f>IF(Inventory_List_Table3411151091113171814161920[[#This Row],[Q]]&lt;0.1, " ",Inventory_List_Table3411151091113171814161920[[#This Row],[LND RND USD]]*12)</f>
        <v xml:space="preserve"> </v>
      </c>
      <c r="W77" s="30" t="str">
        <f>IF(Inventory_List_Table3411151091113171814161920[[#This Row],[Q]]&lt;0.1, " ",Inventory_List_Table3411151091113171814161920[[#This Row],[AQ USD]])</f>
        <v xml:space="preserve"> </v>
      </c>
      <c r="X7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7" s="30" t="str">
        <f>IF(Inventory_List_Table3411151091113171814161920[[#This Row],[Q]]&lt;0.1, " ",Inventory_List_Table3411151091113171814161920[[#This Row],[PRICE]]/Z77*10000)</f>
        <v xml:space="preserve"> </v>
      </c>
      <c r="AB77" s="430"/>
      <c r="AC77" s="1"/>
      <c r="AD77" s="1"/>
    </row>
    <row r="78" spans="1:30" ht="24" customHeight="1" x14ac:dyDescent="0.3">
      <c r="A78" s="431">
        <v>76</v>
      </c>
      <c r="B78" s="1"/>
      <c r="C78" s="425"/>
      <c r="D78" s="425"/>
      <c r="E78" s="425"/>
      <c r="F78" s="38" t="str">
        <f>IF(Inventory_List_Table3411151091113171814161920[[#This Row],[Q]]&lt;0.1, " ",#REF!&amp;$D$1&amp;#REF!&amp;Inventory_List_Table3411151091113171814161920[[#This Row],[NOTES]])</f>
        <v xml:space="preserve"> </v>
      </c>
      <c r="G78" s="427"/>
      <c r="H78" s="427"/>
      <c r="I78" s="427"/>
      <c r="J78" s="427"/>
      <c r="K78" s="427"/>
      <c r="L78" s="429"/>
      <c r="M7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8" s="35" t="str">
        <f>IF(Inventory_List_Table3411151091113171814161920[[#This Row],[Q]]&lt;0.1, " ", Inventory_List_Table3411151091113171814161920[[#This Row],[KG]]*2.20462)</f>
        <v xml:space="preserve"> </v>
      </c>
      <c r="O78" s="35" t="str">
        <f>IF(Inventory_List_Table3411151091113171814161920[[#This Row],[Q]]&lt;0.1, " ",Inventory_List_Table3411151091113171814161920[[#This Row],[H CM]]/2.54)</f>
        <v xml:space="preserve"> </v>
      </c>
      <c r="P78" s="35" t="str">
        <f>IF(Inventory_List_Table3411151091113171814161920[[#This Row],[Q]]&lt;0.1, " ",Inventory_List_Table3411151091113171814161920[[#This Row],[W CM]]/2.54)</f>
        <v xml:space="preserve"> </v>
      </c>
      <c r="Q78" s="35" t="str">
        <f>IF(Inventory_List_Table3411151091113171814161920[[#This Row],[Q]]&lt;0.1, " ",Inventory_List_Table3411151091113171814161920[[#This Row],[D CM ]]/2.54)</f>
        <v xml:space="preserve"> </v>
      </c>
      <c r="R78" s="30" t="str">
        <f>IF(Inventory_List_Table3411151091113171814161920[[#This Row],[Q]]&lt;0.1, " ",Inventory_List_Table3411151091113171814161920[[#This Row],[PRICE]]/$L$1)</f>
        <v xml:space="preserve"> </v>
      </c>
      <c r="S7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8" s="30" t="str">
        <f>IF(Inventory_List_Table3411151091113171814161920[[#This Row],[Q]]&lt;0.1, " ",Inventory_List_Table3411151091113171814161920[[#This Row],[AQ RND USD]]*1.4)</f>
        <v xml:space="preserve"> </v>
      </c>
      <c r="U7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8" s="30" t="str">
        <f>IF(Inventory_List_Table3411151091113171814161920[[#This Row],[Q]]&lt;0.1, " ",Inventory_List_Table3411151091113171814161920[[#This Row],[LND RND USD]]*12)</f>
        <v xml:space="preserve"> </v>
      </c>
      <c r="W78" s="30" t="str">
        <f>IF(Inventory_List_Table3411151091113171814161920[[#This Row],[Q]]&lt;0.1, " ",Inventory_List_Table3411151091113171814161920[[#This Row],[AQ USD]])</f>
        <v xml:space="preserve"> </v>
      </c>
      <c r="X7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8" s="30" t="str">
        <f>IF(Inventory_List_Table3411151091113171814161920[[#This Row],[Q]]&lt;0.1, " ",Inventory_List_Table3411151091113171814161920[[#This Row],[PRICE]]/Z78*10000)</f>
        <v xml:space="preserve"> </v>
      </c>
      <c r="AB78" s="430"/>
      <c r="AC78" s="1"/>
      <c r="AD78" s="1"/>
    </row>
    <row r="79" spans="1:30" ht="24" customHeight="1" x14ac:dyDescent="0.3">
      <c r="A79" s="431">
        <v>77</v>
      </c>
      <c r="B79" s="1"/>
      <c r="C79" s="425"/>
      <c r="D79" s="425"/>
      <c r="E79" s="425"/>
      <c r="F79" s="38" t="str">
        <f>IF(Inventory_List_Table3411151091113171814161920[[#This Row],[Q]]&lt;0.1, " ",#REF!&amp;$D$1&amp;#REF!&amp;Inventory_List_Table3411151091113171814161920[[#This Row],[NOTES]])</f>
        <v xml:space="preserve"> </v>
      </c>
      <c r="G79" s="427"/>
      <c r="H79" s="427"/>
      <c r="I79" s="427"/>
      <c r="J79" s="427"/>
      <c r="K79" s="427"/>
      <c r="L79" s="429"/>
      <c r="M7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79" s="35" t="str">
        <f>IF(Inventory_List_Table3411151091113171814161920[[#This Row],[Q]]&lt;0.1, " ", Inventory_List_Table3411151091113171814161920[[#This Row],[KG]]*2.20462)</f>
        <v xml:space="preserve"> </v>
      </c>
      <c r="O79" s="35" t="str">
        <f>IF(Inventory_List_Table3411151091113171814161920[[#This Row],[Q]]&lt;0.1, " ",Inventory_List_Table3411151091113171814161920[[#This Row],[H CM]]/2.54)</f>
        <v xml:space="preserve"> </v>
      </c>
      <c r="P79" s="35" t="str">
        <f>IF(Inventory_List_Table3411151091113171814161920[[#This Row],[Q]]&lt;0.1, " ",Inventory_List_Table3411151091113171814161920[[#This Row],[W CM]]/2.54)</f>
        <v xml:space="preserve"> </v>
      </c>
      <c r="Q79" s="35" t="str">
        <f>IF(Inventory_List_Table3411151091113171814161920[[#This Row],[Q]]&lt;0.1, " ",Inventory_List_Table3411151091113171814161920[[#This Row],[D CM ]]/2.54)</f>
        <v xml:space="preserve"> </v>
      </c>
      <c r="R79" s="30" t="str">
        <f>IF(Inventory_List_Table3411151091113171814161920[[#This Row],[Q]]&lt;0.1, " ",Inventory_List_Table3411151091113171814161920[[#This Row],[PRICE]]/$L$1)</f>
        <v xml:space="preserve"> </v>
      </c>
      <c r="S7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79" s="30" t="str">
        <f>IF(Inventory_List_Table3411151091113171814161920[[#This Row],[Q]]&lt;0.1, " ",Inventory_List_Table3411151091113171814161920[[#This Row],[AQ RND USD]]*1.4)</f>
        <v xml:space="preserve"> </v>
      </c>
      <c r="U7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79" s="30" t="str">
        <f>IF(Inventory_List_Table3411151091113171814161920[[#This Row],[Q]]&lt;0.1, " ",Inventory_List_Table3411151091113171814161920[[#This Row],[LND RND USD]]*12)</f>
        <v xml:space="preserve"> </v>
      </c>
      <c r="W79" s="30" t="str">
        <f>IF(Inventory_List_Table3411151091113171814161920[[#This Row],[Q]]&lt;0.1, " ",Inventory_List_Table3411151091113171814161920[[#This Row],[AQ USD]])</f>
        <v xml:space="preserve"> </v>
      </c>
      <c r="X7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7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7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79" s="30" t="str">
        <f>IF(Inventory_List_Table3411151091113171814161920[[#This Row],[Q]]&lt;0.1, " ",Inventory_List_Table3411151091113171814161920[[#This Row],[PRICE]]/Z79*10000)</f>
        <v xml:space="preserve"> </v>
      </c>
      <c r="AB79" s="430"/>
      <c r="AC79" s="1"/>
      <c r="AD79" s="1"/>
    </row>
    <row r="80" spans="1:30" ht="24" customHeight="1" x14ac:dyDescent="0.3">
      <c r="A80" s="431">
        <v>78</v>
      </c>
      <c r="B80" s="1"/>
      <c r="C80" s="425"/>
      <c r="D80" s="425"/>
      <c r="E80" s="425"/>
      <c r="F80" s="38" t="str">
        <f>IF(Inventory_List_Table3411151091113171814161920[[#This Row],[Q]]&lt;0.1, " ",#REF!&amp;$D$1&amp;#REF!&amp;Inventory_List_Table3411151091113171814161920[[#This Row],[NOTES]])</f>
        <v xml:space="preserve"> </v>
      </c>
      <c r="G80" s="427"/>
      <c r="H80" s="427"/>
      <c r="I80" s="427"/>
      <c r="J80" s="427"/>
      <c r="K80" s="427"/>
      <c r="L80" s="429"/>
      <c r="M8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0" s="35" t="str">
        <f>IF(Inventory_List_Table3411151091113171814161920[[#This Row],[Q]]&lt;0.1, " ", Inventory_List_Table3411151091113171814161920[[#This Row],[KG]]*2.20462)</f>
        <v xml:space="preserve"> </v>
      </c>
      <c r="O80" s="35" t="str">
        <f>IF(Inventory_List_Table3411151091113171814161920[[#This Row],[Q]]&lt;0.1, " ",Inventory_List_Table3411151091113171814161920[[#This Row],[H CM]]/2.54)</f>
        <v xml:space="preserve"> </v>
      </c>
      <c r="P80" s="35" t="str">
        <f>IF(Inventory_List_Table3411151091113171814161920[[#This Row],[Q]]&lt;0.1, " ",Inventory_List_Table3411151091113171814161920[[#This Row],[W CM]]/2.54)</f>
        <v xml:space="preserve"> </v>
      </c>
      <c r="Q80" s="35" t="str">
        <f>IF(Inventory_List_Table3411151091113171814161920[[#This Row],[Q]]&lt;0.1, " ",Inventory_List_Table3411151091113171814161920[[#This Row],[D CM ]]/2.54)</f>
        <v xml:space="preserve"> </v>
      </c>
      <c r="R80" s="30" t="str">
        <f>IF(Inventory_List_Table3411151091113171814161920[[#This Row],[Q]]&lt;0.1, " ",Inventory_List_Table3411151091113171814161920[[#This Row],[PRICE]]/$L$1)</f>
        <v xml:space="preserve"> </v>
      </c>
      <c r="S8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0" s="30" t="str">
        <f>IF(Inventory_List_Table3411151091113171814161920[[#This Row],[Q]]&lt;0.1, " ",Inventory_List_Table3411151091113171814161920[[#This Row],[AQ RND USD]]*1.4)</f>
        <v xml:space="preserve"> </v>
      </c>
      <c r="U8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0" s="30" t="str">
        <f>IF(Inventory_List_Table3411151091113171814161920[[#This Row],[Q]]&lt;0.1, " ",Inventory_List_Table3411151091113171814161920[[#This Row],[LND RND USD]]*12)</f>
        <v xml:space="preserve"> </v>
      </c>
      <c r="W80" s="30" t="str">
        <f>IF(Inventory_List_Table3411151091113171814161920[[#This Row],[Q]]&lt;0.1, " ",Inventory_List_Table3411151091113171814161920[[#This Row],[AQ USD]])</f>
        <v xml:space="preserve"> </v>
      </c>
      <c r="X8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0" s="30" t="str">
        <f>IF(Inventory_List_Table3411151091113171814161920[[#This Row],[Q]]&lt;0.1, " ",Inventory_List_Table3411151091113171814161920[[#This Row],[PRICE]]/Z80*10000)</f>
        <v xml:space="preserve"> </v>
      </c>
      <c r="AB80" s="430"/>
      <c r="AC80" s="1"/>
      <c r="AD80" s="1"/>
    </row>
    <row r="81" spans="1:30" ht="24" customHeight="1" x14ac:dyDescent="0.3">
      <c r="A81" s="431">
        <v>79</v>
      </c>
      <c r="B81" s="1"/>
      <c r="C81" s="425"/>
      <c r="D81" s="425"/>
      <c r="E81" s="425"/>
      <c r="F81" s="38" t="str">
        <f>IF(Inventory_List_Table3411151091113171814161920[[#This Row],[Q]]&lt;0.1, " ",#REF!&amp;$D$1&amp;#REF!&amp;Inventory_List_Table3411151091113171814161920[[#This Row],[NOTES]])</f>
        <v xml:space="preserve"> </v>
      </c>
      <c r="G81" s="427"/>
      <c r="H81" s="427"/>
      <c r="I81" s="427"/>
      <c r="J81" s="427"/>
      <c r="K81" s="427"/>
      <c r="L81" s="429"/>
      <c r="M8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1" s="35" t="str">
        <f>IF(Inventory_List_Table3411151091113171814161920[[#This Row],[Q]]&lt;0.1, " ", Inventory_List_Table3411151091113171814161920[[#This Row],[KG]]*2.20462)</f>
        <v xml:space="preserve"> </v>
      </c>
      <c r="O81" s="35" t="str">
        <f>IF(Inventory_List_Table3411151091113171814161920[[#This Row],[Q]]&lt;0.1, " ",Inventory_List_Table3411151091113171814161920[[#This Row],[H CM]]/2.54)</f>
        <v xml:space="preserve"> </v>
      </c>
      <c r="P81" s="35" t="str">
        <f>IF(Inventory_List_Table3411151091113171814161920[[#This Row],[Q]]&lt;0.1, " ",Inventory_List_Table3411151091113171814161920[[#This Row],[W CM]]/2.54)</f>
        <v xml:space="preserve"> </v>
      </c>
      <c r="Q81" s="35" t="str">
        <f>IF(Inventory_List_Table3411151091113171814161920[[#This Row],[Q]]&lt;0.1, " ",Inventory_List_Table3411151091113171814161920[[#This Row],[D CM ]]/2.54)</f>
        <v xml:space="preserve"> </v>
      </c>
      <c r="R81" s="30" t="str">
        <f>IF(Inventory_List_Table3411151091113171814161920[[#This Row],[Q]]&lt;0.1, " ",Inventory_List_Table3411151091113171814161920[[#This Row],[PRICE]]/$L$1)</f>
        <v xml:space="preserve"> </v>
      </c>
      <c r="S8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1" s="30" t="str">
        <f>IF(Inventory_List_Table3411151091113171814161920[[#This Row],[Q]]&lt;0.1, " ",Inventory_List_Table3411151091113171814161920[[#This Row],[AQ RND USD]]*1.4)</f>
        <v xml:space="preserve"> </v>
      </c>
      <c r="U8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1" s="30" t="str">
        <f>IF(Inventory_List_Table3411151091113171814161920[[#This Row],[Q]]&lt;0.1, " ",Inventory_List_Table3411151091113171814161920[[#This Row],[LND RND USD]]*12)</f>
        <v xml:space="preserve"> </v>
      </c>
      <c r="W81" s="30" t="str">
        <f>IF(Inventory_List_Table3411151091113171814161920[[#This Row],[Q]]&lt;0.1, " ",Inventory_List_Table3411151091113171814161920[[#This Row],[AQ USD]])</f>
        <v xml:space="preserve"> </v>
      </c>
      <c r="X8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1" s="30" t="str">
        <f>IF(Inventory_List_Table3411151091113171814161920[[#This Row],[Q]]&lt;0.1, " ",Inventory_List_Table3411151091113171814161920[[#This Row],[PRICE]]/Z81*10000)</f>
        <v xml:space="preserve"> </v>
      </c>
      <c r="AB81" s="430"/>
      <c r="AC81" s="1"/>
      <c r="AD81" s="1"/>
    </row>
    <row r="82" spans="1:30" ht="24" customHeight="1" x14ac:dyDescent="0.3">
      <c r="A82" s="431">
        <v>80</v>
      </c>
      <c r="B82" s="1"/>
      <c r="C82" s="425"/>
      <c r="D82" s="425"/>
      <c r="E82" s="425"/>
      <c r="F82" s="38" t="str">
        <f>IF(Inventory_List_Table3411151091113171814161920[[#This Row],[Q]]&lt;0.1, " ",#REF!&amp;$D$1&amp;#REF!&amp;Inventory_List_Table3411151091113171814161920[[#This Row],[NOTES]])</f>
        <v xml:space="preserve"> </v>
      </c>
      <c r="G82" s="427"/>
      <c r="H82" s="427"/>
      <c r="I82" s="427"/>
      <c r="J82" s="427"/>
      <c r="K82" s="427"/>
      <c r="L82" s="429"/>
      <c r="M8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2" s="35" t="str">
        <f>IF(Inventory_List_Table3411151091113171814161920[[#This Row],[Q]]&lt;0.1, " ", Inventory_List_Table3411151091113171814161920[[#This Row],[KG]]*2.20462)</f>
        <v xml:space="preserve"> </v>
      </c>
      <c r="O82" s="35" t="str">
        <f>IF(Inventory_List_Table3411151091113171814161920[[#This Row],[Q]]&lt;0.1, " ",Inventory_List_Table3411151091113171814161920[[#This Row],[H CM]]/2.54)</f>
        <v xml:space="preserve"> </v>
      </c>
      <c r="P82" s="35" t="str">
        <f>IF(Inventory_List_Table3411151091113171814161920[[#This Row],[Q]]&lt;0.1, " ",Inventory_List_Table3411151091113171814161920[[#This Row],[W CM]]/2.54)</f>
        <v xml:space="preserve"> </v>
      </c>
      <c r="Q82" s="35" t="str">
        <f>IF(Inventory_List_Table3411151091113171814161920[[#This Row],[Q]]&lt;0.1, " ",Inventory_List_Table3411151091113171814161920[[#This Row],[D CM ]]/2.54)</f>
        <v xml:space="preserve"> </v>
      </c>
      <c r="R82" s="30" t="str">
        <f>IF(Inventory_List_Table3411151091113171814161920[[#This Row],[Q]]&lt;0.1, " ",Inventory_List_Table3411151091113171814161920[[#This Row],[PRICE]]/$L$1)</f>
        <v xml:space="preserve"> </v>
      </c>
      <c r="S8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2" s="30" t="str">
        <f>IF(Inventory_List_Table3411151091113171814161920[[#This Row],[Q]]&lt;0.1, " ",Inventory_List_Table3411151091113171814161920[[#This Row],[AQ RND USD]]*1.4)</f>
        <v xml:space="preserve"> </v>
      </c>
      <c r="U8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2" s="30" t="str">
        <f>IF(Inventory_List_Table3411151091113171814161920[[#This Row],[Q]]&lt;0.1, " ",Inventory_List_Table3411151091113171814161920[[#This Row],[LND RND USD]]*12)</f>
        <v xml:space="preserve"> </v>
      </c>
      <c r="W82" s="30" t="str">
        <f>IF(Inventory_List_Table3411151091113171814161920[[#This Row],[Q]]&lt;0.1, " ",Inventory_List_Table3411151091113171814161920[[#This Row],[AQ USD]])</f>
        <v xml:space="preserve"> </v>
      </c>
      <c r="X8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2" s="30" t="str">
        <f>IF(Inventory_List_Table3411151091113171814161920[[#This Row],[Q]]&lt;0.1, " ",Inventory_List_Table3411151091113171814161920[[#This Row],[PRICE]]/Z82*10000)</f>
        <v xml:space="preserve"> </v>
      </c>
      <c r="AB82" s="430"/>
      <c r="AC82" s="1"/>
      <c r="AD82" s="1"/>
    </row>
    <row r="83" spans="1:30" ht="24" customHeight="1" x14ac:dyDescent="0.3">
      <c r="A83" s="431">
        <v>81</v>
      </c>
      <c r="B83" s="1"/>
      <c r="C83" s="425"/>
      <c r="D83" s="425"/>
      <c r="E83" s="425"/>
      <c r="F83" s="38" t="str">
        <f>IF(Inventory_List_Table3411151091113171814161920[[#This Row],[Q]]&lt;0.1, " ",#REF!&amp;$D$1&amp;#REF!&amp;Inventory_List_Table3411151091113171814161920[[#This Row],[NOTES]])</f>
        <v xml:space="preserve"> </v>
      </c>
      <c r="G83" s="427"/>
      <c r="H83" s="427"/>
      <c r="I83" s="427"/>
      <c r="J83" s="427"/>
      <c r="K83" s="427"/>
      <c r="L83" s="429"/>
      <c r="M8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3" s="35" t="str">
        <f>IF(Inventory_List_Table3411151091113171814161920[[#This Row],[Q]]&lt;0.1, " ", Inventory_List_Table3411151091113171814161920[[#This Row],[KG]]*2.20462)</f>
        <v xml:space="preserve"> </v>
      </c>
      <c r="O83" s="35" t="str">
        <f>IF(Inventory_List_Table3411151091113171814161920[[#This Row],[Q]]&lt;0.1, " ",Inventory_List_Table3411151091113171814161920[[#This Row],[H CM]]/2.54)</f>
        <v xml:space="preserve"> </v>
      </c>
      <c r="P83" s="35" t="str">
        <f>IF(Inventory_List_Table3411151091113171814161920[[#This Row],[Q]]&lt;0.1, " ",Inventory_List_Table3411151091113171814161920[[#This Row],[W CM]]/2.54)</f>
        <v xml:space="preserve"> </v>
      </c>
      <c r="Q83" s="35" t="str">
        <f>IF(Inventory_List_Table3411151091113171814161920[[#This Row],[Q]]&lt;0.1, " ",Inventory_List_Table3411151091113171814161920[[#This Row],[D CM ]]/2.54)</f>
        <v xml:space="preserve"> </v>
      </c>
      <c r="R83" s="30" t="str">
        <f>IF(Inventory_List_Table3411151091113171814161920[[#This Row],[Q]]&lt;0.1, " ",Inventory_List_Table3411151091113171814161920[[#This Row],[PRICE]]/$L$1)</f>
        <v xml:space="preserve"> </v>
      </c>
      <c r="S8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3" s="30" t="str">
        <f>IF(Inventory_List_Table3411151091113171814161920[[#This Row],[Q]]&lt;0.1, " ",Inventory_List_Table3411151091113171814161920[[#This Row],[AQ RND USD]]*1.4)</f>
        <v xml:space="preserve"> </v>
      </c>
      <c r="U8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3" s="30" t="str">
        <f>IF(Inventory_List_Table3411151091113171814161920[[#This Row],[Q]]&lt;0.1, " ",Inventory_List_Table3411151091113171814161920[[#This Row],[LND RND USD]]*12)</f>
        <v xml:space="preserve"> </v>
      </c>
      <c r="W83" s="30" t="str">
        <f>IF(Inventory_List_Table3411151091113171814161920[[#This Row],[Q]]&lt;0.1, " ",Inventory_List_Table3411151091113171814161920[[#This Row],[AQ USD]])</f>
        <v xml:space="preserve"> </v>
      </c>
      <c r="X8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3" s="30" t="str">
        <f>IF(Inventory_List_Table3411151091113171814161920[[#This Row],[Q]]&lt;0.1, " ",Inventory_List_Table3411151091113171814161920[[#This Row],[PRICE]]/Z83*10000)</f>
        <v xml:space="preserve"> </v>
      </c>
      <c r="AB83" s="430"/>
      <c r="AC83" s="1"/>
      <c r="AD83" s="1"/>
    </row>
    <row r="84" spans="1:30" ht="24" customHeight="1" x14ac:dyDescent="0.3">
      <c r="A84" s="431">
        <v>82</v>
      </c>
      <c r="B84" s="1"/>
      <c r="C84" s="425"/>
      <c r="D84" s="425"/>
      <c r="E84" s="425"/>
      <c r="F84" s="38" t="str">
        <f>IF(Inventory_List_Table3411151091113171814161920[[#This Row],[Q]]&lt;0.1, " ",#REF!&amp;$D$1&amp;#REF!&amp;Inventory_List_Table3411151091113171814161920[[#This Row],[NOTES]])</f>
        <v xml:space="preserve"> </v>
      </c>
      <c r="G84" s="427"/>
      <c r="H84" s="427"/>
      <c r="I84" s="427"/>
      <c r="J84" s="427"/>
      <c r="K84" s="427"/>
      <c r="L84" s="429"/>
      <c r="M8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4" s="35" t="str">
        <f>IF(Inventory_List_Table3411151091113171814161920[[#This Row],[Q]]&lt;0.1, " ", Inventory_List_Table3411151091113171814161920[[#This Row],[KG]]*2.20462)</f>
        <v xml:space="preserve"> </v>
      </c>
      <c r="O84" s="35" t="str">
        <f>IF(Inventory_List_Table3411151091113171814161920[[#This Row],[Q]]&lt;0.1, " ",Inventory_List_Table3411151091113171814161920[[#This Row],[H CM]]/2.54)</f>
        <v xml:space="preserve"> </v>
      </c>
      <c r="P84" s="35" t="str">
        <f>IF(Inventory_List_Table3411151091113171814161920[[#This Row],[Q]]&lt;0.1, " ",Inventory_List_Table3411151091113171814161920[[#This Row],[W CM]]/2.54)</f>
        <v xml:space="preserve"> </v>
      </c>
      <c r="Q84" s="35" t="str">
        <f>IF(Inventory_List_Table3411151091113171814161920[[#This Row],[Q]]&lt;0.1, " ",Inventory_List_Table3411151091113171814161920[[#This Row],[D CM ]]/2.54)</f>
        <v xml:space="preserve"> </v>
      </c>
      <c r="R84" s="30" t="str">
        <f>IF(Inventory_List_Table3411151091113171814161920[[#This Row],[Q]]&lt;0.1, " ",Inventory_List_Table3411151091113171814161920[[#This Row],[PRICE]]/$L$1)</f>
        <v xml:space="preserve"> </v>
      </c>
      <c r="S8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4" s="30" t="str">
        <f>IF(Inventory_List_Table3411151091113171814161920[[#This Row],[Q]]&lt;0.1, " ",Inventory_List_Table3411151091113171814161920[[#This Row],[AQ RND USD]]*1.4)</f>
        <v xml:space="preserve"> </v>
      </c>
      <c r="U8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4" s="30" t="str">
        <f>IF(Inventory_List_Table3411151091113171814161920[[#This Row],[Q]]&lt;0.1, " ",Inventory_List_Table3411151091113171814161920[[#This Row],[LND RND USD]]*12)</f>
        <v xml:space="preserve"> </v>
      </c>
      <c r="W84" s="30" t="str">
        <f>IF(Inventory_List_Table3411151091113171814161920[[#This Row],[Q]]&lt;0.1, " ",Inventory_List_Table3411151091113171814161920[[#This Row],[AQ USD]])</f>
        <v xml:space="preserve"> </v>
      </c>
      <c r="X8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4" s="30" t="str">
        <f>IF(Inventory_List_Table3411151091113171814161920[[#This Row],[Q]]&lt;0.1, " ",Inventory_List_Table3411151091113171814161920[[#This Row],[PRICE]]/Z84*10000)</f>
        <v xml:space="preserve"> </v>
      </c>
      <c r="AB84" s="430"/>
      <c r="AC84" s="1"/>
      <c r="AD84" s="1"/>
    </row>
    <row r="85" spans="1:30" ht="24" customHeight="1" x14ac:dyDescent="0.3">
      <c r="A85" s="431">
        <v>83</v>
      </c>
      <c r="B85" s="1"/>
      <c r="C85" s="425"/>
      <c r="D85" s="425"/>
      <c r="E85" s="425"/>
      <c r="F85" s="38" t="str">
        <f>IF(Inventory_List_Table3411151091113171814161920[[#This Row],[Q]]&lt;0.1, " ",#REF!&amp;$D$1&amp;#REF!&amp;Inventory_List_Table3411151091113171814161920[[#This Row],[NOTES]])</f>
        <v xml:space="preserve"> </v>
      </c>
      <c r="G85" s="427"/>
      <c r="H85" s="427"/>
      <c r="I85" s="427"/>
      <c r="J85" s="427"/>
      <c r="K85" s="427"/>
      <c r="L85" s="429"/>
      <c r="M8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5" s="35" t="str">
        <f>IF(Inventory_List_Table3411151091113171814161920[[#This Row],[Q]]&lt;0.1, " ", Inventory_List_Table3411151091113171814161920[[#This Row],[KG]]*2.20462)</f>
        <v xml:space="preserve"> </v>
      </c>
      <c r="O85" s="35" t="str">
        <f>IF(Inventory_List_Table3411151091113171814161920[[#This Row],[Q]]&lt;0.1, " ",Inventory_List_Table3411151091113171814161920[[#This Row],[H CM]]/2.54)</f>
        <v xml:space="preserve"> </v>
      </c>
      <c r="P85" s="35" t="str">
        <f>IF(Inventory_List_Table3411151091113171814161920[[#This Row],[Q]]&lt;0.1, " ",Inventory_List_Table3411151091113171814161920[[#This Row],[W CM]]/2.54)</f>
        <v xml:space="preserve"> </v>
      </c>
      <c r="Q85" s="35" t="str">
        <f>IF(Inventory_List_Table3411151091113171814161920[[#This Row],[Q]]&lt;0.1, " ",Inventory_List_Table3411151091113171814161920[[#This Row],[D CM ]]/2.54)</f>
        <v xml:space="preserve"> </v>
      </c>
      <c r="R85" s="30" t="str">
        <f>IF(Inventory_List_Table3411151091113171814161920[[#This Row],[Q]]&lt;0.1, " ",Inventory_List_Table3411151091113171814161920[[#This Row],[PRICE]]/$L$1)</f>
        <v xml:space="preserve"> </v>
      </c>
      <c r="S8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5" s="30" t="str">
        <f>IF(Inventory_List_Table3411151091113171814161920[[#This Row],[Q]]&lt;0.1, " ",Inventory_List_Table3411151091113171814161920[[#This Row],[AQ RND USD]]*1.4)</f>
        <v xml:space="preserve"> </v>
      </c>
      <c r="U8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5" s="30" t="str">
        <f>IF(Inventory_List_Table3411151091113171814161920[[#This Row],[Q]]&lt;0.1, " ",Inventory_List_Table3411151091113171814161920[[#This Row],[LND RND USD]]*12)</f>
        <v xml:space="preserve"> </v>
      </c>
      <c r="W85" s="30" t="str">
        <f>IF(Inventory_List_Table3411151091113171814161920[[#This Row],[Q]]&lt;0.1, " ",Inventory_List_Table3411151091113171814161920[[#This Row],[AQ USD]])</f>
        <v xml:space="preserve"> </v>
      </c>
      <c r="X8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5" s="30" t="str">
        <f>IF(Inventory_List_Table3411151091113171814161920[[#This Row],[Q]]&lt;0.1, " ",Inventory_List_Table3411151091113171814161920[[#This Row],[PRICE]]/Z85*10000)</f>
        <v xml:space="preserve"> </v>
      </c>
      <c r="AB85" s="430"/>
      <c r="AC85" s="1"/>
      <c r="AD85" s="1"/>
    </row>
    <row r="86" spans="1:30" ht="24" customHeight="1" x14ac:dyDescent="0.3">
      <c r="A86" s="431">
        <v>84</v>
      </c>
      <c r="B86" s="1"/>
      <c r="C86" s="425"/>
      <c r="D86" s="425"/>
      <c r="E86" s="425"/>
      <c r="F86" s="38" t="str">
        <f>IF(Inventory_List_Table3411151091113171814161920[[#This Row],[Q]]&lt;0.1, " ",#REF!&amp;$D$1&amp;#REF!&amp;Inventory_List_Table3411151091113171814161920[[#This Row],[NOTES]])</f>
        <v xml:space="preserve"> </v>
      </c>
      <c r="G86" s="427"/>
      <c r="H86" s="427"/>
      <c r="I86" s="427"/>
      <c r="J86" s="427"/>
      <c r="K86" s="427"/>
      <c r="L86" s="429"/>
      <c r="M8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6" s="35" t="str">
        <f>IF(Inventory_List_Table3411151091113171814161920[[#This Row],[Q]]&lt;0.1, " ", Inventory_List_Table3411151091113171814161920[[#This Row],[KG]]*2.20462)</f>
        <v xml:space="preserve"> </v>
      </c>
      <c r="O86" s="35" t="str">
        <f>IF(Inventory_List_Table3411151091113171814161920[[#This Row],[Q]]&lt;0.1, " ",Inventory_List_Table3411151091113171814161920[[#This Row],[H CM]]/2.54)</f>
        <v xml:space="preserve"> </v>
      </c>
      <c r="P86" s="35" t="str">
        <f>IF(Inventory_List_Table3411151091113171814161920[[#This Row],[Q]]&lt;0.1, " ",Inventory_List_Table3411151091113171814161920[[#This Row],[W CM]]/2.54)</f>
        <v xml:space="preserve"> </v>
      </c>
      <c r="Q86" s="35" t="str">
        <f>IF(Inventory_List_Table3411151091113171814161920[[#This Row],[Q]]&lt;0.1, " ",Inventory_List_Table3411151091113171814161920[[#This Row],[D CM ]]/2.54)</f>
        <v xml:space="preserve"> </v>
      </c>
      <c r="R86" s="30" t="str">
        <f>IF(Inventory_List_Table3411151091113171814161920[[#This Row],[Q]]&lt;0.1, " ",Inventory_List_Table3411151091113171814161920[[#This Row],[PRICE]]/$L$1)</f>
        <v xml:space="preserve"> </v>
      </c>
      <c r="S8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6" s="30" t="str">
        <f>IF(Inventory_List_Table3411151091113171814161920[[#This Row],[Q]]&lt;0.1, " ",Inventory_List_Table3411151091113171814161920[[#This Row],[AQ RND USD]]*1.4)</f>
        <v xml:space="preserve"> </v>
      </c>
      <c r="U8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6" s="30" t="str">
        <f>IF(Inventory_List_Table3411151091113171814161920[[#This Row],[Q]]&lt;0.1, " ",Inventory_List_Table3411151091113171814161920[[#This Row],[LND RND USD]]*12)</f>
        <v xml:space="preserve"> </v>
      </c>
      <c r="W86" s="30" t="str">
        <f>IF(Inventory_List_Table3411151091113171814161920[[#This Row],[Q]]&lt;0.1, " ",Inventory_List_Table3411151091113171814161920[[#This Row],[AQ USD]])</f>
        <v xml:space="preserve"> </v>
      </c>
      <c r="X8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6" s="30" t="str">
        <f>IF(Inventory_List_Table3411151091113171814161920[[#This Row],[Q]]&lt;0.1, " ",Inventory_List_Table3411151091113171814161920[[#This Row],[PRICE]]/Z86*10000)</f>
        <v xml:space="preserve"> </v>
      </c>
      <c r="AB86" s="430"/>
      <c r="AC86" s="1"/>
      <c r="AD86" s="1"/>
    </row>
    <row r="87" spans="1:30" ht="24" customHeight="1" x14ac:dyDescent="0.3">
      <c r="A87" s="431">
        <v>85</v>
      </c>
      <c r="B87" s="1"/>
      <c r="C87" s="425"/>
      <c r="D87" s="425"/>
      <c r="E87" s="425"/>
      <c r="F87" s="38" t="str">
        <f>IF(Inventory_List_Table3411151091113171814161920[[#This Row],[Q]]&lt;0.1, " ",#REF!&amp;$D$1&amp;#REF!&amp;Inventory_List_Table3411151091113171814161920[[#This Row],[NOTES]])</f>
        <v xml:space="preserve"> </v>
      </c>
      <c r="G87" s="427"/>
      <c r="H87" s="427"/>
      <c r="I87" s="427"/>
      <c r="J87" s="427"/>
      <c r="K87" s="427"/>
      <c r="L87" s="429"/>
      <c r="M8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7" s="35" t="str">
        <f>IF(Inventory_List_Table3411151091113171814161920[[#This Row],[Q]]&lt;0.1, " ", Inventory_List_Table3411151091113171814161920[[#This Row],[KG]]*2.20462)</f>
        <v xml:space="preserve"> </v>
      </c>
      <c r="O87" s="35" t="str">
        <f>IF(Inventory_List_Table3411151091113171814161920[[#This Row],[Q]]&lt;0.1, " ",Inventory_List_Table3411151091113171814161920[[#This Row],[H CM]]/2.54)</f>
        <v xml:space="preserve"> </v>
      </c>
      <c r="P87" s="35" t="str">
        <f>IF(Inventory_List_Table3411151091113171814161920[[#This Row],[Q]]&lt;0.1, " ",Inventory_List_Table3411151091113171814161920[[#This Row],[W CM]]/2.54)</f>
        <v xml:space="preserve"> </v>
      </c>
      <c r="Q87" s="35" t="str">
        <f>IF(Inventory_List_Table3411151091113171814161920[[#This Row],[Q]]&lt;0.1, " ",Inventory_List_Table3411151091113171814161920[[#This Row],[D CM ]]/2.54)</f>
        <v xml:space="preserve"> </v>
      </c>
      <c r="R87" s="30" t="str">
        <f>IF(Inventory_List_Table3411151091113171814161920[[#This Row],[Q]]&lt;0.1, " ",Inventory_List_Table3411151091113171814161920[[#This Row],[PRICE]]/$L$1)</f>
        <v xml:space="preserve"> </v>
      </c>
      <c r="S8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7" s="30" t="str">
        <f>IF(Inventory_List_Table3411151091113171814161920[[#This Row],[Q]]&lt;0.1, " ",Inventory_List_Table3411151091113171814161920[[#This Row],[AQ RND USD]]*1.4)</f>
        <v xml:space="preserve"> </v>
      </c>
      <c r="U8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7" s="30" t="str">
        <f>IF(Inventory_List_Table3411151091113171814161920[[#This Row],[Q]]&lt;0.1, " ",Inventory_List_Table3411151091113171814161920[[#This Row],[LND RND USD]]*12)</f>
        <v xml:space="preserve"> </v>
      </c>
      <c r="W87" s="30" t="str">
        <f>IF(Inventory_List_Table3411151091113171814161920[[#This Row],[Q]]&lt;0.1, " ",Inventory_List_Table3411151091113171814161920[[#This Row],[AQ USD]])</f>
        <v xml:space="preserve"> </v>
      </c>
      <c r="X8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7" s="30" t="str">
        <f>IF(Inventory_List_Table3411151091113171814161920[[#This Row],[Q]]&lt;0.1, " ",Inventory_List_Table3411151091113171814161920[[#This Row],[PRICE]]/Z87*10000)</f>
        <v xml:space="preserve"> </v>
      </c>
      <c r="AB87" s="430"/>
      <c r="AC87" s="1"/>
      <c r="AD87" s="1"/>
    </row>
    <row r="88" spans="1:30" ht="24" customHeight="1" x14ac:dyDescent="0.3">
      <c r="A88" s="431">
        <v>86</v>
      </c>
      <c r="B88" s="1"/>
      <c r="C88" s="425"/>
      <c r="D88" s="425"/>
      <c r="E88" s="425"/>
      <c r="F88" s="38" t="str">
        <f>IF(Inventory_List_Table3411151091113171814161920[[#This Row],[Q]]&lt;0.1, " ",#REF!&amp;$D$1&amp;#REF!&amp;Inventory_List_Table3411151091113171814161920[[#This Row],[NOTES]])</f>
        <v xml:space="preserve"> </v>
      </c>
      <c r="G88" s="427"/>
      <c r="H88" s="427"/>
      <c r="I88" s="427"/>
      <c r="J88" s="427"/>
      <c r="K88" s="427"/>
      <c r="L88" s="429"/>
      <c r="M8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8" s="35" t="str">
        <f>IF(Inventory_List_Table3411151091113171814161920[[#This Row],[Q]]&lt;0.1, " ", Inventory_List_Table3411151091113171814161920[[#This Row],[KG]]*2.20462)</f>
        <v xml:space="preserve"> </v>
      </c>
      <c r="O88" s="35" t="str">
        <f>IF(Inventory_List_Table3411151091113171814161920[[#This Row],[Q]]&lt;0.1, " ",Inventory_List_Table3411151091113171814161920[[#This Row],[H CM]]/2.54)</f>
        <v xml:space="preserve"> </v>
      </c>
      <c r="P88" s="35" t="str">
        <f>IF(Inventory_List_Table3411151091113171814161920[[#This Row],[Q]]&lt;0.1, " ",Inventory_List_Table3411151091113171814161920[[#This Row],[W CM]]/2.54)</f>
        <v xml:space="preserve"> </v>
      </c>
      <c r="Q88" s="35" t="str">
        <f>IF(Inventory_List_Table3411151091113171814161920[[#This Row],[Q]]&lt;0.1, " ",Inventory_List_Table3411151091113171814161920[[#This Row],[D CM ]]/2.54)</f>
        <v xml:space="preserve"> </v>
      </c>
      <c r="R88" s="30" t="str">
        <f>IF(Inventory_List_Table3411151091113171814161920[[#This Row],[Q]]&lt;0.1, " ",Inventory_List_Table3411151091113171814161920[[#This Row],[PRICE]]/$L$1)</f>
        <v xml:space="preserve"> </v>
      </c>
      <c r="S8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8" s="30" t="str">
        <f>IF(Inventory_List_Table3411151091113171814161920[[#This Row],[Q]]&lt;0.1, " ",Inventory_List_Table3411151091113171814161920[[#This Row],[AQ RND USD]]*1.4)</f>
        <v xml:space="preserve"> </v>
      </c>
      <c r="U8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8" s="30" t="str">
        <f>IF(Inventory_List_Table3411151091113171814161920[[#This Row],[Q]]&lt;0.1, " ",Inventory_List_Table3411151091113171814161920[[#This Row],[LND RND USD]]*12)</f>
        <v xml:space="preserve"> </v>
      </c>
      <c r="W88" s="30" t="str">
        <f>IF(Inventory_List_Table3411151091113171814161920[[#This Row],[Q]]&lt;0.1, " ",Inventory_List_Table3411151091113171814161920[[#This Row],[AQ USD]])</f>
        <v xml:space="preserve"> </v>
      </c>
      <c r="X8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8" s="30" t="str">
        <f>IF(Inventory_List_Table3411151091113171814161920[[#This Row],[Q]]&lt;0.1, " ",Inventory_List_Table3411151091113171814161920[[#This Row],[PRICE]]/Z88*10000)</f>
        <v xml:space="preserve"> </v>
      </c>
      <c r="AB88" s="430"/>
      <c r="AC88" s="1"/>
      <c r="AD88" s="1"/>
    </row>
    <row r="89" spans="1:30" ht="24" customHeight="1" x14ac:dyDescent="0.3">
      <c r="A89" s="431">
        <v>87</v>
      </c>
      <c r="B89" s="1"/>
      <c r="C89" s="425"/>
      <c r="D89" s="425"/>
      <c r="E89" s="425"/>
      <c r="F89" s="38" t="str">
        <f>IF(Inventory_List_Table3411151091113171814161920[[#This Row],[Q]]&lt;0.1, " ",#REF!&amp;$D$1&amp;#REF!&amp;Inventory_List_Table3411151091113171814161920[[#This Row],[NOTES]])</f>
        <v xml:space="preserve"> </v>
      </c>
      <c r="G89" s="427"/>
      <c r="H89" s="427"/>
      <c r="I89" s="427"/>
      <c r="J89" s="427"/>
      <c r="K89" s="427"/>
      <c r="L89" s="429"/>
      <c r="M8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89" s="35" t="str">
        <f>IF(Inventory_List_Table3411151091113171814161920[[#This Row],[Q]]&lt;0.1, " ", Inventory_List_Table3411151091113171814161920[[#This Row],[KG]]*2.20462)</f>
        <v xml:space="preserve"> </v>
      </c>
      <c r="O89" s="35" t="str">
        <f>IF(Inventory_List_Table3411151091113171814161920[[#This Row],[Q]]&lt;0.1, " ",Inventory_List_Table3411151091113171814161920[[#This Row],[H CM]]/2.54)</f>
        <v xml:space="preserve"> </v>
      </c>
      <c r="P89" s="35" t="str">
        <f>IF(Inventory_List_Table3411151091113171814161920[[#This Row],[Q]]&lt;0.1, " ",Inventory_List_Table3411151091113171814161920[[#This Row],[W CM]]/2.54)</f>
        <v xml:space="preserve"> </v>
      </c>
      <c r="Q89" s="35" t="str">
        <f>IF(Inventory_List_Table3411151091113171814161920[[#This Row],[Q]]&lt;0.1, " ",Inventory_List_Table3411151091113171814161920[[#This Row],[D CM ]]/2.54)</f>
        <v xml:space="preserve"> </v>
      </c>
      <c r="R89" s="30" t="str">
        <f>IF(Inventory_List_Table3411151091113171814161920[[#This Row],[Q]]&lt;0.1, " ",Inventory_List_Table3411151091113171814161920[[#This Row],[PRICE]]/$L$1)</f>
        <v xml:space="preserve"> </v>
      </c>
      <c r="S8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89" s="30" t="str">
        <f>IF(Inventory_List_Table3411151091113171814161920[[#This Row],[Q]]&lt;0.1, " ",Inventory_List_Table3411151091113171814161920[[#This Row],[AQ RND USD]]*1.4)</f>
        <v xml:space="preserve"> </v>
      </c>
      <c r="U8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89" s="30" t="str">
        <f>IF(Inventory_List_Table3411151091113171814161920[[#This Row],[Q]]&lt;0.1, " ",Inventory_List_Table3411151091113171814161920[[#This Row],[LND RND USD]]*12)</f>
        <v xml:space="preserve"> </v>
      </c>
      <c r="W89" s="30" t="str">
        <f>IF(Inventory_List_Table3411151091113171814161920[[#This Row],[Q]]&lt;0.1, " ",Inventory_List_Table3411151091113171814161920[[#This Row],[AQ USD]])</f>
        <v xml:space="preserve"> </v>
      </c>
      <c r="X8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8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8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89" s="30" t="str">
        <f>IF(Inventory_List_Table3411151091113171814161920[[#This Row],[Q]]&lt;0.1, " ",Inventory_List_Table3411151091113171814161920[[#This Row],[PRICE]]/Z89*10000)</f>
        <v xml:space="preserve"> </v>
      </c>
      <c r="AB89" s="430"/>
      <c r="AC89" s="1"/>
      <c r="AD89" s="1"/>
    </row>
    <row r="90" spans="1:30" ht="24" customHeight="1" x14ac:dyDescent="0.3">
      <c r="A90" s="431">
        <v>88</v>
      </c>
      <c r="B90" s="1"/>
      <c r="C90" s="425"/>
      <c r="D90" s="425"/>
      <c r="E90" s="425"/>
      <c r="F90" s="38" t="str">
        <f>IF(Inventory_List_Table3411151091113171814161920[[#This Row],[Q]]&lt;0.1, " ",#REF!&amp;$D$1&amp;#REF!&amp;Inventory_List_Table3411151091113171814161920[[#This Row],[NOTES]])</f>
        <v xml:space="preserve"> </v>
      </c>
      <c r="G90" s="427"/>
      <c r="H90" s="427"/>
      <c r="I90" s="427"/>
      <c r="J90" s="427"/>
      <c r="K90" s="427"/>
      <c r="L90" s="429"/>
      <c r="M9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0" s="35" t="str">
        <f>IF(Inventory_List_Table3411151091113171814161920[[#This Row],[Q]]&lt;0.1, " ", Inventory_List_Table3411151091113171814161920[[#This Row],[KG]]*2.20462)</f>
        <v xml:space="preserve"> </v>
      </c>
      <c r="O90" s="35" t="str">
        <f>IF(Inventory_List_Table3411151091113171814161920[[#This Row],[Q]]&lt;0.1, " ",Inventory_List_Table3411151091113171814161920[[#This Row],[H CM]]/2.54)</f>
        <v xml:space="preserve"> </v>
      </c>
      <c r="P90" s="35" t="str">
        <f>IF(Inventory_List_Table3411151091113171814161920[[#This Row],[Q]]&lt;0.1, " ",Inventory_List_Table3411151091113171814161920[[#This Row],[W CM]]/2.54)</f>
        <v xml:space="preserve"> </v>
      </c>
      <c r="Q90" s="35" t="str">
        <f>IF(Inventory_List_Table3411151091113171814161920[[#This Row],[Q]]&lt;0.1, " ",Inventory_List_Table3411151091113171814161920[[#This Row],[D CM ]]/2.54)</f>
        <v xml:space="preserve"> </v>
      </c>
      <c r="R90" s="30" t="str">
        <f>IF(Inventory_List_Table3411151091113171814161920[[#This Row],[Q]]&lt;0.1, " ",Inventory_List_Table3411151091113171814161920[[#This Row],[PRICE]]/$L$1)</f>
        <v xml:space="preserve"> </v>
      </c>
      <c r="S9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0" s="30" t="str">
        <f>IF(Inventory_List_Table3411151091113171814161920[[#This Row],[Q]]&lt;0.1, " ",Inventory_List_Table3411151091113171814161920[[#This Row],[AQ RND USD]]*1.4)</f>
        <v xml:space="preserve"> </v>
      </c>
      <c r="U9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0" s="30" t="str">
        <f>IF(Inventory_List_Table3411151091113171814161920[[#This Row],[Q]]&lt;0.1, " ",Inventory_List_Table3411151091113171814161920[[#This Row],[LND RND USD]]*12)</f>
        <v xml:space="preserve"> </v>
      </c>
      <c r="W90" s="30" t="str">
        <f>IF(Inventory_List_Table3411151091113171814161920[[#This Row],[Q]]&lt;0.1, " ",Inventory_List_Table3411151091113171814161920[[#This Row],[AQ USD]])</f>
        <v xml:space="preserve"> </v>
      </c>
      <c r="X9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0" s="30" t="str">
        <f>IF(Inventory_List_Table3411151091113171814161920[[#This Row],[Q]]&lt;0.1, " ",Inventory_List_Table3411151091113171814161920[[#This Row],[PRICE]]/Z90*10000)</f>
        <v xml:space="preserve"> </v>
      </c>
      <c r="AB90" s="430"/>
      <c r="AC90" s="1"/>
      <c r="AD90" s="1"/>
    </row>
    <row r="91" spans="1:30" ht="24" customHeight="1" x14ac:dyDescent="0.3">
      <c r="A91" s="431">
        <v>89</v>
      </c>
      <c r="B91" s="1"/>
      <c r="C91" s="425"/>
      <c r="D91" s="425"/>
      <c r="E91" s="425"/>
      <c r="F91" s="38" t="str">
        <f>IF(Inventory_List_Table3411151091113171814161920[[#This Row],[Q]]&lt;0.1, " ",#REF!&amp;$D$1&amp;#REF!&amp;Inventory_List_Table3411151091113171814161920[[#This Row],[NOTES]])</f>
        <v xml:space="preserve"> </v>
      </c>
      <c r="G91" s="427"/>
      <c r="H91" s="427"/>
      <c r="I91" s="427"/>
      <c r="J91" s="427"/>
      <c r="K91" s="427"/>
      <c r="L91" s="429"/>
      <c r="M9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1" s="35" t="str">
        <f>IF(Inventory_List_Table3411151091113171814161920[[#This Row],[Q]]&lt;0.1, " ", Inventory_List_Table3411151091113171814161920[[#This Row],[KG]]*2.20462)</f>
        <v xml:space="preserve"> </v>
      </c>
      <c r="O91" s="35" t="str">
        <f>IF(Inventory_List_Table3411151091113171814161920[[#This Row],[Q]]&lt;0.1, " ",Inventory_List_Table3411151091113171814161920[[#This Row],[H CM]]/2.54)</f>
        <v xml:space="preserve"> </v>
      </c>
      <c r="P91" s="35" t="str">
        <f>IF(Inventory_List_Table3411151091113171814161920[[#This Row],[Q]]&lt;0.1, " ",Inventory_List_Table3411151091113171814161920[[#This Row],[W CM]]/2.54)</f>
        <v xml:space="preserve"> </v>
      </c>
      <c r="Q91" s="35" t="str">
        <f>IF(Inventory_List_Table3411151091113171814161920[[#This Row],[Q]]&lt;0.1, " ",Inventory_List_Table3411151091113171814161920[[#This Row],[D CM ]]/2.54)</f>
        <v xml:space="preserve"> </v>
      </c>
      <c r="R91" s="30" t="str">
        <f>IF(Inventory_List_Table3411151091113171814161920[[#This Row],[Q]]&lt;0.1, " ",Inventory_List_Table3411151091113171814161920[[#This Row],[PRICE]]/$L$1)</f>
        <v xml:space="preserve"> </v>
      </c>
      <c r="S9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1" s="30" t="str">
        <f>IF(Inventory_List_Table3411151091113171814161920[[#This Row],[Q]]&lt;0.1, " ",Inventory_List_Table3411151091113171814161920[[#This Row],[AQ RND USD]]*1.4)</f>
        <v xml:space="preserve"> </v>
      </c>
      <c r="U9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1" s="30" t="str">
        <f>IF(Inventory_List_Table3411151091113171814161920[[#This Row],[Q]]&lt;0.1, " ",Inventory_List_Table3411151091113171814161920[[#This Row],[LND RND USD]]*12)</f>
        <v xml:space="preserve"> </v>
      </c>
      <c r="W91" s="30" t="str">
        <f>IF(Inventory_List_Table3411151091113171814161920[[#This Row],[Q]]&lt;0.1, " ",Inventory_List_Table3411151091113171814161920[[#This Row],[AQ USD]])</f>
        <v xml:space="preserve"> </v>
      </c>
      <c r="X9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1" s="30" t="str">
        <f>IF(Inventory_List_Table3411151091113171814161920[[#This Row],[Q]]&lt;0.1, " ",Inventory_List_Table3411151091113171814161920[[#This Row],[PRICE]]/Z91*10000)</f>
        <v xml:space="preserve"> </v>
      </c>
      <c r="AB91" s="430"/>
      <c r="AC91" s="1"/>
      <c r="AD91" s="1"/>
    </row>
    <row r="92" spans="1:30" ht="24" customHeight="1" x14ac:dyDescent="0.3">
      <c r="A92" s="431">
        <v>90</v>
      </c>
      <c r="B92" s="1"/>
      <c r="C92" s="425"/>
      <c r="D92" s="425"/>
      <c r="E92" s="425"/>
      <c r="F92" s="38" t="str">
        <f>IF(Inventory_List_Table3411151091113171814161920[[#This Row],[Q]]&lt;0.1, " ",#REF!&amp;$D$1&amp;#REF!&amp;Inventory_List_Table3411151091113171814161920[[#This Row],[NOTES]])</f>
        <v xml:space="preserve"> </v>
      </c>
      <c r="G92" s="427"/>
      <c r="H92" s="427"/>
      <c r="I92" s="427"/>
      <c r="J92" s="427"/>
      <c r="K92" s="427"/>
      <c r="L92" s="429"/>
      <c r="M9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2" s="35" t="str">
        <f>IF(Inventory_List_Table3411151091113171814161920[[#This Row],[Q]]&lt;0.1, " ", Inventory_List_Table3411151091113171814161920[[#This Row],[KG]]*2.20462)</f>
        <v xml:space="preserve"> </v>
      </c>
      <c r="O92" s="35" t="str">
        <f>IF(Inventory_List_Table3411151091113171814161920[[#This Row],[Q]]&lt;0.1, " ",Inventory_List_Table3411151091113171814161920[[#This Row],[H CM]]/2.54)</f>
        <v xml:space="preserve"> </v>
      </c>
      <c r="P92" s="35" t="str">
        <f>IF(Inventory_List_Table3411151091113171814161920[[#This Row],[Q]]&lt;0.1, " ",Inventory_List_Table3411151091113171814161920[[#This Row],[W CM]]/2.54)</f>
        <v xml:space="preserve"> </v>
      </c>
      <c r="Q92" s="35" t="str">
        <f>IF(Inventory_List_Table3411151091113171814161920[[#This Row],[Q]]&lt;0.1, " ",Inventory_List_Table3411151091113171814161920[[#This Row],[D CM ]]/2.54)</f>
        <v xml:space="preserve"> </v>
      </c>
      <c r="R92" s="30" t="str">
        <f>IF(Inventory_List_Table3411151091113171814161920[[#This Row],[Q]]&lt;0.1, " ",Inventory_List_Table3411151091113171814161920[[#This Row],[PRICE]]/$L$1)</f>
        <v xml:space="preserve"> </v>
      </c>
      <c r="S9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2" s="30" t="str">
        <f>IF(Inventory_List_Table3411151091113171814161920[[#This Row],[Q]]&lt;0.1, " ",Inventory_List_Table3411151091113171814161920[[#This Row],[AQ RND USD]]*1.4)</f>
        <v xml:space="preserve"> </v>
      </c>
      <c r="U9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2" s="30" t="str">
        <f>IF(Inventory_List_Table3411151091113171814161920[[#This Row],[Q]]&lt;0.1, " ",Inventory_List_Table3411151091113171814161920[[#This Row],[LND RND USD]]*12)</f>
        <v xml:space="preserve"> </v>
      </c>
      <c r="W92" s="30" t="str">
        <f>IF(Inventory_List_Table3411151091113171814161920[[#This Row],[Q]]&lt;0.1, " ",Inventory_List_Table3411151091113171814161920[[#This Row],[AQ USD]])</f>
        <v xml:space="preserve"> </v>
      </c>
      <c r="X9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2" s="30" t="str">
        <f>IF(Inventory_List_Table3411151091113171814161920[[#This Row],[Q]]&lt;0.1, " ",Inventory_List_Table3411151091113171814161920[[#This Row],[PRICE]]/Z92*10000)</f>
        <v xml:space="preserve"> </v>
      </c>
      <c r="AB92" s="430"/>
      <c r="AC92" s="1"/>
      <c r="AD92" s="1"/>
    </row>
    <row r="93" spans="1:30" ht="24" customHeight="1" x14ac:dyDescent="0.3">
      <c r="A93" s="431">
        <v>91</v>
      </c>
      <c r="B93" s="1"/>
      <c r="C93" s="425"/>
      <c r="D93" s="425"/>
      <c r="E93" s="425"/>
      <c r="F93" s="38" t="str">
        <f>IF(Inventory_List_Table3411151091113171814161920[[#This Row],[Q]]&lt;0.1, " ",#REF!&amp;$D$1&amp;#REF!&amp;Inventory_List_Table3411151091113171814161920[[#This Row],[NOTES]])</f>
        <v xml:space="preserve"> </v>
      </c>
      <c r="G93" s="427"/>
      <c r="H93" s="427"/>
      <c r="I93" s="427"/>
      <c r="J93" s="427"/>
      <c r="K93" s="427"/>
      <c r="L93" s="429"/>
      <c r="M93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3" s="35" t="str">
        <f>IF(Inventory_List_Table3411151091113171814161920[[#This Row],[Q]]&lt;0.1, " ", Inventory_List_Table3411151091113171814161920[[#This Row],[KG]]*2.20462)</f>
        <v xml:space="preserve"> </v>
      </c>
      <c r="O93" s="35" t="str">
        <f>IF(Inventory_List_Table3411151091113171814161920[[#This Row],[Q]]&lt;0.1, " ",Inventory_List_Table3411151091113171814161920[[#This Row],[H CM]]/2.54)</f>
        <v xml:space="preserve"> </v>
      </c>
      <c r="P93" s="35" t="str">
        <f>IF(Inventory_List_Table3411151091113171814161920[[#This Row],[Q]]&lt;0.1, " ",Inventory_List_Table3411151091113171814161920[[#This Row],[W CM]]/2.54)</f>
        <v xml:space="preserve"> </v>
      </c>
      <c r="Q93" s="35" t="str">
        <f>IF(Inventory_List_Table3411151091113171814161920[[#This Row],[Q]]&lt;0.1, " ",Inventory_List_Table3411151091113171814161920[[#This Row],[D CM ]]/2.54)</f>
        <v xml:space="preserve"> </v>
      </c>
      <c r="R93" s="30" t="str">
        <f>IF(Inventory_List_Table3411151091113171814161920[[#This Row],[Q]]&lt;0.1, " ",Inventory_List_Table3411151091113171814161920[[#This Row],[PRICE]]/$L$1)</f>
        <v xml:space="preserve"> </v>
      </c>
      <c r="S93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3" s="30" t="str">
        <f>IF(Inventory_List_Table3411151091113171814161920[[#This Row],[Q]]&lt;0.1, " ",Inventory_List_Table3411151091113171814161920[[#This Row],[AQ RND USD]]*1.4)</f>
        <v xml:space="preserve"> </v>
      </c>
      <c r="U93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3" s="30" t="str">
        <f>IF(Inventory_List_Table3411151091113171814161920[[#This Row],[Q]]&lt;0.1, " ",Inventory_List_Table3411151091113171814161920[[#This Row],[LND RND USD]]*12)</f>
        <v xml:space="preserve"> </v>
      </c>
      <c r="W93" s="30" t="str">
        <f>IF(Inventory_List_Table3411151091113171814161920[[#This Row],[Q]]&lt;0.1, " ",Inventory_List_Table3411151091113171814161920[[#This Row],[AQ USD]])</f>
        <v xml:space="preserve"> </v>
      </c>
      <c r="X93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3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3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3" s="30" t="str">
        <f>IF(Inventory_List_Table3411151091113171814161920[[#This Row],[Q]]&lt;0.1, " ",Inventory_List_Table3411151091113171814161920[[#This Row],[PRICE]]/Z93*10000)</f>
        <v xml:space="preserve"> </v>
      </c>
      <c r="AB93" s="430"/>
      <c r="AC93" s="1"/>
      <c r="AD93" s="1"/>
    </row>
    <row r="94" spans="1:30" ht="24" customHeight="1" x14ac:dyDescent="0.3">
      <c r="A94" s="431">
        <v>92</v>
      </c>
      <c r="B94" s="1"/>
      <c r="C94" s="425"/>
      <c r="D94" s="425"/>
      <c r="E94" s="425"/>
      <c r="F94" s="38" t="str">
        <f>IF(Inventory_List_Table3411151091113171814161920[[#This Row],[Q]]&lt;0.1, " ",#REF!&amp;$D$1&amp;#REF!&amp;Inventory_List_Table3411151091113171814161920[[#This Row],[NOTES]])</f>
        <v xml:space="preserve"> </v>
      </c>
      <c r="G94" s="427"/>
      <c r="H94" s="427"/>
      <c r="I94" s="427"/>
      <c r="J94" s="427"/>
      <c r="K94" s="427"/>
      <c r="L94" s="429"/>
      <c r="M94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4" s="35" t="str">
        <f>IF(Inventory_List_Table3411151091113171814161920[[#This Row],[Q]]&lt;0.1, " ", Inventory_List_Table3411151091113171814161920[[#This Row],[KG]]*2.20462)</f>
        <v xml:space="preserve"> </v>
      </c>
      <c r="O94" s="35" t="str">
        <f>IF(Inventory_List_Table3411151091113171814161920[[#This Row],[Q]]&lt;0.1, " ",Inventory_List_Table3411151091113171814161920[[#This Row],[H CM]]/2.54)</f>
        <v xml:space="preserve"> </v>
      </c>
      <c r="P94" s="35" t="str">
        <f>IF(Inventory_List_Table3411151091113171814161920[[#This Row],[Q]]&lt;0.1, " ",Inventory_List_Table3411151091113171814161920[[#This Row],[W CM]]/2.54)</f>
        <v xml:space="preserve"> </v>
      </c>
      <c r="Q94" s="35" t="str">
        <f>IF(Inventory_List_Table3411151091113171814161920[[#This Row],[Q]]&lt;0.1, " ",Inventory_List_Table3411151091113171814161920[[#This Row],[D CM ]]/2.54)</f>
        <v xml:space="preserve"> </v>
      </c>
      <c r="R94" s="30" t="str">
        <f>IF(Inventory_List_Table3411151091113171814161920[[#This Row],[Q]]&lt;0.1, " ",Inventory_List_Table3411151091113171814161920[[#This Row],[PRICE]]/$L$1)</f>
        <v xml:space="preserve"> </v>
      </c>
      <c r="S94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4" s="30" t="str">
        <f>IF(Inventory_List_Table3411151091113171814161920[[#This Row],[Q]]&lt;0.1, " ",Inventory_List_Table3411151091113171814161920[[#This Row],[AQ RND USD]]*1.4)</f>
        <v xml:space="preserve"> </v>
      </c>
      <c r="U94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4" s="30" t="str">
        <f>IF(Inventory_List_Table3411151091113171814161920[[#This Row],[Q]]&lt;0.1, " ",Inventory_List_Table3411151091113171814161920[[#This Row],[LND RND USD]]*12)</f>
        <v xml:space="preserve"> </v>
      </c>
      <c r="W94" s="30" t="str">
        <f>IF(Inventory_List_Table3411151091113171814161920[[#This Row],[Q]]&lt;0.1, " ",Inventory_List_Table3411151091113171814161920[[#This Row],[AQ USD]])</f>
        <v xml:space="preserve"> </v>
      </c>
      <c r="X94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4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4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4" s="30" t="str">
        <f>IF(Inventory_List_Table3411151091113171814161920[[#This Row],[Q]]&lt;0.1, " ",Inventory_List_Table3411151091113171814161920[[#This Row],[PRICE]]/Z94*10000)</f>
        <v xml:space="preserve"> </v>
      </c>
      <c r="AB94" s="430"/>
      <c r="AC94" s="1"/>
      <c r="AD94" s="1"/>
    </row>
    <row r="95" spans="1:30" ht="24" customHeight="1" x14ac:dyDescent="0.3">
      <c r="A95" s="431">
        <v>93</v>
      </c>
      <c r="B95" s="1"/>
      <c r="C95" s="425"/>
      <c r="D95" s="425"/>
      <c r="E95" s="425"/>
      <c r="F95" s="38" t="str">
        <f>IF(Inventory_List_Table3411151091113171814161920[[#This Row],[Q]]&lt;0.1, " ",#REF!&amp;$D$1&amp;#REF!&amp;Inventory_List_Table3411151091113171814161920[[#This Row],[NOTES]])</f>
        <v xml:space="preserve"> </v>
      </c>
      <c r="G95" s="427"/>
      <c r="H95" s="427"/>
      <c r="I95" s="427"/>
      <c r="J95" s="427"/>
      <c r="K95" s="427"/>
      <c r="L95" s="429"/>
      <c r="M95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5" s="35" t="str">
        <f>IF(Inventory_List_Table3411151091113171814161920[[#This Row],[Q]]&lt;0.1, " ", Inventory_List_Table3411151091113171814161920[[#This Row],[KG]]*2.20462)</f>
        <v xml:space="preserve"> </v>
      </c>
      <c r="O95" s="35" t="str">
        <f>IF(Inventory_List_Table3411151091113171814161920[[#This Row],[Q]]&lt;0.1, " ",Inventory_List_Table3411151091113171814161920[[#This Row],[H CM]]/2.54)</f>
        <v xml:space="preserve"> </v>
      </c>
      <c r="P95" s="35" t="str">
        <f>IF(Inventory_List_Table3411151091113171814161920[[#This Row],[Q]]&lt;0.1, " ",Inventory_List_Table3411151091113171814161920[[#This Row],[W CM]]/2.54)</f>
        <v xml:space="preserve"> </v>
      </c>
      <c r="Q95" s="35" t="str">
        <f>IF(Inventory_List_Table3411151091113171814161920[[#This Row],[Q]]&lt;0.1, " ",Inventory_List_Table3411151091113171814161920[[#This Row],[D CM ]]/2.54)</f>
        <v xml:space="preserve"> </v>
      </c>
      <c r="R95" s="30" t="str">
        <f>IF(Inventory_List_Table3411151091113171814161920[[#This Row],[Q]]&lt;0.1, " ",Inventory_List_Table3411151091113171814161920[[#This Row],[PRICE]]/$L$1)</f>
        <v xml:space="preserve"> </v>
      </c>
      <c r="S95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5" s="30" t="str">
        <f>IF(Inventory_List_Table3411151091113171814161920[[#This Row],[Q]]&lt;0.1, " ",Inventory_List_Table3411151091113171814161920[[#This Row],[AQ RND USD]]*1.4)</f>
        <v xml:space="preserve"> </v>
      </c>
      <c r="U95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5" s="30" t="str">
        <f>IF(Inventory_List_Table3411151091113171814161920[[#This Row],[Q]]&lt;0.1, " ",Inventory_List_Table3411151091113171814161920[[#This Row],[LND RND USD]]*12)</f>
        <v xml:space="preserve"> </v>
      </c>
      <c r="W95" s="30" t="str">
        <f>IF(Inventory_List_Table3411151091113171814161920[[#This Row],[Q]]&lt;0.1, " ",Inventory_List_Table3411151091113171814161920[[#This Row],[AQ USD]])</f>
        <v xml:space="preserve"> </v>
      </c>
      <c r="X95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5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5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5" s="30" t="str">
        <f>IF(Inventory_List_Table3411151091113171814161920[[#This Row],[Q]]&lt;0.1, " ",Inventory_List_Table3411151091113171814161920[[#This Row],[PRICE]]/Z95*10000)</f>
        <v xml:space="preserve"> </v>
      </c>
      <c r="AB95" s="430"/>
      <c r="AC95" s="1"/>
      <c r="AD95" s="1"/>
    </row>
    <row r="96" spans="1:30" ht="24" customHeight="1" x14ac:dyDescent="0.3">
      <c r="A96" s="431">
        <v>94</v>
      </c>
      <c r="B96" s="1"/>
      <c r="C96" s="425"/>
      <c r="D96" s="425"/>
      <c r="E96" s="425"/>
      <c r="F96" s="38" t="str">
        <f>IF(Inventory_List_Table3411151091113171814161920[[#This Row],[Q]]&lt;0.1, " ",#REF!&amp;$D$1&amp;#REF!&amp;Inventory_List_Table3411151091113171814161920[[#This Row],[NOTES]])</f>
        <v xml:space="preserve"> </v>
      </c>
      <c r="G96" s="427"/>
      <c r="H96" s="427"/>
      <c r="I96" s="427"/>
      <c r="J96" s="427"/>
      <c r="K96" s="427"/>
      <c r="L96" s="429"/>
      <c r="M96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6" s="35" t="str">
        <f>IF(Inventory_List_Table3411151091113171814161920[[#This Row],[Q]]&lt;0.1, " ", Inventory_List_Table3411151091113171814161920[[#This Row],[KG]]*2.20462)</f>
        <v xml:space="preserve"> </v>
      </c>
      <c r="O96" s="35" t="str">
        <f>IF(Inventory_List_Table3411151091113171814161920[[#This Row],[Q]]&lt;0.1, " ",Inventory_List_Table3411151091113171814161920[[#This Row],[H CM]]/2.54)</f>
        <v xml:space="preserve"> </v>
      </c>
      <c r="P96" s="35" t="str">
        <f>IF(Inventory_List_Table3411151091113171814161920[[#This Row],[Q]]&lt;0.1, " ",Inventory_List_Table3411151091113171814161920[[#This Row],[W CM]]/2.54)</f>
        <v xml:space="preserve"> </v>
      </c>
      <c r="Q96" s="35" t="str">
        <f>IF(Inventory_List_Table3411151091113171814161920[[#This Row],[Q]]&lt;0.1, " ",Inventory_List_Table3411151091113171814161920[[#This Row],[D CM ]]/2.54)</f>
        <v xml:space="preserve"> </v>
      </c>
      <c r="R96" s="30" t="str">
        <f>IF(Inventory_List_Table3411151091113171814161920[[#This Row],[Q]]&lt;0.1, " ",Inventory_List_Table3411151091113171814161920[[#This Row],[PRICE]]/$L$1)</f>
        <v xml:space="preserve"> </v>
      </c>
      <c r="S96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6" s="30" t="str">
        <f>IF(Inventory_List_Table3411151091113171814161920[[#This Row],[Q]]&lt;0.1, " ",Inventory_List_Table3411151091113171814161920[[#This Row],[AQ RND USD]]*1.4)</f>
        <v xml:space="preserve"> </v>
      </c>
      <c r="U96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6" s="30" t="str">
        <f>IF(Inventory_List_Table3411151091113171814161920[[#This Row],[Q]]&lt;0.1, " ",Inventory_List_Table3411151091113171814161920[[#This Row],[LND RND USD]]*12)</f>
        <v xml:space="preserve"> </v>
      </c>
      <c r="W96" s="30" t="str">
        <f>IF(Inventory_List_Table3411151091113171814161920[[#This Row],[Q]]&lt;0.1, " ",Inventory_List_Table3411151091113171814161920[[#This Row],[AQ USD]])</f>
        <v xml:space="preserve"> </v>
      </c>
      <c r="X96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6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6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6" s="30" t="str">
        <f>IF(Inventory_List_Table3411151091113171814161920[[#This Row],[Q]]&lt;0.1, " ",Inventory_List_Table3411151091113171814161920[[#This Row],[PRICE]]/Z96*10000)</f>
        <v xml:space="preserve"> </v>
      </c>
      <c r="AB96" s="430"/>
      <c r="AC96" s="1"/>
      <c r="AD96" s="1"/>
    </row>
    <row r="97" spans="1:30" ht="24" customHeight="1" x14ac:dyDescent="0.3">
      <c r="A97" s="431">
        <v>95</v>
      </c>
      <c r="B97" s="1"/>
      <c r="C97" s="425"/>
      <c r="D97" s="425"/>
      <c r="E97" s="425"/>
      <c r="F97" s="38" t="str">
        <f>IF(Inventory_List_Table3411151091113171814161920[[#This Row],[Q]]&lt;0.1, " ",#REF!&amp;$D$1&amp;#REF!&amp;Inventory_List_Table3411151091113171814161920[[#This Row],[NOTES]])</f>
        <v xml:space="preserve"> </v>
      </c>
      <c r="G97" s="427"/>
      <c r="H97" s="427"/>
      <c r="I97" s="427"/>
      <c r="J97" s="427"/>
      <c r="K97" s="427"/>
      <c r="L97" s="429"/>
      <c r="M97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7" s="35" t="str">
        <f>IF(Inventory_List_Table3411151091113171814161920[[#This Row],[Q]]&lt;0.1, " ", Inventory_List_Table3411151091113171814161920[[#This Row],[KG]]*2.20462)</f>
        <v xml:space="preserve"> </v>
      </c>
      <c r="O97" s="35" t="str">
        <f>IF(Inventory_List_Table3411151091113171814161920[[#This Row],[Q]]&lt;0.1, " ",Inventory_List_Table3411151091113171814161920[[#This Row],[H CM]]/2.54)</f>
        <v xml:space="preserve"> </v>
      </c>
      <c r="P97" s="35" t="str">
        <f>IF(Inventory_List_Table3411151091113171814161920[[#This Row],[Q]]&lt;0.1, " ",Inventory_List_Table3411151091113171814161920[[#This Row],[W CM]]/2.54)</f>
        <v xml:space="preserve"> </v>
      </c>
      <c r="Q97" s="35" t="str">
        <f>IF(Inventory_List_Table3411151091113171814161920[[#This Row],[Q]]&lt;0.1, " ",Inventory_List_Table3411151091113171814161920[[#This Row],[D CM ]]/2.54)</f>
        <v xml:space="preserve"> </v>
      </c>
      <c r="R97" s="30" t="str">
        <f>IF(Inventory_List_Table3411151091113171814161920[[#This Row],[Q]]&lt;0.1, " ",Inventory_List_Table3411151091113171814161920[[#This Row],[PRICE]]/$L$1)</f>
        <v xml:space="preserve"> </v>
      </c>
      <c r="S97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7" s="30" t="str">
        <f>IF(Inventory_List_Table3411151091113171814161920[[#This Row],[Q]]&lt;0.1, " ",Inventory_List_Table3411151091113171814161920[[#This Row],[AQ RND USD]]*1.4)</f>
        <v xml:space="preserve"> </v>
      </c>
      <c r="U97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7" s="30" t="str">
        <f>IF(Inventory_List_Table3411151091113171814161920[[#This Row],[Q]]&lt;0.1, " ",Inventory_List_Table3411151091113171814161920[[#This Row],[LND RND USD]]*12)</f>
        <v xml:space="preserve"> </v>
      </c>
      <c r="W97" s="30" t="str">
        <f>IF(Inventory_List_Table3411151091113171814161920[[#This Row],[Q]]&lt;0.1, " ",Inventory_List_Table3411151091113171814161920[[#This Row],[AQ USD]])</f>
        <v xml:space="preserve"> </v>
      </c>
      <c r="X97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7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7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7" s="30" t="str">
        <f>IF(Inventory_List_Table3411151091113171814161920[[#This Row],[Q]]&lt;0.1, " ",Inventory_List_Table3411151091113171814161920[[#This Row],[PRICE]]/Z97*10000)</f>
        <v xml:space="preserve"> </v>
      </c>
      <c r="AB97" s="430"/>
      <c r="AC97" s="1"/>
      <c r="AD97" s="1"/>
    </row>
    <row r="98" spans="1:30" ht="24" customHeight="1" x14ac:dyDescent="0.3">
      <c r="A98" s="431">
        <v>96</v>
      </c>
      <c r="B98" s="1"/>
      <c r="C98" s="425"/>
      <c r="D98" s="425"/>
      <c r="E98" s="425"/>
      <c r="F98" s="38" t="str">
        <f>IF(Inventory_List_Table3411151091113171814161920[[#This Row],[Q]]&lt;0.1, " ",#REF!&amp;$D$1&amp;#REF!&amp;Inventory_List_Table3411151091113171814161920[[#This Row],[NOTES]])</f>
        <v xml:space="preserve"> </v>
      </c>
      <c r="G98" s="427"/>
      <c r="H98" s="427"/>
      <c r="I98" s="427"/>
      <c r="J98" s="427"/>
      <c r="K98" s="427"/>
      <c r="L98" s="429"/>
      <c r="M98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8" s="35" t="str">
        <f>IF(Inventory_List_Table3411151091113171814161920[[#This Row],[Q]]&lt;0.1, " ", Inventory_List_Table3411151091113171814161920[[#This Row],[KG]]*2.20462)</f>
        <v xml:space="preserve"> </v>
      </c>
      <c r="O98" s="35" t="str">
        <f>IF(Inventory_List_Table3411151091113171814161920[[#This Row],[Q]]&lt;0.1, " ",Inventory_List_Table3411151091113171814161920[[#This Row],[H CM]]/2.54)</f>
        <v xml:space="preserve"> </v>
      </c>
      <c r="P98" s="35" t="str">
        <f>IF(Inventory_List_Table3411151091113171814161920[[#This Row],[Q]]&lt;0.1, " ",Inventory_List_Table3411151091113171814161920[[#This Row],[W CM]]/2.54)</f>
        <v xml:space="preserve"> </v>
      </c>
      <c r="Q98" s="35" t="str">
        <f>IF(Inventory_List_Table3411151091113171814161920[[#This Row],[Q]]&lt;0.1, " ",Inventory_List_Table3411151091113171814161920[[#This Row],[D CM ]]/2.54)</f>
        <v xml:space="preserve"> </v>
      </c>
      <c r="R98" s="30" t="str">
        <f>IF(Inventory_List_Table3411151091113171814161920[[#This Row],[Q]]&lt;0.1, " ",Inventory_List_Table3411151091113171814161920[[#This Row],[PRICE]]/$L$1)</f>
        <v xml:space="preserve"> </v>
      </c>
      <c r="S98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8" s="30" t="str">
        <f>IF(Inventory_List_Table3411151091113171814161920[[#This Row],[Q]]&lt;0.1, " ",Inventory_List_Table3411151091113171814161920[[#This Row],[AQ RND USD]]*1.4)</f>
        <v xml:space="preserve"> </v>
      </c>
      <c r="U98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8" s="30" t="str">
        <f>IF(Inventory_List_Table3411151091113171814161920[[#This Row],[Q]]&lt;0.1, " ",Inventory_List_Table3411151091113171814161920[[#This Row],[LND RND USD]]*12)</f>
        <v xml:space="preserve"> </v>
      </c>
      <c r="W98" s="30" t="str">
        <f>IF(Inventory_List_Table3411151091113171814161920[[#This Row],[Q]]&lt;0.1, " ",Inventory_List_Table3411151091113171814161920[[#This Row],[AQ USD]])</f>
        <v xml:space="preserve"> </v>
      </c>
      <c r="X98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8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8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8" s="30" t="str">
        <f>IF(Inventory_List_Table3411151091113171814161920[[#This Row],[Q]]&lt;0.1, " ",Inventory_List_Table3411151091113171814161920[[#This Row],[PRICE]]/Z98*10000)</f>
        <v xml:space="preserve"> </v>
      </c>
      <c r="AB98" s="430"/>
      <c r="AC98" s="1"/>
      <c r="AD98" s="1"/>
    </row>
    <row r="99" spans="1:30" ht="24" customHeight="1" x14ac:dyDescent="0.3">
      <c r="A99" s="431">
        <v>97</v>
      </c>
      <c r="B99" s="1"/>
      <c r="C99" s="425"/>
      <c r="D99" s="425"/>
      <c r="E99" s="425"/>
      <c r="F99" s="38" t="str">
        <f>IF(Inventory_List_Table3411151091113171814161920[[#This Row],[Q]]&lt;0.1, " ",#REF!&amp;$D$1&amp;#REF!&amp;Inventory_List_Table3411151091113171814161920[[#This Row],[NOTES]])</f>
        <v xml:space="preserve"> </v>
      </c>
      <c r="G99" s="427"/>
      <c r="H99" s="427"/>
      <c r="I99" s="427"/>
      <c r="J99" s="427"/>
      <c r="K99" s="427"/>
      <c r="L99" s="429"/>
      <c r="M99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99" s="35" t="str">
        <f>IF(Inventory_List_Table3411151091113171814161920[[#This Row],[Q]]&lt;0.1, " ", Inventory_List_Table3411151091113171814161920[[#This Row],[KG]]*2.20462)</f>
        <v xml:space="preserve"> </v>
      </c>
      <c r="O99" s="35" t="str">
        <f>IF(Inventory_List_Table3411151091113171814161920[[#This Row],[Q]]&lt;0.1, " ",Inventory_List_Table3411151091113171814161920[[#This Row],[H CM]]/2.54)</f>
        <v xml:space="preserve"> </v>
      </c>
      <c r="P99" s="35" t="str">
        <f>IF(Inventory_List_Table3411151091113171814161920[[#This Row],[Q]]&lt;0.1, " ",Inventory_List_Table3411151091113171814161920[[#This Row],[W CM]]/2.54)</f>
        <v xml:space="preserve"> </v>
      </c>
      <c r="Q99" s="35" t="str">
        <f>IF(Inventory_List_Table3411151091113171814161920[[#This Row],[Q]]&lt;0.1, " ",Inventory_List_Table3411151091113171814161920[[#This Row],[D CM ]]/2.54)</f>
        <v xml:space="preserve"> </v>
      </c>
      <c r="R99" s="30" t="str">
        <f>IF(Inventory_List_Table3411151091113171814161920[[#This Row],[Q]]&lt;0.1, " ",Inventory_List_Table3411151091113171814161920[[#This Row],[PRICE]]/$L$1)</f>
        <v xml:space="preserve"> </v>
      </c>
      <c r="S99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99" s="30" t="str">
        <f>IF(Inventory_List_Table3411151091113171814161920[[#This Row],[Q]]&lt;0.1, " ",Inventory_List_Table3411151091113171814161920[[#This Row],[AQ RND USD]]*1.4)</f>
        <v xml:space="preserve"> </v>
      </c>
      <c r="U99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99" s="30" t="str">
        <f>IF(Inventory_List_Table3411151091113171814161920[[#This Row],[Q]]&lt;0.1, " ",Inventory_List_Table3411151091113171814161920[[#This Row],[LND RND USD]]*12)</f>
        <v xml:space="preserve"> </v>
      </c>
      <c r="W99" s="30" t="str">
        <f>IF(Inventory_List_Table3411151091113171814161920[[#This Row],[Q]]&lt;0.1, " ",Inventory_List_Table3411151091113171814161920[[#This Row],[AQ USD]])</f>
        <v xml:space="preserve"> </v>
      </c>
      <c r="X99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99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99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99" s="30" t="str">
        <f>IF(Inventory_List_Table3411151091113171814161920[[#This Row],[Q]]&lt;0.1, " ",Inventory_List_Table3411151091113171814161920[[#This Row],[PRICE]]/Z99*10000)</f>
        <v xml:space="preserve"> </v>
      </c>
      <c r="AB99" s="430"/>
      <c r="AC99" s="1"/>
      <c r="AD99" s="1"/>
    </row>
    <row r="100" spans="1:30" ht="24" customHeight="1" x14ac:dyDescent="0.3">
      <c r="A100" s="431">
        <v>98</v>
      </c>
      <c r="B100" s="1"/>
      <c r="C100" s="425"/>
      <c r="D100" s="425"/>
      <c r="E100" s="425"/>
      <c r="F100" s="38" t="str">
        <f>IF(Inventory_List_Table3411151091113171814161920[[#This Row],[Q]]&lt;0.1, " ",#REF!&amp;$D$1&amp;#REF!&amp;Inventory_List_Table3411151091113171814161920[[#This Row],[NOTES]])</f>
        <v xml:space="preserve"> </v>
      </c>
      <c r="G100" s="427"/>
      <c r="H100" s="427"/>
      <c r="I100" s="427"/>
      <c r="J100" s="427"/>
      <c r="K100" s="427"/>
      <c r="L100" s="429"/>
      <c r="M100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00" s="35" t="str">
        <f>IF(Inventory_List_Table3411151091113171814161920[[#This Row],[Q]]&lt;0.1, " ", Inventory_List_Table3411151091113171814161920[[#This Row],[KG]]*2.20462)</f>
        <v xml:space="preserve"> </v>
      </c>
      <c r="O100" s="35" t="str">
        <f>IF(Inventory_List_Table3411151091113171814161920[[#This Row],[Q]]&lt;0.1, " ",Inventory_List_Table3411151091113171814161920[[#This Row],[H CM]]/2.54)</f>
        <v xml:space="preserve"> </v>
      </c>
      <c r="P100" s="35" t="str">
        <f>IF(Inventory_List_Table3411151091113171814161920[[#This Row],[Q]]&lt;0.1, " ",Inventory_List_Table3411151091113171814161920[[#This Row],[W CM]]/2.54)</f>
        <v xml:space="preserve"> </v>
      </c>
      <c r="Q100" s="35" t="str">
        <f>IF(Inventory_List_Table3411151091113171814161920[[#This Row],[Q]]&lt;0.1, " ",Inventory_List_Table3411151091113171814161920[[#This Row],[D CM ]]/2.54)</f>
        <v xml:space="preserve"> </v>
      </c>
      <c r="R100" s="30" t="str">
        <f>IF(Inventory_List_Table3411151091113171814161920[[#This Row],[Q]]&lt;0.1, " ",Inventory_List_Table3411151091113171814161920[[#This Row],[PRICE]]/$L$1)</f>
        <v xml:space="preserve"> </v>
      </c>
      <c r="S100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00" s="30" t="str">
        <f>IF(Inventory_List_Table3411151091113171814161920[[#This Row],[Q]]&lt;0.1, " ",Inventory_List_Table3411151091113171814161920[[#This Row],[AQ RND USD]]*1.4)</f>
        <v xml:space="preserve"> </v>
      </c>
      <c r="U100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00" s="30" t="str">
        <f>IF(Inventory_List_Table3411151091113171814161920[[#This Row],[Q]]&lt;0.1, " ",Inventory_List_Table3411151091113171814161920[[#This Row],[LND RND USD]]*12)</f>
        <v xml:space="preserve"> </v>
      </c>
      <c r="W100" s="30" t="str">
        <f>IF(Inventory_List_Table3411151091113171814161920[[#This Row],[Q]]&lt;0.1, " ",Inventory_List_Table3411151091113171814161920[[#This Row],[AQ USD]])</f>
        <v xml:space="preserve"> </v>
      </c>
      <c r="X100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00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00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00" s="30" t="str">
        <f>IF(Inventory_List_Table3411151091113171814161920[[#This Row],[Q]]&lt;0.1, " ",Inventory_List_Table3411151091113171814161920[[#This Row],[PRICE]]/Z100*10000)</f>
        <v xml:space="preserve"> </v>
      </c>
      <c r="AB100" s="430"/>
      <c r="AC100" s="1"/>
      <c r="AD100" s="1"/>
    </row>
    <row r="101" spans="1:30" ht="24" customHeight="1" x14ac:dyDescent="0.3">
      <c r="A101" s="431">
        <v>99</v>
      </c>
      <c r="B101" s="1"/>
      <c r="C101" s="425"/>
      <c r="D101" s="425"/>
      <c r="E101" s="425"/>
      <c r="F101" s="38" t="str">
        <f>IF(Inventory_List_Table3411151091113171814161920[[#This Row],[Q]]&lt;0.1, " ",#REF!&amp;$D$1&amp;#REF!&amp;Inventory_List_Table3411151091113171814161920[[#This Row],[NOTES]])</f>
        <v xml:space="preserve"> </v>
      </c>
      <c r="G101" s="427"/>
      <c r="H101" s="427"/>
      <c r="I101" s="427"/>
      <c r="J101" s="427"/>
      <c r="K101" s="427"/>
      <c r="L101" s="429"/>
      <c r="M101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01" s="35" t="str">
        <f>IF(Inventory_List_Table3411151091113171814161920[[#This Row],[Q]]&lt;0.1, " ", Inventory_List_Table3411151091113171814161920[[#This Row],[KG]]*2.20462)</f>
        <v xml:space="preserve"> </v>
      </c>
      <c r="O101" s="35" t="str">
        <f>IF(Inventory_List_Table3411151091113171814161920[[#This Row],[Q]]&lt;0.1, " ",Inventory_List_Table3411151091113171814161920[[#This Row],[H CM]]/2.54)</f>
        <v xml:space="preserve"> </v>
      </c>
      <c r="P101" s="35" t="str">
        <f>IF(Inventory_List_Table3411151091113171814161920[[#This Row],[Q]]&lt;0.1, " ",Inventory_List_Table3411151091113171814161920[[#This Row],[W CM]]/2.54)</f>
        <v xml:space="preserve"> </v>
      </c>
      <c r="Q101" s="35" t="str">
        <f>IF(Inventory_List_Table3411151091113171814161920[[#This Row],[Q]]&lt;0.1, " ",Inventory_List_Table3411151091113171814161920[[#This Row],[D CM ]]/2.54)</f>
        <v xml:space="preserve"> </v>
      </c>
      <c r="R101" s="30" t="str">
        <f>IF(Inventory_List_Table3411151091113171814161920[[#This Row],[Q]]&lt;0.1, " ",Inventory_List_Table3411151091113171814161920[[#This Row],[PRICE]]/$L$1)</f>
        <v xml:space="preserve"> </v>
      </c>
      <c r="S101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01" s="30" t="str">
        <f>IF(Inventory_List_Table3411151091113171814161920[[#This Row],[Q]]&lt;0.1, " ",Inventory_List_Table3411151091113171814161920[[#This Row],[AQ RND USD]]*1.4)</f>
        <v xml:space="preserve"> </v>
      </c>
      <c r="U101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01" s="30" t="str">
        <f>IF(Inventory_List_Table3411151091113171814161920[[#This Row],[Q]]&lt;0.1, " ",Inventory_List_Table3411151091113171814161920[[#This Row],[LND RND USD]]*12)</f>
        <v xml:space="preserve"> </v>
      </c>
      <c r="W101" s="30" t="str">
        <f>IF(Inventory_List_Table3411151091113171814161920[[#This Row],[Q]]&lt;0.1, " ",Inventory_List_Table3411151091113171814161920[[#This Row],[AQ USD]])</f>
        <v xml:space="preserve"> </v>
      </c>
      <c r="X101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01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01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01" s="30" t="str">
        <f>IF(Inventory_List_Table3411151091113171814161920[[#This Row],[Q]]&lt;0.1, " ",Inventory_List_Table3411151091113171814161920[[#This Row],[PRICE]]/Z101*10000)</f>
        <v xml:space="preserve"> </v>
      </c>
      <c r="AB101" s="430"/>
      <c r="AC101" s="1"/>
      <c r="AD101" s="1"/>
    </row>
    <row r="102" spans="1:30" ht="24" customHeight="1" x14ac:dyDescent="0.3">
      <c r="A102" s="431">
        <v>100</v>
      </c>
      <c r="B102" s="1"/>
      <c r="C102" s="425"/>
      <c r="D102" s="425"/>
      <c r="E102" s="425"/>
      <c r="F102" s="38" t="str">
        <f>IF(Inventory_List_Table3411151091113171814161920[[#This Row],[Q]]&lt;0.1, " ",#REF!&amp;$D$1&amp;#REF!&amp;Inventory_List_Table3411151091113171814161920[[#This Row],[NOTES]])</f>
        <v xml:space="preserve"> </v>
      </c>
      <c r="G102" s="427"/>
      <c r="H102" s="427"/>
      <c r="I102" s="427"/>
      <c r="J102" s="427"/>
      <c r="K102" s="427"/>
      <c r="L102" s="429"/>
      <c r="M102" s="30" t="str">
        <f>IF(Inventory_List_Table3411151091113171814161920[[#This Row],[Q]]&lt;0.1, " ", Inventory_List_Table3411151091113171814161920[[#This Row],[Q]]*Inventory_List_Table3411151091113171814161920[[#This Row],[PRICE]])</f>
        <v xml:space="preserve"> </v>
      </c>
      <c r="N102" s="35" t="str">
        <f>IF(Inventory_List_Table3411151091113171814161920[[#This Row],[Q]]&lt;0.1, " ", Inventory_List_Table3411151091113171814161920[[#This Row],[KG]]*2.20462)</f>
        <v xml:space="preserve"> </v>
      </c>
      <c r="O102" s="35" t="str">
        <f>IF(Inventory_List_Table3411151091113171814161920[[#This Row],[Q]]&lt;0.1, " ",Inventory_List_Table3411151091113171814161920[[#This Row],[H CM]]/2.54)</f>
        <v xml:space="preserve"> </v>
      </c>
      <c r="P102" s="35" t="str">
        <f>IF(Inventory_List_Table3411151091113171814161920[[#This Row],[Q]]&lt;0.1, " ",Inventory_List_Table3411151091113171814161920[[#This Row],[W CM]]/2.54)</f>
        <v xml:space="preserve"> </v>
      </c>
      <c r="Q102" s="35" t="str">
        <f>IF(Inventory_List_Table3411151091113171814161920[[#This Row],[Q]]&lt;0.1, " ",Inventory_List_Table3411151091113171814161920[[#This Row],[D CM ]]/2.54)</f>
        <v xml:space="preserve"> </v>
      </c>
      <c r="R102" s="30" t="str">
        <f>IF(Inventory_List_Table3411151091113171814161920[[#This Row],[Q]]&lt;0.1, " ",Inventory_List_Table3411151091113171814161920[[#This Row],[PRICE]]/$L$1)</f>
        <v xml:space="preserve"> </v>
      </c>
      <c r="S102" s="30" t="str">
        <f>IF(Inventory_List_Table3411151091113171814161920[[#This Row],[Q]]&lt;0.1, " ",IF(MOD(Inventory_List_Table3411151091113171814161920[[#This Row],[AQ USD]],1)&gt;0.4,ROUNDUP(Inventory_List_Table3411151091113171814161920[[#This Row],[AQ USD]],0),ROUNDDOWN(Inventory_List_Table3411151091113171814161920[[#This Row],[AQ USD]],0)))</f>
        <v xml:space="preserve"> </v>
      </c>
      <c r="T102" s="30" t="str">
        <f>IF(Inventory_List_Table3411151091113171814161920[[#This Row],[Q]]&lt;0.1, " ",Inventory_List_Table3411151091113171814161920[[#This Row],[AQ RND USD]]*1.4)</f>
        <v xml:space="preserve"> </v>
      </c>
      <c r="U102" s="30" t="str">
        <f>IF(Inventory_List_Table3411151091113171814161920[[#This Row],[Q]]&lt;0.1, " ",IF(MOD(Inventory_List_Table3411151091113171814161920[[#This Row],[LND USD]],1)&gt;0.4,ROUNDUP(Inventory_List_Table3411151091113171814161920[[#This Row],[LND USD]],0),ROUNDDOWN(Inventory_List_Table3411151091113171814161920[[#This Row],[LND USD]],0)))</f>
        <v xml:space="preserve"> </v>
      </c>
      <c r="V102" s="30" t="str">
        <f>IF(Inventory_List_Table3411151091113171814161920[[#This Row],[Q]]&lt;0.1, " ",Inventory_List_Table3411151091113171814161920[[#This Row],[LND RND USD]]*12)</f>
        <v xml:space="preserve"> </v>
      </c>
      <c r="W102" s="30" t="str">
        <f>IF(Inventory_List_Table3411151091113171814161920[[#This Row],[Q]]&lt;0.1, " ",Inventory_List_Table3411151091113171814161920[[#This Row],[AQ USD]])</f>
        <v xml:space="preserve"> </v>
      </c>
      <c r="X102" s="1" t="str">
        <f>IF(Inventory_List_Table3411151091113171814161920[[#This Row],[Q]]&lt;0.1, " ",SUBSTITUTE(SUBSTITUTE(SUBSTITUTE(SUBSTITUTE(SUBSTITUTE(SUBSTITUTE(SUBSTITUTE(SUBSTITUTE(SUBSTITUTE(SUBSTITUTE(Inventory_List_Table3411151091113171814161920[[#This Row],[AQ RND USD]], "1", "M"), "2", "O"), "3", "X"), "4", "H"), "5", "E"), "6", "L"), "7", "F"), "8", "A"), "9", "N"), "0", "D"))</f>
        <v xml:space="preserve"> </v>
      </c>
      <c r="Y102" s="1" t="str">
        <f>IF(Inventory_List_Table3411151091113171814161920[[#This Row],[Q]]&lt;0.1, " ",SUBSTITUTE(SUBSTITUTE(SUBSTITUTE(SUBSTITUTE(SUBSTITUTE(SUBSTITUTE(SUBSTITUTE(SUBSTITUTE(SUBSTITUTE(SUBSTITUTE(Inventory_List_Table3411151091113171814161920[[#This Row],[LND RND USD]], "1", "M"), "2", "O"), "3", "X"), "4", "H"), "5", "E"), "6", "L"), "7", "F"), "8", "A"), "9", "N"), "0", "D"))</f>
        <v xml:space="preserve"> </v>
      </c>
      <c r="Z102" s="1" t="str">
        <f>IF(Inventory_List_Table3411151091113171814161920[[#This Row],[Q]]&lt;0.1, " ",Inventory_List_Table3411151091113171814161920[[#This Row],[H CM]]*Inventory_List_Table3411151091113171814161920[[#This Row],[D CM ]]*4+Inventory_List_Table3411151091113171814161920[[#This Row],[W CM]]*Inventory_List_Table3411151091113171814161920[[#This Row],[D CM ]]/10000)</f>
        <v xml:space="preserve"> </v>
      </c>
      <c r="AA102" s="30" t="str">
        <f>IF(Inventory_List_Table3411151091113171814161920[[#This Row],[Q]]&lt;0.1, " ",Inventory_List_Table3411151091113171814161920[[#This Row],[PRICE]]/Z102*10000)</f>
        <v xml:space="preserve"> </v>
      </c>
      <c r="AB102" s="430"/>
      <c r="AC102" s="1"/>
      <c r="AD102" s="1"/>
    </row>
  </sheetData>
  <dataValidations count="12">
    <dataValidation allowBlank="1" showInputMessage="1" showErrorMessage="1" prompt="Enter a description of the item in this column" sqref="G2:G3" xr:uid="{CE24FE37-DBD5-494D-9DB3-2CCD17B7CCE5}"/>
    <dataValidation allowBlank="1" showInputMessage="1" showErrorMessage="1" prompt="Enter the unit price of each item in this column" sqref="H2:H3" xr:uid="{D8D5A807-D956-4B7D-9D6F-BB8E2A60D800}"/>
    <dataValidation allowBlank="1" showInputMessage="1" showErrorMessage="1" prompt="Enter the quantity in stock for each item in this column" sqref="I2:I3" xr:uid="{D4E433AE-4150-420B-B890-38A52684732E}"/>
    <dataValidation allowBlank="1" showInputMessage="1" showErrorMessage="1" prompt="This is an automated column._x000a__x000a_The inventory value for each item is automatically calculated in this column." sqref="J2:J3" xr:uid="{67E8E4FA-2D83-415A-ABFD-0C080F4BE04D}"/>
    <dataValidation allowBlank="1" showInputMessage="1" showErrorMessage="1" prompt="Enter the reorder level for each item in this column" sqref="K2:K3" xr:uid="{DF2BAE11-BC95-4629-814B-FE3E6D57FA90}"/>
    <dataValidation allowBlank="1" showInputMessage="1" showErrorMessage="1" prompt="Enter the number of days it takes to reorder each item in this column" sqref="L2:N3" xr:uid="{4A4CF75F-EA3D-4A70-BECE-AAF6CA9F4678}"/>
    <dataValidation allowBlank="1" showInputMessage="1" showErrorMessage="1" prompt="Enter the quantity in reorder for each item in this column" sqref="O2:O3" xr:uid="{C8E48C32-537C-4344-9BC6-184264E67B8E}"/>
    <dataValidation allowBlank="1" showInputMessage="1" showErrorMessage="1" prompt="Enter yes if the item has been discontinued. When a yes is entered, the corresponding row is highlighted a light grey and the font style changed to strikethrough" sqref="P2:P3" xr:uid="{E7BD66DC-15AE-4A86-87F3-F4E92F71BDD5}"/>
    <dataValidation allowBlank="1" showInputMessage="1" showErrorMessage="1" prompt="Enter the name of the item in this column" sqref="F2:F3" xr:uid="{E6E47241-54C1-4448-98BE-DA1BF6057BAC}"/>
    <dataValidation allowBlank="1" showInputMessage="1" showErrorMessage="1" prompt="Enter the item inventory ID in this column" sqref="E2:E3" xr:uid="{9DF4EB1A-41F7-4CD4-A687-51DAE0C3D246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A61B2F88-B318-484C-90E4-D5983AF3B721}"/>
    <dataValidation allowBlank="1" showInputMessage="1" showErrorMessage="1" prompt="Enter company name in this cell" sqref="B1" xr:uid="{3B9B39B7-06A2-4B71-B813-894C6134E073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5BBF-C213-4368-B2C1-E96EF33C08C2}">
  <sheetPr>
    <tabColor rgb="FF800020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8.75" style="553" customWidth="1"/>
    <col min="2" max="2" width="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4.5" x14ac:dyDescent="0.25">
      <c r="A1" s="432" t="s">
        <v>134</v>
      </c>
      <c r="B1" s="433" t="s">
        <v>135</v>
      </c>
      <c r="C1" s="433" t="s">
        <v>17</v>
      </c>
      <c r="D1" s="433">
        <v>326</v>
      </c>
      <c r="E1" s="433"/>
      <c r="F1" s="433"/>
      <c r="G1" s="433"/>
      <c r="H1" s="433"/>
      <c r="I1" s="433"/>
      <c r="J1" s="434"/>
      <c r="K1" s="433" t="s">
        <v>18</v>
      </c>
      <c r="L1" s="435">
        <v>18</v>
      </c>
      <c r="M1" s="436">
        <f>SUM(Inventory_List_Table341115109111317181416192021[TOTAL PESOS])</f>
        <v>0</v>
      </c>
      <c r="N1" s="437"/>
      <c r="O1" s="437"/>
      <c r="P1" s="437"/>
      <c r="Q1" s="438"/>
      <c r="R1" s="439"/>
      <c r="S1" s="440"/>
      <c r="T1" s="441"/>
      <c r="U1" s="441"/>
      <c r="V1" s="441"/>
      <c r="W1" s="442">
        <f>SUM(Inventory_List_Table341115109111317181416192021[TOTAL USD])</f>
        <v>0</v>
      </c>
      <c r="X1" s="443"/>
      <c r="Y1" s="443"/>
      <c r="Z1" s="443"/>
      <c r="AA1" s="444" t="str">
        <f>IF(G3&gt;0.1, AVERAGE(Inventory_List_Table341115109111317181416192021[NOTES]), " ")</f>
        <v xml:space="preserve"> </v>
      </c>
      <c r="AB1" s="439"/>
    </row>
    <row r="2" spans="1:30" s="39" customFormat="1" ht="39" x14ac:dyDescent="0.25">
      <c r="A2" s="445" t="s">
        <v>19</v>
      </c>
      <c r="B2" s="446" t="s">
        <v>56</v>
      </c>
      <c r="C2" s="446" t="s">
        <v>146</v>
      </c>
      <c r="D2" s="446" t="s">
        <v>145</v>
      </c>
      <c r="E2" s="446" t="s">
        <v>55</v>
      </c>
      <c r="F2" s="445" t="s">
        <v>20</v>
      </c>
      <c r="G2" s="445" t="s">
        <v>9</v>
      </c>
      <c r="H2" s="445" t="s">
        <v>10</v>
      </c>
      <c r="I2" s="445" t="s">
        <v>15</v>
      </c>
      <c r="J2" s="445" t="s">
        <v>11</v>
      </c>
      <c r="K2" s="445" t="s">
        <v>12</v>
      </c>
      <c r="L2" s="446" t="s">
        <v>25</v>
      </c>
      <c r="M2" s="447" t="s">
        <v>21</v>
      </c>
      <c r="N2" s="448" t="s">
        <v>13</v>
      </c>
      <c r="O2" s="448" t="s">
        <v>22</v>
      </c>
      <c r="P2" s="448" t="s">
        <v>23</v>
      </c>
      <c r="Q2" s="448" t="s">
        <v>24</v>
      </c>
      <c r="R2" s="449" t="s">
        <v>57</v>
      </c>
      <c r="S2" s="446" t="s">
        <v>58</v>
      </c>
      <c r="T2" s="449" t="s">
        <v>59</v>
      </c>
      <c r="U2" s="449" t="s">
        <v>60</v>
      </c>
      <c r="V2" s="449" t="s">
        <v>61</v>
      </c>
      <c r="W2" s="450" t="s">
        <v>14</v>
      </c>
      <c r="X2" s="450" t="s">
        <v>16</v>
      </c>
      <c r="Y2" s="450" t="s">
        <v>1</v>
      </c>
      <c r="Z2" s="433" t="s">
        <v>62</v>
      </c>
      <c r="AA2" s="435" t="s">
        <v>63</v>
      </c>
      <c r="AB2" s="433" t="s">
        <v>64</v>
      </c>
    </row>
    <row r="3" spans="1:30" s="29" customFormat="1" ht="23.25" x14ac:dyDescent="0.35">
      <c r="A3" s="451">
        <v>1</v>
      </c>
      <c r="B3" s="1"/>
      <c r="C3" s="452"/>
      <c r="D3" s="452"/>
      <c r="E3" s="452"/>
      <c r="F3" s="38" t="str">
        <f>IF(Inventory_List_Table341115109111317181416192021[[#This Row],[Q]]&lt;0.1, " ",A1&amp;$D$1&amp;Inventory_List_Table341115109111317181416192021[[#This Row],['#]]&amp;Inventory_List_Table341115109111317181416192021[[#This Row],[LC]])</f>
        <v xml:space="preserve"> </v>
      </c>
      <c r="G3" s="454"/>
      <c r="H3" s="454"/>
      <c r="I3" s="454"/>
      <c r="J3" s="454"/>
      <c r="K3" s="454"/>
      <c r="L3" s="455"/>
      <c r="M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" s="35" t="str">
        <f>IF(Inventory_List_Table341115109111317181416192021[[#This Row],[Q]]&lt;0.1, " ", Inventory_List_Table341115109111317181416192021[[#This Row],[KG]]*2.20462)</f>
        <v xml:space="preserve"> </v>
      </c>
      <c r="O3" s="35" t="str">
        <f>IF(Inventory_List_Table341115109111317181416192021[[#This Row],[Q]]&lt;0.1, " ",Inventory_List_Table341115109111317181416192021[[#This Row],[H CM]]/2.54)</f>
        <v xml:space="preserve"> </v>
      </c>
      <c r="P3" s="35" t="str">
        <f>IF(Inventory_List_Table341115109111317181416192021[[#This Row],[Q]]&lt;0.1, " ",Inventory_List_Table341115109111317181416192021[[#This Row],[W CM]]/2.54)</f>
        <v xml:space="preserve"> </v>
      </c>
      <c r="Q3" s="35" t="str">
        <f>IF(Inventory_List_Table341115109111317181416192021[[#This Row],[Q]]&lt;0.1, " ",Inventory_List_Table341115109111317181416192021[[#This Row],[D CM ]]/2.54)</f>
        <v xml:space="preserve"> </v>
      </c>
      <c r="R3" s="30" t="str">
        <f>IF(Inventory_List_Table341115109111317181416192021[[#This Row],[Q]]&lt;0.1, " ",Inventory_List_Table341115109111317181416192021[[#This Row],[PRICE]]/$L$1)</f>
        <v xml:space="preserve"> </v>
      </c>
      <c r="S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" s="30" t="str">
        <f>IF(Inventory_List_Table341115109111317181416192021[[#This Row],[Q]]&lt;0.1, " ",Inventory_List_Table341115109111317181416192021[[#This Row],[AQ RND USD]]*1.4)</f>
        <v xml:space="preserve"> </v>
      </c>
      <c r="U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" s="30" t="str">
        <f>IF(Inventory_List_Table341115109111317181416192021[[#This Row],[Q]]&lt;0.1, " ",Inventory_List_Table341115109111317181416192021[[#This Row],[LND RND USD]]*12)</f>
        <v xml:space="preserve"> </v>
      </c>
      <c r="W3" s="30" t="str">
        <f>IF(Inventory_List_Table341115109111317181416192021[[#This Row],[Q]]&lt;0.1, " ",Inventory_List_Table341115109111317181416192021[[#This Row],[AQ USD]])</f>
        <v xml:space="preserve"> </v>
      </c>
      <c r="X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" s="36" t="str">
        <f>IF(Inventory_List_Table341115109111317181416192021[[#This Row],[Q]]&lt;0.1, " ",Inventory_List_Table341115109111317181416192021[[#This Row],[PRICE]]/Z3*10000)</f>
        <v xml:space="preserve"> </v>
      </c>
      <c r="AB3" s="453"/>
      <c r="AC3" s="27"/>
      <c r="AD3" s="28"/>
    </row>
    <row r="4" spans="1:30" ht="21" x14ac:dyDescent="0.3">
      <c r="A4" s="451">
        <v>2</v>
      </c>
      <c r="B4" s="1"/>
      <c r="C4" s="452"/>
      <c r="D4" s="452"/>
      <c r="E4" s="452"/>
      <c r="F4" s="38" t="str">
        <f>IF(Inventory_List_Table341115109111317181416192021[[#This Row],[Q]]&lt;0.1, " ",#REF!&amp;$D$1&amp;#REF!&amp;Inventory_List_Table341115109111317181416192021[[#This Row],[NOTES]])</f>
        <v xml:space="preserve"> </v>
      </c>
      <c r="G4" s="454"/>
      <c r="H4" s="454"/>
      <c r="I4" s="454"/>
      <c r="J4" s="454"/>
      <c r="K4" s="454"/>
      <c r="L4" s="456"/>
      <c r="M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" s="35" t="str">
        <f>IF(Inventory_List_Table341115109111317181416192021[[#This Row],[Q]]&lt;0.1, " ", Inventory_List_Table341115109111317181416192021[[#This Row],[KG]]*2.20462)</f>
        <v xml:space="preserve"> </v>
      </c>
      <c r="O4" s="35" t="str">
        <f>IF(Inventory_List_Table341115109111317181416192021[[#This Row],[Q]]&lt;0.1, " ",Inventory_List_Table341115109111317181416192021[[#This Row],[H CM]]/2.54)</f>
        <v xml:space="preserve"> </v>
      </c>
      <c r="P4" s="35" t="str">
        <f>IF(Inventory_List_Table341115109111317181416192021[[#This Row],[Q]]&lt;0.1, " ",Inventory_List_Table341115109111317181416192021[[#This Row],[W CM]]/2.54)</f>
        <v xml:space="preserve"> </v>
      </c>
      <c r="Q4" s="35" t="str">
        <f>IF(Inventory_List_Table341115109111317181416192021[[#This Row],[Q]]&lt;0.1, " ",Inventory_List_Table341115109111317181416192021[[#This Row],[D CM ]]/2.54)</f>
        <v xml:space="preserve"> </v>
      </c>
      <c r="R4" s="30" t="str">
        <f>IF(Inventory_List_Table341115109111317181416192021[[#This Row],[Q]]&lt;0.1, " ",Inventory_List_Table341115109111317181416192021[[#This Row],[PRICE]]/$L$1)</f>
        <v xml:space="preserve"> </v>
      </c>
      <c r="S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" s="30" t="str">
        <f>IF(Inventory_List_Table341115109111317181416192021[[#This Row],[Q]]&lt;0.1, " ",Inventory_List_Table341115109111317181416192021[[#This Row],[AQ RND USD]]*1.4)</f>
        <v xml:space="preserve"> </v>
      </c>
      <c r="U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" s="30" t="str">
        <f>IF(Inventory_List_Table341115109111317181416192021[[#This Row],[Q]]&lt;0.1, " ",Inventory_List_Table341115109111317181416192021[[#This Row],[LND RND USD]]*12)</f>
        <v xml:space="preserve"> </v>
      </c>
      <c r="W4" s="30" t="str">
        <f>IF(Inventory_List_Table341115109111317181416192021[[#This Row],[Q]]&lt;0.1, " ",Inventory_List_Table341115109111317181416192021[[#This Row],[AQ USD]])</f>
        <v xml:space="preserve"> </v>
      </c>
      <c r="X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" s="30" t="str">
        <f>IF(Inventory_List_Table341115109111317181416192021[[#This Row],[Q]]&lt;0.1, " ",Inventory_List_Table341115109111317181416192021[[#This Row],[PRICE]]/Z4*10000)</f>
        <v xml:space="preserve"> </v>
      </c>
      <c r="AB4" s="457"/>
      <c r="AC4" s="1"/>
      <c r="AD4" s="1"/>
    </row>
    <row r="5" spans="1:30" ht="24" customHeight="1" x14ac:dyDescent="0.3">
      <c r="A5" s="451">
        <v>3</v>
      </c>
      <c r="B5" s="1"/>
      <c r="C5" s="452"/>
      <c r="D5" s="452"/>
      <c r="E5" s="452"/>
      <c r="F5" s="38" t="str">
        <f>IF(Inventory_List_Table341115109111317181416192021[[#This Row],[Q]]&lt;0.1, " ",#REF!&amp;$D$1&amp;#REF!&amp;Inventory_List_Table341115109111317181416192021[[#This Row],[NOTES]])</f>
        <v xml:space="preserve"> </v>
      </c>
      <c r="G5" s="454"/>
      <c r="H5" s="454"/>
      <c r="I5" s="454"/>
      <c r="J5" s="454"/>
      <c r="K5" s="454"/>
      <c r="L5" s="456"/>
      <c r="M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" s="35" t="str">
        <f>IF(Inventory_List_Table341115109111317181416192021[[#This Row],[Q]]&lt;0.1, " ", Inventory_List_Table341115109111317181416192021[[#This Row],[KG]]*2.20462)</f>
        <v xml:space="preserve"> </v>
      </c>
      <c r="O5" s="35" t="str">
        <f>IF(Inventory_List_Table341115109111317181416192021[[#This Row],[Q]]&lt;0.1, " ",Inventory_List_Table341115109111317181416192021[[#This Row],[H CM]]/2.54)</f>
        <v xml:space="preserve"> </v>
      </c>
      <c r="P5" s="35" t="str">
        <f>IF(Inventory_List_Table341115109111317181416192021[[#This Row],[Q]]&lt;0.1, " ",Inventory_List_Table341115109111317181416192021[[#This Row],[W CM]]/2.54)</f>
        <v xml:space="preserve"> </v>
      </c>
      <c r="Q5" s="35" t="str">
        <f>IF(Inventory_List_Table341115109111317181416192021[[#This Row],[Q]]&lt;0.1, " ",Inventory_List_Table341115109111317181416192021[[#This Row],[D CM ]]/2.54)</f>
        <v xml:space="preserve"> </v>
      </c>
      <c r="R5" s="30" t="str">
        <f>IF(Inventory_List_Table341115109111317181416192021[[#This Row],[Q]]&lt;0.1, " ",Inventory_List_Table341115109111317181416192021[[#This Row],[PRICE]]/$L$1)</f>
        <v xml:space="preserve"> </v>
      </c>
      <c r="S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" s="30" t="str">
        <f>IF(Inventory_List_Table341115109111317181416192021[[#This Row],[Q]]&lt;0.1, " ",Inventory_List_Table341115109111317181416192021[[#This Row],[AQ RND USD]]*1.4)</f>
        <v xml:space="preserve"> </v>
      </c>
      <c r="U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" s="30" t="str">
        <f>IF(Inventory_List_Table341115109111317181416192021[[#This Row],[Q]]&lt;0.1, " ",Inventory_List_Table341115109111317181416192021[[#This Row],[LND RND USD]]*12)</f>
        <v xml:space="preserve"> </v>
      </c>
      <c r="W5" s="30" t="str">
        <f>IF(Inventory_List_Table341115109111317181416192021[[#This Row],[Q]]&lt;0.1, " ",Inventory_List_Table341115109111317181416192021[[#This Row],[AQ USD]])</f>
        <v xml:space="preserve"> </v>
      </c>
      <c r="X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" s="30" t="str">
        <f>IF(Inventory_List_Table341115109111317181416192021[[#This Row],[Q]]&lt;0.1, " ",Inventory_List_Table341115109111317181416192021[[#This Row],[PRICE]]/Z5*10000)</f>
        <v xml:space="preserve"> </v>
      </c>
      <c r="AB5" s="457"/>
      <c r="AC5" s="1"/>
      <c r="AD5" s="1"/>
    </row>
    <row r="6" spans="1:30" ht="24" customHeight="1" x14ac:dyDescent="0.3">
      <c r="A6" s="451">
        <v>4</v>
      </c>
      <c r="B6" s="1"/>
      <c r="C6" s="452"/>
      <c r="D6" s="452"/>
      <c r="E6" s="452"/>
      <c r="F6" s="38" t="str">
        <f>IF(Inventory_List_Table341115109111317181416192021[[#This Row],[Q]]&lt;0.1, " ",#REF!&amp;$D$1&amp;#REF!&amp;Inventory_List_Table341115109111317181416192021[[#This Row],[NOTES]])</f>
        <v xml:space="preserve"> </v>
      </c>
      <c r="G6" s="454"/>
      <c r="H6" s="454"/>
      <c r="I6" s="454"/>
      <c r="J6" s="454"/>
      <c r="K6" s="454"/>
      <c r="L6" s="456"/>
      <c r="M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" s="35" t="str">
        <f>IF(Inventory_List_Table341115109111317181416192021[[#This Row],[Q]]&lt;0.1, " ", Inventory_List_Table341115109111317181416192021[[#This Row],[KG]]*2.20462)</f>
        <v xml:space="preserve"> </v>
      </c>
      <c r="O6" s="35" t="str">
        <f>IF(Inventory_List_Table341115109111317181416192021[[#This Row],[Q]]&lt;0.1, " ",Inventory_List_Table341115109111317181416192021[[#This Row],[H CM]]/2.54)</f>
        <v xml:space="preserve"> </v>
      </c>
      <c r="P6" s="35" t="str">
        <f>IF(Inventory_List_Table341115109111317181416192021[[#This Row],[Q]]&lt;0.1, " ",Inventory_List_Table341115109111317181416192021[[#This Row],[W CM]]/2.54)</f>
        <v xml:space="preserve"> </v>
      </c>
      <c r="Q6" s="35" t="str">
        <f>IF(Inventory_List_Table341115109111317181416192021[[#This Row],[Q]]&lt;0.1, " ",Inventory_List_Table341115109111317181416192021[[#This Row],[D CM ]]/2.54)</f>
        <v xml:space="preserve"> </v>
      </c>
      <c r="R6" s="30" t="str">
        <f>IF(Inventory_List_Table341115109111317181416192021[[#This Row],[Q]]&lt;0.1, " ",Inventory_List_Table341115109111317181416192021[[#This Row],[PRICE]]/$L$1)</f>
        <v xml:space="preserve"> </v>
      </c>
      <c r="S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" s="30" t="str">
        <f>IF(Inventory_List_Table341115109111317181416192021[[#This Row],[Q]]&lt;0.1, " ",Inventory_List_Table341115109111317181416192021[[#This Row],[AQ RND USD]]*1.4)</f>
        <v xml:space="preserve"> </v>
      </c>
      <c r="U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" s="30" t="str">
        <f>IF(Inventory_List_Table341115109111317181416192021[[#This Row],[Q]]&lt;0.1, " ",Inventory_List_Table341115109111317181416192021[[#This Row],[LND RND USD]]*12)</f>
        <v xml:space="preserve"> </v>
      </c>
      <c r="W6" s="30" t="str">
        <f>IF(Inventory_List_Table341115109111317181416192021[[#This Row],[Q]]&lt;0.1, " ",Inventory_List_Table341115109111317181416192021[[#This Row],[AQ USD]])</f>
        <v xml:space="preserve"> </v>
      </c>
      <c r="X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" s="30" t="str">
        <f>IF(Inventory_List_Table341115109111317181416192021[[#This Row],[Q]]&lt;0.1, " ",Inventory_List_Table341115109111317181416192021[[#This Row],[PRICE]]/Z6*10000)</f>
        <v xml:space="preserve"> </v>
      </c>
      <c r="AB6" s="457"/>
      <c r="AC6" s="1"/>
      <c r="AD6" s="1"/>
    </row>
    <row r="7" spans="1:30" ht="24" customHeight="1" x14ac:dyDescent="0.3">
      <c r="A7" s="451">
        <v>5</v>
      </c>
      <c r="B7" s="1"/>
      <c r="C7" s="452"/>
      <c r="D7" s="452"/>
      <c r="E7" s="452"/>
      <c r="F7" s="38" t="str">
        <f>IF(Inventory_List_Table341115109111317181416192021[[#This Row],[Q]]&lt;0.1, " ",#REF!&amp;$D$1&amp;#REF!&amp;Inventory_List_Table341115109111317181416192021[[#This Row],[NOTES]])</f>
        <v xml:space="preserve"> </v>
      </c>
      <c r="G7" s="454"/>
      <c r="H7" s="454"/>
      <c r="I7" s="454"/>
      <c r="J7" s="454"/>
      <c r="K7" s="454"/>
      <c r="L7" s="456"/>
      <c r="M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" s="35" t="str">
        <f>IF(Inventory_List_Table341115109111317181416192021[[#This Row],[Q]]&lt;0.1, " ", Inventory_List_Table341115109111317181416192021[[#This Row],[KG]]*2.20462)</f>
        <v xml:space="preserve"> </v>
      </c>
      <c r="O7" s="35" t="str">
        <f>IF(Inventory_List_Table341115109111317181416192021[[#This Row],[Q]]&lt;0.1, " ",Inventory_List_Table341115109111317181416192021[[#This Row],[H CM]]/2.54)</f>
        <v xml:space="preserve"> </v>
      </c>
      <c r="P7" s="35" t="str">
        <f>IF(Inventory_List_Table341115109111317181416192021[[#This Row],[Q]]&lt;0.1, " ",Inventory_List_Table341115109111317181416192021[[#This Row],[W CM]]/2.54)</f>
        <v xml:space="preserve"> </v>
      </c>
      <c r="Q7" s="35" t="str">
        <f>IF(Inventory_List_Table341115109111317181416192021[[#This Row],[Q]]&lt;0.1, " ",Inventory_List_Table341115109111317181416192021[[#This Row],[D CM ]]/2.54)</f>
        <v xml:space="preserve"> </v>
      </c>
      <c r="R7" s="30" t="str">
        <f>IF(Inventory_List_Table341115109111317181416192021[[#This Row],[Q]]&lt;0.1, " ",Inventory_List_Table341115109111317181416192021[[#This Row],[PRICE]]/$L$1)</f>
        <v xml:space="preserve"> </v>
      </c>
      <c r="S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" s="30" t="str">
        <f>IF(Inventory_List_Table341115109111317181416192021[[#This Row],[Q]]&lt;0.1, " ",Inventory_List_Table341115109111317181416192021[[#This Row],[AQ RND USD]]*1.4)</f>
        <v xml:space="preserve"> </v>
      </c>
      <c r="U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" s="30" t="str">
        <f>IF(Inventory_List_Table341115109111317181416192021[[#This Row],[Q]]&lt;0.1, " ",Inventory_List_Table341115109111317181416192021[[#This Row],[LND RND USD]]*12)</f>
        <v xml:space="preserve"> </v>
      </c>
      <c r="W7" s="30" t="str">
        <f>IF(Inventory_List_Table341115109111317181416192021[[#This Row],[Q]]&lt;0.1, " ",Inventory_List_Table341115109111317181416192021[[#This Row],[AQ USD]])</f>
        <v xml:space="preserve"> </v>
      </c>
      <c r="X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" s="30" t="str">
        <f>IF(Inventory_List_Table341115109111317181416192021[[#This Row],[Q]]&lt;0.1, " ",Inventory_List_Table341115109111317181416192021[[#This Row],[PRICE]]/Z7*10000)</f>
        <v xml:space="preserve"> </v>
      </c>
      <c r="AB7" s="457"/>
      <c r="AC7" s="1"/>
      <c r="AD7" s="1"/>
    </row>
    <row r="8" spans="1:30" ht="24" customHeight="1" x14ac:dyDescent="0.3">
      <c r="A8" s="451">
        <v>6</v>
      </c>
      <c r="B8" s="1"/>
      <c r="C8" s="452"/>
      <c r="D8" s="452"/>
      <c r="E8" s="452"/>
      <c r="F8" s="38" t="str">
        <f>IF(Inventory_List_Table341115109111317181416192021[[#This Row],[Q]]&lt;0.1, " ",#REF!&amp;$D$1&amp;#REF!&amp;Inventory_List_Table341115109111317181416192021[[#This Row],[NOTES]])</f>
        <v xml:space="preserve"> </v>
      </c>
      <c r="G8" s="454"/>
      <c r="H8" s="454"/>
      <c r="I8" s="454"/>
      <c r="J8" s="454"/>
      <c r="K8" s="454"/>
      <c r="L8" s="456"/>
      <c r="M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" s="35" t="str">
        <f>IF(Inventory_List_Table341115109111317181416192021[[#This Row],[Q]]&lt;0.1, " ", Inventory_List_Table341115109111317181416192021[[#This Row],[KG]]*2.20462)</f>
        <v xml:space="preserve"> </v>
      </c>
      <c r="O8" s="35" t="str">
        <f>IF(Inventory_List_Table341115109111317181416192021[[#This Row],[Q]]&lt;0.1, " ",Inventory_List_Table341115109111317181416192021[[#This Row],[H CM]]/2.54)</f>
        <v xml:space="preserve"> </v>
      </c>
      <c r="P8" s="35" t="str">
        <f>IF(Inventory_List_Table341115109111317181416192021[[#This Row],[Q]]&lt;0.1, " ",Inventory_List_Table341115109111317181416192021[[#This Row],[W CM]]/2.54)</f>
        <v xml:space="preserve"> </v>
      </c>
      <c r="Q8" s="35" t="str">
        <f>IF(Inventory_List_Table341115109111317181416192021[[#This Row],[Q]]&lt;0.1, " ",Inventory_List_Table341115109111317181416192021[[#This Row],[D CM ]]/2.54)</f>
        <v xml:space="preserve"> </v>
      </c>
      <c r="R8" s="30" t="str">
        <f>IF(Inventory_List_Table341115109111317181416192021[[#This Row],[Q]]&lt;0.1, " ",Inventory_List_Table341115109111317181416192021[[#This Row],[PRICE]]/$L$1)</f>
        <v xml:space="preserve"> </v>
      </c>
      <c r="S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" s="30" t="str">
        <f>IF(Inventory_List_Table341115109111317181416192021[[#This Row],[Q]]&lt;0.1, " ",Inventory_List_Table341115109111317181416192021[[#This Row],[AQ RND USD]]*1.4)</f>
        <v xml:space="preserve"> </v>
      </c>
      <c r="U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" s="30" t="str">
        <f>IF(Inventory_List_Table341115109111317181416192021[[#This Row],[Q]]&lt;0.1, " ",Inventory_List_Table341115109111317181416192021[[#This Row],[LND RND USD]]*12)</f>
        <v xml:space="preserve"> </v>
      </c>
      <c r="W8" s="30" t="str">
        <f>IF(Inventory_List_Table341115109111317181416192021[[#This Row],[Q]]&lt;0.1, " ",Inventory_List_Table341115109111317181416192021[[#This Row],[AQ USD]])</f>
        <v xml:space="preserve"> </v>
      </c>
      <c r="X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" s="30" t="str">
        <f>IF(Inventory_List_Table341115109111317181416192021[[#This Row],[Q]]&lt;0.1, " ",Inventory_List_Table341115109111317181416192021[[#This Row],[PRICE]]/Z8*10000)</f>
        <v xml:space="preserve"> </v>
      </c>
      <c r="AB8" s="457"/>
      <c r="AC8" s="1"/>
      <c r="AD8" s="1"/>
    </row>
    <row r="9" spans="1:30" ht="24" customHeight="1" x14ac:dyDescent="0.3">
      <c r="A9" s="451">
        <v>7</v>
      </c>
      <c r="B9" s="1"/>
      <c r="C9" s="452"/>
      <c r="D9" s="452"/>
      <c r="E9" s="452"/>
      <c r="F9" s="38" t="str">
        <f>IF(Inventory_List_Table341115109111317181416192021[[#This Row],[Q]]&lt;0.1, " ",#REF!&amp;$D$1&amp;#REF!&amp;Inventory_List_Table341115109111317181416192021[[#This Row],[NOTES]])</f>
        <v xml:space="preserve"> </v>
      </c>
      <c r="G9" s="454"/>
      <c r="H9" s="454"/>
      <c r="I9" s="454"/>
      <c r="J9" s="454"/>
      <c r="K9" s="454"/>
      <c r="L9" s="456"/>
      <c r="M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" s="35" t="str">
        <f>IF(Inventory_List_Table341115109111317181416192021[[#This Row],[Q]]&lt;0.1, " ", Inventory_List_Table341115109111317181416192021[[#This Row],[KG]]*2.20462)</f>
        <v xml:space="preserve"> </v>
      </c>
      <c r="O9" s="35" t="str">
        <f>IF(Inventory_List_Table341115109111317181416192021[[#This Row],[Q]]&lt;0.1, " ",Inventory_List_Table341115109111317181416192021[[#This Row],[H CM]]/2.54)</f>
        <v xml:space="preserve"> </v>
      </c>
      <c r="P9" s="35" t="str">
        <f>IF(Inventory_List_Table341115109111317181416192021[[#This Row],[Q]]&lt;0.1, " ",Inventory_List_Table341115109111317181416192021[[#This Row],[W CM]]/2.54)</f>
        <v xml:space="preserve"> </v>
      </c>
      <c r="Q9" s="35" t="str">
        <f>IF(Inventory_List_Table341115109111317181416192021[[#This Row],[Q]]&lt;0.1, " ",Inventory_List_Table341115109111317181416192021[[#This Row],[D CM ]]/2.54)</f>
        <v xml:space="preserve"> </v>
      </c>
      <c r="R9" s="30" t="str">
        <f>IF(Inventory_List_Table341115109111317181416192021[[#This Row],[Q]]&lt;0.1, " ",Inventory_List_Table341115109111317181416192021[[#This Row],[PRICE]]/$L$1)</f>
        <v xml:space="preserve"> </v>
      </c>
      <c r="S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" s="30" t="str">
        <f>IF(Inventory_List_Table341115109111317181416192021[[#This Row],[Q]]&lt;0.1, " ",Inventory_List_Table341115109111317181416192021[[#This Row],[AQ RND USD]]*1.4)</f>
        <v xml:space="preserve"> </v>
      </c>
      <c r="U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" s="30" t="str">
        <f>IF(Inventory_List_Table341115109111317181416192021[[#This Row],[Q]]&lt;0.1, " ",Inventory_List_Table341115109111317181416192021[[#This Row],[LND RND USD]]*12)</f>
        <v xml:space="preserve"> </v>
      </c>
      <c r="W9" s="30" t="str">
        <f>IF(Inventory_List_Table341115109111317181416192021[[#This Row],[Q]]&lt;0.1, " ",Inventory_List_Table341115109111317181416192021[[#This Row],[AQ USD]])</f>
        <v xml:space="preserve"> </v>
      </c>
      <c r="X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" s="30" t="str">
        <f>IF(Inventory_List_Table341115109111317181416192021[[#This Row],[Q]]&lt;0.1, " ",Inventory_List_Table341115109111317181416192021[[#This Row],[PRICE]]/Z9*10000)</f>
        <v xml:space="preserve"> </v>
      </c>
      <c r="AB9" s="457"/>
      <c r="AC9" s="1"/>
      <c r="AD9" s="1"/>
    </row>
    <row r="10" spans="1:30" ht="24" customHeight="1" x14ac:dyDescent="0.3">
      <c r="A10" s="451">
        <v>8</v>
      </c>
      <c r="B10" s="1"/>
      <c r="C10" s="452"/>
      <c r="D10" s="452"/>
      <c r="E10" s="452"/>
      <c r="F10" s="38" t="str">
        <f>IF(Inventory_List_Table341115109111317181416192021[[#This Row],[Q]]&lt;0.1, " ",#REF!&amp;$D$1&amp;#REF!&amp;Inventory_List_Table341115109111317181416192021[[#This Row],[NOTES]])</f>
        <v xml:space="preserve"> </v>
      </c>
      <c r="G10" s="454"/>
      <c r="H10" s="454"/>
      <c r="I10" s="454"/>
      <c r="J10" s="454"/>
      <c r="K10" s="454"/>
      <c r="L10" s="456"/>
      <c r="M1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0" s="35" t="str">
        <f>IF(Inventory_List_Table341115109111317181416192021[[#This Row],[Q]]&lt;0.1, " ", Inventory_List_Table341115109111317181416192021[[#This Row],[KG]]*2.20462)</f>
        <v xml:space="preserve"> </v>
      </c>
      <c r="O10" s="35" t="str">
        <f>IF(Inventory_List_Table341115109111317181416192021[[#This Row],[Q]]&lt;0.1, " ",Inventory_List_Table341115109111317181416192021[[#This Row],[H CM]]/2.54)</f>
        <v xml:space="preserve"> </v>
      </c>
      <c r="P10" s="35" t="str">
        <f>IF(Inventory_List_Table341115109111317181416192021[[#This Row],[Q]]&lt;0.1, " ",Inventory_List_Table341115109111317181416192021[[#This Row],[W CM]]/2.54)</f>
        <v xml:space="preserve"> </v>
      </c>
      <c r="Q10" s="35" t="str">
        <f>IF(Inventory_List_Table341115109111317181416192021[[#This Row],[Q]]&lt;0.1, " ",Inventory_List_Table341115109111317181416192021[[#This Row],[D CM ]]/2.54)</f>
        <v xml:space="preserve"> </v>
      </c>
      <c r="R10" s="30" t="str">
        <f>IF(Inventory_List_Table341115109111317181416192021[[#This Row],[Q]]&lt;0.1, " ",Inventory_List_Table341115109111317181416192021[[#This Row],[PRICE]]/$L$1)</f>
        <v xml:space="preserve"> </v>
      </c>
      <c r="S1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0" s="30" t="str">
        <f>IF(Inventory_List_Table341115109111317181416192021[[#This Row],[Q]]&lt;0.1, " ",Inventory_List_Table341115109111317181416192021[[#This Row],[AQ RND USD]]*1.4)</f>
        <v xml:space="preserve"> </v>
      </c>
      <c r="U1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0" s="30" t="str">
        <f>IF(Inventory_List_Table341115109111317181416192021[[#This Row],[Q]]&lt;0.1, " ",Inventory_List_Table341115109111317181416192021[[#This Row],[LND RND USD]]*12)</f>
        <v xml:space="preserve"> </v>
      </c>
      <c r="W10" s="30" t="str">
        <f>IF(Inventory_List_Table341115109111317181416192021[[#This Row],[Q]]&lt;0.1, " ",Inventory_List_Table341115109111317181416192021[[#This Row],[AQ USD]])</f>
        <v xml:space="preserve"> </v>
      </c>
      <c r="X1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0" s="30" t="str">
        <f>IF(Inventory_List_Table341115109111317181416192021[[#This Row],[Q]]&lt;0.1, " ",Inventory_List_Table341115109111317181416192021[[#This Row],[PRICE]]/Z10*10000)</f>
        <v xml:space="preserve"> </v>
      </c>
      <c r="AB10" s="457"/>
      <c r="AC10" s="1"/>
      <c r="AD10" s="1"/>
    </row>
    <row r="11" spans="1:30" ht="24" customHeight="1" x14ac:dyDescent="0.3">
      <c r="A11" s="451">
        <v>9</v>
      </c>
      <c r="B11" s="1"/>
      <c r="C11" s="452"/>
      <c r="D11" s="452"/>
      <c r="E11" s="452"/>
      <c r="F11" s="38" t="str">
        <f>IF(Inventory_List_Table341115109111317181416192021[[#This Row],[Q]]&lt;0.1, " ",#REF!&amp;$D$1&amp;#REF!&amp;Inventory_List_Table341115109111317181416192021[[#This Row],[NOTES]])</f>
        <v xml:space="preserve"> </v>
      </c>
      <c r="G11" s="454"/>
      <c r="H11" s="454"/>
      <c r="I11" s="454"/>
      <c r="J11" s="454"/>
      <c r="K11" s="454"/>
      <c r="L11" s="456"/>
      <c r="M1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1" s="35" t="str">
        <f>IF(Inventory_List_Table341115109111317181416192021[[#This Row],[Q]]&lt;0.1, " ", Inventory_List_Table341115109111317181416192021[[#This Row],[KG]]*2.20462)</f>
        <v xml:space="preserve"> </v>
      </c>
      <c r="O11" s="35" t="str">
        <f>IF(Inventory_List_Table341115109111317181416192021[[#This Row],[Q]]&lt;0.1, " ",Inventory_List_Table341115109111317181416192021[[#This Row],[H CM]]/2.54)</f>
        <v xml:space="preserve"> </v>
      </c>
      <c r="P11" s="35" t="str">
        <f>IF(Inventory_List_Table341115109111317181416192021[[#This Row],[Q]]&lt;0.1, " ",Inventory_List_Table341115109111317181416192021[[#This Row],[W CM]]/2.54)</f>
        <v xml:space="preserve"> </v>
      </c>
      <c r="Q11" s="35" t="str">
        <f>IF(Inventory_List_Table341115109111317181416192021[[#This Row],[Q]]&lt;0.1, " ",Inventory_List_Table341115109111317181416192021[[#This Row],[D CM ]]/2.54)</f>
        <v xml:space="preserve"> </v>
      </c>
      <c r="R11" s="30" t="str">
        <f>IF(Inventory_List_Table341115109111317181416192021[[#This Row],[Q]]&lt;0.1, " ",Inventory_List_Table341115109111317181416192021[[#This Row],[PRICE]]/$L$1)</f>
        <v xml:space="preserve"> </v>
      </c>
      <c r="S1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1" s="30" t="str">
        <f>IF(Inventory_List_Table341115109111317181416192021[[#This Row],[Q]]&lt;0.1, " ",Inventory_List_Table341115109111317181416192021[[#This Row],[AQ RND USD]]*1.4)</f>
        <v xml:space="preserve"> </v>
      </c>
      <c r="U1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1" s="30" t="str">
        <f>IF(Inventory_List_Table341115109111317181416192021[[#This Row],[Q]]&lt;0.1, " ",Inventory_List_Table341115109111317181416192021[[#This Row],[LND RND USD]]*12)</f>
        <v xml:space="preserve"> </v>
      </c>
      <c r="W11" s="30" t="str">
        <f>IF(Inventory_List_Table341115109111317181416192021[[#This Row],[Q]]&lt;0.1, " ",Inventory_List_Table341115109111317181416192021[[#This Row],[AQ USD]])</f>
        <v xml:space="preserve"> </v>
      </c>
      <c r="X1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1" s="30" t="str">
        <f>IF(Inventory_List_Table341115109111317181416192021[[#This Row],[Q]]&lt;0.1, " ",Inventory_List_Table341115109111317181416192021[[#This Row],[PRICE]]/Z11*10000)</f>
        <v xml:space="preserve"> </v>
      </c>
      <c r="AB11" s="457"/>
      <c r="AC11" s="1"/>
      <c r="AD11" s="1"/>
    </row>
    <row r="12" spans="1:30" ht="24" customHeight="1" x14ac:dyDescent="0.3">
      <c r="A12" s="451">
        <v>10</v>
      </c>
      <c r="B12" s="1"/>
      <c r="C12" s="452"/>
      <c r="D12" s="452"/>
      <c r="E12" s="452"/>
      <c r="F12" s="38" t="str">
        <f>IF(Inventory_List_Table341115109111317181416192021[[#This Row],[Q]]&lt;0.1, " ",#REF!&amp;$D$1&amp;#REF!&amp;Inventory_List_Table341115109111317181416192021[[#This Row],[NOTES]])</f>
        <v xml:space="preserve"> </v>
      </c>
      <c r="G12" s="454"/>
      <c r="H12" s="454"/>
      <c r="I12" s="454"/>
      <c r="J12" s="454"/>
      <c r="K12" s="454"/>
      <c r="L12" s="456"/>
      <c r="M1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2" s="35" t="str">
        <f>IF(Inventory_List_Table341115109111317181416192021[[#This Row],[Q]]&lt;0.1, " ", Inventory_List_Table341115109111317181416192021[[#This Row],[KG]]*2.20462)</f>
        <v xml:space="preserve"> </v>
      </c>
      <c r="O12" s="35" t="str">
        <f>IF(Inventory_List_Table341115109111317181416192021[[#This Row],[Q]]&lt;0.1, " ",Inventory_List_Table341115109111317181416192021[[#This Row],[H CM]]/2.54)</f>
        <v xml:space="preserve"> </v>
      </c>
      <c r="P12" s="35" t="str">
        <f>IF(Inventory_List_Table341115109111317181416192021[[#This Row],[Q]]&lt;0.1, " ",Inventory_List_Table341115109111317181416192021[[#This Row],[W CM]]/2.54)</f>
        <v xml:space="preserve"> </v>
      </c>
      <c r="Q12" s="35" t="str">
        <f>IF(Inventory_List_Table341115109111317181416192021[[#This Row],[Q]]&lt;0.1, " ",Inventory_List_Table341115109111317181416192021[[#This Row],[D CM ]]/2.54)</f>
        <v xml:space="preserve"> </v>
      </c>
      <c r="R12" s="30" t="str">
        <f>IF(Inventory_List_Table341115109111317181416192021[[#This Row],[Q]]&lt;0.1, " ",Inventory_List_Table341115109111317181416192021[[#This Row],[PRICE]]/$L$1)</f>
        <v xml:space="preserve"> </v>
      </c>
      <c r="S1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2" s="30" t="str">
        <f>IF(Inventory_List_Table341115109111317181416192021[[#This Row],[Q]]&lt;0.1, " ",Inventory_List_Table341115109111317181416192021[[#This Row],[AQ RND USD]]*1.4)</f>
        <v xml:space="preserve"> </v>
      </c>
      <c r="U1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2" s="30" t="str">
        <f>IF(Inventory_List_Table341115109111317181416192021[[#This Row],[Q]]&lt;0.1, " ",Inventory_List_Table341115109111317181416192021[[#This Row],[LND RND USD]]*12)</f>
        <v xml:space="preserve"> </v>
      </c>
      <c r="W12" s="30" t="str">
        <f>IF(Inventory_List_Table341115109111317181416192021[[#This Row],[Q]]&lt;0.1, " ",Inventory_List_Table341115109111317181416192021[[#This Row],[AQ USD]])</f>
        <v xml:space="preserve"> </v>
      </c>
      <c r="X1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2" s="30" t="str">
        <f>IF(Inventory_List_Table341115109111317181416192021[[#This Row],[Q]]&lt;0.1, " ",Inventory_List_Table341115109111317181416192021[[#This Row],[PRICE]]/Z12*10000)</f>
        <v xml:space="preserve"> </v>
      </c>
      <c r="AB12" s="457"/>
      <c r="AC12" s="1"/>
      <c r="AD12" s="1"/>
    </row>
    <row r="13" spans="1:30" ht="24" customHeight="1" x14ac:dyDescent="0.3">
      <c r="A13" s="451">
        <v>11</v>
      </c>
      <c r="B13" s="1"/>
      <c r="C13" s="452"/>
      <c r="D13" s="452"/>
      <c r="E13" s="452"/>
      <c r="F13" s="38" t="str">
        <f>IF(Inventory_List_Table341115109111317181416192021[[#This Row],[Q]]&lt;0.1, " ",#REF!&amp;$D$1&amp;#REF!&amp;Inventory_List_Table341115109111317181416192021[[#This Row],[NOTES]])</f>
        <v xml:space="preserve"> </v>
      </c>
      <c r="G13" s="454"/>
      <c r="H13" s="454"/>
      <c r="I13" s="454"/>
      <c r="J13" s="454"/>
      <c r="K13" s="454"/>
      <c r="L13" s="456"/>
      <c r="M1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3" s="35" t="str">
        <f>IF(Inventory_List_Table341115109111317181416192021[[#This Row],[Q]]&lt;0.1, " ", Inventory_List_Table341115109111317181416192021[[#This Row],[KG]]*2.20462)</f>
        <v xml:space="preserve"> </v>
      </c>
      <c r="O13" s="35" t="str">
        <f>IF(Inventory_List_Table341115109111317181416192021[[#This Row],[Q]]&lt;0.1, " ",Inventory_List_Table341115109111317181416192021[[#This Row],[H CM]]/2.54)</f>
        <v xml:space="preserve"> </v>
      </c>
      <c r="P13" s="35" t="str">
        <f>IF(Inventory_List_Table341115109111317181416192021[[#This Row],[Q]]&lt;0.1, " ",Inventory_List_Table341115109111317181416192021[[#This Row],[W CM]]/2.54)</f>
        <v xml:space="preserve"> </v>
      </c>
      <c r="Q13" s="35" t="str">
        <f>IF(Inventory_List_Table341115109111317181416192021[[#This Row],[Q]]&lt;0.1, " ",Inventory_List_Table341115109111317181416192021[[#This Row],[D CM ]]/2.54)</f>
        <v xml:space="preserve"> </v>
      </c>
      <c r="R13" s="30" t="str">
        <f>IF(Inventory_List_Table341115109111317181416192021[[#This Row],[Q]]&lt;0.1, " ",Inventory_List_Table341115109111317181416192021[[#This Row],[PRICE]]/$L$1)</f>
        <v xml:space="preserve"> </v>
      </c>
      <c r="S1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3" s="30" t="str">
        <f>IF(Inventory_List_Table341115109111317181416192021[[#This Row],[Q]]&lt;0.1, " ",Inventory_List_Table341115109111317181416192021[[#This Row],[AQ RND USD]]*1.4)</f>
        <v xml:space="preserve"> </v>
      </c>
      <c r="U1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3" s="30" t="str">
        <f>IF(Inventory_List_Table341115109111317181416192021[[#This Row],[Q]]&lt;0.1, " ",Inventory_List_Table341115109111317181416192021[[#This Row],[LND RND USD]]*12)</f>
        <v xml:space="preserve"> </v>
      </c>
      <c r="W13" s="30" t="str">
        <f>IF(Inventory_List_Table341115109111317181416192021[[#This Row],[Q]]&lt;0.1, " ",Inventory_List_Table341115109111317181416192021[[#This Row],[AQ USD]])</f>
        <v xml:space="preserve"> </v>
      </c>
      <c r="X1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3" s="30" t="str">
        <f>IF(Inventory_List_Table341115109111317181416192021[[#This Row],[Q]]&lt;0.1, " ",Inventory_List_Table341115109111317181416192021[[#This Row],[PRICE]]/Z13*10000)</f>
        <v xml:space="preserve"> </v>
      </c>
      <c r="AB13" s="457"/>
      <c r="AC13" s="1"/>
      <c r="AD13" s="1"/>
    </row>
    <row r="14" spans="1:30" ht="24" customHeight="1" x14ac:dyDescent="0.3">
      <c r="A14" s="451">
        <v>12</v>
      </c>
      <c r="B14" s="1"/>
      <c r="C14" s="452"/>
      <c r="D14" s="452"/>
      <c r="E14" s="452"/>
      <c r="F14" s="38" t="str">
        <f>IF(Inventory_List_Table341115109111317181416192021[[#This Row],[Q]]&lt;0.1, " ",#REF!&amp;$D$1&amp;#REF!&amp;Inventory_List_Table341115109111317181416192021[[#This Row],[NOTES]])</f>
        <v xml:space="preserve"> </v>
      </c>
      <c r="G14" s="454"/>
      <c r="H14" s="454"/>
      <c r="I14" s="454"/>
      <c r="J14" s="454"/>
      <c r="K14" s="454"/>
      <c r="L14" s="456"/>
      <c r="M1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4" s="35" t="str">
        <f>IF(Inventory_List_Table341115109111317181416192021[[#This Row],[Q]]&lt;0.1, " ", Inventory_List_Table341115109111317181416192021[[#This Row],[KG]]*2.20462)</f>
        <v xml:space="preserve"> </v>
      </c>
      <c r="O14" s="35" t="str">
        <f>IF(Inventory_List_Table341115109111317181416192021[[#This Row],[Q]]&lt;0.1, " ",Inventory_List_Table341115109111317181416192021[[#This Row],[H CM]]/2.54)</f>
        <v xml:space="preserve"> </v>
      </c>
      <c r="P14" s="35" t="str">
        <f>IF(Inventory_List_Table341115109111317181416192021[[#This Row],[Q]]&lt;0.1, " ",Inventory_List_Table341115109111317181416192021[[#This Row],[W CM]]/2.54)</f>
        <v xml:space="preserve"> </v>
      </c>
      <c r="Q14" s="35" t="str">
        <f>IF(Inventory_List_Table341115109111317181416192021[[#This Row],[Q]]&lt;0.1, " ",Inventory_List_Table341115109111317181416192021[[#This Row],[D CM ]]/2.54)</f>
        <v xml:space="preserve"> </v>
      </c>
      <c r="R14" s="30" t="str">
        <f>IF(Inventory_List_Table341115109111317181416192021[[#This Row],[Q]]&lt;0.1, " ",Inventory_List_Table341115109111317181416192021[[#This Row],[PRICE]]/$L$1)</f>
        <v xml:space="preserve"> </v>
      </c>
      <c r="S1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4" s="30" t="str">
        <f>IF(Inventory_List_Table341115109111317181416192021[[#This Row],[Q]]&lt;0.1, " ",Inventory_List_Table341115109111317181416192021[[#This Row],[AQ RND USD]]*1.4)</f>
        <v xml:space="preserve"> </v>
      </c>
      <c r="U1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4" s="30" t="str">
        <f>IF(Inventory_List_Table341115109111317181416192021[[#This Row],[Q]]&lt;0.1, " ",Inventory_List_Table341115109111317181416192021[[#This Row],[LND RND USD]]*12)</f>
        <v xml:space="preserve"> </v>
      </c>
      <c r="W14" s="30" t="str">
        <f>IF(Inventory_List_Table341115109111317181416192021[[#This Row],[Q]]&lt;0.1, " ",Inventory_List_Table341115109111317181416192021[[#This Row],[AQ USD]])</f>
        <v xml:space="preserve"> </v>
      </c>
      <c r="X1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4" s="30" t="str">
        <f>IF(Inventory_List_Table341115109111317181416192021[[#This Row],[Q]]&lt;0.1, " ",Inventory_List_Table341115109111317181416192021[[#This Row],[PRICE]]/Z14*10000)</f>
        <v xml:space="preserve"> </v>
      </c>
      <c r="AB14" s="457"/>
      <c r="AC14" s="1"/>
      <c r="AD14" s="1"/>
    </row>
    <row r="15" spans="1:30" ht="24" customHeight="1" x14ac:dyDescent="0.3">
      <c r="A15" s="451">
        <v>13</v>
      </c>
      <c r="B15" s="1"/>
      <c r="C15" s="452"/>
      <c r="D15" s="452"/>
      <c r="E15" s="452"/>
      <c r="F15" s="38" t="str">
        <f>IF(Inventory_List_Table341115109111317181416192021[[#This Row],[Q]]&lt;0.1, " ",#REF!&amp;$D$1&amp;#REF!&amp;Inventory_List_Table341115109111317181416192021[[#This Row],[NOTES]])</f>
        <v xml:space="preserve"> </v>
      </c>
      <c r="G15" s="454"/>
      <c r="H15" s="454"/>
      <c r="I15" s="454"/>
      <c r="J15" s="454"/>
      <c r="K15" s="454"/>
      <c r="L15" s="456"/>
      <c r="M1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5" s="35" t="str">
        <f>IF(Inventory_List_Table341115109111317181416192021[[#This Row],[Q]]&lt;0.1, " ", Inventory_List_Table341115109111317181416192021[[#This Row],[KG]]*2.20462)</f>
        <v xml:space="preserve"> </v>
      </c>
      <c r="O15" s="35" t="str">
        <f>IF(Inventory_List_Table341115109111317181416192021[[#This Row],[Q]]&lt;0.1, " ",Inventory_List_Table341115109111317181416192021[[#This Row],[H CM]]/2.54)</f>
        <v xml:space="preserve"> </v>
      </c>
      <c r="P15" s="35" t="str">
        <f>IF(Inventory_List_Table341115109111317181416192021[[#This Row],[Q]]&lt;0.1, " ",Inventory_List_Table341115109111317181416192021[[#This Row],[W CM]]/2.54)</f>
        <v xml:space="preserve"> </v>
      </c>
      <c r="Q15" s="35" t="str">
        <f>IF(Inventory_List_Table341115109111317181416192021[[#This Row],[Q]]&lt;0.1, " ",Inventory_List_Table341115109111317181416192021[[#This Row],[D CM ]]/2.54)</f>
        <v xml:space="preserve"> </v>
      </c>
      <c r="R15" s="30" t="str">
        <f>IF(Inventory_List_Table341115109111317181416192021[[#This Row],[Q]]&lt;0.1, " ",Inventory_List_Table341115109111317181416192021[[#This Row],[PRICE]]/$L$1)</f>
        <v xml:space="preserve"> </v>
      </c>
      <c r="S1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5" s="30" t="str">
        <f>IF(Inventory_List_Table341115109111317181416192021[[#This Row],[Q]]&lt;0.1, " ",Inventory_List_Table341115109111317181416192021[[#This Row],[AQ RND USD]]*1.4)</f>
        <v xml:space="preserve"> </v>
      </c>
      <c r="U1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5" s="30" t="str">
        <f>IF(Inventory_List_Table341115109111317181416192021[[#This Row],[Q]]&lt;0.1, " ",Inventory_List_Table341115109111317181416192021[[#This Row],[LND RND USD]]*12)</f>
        <v xml:space="preserve"> </v>
      </c>
      <c r="W15" s="30" t="str">
        <f>IF(Inventory_List_Table341115109111317181416192021[[#This Row],[Q]]&lt;0.1, " ",Inventory_List_Table341115109111317181416192021[[#This Row],[AQ USD]])</f>
        <v xml:space="preserve"> </v>
      </c>
      <c r="X1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5" s="30" t="str">
        <f>IF(Inventory_List_Table341115109111317181416192021[[#This Row],[Q]]&lt;0.1, " ",Inventory_List_Table341115109111317181416192021[[#This Row],[PRICE]]/Z15*10000)</f>
        <v xml:space="preserve"> </v>
      </c>
      <c r="AB15" s="457"/>
      <c r="AC15" s="1"/>
      <c r="AD15" s="1"/>
    </row>
    <row r="16" spans="1:30" ht="24" customHeight="1" x14ac:dyDescent="0.3">
      <c r="A16" s="451">
        <v>14</v>
      </c>
      <c r="B16" s="1"/>
      <c r="C16" s="452"/>
      <c r="D16" s="452"/>
      <c r="E16" s="452"/>
      <c r="F16" s="38" t="str">
        <f>IF(Inventory_List_Table341115109111317181416192021[[#This Row],[Q]]&lt;0.1, " ",#REF!&amp;$D$1&amp;#REF!&amp;Inventory_List_Table341115109111317181416192021[[#This Row],[NOTES]])</f>
        <v xml:space="preserve"> </v>
      </c>
      <c r="G16" s="454"/>
      <c r="H16" s="454"/>
      <c r="I16" s="454"/>
      <c r="J16" s="454"/>
      <c r="K16" s="454"/>
      <c r="L16" s="456"/>
      <c r="M1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6" s="35" t="str">
        <f>IF(Inventory_List_Table341115109111317181416192021[[#This Row],[Q]]&lt;0.1, " ", Inventory_List_Table341115109111317181416192021[[#This Row],[KG]]*2.20462)</f>
        <v xml:space="preserve"> </v>
      </c>
      <c r="O16" s="35" t="str">
        <f>IF(Inventory_List_Table341115109111317181416192021[[#This Row],[Q]]&lt;0.1, " ",Inventory_List_Table341115109111317181416192021[[#This Row],[H CM]]/2.54)</f>
        <v xml:space="preserve"> </v>
      </c>
      <c r="P16" s="35" t="str">
        <f>IF(Inventory_List_Table341115109111317181416192021[[#This Row],[Q]]&lt;0.1, " ",Inventory_List_Table341115109111317181416192021[[#This Row],[W CM]]/2.54)</f>
        <v xml:space="preserve"> </v>
      </c>
      <c r="Q16" s="35" t="str">
        <f>IF(Inventory_List_Table341115109111317181416192021[[#This Row],[Q]]&lt;0.1, " ",Inventory_List_Table341115109111317181416192021[[#This Row],[D CM ]]/2.54)</f>
        <v xml:space="preserve"> </v>
      </c>
      <c r="R16" s="30" t="str">
        <f>IF(Inventory_List_Table341115109111317181416192021[[#This Row],[Q]]&lt;0.1, " ",Inventory_List_Table341115109111317181416192021[[#This Row],[PRICE]]/$L$1)</f>
        <v xml:space="preserve"> </v>
      </c>
      <c r="S1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6" s="30" t="str">
        <f>IF(Inventory_List_Table341115109111317181416192021[[#This Row],[Q]]&lt;0.1, " ",Inventory_List_Table341115109111317181416192021[[#This Row],[AQ RND USD]]*1.4)</f>
        <v xml:space="preserve"> </v>
      </c>
      <c r="U1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6" s="30" t="str">
        <f>IF(Inventory_List_Table341115109111317181416192021[[#This Row],[Q]]&lt;0.1, " ",Inventory_List_Table341115109111317181416192021[[#This Row],[LND RND USD]]*12)</f>
        <v xml:space="preserve"> </v>
      </c>
      <c r="W16" s="30" t="str">
        <f>IF(Inventory_List_Table341115109111317181416192021[[#This Row],[Q]]&lt;0.1, " ",Inventory_List_Table341115109111317181416192021[[#This Row],[AQ USD]])</f>
        <v xml:space="preserve"> </v>
      </c>
      <c r="X1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6" s="30" t="str">
        <f>IF(Inventory_List_Table341115109111317181416192021[[#This Row],[Q]]&lt;0.1, " ",Inventory_List_Table341115109111317181416192021[[#This Row],[PRICE]]/Z16*10000)</f>
        <v xml:space="preserve"> </v>
      </c>
      <c r="AB16" s="457"/>
      <c r="AC16" s="1"/>
      <c r="AD16" s="1"/>
    </row>
    <row r="17" spans="1:30" ht="24" customHeight="1" x14ac:dyDescent="0.3">
      <c r="A17" s="451">
        <v>15</v>
      </c>
      <c r="B17" s="1"/>
      <c r="C17" s="452"/>
      <c r="D17" s="452"/>
      <c r="E17" s="452"/>
      <c r="F17" s="38" t="str">
        <f>IF(Inventory_List_Table341115109111317181416192021[[#This Row],[Q]]&lt;0.1, " ",#REF!&amp;$D$1&amp;#REF!&amp;Inventory_List_Table341115109111317181416192021[[#This Row],[NOTES]])</f>
        <v xml:space="preserve"> </v>
      </c>
      <c r="G17" s="454"/>
      <c r="H17" s="454"/>
      <c r="I17" s="454"/>
      <c r="J17" s="454"/>
      <c r="K17" s="454"/>
      <c r="L17" s="456"/>
      <c r="M1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7" s="35" t="str">
        <f>IF(Inventory_List_Table341115109111317181416192021[[#This Row],[Q]]&lt;0.1, " ", Inventory_List_Table341115109111317181416192021[[#This Row],[KG]]*2.20462)</f>
        <v xml:space="preserve"> </v>
      </c>
      <c r="O17" s="35" t="str">
        <f>IF(Inventory_List_Table341115109111317181416192021[[#This Row],[Q]]&lt;0.1, " ",Inventory_List_Table341115109111317181416192021[[#This Row],[H CM]]/2.54)</f>
        <v xml:space="preserve"> </v>
      </c>
      <c r="P17" s="35" t="str">
        <f>IF(Inventory_List_Table341115109111317181416192021[[#This Row],[Q]]&lt;0.1, " ",Inventory_List_Table341115109111317181416192021[[#This Row],[W CM]]/2.54)</f>
        <v xml:space="preserve"> </v>
      </c>
      <c r="Q17" s="35" t="str">
        <f>IF(Inventory_List_Table341115109111317181416192021[[#This Row],[Q]]&lt;0.1, " ",Inventory_List_Table341115109111317181416192021[[#This Row],[D CM ]]/2.54)</f>
        <v xml:space="preserve"> </v>
      </c>
      <c r="R17" s="30" t="str">
        <f>IF(Inventory_List_Table341115109111317181416192021[[#This Row],[Q]]&lt;0.1, " ",Inventory_List_Table341115109111317181416192021[[#This Row],[PRICE]]/$L$1)</f>
        <v xml:space="preserve"> </v>
      </c>
      <c r="S1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7" s="30" t="str">
        <f>IF(Inventory_List_Table341115109111317181416192021[[#This Row],[Q]]&lt;0.1, " ",Inventory_List_Table341115109111317181416192021[[#This Row],[AQ RND USD]]*1.4)</f>
        <v xml:space="preserve"> </v>
      </c>
      <c r="U1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7" s="30" t="str">
        <f>IF(Inventory_List_Table341115109111317181416192021[[#This Row],[Q]]&lt;0.1, " ",Inventory_List_Table341115109111317181416192021[[#This Row],[LND RND USD]]*12)</f>
        <v xml:space="preserve"> </v>
      </c>
      <c r="W17" s="30" t="str">
        <f>IF(Inventory_List_Table341115109111317181416192021[[#This Row],[Q]]&lt;0.1, " ",Inventory_List_Table341115109111317181416192021[[#This Row],[AQ USD]])</f>
        <v xml:space="preserve"> </v>
      </c>
      <c r="X1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7" s="30" t="str">
        <f>IF(Inventory_List_Table341115109111317181416192021[[#This Row],[Q]]&lt;0.1, " ",Inventory_List_Table341115109111317181416192021[[#This Row],[PRICE]]/Z17*10000)</f>
        <v xml:space="preserve"> </v>
      </c>
      <c r="AB17" s="457"/>
      <c r="AC17" s="1"/>
      <c r="AD17" s="1"/>
    </row>
    <row r="18" spans="1:30" ht="24" customHeight="1" x14ac:dyDescent="0.3">
      <c r="A18" s="451">
        <v>16</v>
      </c>
      <c r="B18" s="1"/>
      <c r="C18" s="452"/>
      <c r="D18" s="452"/>
      <c r="E18" s="452"/>
      <c r="F18" s="38" t="str">
        <f>IF(Inventory_List_Table341115109111317181416192021[[#This Row],[Q]]&lt;0.1, " ",#REF!&amp;$D$1&amp;#REF!&amp;Inventory_List_Table341115109111317181416192021[[#This Row],[NOTES]])</f>
        <v xml:space="preserve"> </v>
      </c>
      <c r="G18" s="454"/>
      <c r="H18" s="454"/>
      <c r="I18" s="454"/>
      <c r="J18" s="454"/>
      <c r="K18" s="454"/>
      <c r="L18" s="456"/>
      <c r="M1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8" s="35" t="str">
        <f>IF(Inventory_List_Table341115109111317181416192021[[#This Row],[Q]]&lt;0.1, " ", Inventory_List_Table341115109111317181416192021[[#This Row],[KG]]*2.20462)</f>
        <v xml:space="preserve"> </v>
      </c>
      <c r="O18" s="35" t="str">
        <f>IF(Inventory_List_Table341115109111317181416192021[[#This Row],[Q]]&lt;0.1, " ",Inventory_List_Table341115109111317181416192021[[#This Row],[H CM]]/2.54)</f>
        <v xml:space="preserve"> </v>
      </c>
      <c r="P18" s="35" t="str">
        <f>IF(Inventory_List_Table341115109111317181416192021[[#This Row],[Q]]&lt;0.1, " ",Inventory_List_Table341115109111317181416192021[[#This Row],[W CM]]/2.54)</f>
        <v xml:space="preserve"> </v>
      </c>
      <c r="Q18" s="35" t="str">
        <f>IF(Inventory_List_Table341115109111317181416192021[[#This Row],[Q]]&lt;0.1, " ",Inventory_List_Table341115109111317181416192021[[#This Row],[D CM ]]/2.54)</f>
        <v xml:space="preserve"> </v>
      </c>
      <c r="R18" s="30" t="str">
        <f>IF(Inventory_List_Table341115109111317181416192021[[#This Row],[Q]]&lt;0.1, " ",Inventory_List_Table341115109111317181416192021[[#This Row],[PRICE]]/$L$1)</f>
        <v xml:space="preserve"> </v>
      </c>
      <c r="S1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8" s="30" t="str">
        <f>IF(Inventory_List_Table341115109111317181416192021[[#This Row],[Q]]&lt;0.1, " ",Inventory_List_Table341115109111317181416192021[[#This Row],[AQ RND USD]]*1.4)</f>
        <v xml:space="preserve"> </v>
      </c>
      <c r="U1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8" s="30" t="str">
        <f>IF(Inventory_List_Table341115109111317181416192021[[#This Row],[Q]]&lt;0.1, " ",Inventory_List_Table341115109111317181416192021[[#This Row],[LND RND USD]]*12)</f>
        <v xml:space="preserve"> </v>
      </c>
      <c r="W18" s="30" t="str">
        <f>IF(Inventory_List_Table341115109111317181416192021[[#This Row],[Q]]&lt;0.1, " ",Inventory_List_Table341115109111317181416192021[[#This Row],[AQ USD]])</f>
        <v xml:space="preserve"> </v>
      </c>
      <c r="X1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8" s="30" t="str">
        <f>IF(Inventory_List_Table341115109111317181416192021[[#This Row],[Q]]&lt;0.1, " ",Inventory_List_Table341115109111317181416192021[[#This Row],[PRICE]]/Z18*10000)</f>
        <v xml:space="preserve"> </v>
      </c>
      <c r="AB18" s="457"/>
      <c r="AC18" s="1"/>
      <c r="AD18" s="1"/>
    </row>
    <row r="19" spans="1:30" ht="24" customHeight="1" x14ac:dyDescent="0.3">
      <c r="A19" s="451">
        <v>17</v>
      </c>
      <c r="B19" s="1"/>
      <c r="C19" s="452"/>
      <c r="D19" s="452"/>
      <c r="E19" s="452"/>
      <c r="F19" s="38" t="str">
        <f>IF(Inventory_List_Table341115109111317181416192021[[#This Row],[Q]]&lt;0.1, " ",#REF!&amp;$D$1&amp;#REF!&amp;Inventory_List_Table341115109111317181416192021[[#This Row],[NOTES]])</f>
        <v xml:space="preserve"> </v>
      </c>
      <c r="G19" s="454"/>
      <c r="H19" s="454"/>
      <c r="I19" s="454"/>
      <c r="J19" s="454"/>
      <c r="K19" s="454"/>
      <c r="L19" s="456"/>
      <c r="M1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9" s="35" t="str">
        <f>IF(Inventory_List_Table341115109111317181416192021[[#This Row],[Q]]&lt;0.1, " ", Inventory_List_Table341115109111317181416192021[[#This Row],[KG]]*2.20462)</f>
        <v xml:space="preserve"> </v>
      </c>
      <c r="O19" s="35" t="str">
        <f>IF(Inventory_List_Table341115109111317181416192021[[#This Row],[Q]]&lt;0.1, " ",Inventory_List_Table341115109111317181416192021[[#This Row],[H CM]]/2.54)</f>
        <v xml:space="preserve"> </v>
      </c>
      <c r="P19" s="35" t="str">
        <f>IF(Inventory_List_Table341115109111317181416192021[[#This Row],[Q]]&lt;0.1, " ",Inventory_List_Table341115109111317181416192021[[#This Row],[W CM]]/2.54)</f>
        <v xml:space="preserve"> </v>
      </c>
      <c r="Q19" s="35" t="str">
        <f>IF(Inventory_List_Table341115109111317181416192021[[#This Row],[Q]]&lt;0.1, " ",Inventory_List_Table341115109111317181416192021[[#This Row],[D CM ]]/2.54)</f>
        <v xml:space="preserve"> </v>
      </c>
      <c r="R19" s="30" t="str">
        <f>IF(Inventory_List_Table341115109111317181416192021[[#This Row],[Q]]&lt;0.1, " ",Inventory_List_Table341115109111317181416192021[[#This Row],[PRICE]]/$L$1)</f>
        <v xml:space="preserve"> </v>
      </c>
      <c r="S1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9" s="30" t="str">
        <f>IF(Inventory_List_Table341115109111317181416192021[[#This Row],[Q]]&lt;0.1, " ",Inventory_List_Table341115109111317181416192021[[#This Row],[AQ RND USD]]*1.4)</f>
        <v xml:space="preserve"> </v>
      </c>
      <c r="U1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9" s="30" t="str">
        <f>IF(Inventory_List_Table341115109111317181416192021[[#This Row],[Q]]&lt;0.1, " ",Inventory_List_Table341115109111317181416192021[[#This Row],[LND RND USD]]*12)</f>
        <v xml:space="preserve"> </v>
      </c>
      <c r="W19" s="30" t="str">
        <f>IF(Inventory_List_Table341115109111317181416192021[[#This Row],[Q]]&lt;0.1, " ",Inventory_List_Table341115109111317181416192021[[#This Row],[AQ USD]])</f>
        <v xml:space="preserve"> </v>
      </c>
      <c r="X1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9" s="30" t="str">
        <f>IF(Inventory_List_Table341115109111317181416192021[[#This Row],[Q]]&lt;0.1, " ",Inventory_List_Table341115109111317181416192021[[#This Row],[PRICE]]/Z19*10000)</f>
        <v xml:space="preserve"> </v>
      </c>
      <c r="AB19" s="457"/>
      <c r="AC19" s="1"/>
      <c r="AD19" s="1"/>
    </row>
    <row r="20" spans="1:30" ht="24" customHeight="1" x14ac:dyDescent="0.3">
      <c r="A20" s="451">
        <v>18</v>
      </c>
      <c r="B20" s="1"/>
      <c r="C20" s="452"/>
      <c r="D20" s="452"/>
      <c r="E20" s="452"/>
      <c r="F20" s="38" t="str">
        <f>IF(Inventory_List_Table341115109111317181416192021[[#This Row],[Q]]&lt;0.1, " ",#REF!&amp;$D$1&amp;#REF!&amp;Inventory_List_Table341115109111317181416192021[[#This Row],[NOTES]])</f>
        <v xml:space="preserve"> </v>
      </c>
      <c r="G20" s="454"/>
      <c r="H20" s="454"/>
      <c r="I20" s="454"/>
      <c r="J20" s="454"/>
      <c r="K20" s="454"/>
      <c r="L20" s="456"/>
      <c r="M2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0" s="35" t="str">
        <f>IF(Inventory_List_Table341115109111317181416192021[[#This Row],[Q]]&lt;0.1, " ", Inventory_List_Table341115109111317181416192021[[#This Row],[KG]]*2.20462)</f>
        <v xml:space="preserve"> </v>
      </c>
      <c r="O20" s="35" t="str">
        <f>IF(Inventory_List_Table341115109111317181416192021[[#This Row],[Q]]&lt;0.1, " ",Inventory_List_Table341115109111317181416192021[[#This Row],[H CM]]/2.54)</f>
        <v xml:space="preserve"> </v>
      </c>
      <c r="P20" s="35" t="str">
        <f>IF(Inventory_List_Table341115109111317181416192021[[#This Row],[Q]]&lt;0.1, " ",Inventory_List_Table341115109111317181416192021[[#This Row],[W CM]]/2.54)</f>
        <v xml:space="preserve"> </v>
      </c>
      <c r="Q20" s="35" t="str">
        <f>IF(Inventory_List_Table341115109111317181416192021[[#This Row],[Q]]&lt;0.1, " ",Inventory_List_Table341115109111317181416192021[[#This Row],[D CM ]]/2.54)</f>
        <v xml:space="preserve"> </v>
      </c>
      <c r="R20" s="30" t="str">
        <f>IF(Inventory_List_Table341115109111317181416192021[[#This Row],[Q]]&lt;0.1, " ",Inventory_List_Table341115109111317181416192021[[#This Row],[PRICE]]/$L$1)</f>
        <v xml:space="preserve"> </v>
      </c>
      <c r="S2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0" s="30" t="str">
        <f>IF(Inventory_List_Table341115109111317181416192021[[#This Row],[Q]]&lt;0.1, " ",Inventory_List_Table341115109111317181416192021[[#This Row],[AQ RND USD]]*1.4)</f>
        <v xml:space="preserve"> </v>
      </c>
      <c r="U2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0" s="30" t="str">
        <f>IF(Inventory_List_Table341115109111317181416192021[[#This Row],[Q]]&lt;0.1, " ",Inventory_List_Table341115109111317181416192021[[#This Row],[LND RND USD]]*12)</f>
        <v xml:space="preserve"> </v>
      </c>
      <c r="W20" s="30" t="str">
        <f>IF(Inventory_List_Table341115109111317181416192021[[#This Row],[Q]]&lt;0.1, " ",Inventory_List_Table341115109111317181416192021[[#This Row],[AQ USD]])</f>
        <v xml:space="preserve"> </v>
      </c>
      <c r="X2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0" s="30" t="str">
        <f>IF(Inventory_List_Table341115109111317181416192021[[#This Row],[Q]]&lt;0.1, " ",Inventory_List_Table341115109111317181416192021[[#This Row],[PRICE]]/Z20*10000)</f>
        <v xml:space="preserve"> </v>
      </c>
      <c r="AB20" s="457"/>
      <c r="AC20" s="1"/>
      <c r="AD20" s="1"/>
    </row>
    <row r="21" spans="1:30" ht="24" customHeight="1" x14ac:dyDescent="0.3">
      <c r="A21" s="451">
        <v>19</v>
      </c>
      <c r="B21" s="1"/>
      <c r="C21" s="452"/>
      <c r="D21" s="452"/>
      <c r="E21" s="452"/>
      <c r="F21" s="38" t="str">
        <f>IF(Inventory_List_Table341115109111317181416192021[[#This Row],[Q]]&lt;0.1, " ",#REF!&amp;$D$1&amp;#REF!&amp;Inventory_List_Table341115109111317181416192021[[#This Row],[NOTES]])</f>
        <v xml:space="preserve"> </v>
      </c>
      <c r="G21" s="454"/>
      <c r="H21" s="454"/>
      <c r="I21" s="454"/>
      <c r="J21" s="454"/>
      <c r="K21" s="454"/>
      <c r="L21" s="456"/>
      <c r="M2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1" s="35" t="str">
        <f>IF(Inventory_List_Table341115109111317181416192021[[#This Row],[Q]]&lt;0.1, " ", Inventory_List_Table341115109111317181416192021[[#This Row],[KG]]*2.20462)</f>
        <v xml:space="preserve"> </v>
      </c>
      <c r="O21" s="35" t="str">
        <f>IF(Inventory_List_Table341115109111317181416192021[[#This Row],[Q]]&lt;0.1, " ",Inventory_List_Table341115109111317181416192021[[#This Row],[H CM]]/2.54)</f>
        <v xml:space="preserve"> </v>
      </c>
      <c r="P21" s="35" t="str">
        <f>IF(Inventory_List_Table341115109111317181416192021[[#This Row],[Q]]&lt;0.1, " ",Inventory_List_Table341115109111317181416192021[[#This Row],[W CM]]/2.54)</f>
        <v xml:space="preserve"> </v>
      </c>
      <c r="Q21" s="35" t="str">
        <f>IF(Inventory_List_Table341115109111317181416192021[[#This Row],[Q]]&lt;0.1, " ",Inventory_List_Table341115109111317181416192021[[#This Row],[D CM ]]/2.54)</f>
        <v xml:space="preserve"> </v>
      </c>
      <c r="R21" s="30" t="str">
        <f>IF(Inventory_List_Table341115109111317181416192021[[#This Row],[Q]]&lt;0.1, " ",Inventory_List_Table341115109111317181416192021[[#This Row],[PRICE]]/$L$1)</f>
        <v xml:space="preserve"> </v>
      </c>
      <c r="S2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1" s="30" t="str">
        <f>IF(Inventory_List_Table341115109111317181416192021[[#This Row],[Q]]&lt;0.1, " ",Inventory_List_Table341115109111317181416192021[[#This Row],[AQ RND USD]]*1.4)</f>
        <v xml:space="preserve"> </v>
      </c>
      <c r="U2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1" s="30" t="str">
        <f>IF(Inventory_List_Table341115109111317181416192021[[#This Row],[Q]]&lt;0.1, " ",Inventory_List_Table341115109111317181416192021[[#This Row],[LND RND USD]]*12)</f>
        <v xml:space="preserve"> </v>
      </c>
      <c r="W21" s="30" t="str">
        <f>IF(Inventory_List_Table341115109111317181416192021[[#This Row],[Q]]&lt;0.1, " ",Inventory_List_Table341115109111317181416192021[[#This Row],[AQ USD]])</f>
        <v xml:space="preserve"> </v>
      </c>
      <c r="X2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1" s="30" t="str">
        <f>IF(Inventory_List_Table341115109111317181416192021[[#This Row],[Q]]&lt;0.1, " ",Inventory_List_Table341115109111317181416192021[[#This Row],[PRICE]]/Z21*10000)</f>
        <v xml:space="preserve"> </v>
      </c>
      <c r="AB21" s="457"/>
      <c r="AC21" s="1"/>
      <c r="AD21" s="1"/>
    </row>
    <row r="22" spans="1:30" ht="24" customHeight="1" x14ac:dyDescent="0.3">
      <c r="A22" s="451">
        <v>20</v>
      </c>
      <c r="B22" s="1"/>
      <c r="C22" s="452"/>
      <c r="D22" s="452"/>
      <c r="E22" s="452"/>
      <c r="F22" s="38" t="str">
        <f>IF(Inventory_List_Table341115109111317181416192021[[#This Row],[Q]]&lt;0.1, " ",#REF!&amp;$D$1&amp;#REF!&amp;Inventory_List_Table341115109111317181416192021[[#This Row],[NOTES]])</f>
        <v xml:space="preserve"> </v>
      </c>
      <c r="G22" s="454"/>
      <c r="H22" s="454"/>
      <c r="I22" s="454"/>
      <c r="J22" s="454"/>
      <c r="K22" s="454"/>
      <c r="L22" s="456"/>
      <c r="M2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2" s="35" t="str">
        <f>IF(Inventory_List_Table341115109111317181416192021[[#This Row],[Q]]&lt;0.1, " ", Inventory_List_Table341115109111317181416192021[[#This Row],[KG]]*2.20462)</f>
        <v xml:space="preserve"> </v>
      </c>
      <c r="O22" s="35" t="str">
        <f>IF(Inventory_List_Table341115109111317181416192021[[#This Row],[Q]]&lt;0.1, " ",Inventory_List_Table341115109111317181416192021[[#This Row],[H CM]]/2.54)</f>
        <v xml:space="preserve"> </v>
      </c>
      <c r="P22" s="35" t="str">
        <f>IF(Inventory_List_Table341115109111317181416192021[[#This Row],[Q]]&lt;0.1, " ",Inventory_List_Table341115109111317181416192021[[#This Row],[W CM]]/2.54)</f>
        <v xml:space="preserve"> </v>
      </c>
      <c r="Q22" s="35" t="str">
        <f>IF(Inventory_List_Table341115109111317181416192021[[#This Row],[Q]]&lt;0.1, " ",Inventory_List_Table341115109111317181416192021[[#This Row],[D CM ]]/2.54)</f>
        <v xml:space="preserve"> </v>
      </c>
      <c r="R22" s="30" t="str">
        <f>IF(Inventory_List_Table341115109111317181416192021[[#This Row],[Q]]&lt;0.1, " ",Inventory_List_Table341115109111317181416192021[[#This Row],[PRICE]]/$L$1)</f>
        <v xml:space="preserve"> </v>
      </c>
      <c r="S2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2" s="30" t="str">
        <f>IF(Inventory_List_Table341115109111317181416192021[[#This Row],[Q]]&lt;0.1, " ",Inventory_List_Table341115109111317181416192021[[#This Row],[AQ RND USD]]*1.4)</f>
        <v xml:space="preserve"> </v>
      </c>
      <c r="U2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2" s="30" t="str">
        <f>IF(Inventory_List_Table341115109111317181416192021[[#This Row],[Q]]&lt;0.1, " ",Inventory_List_Table341115109111317181416192021[[#This Row],[LND RND USD]]*12)</f>
        <v xml:space="preserve"> </v>
      </c>
      <c r="W22" s="30" t="str">
        <f>IF(Inventory_List_Table341115109111317181416192021[[#This Row],[Q]]&lt;0.1, " ",Inventory_List_Table341115109111317181416192021[[#This Row],[AQ USD]])</f>
        <v xml:space="preserve"> </v>
      </c>
      <c r="X2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2" s="30" t="str">
        <f>IF(Inventory_List_Table341115109111317181416192021[[#This Row],[Q]]&lt;0.1, " ",Inventory_List_Table341115109111317181416192021[[#This Row],[PRICE]]/Z22*10000)</f>
        <v xml:space="preserve"> </v>
      </c>
      <c r="AB22" s="457"/>
      <c r="AC22" s="1"/>
      <c r="AD22" s="1"/>
    </row>
    <row r="23" spans="1:30" ht="24" customHeight="1" x14ac:dyDescent="0.3">
      <c r="A23" s="451">
        <v>21</v>
      </c>
      <c r="B23" s="1"/>
      <c r="C23" s="452"/>
      <c r="D23" s="452"/>
      <c r="E23" s="452"/>
      <c r="F23" s="38" t="str">
        <f>IF(Inventory_List_Table341115109111317181416192021[[#This Row],[Q]]&lt;0.1, " ",#REF!&amp;$D$1&amp;#REF!&amp;Inventory_List_Table341115109111317181416192021[[#This Row],[NOTES]])</f>
        <v xml:space="preserve"> </v>
      </c>
      <c r="G23" s="454"/>
      <c r="H23" s="454"/>
      <c r="I23" s="454"/>
      <c r="J23" s="454"/>
      <c r="K23" s="454"/>
      <c r="L23" s="456"/>
      <c r="M2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3" s="35" t="str">
        <f>IF(Inventory_List_Table341115109111317181416192021[[#This Row],[Q]]&lt;0.1, " ", Inventory_List_Table341115109111317181416192021[[#This Row],[KG]]*2.20462)</f>
        <v xml:space="preserve"> </v>
      </c>
      <c r="O23" s="35" t="str">
        <f>IF(Inventory_List_Table341115109111317181416192021[[#This Row],[Q]]&lt;0.1, " ",Inventory_List_Table341115109111317181416192021[[#This Row],[H CM]]/2.54)</f>
        <v xml:space="preserve"> </v>
      </c>
      <c r="P23" s="35" t="str">
        <f>IF(Inventory_List_Table341115109111317181416192021[[#This Row],[Q]]&lt;0.1, " ",Inventory_List_Table341115109111317181416192021[[#This Row],[W CM]]/2.54)</f>
        <v xml:space="preserve"> </v>
      </c>
      <c r="Q23" s="35" t="str">
        <f>IF(Inventory_List_Table341115109111317181416192021[[#This Row],[Q]]&lt;0.1, " ",Inventory_List_Table341115109111317181416192021[[#This Row],[D CM ]]/2.54)</f>
        <v xml:space="preserve"> </v>
      </c>
      <c r="R23" s="30" t="str">
        <f>IF(Inventory_List_Table341115109111317181416192021[[#This Row],[Q]]&lt;0.1, " ",Inventory_List_Table341115109111317181416192021[[#This Row],[PRICE]]/$L$1)</f>
        <v xml:space="preserve"> </v>
      </c>
      <c r="S2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3" s="30" t="str">
        <f>IF(Inventory_List_Table341115109111317181416192021[[#This Row],[Q]]&lt;0.1, " ",Inventory_List_Table341115109111317181416192021[[#This Row],[AQ RND USD]]*1.4)</f>
        <v xml:space="preserve"> </v>
      </c>
      <c r="U2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3" s="30" t="str">
        <f>IF(Inventory_List_Table341115109111317181416192021[[#This Row],[Q]]&lt;0.1, " ",Inventory_List_Table341115109111317181416192021[[#This Row],[LND RND USD]]*12)</f>
        <v xml:space="preserve"> </v>
      </c>
      <c r="W23" s="30" t="str">
        <f>IF(Inventory_List_Table341115109111317181416192021[[#This Row],[Q]]&lt;0.1, " ",Inventory_List_Table341115109111317181416192021[[#This Row],[AQ USD]])</f>
        <v xml:space="preserve"> </v>
      </c>
      <c r="X2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3" s="30" t="str">
        <f>IF(Inventory_List_Table341115109111317181416192021[[#This Row],[Q]]&lt;0.1, " ",Inventory_List_Table341115109111317181416192021[[#This Row],[PRICE]]/Z23*10000)</f>
        <v xml:space="preserve"> </v>
      </c>
      <c r="AB23" s="457"/>
      <c r="AC23" s="1"/>
      <c r="AD23" s="1"/>
    </row>
    <row r="24" spans="1:30" ht="24" customHeight="1" x14ac:dyDescent="0.3">
      <c r="A24" s="451">
        <v>22</v>
      </c>
      <c r="B24" s="1"/>
      <c r="C24" s="452"/>
      <c r="D24" s="452"/>
      <c r="E24" s="452"/>
      <c r="F24" s="38" t="str">
        <f>IF(Inventory_List_Table341115109111317181416192021[[#This Row],[Q]]&lt;0.1, " ",#REF!&amp;$D$1&amp;#REF!&amp;Inventory_List_Table341115109111317181416192021[[#This Row],[NOTES]])</f>
        <v xml:space="preserve"> </v>
      </c>
      <c r="G24" s="454"/>
      <c r="H24" s="454"/>
      <c r="I24" s="454"/>
      <c r="J24" s="454"/>
      <c r="K24" s="454"/>
      <c r="L24" s="456"/>
      <c r="M2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4" s="35" t="str">
        <f>IF(Inventory_List_Table341115109111317181416192021[[#This Row],[Q]]&lt;0.1, " ", Inventory_List_Table341115109111317181416192021[[#This Row],[KG]]*2.20462)</f>
        <v xml:space="preserve"> </v>
      </c>
      <c r="O24" s="35" t="str">
        <f>IF(Inventory_List_Table341115109111317181416192021[[#This Row],[Q]]&lt;0.1, " ",Inventory_List_Table341115109111317181416192021[[#This Row],[H CM]]/2.54)</f>
        <v xml:space="preserve"> </v>
      </c>
      <c r="P24" s="35" t="str">
        <f>IF(Inventory_List_Table341115109111317181416192021[[#This Row],[Q]]&lt;0.1, " ",Inventory_List_Table341115109111317181416192021[[#This Row],[W CM]]/2.54)</f>
        <v xml:space="preserve"> </v>
      </c>
      <c r="Q24" s="35" t="str">
        <f>IF(Inventory_List_Table341115109111317181416192021[[#This Row],[Q]]&lt;0.1, " ",Inventory_List_Table341115109111317181416192021[[#This Row],[D CM ]]/2.54)</f>
        <v xml:space="preserve"> </v>
      </c>
      <c r="R24" s="30" t="str">
        <f>IF(Inventory_List_Table341115109111317181416192021[[#This Row],[Q]]&lt;0.1, " ",Inventory_List_Table341115109111317181416192021[[#This Row],[PRICE]]/$L$1)</f>
        <v xml:space="preserve"> </v>
      </c>
      <c r="S2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4" s="30" t="str">
        <f>IF(Inventory_List_Table341115109111317181416192021[[#This Row],[Q]]&lt;0.1, " ",Inventory_List_Table341115109111317181416192021[[#This Row],[AQ RND USD]]*1.4)</f>
        <v xml:space="preserve"> </v>
      </c>
      <c r="U2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4" s="30" t="str">
        <f>IF(Inventory_List_Table341115109111317181416192021[[#This Row],[Q]]&lt;0.1, " ",Inventory_List_Table341115109111317181416192021[[#This Row],[LND RND USD]]*12)</f>
        <v xml:space="preserve"> </v>
      </c>
      <c r="W24" s="30" t="str">
        <f>IF(Inventory_List_Table341115109111317181416192021[[#This Row],[Q]]&lt;0.1, " ",Inventory_List_Table341115109111317181416192021[[#This Row],[AQ USD]])</f>
        <v xml:space="preserve"> </v>
      </c>
      <c r="X2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4" s="30" t="str">
        <f>IF(Inventory_List_Table341115109111317181416192021[[#This Row],[Q]]&lt;0.1, " ",Inventory_List_Table341115109111317181416192021[[#This Row],[PRICE]]/Z24*10000)</f>
        <v xml:space="preserve"> </v>
      </c>
      <c r="AB24" s="457"/>
      <c r="AC24" s="1"/>
      <c r="AD24" s="1"/>
    </row>
    <row r="25" spans="1:30" ht="24" customHeight="1" x14ac:dyDescent="0.3">
      <c r="A25" s="451">
        <v>23</v>
      </c>
      <c r="B25" s="1"/>
      <c r="C25" s="452"/>
      <c r="D25" s="452"/>
      <c r="E25" s="452"/>
      <c r="F25" s="38" t="str">
        <f>IF(Inventory_List_Table341115109111317181416192021[[#This Row],[Q]]&lt;0.1, " ",#REF!&amp;$D$1&amp;#REF!&amp;Inventory_List_Table341115109111317181416192021[[#This Row],[NOTES]])</f>
        <v xml:space="preserve"> </v>
      </c>
      <c r="G25" s="454"/>
      <c r="H25" s="454"/>
      <c r="I25" s="454"/>
      <c r="J25" s="454"/>
      <c r="K25" s="454"/>
      <c r="L25" s="456"/>
      <c r="M2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5" s="35" t="str">
        <f>IF(Inventory_List_Table341115109111317181416192021[[#This Row],[Q]]&lt;0.1, " ", Inventory_List_Table341115109111317181416192021[[#This Row],[KG]]*2.20462)</f>
        <v xml:space="preserve"> </v>
      </c>
      <c r="O25" s="35" t="str">
        <f>IF(Inventory_List_Table341115109111317181416192021[[#This Row],[Q]]&lt;0.1, " ",Inventory_List_Table341115109111317181416192021[[#This Row],[H CM]]/2.54)</f>
        <v xml:space="preserve"> </v>
      </c>
      <c r="P25" s="35" t="str">
        <f>IF(Inventory_List_Table341115109111317181416192021[[#This Row],[Q]]&lt;0.1, " ",Inventory_List_Table341115109111317181416192021[[#This Row],[W CM]]/2.54)</f>
        <v xml:space="preserve"> </v>
      </c>
      <c r="Q25" s="35" t="str">
        <f>IF(Inventory_List_Table341115109111317181416192021[[#This Row],[Q]]&lt;0.1, " ",Inventory_List_Table341115109111317181416192021[[#This Row],[D CM ]]/2.54)</f>
        <v xml:space="preserve"> </v>
      </c>
      <c r="R25" s="30" t="str">
        <f>IF(Inventory_List_Table341115109111317181416192021[[#This Row],[Q]]&lt;0.1, " ",Inventory_List_Table341115109111317181416192021[[#This Row],[PRICE]]/$L$1)</f>
        <v xml:space="preserve"> </v>
      </c>
      <c r="S2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5" s="30" t="str">
        <f>IF(Inventory_List_Table341115109111317181416192021[[#This Row],[Q]]&lt;0.1, " ",Inventory_List_Table341115109111317181416192021[[#This Row],[AQ RND USD]]*1.4)</f>
        <v xml:space="preserve"> </v>
      </c>
      <c r="U2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5" s="30" t="str">
        <f>IF(Inventory_List_Table341115109111317181416192021[[#This Row],[Q]]&lt;0.1, " ",Inventory_List_Table341115109111317181416192021[[#This Row],[LND RND USD]]*12)</f>
        <v xml:space="preserve"> </v>
      </c>
      <c r="W25" s="30" t="str">
        <f>IF(Inventory_List_Table341115109111317181416192021[[#This Row],[Q]]&lt;0.1, " ",Inventory_List_Table341115109111317181416192021[[#This Row],[AQ USD]])</f>
        <v xml:space="preserve"> </v>
      </c>
      <c r="X2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5" s="30" t="str">
        <f>IF(Inventory_List_Table341115109111317181416192021[[#This Row],[Q]]&lt;0.1, " ",Inventory_List_Table341115109111317181416192021[[#This Row],[PRICE]]/Z25*10000)</f>
        <v xml:space="preserve"> </v>
      </c>
      <c r="AB25" s="457"/>
      <c r="AC25" s="1"/>
      <c r="AD25" s="1"/>
    </row>
    <row r="26" spans="1:30" ht="24" customHeight="1" x14ac:dyDescent="0.3">
      <c r="A26" s="451">
        <v>24</v>
      </c>
      <c r="B26" s="1"/>
      <c r="C26" s="452"/>
      <c r="D26" s="452"/>
      <c r="E26" s="452"/>
      <c r="F26" s="38" t="str">
        <f>IF(Inventory_List_Table341115109111317181416192021[[#This Row],[Q]]&lt;0.1, " ",#REF!&amp;$D$1&amp;#REF!&amp;Inventory_List_Table341115109111317181416192021[[#This Row],[NOTES]])</f>
        <v xml:space="preserve"> </v>
      </c>
      <c r="G26" s="454"/>
      <c r="H26" s="454"/>
      <c r="I26" s="454"/>
      <c r="J26" s="454"/>
      <c r="K26" s="454"/>
      <c r="L26" s="456"/>
      <c r="M2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6" s="35" t="str">
        <f>IF(Inventory_List_Table341115109111317181416192021[[#This Row],[Q]]&lt;0.1, " ", Inventory_List_Table341115109111317181416192021[[#This Row],[KG]]*2.20462)</f>
        <v xml:space="preserve"> </v>
      </c>
      <c r="O26" s="35" t="str">
        <f>IF(Inventory_List_Table341115109111317181416192021[[#This Row],[Q]]&lt;0.1, " ",Inventory_List_Table341115109111317181416192021[[#This Row],[H CM]]/2.54)</f>
        <v xml:space="preserve"> </v>
      </c>
      <c r="P26" s="35" t="str">
        <f>IF(Inventory_List_Table341115109111317181416192021[[#This Row],[Q]]&lt;0.1, " ",Inventory_List_Table341115109111317181416192021[[#This Row],[W CM]]/2.54)</f>
        <v xml:space="preserve"> </v>
      </c>
      <c r="Q26" s="35" t="str">
        <f>IF(Inventory_List_Table341115109111317181416192021[[#This Row],[Q]]&lt;0.1, " ",Inventory_List_Table341115109111317181416192021[[#This Row],[D CM ]]/2.54)</f>
        <v xml:space="preserve"> </v>
      </c>
      <c r="R26" s="30" t="str">
        <f>IF(Inventory_List_Table341115109111317181416192021[[#This Row],[Q]]&lt;0.1, " ",Inventory_List_Table341115109111317181416192021[[#This Row],[PRICE]]/$L$1)</f>
        <v xml:space="preserve"> </v>
      </c>
      <c r="S2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6" s="30" t="str">
        <f>IF(Inventory_List_Table341115109111317181416192021[[#This Row],[Q]]&lt;0.1, " ",Inventory_List_Table341115109111317181416192021[[#This Row],[AQ RND USD]]*1.4)</f>
        <v xml:space="preserve"> </v>
      </c>
      <c r="U2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6" s="30" t="str">
        <f>IF(Inventory_List_Table341115109111317181416192021[[#This Row],[Q]]&lt;0.1, " ",Inventory_List_Table341115109111317181416192021[[#This Row],[LND RND USD]]*12)</f>
        <v xml:space="preserve"> </v>
      </c>
      <c r="W26" s="30" t="str">
        <f>IF(Inventory_List_Table341115109111317181416192021[[#This Row],[Q]]&lt;0.1, " ",Inventory_List_Table341115109111317181416192021[[#This Row],[AQ USD]])</f>
        <v xml:space="preserve"> </v>
      </c>
      <c r="X2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6" s="30" t="str">
        <f>IF(Inventory_List_Table341115109111317181416192021[[#This Row],[Q]]&lt;0.1, " ",Inventory_List_Table341115109111317181416192021[[#This Row],[PRICE]]/Z26*10000)</f>
        <v xml:space="preserve"> </v>
      </c>
      <c r="AB26" s="457"/>
      <c r="AC26" s="1"/>
      <c r="AD26" s="1"/>
    </row>
    <row r="27" spans="1:30" ht="24" customHeight="1" x14ac:dyDescent="0.3">
      <c r="A27" s="451">
        <v>25</v>
      </c>
      <c r="B27" s="1"/>
      <c r="C27" s="452"/>
      <c r="D27" s="452"/>
      <c r="E27" s="452"/>
      <c r="F27" s="38" t="str">
        <f>IF(Inventory_List_Table341115109111317181416192021[[#This Row],[Q]]&lt;0.1, " ",#REF!&amp;$D$1&amp;#REF!&amp;Inventory_List_Table341115109111317181416192021[[#This Row],[NOTES]])</f>
        <v xml:space="preserve"> </v>
      </c>
      <c r="G27" s="454"/>
      <c r="H27" s="454"/>
      <c r="I27" s="454"/>
      <c r="J27" s="454"/>
      <c r="K27" s="454"/>
      <c r="L27" s="456"/>
      <c r="M2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7" s="35" t="str">
        <f>IF(Inventory_List_Table341115109111317181416192021[[#This Row],[Q]]&lt;0.1, " ", Inventory_List_Table341115109111317181416192021[[#This Row],[KG]]*2.20462)</f>
        <v xml:space="preserve"> </v>
      </c>
      <c r="O27" s="35" t="str">
        <f>IF(Inventory_List_Table341115109111317181416192021[[#This Row],[Q]]&lt;0.1, " ",Inventory_List_Table341115109111317181416192021[[#This Row],[H CM]]/2.54)</f>
        <v xml:space="preserve"> </v>
      </c>
      <c r="P27" s="35" t="str">
        <f>IF(Inventory_List_Table341115109111317181416192021[[#This Row],[Q]]&lt;0.1, " ",Inventory_List_Table341115109111317181416192021[[#This Row],[W CM]]/2.54)</f>
        <v xml:space="preserve"> </v>
      </c>
      <c r="Q27" s="35" t="str">
        <f>IF(Inventory_List_Table341115109111317181416192021[[#This Row],[Q]]&lt;0.1, " ",Inventory_List_Table341115109111317181416192021[[#This Row],[D CM ]]/2.54)</f>
        <v xml:space="preserve"> </v>
      </c>
      <c r="R27" s="30" t="str">
        <f>IF(Inventory_List_Table341115109111317181416192021[[#This Row],[Q]]&lt;0.1, " ",Inventory_List_Table341115109111317181416192021[[#This Row],[PRICE]]/$L$1)</f>
        <v xml:space="preserve"> </v>
      </c>
      <c r="S2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7" s="30" t="str">
        <f>IF(Inventory_List_Table341115109111317181416192021[[#This Row],[Q]]&lt;0.1, " ",Inventory_List_Table341115109111317181416192021[[#This Row],[AQ RND USD]]*1.4)</f>
        <v xml:space="preserve"> </v>
      </c>
      <c r="U2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7" s="30" t="str">
        <f>IF(Inventory_List_Table341115109111317181416192021[[#This Row],[Q]]&lt;0.1, " ",Inventory_List_Table341115109111317181416192021[[#This Row],[LND RND USD]]*12)</f>
        <v xml:space="preserve"> </v>
      </c>
      <c r="W27" s="30" t="str">
        <f>IF(Inventory_List_Table341115109111317181416192021[[#This Row],[Q]]&lt;0.1, " ",Inventory_List_Table341115109111317181416192021[[#This Row],[AQ USD]])</f>
        <v xml:space="preserve"> </v>
      </c>
      <c r="X2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7" s="30" t="str">
        <f>IF(Inventory_List_Table341115109111317181416192021[[#This Row],[Q]]&lt;0.1, " ",Inventory_List_Table341115109111317181416192021[[#This Row],[PRICE]]/Z27*10000)</f>
        <v xml:space="preserve"> </v>
      </c>
      <c r="AB27" s="457"/>
      <c r="AC27" s="1"/>
      <c r="AD27" s="1"/>
    </row>
    <row r="28" spans="1:30" ht="24" customHeight="1" x14ac:dyDescent="0.3">
      <c r="A28" s="451">
        <v>26</v>
      </c>
      <c r="B28" s="1"/>
      <c r="C28" s="452"/>
      <c r="D28" s="452"/>
      <c r="E28" s="452"/>
      <c r="F28" s="38" t="str">
        <f>IF(Inventory_List_Table341115109111317181416192021[[#This Row],[Q]]&lt;0.1, " ",#REF!&amp;$D$1&amp;#REF!&amp;Inventory_List_Table341115109111317181416192021[[#This Row],[NOTES]])</f>
        <v xml:space="preserve"> </v>
      </c>
      <c r="G28" s="454"/>
      <c r="H28" s="454"/>
      <c r="I28" s="454"/>
      <c r="J28" s="454"/>
      <c r="K28" s="454"/>
      <c r="L28" s="456"/>
      <c r="M2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8" s="35" t="str">
        <f>IF(Inventory_List_Table341115109111317181416192021[[#This Row],[Q]]&lt;0.1, " ", Inventory_List_Table341115109111317181416192021[[#This Row],[KG]]*2.20462)</f>
        <v xml:space="preserve"> </v>
      </c>
      <c r="O28" s="35" t="str">
        <f>IF(Inventory_List_Table341115109111317181416192021[[#This Row],[Q]]&lt;0.1, " ",Inventory_List_Table341115109111317181416192021[[#This Row],[H CM]]/2.54)</f>
        <v xml:space="preserve"> </v>
      </c>
      <c r="P28" s="35" t="str">
        <f>IF(Inventory_List_Table341115109111317181416192021[[#This Row],[Q]]&lt;0.1, " ",Inventory_List_Table341115109111317181416192021[[#This Row],[W CM]]/2.54)</f>
        <v xml:space="preserve"> </v>
      </c>
      <c r="Q28" s="35" t="str">
        <f>IF(Inventory_List_Table341115109111317181416192021[[#This Row],[Q]]&lt;0.1, " ",Inventory_List_Table341115109111317181416192021[[#This Row],[D CM ]]/2.54)</f>
        <v xml:space="preserve"> </v>
      </c>
      <c r="R28" s="30" t="str">
        <f>IF(Inventory_List_Table341115109111317181416192021[[#This Row],[Q]]&lt;0.1, " ",Inventory_List_Table341115109111317181416192021[[#This Row],[PRICE]]/$L$1)</f>
        <v xml:space="preserve"> </v>
      </c>
      <c r="S2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8" s="30" t="str">
        <f>IF(Inventory_List_Table341115109111317181416192021[[#This Row],[Q]]&lt;0.1, " ",Inventory_List_Table341115109111317181416192021[[#This Row],[AQ RND USD]]*1.4)</f>
        <v xml:space="preserve"> </v>
      </c>
      <c r="U2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8" s="30" t="str">
        <f>IF(Inventory_List_Table341115109111317181416192021[[#This Row],[Q]]&lt;0.1, " ",Inventory_List_Table341115109111317181416192021[[#This Row],[LND RND USD]]*12)</f>
        <v xml:space="preserve"> </v>
      </c>
      <c r="W28" s="30" t="str">
        <f>IF(Inventory_List_Table341115109111317181416192021[[#This Row],[Q]]&lt;0.1, " ",Inventory_List_Table341115109111317181416192021[[#This Row],[AQ USD]])</f>
        <v xml:space="preserve"> </v>
      </c>
      <c r="X2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8" s="30" t="str">
        <f>IF(Inventory_List_Table341115109111317181416192021[[#This Row],[Q]]&lt;0.1, " ",Inventory_List_Table341115109111317181416192021[[#This Row],[PRICE]]/Z28*10000)</f>
        <v xml:space="preserve"> </v>
      </c>
      <c r="AB28" s="457"/>
      <c r="AC28" s="1"/>
      <c r="AD28" s="1"/>
    </row>
    <row r="29" spans="1:30" ht="24" customHeight="1" x14ac:dyDescent="0.3">
      <c r="A29" s="451">
        <v>27</v>
      </c>
      <c r="B29" s="1"/>
      <c r="C29" s="452"/>
      <c r="D29" s="452"/>
      <c r="E29" s="452"/>
      <c r="F29" s="38" t="str">
        <f>IF(Inventory_List_Table341115109111317181416192021[[#This Row],[Q]]&lt;0.1, " ",#REF!&amp;$D$1&amp;#REF!&amp;Inventory_List_Table341115109111317181416192021[[#This Row],[NOTES]])</f>
        <v xml:space="preserve"> </v>
      </c>
      <c r="G29" s="454"/>
      <c r="H29" s="454"/>
      <c r="I29" s="454"/>
      <c r="J29" s="454"/>
      <c r="K29" s="454"/>
      <c r="L29" s="456"/>
      <c r="M2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29" s="35" t="str">
        <f>IF(Inventory_List_Table341115109111317181416192021[[#This Row],[Q]]&lt;0.1, " ", Inventory_List_Table341115109111317181416192021[[#This Row],[KG]]*2.20462)</f>
        <v xml:space="preserve"> </v>
      </c>
      <c r="O29" s="35" t="str">
        <f>IF(Inventory_List_Table341115109111317181416192021[[#This Row],[Q]]&lt;0.1, " ",Inventory_List_Table341115109111317181416192021[[#This Row],[H CM]]/2.54)</f>
        <v xml:space="preserve"> </v>
      </c>
      <c r="P29" s="35" t="str">
        <f>IF(Inventory_List_Table341115109111317181416192021[[#This Row],[Q]]&lt;0.1, " ",Inventory_List_Table341115109111317181416192021[[#This Row],[W CM]]/2.54)</f>
        <v xml:space="preserve"> </v>
      </c>
      <c r="Q29" s="35" t="str">
        <f>IF(Inventory_List_Table341115109111317181416192021[[#This Row],[Q]]&lt;0.1, " ",Inventory_List_Table341115109111317181416192021[[#This Row],[D CM ]]/2.54)</f>
        <v xml:space="preserve"> </v>
      </c>
      <c r="R29" s="30" t="str">
        <f>IF(Inventory_List_Table341115109111317181416192021[[#This Row],[Q]]&lt;0.1, " ",Inventory_List_Table341115109111317181416192021[[#This Row],[PRICE]]/$L$1)</f>
        <v xml:space="preserve"> </v>
      </c>
      <c r="S2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29" s="30" t="str">
        <f>IF(Inventory_List_Table341115109111317181416192021[[#This Row],[Q]]&lt;0.1, " ",Inventory_List_Table341115109111317181416192021[[#This Row],[AQ RND USD]]*1.4)</f>
        <v xml:space="preserve"> </v>
      </c>
      <c r="U2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29" s="30" t="str">
        <f>IF(Inventory_List_Table341115109111317181416192021[[#This Row],[Q]]&lt;0.1, " ",Inventory_List_Table341115109111317181416192021[[#This Row],[LND RND USD]]*12)</f>
        <v xml:space="preserve"> </v>
      </c>
      <c r="W29" s="30" t="str">
        <f>IF(Inventory_List_Table341115109111317181416192021[[#This Row],[Q]]&lt;0.1, " ",Inventory_List_Table341115109111317181416192021[[#This Row],[AQ USD]])</f>
        <v xml:space="preserve"> </v>
      </c>
      <c r="X2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2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2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29" s="30" t="str">
        <f>IF(Inventory_List_Table341115109111317181416192021[[#This Row],[Q]]&lt;0.1, " ",Inventory_List_Table341115109111317181416192021[[#This Row],[PRICE]]/Z29*10000)</f>
        <v xml:space="preserve"> </v>
      </c>
      <c r="AB29" s="457"/>
      <c r="AC29" s="1"/>
      <c r="AD29" s="1"/>
    </row>
    <row r="30" spans="1:30" ht="24" customHeight="1" x14ac:dyDescent="0.3">
      <c r="A30" s="451">
        <v>28</v>
      </c>
      <c r="B30" s="1"/>
      <c r="C30" s="452"/>
      <c r="D30" s="452"/>
      <c r="E30" s="452"/>
      <c r="F30" s="38" t="str">
        <f>IF(Inventory_List_Table341115109111317181416192021[[#This Row],[Q]]&lt;0.1, " ",#REF!&amp;$D$1&amp;#REF!&amp;Inventory_List_Table341115109111317181416192021[[#This Row],[NOTES]])</f>
        <v xml:space="preserve"> </v>
      </c>
      <c r="G30" s="454"/>
      <c r="H30" s="454"/>
      <c r="I30" s="454"/>
      <c r="J30" s="454"/>
      <c r="K30" s="454"/>
      <c r="L30" s="456"/>
      <c r="M3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0" s="35" t="str">
        <f>IF(Inventory_List_Table341115109111317181416192021[[#This Row],[Q]]&lt;0.1, " ", Inventory_List_Table341115109111317181416192021[[#This Row],[KG]]*2.20462)</f>
        <v xml:space="preserve"> </v>
      </c>
      <c r="O30" s="35" t="str">
        <f>IF(Inventory_List_Table341115109111317181416192021[[#This Row],[Q]]&lt;0.1, " ",Inventory_List_Table341115109111317181416192021[[#This Row],[H CM]]/2.54)</f>
        <v xml:space="preserve"> </v>
      </c>
      <c r="P30" s="35" t="str">
        <f>IF(Inventory_List_Table341115109111317181416192021[[#This Row],[Q]]&lt;0.1, " ",Inventory_List_Table341115109111317181416192021[[#This Row],[W CM]]/2.54)</f>
        <v xml:space="preserve"> </v>
      </c>
      <c r="Q30" s="35" t="str">
        <f>IF(Inventory_List_Table341115109111317181416192021[[#This Row],[Q]]&lt;0.1, " ",Inventory_List_Table341115109111317181416192021[[#This Row],[D CM ]]/2.54)</f>
        <v xml:space="preserve"> </v>
      </c>
      <c r="R30" s="30" t="str">
        <f>IF(Inventory_List_Table341115109111317181416192021[[#This Row],[Q]]&lt;0.1, " ",Inventory_List_Table341115109111317181416192021[[#This Row],[PRICE]]/$L$1)</f>
        <v xml:space="preserve"> </v>
      </c>
      <c r="S3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0" s="30" t="str">
        <f>IF(Inventory_List_Table341115109111317181416192021[[#This Row],[Q]]&lt;0.1, " ",Inventory_List_Table341115109111317181416192021[[#This Row],[AQ RND USD]]*1.4)</f>
        <v xml:space="preserve"> </v>
      </c>
      <c r="U3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0" s="30" t="str">
        <f>IF(Inventory_List_Table341115109111317181416192021[[#This Row],[Q]]&lt;0.1, " ",Inventory_List_Table341115109111317181416192021[[#This Row],[LND RND USD]]*12)</f>
        <v xml:space="preserve"> </v>
      </c>
      <c r="W30" s="30" t="str">
        <f>IF(Inventory_List_Table341115109111317181416192021[[#This Row],[Q]]&lt;0.1, " ",Inventory_List_Table341115109111317181416192021[[#This Row],[AQ USD]])</f>
        <v xml:space="preserve"> </v>
      </c>
      <c r="X3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0" s="30" t="str">
        <f>IF(Inventory_List_Table341115109111317181416192021[[#This Row],[Q]]&lt;0.1, " ",Inventory_List_Table341115109111317181416192021[[#This Row],[PRICE]]/Z30*10000)</f>
        <v xml:space="preserve"> </v>
      </c>
      <c r="AB30" s="457"/>
      <c r="AC30" s="1"/>
      <c r="AD30" s="1"/>
    </row>
    <row r="31" spans="1:30" ht="24" customHeight="1" x14ac:dyDescent="0.3">
      <c r="A31" s="451">
        <v>29</v>
      </c>
      <c r="B31" s="1"/>
      <c r="C31" s="452"/>
      <c r="D31" s="452"/>
      <c r="E31" s="452"/>
      <c r="F31" s="38" t="str">
        <f>IF(Inventory_List_Table341115109111317181416192021[[#This Row],[Q]]&lt;0.1, " ",#REF!&amp;$D$1&amp;#REF!&amp;Inventory_List_Table341115109111317181416192021[[#This Row],[NOTES]])</f>
        <v xml:space="preserve"> </v>
      </c>
      <c r="G31" s="454"/>
      <c r="H31" s="454"/>
      <c r="I31" s="454"/>
      <c r="J31" s="454"/>
      <c r="K31" s="454"/>
      <c r="L31" s="456"/>
      <c r="M3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1" s="35" t="str">
        <f>IF(Inventory_List_Table341115109111317181416192021[[#This Row],[Q]]&lt;0.1, " ", Inventory_List_Table341115109111317181416192021[[#This Row],[KG]]*2.20462)</f>
        <v xml:space="preserve"> </v>
      </c>
      <c r="O31" s="35" t="str">
        <f>IF(Inventory_List_Table341115109111317181416192021[[#This Row],[Q]]&lt;0.1, " ",Inventory_List_Table341115109111317181416192021[[#This Row],[H CM]]/2.54)</f>
        <v xml:space="preserve"> </v>
      </c>
      <c r="P31" s="35" t="str">
        <f>IF(Inventory_List_Table341115109111317181416192021[[#This Row],[Q]]&lt;0.1, " ",Inventory_List_Table341115109111317181416192021[[#This Row],[W CM]]/2.54)</f>
        <v xml:space="preserve"> </v>
      </c>
      <c r="Q31" s="35" t="str">
        <f>IF(Inventory_List_Table341115109111317181416192021[[#This Row],[Q]]&lt;0.1, " ",Inventory_List_Table341115109111317181416192021[[#This Row],[D CM ]]/2.54)</f>
        <v xml:space="preserve"> </v>
      </c>
      <c r="R31" s="30" t="str">
        <f>IF(Inventory_List_Table341115109111317181416192021[[#This Row],[Q]]&lt;0.1, " ",Inventory_List_Table341115109111317181416192021[[#This Row],[PRICE]]/$L$1)</f>
        <v xml:space="preserve"> </v>
      </c>
      <c r="S3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1" s="30" t="str">
        <f>IF(Inventory_List_Table341115109111317181416192021[[#This Row],[Q]]&lt;0.1, " ",Inventory_List_Table341115109111317181416192021[[#This Row],[AQ RND USD]]*1.4)</f>
        <v xml:space="preserve"> </v>
      </c>
      <c r="U3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1" s="30" t="str">
        <f>IF(Inventory_List_Table341115109111317181416192021[[#This Row],[Q]]&lt;0.1, " ",Inventory_List_Table341115109111317181416192021[[#This Row],[LND RND USD]]*12)</f>
        <v xml:space="preserve"> </v>
      </c>
      <c r="W31" s="30" t="str">
        <f>IF(Inventory_List_Table341115109111317181416192021[[#This Row],[Q]]&lt;0.1, " ",Inventory_List_Table341115109111317181416192021[[#This Row],[AQ USD]])</f>
        <v xml:space="preserve"> </v>
      </c>
      <c r="X3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1" s="30" t="str">
        <f>IF(Inventory_List_Table341115109111317181416192021[[#This Row],[Q]]&lt;0.1, " ",Inventory_List_Table341115109111317181416192021[[#This Row],[PRICE]]/Z31*10000)</f>
        <v xml:space="preserve"> </v>
      </c>
      <c r="AB31" s="457"/>
      <c r="AC31" s="1"/>
      <c r="AD31" s="1"/>
    </row>
    <row r="32" spans="1:30" ht="24" customHeight="1" x14ac:dyDescent="0.3">
      <c r="A32" s="451">
        <v>30</v>
      </c>
      <c r="B32" s="1"/>
      <c r="C32" s="452"/>
      <c r="D32" s="452"/>
      <c r="E32" s="452"/>
      <c r="F32" s="38" t="str">
        <f>IF(Inventory_List_Table341115109111317181416192021[[#This Row],[Q]]&lt;0.1, " ",#REF!&amp;$D$1&amp;#REF!&amp;Inventory_List_Table341115109111317181416192021[[#This Row],[NOTES]])</f>
        <v xml:space="preserve"> </v>
      </c>
      <c r="G32" s="454"/>
      <c r="H32" s="454"/>
      <c r="I32" s="454"/>
      <c r="J32" s="454"/>
      <c r="K32" s="454"/>
      <c r="L32" s="456"/>
      <c r="M3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2" s="35" t="str">
        <f>IF(Inventory_List_Table341115109111317181416192021[[#This Row],[Q]]&lt;0.1, " ", Inventory_List_Table341115109111317181416192021[[#This Row],[KG]]*2.20462)</f>
        <v xml:space="preserve"> </v>
      </c>
      <c r="O32" s="35" t="str">
        <f>IF(Inventory_List_Table341115109111317181416192021[[#This Row],[Q]]&lt;0.1, " ",Inventory_List_Table341115109111317181416192021[[#This Row],[H CM]]/2.54)</f>
        <v xml:space="preserve"> </v>
      </c>
      <c r="P32" s="35" t="str">
        <f>IF(Inventory_List_Table341115109111317181416192021[[#This Row],[Q]]&lt;0.1, " ",Inventory_List_Table341115109111317181416192021[[#This Row],[W CM]]/2.54)</f>
        <v xml:space="preserve"> </v>
      </c>
      <c r="Q32" s="35" t="str">
        <f>IF(Inventory_List_Table341115109111317181416192021[[#This Row],[Q]]&lt;0.1, " ",Inventory_List_Table341115109111317181416192021[[#This Row],[D CM ]]/2.54)</f>
        <v xml:space="preserve"> </v>
      </c>
      <c r="R32" s="30" t="str">
        <f>IF(Inventory_List_Table341115109111317181416192021[[#This Row],[Q]]&lt;0.1, " ",Inventory_List_Table341115109111317181416192021[[#This Row],[PRICE]]/$L$1)</f>
        <v xml:space="preserve"> </v>
      </c>
      <c r="S3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2" s="30" t="str">
        <f>IF(Inventory_List_Table341115109111317181416192021[[#This Row],[Q]]&lt;0.1, " ",Inventory_List_Table341115109111317181416192021[[#This Row],[AQ RND USD]]*1.4)</f>
        <v xml:space="preserve"> </v>
      </c>
      <c r="U3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2" s="30" t="str">
        <f>IF(Inventory_List_Table341115109111317181416192021[[#This Row],[Q]]&lt;0.1, " ",Inventory_List_Table341115109111317181416192021[[#This Row],[LND RND USD]]*12)</f>
        <v xml:space="preserve"> </v>
      </c>
      <c r="W32" s="30" t="str">
        <f>IF(Inventory_List_Table341115109111317181416192021[[#This Row],[Q]]&lt;0.1, " ",Inventory_List_Table341115109111317181416192021[[#This Row],[AQ USD]])</f>
        <v xml:space="preserve"> </v>
      </c>
      <c r="X3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2" s="30" t="str">
        <f>IF(Inventory_List_Table341115109111317181416192021[[#This Row],[Q]]&lt;0.1, " ",Inventory_List_Table341115109111317181416192021[[#This Row],[PRICE]]/Z32*10000)</f>
        <v xml:space="preserve"> </v>
      </c>
      <c r="AB32" s="457"/>
      <c r="AC32" s="1"/>
      <c r="AD32" s="1"/>
    </row>
    <row r="33" spans="1:30" ht="24" customHeight="1" x14ac:dyDescent="0.3">
      <c r="A33" s="451">
        <v>31</v>
      </c>
      <c r="B33" s="1"/>
      <c r="C33" s="452"/>
      <c r="D33" s="452"/>
      <c r="E33" s="452"/>
      <c r="F33" s="38" t="str">
        <f>IF(Inventory_List_Table341115109111317181416192021[[#This Row],[Q]]&lt;0.1, " ",#REF!&amp;$D$1&amp;#REF!&amp;Inventory_List_Table341115109111317181416192021[[#This Row],[NOTES]])</f>
        <v xml:space="preserve"> </v>
      </c>
      <c r="G33" s="454"/>
      <c r="H33" s="454"/>
      <c r="I33" s="454"/>
      <c r="J33" s="454"/>
      <c r="K33" s="454"/>
      <c r="L33" s="456"/>
      <c r="M3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3" s="35" t="str">
        <f>IF(Inventory_List_Table341115109111317181416192021[[#This Row],[Q]]&lt;0.1, " ", Inventory_List_Table341115109111317181416192021[[#This Row],[KG]]*2.20462)</f>
        <v xml:space="preserve"> </v>
      </c>
      <c r="O33" s="35" t="str">
        <f>IF(Inventory_List_Table341115109111317181416192021[[#This Row],[Q]]&lt;0.1, " ",Inventory_List_Table341115109111317181416192021[[#This Row],[H CM]]/2.54)</f>
        <v xml:space="preserve"> </v>
      </c>
      <c r="P33" s="35" t="str">
        <f>IF(Inventory_List_Table341115109111317181416192021[[#This Row],[Q]]&lt;0.1, " ",Inventory_List_Table341115109111317181416192021[[#This Row],[W CM]]/2.54)</f>
        <v xml:space="preserve"> </v>
      </c>
      <c r="Q33" s="35" t="str">
        <f>IF(Inventory_List_Table341115109111317181416192021[[#This Row],[Q]]&lt;0.1, " ",Inventory_List_Table341115109111317181416192021[[#This Row],[D CM ]]/2.54)</f>
        <v xml:space="preserve"> </v>
      </c>
      <c r="R33" s="30" t="str">
        <f>IF(Inventory_List_Table341115109111317181416192021[[#This Row],[Q]]&lt;0.1, " ",Inventory_List_Table341115109111317181416192021[[#This Row],[PRICE]]/$L$1)</f>
        <v xml:space="preserve"> </v>
      </c>
      <c r="S3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3" s="30" t="str">
        <f>IF(Inventory_List_Table341115109111317181416192021[[#This Row],[Q]]&lt;0.1, " ",Inventory_List_Table341115109111317181416192021[[#This Row],[AQ RND USD]]*1.4)</f>
        <v xml:space="preserve"> </v>
      </c>
      <c r="U3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3" s="30" t="str">
        <f>IF(Inventory_List_Table341115109111317181416192021[[#This Row],[Q]]&lt;0.1, " ",Inventory_List_Table341115109111317181416192021[[#This Row],[LND RND USD]]*12)</f>
        <v xml:space="preserve"> </v>
      </c>
      <c r="W33" s="30" t="str">
        <f>IF(Inventory_List_Table341115109111317181416192021[[#This Row],[Q]]&lt;0.1, " ",Inventory_List_Table341115109111317181416192021[[#This Row],[AQ USD]])</f>
        <v xml:space="preserve"> </v>
      </c>
      <c r="X3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3" s="30" t="str">
        <f>IF(Inventory_List_Table341115109111317181416192021[[#This Row],[Q]]&lt;0.1, " ",Inventory_List_Table341115109111317181416192021[[#This Row],[PRICE]]/Z33*10000)</f>
        <v xml:space="preserve"> </v>
      </c>
      <c r="AB33" s="457"/>
      <c r="AC33" s="1"/>
      <c r="AD33" s="1"/>
    </row>
    <row r="34" spans="1:30" ht="24" customHeight="1" x14ac:dyDescent="0.3">
      <c r="A34" s="451">
        <v>32</v>
      </c>
      <c r="B34" s="1"/>
      <c r="C34" s="452"/>
      <c r="D34" s="452"/>
      <c r="E34" s="452"/>
      <c r="F34" s="38" t="str">
        <f>IF(Inventory_List_Table341115109111317181416192021[[#This Row],[Q]]&lt;0.1, " ",#REF!&amp;$D$1&amp;#REF!&amp;Inventory_List_Table341115109111317181416192021[[#This Row],[NOTES]])</f>
        <v xml:space="preserve"> </v>
      </c>
      <c r="G34" s="454"/>
      <c r="H34" s="454"/>
      <c r="I34" s="454"/>
      <c r="J34" s="454"/>
      <c r="K34" s="454"/>
      <c r="L34" s="456"/>
      <c r="M3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4" s="35" t="str">
        <f>IF(Inventory_List_Table341115109111317181416192021[[#This Row],[Q]]&lt;0.1, " ", Inventory_List_Table341115109111317181416192021[[#This Row],[KG]]*2.20462)</f>
        <v xml:space="preserve"> </v>
      </c>
      <c r="O34" s="35" t="str">
        <f>IF(Inventory_List_Table341115109111317181416192021[[#This Row],[Q]]&lt;0.1, " ",Inventory_List_Table341115109111317181416192021[[#This Row],[H CM]]/2.54)</f>
        <v xml:space="preserve"> </v>
      </c>
      <c r="P34" s="35" t="str">
        <f>IF(Inventory_List_Table341115109111317181416192021[[#This Row],[Q]]&lt;0.1, " ",Inventory_List_Table341115109111317181416192021[[#This Row],[W CM]]/2.54)</f>
        <v xml:space="preserve"> </v>
      </c>
      <c r="Q34" s="35" t="str">
        <f>IF(Inventory_List_Table341115109111317181416192021[[#This Row],[Q]]&lt;0.1, " ",Inventory_List_Table341115109111317181416192021[[#This Row],[D CM ]]/2.54)</f>
        <v xml:space="preserve"> </v>
      </c>
      <c r="R34" s="30" t="str">
        <f>IF(Inventory_List_Table341115109111317181416192021[[#This Row],[Q]]&lt;0.1, " ",Inventory_List_Table341115109111317181416192021[[#This Row],[PRICE]]/$L$1)</f>
        <v xml:space="preserve"> </v>
      </c>
      <c r="S3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4" s="30" t="str">
        <f>IF(Inventory_List_Table341115109111317181416192021[[#This Row],[Q]]&lt;0.1, " ",Inventory_List_Table341115109111317181416192021[[#This Row],[AQ RND USD]]*1.4)</f>
        <v xml:space="preserve"> </v>
      </c>
      <c r="U3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4" s="30" t="str">
        <f>IF(Inventory_List_Table341115109111317181416192021[[#This Row],[Q]]&lt;0.1, " ",Inventory_List_Table341115109111317181416192021[[#This Row],[LND RND USD]]*12)</f>
        <v xml:space="preserve"> </v>
      </c>
      <c r="W34" s="30" t="str">
        <f>IF(Inventory_List_Table341115109111317181416192021[[#This Row],[Q]]&lt;0.1, " ",Inventory_List_Table341115109111317181416192021[[#This Row],[AQ USD]])</f>
        <v xml:space="preserve"> </v>
      </c>
      <c r="X3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4" s="30" t="str">
        <f>IF(Inventory_List_Table341115109111317181416192021[[#This Row],[Q]]&lt;0.1, " ",Inventory_List_Table341115109111317181416192021[[#This Row],[PRICE]]/Z34*10000)</f>
        <v xml:space="preserve"> </v>
      </c>
      <c r="AB34" s="457"/>
      <c r="AC34" s="1"/>
      <c r="AD34" s="1"/>
    </row>
    <row r="35" spans="1:30" ht="24" customHeight="1" x14ac:dyDescent="0.3">
      <c r="A35" s="451">
        <v>33</v>
      </c>
      <c r="B35" s="1"/>
      <c r="C35" s="452"/>
      <c r="D35" s="452"/>
      <c r="E35" s="452"/>
      <c r="F35" s="38" t="str">
        <f>IF(Inventory_List_Table341115109111317181416192021[[#This Row],[Q]]&lt;0.1, " ",#REF!&amp;$D$1&amp;#REF!&amp;Inventory_List_Table341115109111317181416192021[[#This Row],[NOTES]])</f>
        <v xml:space="preserve"> </v>
      </c>
      <c r="G35" s="454"/>
      <c r="H35" s="454"/>
      <c r="I35" s="454"/>
      <c r="J35" s="454"/>
      <c r="K35" s="454"/>
      <c r="L35" s="456"/>
      <c r="M3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5" s="35" t="str">
        <f>IF(Inventory_List_Table341115109111317181416192021[[#This Row],[Q]]&lt;0.1, " ", Inventory_List_Table341115109111317181416192021[[#This Row],[KG]]*2.20462)</f>
        <v xml:space="preserve"> </v>
      </c>
      <c r="O35" s="35" t="str">
        <f>IF(Inventory_List_Table341115109111317181416192021[[#This Row],[Q]]&lt;0.1, " ",Inventory_List_Table341115109111317181416192021[[#This Row],[H CM]]/2.54)</f>
        <v xml:space="preserve"> </v>
      </c>
      <c r="P35" s="35" t="str">
        <f>IF(Inventory_List_Table341115109111317181416192021[[#This Row],[Q]]&lt;0.1, " ",Inventory_List_Table341115109111317181416192021[[#This Row],[W CM]]/2.54)</f>
        <v xml:space="preserve"> </v>
      </c>
      <c r="Q35" s="35" t="str">
        <f>IF(Inventory_List_Table341115109111317181416192021[[#This Row],[Q]]&lt;0.1, " ",Inventory_List_Table341115109111317181416192021[[#This Row],[D CM ]]/2.54)</f>
        <v xml:space="preserve"> </v>
      </c>
      <c r="R35" s="30" t="str">
        <f>IF(Inventory_List_Table341115109111317181416192021[[#This Row],[Q]]&lt;0.1, " ",Inventory_List_Table341115109111317181416192021[[#This Row],[PRICE]]/$L$1)</f>
        <v xml:space="preserve"> </v>
      </c>
      <c r="S3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5" s="30" t="str">
        <f>IF(Inventory_List_Table341115109111317181416192021[[#This Row],[Q]]&lt;0.1, " ",Inventory_List_Table341115109111317181416192021[[#This Row],[AQ RND USD]]*1.4)</f>
        <v xml:space="preserve"> </v>
      </c>
      <c r="U3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5" s="30" t="str">
        <f>IF(Inventory_List_Table341115109111317181416192021[[#This Row],[Q]]&lt;0.1, " ",Inventory_List_Table341115109111317181416192021[[#This Row],[LND RND USD]]*12)</f>
        <v xml:space="preserve"> </v>
      </c>
      <c r="W35" s="30" t="str">
        <f>IF(Inventory_List_Table341115109111317181416192021[[#This Row],[Q]]&lt;0.1, " ",Inventory_List_Table341115109111317181416192021[[#This Row],[AQ USD]])</f>
        <v xml:space="preserve"> </v>
      </c>
      <c r="X3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5" s="30" t="str">
        <f>IF(Inventory_List_Table341115109111317181416192021[[#This Row],[Q]]&lt;0.1, " ",Inventory_List_Table341115109111317181416192021[[#This Row],[PRICE]]/Z35*10000)</f>
        <v xml:space="preserve"> </v>
      </c>
      <c r="AB35" s="457"/>
      <c r="AC35" s="1"/>
      <c r="AD35" s="1"/>
    </row>
    <row r="36" spans="1:30" ht="24" customHeight="1" x14ac:dyDescent="0.3">
      <c r="A36" s="451">
        <v>34</v>
      </c>
      <c r="B36" s="1"/>
      <c r="C36" s="452"/>
      <c r="D36" s="452"/>
      <c r="E36" s="452"/>
      <c r="F36" s="38" t="str">
        <f>IF(Inventory_List_Table341115109111317181416192021[[#This Row],[Q]]&lt;0.1, " ",#REF!&amp;$D$1&amp;#REF!&amp;Inventory_List_Table341115109111317181416192021[[#This Row],[NOTES]])</f>
        <v xml:space="preserve"> </v>
      </c>
      <c r="G36" s="454"/>
      <c r="H36" s="454"/>
      <c r="I36" s="454"/>
      <c r="J36" s="454"/>
      <c r="K36" s="454"/>
      <c r="L36" s="456"/>
      <c r="M3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6" s="35" t="str">
        <f>IF(Inventory_List_Table341115109111317181416192021[[#This Row],[Q]]&lt;0.1, " ", Inventory_List_Table341115109111317181416192021[[#This Row],[KG]]*2.20462)</f>
        <v xml:space="preserve"> </v>
      </c>
      <c r="O36" s="35" t="str">
        <f>IF(Inventory_List_Table341115109111317181416192021[[#This Row],[Q]]&lt;0.1, " ",Inventory_List_Table341115109111317181416192021[[#This Row],[H CM]]/2.54)</f>
        <v xml:space="preserve"> </v>
      </c>
      <c r="P36" s="35" t="str">
        <f>IF(Inventory_List_Table341115109111317181416192021[[#This Row],[Q]]&lt;0.1, " ",Inventory_List_Table341115109111317181416192021[[#This Row],[W CM]]/2.54)</f>
        <v xml:space="preserve"> </v>
      </c>
      <c r="Q36" s="35" t="str">
        <f>IF(Inventory_List_Table341115109111317181416192021[[#This Row],[Q]]&lt;0.1, " ",Inventory_List_Table341115109111317181416192021[[#This Row],[D CM ]]/2.54)</f>
        <v xml:space="preserve"> </v>
      </c>
      <c r="R36" s="30" t="str">
        <f>IF(Inventory_List_Table341115109111317181416192021[[#This Row],[Q]]&lt;0.1, " ",Inventory_List_Table341115109111317181416192021[[#This Row],[PRICE]]/$L$1)</f>
        <v xml:space="preserve"> </v>
      </c>
      <c r="S3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6" s="30" t="str">
        <f>IF(Inventory_List_Table341115109111317181416192021[[#This Row],[Q]]&lt;0.1, " ",Inventory_List_Table341115109111317181416192021[[#This Row],[AQ RND USD]]*1.4)</f>
        <v xml:space="preserve"> </v>
      </c>
      <c r="U3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6" s="30" t="str">
        <f>IF(Inventory_List_Table341115109111317181416192021[[#This Row],[Q]]&lt;0.1, " ",Inventory_List_Table341115109111317181416192021[[#This Row],[LND RND USD]]*12)</f>
        <v xml:space="preserve"> </v>
      </c>
      <c r="W36" s="30" t="str">
        <f>IF(Inventory_List_Table341115109111317181416192021[[#This Row],[Q]]&lt;0.1, " ",Inventory_List_Table341115109111317181416192021[[#This Row],[AQ USD]])</f>
        <v xml:space="preserve"> </v>
      </c>
      <c r="X3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6" s="30" t="str">
        <f>IF(Inventory_List_Table341115109111317181416192021[[#This Row],[Q]]&lt;0.1, " ",Inventory_List_Table341115109111317181416192021[[#This Row],[PRICE]]/Z36*10000)</f>
        <v xml:space="preserve"> </v>
      </c>
      <c r="AB36" s="457"/>
      <c r="AC36" s="1"/>
      <c r="AD36" s="1"/>
    </row>
    <row r="37" spans="1:30" ht="24" customHeight="1" x14ac:dyDescent="0.3">
      <c r="A37" s="451">
        <v>35</v>
      </c>
      <c r="B37" s="1"/>
      <c r="C37" s="452"/>
      <c r="D37" s="452"/>
      <c r="E37" s="452"/>
      <c r="F37" s="38" t="str">
        <f>IF(Inventory_List_Table341115109111317181416192021[[#This Row],[Q]]&lt;0.1, " ",#REF!&amp;$D$1&amp;#REF!&amp;Inventory_List_Table341115109111317181416192021[[#This Row],[NOTES]])</f>
        <v xml:space="preserve"> </v>
      </c>
      <c r="G37" s="454"/>
      <c r="H37" s="454"/>
      <c r="I37" s="454"/>
      <c r="J37" s="454"/>
      <c r="K37" s="454"/>
      <c r="L37" s="456"/>
      <c r="M3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7" s="35" t="str">
        <f>IF(Inventory_List_Table341115109111317181416192021[[#This Row],[Q]]&lt;0.1, " ", Inventory_List_Table341115109111317181416192021[[#This Row],[KG]]*2.20462)</f>
        <v xml:space="preserve"> </v>
      </c>
      <c r="O37" s="35" t="str">
        <f>IF(Inventory_List_Table341115109111317181416192021[[#This Row],[Q]]&lt;0.1, " ",Inventory_List_Table341115109111317181416192021[[#This Row],[H CM]]/2.54)</f>
        <v xml:space="preserve"> </v>
      </c>
      <c r="P37" s="35" t="str">
        <f>IF(Inventory_List_Table341115109111317181416192021[[#This Row],[Q]]&lt;0.1, " ",Inventory_List_Table341115109111317181416192021[[#This Row],[W CM]]/2.54)</f>
        <v xml:space="preserve"> </v>
      </c>
      <c r="Q37" s="35" t="str">
        <f>IF(Inventory_List_Table341115109111317181416192021[[#This Row],[Q]]&lt;0.1, " ",Inventory_List_Table341115109111317181416192021[[#This Row],[D CM ]]/2.54)</f>
        <v xml:space="preserve"> </v>
      </c>
      <c r="R37" s="30" t="str">
        <f>IF(Inventory_List_Table341115109111317181416192021[[#This Row],[Q]]&lt;0.1, " ",Inventory_List_Table341115109111317181416192021[[#This Row],[PRICE]]/$L$1)</f>
        <v xml:space="preserve"> </v>
      </c>
      <c r="S3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7" s="30" t="str">
        <f>IF(Inventory_List_Table341115109111317181416192021[[#This Row],[Q]]&lt;0.1, " ",Inventory_List_Table341115109111317181416192021[[#This Row],[AQ RND USD]]*1.4)</f>
        <v xml:space="preserve"> </v>
      </c>
      <c r="U3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7" s="30" t="str">
        <f>IF(Inventory_List_Table341115109111317181416192021[[#This Row],[Q]]&lt;0.1, " ",Inventory_List_Table341115109111317181416192021[[#This Row],[LND RND USD]]*12)</f>
        <v xml:space="preserve"> </v>
      </c>
      <c r="W37" s="30" t="str">
        <f>IF(Inventory_List_Table341115109111317181416192021[[#This Row],[Q]]&lt;0.1, " ",Inventory_List_Table341115109111317181416192021[[#This Row],[AQ USD]])</f>
        <v xml:space="preserve"> </v>
      </c>
      <c r="X3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7" s="30" t="str">
        <f>IF(Inventory_List_Table341115109111317181416192021[[#This Row],[Q]]&lt;0.1, " ",Inventory_List_Table341115109111317181416192021[[#This Row],[PRICE]]/Z37*10000)</f>
        <v xml:space="preserve"> </v>
      </c>
      <c r="AB37" s="457"/>
      <c r="AC37" s="1"/>
      <c r="AD37" s="1"/>
    </row>
    <row r="38" spans="1:30" ht="24" customHeight="1" x14ac:dyDescent="0.3">
      <c r="A38" s="451">
        <v>36</v>
      </c>
      <c r="B38" s="1"/>
      <c r="C38" s="452"/>
      <c r="D38" s="452"/>
      <c r="E38" s="452"/>
      <c r="F38" s="38" t="str">
        <f>IF(Inventory_List_Table341115109111317181416192021[[#This Row],[Q]]&lt;0.1, " ",#REF!&amp;$D$1&amp;#REF!&amp;Inventory_List_Table341115109111317181416192021[[#This Row],[NOTES]])</f>
        <v xml:space="preserve"> </v>
      </c>
      <c r="G38" s="454"/>
      <c r="H38" s="454"/>
      <c r="I38" s="454"/>
      <c r="J38" s="454"/>
      <c r="K38" s="454"/>
      <c r="L38" s="456"/>
      <c r="M3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8" s="35" t="str">
        <f>IF(Inventory_List_Table341115109111317181416192021[[#This Row],[Q]]&lt;0.1, " ", Inventory_List_Table341115109111317181416192021[[#This Row],[KG]]*2.20462)</f>
        <v xml:space="preserve"> </v>
      </c>
      <c r="O38" s="35" t="str">
        <f>IF(Inventory_List_Table341115109111317181416192021[[#This Row],[Q]]&lt;0.1, " ",Inventory_List_Table341115109111317181416192021[[#This Row],[H CM]]/2.54)</f>
        <v xml:space="preserve"> </v>
      </c>
      <c r="P38" s="35" t="str">
        <f>IF(Inventory_List_Table341115109111317181416192021[[#This Row],[Q]]&lt;0.1, " ",Inventory_List_Table341115109111317181416192021[[#This Row],[W CM]]/2.54)</f>
        <v xml:space="preserve"> </v>
      </c>
      <c r="Q38" s="35" t="str">
        <f>IF(Inventory_List_Table341115109111317181416192021[[#This Row],[Q]]&lt;0.1, " ",Inventory_List_Table341115109111317181416192021[[#This Row],[D CM ]]/2.54)</f>
        <v xml:space="preserve"> </v>
      </c>
      <c r="R38" s="30" t="str">
        <f>IF(Inventory_List_Table341115109111317181416192021[[#This Row],[Q]]&lt;0.1, " ",Inventory_List_Table341115109111317181416192021[[#This Row],[PRICE]]/$L$1)</f>
        <v xml:space="preserve"> </v>
      </c>
      <c r="S3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8" s="30" t="str">
        <f>IF(Inventory_List_Table341115109111317181416192021[[#This Row],[Q]]&lt;0.1, " ",Inventory_List_Table341115109111317181416192021[[#This Row],[AQ RND USD]]*1.4)</f>
        <v xml:space="preserve"> </v>
      </c>
      <c r="U3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8" s="30" t="str">
        <f>IF(Inventory_List_Table341115109111317181416192021[[#This Row],[Q]]&lt;0.1, " ",Inventory_List_Table341115109111317181416192021[[#This Row],[LND RND USD]]*12)</f>
        <v xml:space="preserve"> </v>
      </c>
      <c r="W38" s="30" t="str">
        <f>IF(Inventory_List_Table341115109111317181416192021[[#This Row],[Q]]&lt;0.1, " ",Inventory_List_Table341115109111317181416192021[[#This Row],[AQ USD]])</f>
        <v xml:space="preserve"> </v>
      </c>
      <c r="X3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8" s="30" t="str">
        <f>IF(Inventory_List_Table341115109111317181416192021[[#This Row],[Q]]&lt;0.1, " ",Inventory_List_Table341115109111317181416192021[[#This Row],[PRICE]]/Z38*10000)</f>
        <v xml:space="preserve"> </v>
      </c>
      <c r="AB38" s="457"/>
      <c r="AC38" s="1"/>
      <c r="AD38" s="1"/>
    </row>
    <row r="39" spans="1:30" ht="24" customHeight="1" x14ac:dyDescent="0.3">
      <c r="A39" s="451">
        <v>37</v>
      </c>
      <c r="B39" s="1"/>
      <c r="C39" s="452"/>
      <c r="D39" s="452"/>
      <c r="E39" s="452"/>
      <c r="F39" s="38" t="str">
        <f>IF(Inventory_List_Table341115109111317181416192021[[#This Row],[Q]]&lt;0.1, " ",#REF!&amp;$D$1&amp;#REF!&amp;Inventory_List_Table341115109111317181416192021[[#This Row],[NOTES]])</f>
        <v xml:space="preserve"> </v>
      </c>
      <c r="G39" s="454"/>
      <c r="H39" s="454"/>
      <c r="I39" s="454"/>
      <c r="J39" s="454"/>
      <c r="K39" s="454"/>
      <c r="L39" s="456"/>
      <c r="M3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39" s="35" t="str">
        <f>IF(Inventory_List_Table341115109111317181416192021[[#This Row],[Q]]&lt;0.1, " ", Inventory_List_Table341115109111317181416192021[[#This Row],[KG]]*2.20462)</f>
        <v xml:space="preserve"> </v>
      </c>
      <c r="O39" s="35" t="str">
        <f>IF(Inventory_List_Table341115109111317181416192021[[#This Row],[Q]]&lt;0.1, " ",Inventory_List_Table341115109111317181416192021[[#This Row],[H CM]]/2.54)</f>
        <v xml:space="preserve"> </v>
      </c>
      <c r="P39" s="35" t="str">
        <f>IF(Inventory_List_Table341115109111317181416192021[[#This Row],[Q]]&lt;0.1, " ",Inventory_List_Table341115109111317181416192021[[#This Row],[W CM]]/2.54)</f>
        <v xml:space="preserve"> </v>
      </c>
      <c r="Q39" s="35" t="str">
        <f>IF(Inventory_List_Table341115109111317181416192021[[#This Row],[Q]]&lt;0.1, " ",Inventory_List_Table341115109111317181416192021[[#This Row],[D CM ]]/2.54)</f>
        <v xml:space="preserve"> </v>
      </c>
      <c r="R39" s="30" t="str">
        <f>IF(Inventory_List_Table341115109111317181416192021[[#This Row],[Q]]&lt;0.1, " ",Inventory_List_Table341115109111317181416192021[[#This Row],[PRICE]]/$L$1)</f>
        <v xml:space="preserve"> </v>
      </c>
      <c r="S3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39" s="30" t="str">
        <f>IF(Inventory_List_Table341115109111317181416192021[[#This Row],[Q]]&lt;0.1, " ",Inventory_List_Table341115109111317181416192021[[#This Row],[AQ RND USD]]*1.4)</f>
        <v xml:space="preserve"> </v>
      </c>
      <c r="U3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39" s="30" t="str">
        <f>IF(Inventory_List_Table341115109111317181416192021[[#This Row],[Q]]&lt;0.1, " ",Inventory_List_Table341115109111317181416192021[[#This Row],[LND RND USD]]*12)</f>
        <v xml:space="preserve"> </v>
      </c>
      <c r="W39" s="30" t="str">
        <f>IF(Inventory_List_Table341115109111317181416192021[[#This Row],[Q]]&lt;0.1, " ",Inventory_List_Table341115109111317181416192021[[#This Row],[AQ USD]])</f>
        <v xml:space="preserve"> </v>
      </c>
      <c r="X3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3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3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39" s="30" t="str">
        <f>IF(Inventory_List_Table341115109111317181416192021[[#This Row],[Q]]&lt;0.1, " ",Inventory_List_Table341115109111317181416192021[[#This Row],[PRICE]]/Z39*10000)</f>
        <v xml:space="preserve"> </v>
      </c>
      <c r="AB39" s="457"/>
      <c r="AC39" s="1"/>
      <c r="AD39" s="1"/>
    </row>
    <row r="40" spans="1:30" ht="24" customHeight="1" x14ac:dyDescent="0.3">
      <c r="A40" s="451">
        <v>38</v>
      </c>
      <c r="B40" s="1"/>
      <c r="C40" s="452"/>
      <c r="D40" s="452"/>
      <c r="E40" s="452"/>
      <c r="F40" s="38" t="str">
        <f>IF(Inventory_List_Table341115109111317181416192021[[#This Row],[Q]]&lt;0.1, " ",#REF!&amp;$D$1&amp;#REF!&amp;Inventory_List_Table341115109111317181416192021[[#This Row],[NOTES]])</f>
        <v xml:space="preserve"> </v>
      </c>
      <c r="G40" s="454"/>
      <c r="H40" s="454"/>
      <c r="I40" s="454"/>
      <c r="J40" s="454"/>
      <c r="K40" s="454"/>
      <c r="L40" s="456"/>
      <c r="M4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0" s="35" t="str">
        <f>IF(Inventory_List_Table341115109111317181416192021[[#This Row],[Q]]&lt;0.1, " ", Inventory_List_Table341115109111317181416192021[[#This Row],[KG]]*2.20462)</f>
        <v xml:space="preserve"> </v>
      </c>
      <c r="O40" s="35" t="str">
        <f>IF(Inventory_List_Table341115109111317181416192021[[#This Row],[Q]]&lt;0.1, " ",Inventory_List_Table341115109111317181416192021[[#This Row],[H CM]]/2.54)</f>
        <v xml:space="preserve"> </v>
      </c>
      <c r="P40" s="35" t="str">
        <f>IF(Inventory_List_Table341115109111317181416192021[[#This Row],[Q]]&lt;0.1, " ",Inventory_List_Table341115109111317181416192021[[#This Row],[W CM]]/2.54)</f>
        <v xml:space="preserve"> </v>
      </c>
      <c r="Q40" s="35" t="str">
        <f>IF(Inventory_List_Table341115109111317181416192021[[#This Row],[Q]]&lt;0.1, " ",Inventory_List_Table341115109111317181416192021[[#This Row],[D CM ]]/2.54)</f>
        <v xml:space="preserve"> </v>
      </c>
      <c r="R40" s="30" t="str">
        <f>IF(Inventory_List_Table341115109111317181416192021[[#This Row],[Q]]&lt;0.1, " ",Inventory_List_Table341115109111317181416192021[[#This Row],[PRICE]]/$L$1)</f>
        <v xml:space="preserve"> </v>
      </c>
      <c r="S4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0" s="30" t="str">
        <f>IF(Inventory_List_Table341115109111317181416192021[[#This Row],[Q]]&lt;0.1, " ",Inventory_List_Table341115109111317181416192021[[#This Row],[AQ RND USD]]*1.4)</f>
        <v xml:space="preserve"> </v>
      </c>
      <c r="U4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0" s="30" t="str">
        <f>IF(Inventory_List_Table341115109111317181416192021[[#This Row],[Q]]&lt;0.1, " ",Inventory_List_Table341115109111317181416192021[[#This Row],[LND RND USD]]*12)</f>
        <v xml:space="preserve"> </v>
      </c>
      <c r="W40" s="30" t="str">
        <f>IF(Inventory_List_Table341115109111317181416192021[[#This Row],[Q]]&lt;0.1, " ",Inventory_List_Table341115109111317181416192021[[#This Row],[AQ USD]])</f>
        <v xml:space="preserve"> </v>
      </c>
      <c r="X4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0" s="30" t="str">
        <f>IF(Inventory_List_Table341115109111317181416192021[[#This Row],[Q]]&lt;0.1, " ",Inventory_List_Table341115109111317181416192021[[#This Row],[PRICE]]/Z40*10000)</f>
        <v xml:space="preserve"> </v>
      </c>
      <c r="AB40" s="457"/>
      <c r="AC40" s="1"/>
      <c r="AD40" s="1"/>
    </row>
    <row r="41" spans="1:30" ht="24" customHeight="1" x14ac:dyDescent="0.3">
      <c r="A41" s="451">
        <v>39</v>
      </c>
      <c r="B41" s="1"/>
      <c r="C41" s="452"/>
      <c r="D41" s="452"/>
      <c r="E41" s="452"/>
      <c r="F41" s="38" t="str">
        <f>IF(Inventory_List_Table341115109111317181416192021[[#This Row],[Q]]&lt;0.1, " ",#REF!&amp;$D$1&amp;#REF!&amp;Inventory_List_Table341115109111317181416192021[[#This Row],[NOTES]])</f>
        <v xml:space="preserve"> </v>
      </c>
      <c r="G41" s="454"/>
      <c r="H41" s="454"/>
      <c r="I41" s="454"/>
      <c r="J41" s="454"/>
      <c r="K41" s="454"/>
      <c r="L41" s="456"/>
      <c r="M4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1" s="35" t="str">
        <f>IF(Inventory_List_Table341115109111317181416192021[[#This Row],[Q]]&lt;0.1, " ", Inventory_List_Table341115109111317181416192021[[#This Row],[KG]]*2.20462)</f>
        <v xml:space="preserve"> </v>
      </c>
      <c r="O41" s="35" t="str">
        <f>IF(Inventory_List_Table341115109111317181416192021[[#This Row],[Q]]&lt;0.1, " ",Inventory_List_Table341115109111317181416192021[[#This Row],[H CM]]/2.54)</f>
        <v xml:space="preserve"> </v>
      </c>
      <c r="P41" s="35" t="str">
        <f>IF(Inventory_List_Table341115109111317181416192021[[#This Row],[Q]]&lt;0.1, " ",Inventory_List_Table341115109111317181416192021[[#This Row],[W CM]]/2.54)</f>
        <v xml:space="preserve"> </v>
      </c>
      <c r="Q41" s="35" t="str">
        <f>IF(Inventory_List_Table341115109111317181416192021[[#This Row],[Q]]&lt;0.1, " ",Inventory_List_Table341115109111317181416192021[[#This Row],[D CM ]]/2.54)</f>
        <v xml:space="preserve"> </v>
      </c>
      <c r="R41" s="30" t="str">
        <f>IF(Inventory_List_Table341115109111317181416192021[[#This Row],[Q]]&lt;0.1, " ",Inventory_List_Table341115109111317181416192021[[#This Row],[PRICE]]/$L$1)</f>
        <v xml:space="preserve"> </v>
      </c>
      <c r="S4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1" s="30" t="str">
        <f>IF(Inventory_List_Table341115109111317181416192021[[#This Row],[Q]]&lt;0.1, " ",Inventory_List_Table341115109111317181416192021[[#This Row],[AQ RND USD]]*1.4)</f>
        <v xml:space="preserve"> </v>
      </c>
      <c r="U4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1" s="30" t="str">
        <f>IF(Inventory_List_Table341115109111317181416192021[[#This Row],[Q]]&lt;0.1, " ",Inventory_List_Table341115109111317181416192021[[#This Row],[LND RND USD]]*12)</f>
        <v xml:space="preserve"> </v>
      </c>
      <c r="W41" s="30" t="str">
        <f>IF(Inventory_List_Table341115109111317181416192021[[#This Row],[Q]]&lt;0.1, " ",Inventory_List_Table341115109111317181416192021[[#This Row],[AQ USD]])</f>
        <v xml:space="preserve"> </v>
      </c>
      <c r="X4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1" s="30" t="str">
        <f>IF(Inventory_List_Table341115109111317181416192021[[#This Row],[Q]]&lt;0.1, " ",Inventory_List_Table341115109111317181416192021[[#This Row],[PRICE]]/Z41*10000)</f>
        <v xml:space="preserve"> </v>
      </c>
      <c r="AB41" s="457"/>
      <c r="AC41" s="1"/>
      <c r="AD41" s="1"/>
    </row>
    <row r="42" spans="1:30" ht="24" customHeight="1" x14ac:dyDescent="0.3">
      <c r="A42" s="451">
        <v>40</v>
      </c>
      <c r="B42" s="1"/>
      <c r="C42" s="452"/>
      <c r="D42" s="452"/>
      <c r="E42" s="452"/>
      <c r="F42" s="38" t="str">
        <f>IF(Inventory_List_Table341115109111317181416192021[[#This Row],[Q]]&lt;0.1, " ",#REF!&amp;$D$1&amp;#REF!&amp;Inventory_List_Table341115109111317181416192021[[#This Row],[NOTES]])</f>
        <v xml:space="preserve"> </v>
      </c>
      <c r="G42" s="454"/>
      <c r="H42" s="454"/>
      <c r="I42" s="454"/>
      <c r="J42" s="454"/>
      <c r="K42" s="454"/>
      <c r="L42" s="456"/>
      <c r="M4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2" s="35" t="str">
        <f>IF(Inventory_List_Table341115109111317181416192021[[#This Row],[Q]]&lt;0.1, " ", Inventory_List_Table341115109111317181416192021[[#This Row],[KG]]*2.20462)</f>
        <v xml:space="preserve"> </v>
      </c>
      <c r="O42" s="35" t="str">
        <f>IF(Inventory_List_Table341115109111317181416192021[[#This Row],[Q]]&lt;0.1, " ",Inventory_List_Table341115109111317181416192021[[#This Row],[H CM]]/2.54)</f>
        <v xml:space="preserve"> </v>
      </c>
      <c r="P42" s="35" t="str">
        <f>IF(Inventory_List_Table341115109111317181416192021[[#This Row],[Q]]&lt;0.1, " ",Inventory_List_Table341115109111317181416192021[[#This Row],[W CM]]/2.54)</f>
        <v xml:space="preserve"> </v>
      </c>
      <c r="Q42" s="35" t="str">
        <f>IF(Inventory_List_Table341115109111317181416192021[[#This Row],[Q]]&lt;0.1, " ",Inventory_List_Table341115109111317181416192021[[#This Row],[D CM ]]/2.54)</f>
        <v xml:space="preserve"> </v>
      </c>
      <c r="R42" s="30" t="str">
        <f>IF(Inventory_List_Table341115109111317181416192021[[#This Row],[Q]]&lt;0.1, " ",Inventory_List_Table341115109111317181416192021[[#This Row],[PRICE]]/$L$1)</f>
        <v xml:space="preserve"> </v>
      </c>
      <c r="S4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2" s="30" t="str">
        <f>IF(Inventory_List_Table341115109111317181416192021[[#This Row],[Q]]&lt;0.1, " ",Inventory_List_Table341115109111317181416192021[[#This Row],[AQ RND USD]]*1.4)</f>
        <v xml:space="preserve"> </v>
      </c>
      <c r="U4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2" s="30" t="str">
        <f>IF(Inventory_List_Table341115109111317181416192021[[#This Row],[Q]]&lt;0.1, " ",Inventory_List_Table341115109111317181416192021[[#This Row],[LND RND USD]]*12)</f>
        <v xml:space="preserve"> </v>
      </c>
      <c r="W42" s="30" t="str">
        <f>IF(Inventory_List_Table341115109111317181416192021[[#This Row],[Q]]&lt;0.1, " ",Inventory_List_Table341115109111317181416192021[[#This Row],[AQ USD]])</f>
        <v xml:space="preserve"> </v>
      </c>
      <c r="X4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2" s="30" t="str">
        <f>IF(Inventory_List_Table341115109111317181416192021[[#This Row],[Q]]&lt;0.1, " ",Inventory_List_Table341115109111317181416192021[[#This Row],[PRICE]]/Z42*10000)</f>
        <v xml:space="preserve"> </v>
      </c>
      <c r="AB42" s="457"/>
      <c r="AC42" s="1"/>
      <c r="AD42" s="1"/>
    </row>
    <row r="43" spans="1:30" ht="24" customHeight="1" x14ac:dyDescent="0.3">
      <c r="A43" s="451">
        <v>41</v>
      </c>
      <c r="B43" s="1"/>
      <c r="C43" s="452"/>
      <c r="D43" s="452"/>
      <c r="E43" s="452"/>
      <c r="F43" s="38" t="str">
        <f>IF(Inventory_List_Table341115109111317181416192021[[#This Row],[Q]]&lt;0.1, " ",#REF!&amp;$D$1&amp;#REF!&amp;Inventory_List_Table341115109111317181416192021[[#This Row],[NOTES]])</f>
        <v xml:space="preserve"> </v>
      </c>
      <c r="G43" s="454"/>
      <c r="H43" s="454"/>
      <c r="I43" s="454"/>
      <c r="J43" s="454"/>
      <c r="K43" s="454"/>
      <c r="L43" s="456"/>
      <c r="M4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3" s="35" t="str">
        <f>IF(Inventory_List_Table341115109111317181416192021[[#This Row],[Q]]&lt;0.1, " ", Inventory_List_Table341115109111317181416192021[[#This Row],[KG]]*2.20462)</f>
        <v xml:space="preserve"> </v>
      </c>
      <c r="O43" s="35" t="str">
        <f>IF(Inventory_List_Table341115109111317181416192021[[#This Row],[Q]]&lt;0.1, " ",Inventory_List_Table341115109111317181416192021[[#This Row],[H CM]]/2.54)</f>
        <v xml:space="preserve"> </v>
      </c>
      <c r="P43" s="35" t="str">
        <f>IF(Inventory_List_Table341115109111317181416192021[[#This Row],[Q]]&lt;0.1, " ",Inventory_List_Table341115109111317181416192021[[#This Row],[W CM]]/2.54)</f>
        <v xml:space="preserve"> </v>
      </c>
      <c r="Q43" s="35" t="str">
        <f>IF(Inventory_List_Table341115109111317181416192021[[#This Row],[Q]]&lt;0.1, " ",Inventory_List_Table341115109111317181416192021[[#This Row],[D CM ]]/2.54)</f>
        <v xml:space="preserve"> </v>
      </c>
      <c r="R43" s="30" t="str">
        <f>IF(Inventory_List_Table341115109111317181416192021[[#This Row],[Q]]&lt;0.1, " ",Inventory_List_Table341115109111317181416192021[[#This Row],[PRICE]]/$L$1)</f>
        <v xml:space="preserve"> </v>
      </c>
      <c r="S4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3" s="30" t="str">
        <f>IF(Inventory_List_Table341115109111317181416192021[[#This Row],[Q]]&lt;0.1, " ",Inventory_List_Table341115109111317181416192021[[#This Row],[AQ RND USD]]*1.4)</f>
        <v xml:space="preserve"> </v>
      </c>
      <c r="U4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3" s="30" t="str">
        <f>IF(Inventory_List_Table341115109111317181416192021[[#This Row],[Q]]&lt;0.1, " ",Inventory_List_Table341115109111317181416192021[[#This Row],[LND RND USD]]*12)</f>
        <v xml:space="preserve"> </v>
      </c>
      <c r="W43" s="30" t="str">
        <f>IF(Inventory_List_Table341115109111317181416192021[[#This Row],[Q]]&lt;0.1, " ",Inventory_List_Table341115109111317181416192021[[#This Row],[AQ USD]])</f>
        <v xml:space="preserve"> </v>
      </c>
      <c r="X4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3" s="30" t="str">
        <f>IF(Inventory_List_Table341115109111317181416192021[[#This Row],[Q]]&lt;0.1, " ",Inventory_List_Table341115109111317181416192021[[#This Row],[PRICE]]/Z43*10000)</f>
        <v xml:space="preserve"> </v>
      </c>
      <c r="AB43" s="457"/>
      <c r="AC43" s="1"/>
      <c r="AD43" s="1"/>
    </row>
    <row r="44" spans="1:30" ht="24" customHeight="1" x14ac:dyDescent="0.3">
      <c r="A44" s="451">
        <v>42</v>
      </c>
      <c r="B44" s="1"/>
      <c r="C44" s="452"/>
      <c r="D44" s="452"/>
      <c r="E44" s="452"/>
      <c r="F44" s="38" t="str">
        <f>IF(Inventory_List_Table341115109111317181416192021[[#This Row],[Q]]&lt;0.1, " ",#REF!&amp;$D$1&amp;#REF!&amp;Inventory_List_Table341115109111317181416192021[[#This Row],[NOTES]])</f>
        <v xml:space="preserve"> </v>
      </c>
      <c r="G44" s="454"/>
      <c r="H44" s="454"/>
      <c r="I44" s="454"/>
      <c r="J44" s="454"/>
      <c r="K44" s="454"/>
      <c r="L44" s="456"/>
      <c r="M4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4" s="35" t="str">
        <f>IF(Inventory_List_Table341115109111317181416192021[[#This Row],[Q]]&lt;0.1, " ", Inventory_List_Table341115109111317181416192021[[#This Row],[KG]]*2.20462)</f>
        <v xml:space="preserve"> </v>
      </c>
      <c r="O44" s="35" t="str">
        <f>IF(Inventory_List_Table341115109111317181416192021[[#This Row],[Q]]&lt;0.1, " ",Inventory_List_Table341115109111317181416192021[[#This Row],[H CM]]/2.54)</f>
        <v xml:space="preserve"> </v>
      </c>
      <c r="P44" s="35" t="str">
        <f>IF(Inventory_List_Table341115109111317181416192021[[#This Row],[Q]]&lt;0.1, " ",Inventory_List_Table341115109111317181416192021[[#This Row],[W CM]]/2.54)</f>
        <v xml:space="preserve"> </v>
      </c>
      <c r="Q44" s="35" t="str">
        <f>IF(Inventory_List_Table341115109111317181416192021[[#This Row],[Q]]&lt;0.1, " ",Inventory_List_Table341115109111317181416192021[[#This Row],[D CM ]]/2.54)</f>
        <v xml:space="preserve"> </v>
      </c>
      <c r="R44" s="30" t="str">
        <f>IF(Inventory_List_Table341115109111317181416192021[[#This Row],[Q]]&lt;0.1, " ",Inventory_List_Table341115109111317181416192021[[#This Row],[PRICE]]/$L$1)</f>
        <v xml:space="preserve"> </v>
      </c>
      <c r="S4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4" s="30" t="str">
        <f>IF(Inventory_List_Table341115109111317181416192021[[#This Row],[Q]]&lt;0.1, " ",Inventory_List_Table341115109111317181416192021[[#This Row],[AQ RND USD]]*1.4)</f>
        <v xml:space="preserve"> </v>
      </c>
      <c r="U4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4" s="30" t="str">
        <f>IF(Inventory_List_Table341115109111317181416192021[[#This Row],[Q]]&lt;0.1, " ",Inventory_List_Table341115109111317181416192021[[#This Row],[LND RND USD]]*12)</f>
        <v xml:space="preserve"> </v>
      </c>
      <c r="W44" s="30" t="str">
        <f>IF(Inventory_List_Table341115109111317181416192021[[#This Row],[Q]]&lt;0.1, " ",Inventory_List_Table341115109111317181416192021[[#This Row],[AQ USD]])</f>
        <v xml:space="preserve"> </v>
      </c>
      <c r="X4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4" s="30" t="str">
        <f>IF(Inventory_List_Table341115109111317181416192021[[#This Row],[Q]]&lt;0.1, " ",Inventory_List_Table341115109111317181416192021[[#This Row],[PRICE]]/Z44*10000)</f>
        <v xml:space="preserve"> </v>
      </c>
      <c r="AB44" s="457"/>
      <c r="AC44" s="1"/>
      <c r="AD44" s="1"/>
    </row>
    <row r="45" spans="1:30" ht="24" customHeight="1" x14ac:dyDescent="0.3">
      <c r="A45" s="451">
        <v>43</v>
      </c>
      <c r="B45" s="1"/>
      <c r="C45" s="452"/>
      <c r="D45" s="452"/>
      <c r="E45" s="452"/>
      <c r="F45" s="38" t="str">
        <f>IF(Inventory_List_Table341115109111317181416192021[[#This Row],[Q]]&lt;0.1, " ",#REF!&amp;$D$1&amp;#REF!&amp;Inventory_List_Table341115109111317181416192021[[#This Row],[NOTES]])</f>
        <v xml:space="preserve"> </v>
      </c>
      <c r="G45" s="454"/>
      <c r="H45" s="454"/>
      <c r="I45" s="454"/>
      <c r="J45" s="454"/>
      <c r="K45" s="454"/>
      <c r="L45" s="456"/>
      <c r="M4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5" s="35" t="str">
        <f>IF(Inventory_List_Table341115109111317181416192021[[#This Row],[Q]]&lt;0.1, " ", Inventory_List_Table341115109111317181416192021[[#This Row],[KG]]*2.20462)</f>
        <v xml:space="preserve"> </v>
      </c>
      <c r="O45" s="35" t="str">
        <f>IF(Inventory_List_Table341115109111317181416192021[[#This Row],[Q]]&lt;0.1, " ",Inventory_List_Table341115109111317181416192021[[#This Row],[H CM]]/2.54)</f>
        <v xml:space="preserve"> </v>
      </c>
      <c r="P45" s="35" t="str">
        <f>IF(Inventory_List_Table341115109111317181416192021[[#This Row],[Q]]&lt;0.1, " ",Inventory_List_Table341115109111317181416192021[[#This Row],[W CM]]/2.54)</f>
        <v xml:space="preserve"> </v>
      </c>
      <c r="Q45" s="35" t="str">
        <f>IF(Inventory_List_Table341115109111317181416192021[[#This Row],[Q]]&lt;0.1, " ",Inventory_List_Table341115109111317181416192021[[#This Row],[D CM ]]/2.54)</f>
        <v xml:space="preserve"> </v>
      </c>
      <c r="R45" s="30" t="str">
        <f>IF(Inventory_List_Table341115109111317181416192021[[#This Row],[Q]]&lt;0.1, " ",Inventory_List_Table341115109111317181416192021[[#This Row],[PRICE]]/$L$1)</f>
        <v xml:space="preserve"> </v>
      </c>
      <c r="S4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5" s="30" t="str">
        <f>IF(Inventory_List_Table341115109111317181416192021[[#This Row],[Q]]&lt;0.1, " ",Inventory_List_Table341115109111317181416192021[[#This Row],[AQ RND USD]]*1.4)</f>
        <v xml:space="preserve"> </v>
      </c>
      <c r="U4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5" s="30" t="str">
        <f>IF(Inventory_List_Table341115109111317181416192021[[#This Row],[Q]]&lt;0.1, " ",Inventory_List_Table341115109111317181416192021[[#This Row],[LND RND USD]]*12)</f>
        <v xml:space="preserve"> </v>
      </c>
      <c r="W45" s="30" t="str">
        <f>IF(Inventory_List_Table341115109111317181416192021[[#This Row],[Q]]&lt;0.1, " ",Inventory_List_Table341115109111317181416192021[[#This Row],[AQ USD]])</f>
        <v xml:space="preserve"> </v>
      </c>
      <c r="X4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5" s="30" t="str">
        <f>IF(Inventory_List_Table341115109111317181416192021[[#This Row],[Q]]&lt;0.1, " ",Inventory_List_Table341115109111317181416192021[[#This Row],[PRICE]]/Z45*10000)</f>
        <v xml:space="preserve"> </v>
      </c>
      <c r="AB45" s="457"/>
      <c r="AC45" s="1"/>
      <c r="AD45" s="1"/>
    </row>
    <row r="46" spans="1:30" ht="24" customHeight="1" x14ac:dyDescent="0.3">
      <c r="A46" s="451">
        <v>44</v>
      </c>
      <c r="B46" s="1"/>
      <c r="C46" s="452"/>
      <c r="D46" s="452"/>
      <c r="E46" s="452"/>
      <c r="F46" s="38" t="str">
        <f>IF(Inventory_List_Table341115109111317181416192021[[#This Row],[Q]]&lt;0.1, " ",#REF!&amp;$D$1&amp;#REF!&amp;Inventory_List_Table341115109111317181416192021[[#This Row],[NOTES]])</f>
        <v xml:space="preserve"> </v>
      </c>
      <c r="G46" s="454"/>
      <c r="H46" s="454"/>
      <c r="I46" s="454"/>
      <c r="J46" s="454"/>
      <c r="K46" s="454"/>
      <c r="L46" s="456"/>
      <c r="M4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6" s="35" t="str">
        <f>IF(Inventory_List_Table341115109111317181416192021[[#This Row],[Q]]&lt;0.1, " ", Inventory_List_Table341115109111317181416192021[[#This Row],[KG]]*2.20462)</f>
        <v xml:space="preserve"> </v>
      </c>
      <c r="O46" s="35" t="str">
        <f>IF(Inventory_List_Table341115109111317181416192021[[#This Row],[Q]]&lt;0.1, " ",Inventory_List_Table341115109111317181416192021[[#This Row],[H CM]]/2.54)</f>
        <v xml:space="preserve"> </v>
      </c>
      <c r="P46" s="35" t="str">
        <f>IF(Inventory_List_Table341115109111317181416192021[[#This Row],[Q]]&lt;0.1, " ",Inventory_List_Table341115109111317181416192021[[#This Row],[W CM]]/2.54)</f>
        <v xml:space="preserve"> </v>
      </c>
      <c r="Q46" s="35" t="str">
        <f>IF(Inventory_List_Table341115109111317181416192021[[#This Row],[Q]]&lt;0.1, " ",Inventory_List_Table341115109111317181416192021[[#This Row],[D CM ]]/2.54)</f>
        <v xml:space="preserve"> </v>
      </c>
      <c r="R46" s="30" t="str">
        <f>IF(Inventory_List_Table341115109111317181416192021[[#This Row],[Q]]&lt;0.1, " ",Inventory_List_Table341115109111317181416192021[[#This Row],[PRICE]]/$L$1)</f>
        <v xml:space="preserve"> </v>
      </c>
      <c r="S4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6" s="30" t="str">
        <f>IF(Inventory_List_Table341115109111317181416192021[[#This Row],[Q]]&lt;0.1, " ",Inventory_List_Table341115109111317181416192021[[#This Row],[AQ RND USD]]*1.4)</f>
        <v xml:space="preserve"> </v>
      </c>
      <c r="U4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6" s="30" t="str">
        <f>IF(Inventory_List_Table341115109111317181416192021[[#This Row],[Q]]&lt;0.1, " ",Inventory_List_Table341115109111317181416192021[[#This Row],[LND RND USD]]*12)</f>
        <v xml:space="preserve"> </v>
      </c>
      <c r="W46" s="30" t="str">
        <f>IF(Inventory_List_Table341115109111317181416192021[[#This Row],[Q]]&lt;0.1, " ",Inventory_List_Table341115109111317181416192021[[#This Row],[AQ USD]])</f>
        <v xml:space="preserve"> </v>
      </c>
      <c r="X4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6" s="30" t="str">
        <f>IF(Inventory_List_Table341115109111317181416192021[[#This Row],[Q]]&lt;0.1, " ",Inventory_List_Table341115109111317181416192021[[#This Row],[PRICE]]/Z46*10000)</f>
        <v xml:space="preserve"> </v>
      </c>
      <c r="AB46" s="457"/>
      <c r="AC46" s="1"/>
      <c r="AD46" s="1"/>
    </row>
    <row r="47" spans="1:30" ht="24" customHeight="1" x14ac:dyDescent="0.3">
      <c r="A47" s="451">
        <v>45</v>
      </c>
      <c r="B47" s="1"/>
      <c r="C47" s="452"/>
      <c r="D47" s="452"/>
      <c r="E47" s="452"/>
      <c r="F47" s="38" t="str">
        <f>IF(Inventory_List_Table341115109111317181416192021[[#This Row],[Q]]&lt;0.1, " ",#REF!&amp;$D$1&amp;#REF!&amp;Inventory_List_Table341115109111317181416192021[[#This Row],[NOTES]])</f>
        <v xml:space="preserve"> </v>
      </c>
      <c r="G47" s="454"/>
      <c r="H47" s="454"/>
      <c r="I47" s="454"/>
      <c r="J47" s="454"/>
      <c r="K47" s="454"/>
      <c r="L47" s="456"/>
      <c r="M4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7" s="35" t="str">
        <f>IF(Inventory_List_Table341115109111317181416192021[[#This Row],[Q]]&lt;0.1, " ", Inventory_List_Table341115109111317181416192021[[#This Row],[KG]]*2.20462)</f>
        <v xml:space="preserve"> </v>
      </c>
      <c r="O47" s="35" t="str">
        <f>IF(Inventory_List_Table341115109111317181416192021[[#This Row],[Q]]&lt;0.1, " ",Inventory_List_Table341115109111317181416192021[[#This Row],[H CM]]/2.54)</f>
        <v xml:space="preserve"> </v>
      </c>
      <c r="P47" s="35" t="str">
        <f>IF(Inventory_List_Table341115109111317181416192021[[#This Row],[Q]]&lt;0.1, " ",Inventory_List_Table341115109111317181416192021[[#This Row],[W CM]]/2.54)</f>
        <v xml:space="preserve"> </v>
      </c>
      <c r="Q47" s="35" t="str">
        <f>IF(Inventory_List_Table341115109111317181416192021[[#This Row],[Q]]&lt;0.1, " ",Inventory_List_Table341115109111317181416192021[[#This Row],[D CM ]]/2.54)</f>
        <v xml:space="preserve"> </v>
      </c>
      <c r="R47" s="30" t="str">
        <f>IF(Inventory_List_Table341115109111317181416192021[[#This Row],[Q]]&lt;0.1, " ",Inventory_List_Table341115109111317181416192021[[#This Row],[PRICE]]/$L$1)</f>
        <v xml:space="preserve"> </v>
      </c>
      <c r="S4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7" s="30" t="str">
        <f>IF(Inventory_List_Table341115109111317181416192021[[#This Row],[Q]]&lt;0.1, " ",Inventory_List_Table341115109111317181416192021[[#This Row],[AQ RND USD]]*1.4)</f>
        <v xml:space="preserve"> </v>
      </c>
      <c r="U4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7" s="30" t="str">
        <f>IF(Inventory_List_Table341115109111317181416192021[[#This Row],[Q]]&lt;0.1, " ",Inventory_List_Table341115109111317181416192021[[#This Row],[LND RND USD]]*12)</f>
        <v xml:space="preserve"> </v>
      </c>
      <c r="W47" s="30" t="str">
        <f>IF(Inventory_List_Table341115109111317181416192021[[#This Row],[Q]]&lt;0.1, " ",Inventory_List_Table341115109111317181416192021[[#This Row],[AQ USD]])</f>
        <v xml:space="preserve"> </v>
      </c>
      <c r="X4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7" s="30" t="str">
        <f>IF(Inventory_List_Table341115109111317181416192021[[#This Row],[Q]]&lt;0.1, " ",Inventory_List_Table341115109111317181416192021[[#This Row],[PRICE]]/Z47*10000)</f>
        <v xml:space="preserve"> </v>
      </c>
      <c r="AB47" s="457"/>
      <c r="AC47" s="1"/>
      <c r="AD47" s="1"/>
    </row>
    <row r="48" spans="1:30" ht="24" customHeight="1" x14ac:dyDescent="0.3">
      <c r="A48" s="451">
        <v>46</v>
      </c>
      <c r="B48" s="1"/>
      <c r="C48" s="452"/>
      <c r="D48" s="452"/>
      <c r="E48" s="452"/>
      <c r="F48" s="38" t="str">
        <f>IF(Inventory_List_Table341115109111317181416192021[[#This Row],[Q]]&lt;0.1, " ",#REF!&amp;$D$1&amp;#REF!&amp;Inventory_List_Table341115109111317181416192021[[#This Row],[NOTES]])</f>
        <v xml:space="preserve"> </v>
      </c>
      <c r="G48" s="454"/>
      <c r="H48" s="454"/>
      <c r="I48" s="454"/>
      <c r="J48" s="454"/>
      <c r="K48" s="454"/>
      <c r="L48" s="456"/>
      <c r="M4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8" s="35" t="str">
        <f>IF(Inventory_List_Table341115109111317181416192021[[#This Row],[Q]]&lt;0.1, " ", Inventory_List_Table341115109111317181416192021[[#This Row],[KG]]*2.20462)</f>
        <v xml:space="preserve"> </v>
      </c>
      <c r="O48" s="35" t="str">
        <f>IF(Inventory_List_Table341115109111317181416192021[[#This Row],[Q]]&lt;0.1, " ",Inventory_List_Table341115109111317181416192021[[#This Row],[H CM]]/2.54)</f>
        <v xml:space="preserve"> </v>
      </c>
      <c r="P48" s="35" t="str">
        <f>IF(Inventory_List_Table341115109111317181416192021[[#This Row],[Q]]&lt;0.1, " ",Inventory_List_Table341115109111317181416192021[[#This Row],[W CM]]/2.54)</f>
        <v xml:space="preserve"> </v>
      </c>
      <c r="Q48" s="35" t="str">
        <f>IF(Inventory_List_Table341115109111317181416192021[[#This Row],[Q]]&lt;0.1, " ",Inventory_List_Table341115109111317181416192021[[#This Row],[D CM ]]/2.54)</f>
        <v xml:space="preserve"> </v>
      </c>
      <c r="R48" s="30" t="str">
        <f>IF(Inventory_List_Table341115109111317181416192021[[#This Row],[Q]]&lt;0.1, " ",Inventory_List_Table341115109111317181416192021[[#This Row],[PRICE]]/$L$1)</f>
        <v xml:space="preserve"> </v>
      </c>
      <c r="S4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8" s="30" t="str">
        <f>IF(Inventory_List_Table341115109111317181416192021[[#This Row],[Q]]&lt;0.1, " ",Inventory_List_Table341115109111317181416192021[[#This Row],[AQ RND USD]]*1.4)</f>
        <v xml:space="preserve"> </v>
      </c>
      <c r="U4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8" s="30" t="str">
        <f>IF(Inventory_List_Table341115109111317181416192021[[#This Row],[Q]]&lt;0.1, " ",Inventory_List_Table341115109111317181416192021[[#This Row],[LND RND USD]]*12)</f>
        <v xml:space="preserve"> </v>
      </c>
      <c r="W48" s="30" t="str">
        <f>IF(Inventory_List_Table341115109111317181416192021[[#This Row],[Q]]&lt;0.1, " ",Inventory_List_Table341115109111317181416192021[[#This Row],[AQ USD]])</f>
        <v xml:space="preserve"> </v>
      </c>
      <c r="X4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8" s="30" t="str">
        <f>IF(Inventory_List_Table341115109111317181416192021[[#This Row],[Q]]&lt;0.1, " ",Inventory_List_Table341115109111317181416192021[[#This Row],[PRICE]]/Z48*10000)</f>
        <v xml:space="preserve"> </v>
      </c>
      <c r="AB48" s="457"/>
      <c r="AC48" s="1"/>
      <c r="AD48" s="1"/>
    </row>
    <row r="49" spans="1:30" ht="24" customHeight="1" x14ac:dyDescent="0.3">
      <c r="A49" s="451">
        <v>47</v>
      </c>
      <c r="B49" s="1"/>
      <c r="C49" s="452"/>
      <c r="D49" s="452"/>
      <c r="E49" s="452"/>
      <c r="F49" s="38" t="str">
        <f>IF(Inventory_List_Table341115109111317181416192021[[#This Row],[Q]]&lt;0.1, " ",#REF!&amp;$D$1&amp;#REF!&amp;Inventory_List_Table341115109111317181416192021[[#This Row],[NOTES]])</f>
        <v xml:space="preserve"> </v>
      </c>
      <c r="G49" s="454"/>
      <c r="H49" s="454"/>
      <c r="I49" s="454"/>
      <c r="J49" s="454"/>
      <c r="K49" s="454"/>
      <c r="L49" s="456"/>
      <c r="M4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49" s="35" t="str">
        <f>IF(Inventory_List_Table341115109111317181416192021[[#This Row],[Q]]&lt;0.1, " ", Inventory_List_Table341115109111317181416192021[[#This Row],[KG]]*2.20462)</f>
        <v xml:space="preserve"> </v>
      </c>
      <c r="O49" s="35" t="str">
        <f>IF(Inventory_List_Table341115109111317181416192021[[#This Row],[Q]]&lt;0.1, " ",Inventory_List_Table341115109111317181416192021[[#This Row],[H CM]]/2.54)</f>
        <v xml:space="preserve"> </v>
      </c>
      <c r="P49" s="35" t="str">
        <f>IF(Inventory_List_Table341115109111317181416192021[[#This Row],[Q]]&lt;0.1, " ",Inventory_List_Table341115109111317181416192021[[#This Row],[W CM]]/2.54)</f>
        <v xml:space="preserve"> </v>
      </c>
      <c r="Q49" s="35" t="str">
        <f>IF(Inventory_List_Table341115109111317181416192021[[#This Row],[Q]]&lt;0.1, " ",Inventory_List_Table341115109111317181416192021[[#This Row],[D CM ]]/2.54)</f>
        <v xml:space="preserve"> </v>
      </c>
      <c r="R49" s="30" t="str">
        <f>IF(Inventory_List_Table341115109111317181416192021[[#This Row],[Q]]&lt;0.1, " ",Inventory_List_Table341115109111317181416192021[[#This Row],[PRICE]]/$L$1)</f>
        <v xml:space="preserve"> </v>
      </c>
      <c r="S4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49" s="30" t="str">
        <f>IF(Inventory_List_Table341115109111317181416192021[[#This Row],[Q]]&lt;0.1, " ",Inventory_List_Table341115109111317181416192021[[#This Row],[AQ RND USD]]*1.4)</f>
        <v xml:space="preserve"> </v>
      </c>
      <c r="U4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49" s="30" t="str">
        <f>IF(Inventory_List_Table341115109111317181416192021[[#This Row],[Q]]&lt;0.1, " ",Inventory_List_Table341115109111317181416192021[[#This Row],[LND RND USD]]*12)</f>
        <v xml:space="preserve"> </v>
      </c>
      <c r="W49" s="30" t="str">
        <f>IF(Inventory_List_Table341115109111317181416192021[[#This Row],[Q]]&lt;0.1, " ",Inventory_List_Table341115109111317181416192021[[#This Row],[AQ USD]])</f>
        <v xml:space="preserve"> </v>
      </c>
      <c r="X4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4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4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49" s="30" t="str">
        <f>IF(Inventory_List_Table341115109111317181416192021[[#This Row],[Q]]&lt;0.1, " ",Inventory_List_Table341115109111317181416192021[[#This Row],[PRICE]]/Z49*10000)</f>
        <v xml:space="preserve"> </v>
      </c>
      <c r="AB49" s="457"/>
      <c r="AC49" s="1"/>
      <c r="AD49" s="1"/>
    </row>
    <row r="50" spans="1:30" ht="24" customHeight="1" x14ac:dyDescent="0.3">
      <c r="A50" s="451">
        <v>48</v>
      </c>
      <c r="B50" s="1"/>
      <c r="C50" s="452"/>
      <c r="D50" s="452"/>
      <c r="E50" s="452"/>
      <c r="F50" s="38" t="str">
        <f>IF(Inventory_List_Table341115109111317181416192021[[#This Row],[Q]]&lt;0.1, " ",#REF!&amp;$D$1&amp;#REF!&amp;Inventory_List_Table341115109111317181416192021[[#This Row],[NOTES]])</f>
        <v xml:space="preserve"> </v>
      </c>
      <c r="G50" s="454"/>
      <c r="H50" s="454"/>
      <c r="I50" s="454"/>
      <c r="J50" s="454"/>
      <c r="K50" s="454"/>
      <c r="L50" s="456"/>
      <c r="M5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0" s="35" t="str">
        <f>IF(Inventory_List_Table341115109111317181416192021[[#This Row],[Q]]&lt;0.1, " ", Inventory_List_Table341115109111317181416192021[[#This Row],[KG]]*2.20462)</f>
        <v xml:space="preserve"> </v>
      </c>
      <c r="O50" s="35" t="str">
        <f>IF(Inventory_List_Table341115109111317181416192021[[#This Row],[Q]]&lt;0.1, " ",Inventory_List_Table341115109111317181416192021[[#This Row],[H CM]]/2.54)</f>
        <v xml:space="preserve"> </v>
      </c>
      <c r="P50" s="35" t="str">
        <f>IF(Inventory_List_Table341115109111317181416192021[[#This Row],[Q]]&lt;0.1, " ",Inventory_List_Table341115109111317181416192021[[#This Row],[W CM]]/2.54)</f>
        <v xml:space="preserve"> </v>
      </c>
      <c r="Q50" s="35" t="str">
        <f>IF(Inventory_List_Table341115109111317181416192021[[#This Row],[Q]]&lt;0.1, " ",Inventory_List_Table341115109111317181416192021[[#This Row],[D CM ]]/2.54)</f>
        <v xml:space="preserve"> </v>
      </c>
      <c r="R50" s="30" t="str">
        <f>IF(Inventory_List_Table341115109111317181416192021[[#This Row],[Q]]&lt;0.1, " ",Inventory_List_Table341115109111317181416192021[[#This Row],[PRICE]]/$L$1)</f>
        <v xml:space="preserve"> </v>
      </c>
      <c r="S5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0" s="30" t="str">
        <f>IF(Inventory_List_Table341115109111317181416192021[[#This Row],[Q]]&lt;0.1, " ",Inventory_List_Table341115109111317181416192021[[#This Row],[AQ RND USD]]*1.4)</f>
        <v xml:space="preserve"> </v>
      </c>
      <c r="U5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0" s="30" t="str">
        <f>IF(Inventory_List_Table341115109111317181416192021[[#This Row],[Q]]&lt;0.1, " ",Inventory_List_Table341115109111317181416192021[[#This Row],[LND RND USD]]*12)</f>
        <v xml:space="preserve"> </v>
      </c>
      <c r="W50" s="30" t="str">
        <f>IF(Inventory_List_Table341115109111317181416192021[[#This Row],[Q]]&lt;0.1, " ",Inventory_List_Table341115109111317181416192021[[#This Row],[AQ USD]])</f>
        <v xml:space="preserve"> </v>
      </c>
      <c r="X5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0" s="30" t="str">
        <f>IF(Inventory_List_Table341115109111317181416192021[[#This Row],[Q]]&lt;0.1, " ",Inventory_List_Table341115109111317181416192021[[#This Row],[PRICE]]/Z50*10000)</f>
        <v xml:space="preserve"> </v>
      </c>
      <c r="AB50" s="457"/>
      <c r="AC50" s="1"/>
      <c r="AD50" s="1"/>
    </row>
    <row r="51" spans="1:30" ht="24" customHeight="1" x14ac:dyDescent="0.3">
      <c r="A51" s="451">
        <v>49</v>
      </c>
      <c r="B51" s="1"/>
      <c r="C51" s="452"/>
      <c r="D51" s="452"/>
      <c r="E51" s="452"/>
      <c r="F51" s="38" t="str">
        <f>IF(Inventory_List_Table341115109111317181416192021[[#This Row],[Q]]&lt;0.1, " ",#REF!&amp;$D$1&amp;#REF!&amp;Inventory_List_Table341115109111317181416192021[[#This Row],[NOTES]])</f>
        <v xml:space="preserve"> </v>
      </c>
      <c r="G51" s="454"/>
      <c r="H51" s="454"/>
      <c r="I51" s="454"/>
      <c r="J51" s="454"/>
      <c r="K51" s="454"/>
      <c r="L51" s="456"/>
      <c r="M5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1" s="35" t="str">
        <f>IF(Inventory_List_Table341115109111317181416192021[[#This Row],[Q]]&lt;0.1, " ", Inventory_List_Table341115109111317181416192021[[#This Row],[KG]]*2.20462)</f>
        <v xml:space="preserve"> </v>
      </c>
      <c r="O51" s="35" t="str">
        <f>IF(Inventory_List_Table341115109111317181416192021[[#This Row],[Q]]&lt;0.1, " ",Inventory_List_Table341115109111317181416192021[[#This Row],[H CM]]/2.54)</f>
        <v xml:space="preserve"> </v>
      </c>
      <c r="P51" s="35" t="str">
        <f>IF(Inventory_List_Table341115109111317181416192021[[#This Row],[Q]]&lt;0.1, " ",Inventory_List_Table341115109111317181416192021[[#This Row],[W CM]]/2.54)</f>
        <v xml:space="preserve"> </v>
      </c>
      <c r="Q51" s="35" t="str">
        <f>IF(Inventory_List_Table341115109111317181416192021[[#This Row],[Q]]&lt;0.1, " ",Inventory_List_Table341115109111317181416192021[[#This Row],[D CM ]]/2.54)</f>
        <v xml:space="preserve"> </v>
      </c>
      <c r="R51" s="30" t="str">
        <f>IF(Inventory_List_Table341115109111317181416192021[[#This Row],[Q]]&lt;0.1, " ",Inventory_List_Table341115109111317181416192021[[#This Row],[PRICE]]/$L$1)</f>
        <v xml:space="preserve"> </v>
      </c>
      <c r="S5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1" s="30" t="str">
        <f>IF(Inventory_List_Table341115109111317181416192021[[#This Row],[Q]]&lt;0.1, " ",Inventory_List_Table341115109111317181416192021[[#This Row],[AQ RND USD]]*1.4)</f>
        <v xml:space="preserve"> </v>
      </c>
      <c r="U5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1" s="30" t="str">
        <f>IF(Inventory_List_Table341115109111317181416192021[[#This Row],[Q]]&lt;0.1, " ",Inventory_List_Table341115109111317181416192021[[#This Row],[LND RND USD]]*12)</f>
        <v xml:space="preserve"> </v>
      </c>
      <c r="W51" s="30" t="str">
        <f>IF(Inventory_List_Table341115109111317181416192021[[#This Row],[Q]]&lt;0.1, " ",Inventory_List_Table341115109111317181416192021[[#This Row],[AQ USD]])</f>
        <v xml:space="preserve"> </v>
      </c>
      <c r="X5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1" s="30" t="str">
        <f>IF(Inventory_List_Table341115109111317181416192021[[#This Row],[Q]]&lt;0.1, " ",Inventory_List_Table341115109111317181416192021[[#This Row],[PRICE]]/Z51*10000)</f>
        <v xml:space="preserve"> </v>
      </c>
      <c r="AB51" s="457"/>
      <c r="AC51" s="1"/>
      <c r="AD51" s="1"/>
    </row>
    <row r="52" spans="1:30" ht="24" customHeight="1" x14ac:dyDescent="0.3">
      <c r="A52" s="451">
        <v>50</v>
      </c>
      <c r="B52" s="1"/>
      <c r="C52" s="452"/>
      <c r="D52" s="452"/>
      <c r="E52" s="452"/>
      <c r="F52" s="38" t="str">
        <f>IF(Inventory_List_Table341115109111317181416192021[[#This Row],[Q]]&lt;0.1, " ",#REF!&amp;$D$1&amp;#REF!&amp;Inventory_List_Table341115109111317181416192021[[#This Row],[NOTES]])</f>
        <v xml:space="preserve"> </v>
      </c>
      <c r="G52" s="454"/>
      <c r="H52" s="454"/>
      <c r="I52" s="454"/>
      <c r="J52" s="454"/>
      <c r="K52" s="454"/>
      <c r="L52" s="456"/>
      <c r="M5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2" s="35" t="str">
        <f>IF(Inventory_List_Table341115109111317181416192021[[#This Row],[Q]]&lt;0.1, " ", Inventory_List_Table341115109111317181416192021[[#This Row],[KG]]*2.20462)</f>
        <v xml:space="preserve"> </v>
      </c>
      <c r="O52" s="35" t="str">
        <f>IF(Inventory_List_Table341115109111317181416192021[[#This Row],[Q]]&lt;0.1, " ",Inventory_List_Table341115109111317181416192021[[#This Row],[H CM]]/2.54)</f>
        <v xml:space="preserve"> </v>
      </c>
      <c r="P52" s="35" t="str">
        <f>IF(Inventory_List_Table341115109111317181416192021[[#This Row],[Q]]&lt;0.1, " ",Inventory_List_Table341115109111317181416192021[[#This Row],[W CM]]/2.54)</f>
        <v xml:space="preserve"> </v>
      </c>
      <c r="Q52" s="35" t="str">
        <f>IF(Inventory_List_Table341115109111317181416192021[[#This Row],[Q]]&lt;0.1, " ",Inventory_List_Table341115109111317181416192021[[#This Row],[D CM ]]/2.54)</f>
        <v xml:space="preserve"> </v>
      </c>
      <c r="R52" s="30" t="str">
        <f>IF(Inventory_List_Table341115109111317181416192021[[#This Row],[Q]]&lt;0.1, " ",Inventory_List_Table341115109111317181416192021[[#This Row],[PRICE]]/$L$1)</f>
        <v xml:space="preserve"> </v>
      </c>
      <c r="S5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2" s="30" t="str">
        <f>IF(Inventory_List_Table341115109111317181416192021[[#This Row],[Q]]&lt;0.1, " ",Inventory_List_Table341115109111317181416192021[[#This Row],[AQ RND USD]]*1.4)</f>
        <v xml:space="preserve"> </v>
      </c>
      <c r="U5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2" s="30" t="str">
        <f>IF(Inventory_List_Table341115109111317181416192021[[#This Row],[Q]]&lt;0.1, " ",Inventory_List_Table341115109111317181416192021[[#This Row],[LND RND USD]]*12)</f>
        <v xml:space="preserve"> </v>
      </c>
      <c r="W52" s="30" t="str">
        <f>IF(Inventory_List_Table341115109111317181416192021[[#This Row],[Q]]&lt;0.1, " ",Inventory_List_Table341115109111317181416192021[[#This Row],[AQ USD]])</f>
        <v xml:space="preserve"> </v>
      </c>
      <c r="X5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2" s="30" t="str">
        <f>IF(Inventory_List_Table341115109111317181416192021[[#This Row],[Q]]&lt;0.1, " ",Inventory_List_Table341115109111317181416192021[[#This Row],[PRICE]]/Z52*10000)</f>
        <v xml:space="preserve"> </v>
      </c>
      <c r="AB52" s="457"/>
      <c r="AC52" s="1"/>
      <c r="AD52" s="1"/>
    </row>
    <row r="53" spans="1:30" ht="24" customHeight="1" x14ac:dyDescent="0.3">
      <c r="A53" s="451">
        <v>51</v>
      </c>
      <c r="B53" s="1"/>
      <c r="C53" s="452"/>
      <c r="D53" s="452"/>
      <c r="E53" s="452"/>
      <c r="F53" s="38" t="str">
        <f>IF(Inventory_List_Table341115109111317181416192021[[#This Row],[Q]]&lt;0.1, " ",#REF!&amp;$D$1&amp;#REF!&amp;Inventory_List_Table341115109111317181416192021[[#This Row],[NOTES]])</f>
        <v xml:space="preserve"> </v>
      </c>
      <c r="G53" s="454"/>
      <c r="H53" s="454"/>
      <c r="I53" s="454"/>
      <c r="J53" s="454"/>
      <c r="K53" s="454"/>
      <c r="L53" s="456"/>
      <c r="M5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3" s="35" t="str">
        <f>IF(Inventory_List_Table341115109111317181416192021[[#This Row],[Q]]&lt;0.1, " ", Inventory_List_Table341115109111317181416192021[[#This Row],[KG]]*2.20462)</f>
        <v xml:space="preserve"> </v>
      </c>
      <c r="O53" s="35" t="str">
        <f>IF(Inventory_List_Table341115109111317181416192021[[#This Row],[Q]]&lt;0.1, " ",Inventory_List_Table341115109111317181416192021[[#This Row],[H CM]]/2.54)</f>
        <v xml:space="preserve"> </v>
      </c>
      <c r="P53" s="35" t="str">
        <f>IF(Inventory_List_Table341115109111317181416192021[[#This Row],[Q]]&lt;0.1, " ",Inventory_List_Table341115109111317181416192021[[#This Row],[W CM]]/2.54)</f>
        <v xml:space="preserve"> </v>
      </c>
      <c r="Q53" s="35" t="str">
        <f>IF(Inventory_List_Table341115109111317181416192021[[#This Row],[Q]]&lt;0.1, " ",Inventory_List_Table341115109111317181416192021[[#This Row],[D CM ]]/2.54)</f>
        <v xml:space="preserve"> </v>
      </c>
      <c r="R53" s="30" t="str">
        <f>IF(Inventory_List_Table341115109111317181416192021[[#This Row],[Q]]&lt;0.1, " ",Inventory_List_Table341115109111317181416192021[[#This Row],[PRICE]]/$L$1)</f>
        <v xml:space="preserve"> </v>
      </c>
      <c r="S5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3" s="30" t="str">
        <f>IF(Inventory_List_Table341115109111317181416192021[[#This Row],[Q]]&lt;0.1, " ",Inventory_List_Table341115109111317181416192021[[#This Row],[AQ RND USD]]*1.4)</f>
        <v xml:space="preserve"> </v>
      </c>
      <c r="U5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3" s="30" t="str">
        <f>IF(Inventory_List_Table341115109111317181416192021[[#This Row],[Q]]&lt;0.1, " ",Inventory_List_Table341115109111317181416192021[[#This Row],[LND RND USD]]*12)</f>
        <v xml:space="preserve"> </v>
      </c>
      <c r="W53" s="30" t="str">
        <f>IF(Inventory_List_Table341115109111317181416192021[[#This Row],[Q]]&lt;0.1, " ",Inventory_List_Table341115109111317181416192021[[#This Row],[AQ USD]])</f>
        <v xml:space="preserve"> </v>
      </c>
      <c r="X5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3" s="30" t="str">
        <f>IF(Inventory_List_Table341115109111317181416192021[[#This Row],[Q]]&lt;0.1, " ",Inventory_List_Table341115109111317181416192021[[#This Row],[PRICE]]/Z53*10000)</f>
        <v xml:space="preserve"> </v>
      </c>
      <c r="AB53" s="457"/>
      <c r="AC53" s="1"/>
      <c r="AD53" s="1"/>
    </row>
    <row r="54" spans="1:30" ht="24" customHeight="1" x14ac:dyDescent="0.3">
      <c r="A54" s="451">
        <v>52</v>
      </c>
      <c r="B54" s="1"/>
      <c r="C54" s="452"/>
      <c r="D54" s="452"/>
      <c r="E54" s="452"/>
      <c r="F54" s="38" t="str">
        <f>IF(Inventory_List_Table341115109111317181416192021[[#This Row],[Q]]&lt;0.1, " ",#REF!&amp;$D$1&amp;#REF!&amp;Inventory_List_Table341115109111317181416192021[[#This Row],[NOTES]])</f>
        <v xml:space="preserve"> </v>
      </c>
      <c r="G54" s="454"/>
      <c r="H54" s="454"/>
      <c r="I54" s="454"/>
      <c r="J54" s="454"/>
      <c r="K54" s="454"/>
      <c r="L54" s="456"/>
      <c r="M5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4" s="35" t="str">
        <f>IF(Inventory_List_Table341115109111317181416192021[[#This Row],[Q]]&lt;0.1, " ", Inventory_List_Table341115109111317181416192021[[#This Row],[KG]]*2.20462)</f>
        <v xml:space="preserve"> </v>
      </c>
      <c r="O54" s="35" t="str">
        <f>IF(Inventory_List_Table341115109111317181416192021[[#This Row],[Q]]&lt;0.1, " ",Inventory_List_Table341115109111317181416192021[[#This Row],[H CM]]/2.54)</f>
        <v xml:space="preserve"> </v>
      </c>
      <c r="P54" s="35" t="str">
        <f>IF(Inventory_List_Table341115109111317181416192021[[#This Row],[Q]]&lt;0.1, " ",Inventory_List_Table341115109111317181416192021[[#This Row],[W CM]]/2.54)</f>
        <v xml:space="preserve"> </v>
      </c>
      <c r="Q54" s="35" t="str">
        <f>IF(Inventory_List_Table341115109111317181416192021[[#This Row],[Q]]&lt;0.1, " ",Inventory_List_Table341115109111317181416192021[[#This Row],[D CM ]]/2.54)</f>
        <v xml:space="preserve"> </v>
      </c>
      <c r="R54" s="30" t="str">
        <f>IF(Inventory_List_Table341115109111317181416192021[[#This Row],[Q]]&lt;0.1, " ",Inventory_List_Table341115109111317181416192021[[#This Row],[PRICE]]/$L$1)</f>
        <v xml:space="preserve"> </v>
      </c>
      <c r="S5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4" s="30" t="str">
        <f>IF(Inventory_List_Table341115109111317181416192021[[#This Row],[Q]]&lt;0.1, " ",Inventory_List_Table341115109111317181416192021[[#This Row],[AQ RND USD]]*1.4)</f>
        <v xml:space="preserve"> </v>
      </c>
      <c r="U5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4" s="30" t="str">
        <f>IF(Inventory_List_Table341115109111317181416192021[[#This Row],[Q]]&lt;0.1, " ",Inventory_List_Table341115109111317181416192021[[#This Row],[LND RND USD]]*12)</f>
        <v xml:space="preserve"> </v>
      </c>
      <c r="W54" s="30" t="str">
        <f>IF(Inventory_List_Table341115109111317181416192021[[#This Row],[Q]]&lt;0.1, " ",Inventory_List_Table341115109111317181416192021[[#This Row],[AQ USD]])</f>
        <v xml:space="preserve"> </v>
      </c>
      <c r="X5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4" s="30" t="str">
        <f>IF(Inventory_List_Table341115109111317181416192021[[#This Row],[Q]]&lt;0.1, " ",Inventory_List_Table341115109111317181416192021[[#This Row],[PRICE]]/Z54*10000)</f>
        <v xml:space="preserve"> </v>
      </c>
      <c r="AB54" s="457"/>
      <c r="AC54" s="1"/>
      <c r="AD54" s="1"/>
    </row>
    <row r="55" spans="1:30" ht="24" customHeight="1" x14ac:dyDescent="0.3">
      <c r="A55" s="451">
        <v>53</v>
      </c>
      <c r="B55" s="1"/>
      <c r="C55" s="452"/>
      <c r="D55" s="452"/>
      <c r="E55" s="452"/>
      <c r="F55" s="38" t="str">
        <f>IF(Inventory_List_Table341115109111317181416192021[[#This Row],[Q]]&lt;0.1, " ",#REF!&amp;$D$1&amp;#REF!&amp;Inventory_List_Table341115109111317181416192021[[#This Row],[NOTES]])</f>
        <v xml:space="preserve"> </v>
      </c>
      <c r="G55" s="454"/>
      <c r="H55" s="454"/>
      <c r="I55" s="454"/>
      <c r="J55" s="454"/>
      <c r="K55" s="454"/>
      <c r="L55" s="456"/>
      <c r="M5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5" s="35" t="str">
        <f>IF(Inventory_List_Table341115109111317181416192021[[#This Row],[Q]]&lt;0.1, " ", Inventory_List_Table341115109111317181416192021[[#This Row],[KG]]*2.20462)</f>
        <v xml:space="preserve"> </v>
      </c>
      <c r="O55" s="35" t="str">
        <f>IF(Inventory_List_Table341115109111317181416192021[[#This Row],[Q]]&lt;0.1, " ",Inventory_List_Table341115109111317181416192021[[#This Row],[H CM]]/2.54)</f>
        <v xml:space="preserve"> </v>
      </c>
      <c r="P55" s="35" t="str">
        <f>IF(Inventory_List_Table341115109111317181416192021[[#This Row],[Q]]&lt;0.1, " ",Inventory_List_Table341115109111317181416192021[[#This Row],[W CM]]/2.54)</f>
        <v xml:space="preserve"> </v>
      </c>
      <c r="Q55" s="35" t="str">
        <f>IF(Inventory_List_Table341115109111317181416192021[[#This Row],[Q]]&lt;0.1, " ",Inventory_List_Table341115109111317181416192021[[#This Row],[D CM ]]/2.54)</f>
        <v xml:space="preserve"> </v>
      </c>
      <c r="R55" s="30" t="str">
        <f>IF(Inventory_List_Table341115109111317181416192021[[#This Row],[Q]]&lt;0.1, " ",Inventory_List_Table341115109111317181416192021[[#This Row],[PRICE]]/$L$1)</f>
        <v xml:space="preserve"> </v>
      </c>
      <c r="S5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5" s="30" t="str">
        <f>IF(Inventory_List_Table341115109111317181416192021[[#This Row],[Q]]&lt;0.1, " ",Inventory_List_Table341115109111317181416192021[[#This Row],[AQ RND USD]]*1.4)</f>
        <v xml:space="preserve"> </v>
      </c>
      <c r="U5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5" s="30" t="str">
        <f>IF(Inventory_List_Table341115109111317181416192021[[#This Row],[Q]]&lt;0.1, " ",Inventory_List_Table341115109111317181416192021[[#This Row],[LND RND USD]]*12)</f>
        <v xml:space="preserve"> </v>
      </c>
      <c r="W55" s="30" t="str">
        <f>IF(Inventory_List_Table341115109111317181416192021[[#This Row],[Q]]&lt;0.1, " ",Inventory_List_Table341115109111317181416192021[[#This Row],[AQ USD]])</f>
        <v xml:space="preserve"> </v>
      </c>
      <c r="X5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5" s="30" t="str">
        <f>IF(Inventory_List_Table341115109111317181416192021[[#This Row],[Q]]&lt;0.1, " ",Inventory_List_Table341115109111317181416192021[[#This Row],[PRICE]]/Z55*10000)</f>
        <v xml:space="preserve"> </v>
      </c>
      <c r="AB55" s="457"/>
      <c r="AC55" s="1"/>
      <c r="AD55" s="1"/>
    </row>
    <row r="56" spans="1:30" ht="24" customHeight="1" x14ac:dyDescent="0.3">
      <c r="A56" s="451">
        <v>54</v>
      </c>
      <c r="B56" s="1"/>
      <c r="C56" s="452"/>
      <c r="D56" s="452"/>
      <c r="E56" s="452"/>
      <c r="F56" s="38" t="str">
        <f>IF(Inventory_List_Table341115109111317181416192021[[#This Row],[Q]]&lt;0.1, " ",#REF!&amp;$D$1&amp;#REF!&amp;Inventory_List_Table341115109111317181416192021[[#This Row],[NOTES]])</f>
        <v xml:space="preserve"> </v>
      </c>
      <c r="G56" s="454"/>
      <c r="H56" s="454"/>
      <c r="I56" s="454"/>
      <c r="J56" s="454"/>
      <c r="K56" s="454"/>
      <c r="L56" s="456"/>
      <c r="M5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6" s="35" t="str">
        <f>IF(Inventory_List_Table341115109111317181416192021[[#This Row],[Q]]&lt;0.1, " ", Inventory_List_Table341115109111317181416192021[[#This Row],[KG]]*2.20462)</f>
        <v xml:space="preserve"> </v>
      </c>
      <c r="O56" s="35" t="str">
        <f>IF(Inventory_List_Table341115109111317181416192021[[#This Row],[Q]]&lt;0.1, " ",Inventory_List_Table341115109111317181416192021[[#This Row],[H CM]]/2.54)</f>
        <v xml:space="preserve"> </v>
      </c>
      <c r="P56" s="35" t="str">
        <f>IF(Inventory_List_Table341115109111317181416192021[[#This Row],[Q]]&lt;0.1, " ",Inventory_List_Table341115109111317181416192021[[#This Row],[W CM]]/2.54)</f>
        <v xml:space="preserve"> </v>
      </c>
      <c r="Q56" s="35" t="str">
        <f>IF(Inventory_List_Table341115109111317181416192021[[#This Row],[Q]]&lt;0.1, " ",Inventory_List_Table341115109111317181416192021[[#This Row],[D CM ]]/2.54)</f>
        <v xml:space="preserve"> </v>
      </c>
      <c r="R56" s="30" t="str">
        <f>IF(Inventory_List_Table341115109111317181416192021[[#This Row],[Q]]&lt;0.1, " ",Inventory_List_Table341115109111317181416192021[[#This Row],[PRICE]]/$L$1)</f>
        <v xml:space="preserve"> </v>
      </c>
      <c r="S5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6" s="30" t="str">
        <f>IF(Inventory_List_Table341115109111317181416192021[[#This Row],[Q]]&lt;0.1, " ",Inventory_List_Table341115109111317181416192021[[#This Row],[AQ RND USD]]*1.4)</f>
        <v xml:space="preserve"> </v>
      </c>
      <c r="U5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6" s="30" t="str">
        <f>IF(Inventory_List_Table341115109111317181416192021[[#This Row],[Q]]&lt;0.1, " ",Inventory_List_Table341115109111317181416192021[[#This Row],[LND RND USD]]*12)</f>
        <v xml:space="preserve"> </v>
      </c>
      <c r="W56" s="30" t="str">
        <f>IF(Inventory_List_Table341115109111317181416192021[[#This Row],[Q]]&lt;0.1, " ",Inventory_List_Table341115109111317181416192021[[#This Row],[AQ USD]])</f>
        <v xml:space="preserve"> </v>
      </c>
      <c r="X5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6" s="30" t="str">
        <f>IF(Inventory_List_Table341115109111317181416192021[[#This Row],[Q]]&lt;0.1, " ",Inventory_List_Table341115109111317181416192021[[#This Row],[PRICE]]/Z56*10000)</f>
        <v xml:space="preserve"> </v>
      </c>
      <c r="AB56" s="457"/>
      <c r="AC56" s="1"/>
      <c r="AD56" s="1"/>
    </row>
    <row r="57" spans="1:30" ht="24" customHeight="1" x14ac:dyDescent="0.3">
      <c r="A57" s="451">
        <v>55</v>
      </c>
      <c r="B57" s="1"/>
      <c r="C57" s="452"/>
      <c r="D57" s="452"/>
      <c r="E57" s="452"/>
      <c r="F57" s="38" t="str">
        <f>IF(Inventory_List_Table341115109111317181416192021[[#This Row],[Q]]&lt;0.1, " ",#REF!&amp;$D$1&amp;#REF!&amp;Inventory_List_Table341115109111317181416192021[[#This Row],[NOTES]])</f>
        <v xml:space="preserve"> </v>
      </c>
      <c r="G57" s="454"/>
      <c r="H57" s="454"/>
      <c r="I57" s="454"/>
      <c r="J57" s="454"/>
      <c r="K57" s="454"/>
      <c r="L57" s="456"/>
      <c r="M5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7" s="35" t="str">
        <f>IF(Inventory_List_Table341115109111317181416192021[[#This Row],[Q]]&lt;0.1, " ", Inventory_List_Table341115109111317181416192021[[#This Row],[KG]]*2.20462)</f>
        <v xml:space="preserve"> </v>
      </c>
      <c r="O57" s="35" t="str">
        <f>IF(Inventory_List_Table341115109111317181416192021[[#This Row],[Q]]&lt;0.1, " ",Inventory_List_Table341115109111317181416192021[[#This Row],[H CM]]/2.54)</f>
        <v xml:space="preserve"> </v>
      </c>
      <c r="P57" s="35" t="str">
        <f>IF(Inventory_List_Table341115109111317181416192021[[#This Row],[Q]]&lt;0.1, " ",Inventory_List_Table341115109111317181416192021[[#This Row],[W CM]]/2.54)</f>
        <v xml:space="preserve"> </v>
      </c>
      <c r="Q57" s="35" t="str">
        <f>IF(Inventory_List_Table341115109111317181416192021[[#This Row],[Q]]&lt;0.1, " ",Inventory_List_Table341115109111317181416192021[[#This Row],[D CM ]]/2.54)</f>
        <v xml:space="preserve"> </v>
      </c>
      <c r="R57" s="30" t="str">
        <f>IF(Inventory_List_Table341115109111317181416192021[[#This Row],[Q]]&lt;0.1, " ",Inventory_List_Table341115109111317181416192021[[#This Row],[PRICE]]/$L$1)</f>
        <v xml:space="preserve"> </v>
      </c>
      <c r="S5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7" s="30" t="str">
        <f>IF(Inventory_List_Table341115109111317181416192021[[#This Row],[Q]]&lt;0.1, " ",Inventory_List_Table341115109111317181416192021[[#This Row],[AQ RND USD]]*1.4)</f>
        <v xml:space="preserve"> </v>
      </c>
      <c r="U5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7" s="30" t="str">
        <f>IF(Inventory_List_Table341115109111317181416192021[[#This Row],[Q]]&lt;0.1, " ",Inventory_List_Table341115109111317181416192021[[#This Row],[LND RND USD]]*12)</f>
        <v xml:space="preserve"> </v>
      </c>
      <c r="W57" s="30" t="str">
        <f>IF(Inventory_List_Table341115109111317181416192021[[#This Row],[Q]]&lt;0.1, " ",Inventory_List_Table341115109111317181416192021[[#This Row],[AQ USD]])</f>
        <v xml:space="preserve"> </v>
      </c>
      <c r="X5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7" s="30" t="str">
        <f>IF(Inventory_List_Table341115109111317181416192021[[#This Row],[Q]]&lt;0.1, " ",Inventory_List_Table341115109111317181416192021[[#This Row],[PRICE]]/Z57*10000)</f>
        <v xml:space="preserve"> </v>
      </c>
      <c r="AB57" s="457"/>
      <c r="AC57" s="1"/>
      <c r="AD57" s="1"/>
    </row>
    <row r="58" spans="1:30" ht="24" customHeight="1" x14ac:dyDescent="0.3">
      <c r="A58" s="451">
        <v>56</v>
      </c>
      <c r="B58" s="1"/>
      <c r="C58" s="452"/>
      <c r="D58" s="452"/>
      <c r="E58" s="452"/>
      <c r="F58" s="38" t="str">
        <f>IF(Inventory_List_Table341115109111317181416192021[[#This Row],[Q]]&lt;0.1, " ",#REF!&amp;$D$1&amp;#REF!&amp;Inventory_List_Table341115109111317181416192021[[#This Row],[NOTES]])</f>
        <v xml:space="preserve"> </v>
      </c>
      <c r="G58" s="454"/>
      <c r="H58" s="454"/>
      <c r="I58" s="454"/>
      <c r="J58" s="454"/>
      <c r="K58" s="454"/>
      <c r="L58" s="456"/>
      <c r="M5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8" s="35" t="str">
        <f>IF(Inventory_List_Table341115109111317181416192021[[#This Row],[Q]]&lt;0.1, " ", Inventory_List_Table341115109111317181416192021[[#This Row],[KG]]*2.20462)</f>
        <v xml:space="preserve"> </v>
      </c>
      <c r="O58" s="35" t="str">
        <f>IF(Inventory_List_Table341115109111317181416192021[[#This Row],[Q]]&lt;0.1, " ",Inventory_List_Table341115109111317181416192021[[#This Row],[H CM]]/2.54)</f>
        <v xml:space="preserve"> </v>
      </c>
      <c r="P58" s="35" t="str">
        <f>IF(Inventory_List_Table341115109111317181416192021[[#This Row],[Q]]&lt;0.1, " ",Inventory_List_Table341115109111317181416192021[[#This Row],[W CM]]/2.54)</f>
        <v xml:space="preserve"> </v>
      </c>
      <c r="Q58" s="35" t="str">
        <f>IF(Inventory_List_Table341115109111317181416192021[[#This Row],[Q]]&lt;0.1, " ",Inventory_List_Table341115109111317181416192021[[#This Row],[D CM ]]/2.54)</f>
        <v xml:space="preserve"> </v>
      </c>
      <c r="R58" s="30" t="str">
        <f>IF(Inventory_List_Table341115109111317181416192021[[#This Row],[Q]]&lt;0.1, " ",Inventory_List_Table341115109111317181416192021[[#This Row],[PRICE]]/$L$1)</f>
        <v xml:space="preserve"> </v>
      </c>
      <c r="S5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8" s="30" t="str">
        <f>IF(Inventory_List_Table341115109111317181416192021[[#This Row],[Q]]&lt;0.1, " ",Inventory_List_Table341115109111317181416192021[[#This Row],[AQ RND USD]]*1.4)</f>
        <v xml:space="preserve"> </v>
      </c>
      <c r="U5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8" s="30" t="str">
        <f>IF(Inventory_List_Table341115109111317181416192021[[#This Row],[Q]]&lt;0.1, " ",Inventory_List_Table341115109111317181416192021[[#This Row],[LND RND USD]]*12)</f>
        <v xml:space="preserve"> </v>
      </c>
      <c r="W58" s="30" t="str">
        <f>IF(Inventory_List_Table341115109111317181416192021[[#This Row],[Q]]&lt;0.1, " ",Inventory_List_Table341115109111317181416192021[[#This Row],[AQ USD]])</f>
        <v xml:space="preserve"> </v>
      </c>
      <c r="X5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8" s="30" t="str">
        <f>IF(Inventory_List_Table341115109111317181416192021[[#This Row],[Q]]&lt;0.1, " ",Inventory_List_Table341115109111317181416192021[[#This Row],[PRICE]]/Z58*10000)</f>
        <v xml:space="preserve"> </v>
      </c>
      <c r="AB58" s="457"/>
      <c r="AC58" s="1"/>
      <c r="AD58" s="1"/>
    </row>
    <row r="59" spans="1:30" ht="24" customHeight="1" x14ac:dyDescent="0.3">
      <c r="A59" s="451">
        <v>57</v>
      </c>
      <c r="B59" s="1"/>
      <c r="C59" s="452"/>
      <c r="D59" s="452"/>
      <c r="E59" s="452"/>
      <c r="F59" s="38" t="str">
        <f>IF(Inventory_List_Table341115109111317181416192021[[#This Row],[Q]]&lt;0.1, " ",#REF!&amp;$D$1&amp;#REF!&amp;Inventory_List_Table341115109111317181416192021[[#This Row],[NOTES]])</f>
        <v xml:space="preserve"> </v>
      </c>
      <c r="G59" s="454"/>
      <c r="H59" s="454"/>
      <c r="I59" s="454"/>
      <c r="J59" s="454"/>
      <c r="K59" s="454"/>
      <c r="L59" s="456"/>
      <c r="M5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59" s="35" t="str">
        <f>IF(Inventory_List_Table341115109111317181416192021[[#This Row],[Q]]&lt;0.1, " ", Inventory_List_Table341115109111317181416192021[[#This Row],[KG]]*2.20462)</f>
        <v xml:space="preserve"> </v>
      </c>
      <c r="O59" s="35" t="str">
        <f>IF(Inventory_List_Table341115109111317181416192021[[#This Row],[Q]]&lt;0.1, " ",Inventory_List_Table341115109111317181416192021[[#This Row],[H CM]]/2.54)</f>
        <v xml:space="preserve"> </v>
      </c>
      <c r="P59" s="35" t="str">
        <f>IF(Inventory_List_Table341115109111317181416192021[[#This Row],[Q]]&lt;0.1, " ",Inventory_List_Table341115109111317181416192021[[#This Row],[W CM]]/2.54)</f>
        <v xml:space="preserve"> </v>
      </c>
      <c r="Q59" s="35" t="str">
        <f>IF(Inventory_List_Table341115109111317181416192021[[#This Row],[Q]]&lt;0.1, " ",Inventory_List_Table341115109111317181416192021[[#This Row],[D CM ]]/2.54)</f>
        <v xml:space="preserve"> </v>
      </c>
      <c r="R59" s="30" t="str">
        <f>IF(Inventory_List_Table341115109111317181416192021[[#This Row],[Q]]&lt;0.1, " ",Inventory_List_Table341115109111317181416192021[[#This Row],[PRICE]]/$L$1)</f>
        <v xml:space="preserve"> </v>
      </c>
      <c r="S5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59" s="30" t="str">
        <f>IF(Inventory_List_Table341115109111317181416192021[[#This Row],[Q]]&lt;0.1, " ",Inventory_List_Table341115109111317181416192021[[#This Row],[AQ RND USD]]*1.4)</f>
        <v xml:space="preserve"> </v>
      </c>
      <c r="U5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59" s="30" t="str">
        <f>IF(Inventory_List_Table341115109111317181416192021[[#This Row],[Q]]&lt;0.1, " ",Inventory_List_Table341115109111317181416192021[[#This Row],[LND RND USD]]*12)</f>
        <v xml:space="preserve"> </v>
      </c>
      <c r="W59" s="30" t="str">
        <f>IF(Inventory_List_Table341115109111317181416192021[[#This Row],[Q]]&lt;0.1, " ",Inventory_List_Table341115109111317181416192021[[#This Row],[AQ USD]])</f>
        <v xml:space="preserve"> </v>
      </c>
      <c r="X5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5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5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59" s="30" t="str">
        <f>IF(Inventory_List_Table341115109111317181416192021[[#This Row],[Q]]&lt;0.1, " ",Inventory_List_Table341115109111317181416192021[[#This Row],[PRICE]]/Z59*10000)</f>
        <v xml:space="preserve"> </v>
      </c>
      <c r="AB59" s="457"/>
      <c r="AC59" s="1"/>
      <c r="AD59" s="1"/>
    </row>
    <row r="60" spans="1:30" ht="24" customHeight="1" x14ac:dyDescent="0.3">
      <c r="A60" s="451">
        <v>58</v>
      </c>
      <c r="B60" s="1"/>
      <c r="C60" s="452"/>
      <c r="D60" s="452"/>
      <c r="E60" s="452"/>
      <c r="F60" s="38" t="str">
        <f>IF(Inventory_List_Table341115109111317181416192021[[#This Row],[Q]]&lt;0.1, " ",#REF!&amp;$D$1&amp;#REF!&amp;Inventory_List_Table341115109111317181416192021[[#This Row],[NOTES]])</f>
        <v xml:space="preserve"> </v>
      </c>
      <c r="G60" s="454"/>
      <c r="H60" s="454"/>
      <c r="I60" s="454"/>
      <c r="J60" s="454"/>
      <c r="K60" s="454"/>
      <c r="L60" s="456"/>
      <c r="M6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0" s="35" t="str">
        <f>IF(Inventory_List_Table341115109111317181416192021[[#This Row],[Q]]&lt;0.1, " ", Inventory_List_Table341115109111317181416192021[[#This Row],[KG]]*2.20462)</f>
        <v xml:space="preserve"> </v>
      </c>
      <c r="O60" s="35" t="str">
        <f>IF(Inventory_List_Table341115109111317181416192021[[#This Row],[Q]]&lt;0.1, " ",Inventory_List_Table341115109111317181416192021[[#This Row],[H CM]]/2.54)</f>
        <v xml:space="preserve"> </v>
      </c>
      <c r="P60" s="35" t="str">
        <f>IF(Inventory_List_Table341115109111317181416192021[[#This Row],[Q]]&lt;0.1, " ",Inventory_List_Table341115109111317181416192021[[#This Row],[W CM]]/2.54)</f>
        <v xml:space="preserve"> </v>
      </c>
      <c r="Q60" s="35" t="str">
        <f>IF(Inventory_List_Table341115109111317181416192021[[#This Row],[Q]]&lt;0.1, " ",Inventory_List_Table341115109111317181416192021[[#This Row],[D CM ]]/2.54)</f>
        <v xml:space="preserve"> </v>
      </c>
      <c r="R60" s="30" t="str">
        <f>IF(Inventory_List_Table341115109111317181416192021[[#This Row],[Q]]&lt;0.1, " ",Inventory_List_Table341115109111317181416192021[[#This Row],[PRICE]]/$L$1)</f>
        <v xml:space="preserve"> </v>
      </c>
      <c r="S6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0" s="30" t="str">
        <f>IF(Inventory_List_Table341115109111317181416192021[[#This Row],[Q]]&lt;0.1, " ",Inventory_List_Table341115109111317181416192021[[#This Row],[AQ RND USD]]*1.4)</f>
        <v xml:space="preserve"> </v>
      </c>
      <c r="U6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0" s="30" t="str">
        <f>IF(Inventory_List_Table341115109111317181416192021[[#This Row],[Q]]&lt;0.1, " ",Inventory_List_Table341115109111317181416192021[[#This Row],[LND RND USD]]*12)</f>
        <v xml:space="preserve"> </v>
      </c>
      <c r="W60" s="30" t="str">
        <f>IF(Inventory_List_Table341115109111317181416192021[[#This Row],[Q]]&lt;0.1, " ",Inventory_List_Table341115109111317181416192021[[#This Row],[AQ USD]])</f>
        <v xml:space="preserve"> </v>
      </c>
      <c r="X6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0" s="30" t="str">
        <f>IF(Inventory_List_Table341115109111317181416192021[[#This Row],[Q]]&lt;0.1, " ",Inventory_List_Table341115109111317181416192021[[#This Row],[PRICE]]/Z60*10000)</f>
        <v xml:space="preserve"> </v>
      </c>
      <c r="AB60" s="457"/>
      <c r="AC60" s="1"/>
      <c r="AD60" s="1"/>
    </row>
    <row r="61" spans="1:30" ht="24" customHeight="1" x14ac:dyDescent="0.3">
      <c r="A61" s="451">
        <v>59</v>
      </c>
      <c r="B61" s="1"/>
      <c r="C61" s="452"/>
      <c r="D61" s="452"/>
      <c r="E61" s="452"/>
      <c r="F61" s="38" t="str">
        <f>IF(Inventory_List_Table341115109111317181416192021[[#This Row],[Q]]&lt;0.1, " ",#REF!&amp;$D$1&amp;#REF!&amp;Inventory_List_Table341115109111317181416192021[[#This Row],[NOTES]])</f>
        <v xml:space="preserve"> </v>
      </c>
      <c r="G61" s="454"/>
      <c r="H61" s="454"/>
      <c r="I61" s="454"/>
      <c r="J61" s="454"/>
      <c r="K61" s="454"/>
      <c r="L61" s="456"/>
      <c r="M6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1" s="35" t="str">
        <f>IF(Inventory_List_Table341115109111317181416192021[[#This Row],[Q]]&lt;0.1, " ", Inventory_List_Table341115109111317181416192021[[#This Row],[KG]]*2.20462)</f>
        <v xml:space="preserve"> </v>
      </c>
      <c r="O61" s="35" t="str">
        <f>IF(Inventory_List_Table341115109111317181416192021[[#This Row],[Q]]&lt;0.1, " ",Inventory_List_Table341115109111317181416192021[[#This Row],[H CM]]/2.54)</f>
        <v xml:space="preserve"> </v>
      </c>
      <c r="P61" s="35" t="str">
        <f>IF(Inventory_List_Table341115109111317181416192021[[#This Row],[Q]]&lt;0.1, " ",Inventory_List_Table341115109111317181416192021[[#This Row],[W CM]]/2.54)</f>
        <v xml:space="preserve"> </v>
      </c>
      <c r="Q61" s="35" t="str">
        <f>IF(Inventory_List_Table341115109111317181416192021[[#This Row],[Q]]&lt;0.1, " ",Inventory_List_Table341115109111317181416192021[[#This Row],[D CM ]]/2.54)</f>
        <v xml:space="preserve"> </v>
      </c>
      <c r="R61" s="30" t="str">
        <f>IF(Inventory_List_Table341115109111317181416192021[[#This Row],[Q]]&lt;0.1, " ",Inventory_List_Table341115109111317181416192021[[#This Row],[PRICE]]/$L$1)</f>
        <v xml:space="preserve"> </v>
      </c>
      <c r="S6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1" s="30" t="str">
        <f>IF(Inventory_List_Table341115109111317181416192021[[#This Row],[Q]]&lt;0.1, " ",Inventory_List_Table341115109111317181416192021[[#This Row],[AQ RND USD]]*1.4)</f>
        <v xml:space="preserve"> </v>
      </c>
      <c r="U6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1" s="30" t="str">
        <f>IF(Inventory_List_Table341115109111317181416192021[[#This Row],[Q]]&lt;0.1, " ",Inventory_List_Table341115109111317181416192021[[#This Row],[LND RND USD]]*12)</f>
        <v xml:space="preserve"> </v>
      </c>
      <c r="W61" s="30" t="str">
        <f>IF(Inventory_List_Table341115109111317181416192021[[#This Row],[Q]]&lt;0.1, " ",Inventory_List_Table341115109111317181416192021[[#This Row],[AQ USD]])</f>
        <v xml:space="preserve"> </v>
      </c>
      <c r="X6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1" s="30" t="str">
        <f>IF(Inventory_List_Table341115109111317181416192021[[#This Row],[Q]]&lt;0.1, " ",Inventory_List_Table341115109111317181416192021[[#This Row],[PRICE]]/Z61*10000)</f>
        <v xml:space="preserve"> </v>
      </c>
      <c r="AB61" s="457"/>
      <c r="AC61" s="1"/>
      <c r="AD61" s="1"/>
    </row>
    <row r="62" spans="1:30" ht="24" customHeight="1" x14ac:dyDescent="0.3">
      <c r="A62" s="451">
        <v>60</v>
      </c>
      <c r="B62" s="1"/>
      <c r="C62" s="452"/>
      <c r="D62" s="452"/>
      <c r="E62" s="452"/>
      <c r="F62" s="38" t="str">
        <f>IF(Inventory_List_Table341115109111317181416192021[[#This Row],[Q]]&lt;0.1, " ",#REF!&amp;$D$1&amp;#REF!&amp;Inventory_List_Table341115109111317181416192021[[#This Row],[NOTES]])</f>
        <v xml:space="preserve"> </v>
      </c>
      <c r="G62" s="454"/>
      <c r="H62" s="454"/>
      <c r="I62" s="454"/>
      <c r="J62" s="454"/>
      <c r="K62" s="454"/>
      <c r="L62" s="456"/>
      <c r="M6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2" s="35" t="str">
        <f>IF(Inventory_List_Table341115109111317181416192021[[#This Row],[Q]]&lt;0.1, " ", Inventory_List_Table341115109111317181416192021[[#This Row],[KG]]*2.20462)</f>
        <v xml:space="preserve"> </v>
      </c>
      <c r="O62" s="35" t="str">
        <f>IF(Inventory_List_Table341115109111317181416192021[[#This Row],[Q]]&lt;0.1, " ",Inventory_List_Table341115109111317181416192021[[#This Row],[H CM]]/2.54)</f>
        <v xml:space="preserve"> </v>
      </c>
      <c r="P62" s="35" t="str">
        <f>IF(Inventory_List_Table341115109111317181416192021[[#This Row],[Q]]&lt;0.1, " ",Inventory_List_Table341115109111317181416192021[[#This Row],[W CM]]/2.54)</f>
        <v xml:space="preserve"> </v>
      </c>
      <c r="Q62" s="35" t="str">
        <f>IF(Inventory_List_Table341115109111317181416192021[[#This Row],[Q]]&lt;0.1, " ",Inventory_List_Table341115109111317181416192021[[#This Row],[D CM ]]/2.54)</f>
        <v xml:space="preserve"> </v>
      </c>
      <c r="R62" s="30" t="str">
        <f>IF(Inventory_List_Table341115109111317181416192021[[#This Row],[Q]]&lt;0.1, " ",Inventory_List_Table341115109111317181416192021[[#This Row],[PRICE]]/$L$1)</f>
        <v xml:space="preserve"> </v>
      </c>
      <c r="S6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2" s="30" t="str">
        <f>IF(Inventory_List_Table341115109111317181416192021[[#This Row],[Q]]&lt;0.1, " ",Inventory_List_Table341115109111317181416192021[[#This Row],[AQ RND USD]]*1.4)</f>
        <v xml:space="preserve"> </v>
      </c>
      <c r="U6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2" s="30" t="str">
        <f>IF(Inventory_List_Table341115109111317181416192021[[#This Row],[Q]]&lt;0.1, " ",Inventory_List_Table341115109111317181416192021[[#This Row],[LND RND USD]]*12)</f>
        <v xml:space="preserve"> </v>
      </c>
      <c r="W62" s="30" t="str">
        <f>IF(Inventory_List_Table341115109111317181416192021[[#This Row],[Q]]&lt;0.1, " ",Inventory_List_Table341115109111317181416192021[[#This Row],[AQ USD]])</f>
        <v xml:space="preserve"> </v>
      </c>
      <c r="X6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2" s="30" t="str">
        <f>IF(Inventory_List_Table341115109111317181416192021[[#This Row],[Q]]&lt;0.1, " ",Inventory_List_Table341115109111317181416192021[[#This Row],[PRICE]]/Z62*10000)</f>
        <v xml:space="preserve"> </v>
      </c>
      <c r="AB62" s="457"/>
      <c r="AC62" s="1"/>
      <c r="AD62" s="1"/>
    </row>
    <row r="63" spans="1:30" ht="24" customHeight="1" x14ac:dyDescent="0.3">
      <c r="A63" s="451">
        <v>61</v>
      </c>
      <c r="B63" s="1"/>
      <c r="C63" s="452"/>
      <c r="D63" s="452"/>
      <c r="E63" s="452"/>
      <c r="F63" s="38" t="str">
        <f>IF(Inventory_List_Table341115109111317181416192021[[#This Row],[Q]]&lt;0.1, " ",#REF!&amp;$D$1&amp;#REF!&amp;Inventory_List_Table341115109111317181416192021[[#This Row],[NOTES]])</f>
        <v xml:space="preserve"> </v>
      </c>
      <c r="G63" s="454"/>
      <c r="H63" s="454"/>
      <c r="I63" s="454"/>
      <c r="J63" s="454"/>
      <c r="K63" s="454"/>
      <c r="L63" s="456"/>
      <c r="M6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3" s="35" t="str">
        <f>IF(Inventory_List_Table341115109111317181416192021[[#This Row],[Q]]&lt;0.1, " ", Inventory_List_Table341115109111317181416192021[[#This Row],[KG]]*2.20462)</f>
        <v xml:space="preserve"> </v>
      </c>
      <c r="O63" s="35" t="str">
        <f>IF(Inventory_List_Table341115109111317181416192021[[#This Row],[Q]]&lt;0.1, " ",Inventory_List_Table341115109111317181416192021[[#This Row],[H CM]]/2.54)</f>
        <v xml:space="preserve"> </v>
      </c>
      <c r="P63" s="35" t="str">
        <f>IF(Inventory_List_Table341115109111317181416192021[[#This Row],[Q]]&lt;0.1, " ",Inventory_List_Table341115109111317181416192021[[#This Row],[W CM]]/2.54)</f>
        <v xml:space="preserve"> </v>
      </c>
      <c r="Q63" s="35" t="str">
        <f>IF(Inventory_List_Table341115109111317181416192021[[#This Row],[Q]]&lt;0.1, " ",Inventory_List_Table341115109111317181416192021[[#This Row],[D CM ]]/2.54)</f>
        <v xml:space="preserve"> </v>
      </c>
      <c r="R63" s="30" t="str">
        <f>IF(Inventory_List_Table341115109111317181416192021[[#This Row],[Q]]&lt;0.1, " ",Inventory_List_Table341115109111317181416192021[[#This Row],[PRICE]]/$L$1)</f>
        <v xml:space="preserve"> </v>
      </c>
      <c r="S6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3" s="30" t="str">
        <f>IF(Inventory_List_Table341115109111317181416192021[[#This Row],[Q]]&lt;0.1, " ",Inventory_List_Table341115109111317181416192021[[#This Row],[AQ RND USD]]*1.4)</f>
        <v xml:space="preserve"> </v>
      </c>
      <c r="U6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3" s="30" t="str">
        <f>IF(Inventory_List_Table341115109111317181416192021[[#This Row],[Q]]&lt;0.1, " ",Inventory_List_Table341115109111317181416192021[[#This Row],[LND RND USD]]*12)</f>
        <v xml:space="preserve"> </v>
      </c>
      <c r="W63" s="30" t="str">
        <f>IF(Inventory_List_Table341115109111317181416192021[[#This Row],[Q]]&lt;0.1, " ",Inventory_List_Table341115109111317181416192021[[#This Row],[AQ USD]])</f>
        <v xml:space="preserve"> </v>
      </c>
      <c r="X6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3" s="30" t="str">
        <f>IF(Inventory_List_Table341115109111317181416192021[[#This Row],[Q]]&lt;0.1, " ",Inventory_List_Table341115109111317181416192021[[#This Row],[PRICE]]/Z63*10000)</f>
        <v xml:space="preserve"> </v>
      </c>
      <c r="AB63" s="457"/>
      <c r="AC63" s="1"/>
      <c r="AD63" s="1"/>
    </row>
    <row r="64" spans="1:30" ht="24" customHeight="1" x14ac:dyDescent="0.3">
      <c r="A64" s="451">
        <v>62</v>
      </c>
      <c r="B64" s="1"/>
      <c r="C64" s="452"/>
      <c r="D64" s="452"/>
      <c r="E64" s="452"/>
      <c r="F64" s="38" t="str">
        <f>IF(Inventory_List_Table341115109111317181416192021[[#This Row],[Q]]&lt;0.1, " ",#REF!&amp;$D$1&amp;#REF!&amp;Inventory_List_Table341115109111317181416192021[[#This Row],[NOTES]])</f>
        <v xml:space="preserve"> </v>
      </c>
      <c r="G64" s="454"/>
      <c r="H64" s="454"/>
      <c r="I64" s="454"/>
      <c r="J64" s="454"/>
      <c r="K64" s="454"/>
      <c r="L64" s="456"/>
      <c r="M6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4" s="35" t="str">
        <f>IF(Inventory_List_Table341115109111317181416192021[[#This Row],[Q]]&lt;0.1, " ", Inventory_List_Table341115109111317181416192021[[#This Row],[KG]]*2.20462)</f>
        <v xml:space="preserve"> </v>
      </c>
      <c r="O64" s="35" t="str">
        <f>IF(Inventory_List_Table341115109111317181416192021[[#This Row],[Q]]&lt;0.1, " ",Inventory_List_Table341115109111317181416192021[[#This Row],[H CM]]/2.54)</f>
        <v xml:space="preserve"> </v>
      </c>
      <c r="P64" s="35" t="str">
        <f>IF(Inventory_List_Table341115109111317181416192021[[#This Row],[Q]]&lt;0.1, " ",Inventory_List_Table341115109111317181416192021[[#This Row],[W CM]]/2.54)</f>
        <v xml:space="preserve"> </v>
      </c>
      <c r="Q64" s="35" t="str">
        <f>IF(Inventory_List_Table341115109111317181416192021[[#This Row],[Q]]&lt;0.1, " ",Inventory_List_Table341115109111317181416192021[[#This Row],[D CM ]]/2.54)</f>
        <v xml:space="preserve"> </v>
      </c>
      <c r="R64" s="30" t="str">
        <f>IF(Inventory_List_Table341115109111317181416192021[[#This Row],[Q]]&lt;0.1, " ",Inventory_List_Table341115109111317181416192021[[#This Row],[PRICE]]/$L$1)</f>
        <v xml:space="preserve"> </v>
      </c>
      <c r="S6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4" s="30" t="str">
        <f>IF(Inventory_List_Table341115109111317181416192021[[#This Row],[Q]]&lt;0.1, " ",Inventory_List_Table341115109111317181416192021[[#This Row],[AQ RND USD]]*1.4)</f>
        <v xml:space="preserve"> </v>
      </c>
      <c r="U6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4" s="30" t="str">
        <f>IF(Inventory_List_Table341115109111317181416192021[[#This Row],[Q]]&lt;0.1, " ",Inventory_List_Table341115109111317181416192021[[#This Row],[LND RND USD]]*12)</f>
        <v xml:space="preserve"> </v>
      </c>
      <c r="W64" s="30" t="str">
        <f>IF(Inventory_List_Table341115109111317181416192021[[#This Row],[Q]]&lt;0.1, " ",Inventory_List_Table341115109111317181416192021[[#This Row],[AQ USD]])</f>
        <v xml:space="preserve"> </v>
      </c>
      <c r="X6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4" s="30" t="str">
        <f>IF(Inventory_List_Table341115109111317181416192021[[#This Row],[Q]]&lt;0.1, " ",Inventory_List_Table341115109111317181416192021[[#This Row],[PRICE]]/Z64*10000)</f>
        <v xml:space="preserve"> </v>
      </c>
      <c r="AB64" s="457"/>
      <c r="AC64" s="1"/>
      <c r="AD64" s="1"/>
    </row>
    <row r="65" spans="1:30" ht="24" customHeight="1" x14ac:dyDescent="0.3">
      <c r="A65" s="451">
        <v>63</v>
      </c>
      <c r="B65" s="1"/>
      <c r="C65" s="452"/>
      <c r="D65" s="452"/>
      <c r="E65" s="452"/>
      <c r="F65" s="38" t="str">
        <f>IF(Inventory_List_Table341115109111317181416192021[[#This Row],[Q]]&lt;0.1, " ",#REF!&amp;$D$1&amp;#REF!&amp;Inventory_List_Table341115109111317181416192021[[#This Row],[NOTES]])</f>
        <v xml:space="preserve"> </v>
      </c>
      <c r="G65" s="454"/>
      <c r="H65" s="454"/>
      <c r="I65" s="454"/>
      <c r="J65" s="454"/>
      <c r="K65" s="454"/>
      <c r="L65" s="456"/>
      <c r="M6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5" s="35" t="str">
        <f>IF(Inventory_List_Table341115109111317181416192021[[#This Row],[Q]]&lt;0.1, " ", Inventory_List_Table341115109111317181416192021[[#This Row],[KG]]*2.20462)</f>
        <v xml:space="preserve"> </v>
      </c>
      <c r="O65" s="35" t="str">
        <f>IF(Inventory_List_Table341115109111317181416192021[[#This Row],[Q]]&lt;0.1, " ",Inventory_List_Table341115109111317181416192021[[#This Row],[H CM]]/2.54)</f>
        <v xml:space="preserve"> </v>
      </c>
      <c r="P65" s="35" t="str">
        <f>IF(Inventory_List_Table341115109111317181416192021[[#This Row],[Q]]&lt;0.1, " ",Inventory_List_Table341115109111317181416192021[[#This Row],[W CM]]/2.54)</f>
        <v xml:space="preserve"> </v>
      </c>
      <c r="Q65" s="35" t="str">
        <f>IF(Inventory_List_Table341115109111317181416192021[[#This Row],[Q]]&lt;0.1, " ",Inventory_List_Table341115109111317181416192021[[#This Row],[D CM ]]/2.54)</f>
        <v xml:space="preserve"> </v>
      </c>
      <c r="R65" s="30" t="str">
        <f>IF(Inventory_List_Table341115109111317181416192021[[#This Row],[Q]]&lt;0.1, " ",Inventory_List_Table341115109111317181416192021[[#This Row],[PRICE]]/$L$1)</f>
        <v xml:space="preserve"> </v>
      </c>
      <c r="S6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5" s="30" t="str">
        <f>IF(Inventory_List_Table341115109111317181416192021[[#This Row],[Q]]&lt;0.1, " ",Inventory_List_Table341115109111317181416192021[[#This Row],[AQ RND USD]]*1.4)</f>
        <v xml:space="preserve"> </v>
      </c>
      <c r="U6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5" s="30" t="str">
        <f>IF(Inventory_List_Table341115109111317181416192021[[#This Row],[Q]]&lt;0.1, " ",Inventory_List_Table341115109111317181416192021[[#This Row],[LND RND USD]]*12)</f>
        <v xml:space="preserve"> </v>
      </c>
      <c r="W65" s="30" t="str">
        <f>IF(Inventory_List_Table341115109111317181416192021[[#This Row],[Q]]&lt;0.1, " ",Inventory_List_Table341115109111317181416192021[[#This Row],[AQ USD]])</f>
        <v xml:space="preserve"> </v>
      </c>
      <c r="X6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5" s="30" t="str">
        <f>IF(Inventory_List_Table341115109111317181416192021[[#This Row],[Q]]&lt;0.1, " ",Inventory_List_Table341115109111317181416192021[[#This Row],[PRICE]]/Z65*10000)</f>
        <v xml:space="preserve"> </v>
      </c>
      <c r="AB65" s="457"/>
      <c r="AC65" s="1"/>
      <c r="AD65" s="1"/>
    </row>
    <row r="66" spans="1:30" ht="24" customHeight="1" x14ac:dyDescent="0.3">
      <c r="A66" s="451">
        <v>64</v>
      </c>
      <c r="B66" s="1"/>
      <c r="C66" s="452"/>
      <c r="D66" s="452"/>
      <c r="E66" s="452"/>
      <c r="F66" s="38" t="str">
        <f>IF(Inventory_List_Table341115109111317181416192021[[#This Row],[Q]]&lt;0.1, " ",#REF!&amp;$D$1&amp;#REF!&amp;Inventory_List_Table341115109111317181416192021[[#This Row],[NOTES]])</f>
        <v xml:space="preserve"> </v>
      </c>
      <c r="G66" s="454"/>
      <c r="H66" s="454"/>
      <c r="I66" s="454"/>
      <c r="J66" s="454"/>
      <c r="K66" s="454"/>
      <c r="L66" s="456"/>
      <c r="M6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6" s="35" t="str">
        <f>IF(Inventory_List_Table341115109111317181416192021[[#This Row],[Q]]&lt;0.1, " ", Inventory_List_Table341115109111317181416192021[[#This Row],[KG]]*2.20462)</f>
        <v xml:space="preserve"> </v>
      </c>
      <c r="O66" s="35" t="str">
        <f>IF(Inventory_List_Table341115109111317181416192021[[#This Row],[Q]]&lt;0.1, " ",Inventory_List_Table341115109111317181416192021[[#This Row],[H CM]]/2.54)</f>
        <v xml:space="preserve"> </v>
      </c>
      <c r="P66" s="35" t="str">
        <f>IF(Inventory_List_Table341115109111317181416192021[[#This Row],[Q]]&lt;0.1, " ",Inventory_List_Table341115109111317181416192021[[#This Row],[W CM]]/2.54)</f>
        <v xml:space="preserve"> </v>
      </c>
      <c r="Q66" s="35" t="str">
        <f>IF(Inventory_List_Table341115109111317181416192021[[#This Row],[Q]]&lt;0.1, " ",Inventory_List_Table341115109111317181416192021[[#This Row],[D CM ]]/2.54)</f>
        <v xml:space="preserve"> </v>
      </c>
      <c r="R66" s="30" t="str">
        <f>IF(Inventory_List_Table341115109111317181416192021[[#This Row],[Q]]&lt;0.1, " ",Inventory_List_Table341115109111317181416192021[[#This Row],[PRICE]]/$L$1)</f>
        <v xml:space="preserve"> </v>
      </c>
      <c r="S6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6" s="30" t="str">
        <f>IF(Inventory_List_Table341115109111317181416192021[[#This Row],[Q]]&lt;0.1, " ",Inventory_List_Table341115109111317181416192021[[#This Row],[AQ RND USD]]*1.4)</f>
        <v xml:space="preserve"> </v>
      </c>
      <c r="U6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6" s="30" t="str">
        <f>IF(Inventory_List_Table341115109111317181416192021[[#This Row],[Q]]&lt;0.1, " ",Inventory_List_Table341115109111317181416192021[[#This Row],[LND RND USD]]*12)</f>
        <v xml:space="preserve"> </v>
      </c>
      <c r="W66" s="30" t="str">
        <f>IF(Inventory_List_Table341115109111317181416192021[[#This Row],[Q]]&lt;0.1, " ",Inventory_List_Table341115109111317181416192021[[#This Row],[AQ USD]])</f>
        <v xml:space="preserve"> </v>
      </c>
      <c r="X6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6" s="30" t="str">
        <f>IF(Inventory_List_Table341115109111317181416192021[[#This Row],[Q]]&lt;0.1, " ",Inventory_List_Table341115109111317181416192021[[#This Row],[PRICE]]/Z66*10000)</f>
        <v xml:space="preserve"> </v>
      </c>
      <c r="AB66" s="457"/>
      <c r="AC66" s="1"/>
      <c r="AD66" s="1"/>
    </row>
    <row r="67" spans="1:30" ht="24" customHeight="1" x14ac:dyDescent="0.3">
      <c r="A67" s="451">
        <v>65</v>
      </c>
      <c r="B67" s="1"/>
      <c r="C67" s="452"/>
      <c r="D67" s="452"/>
      <c r="E67" s="452"/>
      <c r="F67" s="38" t="str">
        <f>IF(Inventory_List_Table341115109111317181416192021[[#This Row],[Q]]&lt;0.1, " ",#REF!&amp;$D$1&amp;#REF!&amp;Inventory_List_Table341115109111317181416192021[[#This Row],[NOTES]])</f>
        <v xml:space="preserve"> </v>
      </c>
      <c r="G67" s="454"/>
      <c r="H67" s="454"/>
      <c r="I67" s="454"/>
      <c r="J67" s="454"/>
      <c r="K67" s="454"/>
      <c r="L67" s="456"/>
      <c r="M6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7" s="35" t="str">
        <f>IF(Inventory_List_Table341115109111317181416192021[[#This Row],[Q]]&lt;0.1, " ", Inventory_List_Table341115109111317181416192021[[#This Row],[KG]]*2.20462)</f>
        <v xml:space="preserve"> </v>
      </c>
      <c r="O67" s="35" t="str">
        <f>IF(Inventory_List_Table341115109111317181416192021[[#This Row],[Q]]&lt;0.1, " ",Inventory_List_Table341115109111317181416192021[[#This Row],[H CM]]/2.54)</f>
        <v xml:space="preserve"> </v>
      </c>
      <c r="P67" s="35" t="str">
        <f>IF(Inventory_List_Table341115109111317181416192021[[#This Row],[Q]]&lt;0.1, " ",Inventory_List_Table341115109111317181416192021[[#This Row],[W CM]]/2.54)</f>
        <v xml:space="preserve"> </v>
      </c>
      <c r="Q67" s="35" t="str">
        <f>IF(Inventory_List_Table341115109111317181416192021[[#This Row],[Q]]&lt;0.1, " ",Inventory_List_Table341115109111317181416192021[[#This Row],[D CM ]]/2.54)</f>
        <v xml:space="preserve"> </v>
      </c>
      <c r="R67" s="30" t="str">
        <f>IF(Inventory_List_Table341115109111317181416192021[[#This Row],[Q]]&lt;0.1, " ",Inventory_List_Table341115109111317181416192021[[#This Row],[PRICE]]/$L$1)</f>
        <v xml:space="preserve"> </v>
      </c>
      <c r="S6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7" s="30" t="str">
        <f>IF(Inventory_List_Table341115109111317181416192021[[#This Row],[Q]]&lt;0.1, " ",Inventory_List_Table341115109111317181416192021[[#This Row],[AQ RND USD]]*1.4)</f>
        <v xml:space="preserve"> </v>
      </c>
      <c r="U6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7" s="30" t="str">
        <f>IF(Inventory_List_Table341115109111317181416192021[[#This Row],[Q]]&lt;0.1, " ",Inventory_List_Table341115109111317181416192021[[#This Row],[LND RND USD]]*12)</f>
        <v xml:space="preserve"> </v>
      </c>
      <c r="W67" s="30" t="str">
        <f>IF(Inventory_List_Table341115109111317181416192021[[#This Row],[Q]]&lt;0.1, " ",Inventory_List_Table341115109111317181416192021[[#This Row],[AQ USD]])</f>
        <v xml:space="preserve"> </v>
      </c>
      <c r="X6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7" s="30" t="str">
        <f>IF(Inventory_List_Table341115109111317181416192021[[#This Row],[Q]]&lt;0.1, " ",Inventory_List_Table341115109111317181416192021[[#This Row],[PRICE]]/Z67*10000)</f>
        <v xml:space="preserve"> </v>
      </c>
      <c r="AB67" s="457"/>
      <c r="AC67" s="1"/>
      <c r="AD67" s="1"/>
    </row>
    <row r="68" spans="1:30" ht="24" customHeight="1" x14ac:dyDescent="0.3">
      <c r="A68" s="451">
        <v>66</v>
      </c>
      <c r="B68" s="1"/>
      <c r="C68" s="452"/>
      <c r="D68" s="452"/>
      <c r="E68" s="452"/>
      <c r="F68" s="38" t="str">
        <f>IF(Inventory_List_Table341115109111317181416192021[[#This Row],[Q]]&lt;0.1, " ",#REF!&amp;$D$1&amp;#REF!&amp;Inventory_List_Table341115109111317181416192021[[#This Row],[NOTES]])</f>
        <v xml:space="preserve"> </v>
      </c>
      <c r="G68" s="454"/>
      <c r="H68" s="454"/>
      <c r="I68" s="454"/>
      <c r="J68" s="454"/>
      <c r="K68" s="454"/>
      <c r="L68" s="456"/>
      <c r="M6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8" s="35" t="str">
        <f>IF(Inventory_List_Table341115109111317181416192021[[#This Row],[Q]]&lt;0.1, " ", Inventory_List_Table341115109111317181416192021[[#This Row],[KG]]*2.20462)</f>
        <v xml:space="preserve"> </v>
      </c>
      <c r="O68" s="35" t="str">
        <f>IF(Inventory_List_Table341115109111317181416192021[[#This Row],[Q]]&lt;0.1, " ",Inventory_List_Table341115109111317181416192021[[#This Row],[H CM]]/2.54)</f>
        <v xml:space="preserve"> </v>
      </c>
      <c r="P68" s="35" t="str">
        <f>IF(Inventory_List_Table341115109111317181416192021[[#This Row],[Q]]&lt;0.1, " ",Inventory_List_Table341115109111317181416192021[[#This Row],[W CM]]/2.54)</f>
        <v xml:space="preserve"> </v>
      </c>
      <c r="Q68" s="35" t="str">
        <f>IF(Inventory_List_Table341115109111317181416192021[[#This Row],[Q]]&lt;0.1, " ",Inventory_List_Table341115109111317181416192021[[#This Row],[D CM ]]/2.54)</f>
        <v xml:space="preserve"> </v>
      </c>
      <c r="R68" s="30" t="str">
        <f>IF(Inventory_List_Table341115109111317181416192021[[#This Row],[Q]]&lt;0.1, " ",Inventory_List_Table341115109111317181416192021[[#This Row],[PRICE]]/$L$1)</f>
        <v xml:space="preserve"> </v>
      </c>
      <c r="S6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8" s="30" t="str">
        <f>IF(Inventory_List_Table341115109111317181416192021[[#This Row],[Q]]&lt;0.1, " ",Inventory_List_Table341115109111317181416192021[[#This Row],[AQ RND USD]]*1.4)</f>
        <v xml:space="preserve"> </v>
      </c>
      <c r="U6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8" s="30" t="str">
        <f>IF(Inventory_List_Table341115109111317181416192021[[#This Row],[Q]]&lt;0.1, " ",Inventory_List_Table341115109111317181416192021[[#This Row],[LND RND USD]]*12)</f>
        <v xml:space="preserve"> </v>
      </c>
      <c r="W68" s="30" t="str">
        <f>IF(Inventory_List_Table341115109111317181416192021[[#This Row],[Q]]&lt;0.1, " ",Inventory_List_Table341115109111317181416192021[[#This Row],[AQ USD]])</f>
        <v xml:space="preserve"> </v>
      </c>
      <c r="X6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8" s="30" t="str">
        <f>IF(Inventory_List_Table341115109111317181416192021[[#This Row],[Q]]&lt;0.1, " ",Inventory_List_Table341115109111317181416192021[[#This Row],[PRICE]]/Z68*10000)</f>
        <v xml:space="preserve"> </v>
      </c>
      <c r="AB68" s="457"/>
      <c r="AC68" s="1"/>
      <c r="AD68" s="1"/>
    </row>
    <row r="69" spans="1:30" ht="24" customHeight="1" x14ac:dyDescent="0.3">
      <c r="A69" s="451">
        <v>67</v>
      </c>
      <c r="B69" s="1"/>
      <c r="C69" s="452"/>
      <c r="D69" s="452"/>
      <c r="E69" s="452"/>
      <c r="F69" s="38" t="str">
        <f>IF(Inventory_List_Table341115109111317181416192021[[#This Row],[Q]]&lt;0.1, " ",#REF!&amp;$D$1&amp;#REF!&amp;Inventory_List_Table341115109111317181416192021[[#This Row],[NOTES]])</f>
        <v xml:space="preserve"> </v>
      </c>
      <c r="G69" s="454"/>
      <c r="H69" s="454"/>
      <c r="I69" s="454"/>
      <c r="J69" s="454"/>
      <c r="K69" s="454"/>
      <c r="L69" s="456"/>
      <c r="M6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69" s="35" t="str">
        <f>IF(Inventory_List_Table341115109111317181416192021[[#This Row],[Q]]&lt;0.1, " ", Inventory_List_Table341115109111317181416192021[[#This Row],[KG]]*2.20462)</f>
        <v xml:space="preserve"> </v>
      </c>
      <c r="O69" s="35" t="str">
        <f>IF(Inventory_List_Table341115109111317181416192021[[#This Row],[Q]]&lt;0.1, " ",Inventory_List_Table341115109111317181416192021[[#This Row],[H CM]]/2.54)</f>
        <v xml:space="preserve"> </v>
      </c>
      <c r="P69" s="35" t="str">
        <f>IF(Inventory_List_Table341115109111317181416192021[[#This Row],[Q]]&lt;0.1, " ",Inventory_List_Table341115109111317181416192021[[#This Row],[W CM]]/2.54)</f>
        <v xml:space="preserve"> </v>
      </c>
      <c r="Q69" s="35" t="str">
        <f>IF(Inventory_List_Table341115109111317181416192021[[#This Row],[Q]]&lt;0.1, " ",Inventory_List_Table341115109111317181416192021[[#This Row],[D CM ]]/2.54)</f>
        <v xml:space="preserve"> </v>
      </c>
      <c r="R69" s="30" t="str">
        <f>IF(Inventory_List_Table341115109111317181416192021[[#This Row],[Q]]&lt;0.1, " ",Inventory_List_Table341115109111317181416192021[[#This Row],[PRICE]]/$L$1)</f>
        <v xml:space="preserve"> </v>
      </c>
      <c r="S6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69" s="30" t="str">
        <f>IF(Inventory_List_Table341115109111317181416192021[[#This Row],[Q]]&lt;0.1, " ",Inventory_List_Table341115109111317181416192021[[#This Row],[AQ RND USD]]*1.4)</f>
        <v xml:space="preserve"> </v>
      </c>
      <c r="U6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69" s="30" t="str">
        <f>IF(Inventory_List_Table341115109111317181416192021[[#This Row],[Q]]&lt;0.1, " ",Inventory_List_Table341115109111317181416192021[[#This Row],[LND RND USD]]*12)</f>
        <v xml:space="preserve"> </v>
      </c>
      <c r="W69" s="30" t="str">
        <f>IF(Inventory_List_Table341115109111317181416192021[[#This Row],[Q]]&lt;0.1, " ",Inventory_List_Table341115109111317181416192021[[#This Row],[AQ USD]])</f>
        <v xml:space="preserve"> </v>
      </c>
      <c r="X6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6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6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69" s="30" t="str">
        <f>IF(Inventory_List_Table341115109111317181416192021[[#This Row],[Q]]&lt;0.1, " ",Inventory_List_Table341115109111317181416192021[[#This Row],[PRICE]]/Z69*10000)</f>
        <v xml:space="preserve"> </v>
      </c>
      <c r="AB69" s="457"/>
      <c r="AC69" s="1"/>
      <c r="AD69" s="1"/>
    </row>
    <row r="70" spans="1:30" ht="24" customHeight="1" x14ac:dyDescent="0.3">
      <c r="A70" s="451">
        <v>68</v>
      </c>
      <c r="B70" s="1"/>
      <c r="C70" s="452"/>
      <c r="D70" s="452"/>
      <c r="E70" s="452"/>
      <c r="F70" s="38" t="str">
        <f>IF(Inventory_List_Table341115109111317181416192021[[#This Row],[Q]]&lt;0.1, " ",#REF!&amp;$D$1&amp;#REF!&amp;Inventory_List_Table341115109111317181416192021[[#This Row],[NOTES]])</f>
        <v xml:space="preserve"> </v>
      </c>
      <c r="G70" s="454"/>
      <c r="H70" s="454"/>
      <c r="I70" s="454"/>
      <c r="J70" s="454"/>
      <c r="K70" s="454"/>
      <c r="L70" s="456"/>
      <c r="M7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0" s="35" t="str">
        <f>IF(Inventory_List_Table341115109111317181416192021[[#This Row],[Q]]&lt;0.1, " ", Inventory_List_Table341115109111317181416192021[[#This Row],[KG]]*2.20462)</f>
        <v xml:space="preserve"> </v>
      </c>
      <c r="O70" s="35" t="str">
        <f>IF(Inventory_List_Table341115109111317181416192021[[#This Row],[Q]]&lt;0.1, " ",Inventory_List_Table341115109111317181416192021[[#This Row],[H CM]]/2.54)</f>
        <v xml:space="preserve"> </v>
      </c>
      <c r="P70" s="35" t="str">
        <f>IF(Inventory_List_Table341115109111317181416192021[[#This Row],[Q]]&lt;0.1, " ",Inventory_List_Table341115109111317181416192021[[#This Row],[W CM]]/2.54)</f>
        <v xml:space="preserve"> </v>
      </c>
      <c r="Q70" s="35" t="str">
        <f>IF(Inventory_List_Table341115109111317181416192021[[#This Row],[Q]]&lt;0.1, " ",Inventory_List_Table341115109111317181416192021[[#This Row],[D CM ]]/2.54)</f>
        <v xml:space="preserve"> </v>
      </c>
      <c r="R70" s="30" t="str">
        <f>IF(Inventory_List_Table341115109111317181416192021[[#This Row],[Q]]&lt;0.1, " ",Inventory_List_Table341115109111317181416192021[[#This Row],[PRICE]]/$L$1)</f>
        <v xml:space="preserve"> </v>
      </c>
      <c r="S7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0" s="30" t="str">
        <f>IF(Inventory_List_Table341115109111317181416192021[[#This Row],[Q]]&lt;0.1, " ",Inventory_List_Table341115109111317181416192021[[#This Row],[AQ RND USD]]*1.4)</f>
        <v xml:space="preserve"> </v>
      </c>
      <c r="U7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0" s="30" t="str">
        <f>IF(Inventory_List_Table341115109111317181416192021[[#This Row],[Q]]&lt;0.1, " ",Inventory_List_Table341115109111317181416192021[[#This Row],[LND RND USD]]*12)</f>
        <v xml:space="preserve"> </v>
      </c>
      <c r="W70" s="30" t="str">
        <f>IF(Inventory_List_Table341115109111317181416192021[[#This Row],[Q]]&lt;0.1, " ",Inventory_List_Table341115109111317181416192021[[#This Row],[AQ USD]])</f>
        <v xml:space="preserve"> </v>
      </c>
      <c r="X7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0" s="30" t="str">
        <f>IF(Inventory_List_Table341115109111317181416192021[[#This Row],[Q]]&lt;0.1, " ",Inventory_List_Table341115109111317181416192021[[#This Row],[PRICE]]/Z70*10000)</f>
        <v xml:space="preserve"> </v>
      </c>
      <c r="AB70" s="457"/>
      <c r="AC70" s="1"/>
      <c r="AD70" s="1"/>
    </row>
    <row r="71" spans="1:30" ht="24" customHeight="1" x14ac:dyDescent="0.3">
      <c r="A71" s="451">
        <v>69</v>
      </c>
      <c r="B71" s="1"/>
      <c r="C71" s="452"/>
      <c r="D71" s="452"/>
      <c r="E71" s="452"/>
      <c r="F71" s="38" t="str">
        <f>IF(Inventory_List_Table341115109111317181416192021[[#This Row],[Q]]&lt;0.1, " ",#REF!&amp;$D$1&amp;#REF!&amp;Inventory_List_Table341115109111317181416192021[[#This Row],[NOTES]])</f>
        <v xml:space="preserve"> </v>
      </c>
      <c r="G71" s="454"/>
      <c r="H71" s="454"/>
      <c r="I71" s="454"/>
      <c r="J71" s="454"/>
      <c r="K71" s="454"/>
      <c r="L71" s="456"/>
      <c r="M7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1" s="35" t="str">
        <f>IF(Inventory_List_Table341115109111317181416192021[[#This Row],[Q]]&lt;0.1, " ", Inventory_List_Table341115109111317181416192021[[#This Row],[KG]]*2.20462)</f>
        <v xml:space="preserve"> </v>
      </c>
      <c r="O71" s="35" t="str">
        <f>IF(Inventory_List_Table341115109111317181416192021[[#This Row],[Q]]&lt;0.1, " ",Inventory_List_Table341115109111317181416192021[[#This Row],[H CM]]/2.54)</f>
        <v xml:space="preserve"> </v>
      </c>
      <c r="P71" s="35" t="str">
        <f>IF(Inventory_List_Table341115109111317181416192021[[#This Row],[Q]]&lt;0.1, " ",Inventory_List_Table341115109111317181416192021[[#This Row],[W CM]]/2.54)</f>
        <v xml:space="preserve"> </v>
      </c>
      <c r="Q71" s="35" t="str">
        <f>IF(Inventory_List_Table341115109111317181416192021[[#This Row],[Q]]&lt;0.1, " ",Inventory_List_Table341115109111317181416192021[[#This Row],[D CM ]]/2.54)</f>
        <v xml:space="preserve"> </v>
      </c>
      <c r="R71" s="30" t="str">
        <f>IF(Inventory_List_Table341115109111317181416192021[[#This Row],[Q]]&lt;0.1, " ",Inventory_List_Table341115109111317181416192021[[#This Row],[PRICE]]/$L$1)</f>
        <v xml:space="preserve"> </v>
      </c>
      <c r="S7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1" s="30" t="str">
        <f>IF(Inventory_List_Table341115109111317181416192021[[#This Row],[Q]]&lt;0.1, " ",Inventory_List_Table341115109111317181416192021[[#This Row],[AQ RND USD]]*1.4)</f>
        <v xml:space="preserve"> </v>
      </c>
      <c r="U7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1" s="30" t="str">
        <f>IF(Inventory_List_Table341115109111317181416192021[[#This Row],[Q]]&lt;0.1, " ",Inventory_List_Table341115109111317181416192021[[#This Row],[LND RND USD]]*12)</f>
        <v xml:space="preserve"> </v>
      </c>
      <c r="W71" s="30" t="str">
        <f>IF(Inventory_List_Table341115109111317181416192021[[#This Row],[Q]]&lt;0.1, " ",Inventory_List_Table341115109111317181416192021[[#This Row],[AQ USD]])</f>
        <v xml:space="preserve"> </v>
      </c>
      <c r="X7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1" s="30" t="str">
        <f>IF(Inventory_List_Table341115109111317181416192021[[#This Row],[Q]]&lt;0.1, " ",Inventory_List_Table341115109111317181416192021[[#This Row],[PRICE]]/Z71*10000)</f>
        <v xml:space="preserve"> </v>
      </c>
      <c r="AB71" s="457"/>
      <c r="AC71" s="1"/>
      <c r="AD71" s="1"/>
    </row>
    <row r="72" spans="1:30" ht="24" customHeight="1" x14ac:dyDescent="0.3">
      <c r="A72" s="451">
        <v>70</v>
      </c>
      <c r="B72" s="1"/>
      <c r="C72" s="452"/>
      <c r="D72" s="452"/>
      <c r="E72" s="452"/>
      <c r="F72" s="38" t="str">
        <f>IF(Inventory_List_Table341115109111317181416192021[[#This Row],[Q]]&lt;0.1, " ",#REF!&amp;$D$1&amp;#REF!&amp;Inventory_List_Table341115109111317181416192021[[#This Row],[NOTES]])</f>
        <v xml:space="preserve"> </v>
      </c>
      <c r="G72" s="454"/>
      <c r="H72" s="454"/>
      <c r="I72" s="454"/>
      <c r="J72" s="454"/>
      <c r="K72" s="454"/>
      <c r="L72" s="456"/>
      <c r="M7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2" s="35" t="str">
        <f>IF(Inventory_List_Table341115109111317181416192021[[#This Row],[Q]]&lt;0.1, " ", Inventory_List_Table341115109111317181416192021[[#This Row],[KG]]*2.20462)</f>
        <v xml:space="preserve"> </v>
      </c>
      <c r="O72" s="35" t="str">
        <f>IF(Inventory_List_Table341115109111317181416192021[[#This Row],[Q]]&lt;0.1, " ",Inventory_List_Table341115109111317181416192021[[#This Row],[H CM]]/2.54)</f>
        <v xml:space="preserve"> </v>
      </c>
      <c r="P72" s="35" t="str">
        <f>IF(Inventory_List_Table341115109111317181416192021[[#This Row],[Q]]&lt;0.1, " ",Inventory_List_Table341115109111317181416192021[[#This Row],[W CM]]/2.54)</f>
        <v xml:space="preserve"> </v>
      </c>
      <c r="Q72" s="35" t="str">
        <f>IF(Inventory_List_Table341115109111317181416192021[[#This Row],[Q]]&lt;0.1, " ",Inventory_List_Table341115109111317181416192021[[#This Row],[D CM ]]/2.54)</f>
        <v xml:space="preserve"> </v>
      </c>
      <c r="R72" s="30" t="str">
        <f>IF(Inventory_List_Table341115109111317181416192021[[#This Row],[Q]]&lt;0.1, " ",Inventory_List_Table341115109111317181416192021[[#This Row],[PRICE]]/$L$1)</f>
        <v xml:space="preserve"> </v>
      </c>
      <c r="S7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2" s="30" t="str">
        <f>IF(Inventory_List_Table341115109111317181416192021[[#This Row],[Q]]&lt;0.1, " ",Inventory_List_Table341115109111317181416192021[[#This Row],[AQ RND USD]]*1.4)</f>
        <v xml:space="preserve"> </v>
      </c>
      <c r="U7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2" s="30" t="str">
        <f>IF(Inventory_List_Table341115109111317181416192021[[#This Row],[Q]]&lt;0.1, " ",Inventory_List_Table341115109111317181416192021[[#This Row],[LND RND USD]]*12)</f>
        <v xml:space="preserve"> </v>
      </c>
      <c r="W72" s="30" t="str">
        <f>IF(Inventory_List_Table341115109111317181416192021[[#This Row],[Q]]&lt;0.1, " ",Inventory_List_Table341115109111317181416192021[[#This Row],[AQ USD]])</f>
        <v xml:space="preserve"> </v>
      </c>
      <c r="X7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2" s="30" t="str">
        <f>IF(Inventory_List_Table341115109111317181416192021[[#This Row],[Q]]&lt;0.1, " ",Inventory_List_Table341115109111317181416192021[[#This Row],[PRICE]]/Z72*10000)</f>
        <v xml:space="preserve"> </v>
      </c>
      <c r="AB72" s="457"/>
      <c r="AC72" s="1"/>
      <c r="AD72" s="1"/>
    </row>
    <row r="73" spans="1:30" ht="24" customHeight="1" x14ac:dyDescent="0.3">
      <c r="A73" s="451">
        <v>71</v>
      </c>
      <c r="B73" s="1"/>
      <c r="C73" s="452"/>
      <c r="D73" s="452"/>
      <c r="E73" s="452"/>
      <c r="F73" s="38" t="str">
        <f>IF(Inventory_List_Table341115109111317181416192021[[#This Row],[Q]]&lt;0.1, " ",#REF!&amp;$D$1&amp;#REF!&amp;Inventory_List_Table341115109111317181416192021[[#This Row],[NOTES]])</f>
        <v xml:space="preserve"> </v>
      </c>
      <c r="G73" s="454"/>
      <c r="H73" s="454"/>
      <c r="I73" s="454"/>
      <c r="J73" s="454"/>
      <c r="K73" s="454"/>
      <c r="L73" s="456"/>
      <c r="M7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3" s="35" t="str">
        <f>IF(Inventory_List_Table341115109111317181416192021[[#This Row],[Q]]&lt;0.1, " ", Inventory_List_Table341115109111317181416192021[[#This Row],[KG]]*2.20462)</f>
        <v xml:space="preserve"> </v>
      </c>
      <c r="O73" s="35" t="str">
        <f>IF(Inventory_List_Table341115109111317181416192021[[#This Row],[Q]]&lt;0.1, " ",Inventory_List_Table341115109111317181416192021[[#This Row],[H CM]]/2.54)</f>
        <v xml:space="preserve"> </v>
      </c>
      <c r="P73" s="35" t="str">
        <f>IF(Inventory_List_Table341115109111317181416192021[[#This Row],[Q]]&lt;0.1, " ",Inventory_List_Table341115109111317181416192021[[#This Row],[W CM]]/2.54)</f>
        <v xml:space="preserve"> </v>
      </c>
      <c r="Q73" s="35" t="str">
        <f>IF(Inventory_List_Table341115109111317181416192021[[#This Row],[Q]]&lt;0.1, " ",Inventory_List_Table341115109111317181416192021[[#This Row],[D CM ]]/2.54)</f>
        <v xml:space="preserve"> </v>
      </c>
      <c r="R73" s="30" t="str">
        <f>IF(Inventory_List_Table341115109111317181416192021[[#This Row],[Q]]&lt;0.1, " ",Inventory_List_Table341115109111317181416192021[[#This Row],[PRICE]]/$L$1)</f>
        <v xml:space="preserve"> </v>
      </c>
      <c r="S7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3" s="30" t="str">
        <f>IF(Inventory_List_Table341115109111317181416192021[[#This Row],[Q]]&lt;0.1, " ",Inventory_List_Table341115109111317181416192021[[#This Row],[AQ RND USD]]*1.4)</f>
        <v xml:space="preserve"> </v>
      </c>
      <c r="U7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3" s="30" t="str">
        <f>IF(Inventory_List_Table341115109111317181416192021[[#This Row],[Q]]&lt;0.1, " ",Inventory_List_Table341115109111317181416192021[[#This Row],[LND RND USD]]*12)</f>
        <v xml:space="preserve"> </v>
      </c>
      <c r="W73" s="30" t="str">
        <f>IF(Inventory_List_Table341115109111317181416192021[[#This Row],[Q]]&lt;0.1, " ",Inventory_List_Table341115109111317181416192021[[#This Row],[AQ USD]])</f>
        <v xml:space="preserve"> </v>
      </c>
      <c r="X7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3" s="30" t="str">
        <f>IF(Inventory_List_Table341115109111317181416192021[[#This Row],[Q]]&lt;0.1, " ",Inventory_List_Table341115109111317181416192021[[#This Row],[PRICE]]/Z73*10000)</f>
        <v xml:space="preserve"> </v>
      </c>
      <c r="AB73" s="457"/>
      <c r="AC73" s="1"/>
      <c r="AD73" s="1"/>
    </row>
    <row r="74" spans="1:30" ht="24" customHeight="1" x14ac:dyDescent="0.3">
      <c r="A74" s="451">
        <v>72</v>
      </c>
      <c r="B74" s="1"/>
      <c r="C74" s="452"/>
      <c r="D74" s="452"/>
      <c r="E74" s="452"/>
      <c r="F74" s="38" t="str">
        <f>IF(Inventory_List_Table341115109111317181416192021[[#This Row],[Q]]&lt;0.1, " ",#REF!&amp;$D$1&amp;#REF!&amp;Inventory_List_Table341115109111317181416192021[[#This Row],[NOTES]])</f>
        <v xml:space="preserve"> </v>
      </c>
      <c r="G74" s="454"/>
      <c r="H74" s="454"/>
      <c r="I74" s="454"/>
      <c r="J74" s="454"/>
      <c r="K74" s="454"/>
      <c r="L74" s="456"/>
      <c r="M7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4" s="35" t="str">
        <f>IF(Inventory_List_Table341115109111317181416192021[[#This Row],[Q]]&lt;0.1, " ", Inventory_List_Table341115109111317181416192021[[#This Row],[KG]]*2.20462)</f>
        <v xml:space="preserve"> </v>
      </c>
      <c r="O74" s="35" t="str">
        <f>IF(Inventory_List_Table341115109111317181416192021[[#This Row],[Q]]&lt;0.1, " ",Inventory_List_Table341115109111317181416192021[[#This Row],[H CM]]/2.54)</f>
        <v xml:space="preserve"> </v>
      </c>
      <c r="P74" s="35" t="str">
        <f>IF(Inventory_List_Table341115109111317181416192021[[#This Row],[Q]]&lt;0.1, " ",Inventory_List_Table341115109111317181416192021[[#This Row],[W CM]]/2.54)</f>
        <v xml:space="preserve"> </v>
      </c>
      <c r="Q74" s="35" t="str">
        <f>IF(Inventory_List_Table341115109111317181416192021[[#This Row],[Q]]&lt;0.1, " ",Inventory_List_Table341115109111317181416192021[[#This Row],[D CM ]]/2.54)</f>
        <v xml:space="preserve"> </v>
      </c>
      <c r="R74" s="30" t="str">
        <f>IF(Inventory_List_Table341115109111317181416192021[[#This Row],[Q]]&lt;0.1, " ",Inventory_List_Table341115109111317181416192021[[#This Row],[PRICE]]/$L$1)</f>
        <v xml:space="preserve"> </v>
      </c>
      <c r="S7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4" s="30" t="str">
        <f>IF(Inventory_List_Table341115109111317181416192021[[#This Row],[Q]]&lt;0.1, " ",Inventory_List_Table341115109111317181416192021[[#This Row],[AQ RND USD]]*1.4)</f>
        <v xml:space="preserve"> </v>
      </c>
      <c r="U7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4" s="30" t="str">
        <f>IF(Inventory_List_Table341115109111317181416192021[[#This Row],[Q]]&lt;0.1, " ",Inventory_List_Table341115109111317181416192021[[#This Row],[LND RND USD]]*12)</f>
        <v xml:space="preserve"> </v>
      </c>
      <c r="W74" s="30" t="str">
        <f>IF(Inventory_List_Table341115109111317181416192021[[#This Row],[Q]]&lt;0.1, " ",Inventory_List_Table341115109111317181416192021[[#This Row],[AQ USD]])</f>
        <v xml:space="preserve"> </v>
      </c>
      <c r="X7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4" s="30" t="str">
        <f>IF(Inventory_List_Table341115109111317181416192021[[#This Row],[Q]]&lt;0.1, " ",Inventory_List_Table341115109111317181416192021[[#This Row],[PRICE]]/Z74*10000)</f>
        <v xml:space="preserve"> </v>
      </c>
      <c r="AB74" s="457"/>
      <c r="AC74" s="1"/>
      <c r="AD74" s="1"/>
    </row>
    <row r="75" spans="1:30" ht="24" customHeight="1" x14ac:dyDescent="0.3">
      <c r="A75" s="451">
        <v>73</v>
      </c>
      <c r="B75" s="1"/>
      <c r="C75" s="452"/>
      <c r="D75" s="452"/>
      <c r="E75" s="452"/>
      <c r="F75" s="38" t="str">
        <f>IF(Inventory_List_Table341115109111317181416192021[[#This Row],[Q]]&lt;0.1, " ",#REF!&amp;$D$1&amp;#REF!&amp;Inventory_List_Table341115109111317181416192021[[#This Row],[NOTES]])</f>
        <v xml:space="preserve"> </v>
      </c>
      <c r="G75" s="454"/>
      <c r="H75" s="454"/>
      <c r="I75" s="454"/>
      <c r="J75" s="454"/>
      <c r="K75" s="454"/>
      <c r="L75" s="456"/>
      <c r="M7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5" s="35" t="str">
        <f>IF(Inventory_List_Table341115109111317181416192021[[#This Row],[Q]]&lt;0.1, " ", Inventory_List_Table341115109111317181416192021[[#This Row],[KG]]*2.20462)</f>
        <v xml:space="preserve"> </v>
      </c>
      <c r="O75" s="35" t="str">
        <f>IF(Inventory_List_Table341115109111317181416192021[[#This Row],[Q]]&lt;0.1, " ",Inventory_List_Table341115109111317181416192021[[#This Row],[H CM]]/2.54)</f>
        <v xml:space="preserve"> </v>
      </c>
      <c r="P75" s="35" t="str">
        <f>IF(Inventory_List_Table341115109111317181416192021[[#This Row],[Q]]&lt;0.1, " ",Inventory_List_Table341115109111317181416192021[[#This Row],[W CM]]/2.54)</f>
        <v xml:space="preserve"> </v>
      </c>
      <c r="Q75" s="35" t="str">
        <f>IF(Inventory_List_Table341115109111317181416192021[[#This Row],[Q]]&lt;0.1, " ",Inventory_List_Table341115109111317181416192021[[#This Row],[D CM ]]/2.54)</f>
        <v xml:space="preserve"> </v>
      </c>
      <c r="R75" s="30" t="str">
        <f>IF(Inventory_List_Table341115109111317181416192021[[#This Row],[Q]]&lt;0.1, " ",Inventory_List_Table341115109111317181416192021[[#This Row],[PRICE]]/$L$1)</f>
        <v xml:space="preserve"> </v>
      </c>
      <c r="S7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5" s="30" t="str">
        <f>IF(Inventory_List_Table341115109111317181416192021[[#This Row],[Q]]&lt;0.1, " ",Inventory_List_Table341115109111317181416192021[[#This Row],[AQ RND USD]]*1.4)</f>
        <v xml:space="preserve"> </v>
      </c>
      <c r="U7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5" s="30" t="str">
        <f>IF(Inventory_List_Table341115109111317181416192021[[#This Row],[Q]]&lt;0.1, " ",Inventory_List_Table341115109111317181416192021[[#This Row],[LND RND USD]]*12)</f>
        <v xml:space="preserve"> </v>
      </c>
      <c r="W75" s="30" t="str">
        <f>IF(Inventory_List_Table341115109111317181416192021[[#This Row],[Q]]&lt;0.1, " ",Inventory_List_Table341115109111317181416192021[[#This Row],[AQ USD]])</f>
        <v xml:space="preserve"> </v>
      </c>
      <c r="X7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5" s="30" t="str">
        <f>IF(Inventory_List_Table341115109111317181416192021[[#This Row],[Q]]&lt;0.1, " ",Inventory_List_Table341115109111317181416192021[[#This Row],[PRICE]]/Z75*10000)</f>
        <v xml:space="preserve"> </v>
      </c>
      <c r="AB75" s="457"/>
      <c r="AC75" s="1"/>
      <c r="AD75" s="1"/>
    </row>
    <row r="76" spans="1:30" ht="24" customHeight="1" x14ac:dyDescent="0.3">
      <c r="A76" s="451">
        <v>74</v>
      </c>
      <c r="B76" s="1"/>
      <c r="C76" s="452"/>
      <c r="D76" s="452"/>
      <c r="E76" s="452"/>
      <c r="F76" s="38" t="str">
        <f>IF(Inventory_List_Table341115109111317181416192021[[#This Row],[Q]]&lt;0.1, " ",#REF!&amp;$D$1&amp;#REF!&amp;Inventory_List_Table341115109111317181416192021[[#This Row],[NOTES]])</f>
        <v xml:space="preserve"> </v>
      </c>
      <c r="G76" s="454"/>
      <c r="H76" s="454"/>
      <c r="I76" s="454"/>
      <c r="J76" s="454"/>
      <c r="K76" s="454"/>
      <c r="L76" s="456"/>
      <c r="M7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6" s="35" t="str">
        <f>IF(Inventory_List_Table341115109111317181416192021[[#This Row],[Q]]&lt;0.1, " ", Inventory_List_Table341115109111317181416192021[[#This Row],[KG]]*2.20462)</f>
        <v xml:space="preserve"> </v>
      </c>
      <c r="O76" s="35" t="str">
        <f>IF(Inventory_List_Table341115109111317181416192021[[#This Row],[Q]]&lt;0.1, " ",Inventory_List_Table341115109111317181416192021[[#This Row],[H CM]]/2.54)</f>
        <v xml:space="preserve"> </v>
      </c>
      <c r="P76" s="35" t="str">
        <f>IF(Inventory_List_Table341115109111317181416192021[[#This Row],[Q]]&lt;0.1, " ",Inventory_List_Table341115109111317181416192021[[#This Row],[W CM]]/2.54)</f>
        <v xml:space="preserve"> </v>
      </c>
      <c r="Q76" s="35" t="str">
        <f>IF(Inventory_List_Table341115109111317181416192021[[#This Row],[Q]]&lt;0.1, " ",Inventory_List_Table341115109111317181416192021[[#This Row],[D CM ]]/2.54)</f>
        <v xml:space="preserve"> </v>
      </c>
      <c r="R76" s="30" t="str">
        <f>IF(Inventory_List_Table341115109111317181416192021[[#This Row],[Q]]&lt;0.1, " ",Inventory_List_Table341115109111317181416192021[[#This Row],[PRICE]]/$L$1)</f>
        <v xml:space="preserve"> </v>
      </c>
      <c r="S7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6" s="30" t="str">
        <f>IF(Inventory_List_Table341115109111317181416192021[[#This Row],[Q]]&lt;0.1, " ",Inventory_List_Table341115109111317181416192021[[#This Row],[AQ RND USD]]*1.4)</f>
        <v xml:space="preserve"> </v>
      </c>
      <c r="U7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6" s="30" t="str">
        <f>IF(Inventory_List_Table341115109111317181416192021[[#This Row],[Q]]&lt;0.1, " ",Inventory_List_Table341115109111317181416192021[[#This Row],[LND RND USD]]*12)</f>
        <v xml:space="preserve"> </v>
      </c>
      <c r="W76" s="30" t="str">
        <f>IF(Inventory_List_Table341115109111317181416192021[[#This Row],[Q]]&lt;0.1, " ",Inventory_List_Table341115109111317181416192021[[#This Row],[AQ USD]])</f>
        <v xml:space="preserve"> </v>
      </c>
      <c r="X7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6" s="30" t="str">
        <f>IF(Inventory_List_Table341115109111317181416192021[[#This Row],[Q]]&lt;0.1, " ",Inventory_List_Table341115109111317181416192021[[#This Row],[PRICE]]/Z76*10000)</f>
        <v xml:space="preserve"> </v>
      </c>
      <c r="AB76" s="457"/>
      <c r="AC76" s="1"/>
      <c r="AD76" s="1"/>
    </row>
    <row r="77" spans="1:30" ht="24" customHeight="1" x14ac:dyDescent="0.3">
      <c r="A77" s="451">
        <v>75</v>
      </c>
      <c r="B77" s="1"/>
      <c r="C77" s="452"/>
      <c r="D77" s="452"/>
      <c r="E77" s="452"/>
      <c r="F77" s="38" t="str">
        <f>IF(Inventory_List_Table341115109111317181416192021[[#This Row],[Q]]&lt;0.1, " ",#REF!&amp;$D$1&amp;#REF!&amp;Inventory_List_Table341115109111317181416192021[[#This Row],[NOTES]])</f>
        <v xml:space="preserve"> </v>
      </c>
      <c r="G77" s="454"/>
      <c r="H77" s="454"/>
      <c r="I77" s="454"/>
      <c r="J77" s="454"/>
      <c r="K77" s="454"/>
      <c r="L77" s="456"/>
      <c r="M7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7" s="35" t="str">
        <f>IF(Inventory_List_Table341115109111317181416192021[[#This Row],[Q]]&lt;0.1, " ", Inventory_List_Table341115109111317181416192021[[#This Row],[KG]]*2.20462)</f>
        <v xml:space="preserve"> </v>
      </c>
      <c r="O77" s="35" t="str">
        <f>IF(Inventory_List_Table341115109111317181416192021[[#This Row],[Q]]&lt;0.1, " ",Inventory_List_Table341115109111317181416192021[[#This Row],[H CM]]/2.54)</f>
        <v xml:space="preserve"> </v>
      </c>
      <c r="P77" s="35" t="str">
        <f>IF(Inventory_List_Table341115109111317181416192021[[#This Row],[Q]]&lt;0.1, " ",Inventory_List_Table341115109111317181416192021[[#This Row],[W CM]]/2.54)</f>
        <v xml:space="preserve"> </v>
      </c>
      <c r="Q77" s="35" t="str">
        <f>IF(Inventory_List_Table341115109111317181416192021[[#This Row],[Q]]&lt;0.1, " ",Inventory_List_Table341115109111317181416192021[[#This Row],[D CM ]]/2.54)</f>
        <v xml:space="preserve"> </v>
      </c>
      <c r="R77" s="30" t="str">
        <f>IF(Inventory_List_Table341115109111317181416192021[[#This Row],[Q]]&lt;0.1, " ",Inventory_List_Table341115109111317181416192021[[#This Row],[PRICE]]/$L$1)</f>
        <v xml:space="preserve"> </v>
      </c>
      <c r="S7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7" s="30" t="str">
        <f>IF(Inventory_List_Table341115109111317181416192021[[#This Row],[Q]]&lt;0.1, " ",Inventory_List_Table341115109111317181416192021[[#This Row],[AQ RND USD]]*1.4)</f>
        <v xml:space="preserve"> </v>
      </c>
      <c r="U7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7" s="30" t="str">
        <f>IF(Inventory_List_Table341115109111317181416192021[[#This Row],[Q]]&lt;0.1, " ",Inventory_List_Table341115109111317181416192021[[#This Row],[LND RND USD]]*12)</f>
        <v xml:space="preserve"> </v>
      </c>
      <c r="W77" s="30" t="str">
        <f>IF(Inventory_List_Table341115109111317181416192021[[#This Row],[Q]]&lt;0.1, " ",Inventory_List_Table341115109111317181416192021[[#This Row],[AQ USD]])</f>
        <v xml:space="preserve"> </v>
      </c>
      <c r="X7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7" s="30" t="str">
        <f>IF(Inventory_List_Table341115109111317181416192021[[#This Row],[Q]]&lt;0.1, " ",Inventory_List_Table341115109111317181416192021[[#This Row],[PRICE]]/Z77*10000)</f>
        <v xml:space="preserve"> </v>
      </c>
      <c r="AB77" s="457"/>
      <c r="AC77" s="1"/>
      <c r="AD77" s="1"/>
    </row>
    <row r="78" spans="1:30" ht="24" customHeight="1" x14ac:dyDescent="0.3">
      <c r="A78" s="451">
        <v>76</v>
      </c>
      <c r="B78" s="1"/>
      <c r="C78" s="452"/>
      <c r="D78" s="452"/>
      <c r="E78" s="452"/>
      <c r="F78" s="38" t="str">
        <f>IF(Inventory_List_Table341115109111317181416192021[[#This Row],[Q]]&lt;0.1, " ",#REF!&amp;$D$1&amp;#REF!&amp;Inventory_List_Table341115109111317181416192021[[#This Row],[NOTES]])</f>
        <v xml:space="preserve"> </v>
      </c>
      <c r="G78" s="454"/>
      <c r="H78" s="454"/>
      <c r="I78" s="454"/>
      <c r="J78" s="454"/>
      <c r="K78" s="454"/>
      <c r="L78" s="456"/>
      <c r="M7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8" s="35" t="str">
        <f>IF(Inventory_List_Table341115109111317181416192021[[#This Row],[Q]]&lt;0.1, " ", Inventory_List_Table341115109111317181416192021[[#This Row],[KG]]*2.20462)</f>
        <v xml:space="preserve"> </v>
      </c>
      <c r="O78" s="35" t="str">
        <f>IF(Inventory_List_Table341115109111317181416192021[[#This Row],[Q]]&lt;0.1, " ",Inventory_List_Table341115109111317181416192021[[#This Row],[H CM]]/2.54)</f>
        <v xml:space="preserve"> </v>
      </c>
      <c r="P78" s="35" t="str">
        <f>IF(Inventory_List_Table341115109111317181416192021[[#This Row],[Q]]&lt;0.1, " ",Inventory_List_Table341115109111317181416192021[[#This Row],[W CM]]/2.54)</f>
        <v xml:space="preserve"> </v>
      </c>
      <c r="Q78" s="35" t="str">
        <f>IF(Inventory_List_Table341115109111317181416192021[[#This Row],[Q]]&lt;0.1, " ",Inventory_List_Table341115109111317181416192021[[#This Row],[D CM ]]/2.54)</f>
        <v xml:space="preserve"> </v>
      </c>
      <c r="R78" s="30" t="str">
        <f>IF(Inventory_List_Table341115109111317181416192021[[#This Row],[Q]]&lt;0.1, " ",Inventory_List_Table341115109111317181416192021[[#This Row],[PRICE]]/$L$1)</f>
        <v xml:space="preserve"> </v>
      </c>
      <c r="S7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8" s="30" t="str">
        <f>IF(Inventory_List_Table341115109111317181416192021[[#This Row],[Q]]&lt;0.1, " ",Inventory_List_Table341115109111317181416192021[[#This Row],[AQ RND USD]]*1.4)</f>
        <v xml:space="preserve"> </v>
      </c>
      <c r="U7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8" s="30" t="str">
        <f>IF(Inventory_List_Table341115109111317181416192021[[#This Row],[Q]]&lt;0.1, " ",Inventory_List_Table341115109111317181416192021[[#This Row],[LND RND USD]]*12)</f>
        <v xml:space="preserve"> </v>
      </c>
      <c r="W78" s="30" t="str">
        <f>IF(Inventory_List_Table341115109111317181416192021[[#This Row],[Q]]&lt;0.1, " ",Inventory_List_Table341115109111317181416192021[[#This Row],[AQ USD]])</f>
        <v xml:space="preserve"> </v>
      </c>
      <c r="X7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8" s="30" t="str">
        <f>IF(Inventory_List_Table341115109111317181416192021[[#This Row],[Q]]&lt;0.1, " ",Inventory_List_Table341115109111317181416192021[[#This Row],[PRICE]]/Z78*10000)</f>
        <v xml:space="preserve"> </v>
      </c>
      <c r="AB78" s="457"/>
      <c r="AC78" s="1"/>
      <c r="AD78" s="1"/>
    </row>
    <row r="79" spans="1:30" ht="24" customHeight="1" x14ac:dyDescent="0.3">
      <c r="A79" s="451">
        <v>77</v>
      </c>
      <c r="B79" s="1"/>
      <c r="C79" s="452"/>
      <c r="D79" s="452"/>
      <c r="E79" s="452"/>
      <c r="F79" s="38" t="str">
        <f>IF(Inventory_List_Table341115109111317181416192021[[#This Row],[Q]]&lt;0.1, " ",#REF!&amp;$D$1&amp;#REF!&amp;Inventory_List_Table341115109111317181416192021[[#This Row],[NOTES]])</f>
        <v xml:space="preserve"> </v>
      </c>
      <c r="G79" s="454"/>
      <c r="H79" s="454"/>
      <c r="I79" s="454"/>
      <c r="J79" s="454"/>
      <c r="K79" s="454"/>
      <c r="L79" s="456"/>
      <c r="M7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79" s="35" t="str">
        <f>IF(Inventory_List_Table341115109111317181416192021[[#This Row],[Q]]&lt;0.1, " ", Inventory_List_Table341115109111317181416192021[[#This Row],[KG]]*2.20462)</f>
        <v xml:space="preserve"> </v>
      </c>
      <c r="O79" s="35" t="str">
        <f>IF(Inventory_List_Table341115109111317181416192021[[#This Row],[Q]]&lt;0.1, " ",Inventory_List_Table341115109111317181416192021[[#This Row],[H CM]]/2.54)</f>
        <v xml:space="preserve"> </v>
      </c>
      <c r="P79" s="35" t="str">
        <f>IF(Inventory_List_Table341115109111317181416192021[[#This Row],[Q]]&lt;0.1, " ",Inventory_List_Table341115109111317181416192021[[#This Row],[W CM]]/2.54)</f>
        <v xml:space="preserve"> </v>
      </c>
      <c r="Q79" s="35" t="str">
        <f>IF(Inventory_List_Table341115109111317181416192021[[#This Row],[Q]]&lt;0.1, " ",Inventory_List_Table341115109111317181416192021[[#This Row],[D CM ]]/2.54)</f>
        <v xml:space="preserve"> </v>
      </c>
      <c r="R79" s="30" t="str">
        <f>IF(Inventory_List_Table341115109111317181416192021[[#This Row],[Q]]&lt;0.1, " ",Inventory_List_Table341115109111317181416192021[[#This Row],[PRICE]]/$L$1)</f>
        <v xml:space="preserve"> </v>
      </c>
      <c r="S7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79" s="30" t="str">
        <f>IF(Inventory_List_Table341115109111317181416192021[[#This Row],[Q]]&lt;0.1, " ",Inventory_List_Table341115109111317181416192021[[#This Row],[AQ RND USD]]*1.4)</f>
        <v xml:space="preserve"> </v>
      </c>
      <c r="U7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79" s="30" t="str">
        <f>IF(Inventory_List_Table341115109111317181416192021[[#This Row],[Q]]&lt;0.1, " ",Inventory_List_Table341115109111317181416192021[[#This Row],[LND RND USD]]*12)</f>
        <v xml:space="preserve"> </v>
      </c>
      <c r="W79" s="30" t="str">
        <f>IF(Inventory_List_Table341115109111317181416192021[[#This Row],[Q]]&lt;0.1, " ",Inventory_List_Table341115109111317181416192021[[#This Row],[AQ USD]])</f>
        <v xml:space="preserve"> </v>
      </c>
      <c r="X7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7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7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79" s="30" t="str">
        <f>IF(Inventory_List_Table341115109111317181416192021[[#This Row],[Q]]&lt;0.1, " ",Inventory_List_Table341115109111317181416192021[[#This Row],[PRICE]]/Z79*10000)</f>
        <v xml:space="preserve"> </v>
      </c>
      <c r="AB79" s="457"/>
      <c r="AC79" s="1"/>
      <c r="AD79" s="1"/>
    </row>
    <row r="80" spans="1:30" ht="24" customHeight="1" x14ac:dyDescent="0.3">
      <c r="A80" s="451">
        <v>78</v>
      </c>
      <c r="B80" s="1"/>
      <c r="C80" s="452"/>
      <c r="D80" s="452"/>
      <c r="E80" s="452"/>
      <c r="F80" s="38" t="str">
        <f>IF(Inventory_List_Table341115109111317181416192021[[#This Row],[Q]]&lt;0.1, " ",#REF!&amp;$D$1&amp;#REF!&amp;Inventory_List_Table341115109111317181416192021[[#This Row],[NOTES]])</f>
        <v xml:space="preserve"> </v>
      </c>
      <c r="G80" s="454"/>
      <c r="H80" s="454"/>
      <c r="I80" s="454"/>
      <c r="J80" s="454"/>
      <c r="K80" s="454"/>
      <c r="L80" s="456"/>
      <c r="M8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0" s="35" t="str">
        <f>IF(Inventory_List_Table341115109111317181416192021[[#This Row],[Q]]&lt;0.1, " ", Inventory_List_Table341115109111317181416192021[[#This Row],[KG]]*2.20462)</f>
        <v xml:space="preserve"> </v>
      </c>
      <c r="O80" s="35" t="str">
        <f>IF(Inventory_List_Table341115109111317181416192021[[#This Row],[Q]]&lt;0.1, " ",Inventory_List_Table341115109111317181416192021[[#This Row],[H CM]]/2.54)</f>
        <v xml:space="preserve"> </v>
      </c>
      <c r="P80" s="35" t="str">
        <f>IF(Inventory_List_Table341115109111317181416192021[[#This Row],[Q]]&lt;0.1, " ",Inventory_List_Table341115109111317181416192021[[#This Row],[W CM]]/2.54)</f>
        <v xml:space="preserve"> </v>
      </c>
      <c r="Q80" s="35" t="str">
        <f>IF(Inventory_List_Table341115109111317181416192021[[#This Row],[Q]]&lt;0.1, " ",Inventory_List_Table341115109111317181416192021[[#This Row],[D CM ]]/2.54)</f>
        <v xml:space="preserve"> </v>
      </c>
      <c r="R80" s="30" t="str">
        <f>IF(Inventory_List_Table341115109111317181416192021[[#This Row],[Q]]&lt;0.1, " ",Inventory_List_Table341115109111317181416192021[[#This Row],[PRICE]]/$L$1)</f>
        <v xml:space="preserve"> </v>
      </c>
      <c r="S8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0" s="30" t="str">
        <f>IF(Inventory_List_Table341115109111317181416192021[[#This Row],[Q]]&lt;0.1, " ",Inventory_List_Table341115109111317181416192021[[#This Row],[AQ RND USD]]*1.4)</f>
        <v xml:space="preserve"> </v>
      </c>
      <c r="U8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0" s="30" t="str">
        <f>IF(Inventory_List_Table341115109111317181416192021[[#This Row],[Q]]&lt;0.1, " ",Inventory_List_Table341115109111317181416192021[[#This Row],[LND RND USD]]*12)</f>
        <v xml:space="preserve"> </v>
      </c>
      <c r="W80" s="30" t="str">
        <f>IF(Inventory_List_Table341115109111317181416192021[[#This Row],[Q]]&lt;0.1, " ",Inventory_List_Table341115109111317181416192021[[#This Row],[AQ USD]])</f>
        <v xml:space="preserve"> </v>
      </c>
      <c r="X8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0" s="30" t="str">
        <f>IF(Inventory_List_Table341115109111317181416192021[[#This Row],[Q]]&lt;0.1, " ",Inventory_List_Table341115109111317181416192021[[#This Row],[PRICE]]/Z80*10000)</f>
        <v xml:space="preserve"> </v>
      </c>
      <c r="AB80" s="457"/>
      <c r="AC80" s="1"/>
      <c r="AD80" s="1"/>
    </row>
    <row r="81" spans="1:30" ht="24" customHeight="1" x14ac:dyDescent="0.3">
      <c r="A81" s="451">
        <v>79</v>
      </c>
      <c r="B81" s="1"/>
      <c r="C81" s="452"/>
      <c r="D81" s="452"/>
      <c r="E81" s="452"/>
      <c r="F81" s="38" t="str">
        <f>IF(Inventory_List_Table341115109111317181416192021[[#This Row],[Q]]&lt;0.1, " ",#REF!&amp;$D$1&amp;#REF!&amp;Inventory_List_Table341115109111317181416192021[[#This Row],[NOTES]])</f>
        <v xml:space="preserve"> </v>
      </c>
      <c r="G81" s="454"/>
      <c r="H81" s="454"/>
      <c r="I81" s="454"/>
      <c r="J81" s="454"/>
      <c r="K81" s="454"/>
      <c r="L81" s="456"/>
      <c r="M8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1" s="35" t="str">
        <f>IF(Inventory_List_Table341115109111317181416192021[[#This Row],[Q]]&lt;0.1, " ", Inventory_List_Table341115109111317181416192021[[#This Row],[KG]]*2.20462)</f>
        <v xml:space="preserve"> </v>
      </c>
      <c r="O81" s="35" t="str">
        <f>IF(Inventory_List_Table341115109111317181416192021[[#This Row],[Q]]&lt;0.1, " ",Inventory_List_Table341115109111317181416192021[[#This Row],[H CM]]/2.54)</f>
        <v xml:space="preserve"> </v>
      </c>
      <c r="P81" s="35" t="str">
        <f>IF(Inventory_List_Table341115109111317181416192021[[#This Row],[Q]]&lt;0.1, " ",Inventory_List_Table341115109111317181416192021[[#This Row],[W CM]]/2.54)</f>
        <v xml:space="preserve"> </v>
      </c>
      <c r="Q81" s="35" t="str">
        <f>IF(Inventory_List_Table341115109111317181416192021[[#This Row],[Q]]&lt;0.1, " ",Inventory_List_Table341115109111317181416192021[[#This Row],[D CM ]]/2.54)</f>
        <v xml:space="preserve"> </v>
      </c>
      <c r="R81" s="30" t="str">
        <f>IF(Inventory_List_Table341115109111317181416192021[[#This Row],[Q]]&lt;0.1, " ",Inventory_List_Table341115109111317181416192021[[#This Row],[PRICE]]/$L$1)</f>
        <v xml:space="preserve"> </v>
      </c>
      <c r="S8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1" s="30" t="str">
        <f>IF(Inventory_List_Table341115109111317181416192021[[#This Row],[Q]]&lt;0.1, " ",Inventory_List_Table341115109111317181416192021[[#This Row],[AQ RND USD]]*1.4)</f>
        <v xml:space="preserve"> </v>
      </c>
      <c r="U8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1" s="30" t="str">
        <f>IF(Inventory_List_Table341115109111317181416192021[[#This Row],[Q]]&lt;0.1, " ",Inventory_List_Table341115109111317181416192021[[#This Row],[LND RND USD]]*12)</f>
        <v xml:space="preserve"> </v>
      </c>
      <c r="W81" s="30" t="str">
        <f>IF(Inventory_List_Table341115109111317181416192021[[#This Row],[Q]]&lt;0.1, " ",Inventory_List_Table341115109111317181416192021[[#This Row],[AQ USD]])</f>
        <v xml:space="preserve"> </v>
      </c>
      <c r="X8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1" s="30" t="str">
        <f>IF(Inventory_List_Table341115109111317181416192021[[#This Row],[Q]]&lt;0.1, " ",Inventory_List_Table341115109111317181416192021[[#This Row],[PRICE]]/Z81*10000)</f>
        <v xml:space="preserve"> </v>
      </c>
      <c r="AB81" s="457"/>
      <c r="AC81" s="1"/>
      <c r="AD81" s="1"/>
    </row>
    <row r="82" spans="1:30" ht="24" customHeight="1" x14ac:dyDescent="0.3">
      <c r="A82" s="451">
        <v>80</v>
      </c>
      <c r="B82" s="1"/>
      <c r="C82" s="452"/>
      <c r="D82" s="452"/>
      <c r="E82" s="452"/>
      <c r="F82" s="38" t="str">
        <f>IF(Inventory_List_Table341115109111317181416192021[[#This Row],[Q]]&lt;0.1, " ",#REF!&amp;$D$1&amp;#REF!&amp;Inventory_List_Table341115109111317181416192021[[#This Row],[NOTES]])</f>
        <v xml:space="preserve"> </v>
      </c>
      <c r="G82" s="454"/>
      <c r="H82" s="454"/>
      <c r="I82" s="454"/>
      <c r="J82" s="454"/>
      <c r="K82" s="454"/>
      <c r="L82" s="456"/>
      <c r="M8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2" s="35" t="str">
        <f>IF(Inventory_List_Table341115109111317181416192021[[#This Row],[Q]]&lt;0.1, " ", Inventory_List_Table341115109111317181416192021[[#This Row],[KG]]*2.20462)</f>
        <v xml:space="preserve"> </v>
      </c>
      <c r="O82" s="35" t="str">
        <f>IF(Inventory_List_Table341115109111317181416192021[[#This Row],[Q]]&lt;0.1, " ",Inventory_List_Table341115109111317181416192021[[#This Row],[H CM]]/2.54)</f>
        <v xml:space="preserve"> </v>
      </c>
      <c r="P82" s="35" t="str">
        <f>IF(Inventory_List_Table341115109111317181416192021[[#This Row],[Q]]&lt;0.1, " ",Inventory_List_Table341115109111317181416192021[[#This Row],[W CM]]/2.54)</f>
        <v xml:space="preserve"> </v>
      </c>
      <c r="Q82" s="35" t="str">
        <f>IF(Inventory_List_Table341115109111317181416192021[[#This Row],[Q]]&lt;0.1, " ",Inventory_List_Table341115109111317181416192021[[#This Row],[D CM ]]/2.54)</f>
        <v xml:space="preserve"> </v>
      </c>
      <c r="R82" s="30" t="str">
        <f>IF(Inventory_List_Table341115109111317181416192021[[#This Row],[Q]]&lt;0.1, " ",Inventory_List_Table341115109111317181416192021[[#This Row],[PRICE]]/$L$1)</f>
        <v xml:space="preserve"> </v>
      </c>
      <c r="S8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2" s="30" t="str">
        <f>IF(Inventory_List_Table341115109111317181416192021[[#This Row],[Q]]&lt;0.1, " ",Inventory_List_Table341115109111317181416192021[[#This Row],[AQ RND USD]]*1.4)</f>
        <v xml:space="preserve"> </v>
      </c>
      <c r="U8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2" s="30" t="str">
        <f>IF(Inventory_List_Table341115109111317181416192021[[#This Row],[Q]]&lt;0.1, " ",Inventory_List_Table341115109111317181416192021[[#This Row],[LND RND USD]]*12)</f>
        <v xml:space="preserve"> </v>
      </c>
      <c r="W82" s="30" t="str">
        <f>IF(Inventory_List_Table341115109111317181416192021[[#This Row],[Q]]&lt;0.1, " ",Inventory_List_Table341115109111317181416192021[[#This Row],[AQ USD]])</f>
        <v xml:space="preserve"> </v>
      </c>
      <c r="X8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2" s="30" t="str">
        <f>IF(Inventory_List_Table341115109111317181416192021[[#This Row],[Q]]&lt;0.1, " ",Inventory_List_Table341115109111317181416192021[[#This Row],[PRICE]]/Z82*10000)</f>
        <v xml:space="preserve"> </v>
      </c>
      <c r="AB82" s="457"/>
      <c r="AC82" s="1"/>
      <c r="AD82" s="1"/>
    </row>
    <row r="83" spans="1:30" ht="24" customHeight="1" x14ac:dyDescent="0.3">
      <c r="A83" s="451">
        <v>81</v>
      </c>
      <c r="B83" s="1"/>
      <c r="C83" s="452"/>
      <c r="D83" s="452"/>
      <c r="E83" s="452"/>
      <c r="F83" s="38" t="str">
        <f>IF(Inventory_List_Table341115109111317181416192021[[#This Row],[Q]]&lt;0.1, " ",#REF!&amp;$D$1&amp;#REF!&amp;Inventory_List_Table341115109111317181416192021[[#This Row],[NOTES]])</f>
        <v xml:space="preserve"> </v>
      </c>
      <c r="G83" s="454"/>
      <c r="H83" s="454"/>
      <c r="I83" s="454"/>
      <c r="J83" s="454"/>
      <c r="K83" s="454"/>
      <c r="L83" s="456"/>
      <c r="M8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3" s="35" t="str">
        <f>IF(Inventory_List_Table341115109111317181416192021[[#This Row],[Q]]&lt;0.1, " ", Inventory_List_Table341115109111317181416192021[[#This Row],[KG]]*2.20462)</f>
        <v xml:space="preserve"> </v>
      </c>
      <c r="O83" s="35" t="str">
        <f>IF(Inventory_List_Table341115109111317181416192021[[#This Row],[Q]]&lt;0.1, " ",Inventory_List_Table341115109111317181416192021[[#This Row],[H CM]]/2.54)</f>
        <v xml:space="preserve"> </v>
      </c>
      <c r="P83" s="35" t="str">
        <f>IF(Inventory_List_Table341115109111317181416192021[[#This Row],[Q]]&lt;0.1, " ",Inventory_List_Table341115109111317181416192021[[#This Row],[W CM]]/2.54)</f>
        <v xml:space="preserve"> </v>
      </c>
      <c r="Q83" s="35" t="str">
        <f>IF(Inventory_List_Table341115109111317181416192021[[#This Row],[Q]]&lt;0.1, " ",Inventory_List_Table341115109111317181416192021[[#This Row],[D CM ]]/2.54)</f>
        <v xml:space="preserve"> </v>
      </c>
      <c r="R83" s="30" t="str">
        <f>IF(Inventory_List_Table341115109111317181416192021[[#This Row],[Q]]&lt;0.1, " ",Inventory_List_Table341115109111317181416192021[[#This Row],[PRICE]]/$L$1)</f>
        <v xml:space="preserve"> </v>
      </c>
      <c r="S8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3" s="30" t="str">
        <f>IF(Inventory_List_Table341115109111317181416192021[[#This Row],[Q]]&lt;0.1, " ",Inventory_List_Table341115109111317181416192021[[#This Row],[AQ RND USD]]*1.4)</f>
        <v xml:space="preserve"> </v>
      </c>
      <c r="U8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3" s="30" t="str">
        <f>IF(Inventory_List_Table341115109111317181416192021[[#This Row],[Q]]&lt;0.1, " ",Inventory_List_Table341115109111317181416192021[[#This Row],[LND RND USD]]*12)</f>
        <v xml:space="preserve"> </v>
      </c>
      <c r="W83" s="30" t="str">
        <f>IF(Inventory_List_Table341115109111317181416192021[[#This Row],[Q]]&lt;0.1, " ",Inventory_List_Table341115109111317181416192021[[#This Row],[AQ USD]])</f>
        <v xml:space="preserve"> </v>
      </c>
      <c r="X8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3" s="30" t="str">
        <f>IF(Inventory_List_Table341115109111317181416192021[[#This Row],[Q]]&lt;0.1, " ",Inventory_List_Table341115109111317181416192021[[#This Row],[PRICE]]/Z83*10000)</f>
        <v xml:space="preserve"> </v>
      </c>
      <c r="AB83" s="457"/>
      <c r="AC83" s="1"/>
      <c r="AD83" s="1"/>
    </row>
    <row r="84" spans="1:30" ht="24" customHeight="1" x14ac:dyDescent="0.3">
      <c r="A84" s="451">
        <v>82</v>
      </c>
      <c r="B84" s="1"/>
      <c r="C84" s="452"/>
      <c r="D84" s="452"/>
      <c r="E84" s="452"/>
      <c r="F84" s="38" t="str">
        <f>IF(Inventory_List_Table341115109111317181416192021[[#This Row],[Q]]&lt;0.1, " ",#REF!&amp;$D$1&amp;#REF!&amp;Inventory_List_Table341115109111317181416192021[[#This Row],[NOTES]])</f>
        <v xml:space="preserve"> </v>
      </c>
      <c r="G84" s="454"/>
      <c r="H84" s="454"/>
      <c r="I84" s="454"/>
      <c r="J84" s="454"/>
      <c r="K84" s="454"/>
      <c r="L84" s="456"/>
      <c r="M8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4" s="35" t="str">
        <f>IF(Inventory_List_Table341115109111317181416192021[[#This Row],[Q]]&lt;0.1, " ", Inventory_List_Table341115109111317181416192021[[#This Row],[KG]]*2.20462)</f>
        <v xml:space="preserve"> </v>
      </c>
      <c r="O84" s="35" t="str">
        <f>IF(Inventory_List_Table341115109111317181416192021[[#This Row],[Q]]&lt;0.1, " ",Inventory_List_Table341115109111317181416192021[[#This Row],[H CM]]/2.54)</f>
        <v xml:space="preserve"> </v>
      </c>
      <c r="P84" s="35" t="str">
        <f>IF(Inventory_List_Table341115109111317181416192021[[#This Row],[Q]]&lt;0.1, " ",Inventory_List_Table341115109111317181416192021[[#This Row],[W CM]]/2.54)</f>
        <v xml:space="preserve"> </v>
      </c>
      <c r="Q84" s="35" t="str">
        <f>IF(Inventory_List_Table341115109111317181416192021[[#This Row],[Q]]&lt;0.1, " ",Inventory_List_Table341115109111317181416192021[[#This Row],[D CM ]]/2.54)</f>
        <v xml:space="preserve"> </v>
      </c>
      <c r="R84" s="30" t="str">
        <f>IF(Inventory_List_Table341115109111317181416192021[[#This Row],[Q]]&lt;0.1, " ",Inventory_List_Table341115109111317181416192021[[#This Row],[PRICE]]/$L$1)</f>
        <v xml:space="preserve"> </v>
      </c>
      <c r="S8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4" s="30" t="str">
        <f>IF(Inventory_List_Table341115109111317181416192021[[#This Row],[Q]]&lt;0.1, " ",Inventory_List_Table341115109111317181416192021[[#This Row],[AQ RND USD]]*1.4)</f>
        <v xml:space="preserve"> </v>
      </c>
      <c r="U8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4" s="30" t="str">
        <f>IF(Inventory_List_Table341115109111317181416192021[[#This Row],[Q]]&lt;0.1, " ",Inventory_List_Table341115109111317181416192021[[#This Row],[LND RND USD]]*12)</f>
        <v xml:space="preserve"> </v>
      </c>
      <c r="W84" s="30" t="str">
        <f>IF(Inventory_List_Table341115109111317181416192021[[#This Row],[Q]]&lt;0.1, " ",Inventory_List_Table341115109111317181416192021[[#This Row],[AQ USD]])</f>
        <v xml:space="preserve"> </v>
      </c>
      <c r="X8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4" s="30" t="str">
        <f>IF(Inventory_List_Table341115109111317181416192021[[#This Row],[Q]]&lt;0.1, " ",Inventory_List_Table341115109111317181416192021[[#This Row],[PRICE]]/Z84*10000)</f>
        <v xml:space="preserve"> </v>
      </c>
      <c r="AB84" s="457"/>
      <c r="AC84" s="1"/>
      <c r="AD84" s="1"/>
    </row>
    <row r="85" spans="1:30" ht="24" customHeight="1" x14ac:dyDescent="0.3">
      <c r="A85" s="451">
        <v>83</v>
      </c>
      <c r="B85" s="1"/>
      <c r="C85" s="452"/>
      <c r="D85" s="452"/>
      <c r="E85" s="452"/>
      <c r="F85" s="38" t="str">
        <f>IF(Inventory_List_Table341115109111317181416192021[[#This Row],[Q]]&lt;0.1, " ",#REF!&amp;$D$1&amp;#REF!&amp;Inventory_List_Table341115109111317181416192021[[#This Row],[NOTES]])</f>
        <v xml:space="preserve"> </v>
      </c>
      <c r="G85" s="454"/>
      <c r="H85" s="454"/>
      <c r="I85" s="454"/>
      <c r="J85" s="454"/>
      <c r="K85" s="454"/>
      <c r="L85" s="456"/>
      <c r="M8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5" s="35" t="str">
        <f>IF(Inventory_List_Table341115109111317181416192021[[#This Row],[Q]]&lt;0.1, " ", Inventory_List_Table341115109111317181416192021[[#This Row],[KG]]*2.20462)</f>
        <v xml:space="preserve"> </v>
      </c>
      <c r="O85" s="35" t="str">
        <f>IF(Inventory_List_Table341115109111317181416192021[[#This Row],[Q]]&lt;0.1, " ",Inventory_List_Table341115109111317181416192021[[#This Row],[H CM]]/2.54)</f>
        <v xml:space="preserve"> </v>
      </c>
      <c r="P85" s="35" t="str">
        <f>IF(Inventory_List_Table341115109111317181416192021[[#This Row],[Q]]&lt;0.1, " ",Inventory_List_Table341115109111317181416192021[[#This Row],[W CM]]/2.54)</f>
        <v xml:space="preserve"> </v>
      </c>
      <c r="Q85" s="35" t="str">
        <f>IF(Inventory_List_Table341115109111317181416192021[[#This Row],[Q]]&lt;0.1, " ",Inventory_List_Table341115109111317181416192021[[#This Row],[D CM ]]/2.54)</f>
        <v xml:space="preserve"> </v>
      </c>
      <c r="R85" s="30" t="str">
        <f>IF(Inventory_List_Table341115109111317181416192021[[#This Row],[Q]]&lt;0.1, " ",Inventory_List_Table341115109111317181416192021[[#This Row],[PRICE]]/$L$1)</f>
        <v xml:space="preserve"> </v>
      </c>
      <c r="S8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5" s="30" t="str">
        <f>IF(Inventory_List_Table341115109111317181416192021[[#This Row],[Q]]&lt;0.1, " ",Inventory_List_Table341115109111317181416192021[[#This Row],[AQ RND USD]]*1.4)</f>
        <v xml:space="preserve"> </v>
      </c>
      <c r="U8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5" s="30" t="str">
        <f>IF(Inventory_List_Table341115109111317181416192021[[#This Row],[Q]]&lt;0.1, " ",Inventory_List_Table341115109111317181416192021[[#This Row],[LND RND USD]]*12)</f>
        <v xml:space="preserve"> </v>
      </c>
      <c r="W85" s="30" t="str">
        <f>IF(Inventory_List_Table341115109111317181416192021[[#This Row],[Q]]&lt;0.1, " ",Inventory_List_Table341115109111317181416192021[[#This Row],[AQ USD]])</f>
        <v xml:space="preserve"> </v>
      </c>
      <c r="X8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5" s="30" t="str">
        <f>IF(Inventory_List_Table341115109111317181416192021[[#This Row],[Q]]&lt;0.1, " ",Inventory_List_Table341115109111317181416192021[[#This Row],[PRICE]]/Z85*10000)</f>
        <v xml:space="preserve"> </v>
      </c>
      <c r="AB85" s="457"/>
      <c r="AC85" s="1"/>
      <c r="AD85" s="1"/>
    </row>
    <row r="86" spans="1:30" ht="24" customHeight="1" x14ac:dyDescent="0.3">
      <c r="A86" s="451">
        <v>84</v>
      </c>
      <c r="B86" s="1"/>
      <c r="C86" s="452"/>
      <c r="D86" s="452"/>
      <c r="E86" s="452"/>
      <c r="F86" s="38" t="str">
        <f>IF(Inventory_List_Table341115109111317181416192021[[#This Row],[Q]]&lt;0.1, " ",#REF!&amp;$D$1&amp;#REF!&amp;Inventory_List_Table341115109111317181416192021[[#This Row],[NOTES]])</f>
        <v xml:space="preserve"> </v>
      </c>
      <c r="G86" s="454"/>
      <c r="H86" s="454"/>
      <c r="I86" s="454"/>
      <c r="J86" s="454"/>
      <c r="K86" s="454"/>
      <c r="L86" s="456"/>
      <c r="M8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6" s="35" t="str">
        <f>IF(Inventory_List_Table341115109111317181416192021[[#This Row],[Q]]&lt;0.1, " ", Inventory_List_Table341115109111317181416192021[[#This Row],[KG]]*2.20462)</f>
        <v xml:space="preserve"> </v>
      </c>
      <c r="O86" s="35" t="str">
        <f>IF(Inventory_List_Table341115109111317181416192021[[#This Row],[Q]]&lt;0.1, " ",Inventory_List_Table341115109111317181416192021[[#This Row],[H CM]]/2.54)</f>
        <v xml:space="preserve"> </v>
      </c>
      <c r="P86" s="35" t="str">
        <f>IF(Inventory_List_Table341115109111317181416192021[[#This Row],[Q]]&lt;0.1, " ",Inventory_List_Table341115109111317181416192021[[#This Row],[W CM]]/2.54)</f>
        <v xml:space="preserve"> </v>
      </c>
      <c r="Q86" s="35" t="str">
        <f>IF(Inventory_List_Table341115109111317181416192021[[#This Row],[Q]]&lt;0.1, " ",Inventory_List_Table341115109111317181416192021[[#This Row],[D CM ]]/2.54)</f>
        <v xml:space="preserve"> </v>
      </c>
      <c r="R86" s="30" t="str">
        <f>IF(Inventory_List_Table341115109111317181416192021[[#This Row],[Q]]&lt;0.1, " ",Inventory_List_Table341115109111317181416192021[[#This Row],[PRICE]]/$L$1)</f>
        <v xml:space="preserve"> </v>
      </c>
      <c r="S8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6" s="30" t="str">
        <f>IF(Inventory_List_Table341115109111317181416192021[[#This Row],[Q]]&lt;0.1, " ",Inventory_List_Table341115109111317181416192021[[#This Row],[AQ RND USD]]*1.4)</f>
        <v xml:space="preserve"> </v>
      </c>
      <c r="U8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6" s="30" t="str">
        <f>IF(Inventory_List_Table341115109111317181416192021[[#This Row],[Q]]&lt;0.1, " ",Inventory_List_Table341115109111317181416192021[[#This Row],[LND RND USD]]*12)</f>
        <v xml:space="preserve"> </v>
      </c>
      <c r="W86" s="30" t="str">
        <f>IF(Inventory_List_Table341115109111317181416192021[[#This Row],[Q]]&lt;0.1, " ",Inventory_List_Table341115109111317181416192021[[#This Row],[AQ USD]])</f>
        <v xml:space="preserve"> </v>
      </c>
      <c r="X8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6" s="30" t="str">
        <f>IF(Inventory_List_Table341115109111317181416192021[[#This Row],[Q]]&lt;0.1, " ",Inventory_List_Table341115109111317181416192021[[#This Row],[PRICE]]/Z86*10000)</f>
        <v xml:space="preserve"> </v>
      </c>
      <c r="AB86" s="457"/>
      <c r="AC86" s="1"/>
      <c r="AD86" s="1"/>
    </row>
    <row r="87" spans="1:30" ht="24" customHeight="1" x14ac:dyDescent="0.3">
      <c r="A87" s="451">
        <v>85</v>
      </c>
      <c r="B87" s="1"/>
      <c r="C87" s="452"/>
      <c r="D87" s="452"/>
      <c r="E87" s="452"/>
      <c r="F87" s="38" t="str">
        <f>IF(Inventory_List_Table341115109111317181416192021[[#This Row],[Q]]&lt;0.1, " ",#REF!&amp;$D$1&amp;#REF!&amp;Inventory_List_Table341115109111317181416192021[[#This Row],[NOTES]])</f>
        <v xml:space="preserve"> </v>
      </c>
      <c r="G87" s="454"/>
      <c r="H87" s="454"/>
      <c r="I87" s="454"/>
      <c r="J87" s="454"/>
      <c r="K87" s="454"/>
      <c r="L87" s="456"/>
      <c r="M8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7" s="35" t="str">
        <f>IF(Inventory_List_Table341115109111317181416192021[[#This Row],[Q]]&lt;0.1, " ", Inventory_List_Table341115109111317181416192021[[#This Row],[KG]]*2.20462)</f>
        <v xml:space="preserve"> </v>
      </c>
      <c r="O87" s="35" t="str">
        <f>IF(Inventory_List_Table341115109111317181416192021[[#This Row],[Q]]&lt;0.1, " ",Inventory_List_Table341115109111317181416192021[[#This Row],[H CM]]/2.54)</f>
        <v xml:space="preserve"> </v>
      </c>
      <c r="P87" s="35" t="str">
        <f>IF(Inventory_List_Table341115109111317181416192021[[#This Row],[Q]]&lt;0.1, " ",Inventory_List_Table341115109111317181416192021[[#This Row],[W CM]]/2.54)</f>
        <v xml:space="preserve"> </v>
      </c>
      <c r="Q87" s="35" t="str">
        <f>IF(Inventory_List_Table341115109111317181416192021[[#This Row],[Q]]&lt;0.1, " ",Inventory_List_Table341115109111317181416192021[[#This Row],[D CM ]]/2.54)</f>
        <v xml:space="preserve"> </v>
      </c>
      <c r="R87" s="30" t="str">
        <f>IF(Inventory_List_Table341115109111317181416192021[[#This Row],[Q]]&lt;0.1, " ",Inventory_List_Table341115109111317181416192021[[#This Row],[PRICE]]/$L$1)</f>
        <v xml:space="preserve"> </v>
      </c>
      <c r="S8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7" s="30" t="str">
        <f>IF(Inventory_List_Table341115109111317181416192021[[#This Row],[Q]]&lt;0.1, " ",Inventory_List_Table341115109111317181416192021[[#This Row],[AQ RND USD]]*1.4)</f>
        <v xml:space="preserve"> </v>
      </c>
      <c r="U8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7" s="30" t="str">
        <f>IF(Inventory_List_Table341115109111317181416192021[[#This Row],[Q]]&lt;0.1, " ",Inventory_List_Table341115109111317181416192021[[#This Row],[LND RND USD]]*12)</f>
        <v xml:space="preserve"> </v>
      </c>
      <c r="W87" s="30" t="str">
        <f>IF(Inventory_List_Table341115109111317181416192021[[#This Row],[Q]]&lt;0.1, " ",Inventory_List_Table341115109111317181416192021[[#This Row],[AQ USD]])</f>
        <v xml:space="preserve"> </v>
      </c>
      <c r="X8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7" s="30" t="str">
        <f>IF(Inventory_List_Table341115109111317181416192021[[#This Row],[Q]]&lt;0.1, " ",Inventory_List_Table341115109111317181416192021[[#This Row],[PRICE]]/Z87*10000)</f>
        <v xml:space="preserve"> </v>
      </c>
      <c r="AB87" s="457"/>
      <c r="AC87" s="1"/>
      <c r="AD87" s="1"/>
    </row>
    <row r="88" spans="1:30" ht="24" customHeight="1" x14ac:dyDescent="0.3">
      <c r="A88" s="451">
        <v>86</v>
      </c>
      <c r="B88" s="1"/>
      <c r="C88" s="452"/>
      <c r="D88" s="452"/>
      <c r="E88" s="452"/>
      <c r="F88" s="38" t="str">
        <f>IF(Inventory_List_Table341115109111317181416192021[[#This Row],[Q]]&lt;0.1, " ",#REF!&amp;$D$1&amp;#REF!&amp;Inventory_List_Table341115109111317181416192021[[#This Row],[NOTES]])</f>
        <v xml:space="preserve"> </v>
      </c>
      <c r="G88" s="454"/>
      <c r="H88" s="454"/>
      <c r="I88" s="454"/>
      <c r="J88" s="454"/>
      <c r="K88" s="454"/>
      <c r="L88" s="456"/>
      <c r="M8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8" s="35" t="str">
        <f>IF(Inventory_List_Table341115109111317181416192021[[#This Row],[Q]]&lt;0.1, " ", Inventory_List_Table341115109111317181416192021[[#This Row],[KG]]*2.20462)</f>
        <v xml:space="preserve"> </v>
      </c>
      <c r="O88" s="35" t="str">
        <f>IF(Inventory_List_Table341115109111317181416192021[[#This Row],[Q]]&lt;0.1, " ",Inventory_List_Table341115109111317181416192021[[#This Row],[H CM]]/2.54)</f>
        <v xml:space="preserve"> </v>
      </c>
      <c r="P88" s="35" t="str">
        <f>IF(Inventory_List_Table341115109111317181416192021[[#This Row],[Q]]&lt;0.1, " ",Inventory_List_Table341115109111317181416192021[[#This Row],[W CM]]/2.54)</f>
        <v xml:space="preserve"> </v>
      </c>
      <c r="Q88" s="35" t="str">
        <f>IF(Inventory_List_Table341115109111317181416192021[[#This Row],[Q]]&lt;0.1, " ",Inventory_List_Table341115109111317181416192021[[#This Row],[D CM ]]/2.54)</f>
        <v xml:space="preserve"> </v>
      </c>
      <c r="R88" s="30" t="str">
        <f>IF(Inventory_List_Table341115109111317181416192021[[#This Row],[Q]]&lt;0.1, " ",Inventory_List_Table341115109111317181416192021[[#This Row],[PRICE]]/$L$1)</f>
        <v xml:space="preserve"> </v>
      </c>
      <c r="S8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8" s="30" t="str">
        <f>IF(Inventory_List_Table341115109111317181416192021[[#This Row],[Q]]&lt;0.1, " ",Inventory_List_Table341115109111317181416192021[[#This Row],[AQ RND USD]]*1.4)</f>
        <v xml:space="preserve"> </v>
      </c>
      <c r="U8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8" s="30" t="str">
        <f>IF(Inventory_List_Table341115109111317181416192021[[#This Row],[Q]]&lt;0.1, " ",Inventory_List_Table341115109111317181416192021[[#This Row],[LND RND USD]]*12)</f>
        <v xml:space="preserve"> </v>
      </c>
      <c r="W88" s="30" t="str">
        <f>IF(Inventory_List_Table341115109111317181416192021[[#This Row],[Q]]&lt;0.1, " ",Inventory_List_Table341115109111317181416192021[[#This Row],[AQ USD]])</f>
        <v xml:space="preserve"> </v>
      </c>
      <c r="X8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8" s="30" t="str">
        <f>IF(Inventory_List_Table341115109111317181416192021[[#This Row],[Q]]&lt;0.1, " ",Inventory_List_Table341115109111317181416192021[[#This Row],[PRICE]]/Z88*10000)</f>
        <v xml:space="preserve"> </v>
      </c>
      <c r="AB88" s="457"/>
      <c r="AC88" s="1"/>
      <c r="AD88" s="1"/>
    </row>
    <row r="89" spans="1:30" ht="24" customHeight="1" x14ac:dyDescent="0.3">
      <c r="A89" s="451">
        <v>87</v>
      </c>
      <c r="B89" s="1"/>
      <c r="C89" s="452"/>
      <c r="D89" s="452"/>
      <c r="E89" s="452"/>
      <c r="F89" s="38" t="str">
        <f>IF(Inventory_List_Table341115109111317181416192021[[#This Row],[Q]]&lt;0.1, " ",#REF!&amp;$D$1&amp;#REF!&amp;Inventory_List_Table341115109111317181416192021[[#This Row],[NOTES]])</f>
        <v xml:space="preserve"> </v>
      </c>
      <c r="G89" s="454"/>
      <c r="H89" s="454"/>
      <c r="I89" s="454"/>
      <c r="J89" s="454"/>
      <c r="K89" s="454"/>
      <c r="L89" s="456"/>
      <c r="M8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89" s="35" t="str">
        <f>IF(Inventory_List_Table341115109111317181416192021[[#This Row],[Q]]&lt;0.1, " ", Inventory_List_Table341115109111317181416192021[[#This Row],[KG]]*2.20462)</f>
        <v xml:space="preserve"> </v>
      </c>
      <c r="O89" s="35" t="str">
        <f>IF(Inventory_List_Table341115109111317181416192021[[#This Row],[Q]]&lt;0.1, " ",Inventory_List_Table341115109111317181416192021[[#This Row],[H CM]]/2.54)</f>
        <v xml:space="preserve"> </v>
      </c>
      <c r="P89" s="35" t="str">
        <f>IF(Inventory_List_Table341115109111317181416192021[[#This Row],[Q]]&lt;0.1, " ",Inventory_List_Table341115109111317181416192021[[#This Row],[W CM]]/2.54)</f>
        <v xml:space="preserve"> </v>
      </c>
      <c r="Q89" s="35" t="str">
        <f>IF(Inventory_List_Table341115109111317181416192021[[#This Row],[Q]]&lt;0.1, " ",Inventory_List_Table341115109111317181416192021[[#This Row],[D CM ]]/2.54)</f>
        <v xml:space="preserve"> </v>
      </c>
      <c r="R89" s="30" t="str">
        <f>IF(Inventory_List_Table341115109111317181416192021[[#This Row],[Q]]&lt;0.1, " ",Inventory_List_Table341115109111317181416192021[[#This Row],[PRICE]]/$L$1)</f>
        <v xml:space="preserve"> </v>
      </c>
      <c r="S8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89" s="30" t="str">
        <f>IF(Inventory_List_Table341115109111317181416192021[[#This Row],[Q]]&lt;0.1, " ",Inventory_List_Table341115109111317181416192021[[#This Row],[AQ RND USD]]*1.4)</f>
        <v xml:space="preserve"> </v>
      </c>
      <c r="U8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89" s="30" t="str">
        <f>IF(Inventory_List_Table341115109111317181416192021[[#This Row],[Q]]&lt;0.1, " ",Inventory_List_Table341115109111317181416192021[[#This Row],[LND RND USD]]*12)</f>
        <v xml:space="preserve"> </v>
      </c>
      <c r="W89" s="30" t="str">
        <f>IF(Inventory_List_Table341115109111317181416192021[[#This Row],[Q]]&lt;0.1, " ",Inventory_List_Table341115109111317181416192021[[#This Row],[AQ USD]])</f>
        <v xml:space="preserve"> </v>
      </c>
      <c r="X8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8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8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89" s="30" t="str">
        <f>IF(Inventory_List_Table341115109111317181416192021[[#This Row],[Q]]&lt;0.1, " ",Inventory_List_Table341115109111317181416192021[[#This Row],[PRICE]]/Z89*10000)</f>
        <v xml:space="preserve"> </v>
      </c>
      <c r="AB89" s="457"/>
      <c r="AC89" s="1"/>
      <c r="AD89" s="1"/>
    </row>
    <row r="90" spans="1:30" ht="24" customHeight="1" x14ac:dyDescent="0.3">
      <c r="A90" s="451">
        <v>88</v>
      </c>
      <c r="B90" s="1"/>
      <c r="C90" s="452"/>
      <c r="D90" s="452"/>
      <c r="E90" s="452"/>
      <c r="F90" s="38" t="str">
        <f>IF(Inventory_List_Table341115109111317181416192021[[#This Row],[Q]]&lt;0.1, " ",#REF!&amp;$D$1&amp;#REF!&amp;Inventory_List_Table341115109111317181416192021[[#This Row],[NOTES]])</f>
        <v xml:space="preserve"> </v>
      </c>
      <c r="G90" s="454"/>
      <c r="H90" s="454"/>
      <c r="I90" s="454"/>
      <c r="J90" s="454"/>
      <c r="K90" s="454"/>
      <c r="L90" s="456"/>
      <c r="M9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0" s="35" t="str">
        <f>IF(Inventory_List_Table341115109111317181416192021[[#This Row],[Q]]&lt;0.1, " ", Inventory_List_Table341115109111317181416192021[[#This Row],[KG]]*2.20462)</f>
        <v xml:space="preserve"> </v>
      </c>
      <c r="O90" s="35" t="str">
        <f>IF(Inventory_List_Table341115109111317181416192021[[#This Row],[Q]]&lt;0.1, " ",Inventory_List_Table341115109111317181416192021[[#This Row],[H CM]]/2.54)</f>
        <v xml:space="preserve"> </v>
      </c>
      <c r="P90" s="35" t="str">
        <f>IF(Inventory_List_Table341115109111317181416192021[[#This Row],[Q]]&lt;0.1, " ",Inventory_List_Table341115109111317181416192021[[#This Row],[W CM]]/2.54)</f>
        <v xml:space="preserve"> </v>
      </c>
      <c r="Q90" s="35" t="str">
        <f>IF(Inventory_List_Table341115109111317181416192021[[#This Row],[Q]]&lt;0.1, " ",Inventory_List_Table341115109111317181416192021[[#This Row],[D CM ]]/2.54)</f>
        <v xml:space="preserve"> </v>
      </c>
      <c r="R90" s="30" t="str">
        <f>IF(Inventory_List_Table341115109111317181416192021[[#This Row],[Q]]&lt;0.1, " ",Inventory_List_Table341115109111317181416192021[[#This Row],[PRICE]]/$L$1)</f>
        <v xml:space="preserve"> </v>
      </c>
      <c r="S9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0" s="30" t="str">
        <f>IF(Inventory_List_Table341115109111317181416192021[[#This Row],[Q]]&lt;0.1, " ",Inventory_List_Table341115109111317181416192021[[#This Row],[AQ RND USD]]*1.4)</f>
        <v xml:space="preserve"> </v>
      </c>
      <c r="U9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0" s="30" t="str">
        <f>IF(Inventory_List_Table341115109111317181416192021[[#This Row],[Q]]&lt;0.1, " ",Inventory_List_Table341115109111317181416192021[[#This Row],[LND RND USD]]*12)</f>
        <v xml:space="preserve"> </v>
      </c>
      <c r="W90" s="30" t="str">
        <f>IF(Inventory_List_Table341115109111317181416192021[[#This Row],[Q]]&lt;0.1, " ",Inventory_List_Table341115109111317181416192021[[#This Row],[AQ USD]])</f>
        <v xml:space="preserve"> </v>
      </c>
      <c r="X9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0" s="30" t="str">
        <f>IF(Inventory_List_Table341115109111317181416192021[[#This Row],[Q]]&lt;0.1, " ",Inventory_List_Table341115109111317181416192021[[#This Row],[PRICE]]/Z90*10000)</f>
        <v xml:space="preserve"> </v>
      </c>
      <c r="AB90" s="457"/>
      <c r="AC90" s="1"/>
      <c r="AD90" s="1"/>
    </row>
    <row r="91" spans="1:30" ht="24" customHeight="1" x14ac:dyDescent="0.3">
      <c r="A91" s="451">
        <v>89</v>
      </c>
      <c r="B91" s="1"/>
      <c r="C91" s="452"/>
      <c r="D91" s="452"/>
      <c r="E91" s="452"/>
      <c r="F91" s="38" t="str">
        <f>IF(Inventory_List_Table341115109111317181416192021[[#This Row],[Q]]&lt;0.1, " ",#REF!&amp;$D$1&amp;#REF!&amp;Inventory_List_Table341115109111317181416192021[[#This Row],[NOTES]])</f>
        <v xml:space="preserve"> </v>
      </c>
      <c r="G91" s="454"/>
      <c r="H91" s="454"/>
      <c r="I91" s="454"/>
      <c r="J91" s="454"/>
      <c r="K91" s="454"/>
      <c r="L91" s="456"/>
      <c r="M9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1" s="35" t="str">
        <f>IF(Inventory_List_Table341115109111317181416192021[[#This Row],[Q]]&lt;0.1, " ", Inventory_List_Table341115109111317181416192021[[#This Row],[KG]]*2.20462)</f>
        <v xml:space="preserve"> </v>
      </c>
      <c r="O91" s="35" t="str">
        <f>IF(Inventory_List_Table341115109111317181416192021[[#This Row],[Q]]&lt;0.1, " ",Inventory_List_Table341115109111317181416192021[[#This Row],[H CM]]/2.54)</f>
        <v xml:space="preserve"> </v>
      </c>
      <c r="P91" s="35" t="str">
        <f>IF(Inventory_List_Table341115109111317181416192021[[#This Row],[Q]]&lt;0.1, " ",Inventory_List_Table341115109111317181416192021[[#This Row],[W CM]]/2.54)</f>
        <v xml:space="preserve"> </v>
      </c>
      <c r="Q91" s="35" t="str">
        <f>IF(Inventory_List_Table341115109111317181416192021[[#This Row],[Q]]&lt;0.1, " ",Inventory_List_Table341115109111317181416192021[[#This Row],[D CM ]]/2.54)</f>
        <v xml:space="preserve"> </v>
      </c>
      <c r="R91" s="30" t="str">
        <f>IF(Inventory_List_Table341115109111317181416192021[[#This Row],[Q]]&lt;0.1, " ",Inventory_List_Table341115109111317181416192021[[#This Row],[PRICE]]/$L$1)</f>
        <v xml:space="preserve"> </v>
      </c>
      <c r="S9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1" s="30" t="str">
        <f>IF(Inventory_List_Table341115109111317181416192021[[#This Row],[Q]]&lt;0.1, " ",Inventory_List_Table341115109111317181416192021[[#This Row],[AQ RND USD]]*1.4)</f>
        <v xml:space="preserve"> </v>
      </c>
      <c r="U9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1" s="30" t="str">
        <f>IF(Inventory_List_Table341115109111317181416192021[[#This Row],[Q]]&lt;0.1, " ",Inventory_List_Table341115109111317181416192021[[#This Row],[LND RND USD]]*12)</f>
        <v xml:space="preserve"> </v>
      </c>
      <c r="W91" s="30" t="str">
        <f>IF(Inventory_List_Table341115109111317181416192021[[#This Row],[Q]]&lt;0.1, " ",Inventory_List_Table341115109111317181416192021[[#This Row],[AQ USD]])</f>
        <v xml:space="preserve"> </v>
      </c>
      <c r="X9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1" s="30" t="str">
        <f>IF(Inventory_List_Table341115109111317181416192021[[#This Row],[Q]]&lt;0.1, " ",Inventory_List_Table341115109111317181416192021[[#This Row],[PRICE]]/Z91*10000)</f>
        <v xml:space="preserve"> </v>
      </c>
      <c r="AB91" s="457"/>
      <c r="AC91" s="1"/>
      <c r="AD91" s="1"/>
    </row>
    <row r="92" spans="1:30" ht="24" customHeight="1" x14ac:dyDescent="0.3">
      <c r="A92" s="451">
        <v>90</v>
      </c>
      <c r="B92" s="1"/>
      <c r="C92" s="452"/>
      <c r="D92" s="452"/>
      <c r="E92" s="452"/>
      <c r="F92" s="38" t="str">
        <f>IF(Inventory_List_Table341115109111317181416192021[[#This Row],[Q]]&lt;0.1, " ",#REF!&amp;$D$1&amp;#REF!&amp;Inventory_List_Table341115109111317181416192021[[#This Row],[NOTES]])</f>
        <v xml:space="preserve"> </v>
      </c>
      <c r="G92" s="454"/>
      <c r="H92" s="454"/>
      <c r="I92" s="454"/>
      <c r="J92" s="454"/>
      <c r="K92" s="454"/>
      <c r="L92" s="456"/>
      <c r="M9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2" s="35" t="str">
        <f>IF(Inventory_List_Table341115109111317181416192021[[#This Row],[Q]]&lt;0.1, " ", Inventory_List_Table341115109111317181416192021[[#This Row],[KG]]*2.20462)</f>
        <v xml:space="preserve"> </v>
      </c>
      <c r="O92" s="35" t="str">
        <f>IF(Inventory_List_Table341115109111317181416192021[[#This Row],[Q]]&lt;0.1, " ",Inventory_List_Table341115109111317181416192021[[#This Row],[H CM]]/2.54)</f>
        <v xml:space="preserve"> </v>
      </c>
      <c r="P92" s="35" t="str">
        <f>IF(Inventory_List_Table341115109111317181416192021[[#This Row],[Q]]&lt;0.1, " ",Inventory_List_Table341115109111317181416192021[[#This Row],[W CM]]/2.54)</f>
        <v xml:space="preserve"> </v>
      </c>
      <c r="Q92" s="35" t="str">
        <f>IF(Inventory_List_Table341115109111317181416192021[[#This Row],[Q]]&lt;0.1, " ",Inventory_List_Table341115109111317181416192021[[#This Row],[D CM ]]/2.54)</f>
        <v xml:space="preserve"> </v>
      </c>
      <c r="R92" s="30" t="str">
        <f>IF(Inventory_List_Table341115109111317181416192021[[#This Row],[Q]]&lt;0.1, " ",Inventory_List_Table341115109111317181416192021[[#This Row],[PRICE]]/$L$1)</f>
        <v xml:space="preserve"> </v>
      </c>
      <c r="S9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2" s="30" t="str">
        <f>IF(Inventory_List_Table341115109111317181416192021[[#This Row],[Q]]&lt;0.1, " ",Inventory_List_Table341115109111317181416192021[[#This Row],[AQ RND USD]]*1.4)</f>
        <v xml:space="preserve"> </v>
      </c>
      <c r="U9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2" s="30" t="str">
        <f>IF(Inventory_List_Table341115109111317181416192021[[#This Row],[Q]]&lt;0.1, " ",Inventory_List_Table341115109111317181416192021[[#This Row],[LND RND USD]]*12)</f>
        <v xml:space="preserve"> </v>
      </c>
      <c r="W92" s="30" t="str">
        <f>IF(Inventory_List_Table341115109111317181416192021[[#This Row],[Q]]&lt;0.1, " ",Inventory_List_Table341115109111317181416192021[[#This Row],[AQ USD]])</f>
        <v xml:space="preserve"> </v>
      </c>
      <c r="X9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2" s="30" t="str">
        <f>IF(Inventory_List_Table341115109111317181416192021[[#This Row],[Q]]&lt;0.1, " ",Inventory_List_Table341115109111317181416192021[[#This Row],[PRICE]]/Z92*10000)</f>
        <v xml:space="preserve"> </v>
      </c>
      <c r="AB92" s="457"/>
      <c r="AC92" s="1"/>
      <c r="AD92" s="1"/>
    </row>
    <row r="93" spans="1:30" ht="24" customHeight="1" x14ac:dyDescent="0.3">
      <c r="A93" s="451">
        <v>91</v>
      </c>
      <c r="B93" s="1"/>
      <c r="C93" s="452"/>
      <c r="D93" s="452"/>
      <c r="E93" s="452"/>
      <c r="F93" s="38" t="str">
        <f>IF(Inventory_List_Table341115109111317181416192021[[#This Row],[Q]]&lt;0.1, " ",#REF!&amp;$D$1&amp;#REF!&amp;Inventory_List_Table341115109111317181416192021[[#This Row],[NOTES]])</f>
        <v xml:space="preserve"> </v>
      </c>
      <c r="G93" s="454"/>
      <c r="H93" s="454"/>
      <c r="I93" s="454"/>
      <c r="J93" s="454"/>
      <c r="K93" s="454"/>
      <c r="L93" s="456"/>
      <c r="M93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3" s="35" t="str">
        <f>IF(Inventory_List_Table341115109111317181416192021[[#This Row],[Q]]&lt;0.1, " ", Inventory_List_Table341115109111317181416192021[[#This Row],[KG]]*2.20462)</f>
        <v xml:space="preserve"> </v>
      </c>
      <c r="O93" s="35" t="str">
        <f>IF(Inventory_List_Table341115109111317181416192021[[#This Row],[Q]]&lt;0.1, " ",Inventory_List_Table341115109111317181416192021[[#This Row],[H CM]]/2.54)</f>
        <v xml:space="preserve"> </v>
      </c>
      <c r="P93" s="35" t="str">
        <f>IF(Inventory_List_Table341115109111317181416192021[[#This Row],[Q]]&lt;0.1, " ",Inventory_List_Table341115109111317181416192021[[#This Row],[W CM]]/2.54)</f>
        <v xml:space="preserve"> </v>
      </c>
      <c r="Q93" s="35" t="str">
        <f>IF(Inventory_List_Table341115109111317181416192021[[#This Row],[Q]]&lt;0.1, " ",Inventory_List_Table341115109111317181416192021[[#This Row],[D CM ]]/2.54)</f>
        <v xml:space="preserve"> </v>
      </c>
      <c r="R93" s="30" t="str">
        <f>IF(Inventory_List_Table341115109111317181416192021[[#This Row],[Q]]&lt;0.1, " ",Inventory_List_Table341115109111317181416192021[[#This Row],[PRICE]]/$L$1)</f>
        <v xml:space="preserve"> </v>
      </c>
      <c r="S93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3" s="30" t="str">
        <f>IF(Inventory_List_Table341115109111317181416192021[[#This Row],[Q]]&lt;0.1, " ",Inventory_List_Table341115109111317181416192021[[#This Row],[AQ RND USD]]*1.4)</f>
        <v xml:space="preserve"> </v>
      </c>
      <c r="U93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3" s="30" t="str">
        <f>IF(Inventory_List_Table341115109111317181416192021[[#This Row],[Q]]&lt;0.1, " ",Inventory_List_Table341115109111317181416192021[[#This Row],[LND RND USD]]*12)</f>
        <v xml:space="preserve"> </v>
      </c>
      <c r="W93" s="30" t="str">
        <f>IF(Inventory_List_Table341115109111317181416192021[[#This Row],[Q]]&lt;0.1, " ",Inventory_List_Table341115109111317181416192021[[#This Row],[AQ USD]])</f>
        <v xml:space="preserve"> </v>
      </c>
      <c r="X9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3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3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3" s="30" t="str">
        <f>IF(Inventory_List_Table341115109111317181416192021[[#This Row],[Q]]&lt;0.1, " ",Inventory_List_Table341115109111317181416192021[[#This Row],[PRICE]]/Z93*10000)</f>
        <v xml:space="preserve"> </v>
      </c>
      <c r="AB93" s="457"/>
      <c r="AC93" s="1"/>
      <c r="AD93" s="1"/>
    </row>
    <row r="94" spans="1:30" ht="24" customHeight="1" x14ac:dyDescent="0.3">
      <c r="A94" s="451">
        <v>92</v>
      </c>
      <c r="B94" s="1"/>
      <c r="C94" s="452"/>
      <c r="D94" s="452"/>
      <c r="E94" s="452"/>
      <c r="F94" s="38" t="str">
        <f>IF(Inventory_List_Table341115109111317181416192021[[#This Row],[Q]]&lt;0.1, " ",#REF!&amp;$D$1&amp;#REF!&amp;Inventory_List_Table341115109111317181416192021[[#This Row],[NOTES]])</f>
        <v xml:space="preserve"> </v>
      </c>
      <c r="G94" s="454"/>
      <c r="H94" s="454"/>
      <c r="I94" s="454"/>
      <c r="J94" s="454"/>
      <c r="K94" s="454"/>
      <c r="L94" s="456"/>
      <c r="M94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4" s="35" t="str">
        <f>IF(Inventory_List_Table341115109111317181416192021[[#This Row],[Q]]&lt;0.1, " ", Inventory_List_Table341115109111317181416192021[[#This Row],[KG]]*2.20462)</f>
        <v xml:space="preserve"> </v>
      </c>
      <c r="O94" s="35" t="str">
        <f>IF(Inventory_List_Table341115109111317181416192021[[#This Row],[Q]]&lt;0.1, " ",Inventory_List_Table341115109111317181416192021[[#This Row],[H CM]]/2.54)</f>
        <v xml:space="preserve"> </v>
      </c>
      <c r="P94" s="35" t="str">
        <f>IF(Inventory_List_Table341115109111317181416192021[[#This Row],[Q]]&lt;0.1, " ",Inventory_List_Table341115109111317181416192021[[#This Row],[W CM]]/2.54)</f>
        <v xml:space="preserve"> </v>
      </c>
      <c r="Q94" s="35" t="str">
        <f>IF(Inventory_List_Table341115109111317181416192021[[#This Row],[Q]]&lt;0.1, " ",Inventory_List_Table341115109111317181416192021[[#This Row],[D CM ]]/2.54)</f>
        <v xml:space="preserve"> </v>
      </c>
      <c r="R94" s="30" t="str">
        <f>IF(Inventory_List_Table341115109111317181416192021[[#This Row],[Q]]&lt;0.1, " ",Inventory_List_Table341115109111317181416192021[[#This Row],[PRICE]]/$L$1)</f>
        <v xml:space="preserve"> </v>
      </c>
      <c r="S94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4" s="30" t="str">
        <f>IF(Inventory_List_Table341115109111317181416192021[[#This Row],[Q]]&lt;0.1, " ",Inventory_List_Table341115109111317181416192021[[#This Row],[AQ RND USD]]*1.4)</f>
        <v xml:space="preserve"> </v>
      </c>
      <c r="U94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4" s="30" t="str">
        <f>IF(Inventory_List_Table341115109111317181416192021[[#This Row],[Q]]&lt;0.1, " ",Inventory_List_Table341115109111317181416192021[[#This Row],[LND RND USD]]*12)</f>
        <v xml:space="preserve"> </v>
      </c>
      <c r="W94" s="30" t="str">
        <f>IF(Inventory_List_Table341115109111317181416192021[[#This Row],[Q]]&lt;0.1, " ",Inventory_List_Table341115109111317181416192021[[#This Row],[AQ USD]])</f>
        <v xml:space="preserve"> </v>
      </c>
      <c r="X9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4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4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4" s="30" t="str">
        <f>IF(Inventory_List_Table341115109111317181416192021[[#This Row],[Q]]&lt;0.1, " ",Inventory_List_Table341115109111317181416192021[[#This Row],[PRICE]]/Z94*10000)</f>
        <v xml:space="preserve"> </v>
      </c>
      <c r="AB94" s="457"/>
      <c r="AC94" s="1"/>
      <c r="AD94" s="1"/>
    </row>
    <row r="95" spans="1:30" ht="24" customHeight="1" x14ac:dyDescent="0.3">
      <c r="A95" s="451">
        <v>93</v>
      </c>
      <c r="B95" s="1"/>
      <c r="C95" s="452"/>
      <c r="D95" s="452"/>
      <c r="E95" s="452"/>
      <c r="F95" s="38" t="str">
        <f>IF(Inventory_List_Table341115109111317181416192021[[#This Row],[Q]]&lt;0.1, " ",#REF!&amp;$D$1&amp;#REF!&amp;Inventory_List_Table341115109111317181416192021[[#This Row],[NOTES]])</f>
        <v xml:space="preserve"> </v>
      </c>
      <c r="G95" s="454"/>
      <c r="H95" s="454"/>
      <c r="I95" s="454"/>
      <c r="J95" s="454"/>
      <c r="K95" s="454"/>
      <c r="L95" s="456"/>
      <c r="M95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5" s="35" t="str">
        <f>IF(Inventory_List_Table341115109111317181416192021[[#This Row],[Q]]&lt;0.1, " ", Inventory_List_Table341115109111317181416192021[[#This Row],[KG]]*2.20462)</f>
        <v xml:space="preserve"> </v>
      </c>
      <c r="O95" s="35" t="str">
        <f>IF(Inventory_List_Table341115109111317181416192021[[#This Row],[Q]]&lt;0.1, " ",Inventory_List_Table341115109111317181416192021[[#This Row],[H CM]]/2.54)</f>
        <v xml:space="preserve"> </v>
      </c>
      <c r="P95" s="35" t="str">
        <f>IF(Inventory_List_Table341115109111317181416192021[[#This Row],[Q]]&lt;0.1, " ",Inventory_List_Table341115109111317181416192021[[#This Row],[W CM]]/2.54)</f>
        <v xml:space="preserve"> </v>
      </c>
      <c r="Q95" s="35" t="str">
        <f>IF(Inventory_List_Table341115109111317181416192021[[#This Row],[Q]]&lt;0.1, " ",Inventory_List_Table341115109111317181416192021[[#This Row],[D CM ]]/2.54)</f>
        <v xml:space="preserve"> </v>
      </c>
      <c r="R95" s="30" t="str">
        <f>IF(Inventory_List_Table341115109111317181416192021[[#This Row],[Q]]&lt;0.1, " ",Inventory_List_Table341115109111317181416192021[[#This Row],[PRICE]]/$L$1)</f>
        <v xml:space="preserve"> </v>
      </c>
      <c r="S95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5" s="30" t="str">
        <f>IF(Inventory_List_Table341115109111317181416192021[[#This Row],[Q]]&lt;0.1, " ",Inventory_List_Table341115109111317181416192021[[#This Row],[AQ RND USD]]*1.4)</f>
        <v xml:space="preserve"> </v>
      </c>
      <c r="U95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5" s="30" t="str">
        <f>IF(Inventory_List_Table341115109111317181416192021[[#This Row],[Q]]&lt;0.1, " ",Inventory_List_Table341115109111317181416192021[[#This Row],[LND RND USD]]*12)</f>
        <v xml:space="preserve"> </v>
      </c>
      <c r="W95" s="30" t="str">
        <f>IF(Inventory_List_Table341115109111317181416192021[[#This Row],[Q]]&lt;0.1, " ",Inventory_List_Table341115109111317181416192021[[#This Row],[AQ USD]])</f>
        <v xml:space="preserve"> </v>
      </c>
      <c r="X9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5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5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5" s="30" t="str">
        <f>IF(Inventory_List_Table341115109111317181416192021[[#This Row],[Q]]&lt;0.1, " ",Inventory_List_Table341115109111317181416192021[[#This Row],[PRICE]]/Z95*10000)</f>
        <v xml:space="preserve"> </v>
      </c>
      <c r="AB95" s="457"/>
      <c r="AC95" s="1"/>
      <c r="AD95" s="1"/>
    </row>
    <row r="96" spans="1:30" ht="24" customHeight="1" x14ac:dyDescent="0.3">
      <c r="A96" s="451">
        <v>94</v>
      </c>
      <c r="B96" s="1"/>
      <c r="C96" s="452"/>
      <c r="D96" s="452"/>
      <c r="E96" s="452"/>
      <c r="F96" s="38" t="str">
        <f>IF(Inventory_List_Table341115109111317181416192021[[#This Row],[Q]]&lt;0.1, " ",#REF!&amp;$D$1&amp;#REF!&amp;Inventory_List_Table341115109111317181416192021[[#This Row],[NOTES]])</f>
        <v xml:space="preserve"> </v>
      </c>
      <c r="G96" s="454"/>
      <c r="H96" s="454"/>
      <c r="I96" s="454"/>
      <c r="J96" s="454"/>
      <c r="K96" s="454"/>
      <c r="L96" s="456"/>
      <c r="M96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6" s="35" t="str">
        <f>IF(Inventory_List_Table341115109111317181416192021[[#This Row],[Q]]&lt;0.1, " ", Inventory_List_Table341115109111317181416192021[[#This Row],[KG]]*2.20462)</f>
        <v xml:space="preserve"> </v>
      </c>
      <c r="O96" s="35" t="str">
        <f>IF(Inventory_List_Table341115109111317181416192021[[#This Row],[Q]]&lt;0.1, " ",Inventory_List_Table341115109111317181416192021[[#This Row],[H CM]]/2.54)</f>
        <v xml:space="preserve"> </v>
      </c>
      <c r="P96" s="35" t="str">
        <f>IF(Inventory_List_Table341115109111317181416192021[[#This Row],[Q]]&lt;0.1, " ",Inventory_List_Table341115109111317181416192021[[#This Row],[W CM]]/2.54)</f>
        <v xml:space="preserve"> </v>
      </c>
      <c r="Q96" s="35" t="str">
        <f>IF(Inventory_List_Table341115109111317181416192021[[#This Row],[Q]]&lt;0.1, " ",Inventory_List_Table341115109111317181416192021[[#This Row],[D CM ]]/2.54)</f>
        <v xml:space="preserve"> </v>
      </c>
      <c r="R96" s="30" t="str">
        <f>IF(Inventory_List_Table341115109111317181416192021[[#This Row],[Q]]&lt;0.1, " ",Inventory_List_Table341115109111317181416192021[[#This Row],[PRICE]]/$L$1)</f>
        <v xml:space="preserve"> </v>
      </c>
      <c r="S96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6" s="30" t="str">
        <f>IF(Inventory_List_Table341115109111317181416192021[[#This Row],[Q]]&lt;0.1, " ",Inventory_List_Table341115109111317181416192021[[#This Row],[AQ RND USD]]*1.4)</f>
        <v xml:space="preserve"> </v>
      </c>
      <c r="U96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6" s="30" t="str">
        <f>IF(Inventory_List_Table341115109111317181416192021[[#This Row],[Q]]&lt;0.1, " ",Inventory_List_Table341115109111317181416192021[[#This Row],[LND RND USD]]*12)</f>
        <v xml:space="preserve"> </v>
      </c>
      <c r="W96" s="30" t="str">
        <f>IF(Inventory_List_Table341115109111317181416192021[[#This Row],[Q]]&lt;0.1, " ",Inventory_List_Table341115109111317181416192021[[#This Row],[AQ USD]])</f>
        <v xml:space="preserve"> </v>
      </c>
      <c r="X9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6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6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6" s="30" t="str">
        <f>IF(Inventory_List_Table341115109111317181416192021[[#This Row],[Q]]&lt;0.1, " ",Inventory_List_Table341115109111317181416192021[[#This Row],[PRICE]]/Z96*10000)</f>
        <v xml:space="preserve"> </v>
      </c>
      <c r="AB96" s="457"/>
      <c r="AC96" s="1"/>
      <c r="AD96" s="1"/>
    </row>
    <row r="97" spans="1:30" ht="24" customHeight="1" x14ac:dyDescent="0.3">
      <c r="A97" s="451">
        <v>95</v>
      </c>
      <c r="B97" s="1"/>
      <c r="C97" s="452"/>
      <c r="D97" s="452"/>
      <c r="E97" s="452"/>
      <c r="F97" s="38" t="str">
        <f>IF(Inventory_List_Table341115109111317181416192021[[#This Row],[Q]]&lt;0.1, " ",#REF!&amp;$D$1&amp;#REF!&amp;Inventory_List_Table341115109111317181416192021[[#This Row],[NOTES]])</f>
        <v xml:space="preserve"> </v>
      </c>
      <c r="G97" s="454"/>
      <c r="H97" s="454"/>
      <c r="I97" s="454"/>
      <c r="J97" s="454"/>
      <c r="K97" s="454"/>
      <c r="L97" s="456"/>
      <c r="M97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7" s="35" t="str">
        <f>IF(Inventory_List_Table341115109111317181416192021[[#This Row],[Q]]&lt;0.1, " ", Inventory_List_Table341115109111317181416192021[[#This Row],[KG]]*2.20462)</f>
        <v xml:space="preserve"> </v>
      </c>
      <c r="O97" s="35" t="str">
        <f>IF(Inventory_List_Table341115109111317181416192021[[#This Row],[Q]]&lt;0.1, " ",Inventory_List_Table341115109111317181416192021[[#This Row],[H CM]]/2.54)</f>
        <v xml:space="preserve"> </v>
      </c>
      <c r="P97" s="35" t="str">
        <f>IF(Inventory_List_Table341115109111317181416192021[[#This Row],[Q]]&lt;0.1, " ",Inventory_List_Table341115109111317181416192021[[#This Row],[W CM]]/2.54)</f>
        <v xml:space="preserve"> </v>
      </c>
      <c r="Q97" s="35" t="str">
        <f>IF(Inventory_List_Table341115109111317181416192021[[#This Row],[Q]]&lt;0.1, " ",Inventory_List_Table341115109111317181416192021[[#This Row],[D CM ]]/2.54)</f>
        <v xml:space="preserve"> </v>
      </c>
      <c r="R97" s="30" t="str">
        <f>IF(Inventory_List_Table341115109111317181416192021[[#This Row],[Q]]&lt;0.1, " ",Inventory_List_Table341115109111317181416192021[[#This Row],[PRICE]]/$L$1)</f>
        <v xml:space="preserve"> </v>
      </c>
      <c r="S97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7" s="30" t="str">
        <f>IF(Inventory_List_Table341115109111317181416192021[[#This Row],[Q]]&lt;0.1, " ",Inventory_List_Table341115109111317181416192021[[#This Row],[AQ RND USD]]*1.4)</f>
        <v xml:space="preserve"> </v>
      </c>
      <c r="U97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7" s="30" t="str">
        <f>IF(Inventory_List_Table341115109111317181416192021[[#This Row],[Q]]&lt;0.1, " ",Inventory_List_Table341115109111317181416192021[[#This Row],[LND RND USD]]*12)</f>
        <v xml:space="preserve"> </v>
      </c>
      <c r="W97" s="30" t="str">
        <f>IF(Inventory_List_Table341115109111317181416192021[[#This Row],[Q]]&lt;0.1, " ",Inventory_List_Table341115109111317181416192021[[#This Row],[AQ USD]])</f>
        <v xml:space="preserve"> </v>
      </c>
      <c r="X9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7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7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7" s="30" t="str">
        <f>IF(Inventory_List_Table341115109111317181416192021[[#This Row],[Q]]&lt;0.1, " ",Inventory_List_Table341115109111317181416192021[[#This Row],[PRICE]]/Z97*10000)</f>
        <v xml:space="preserve"> </v>
      </c>
      <c r="AB97" s="457"/>
      <c r="AC97" s="1"/>
      <c r="AD97" s="1"/>
    </row>
    <row r="98" spans="1:30" ht="24" customHeight="1" x14ac:dyDescent="0.3">
      <c r="A98" s="451">
        <v>96</v>
      </c>
      <c r="B98" s="1"/>
      <c r="C98" s="452"/>
      <c r="D98" s="452"/>
      <c r="E98" s="452"/>
      <c r="F98" s="38" t="str">
        <f>IF(Inventory_List_Table341115109111317181416192021[[#This Row],[Q]]&lt;0.1, " ",#REF!&amp;$D$1&amp;#REF!&amp;Inventory_List_Table341115109111317181416192021[[#This Row],[NOTES]])</f>
        <v xml:space="preserve"> </v>
      </c>
      <c r="G98" s="454"/>
      <c r="H98" s="454"/>
      <c r="I98" s="454"/>
      <c r="J98" s="454"/>
      <c r="K98" s="454"/>
      <c r="L98" s="456"/>
      <c r="M98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8" s="35" t="str">
        <f>IF(Inventory_List_Table341115109111317181416192021[[#This Row],[Q]]&lt;0.1, " ", Inventory_List_Table341115109111317181416192021[[#This Row],[KG]]*2.20462)</f>
        <v xml:space="preserve"> </v>
      </c>
      <c r="O98" s="35" t="str">
        <f>IF(Inventory_List_Table341115109111317181416192021[[#This Row],[Q]]&lt;0.1, " ",Inventory_List_Table341115109111317181416192021[[#This Row],[H CM]]/2.54)</f>
        <v xml:space="preserve"> </v>
      </c>
      <c r="P98" s="35" t="str">
        <f>IF(Inventory_List_Table341115109111317181416192021[[#This Row],[Q]]&lt;0.1, " ",Inventory_List_Table341115109111317181416192021[[#This Row],[W CM]]/2.54)</f>
        <v xml:space="preserve"> </v>
      </c>
      <c r="Q98" s="35" t="str">
        <f>IF(Inventory_List_Table341115109111317181416192021[[#This Row],[Q]]&lt;0.1, " ",Inventory_List_Table341115109111317181416192021[[#This Row],[D CM ]]/2.54)</f>
        <v xml:space="preserve"> </v>
      </c>
      <c r="R98" s="30" t="str">
        <f>IF(Inventory_List_Table341115109111317181416192021[[#This Row],[Q]]&lt;0.1, " ",Inventory_List_Table341115109111317181416192021[[#This Row],[PRICE]]/$L$1)</f>
        <v xml:space="preserve"> </v>
      </c>
      <c r="S98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8" s="30" t="str">
        <f>IF(Inventory_List_Table341115109111317181416192021[[#This Row],[Q]]&lt;0.1, " ",Inventory_List_Table341115109111317181416192021[[#This Row],[AQ RND USD]]*1.4)</f>
        <v xml:space="preserve"> </v>
      </c>
      <c r="U98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8" s="30" t="str">
        <f>IF(Inventory_List_Table341115109111317181416192021[[#This Row],[Q]]&lt;0.1, " ",Inventory_List_Table341115109111317181416192021[[#This Row],[LND RND USD]]*12)</f>
        <v xml:space="preserve"> </v>
      </c>
      <c r="W98" s="30" t="str">
        <f>IF(Inventory_List_Table341115109111317181416192021[[#This Row],[Q]]&lt;0.1, " ",Inventory_List_Table341115109111317181416192021[[#This Row],[AQ USD]])</f>
        <v xml:space="preserve"> </v>
      </c>
      <c r="X9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8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8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8" s="30" t="str">
        <f>IF(Inventory_List_Table341115109111317181416192021[[#This Row],[Q]]&lt;0.1, " ",Inventory_List_Table341115109111317181416192021[[#This Row],[PRICE]]/Z98*10000)</f>
        <v xml:space="preserve"> </v>
      </c>
      <c r="AB98" s="457"/>
      <c r="AC98" s="1"/>
      <c r="AD98" s="1"/>
    </row>
    <row r="99" spans="1:30" ht="24" customHeight="1" x14ac:dyDescent="0.3">
      <c r="A99" s="451">
        <v>97</v>
      </c>
      <c r="B99" s="1"/>
      <c r="C99" s="452"/>
      <c r="D99" s="452"/>
      <c r="E99" s="452"/>
      <c r="F99" s="38" t="str">
        <f>IF(Inventory_List_Table341115109111317181416192021[[#This Row],[Q]]&lt;0.1, " ",#REF!&amp;$D$1&amp;#REF!&amp;Inventory_List_Table341115109111317181416192021[[#This Row],[NOTES]])</f>
        <v xml:space="preserve"> </v>
      </c>
      <c r="G99" s="454"/>
      <c r="H99" s="454"/>
      <c r="I99" s="454"/>
      <c r="J99" s="454"/>
      <c r="K99" s="454"/>
      <c r="L99" s="456"/>
      <c r="M99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99" s="35" t="str">
        <f>IF(Inventory_List_Table341115109111317181416192021[[#This Row],[Q]]&lt;0.1, " ", Inventory_List_Table341115109111317181416192021[[#This Row],[KG]]*2.20462)</f>
        <v xml:space="preserve"> </v>
      </c>
      <c r="O99" s="35" t="str">
        <f>IF(Inventory_List_Table341115109111317181416192021[[#This Row],[Q]]&lt;0.1, " ",Inventory_List_Table341115109111317181416192021[[#This Row],[H CM]]/2.54)</f>
        <v xml:space="preserve"> </v>
      </c>
      <c r="P99" s="35" t="str">
        <f>IF(Inventory_List_Table341115109111317181416192021[[#This Row],[Q]]&lt;0.1, " ",Inventory_List_Table341115109111317181416192021[[#This Row],[W CM]]/2.54)</f>
        <v xml:space="preserve"> </v>
      </c>
      <c r="Q99" s="35" t="str">
        <f>IF(Inventory_List_Table341115109111317181416192021[[#This Row],[Q]]&lt;0.1, " ",Inventory_List_Table341115109111317181416192021[[#This Row],[D CM ]]/2.54)</f>
        <v xml:space="preserve"> </v>
      </c>
      <c r="R99" s="30" t="str">
        <f>IF(Inventory_List_Table341115109111317181416192021[[#This Row],[Q]]&lt;0.1, " ",Inventory_List_Table341115109111317181416192021[[#This Row],[PRICE]]/$L$1)</f>
        <v xml:space="preserve"> </v>
      </c>
      <c r="S99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99" s="30" t="str">
        <f>IF(Inventory_List_Table341115109111317181416192021[[#This Row],[Q]]&lt;0.1, " ",Inventory_List_Table341115109111317181416192021[[#This Row],[AQ RND USD]]*1.4)</f>
        <v xml:space="preserve"> </v>
      </c>
      <c r="U99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99" s="30" t="str">
        <f>IF(Inventory_List_Table341115109111317181416192021[[#This Row],[Q]]&lt;0.1, " ",Inventory_List_Table341115109111317181416192021[[#This Row],[LND RND USD]]*12)</f>
        <v xml:space="preserve"> </v>
      </c>
      <c r="W99" s="30" t="str">
        <f>IF(Inventory_List_Table341115109111317181416192021[[#This Row],[Q]]&lt;0.1, " ",Inventory_List_Table341115109111317181416192021[[#This Row],[AQ USD]])</f>
        <v xml:space="preserve"> </v>
      </c>
      <c r="X9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99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99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99" s="30" t="str">
        <f>IF(Inventory_List_Table341115109111317181416192021[[#This Row],[Q]]&lt;0.1, " ",Inventory_List_Table341115109111317181416192021[[#This Row],[PRICE]]/Z99*10000)</f>
        <v xml:space="preserve"> </v>
      </c>
      <c r="AB99" s="457"/>
      <c r="AC99" s="1"/>
      <c r="AD99" s="1"/>
    </row>
    <row r="100" spans="1:30" ht="24" customHeight="1" x14ac:dyDescent="0.3">
      <c r="A100" s="451">
        <v>98</v>
      </c>
      <c r="B100" s="1"/>
      <c r="C100" s="452"/>
      <c r="D100" s="452"/>
      <c r="E100" s="452"/>
      <c r="F100" s="38" t="str">
        <f>IF(Inventory_List_Table341115109111317181416192021[[#This Row],[Q]]&lt;0.1, " ",#REF!&amp;$D$1&amp;#REF!&amp;Inventory_List_Table341115109111317181416192021[[#This Row],[NOTES]])</f>
        <v xml:space="preserve"> </v>
      </c>
      <c r="G100" s="454"/>
      <c r="H100" s="454"/>
      <c r="I100" s="454"/>
      <c r="J100" s="454"/>
      <c r="K100" s="454"/>
      <c r="L100" s="456"/>
      <c r="M100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00" s="35" t="str">
        <f>IF(Inventory_List_Table341115109111317181416192021[[#This Row],[Q]]&lt;0.1, " ", Inventory_List_Table341115109111317181416192021[[#This Row],[KG]]*2.20462)</f>
        <v xml:space="preserve"> </v>
      </c>
      <c r="O100" s="35" t="str">
        <f>IF(Inventory_List_Table341115109111317181416192021[[#This Row],[Q]]&lt;0.1, " ",Inventory_List_Table341115109111317181416192021[[#This Row],[H CM]]/2.54)</f>
        <v xml:space="preserve"> </v>
      </c>
      <c r="P100" s="35" t="str">
        <f>IF(Inventory_List_Table341115109111317181416192021[[#This Row],[Q]]&lt;0.1, " ",Inventory_List_Table341115109111317181416192021[[#This Row],[W CM]]/2.54)</f>
        <v xml:space="preserve"> </v>
      </c>
      <c r="Q100" s="35" t="str">
        <f>IF(Inventory_List_Table341115109111317181416192021[[#This Row],[Q]]&lt;0.1, " ",Inventory_List_Table341115109111317181416192021[[#This Row],[D CM ]]/2.54)</f>
        <v xml:space="preserve"> </v>
      </c>
      <c r="R100" s="30" t="str">
        <f>IF(Inventory_List_Table341115109111317181416192021[[#This Row],[Q]]&lt;0.1, " ",Inventory_List_Table341115109111317181416192021[[#This Row],[PRICE]]/$L$1)</f>
        <v xml:space="preserve"> </v>
      </c>
      <c r="S100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00" s="30" t="str">
        <f>IF(Inventory_List_Table341115109111317181416192021[[#This Row],[Q]]&lt;0.1, " ",Inventory_List_Table341115109111317181416192021[[#This Row],[AQ RND USD]]*1.4)</f>
        <v xml:space="preserve"> </v>
      </c>
      <c r="U100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00" s="30" t="str">
        <f>IF(Inventory_List_Table341115109111317181416192021[[#This Row],[Q]]&lt;0.1, " ",Inventory_List_Table341115109111317181416192021[[#This Row],[LND RND USD]]*12)</f>
        <v xml:space="preserve"> </v>
      </c>
      <c r="W100" s="30" t="str">
        <f>IF(Inventory_List_Table341115109111317181416192021[[#This Row],[Q]]&lt;0.1, " ",Inventory_List_Table341115109111317181416192021[[#This Row],[AQ USD]])</f>
        <v xml:space="preserve"> </v>
      </c>
      <c r="X10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00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00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00" s="30" t="str">
        <f>IF(Inventory_List_Table341115109111317181416192021[[#This Row],[Q]]&lt;0.1, " ",Inventory_List_Table341115109111317181416192021[[#This Row],[PRICE]]/Z100*10000)</f>
        <v xml:space="preserve"> </v>
      </c>
      <c r="AB100" s="457"/>
      <c r="AC100" s="1"/>
      <c r="AD100" s="1"/>
    </row>
    <row r="101" spans="1:30" ht="24" customHeight="1" x14ac:dyDescent="0.3">
      <c r="A101" s="451">
        <v>99</v>
      </c>
      <c r="B101" s="1"/>
      <c r="C101" s="452"/>
      <c r="D101" s="452"/>
      <c r="E101" s="452"/>
      <c r="F101" s="38" t="str">
        <f>IF(Inventory_List_Table341115109111317181416192021[[#This Row],[Q]]&lt;0.1, " ",#REF!&amp;$D$1&amp;#REF!&amp;Inventory_List_Table341115109111317181416192021[[#This Row],[NOTES]])</f>
        <v xml:space="preserve"> </v>
      </c>
      <c r="G101" s="454"/>
      <c r="H101" s="454"/>
      <c r="I101" s="454"/>
      <c r="J101" s="454"/>
      <c r="K101" s="454"/>
      <c r="L101" s="456"/>
      <c r="M101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01" s="35" t="str">
        <f>IF(Inventory_List_Table341115109111317181416192021[[#This Row],[Q]]&lt;0.1, " ", Inventory_List_Table341115109111317181416192021[[#This Row],[KG]]*2.20462)</f>
        <v xml:space="preserve"> </v>
      </c>
      <c r="O101" s="35" t="str">
        <f>IF(Inventory_List_Table341115109111317181416192021[[#This Row],[Q]]&lt;0.1, " ",Inventory_List_Table341115109111317181416192021[[#This Row],[H CM]]/2.54)</f>
        <v xml:space="preserve"> </v>
      </c>
      <c r="P101" s="35" t="str">
        <f>IF(Inventory_List_Table341115109111317181416192021[[#This Row],[Q]]&lt;0.1, " ",Inventory_List_Table341115109111317181416192021[[#This Row],[W CM]]/2.54)</f>
        <v xml:space="preserve"> </v>
      </c>
      <c r="Q101" s="35" t="str">
        <f>IF(Inventory_List_Table341115109111317181416192021[[#This Row],[Q]]&lt;0.1, " ",Inventory_List_Table341115109111317181416192021[[#This Row],[D CM ]]/2.54)</f>
        <v xml:space="preserve"> </v>
      </c>
      <c r="R101" s="30" t="str">
        <f>IF(Inventory_List_Table341115109111317181416192021[[#This Row],[Q]]&lt;0.1, " ",Inventory_List_Table341115109111317181416192021[[#This Row],[PRICE]]/$L$1)</f>
        <v xml:space="preserve"> </v>
      </c>
      <c r="S101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01" s="30" t="str">
        <f>IF(Inventory_List_Table341115109111317181416192021[[#This Row],[Q]]&lt;0.1, " ",Inventory_List_Table341115109111317181416192021[[#This Row],[AQ RND USD]]*1.4)</f>
        <v xml:space="preserve"> </v>
      </c>
      <c r="U101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01" s="30" t="str">
        <f>IF(Inventory_List_Table341115109111317181416192021[[#This Row],[Q]]&lt;0.1, " ",Inventory_List_Table341115109111317181416192021[[#This Row],[LND RND USD]]*12)</f>
        <v xml:space="preserve"> </v>
      </c>
      <c r="W101" s="30" t="str">
        <f>IF(Inventory_List_Table341115109111317181416192021[[#This Row],[Q]]&lt;0.1, " ",Inventory_List_Table341115109111317181416192021[[#This Row],[AQ USD]])</f>
        <v xml:space="preserve"> </v>
      </c>
      <c r="X10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01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01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01" s="30" t="str">
        <f>IF(Inventory_List_Table341115109111317181416192021[[#This Row],[Q]]&lt;0.1, " ",Inventory_List_Table341115109111317181416192021[[#This Row],[PRICE]]/Z101*10000)</f>
        <v xml:space="preserve"> </v>
      </c>
      <c r="AB101" s="457"/>
      <c r="AC101" s="1"/>
      <c r="AD101" s="1"/>
    </row>
    <row r="102" spans="1:30" ht="24" customHeight="1" x14ac:dyDescent="0.3">
      <c r="A102" s="451">
        <v>100</v>
      </c>
      <c r="B102" s="1"/>
      <c r="C102" s="452"/>
      <c r="D102" s="452"/>
      <c r="E102" s="452"/>
      <c r="F102" s="38" t="str">
        <f>IF(Inventory_List_Table341115109111317181416192021[[#This Row],[Q]]&lt;0.1, " ",#REF!&amp;$D$1&amp;#REF!&amp;Inventory_List_Table341115109111317181416192021[[#This Row],[NOTES]])</f>
        <v xml:space="preserve"> </v>
      </c>
      <c r="G102" s="454"/>
      <c r="H102" s="454"/>
      <c r="I102" s="454"/>
      <c r="J102" s="454"/>
      <c r="K102" s="454"/>
      <c r="L102" s="456"/>
      <c r="M102" s="30" t="str">
        <f>IF(Inventory_List_Table341115109111317181416192021[[#This Row],[Q]]&lt;0.1, " ", Inventory_List_Table341115109111317181416192021[[#This Row],[Q]]*Inventory_List_Table341115109111317181416192021[[#This Row],[PRICE]])</f>
        <v xml:space="preserve"> </v>
      </c>
      <c r="N102" s="35" t="str">
        <f>IF(Inventory_List_Table341115109111317181416192021[[#This Row],[Q]]&lt;0.1, " ", Inventory_List_Table341115109111317181416192021[[#This Row],[KG]]*2.20462)</f>
        <v xml:space="preserve"> </v>
      </c>
      <c r="O102" s="35" t="str">
        <f>IF(Inventory_List_Table341115109111317181416192021[[#This Row],[Q]]&lt;0.1, " ",Inventory_List_Table341115109111317181416192021[[#This Row],[H CM]]/2.54)</f>
        <v xml:space="preserve"> </v>
      </c>
      <c r="P102" s="35" t="str">
        <f>IF(Inventory_List_Table341115109111317181416192021[[#This Row],[Q]]&lt;0.1, " ",Inventory_List_Table341115109111317181416192021[[#This Row],[W CM]]/2.54)</f>
        <v xml:space="preserve"> </v>
      </c>
      <c r="Q102" s="35" t="str">
        <f>IF(Inventory_List_Table341115109111317181416192021[[#This Row],[Q]]&lt;0.1, " ",Inventory_List_Table341115109111317181416192021[[#This Row],[D CM ]]/2.54)</f>
        <v xml:space="preserve"> </v>
      </c>
      <c r="R102" s="30" t="str">
        <f>IF(Inventory_List_Table341115109111317181416192021[[#This Row],[Q]]&lt;0.1, " ",Inventory_List_Table341115109111317181416192021[[#This Row],[PRICE]]/$L$1)</f>
        <v xml:space="preserve"> </v>
      </c>
      <c r="S102" s="30" t="str">
        <f>IF(Inventory_List_Table341115109111317181416192021[[#This Row],[Q]]&lt;0.1, " ",IF(MOD(Inventory_List_Table341115109111317181416192021[[#This Row],[AQ USD]],1)&gt;0.4,ROUNDUP(Inventory_List_Table341115109111317181416192021[[#This Row],[AQ USD]],0),ROUNDDOWN(Inventory_List_Table341115109111317181416192021[[#This Row],[AQ USD]],0)))</f>
        <v xml:space="preserve"> </v>
      </c>
      <c r="T102" s="30" t="str">
        <f>IF(Inventory_List_Table341115109111317181416192021[[#This Row],[Q]]&lt;0.1, " ",Inventory_List_Table341115109111317181416192021[[#This Row],[AQ RND USD]]*1.4)</f>
        <v xml:space="preserve"> </v>
      </c>
      <c r="U102" s="30" t="str">
        <f>IF(Inventory_List_Table341115109111317181416192021[[#This Row],[Q]]&lt;0.1, " ",IF(MOD(Inventory_List_Table341115109111317181416192021[[#This Row],[LND USD]],1)&gt;0.4,ROUNDUP(Inventory_List_Table341115109111317181416192021[[#This Row],[LND USD]],0),ROUNDDOWN(Inventory_List_Table341115109111317181416192021[[#This Row],[LND USD]],0)))</f>
        <v xml:space="preserve"> </v>
      </c>
      <c r="V102" s="30" t="str">
        <f>IF(Inventory_List_Table341115109111317181416192021[[#This Row],[Q]]&lt;0.1, " ",Inventory_List_Table341115109111317181416192021[[#This Row],[LND RND USD]]*12)</f>
        <v xml:space="preserve"> </v>
      </c>
      <c r="W102" s="30" t="str">
        <f>IF(Inventory_List_Table341115109111317181416192021[[#This Row],[Q]]&lt;0.1, " ",Inventory_List_Table341115109111317181416192021[[#This Row],[AQ USD]])</f>
        <v xml:space="preserve"> </v>
      </c>
      <c r="X10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Row],[AQ RND USD]], "1", "M"), "2", "O"), "3", "X"), "4", "H"), "5", "E"), "6", "L"), "7", "F"), "8", "A"), "9", "N"), "0", "D"))</f>
        <v xml:space="preserve"> </v>
      </c>
      <c r="Y102" s="1" t="str">
        <f>IF(Inventory_List_Table341115109111317181416192021[[#This Row],[Q]]&lt;0.1, " ",SUBSTITUTE(SUBSTITUTE(SUBSTITUTE(SUBSTITUTE(SUBSTITUTE(SUBSTITUTE(SUBSTITUTE(SUBSTITUTE(SUBSTITUTE(SUBSTITUTE(Inventory_List_Table341115109111317181416192021[[#This Row],[LND RND USD]], "1", "M"), "2", "O"), "3", "X"), "4", "H"), "5", "E"), "6", "L"), "7", "F"), "8", "A"), "9", "N"), "0", "D"))</f>
        <v xml:space="preserve"> </v>
      </c>
      <c r="Z102" s="1" t="str">
        <f>IF(Inventory_List_Table341115109111317181416192021[[#This Row],[Q]]&lt;0.1, " ",Inventory_List_Table341115109111317181416192021[[#This Row],[H CM]]*Inventory_List_Table341115109111317181416192021[[#This Row],[D CM ]]*4+Inventory_List_Table341115109111317181416192021[[#This Row],[W CM]]*Inventory_List_Table341115109111317181416192021[[#This Row],[D CM ]]/10000)</f>
        <v xml:space="preserve"> </v>
      </c>
      <c r="AA102" s="30" t="str">
        <f>IF(Inventory_List_Table341115109111317181416192021[[#This Row],[Q]]&lt;0.1, " ",Inventory_List_Table341115109111317181416192021[[#This Row],[PRICE]]/Z102*10000)</f>
        <v xml:space="preserve"> </v>
      </c>
      <c r="AB102" s="457"/>
      <c r="AC102" s="1"/>
      <c r="AD102" s="1"/>
    </row>
  </sheetData>
  <dataValidations count="12">
    <dataValidation allowBlank="1" showInputMessage="1" showErrorMessage="1" prompt="Enter company name in this cell" sqref="B1" xr:uid="{778FB0BA-024F-4970-82D2-65C71DC30248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47B2EC79-E3FE-4E38-AA21-06CA5160012C}"/>
    <dataValidation allowBlank="1" showInputMessage="1" showErrorMessage="1" prompt="Enter the item inventory ID in this column" sqref="E2:E3" xr:uid="{13F54BDE-4500-4BD7-B820-038F676B8F4A}"/>
    <dataValidation allowBlank="1" showInputMessage="1" showErrorMessage="1" prompt="Enter the name of the item in this column" sqref="F2:F3" xr:uid="{DABD4CF0-95B8-4E16-9A17-76CA00B928C8}"/>
    <dataValidation allowBlank="1" showInputMessage="1" showErrorMessage="1" prompt="Enter yes if the item has been discontinued. When a yes is entered, the corresponding row is highlighted a light grey and the font style changed to strikethrough" sqref="P2:P3" xr:uid="{0A7E3699-C0BA-4EC2-95E9-B7CA496D7FA9}"/>
    <dataValidation allowBlank="1" showInputMessage="1" showErrorMessage="1" prompt="Enter the quantity in reorder for each item in this column" sqref="O2:O3" xr:uid="{A27EFE63-7F16-44D0-A014-5377F72B86DC}"/>
    <dataValidation allowBlank="1" showInputMessage="1" showErrorMessage="1" prompt="Enter the number of days it takes to reorder each item in this column" sqref="L2:N3" xr:uid="{267C13A5-2B95-45B8-AF66-E689C8F69F86}"/>
    <dataValidation allowBlank="1" showInputMessage="1" showErrorMessage="1" prompt="Enter the reorder level for each item in this column" sqref="K2:K3" xr:uid="{348EA578-26C9-4F14-8439-51A7B2AC883E}"/>
    <dataValidation allowBlank="1" showInputMessage="1" showErrorMessage="1" prompt="This is an automated column._x000a__x000a_The inventory value for each item is automatically calculated in this column." sqref="J2:J3" xr:uid="{B0C9B6FE-5934-4404-9F79-9295D5CCC4DD}"/>
    <dataValidation allowBlank="1" showInputMessage="1" showErrorMessage="1" prompt="Enter the quantity in stock for each item in this column" sqref="I2:I3" xr:uid="{9B0AA27E-34B1-4E81-9791-2FEE5B43A09D}"/>
    <dataValidation allowBlank="1" showInputMessage="1" showErrorMessage="1" prompt="Enter the unit price of each item in this column" sqref="H2:H3" xr:uid="{9FDC1E74-5C42-43B5-9157-16B6A83FDB86}"/>
    <dataValidation allowBlank="1" showInputMessage="1" showErrorMessage="1" prompt="Enter a description of the item in this column" sqref="G2:G3" xr:uid="{CB1F72DE-BA02-406D-AC93-6E07BB00C8CE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3360-08AD-4E88-918D-215D3DE43B9F}">
  <sheetPr>
    <tabColor rgb="FF00A591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8.75" style="553" customWidth="1"/>
    <col min="2" max="2" width="25" style="29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458" t="s">
        <v>136</v>
      </c>
      <c r="B1" s="459" t="s">
        <v>137</v>
      </c>
      <c r="C1" s="460" t="s">
        <v>17</v>
      </c>
      <c r="D1" s="460">
        <v>326</v>
      </c>
      <c r="E1" s="460"/>
      <c r="F1" s="460"/>
      <c r="G1" s="460"/>
      <c r="H1" s="460"/>
      <c r="I1" s="460"/>
      <c r="J1" s="461"/>
      <c r="K1" s="460" t="s">
        <v>18</v>
      </c>
      <c r="L1" s="462">
        <v>18</v>
      </c>
      <c r="M1" s="463">
        <f>SUM(Inventory_List_Table34111510911131718141619202122[TOTAL PESOS])</f>
        <v>0</v>
      </c>
      <c r="N1" s="464"/>
      <c r="O1" s="464"/>
      <c r="P1" s="464"/>
      <c r="Q1" s="465"/>
      <c r="R1" s="466"/>
      <c r="S1" s="467"/>
      <c r="T1" s="468"/>
      <c r="U1" s="468"/>
      <c r="V1" s="468"/>
      <c r="W1" s="469">
        <f>SUM(Inventory_List_Table34111510911131718141619202122[TOTAL USD])</f>
        <v>0</v>
      </c>
      <c r="X1" s="470"/>
      <c r="Y1" s="470"/>
      <c r="Z1" s="470"/>
      <c r="AA1" s="471" t="str">
        <f>IF(G3&gt;0.1, AVERAGE(Inventory_List_Table34111510911131718141619202122[NOTES]), " ")</f>
        <v xml:space="preserve"> </v>
      </c>
      <c r="AB1" s="466"/>
    </row>
    <row r="2" spans="1:30" s="39" customFormat="1" ht="39" x14ac:dyDescent="0.25">
      <c r="A2" s="472" t="s">
        <v>19</v>
      </c>
      <c r="B2" s="473" t="s">
        <v>56</v>
      </c>
      <c r="C2" s="473" t="s">
        <v>146</v>
      </c>
      <c r="D2" s="473" t="s">
        <v>145</v>
      </c>
      <c r="E2" s="473" t="s">
        <v>55</v>
      </c>
      <c r="F2" s="472" t="s">
        <v>20</v>
      </c>
      <c r="G2" s="472" t="s">
        <v>9</v>
      </c>
      <c r="H2" s="472" t="s">
        <v>10</v>
      </c>
      <c r="I2" s="472" t="s">
        <v>15</v>
      </c>
      <c r="J2" s="472" t="s">
        <v>11</v>
      </c>
      <c r="K2" s="472" t="s">
        <v>12</v>
      </c>
      <c r="L2" s="473" t="s">
        <v>25</v>
      </c>
      <c r="M2" s="474" t="s">
        <v>21</v>
      </c>
      <c r="N2" s="475" t="s">
        <v>13</v>
      </c>
      <c r="O2" s="475" t="s">
        <v>22</v>
      </c>
      <c r="P2" s="475" t="s">
        <v>23</v>
      </c>
      <c r="Q2" s="475" t="s">
        <v>24</v>
      </c>
      <c r="R2" s="476" t="s">
        <v>57</v>
      </c>
      <c r="S2" s="473" t="s">
        <v>58</v>
      </c>
      <c r="T2" s="476" t="s">
        <v>59</v>
      </c>
      <c r="U2" s="476" t="s">
        <v>60</v>
      </c>
      <c r="V2" s="476" t="s">
        <v>61</v>
      </c>
      <c r="W2" s="477" t="s">
        <v>14</v>
      </c>
      <c r="X2" s="477" t="s">
        <v>16</v>
      </c>
      <c r="Y2" s="477" t="s">
        <v>1</v>
      </c>
      <c r="Z2" s="460" t="s">
        <v>62</v>
      </c>
      <c r="AA2" s="462" t="s">
        <v>63</v>
      </c>
      <c r="AB2" s="460" t="s">
        <v>64</v>
      </c>
    </row>
    <row r="3" spans="1:30" s="29" customFormat="1" ht="23.25" x14ac:dyDescent="0.35">
      <c r="A3" s="480">
        <v>1</v>
      </c>
      <c r="B3" s="1"/>
      <c r="C3" s="478"/>
      <c r="D3" s="478"/>
      <c r="E3" s="478"/>
      <c r="F3" s="38" t="str">
        <f>IF(Inventory_List_Table34111510911131718141619202122[[#This Row],[Q]]&lt;0.1, " ",A1&amp;$D$1&amp;Inventory_List_Table34111510911131718141619202122[[#This Row],['#]]&amp;Inventory_List_Table34111510911131718141619202122[[#This Row],[LC]])</f>
        <v xml:space="preserve"> </v>
      </c>
      <c r="G3" s="481"/>
      <c r="H3" s="481"/>
      <c r="I3" s="481"/>
      <c r="J3" s="481"/>
      <c r="K3" s="481"/>
      <c r="L3" s="482"/>
      <c r="M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" s="35" t="str">
        <f>IF(Inventory_List_Table34111510911131718141619202122[[#This Row],[Q]]&lt;0.1, " ", Inventory_List_Table34111510911131718141619202122[[#This Row],[KG]]*2.20462)</f>
        <v xml:space="preserve"> </v>
      </c>
      <c r="O3" s="35" t="str">
        <f>IF(Inventory_List_Table34111510911131718141619202122[[#This Row],[Q]]&lt;0.1, " ",Inventory_List_Table34111510911131718141619202122[[#This Row],[H CM]]/2.54)</f>
        <v xml:space="preserve"> </v>
      </c>
      <c r="P3" s="35" t="str">
        <f>IF(Inventory_List_Table34111510911131718141619202122[[#This Row],[Q]]&lt;0.1, " ",Inventory_List_Table34111510911131718141619202122[[#This Row],[W CM]]/2.54)</f>
        <v xml:space="preserve"> </v>
      </c>
      <c r="Q3" s="35" t="str">
        <f>IF(Inventory_List_Table34111510911131718141619202122[[#This Row],[Q]]&lt;0.1, " ",Inventory_List_Table34111510911131718141619202122[[#This Row],[D CM ]]/2.54)</f>
        <v xml:space="preserve"> </v>
      </c>
      <c r="R3" s="30" t="str">
        <f>IF(Inventory_List_Table34111510911131718141619202122[[#This Row],[Q]]&lt;0.1, " ",Inventory_List_Table34111510911131718141619202122[[#This Row],[PRICE]]/$L$1)</f>
        <v xml:space="preserve"> </v>
      </c>
      <c r="S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" s="30" t="str">
        <f>IF(Inventory_List_Table34111510911131718141619202122[[#This Row],[Q]]&lt;0.1, " ",Inventory_List_Table34111510911131718141619202122[[#This Row],[AQ RND USD]]*1.4)</f>
        <v xml:space="preserve"> </v>
      </c>
      <c r="U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" s="30" t="str">
        <f>IF(Inventory_List_Table34111510911131718141619202122[[#This Row],[Q]]&lt;0.1, " ",Inventory_List_Table34111510911131718141619202122[[#This Row],[LND RND USD]]*12)</f>
        <v xml:space="preserve"> </v>
      </c>
      <c r="W3" s="30" t="str">
        <f>IF(Inventory_List_Table34111510911131718141619202122[[#This Row],[Q]]&lt;0.1, " ",Inventory_List_Table34111510911131718141619202122[[#This Row],[AQ USD]])</f>
        <v xml:space="preserve"> </v>
      </c>
      <c r="X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" s="36" t="str">
        <f>IF(Inventory_List_Table34111510911131718141619202122[[#This Row],[Q]]&lt;0.1, " ",Inventory_List_Table34111510911131718141619202122[[#This Row],[PRICE]]/Z3*10000)</f>
        <v xml:space="preserve"> </v>
      </c>
      <c r="AB3" s="479"/>
      <c r="AC3" s="27"/>
      <c r="AD3" s="28"/>
    </row>
    <row r="4" spans="1:30" ht="21" x14ac:dyDescent="0.3">
      <c r="A4" s="480">
        <v>2</v>
      </c>
      <c r="B4" s="1"/>
      <c r="C4" s="478"/>
      <c r="D4" s="478"/>
      <c r="E4" s="478"/>
      <c r="F4" s="38" t="str">
        <f>IF(Inventory_List_Table34111510911131718141619202122[[#This Row],[Q]]&lt;0.1, " ",#REF!&amp;$D$1&amp;#REF!&amp;Inventory_List_Table34111510911131718141619202122[[#This Row],[NOTES]])</f>
        <v xml:space="preserve"> </v>
      </c>
      <c r="G4" s="481"/>
      <c r="H4" s="481"/>
      <c r="I4" s="481"/>
      <c r="J4" s="481"/>
      <c r="K4" s="481"/>
      <c r="L4" s="483"/>
      <c r="M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" s="35" t="str">
        <f>IF(Inventory_List_Table34111510911131718141619202122[[#This Row],[Q]]&lt;0.1, " ", Inventory_List_Table34111510911131718141619202122[[#This Row],[KG]]*2.20462)</f>
        <v xml:space="preserve"> </v>
      </c>
      <c r="O4" s="35" t="str">
        <f>IF(Inventory_List_Table34111510911131718141619202122[[#This Row],[Q]]&lt;0.1, " ",Inventory_List_Table34111510911131718141619202122[[#This Row],[H CM]]/2.54)</f>
        <v xml:space="preserve"> </v>
      </c>
      <c r="P4" s="35" t="str">
        <f>IF(Inventory_List_Table34111510911131718141619202122[[#This Row],[Q]]&lt;0.1, " ",Inventory_List_Table34111510911131718141619202122[[#This Row],[W CM]]/2.54)</f>
        <v xml:space="preserve"> </v>
      </c>
      <c r="Q4" s="35" t="str">
        <f>IF(Inventory_List_Table34111510911131718141619202122[[#This Row],[Q]]&lt;0.1, " ",Inventory_List_Table34111510911131718141619202122[[#This Row],[D CM ]]/2.54)</f>
        <v xml:space="preserve"> </v>
      </c>
      <c r="R4" s="30" t="str">
        <f>IF(Inventory_List_Table34111510911131718141619202122[[#This Row],[Q]]&lt;0.1, " ",Inventory_List_Table34111510911131718141619202122[[#This Row],[PRICE]]/$L$1)</f>
        <v xml:space="preserve"> </v>
      </c>
      <c r="S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" s="30" t="str">
        <f>IF(Inventory_List_Table34111510911131718141619202122[[#This Row],[Q]]&lt;0.1, " ",Inventory_List_Table34111510911131718141619202122[[#This Row],[AQ RND USD]]*1.4)</f>
        <v xml:space="preserve"> </v>
      </c>
      <c r="U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" s="30" t="str">
        <f>IF(Inventory_List_Table34111510911131718141619202122[[#This Row],[Q]]&lt;0.1, " ",Inventory_List_Table34111510911131718141619202122[[#This Row],[LND RND USD]]*12)</f>
        <v xml:space="preserve"> </v>
      </c>
      <c r="W4" s="30" t="str">
        <f>IF(Inventory_List_Table34111510911131718141619202122[[#This Row],[Q]]&lt;0.1, " ",Inventory_List_Table34111510911131718141619202122[[#This Row],[AQ USD]])</f>
        <v xml:space="preserve"> </v>
      </c>
      <c r="X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" s="30" t="str">
        <f>IF(Inventory_List_Table34111510911131718141619202122[[#This Row],[Q]]&lt;0.1, " ",Inventory_List_Table34111510911131718141619202122[[#This Row],[PRICE]]/Z4*10000)</f>
        <v xml:space="preserve"> </v>
      </c>
      <c r="AB4" s="484"/>
      <c r="AC4" s="1"/>
      <c r="AD4" s="1"/>
    </row>
    <row r="5" spans="1:30" ht="24" customHeight="1" x14ac:dyDescent="0.3">
      <c r="A5" s="480">
        <v>3</v>
      </c>
      <c r="B5" s="1"/>
      <c r="C5" s="478"/>
      <c r="D5" s="478"/>
      <c r="E5" s="478"/>
      <c r="F5" s="38" t="str">
        <f>IF(Inventory_List_Table34111510911131718141619202122[[#This Row],[Q]]&lt;0.1, " ",#REF!&amp;$D$1&amp;#REF!&amp;Inventory_List_Table34111510911131718141619202122[[#This Row],[NOTES]])</f>
        <v xml:space="preserve"> </v>
      </c>
      <c r="G5" s="481"/>
      <c r="H5" s="481"/>
      <c r="I5" s="481"/>
      <c r="J5" s="481"/>
      <c r="K5" s="481"/>
      <c r="L5" s="483"/>
      <c r="M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" s="35" t="str">
        <f>IF(Inventory_List_Table34111510911131718141619202122[[#This Row],[Q]]&lt;0.1, " ", Inventory_List_Table34111510911131718141619202122[[#This Row],[KG]]*2.20462)</f>
        <v xml:space="preserve"> </v>
      </c>
      <c r="O5" s="35" t="str">
        <f>IF(Inventory_List_Table34111510911131718141619202122[[#This Row],[Q]]&lt;0.1, " ",Inventory_List_Table34111510911131718141619202122[[#This Row],[H CM]]/2.54)</f>
        <v xml:space="preserve"> </v>
      </c>
      <c r="P5" s="35" t="str">
        <f>IF(Inventory_List_Table34111510911131718141619202122[[#This Row],[Q]]&lt;0.1, " ",Inventory_List_Table34111510911131718141619202122[[#This Row],[W CM]]/2.54)</f>
        <v xml:space="preserve"> </v>
      </c>
      <c r="Q5" s="35" t="str">
        <f>IF(Inventory_List_Table34111510911131718141619202122[[#This Row],[Q]]&lt;0.1, " ",Inventory_List_Table34111510911131718141619202122[[#This Row],[D CM ]]/2.54)</f>
        <v xml:space="preserve"> </v>
      </c>
      <c r="R5" s="30" t="str">
        <f>IF(Inventory_List_Table34111510911131718141619202122[[#This Row],[Q]]&lt;0.1, " ",Inventory_List_Table34111510911131718141619202122[[#This Row],[PRICE]]/$L$1)</f>
        <v xml:space="preserve"> </v>
      </c>
      <c r="S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" s="30" t="str">
        <f>IF(Inventory_List_Table34111510911131718141619202122[[#This Row],[Q]]&lt;0.1, " ",Inventory_List_Table34111510911131718141619202122[[#This Row],[AQ RND USD]]*1.4)</f>
        <v xml:space="preserve"> </v>
      </c>
      <c r="U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" s="30" t="str">
        <f>IF(Inventory_List_Table34111510911131718141619202122[[#This Row],[Q]]&lt;0.1, " ",Inventory_List_Table34111510911131718141619202122[[#This Row],[LND RND USD]]*12)</f>
        <v xml:space="preserve"> </v>
      </c>
      <c r="W5" s="30" t="str">
        <f>IF(Inventory_List_Table34111510911131718141619202122[[#This Row],[Q]]&lt;0.1, " ",Inventory_List_Table34111510911131718141619202122[[#This Row],[AQ USD]])</f>
        <v xml:space="preserve"> </v>
      </c>
      <c r="X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" s="30" t="str">
        <f>IF(Inventory_List_Table34111510911131718141619202122[[#This Row],[Q]]&lt;0.1, " ",Inventory_List_Table34111510911131718141619202122[[#This Row],[PRICE]]/Z5*10000)</f>
        <v xml:space="preserve"> </v>
      </c>
      <c r="AB5" s="484"/>
      <c r="AC5" s="1"/>
      <c r="AD5" s="1"/>
    </row>
    <row r="6" spans="1:30" ht="24" customHeight="1" x14ac:dyDescent="0.3">
      <c r="A6" s="480">
        <v>4</v>
      </c>
      <c r="B6" s="1"/>
      <c r="C6" s="478"/>
      <c r="D6" s="478"/>
      <c r="E6" s="478"/>
      <c r="F6" s="38" t="str">
        <f>IF(Inventory_List_Table34111510911131718141619202122[[#This Row],[Q]]&lt;0.1, " ",#REF!&amp;$D$1&amp;#REF!&amp;Inventory_List_Table34111510911131718141619202122[[#This Row],[NOTES]])</f>
        <v xml:space="preserve"> </v>
      </c>
      <c r="G6" s="481"/>
      <c r="H6" s="481"/>
      <c r="I6" s="481"/>
      <c r="J6" s="481"/>
      <c r="K6" s="481"/>
      <c r="L6" s="483"/>
      <c r="M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" s="35" t="str">
        <f>IF(Inventory_List_Table34111510911131718141619202122[[#This Row],[Q]]&lt;0.1, " ", Inventory_List_Table34111510911131718141619202122[[#This Row],[KG]]*2.20462)</f>
        <v xml:space="preserve"> </v>
      </c>
      <c r="O6" s="35" t="str">
        <f>IF(Inventory_List_Table34111510911131718141619202122[[#This Row],[Q]]&lt;0.1, " ",Inventory_List_Table34111510911131718141619202122[[#This Row],[H CM]]/2.54)</f>
        <v xml:space="preserve"> </v>
      </c>
      <c r="P6" s="35" t="str">
        <f>IF(Inventory_List_Table34111510911131718141619202122[[#This Row],[Q]]&lt;0.1, " ",Inventory_List_Table34111510911131718141619202122[[#This Row],[W CM]]/2.54)</f>
        <v xml:space="preserve"> </v>
      </c>
      <c r="Q6" s="35" t="str">
        <f>IF(Inventory_List_Table34111510911131718141619202122[[#This Row],[Q]]&lt;0.1, " ",Inventory_List_Table34111510911131718141619202122[[#This Row],[D CM ]]/2.54)</f>
        <v xml:space="preserve"> </v>
      </c>
      <c r="R6" s="30" t="str">
        <f>IF(Inventory_List_Table34111510911131718141619202122[[#This Row],[Q]]&lt;0.1, " ",Inventory_List_Table34111510911131718141619202122[[#This Row],[PRICE]]/$L$1)</f>
        <v xml:space="preserve"> </v>
      </c>
      <c r="S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" s="30" t="str">
        <f>IF(Inventory_List_Table34111510911131718141619202122[[#This Row],[Q]]&lt;0.1, " ",Inventory_List_Table34111510911131718141619202122[[#This Row],[AQ RND USD]]*1.4)</f>
        <v xml:space="preserve"> </v>
      </c>
      <c r="U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" s="30" t="str">
        <f>IF(Inventory_List_Table34111510911131718141619202122[[#This Row],[Q]]&lt;0.1, " ",Inventory_List_Table34111510911131718141619202122[[#This Row],[LND RND USD]]*12)</f>
        <v xml:space="preserve"> </v>
      </c>
      <c r="W6" s="30" t="str">
        <f>IF(Inventory_List_Table34111510911131718141619202122[[#This Row],[Q]]&lt;0.1, " ",Inventory_List_Table34111510911131718141619202122[[#This Row],[AQ USD]])</f>
        <v xml:space="preserve"> </v>
      </c>
      <c r="X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" s="30" t="str">
        <f>IF(Inventory_List_Table34111510911131718141619202122[[#This Row],[Q]]&lt;0.1, " ",Inventory_List_Table34111510911131718141619202122[[#This Row],[PRICE]]/Z6*10000)</f>
        <v xml:space="preserve"> </v>
      </c>
      <c r="AB6" s="484"/>
      <c r="AC6" s="1"/>
      <c r="AD6" s="1"/>
    </row>
    <row r="7" spans="1:30" ht="24" customHeight="1" x14ac:dyDescent="0.3">
      <c r="A7" s="480">
        <v>5</v>
      </c>
      <c r="B7" s="1"/>
      <c r="C7" s="478"/>
      <c r="D7" s="478"/>
      <c r="E7" s="478"/>
      <c r="F7" s="38" t="str">
        <f>IF(Inventory_List_Table34111510911131718141619202122[[#This Row],[Q]]&lt;0.1, " ",#REF!&amp;$D$1&amp;#REF!&amp;Inventory_List_Table34111510911131718141619202122[[#This Row],[NOTES]])</f>
        <v xml:space="preserve"> </v>
      </c>
      <c r="G7" s="481"/>
      <c r="H7" s="481"/>
      <c r="I7" s="481"/>
      <c r="J7" s="481"/>
      <c r="K7" s="481"/>
      <c r="L7" s="483"/>
      <c r="M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" s="35" t="str">
        <f>IF(Inventory_List_Table34111510911131718141619202122[[#This Row],[Q]]&lt;0.1, " ", Inventory_List_Table34111510911131718141619202122[[#This Row],[KG]]*2.20462)</f>
        <v xml:space="preserve"> </v>
      </c>
      <c r="O7" s="35" t="str">
        <f>IF(Inventory_List_Table34111510911131718141619202122[[#This Row],[Q]]&lt;0.1, " ",Inventory_List_Table34111510911131718141619202122[[#This Row],[H CM]]/2.54)</f>
        <v xml:space="preserve"> </v>
      </c>
      <c r="P7" s="35" t="str">
        <f>IF(Inventory_List_Table34111510911131718141619202122[[#This Row],[Q]]&lt;0.1, " ",Inventory_List_Table34111510911131718141619202122[[#This Row],[W CM]]/2.54)</f>
        <v xml:space="preserve"> </v>
      </c>
      <c r="Q7" s="35" t="str">
        <f>IF(Inventory_List_Table34111510911131718141619202122[[#This Row],[Q]]&lt;0.1, " ",Inventory_List_Table34111510911131718141619202122[[#This Row],[D CM ]]/2.54)</f>
        <v xml:space="preserve"> </v>
      </c>
      <c r="R7" s="30" t="str">
        <f>IF(Inventory_List_Table34111510911131718141619202122[[#This Row],[Q]]&lt;0.1, " ",Inventory_List_Table34111510911131718141619202122[[#This Row],[PRICE]]/$L$1)</f>
        <v xml:space="preserve"> </v>
      </c>
      <c r="S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" s="30" t="str">
        <f>IF(Inventory_List_Table34111510911131718141619202122[[#This Row],[Q]]&lt;0.1, " ",Inventory_List_Table34111510911131718141619202122[[#This Row],[AQ RND USD]]*1.4)</f>
        <v xml:space="preserve"> </v>
      </c>
      <c r="U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" s="30" t="str">
        <f>IF(Inventory_List_Table34111510911131718141619202122[[#This Row],[Q]]&lt;0.1, " ",Inventory_List_Table34111510911131718141619202122[[#This Row],[LND RND USD]]*12)</f>
        <v xml:space="preserve"> </v>
      </c>
      <c r="W7" s="30" t="str">
        <f>IF(Inventory_List_Table34111510911131718141619202122[[#This Row],[Q]]&lt;0.1, " ",Inventory_List_Table34111510911131718141619202122[[#This Row],[AQ USD]])</f>
        <v xml:space="preserve"> </v>
      </c>
      <c r="X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" s="30" t="str">
        <f>IF(Inventory_List_Table34111510911131718141619202122[[#This Row],[Q]]&lt;0.1, " ",Inventory_List_Table34111510911131718141619202122[[#This Row],[PRICE]]/Z7*10000)</f>
        <v xml:space="preserve"> </v>
      </c>
      <c r="AB7" s="484"/>
      <c r="AC7" s="1"/>
      <c r="AD7" s="1"/>
    </row>
    <row r="8" spans="1:30" ht="24" customHeight="1" x14ac:dyDescent="0.3">
      <c r="A8" s="480">
        <v>6</v>
      </c>
      <c r="B8" s="1"/>
      <c r="C8" s="478"/>
      <c r="D8" s="478"/>
      <c r="E8" s="478"/>
      <c r="F8" s="38" t="str">
        <f>IF(Inventory_List_Table34111510911131718141619202122[[#This Row],[Q]]&lt;0.1, " ",#REF!&amp;$D$1&amp;#REF!&amp;Inventory_List_Table34111510911131718141619202122[[#This Row],[NOTES]])</f>
        <v xml:space="preserve"> </v>
      </c>
      <c r="G8" s="481"/>
      <c r="H8" s="481"/>
      <c r="I8" s="481"/>
      <c r="J8" s="481"/>
      <c r="K8" s="481"/>
      <c r="L8" s="483"/>
      <c r="M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" s="35" t="str">
        <f>IF(Inventory_List_Table34111510911131718141619202122[[#This Row],[Q]]&lt;0.1, " ", Inventory_List_Table34111510911131718141619202122[[#This Row],[KG]]*2.20462)</f>
        <v xml:space="preserve"> </v>
      </c>
      <c r="O8" s="35" t="str">
        <f>IF(Inventory_List_Table34111510911131718141619202122[[#This Row],[Q]]&lt;0.1, " ",Inventory_List_Table34111510911131718141619202122[[#This Row],[H CM]]/2.54)</f>
        <v xml:space="preserve"> </v>
      </c>
      <c r="P8" s="35" t="str">
        <f>IF(Inventory_List_Table34111510911131718141619202122[[#This Row],[Q]]&lt;0.1, " ",Inventory_List_Table34111510911131718141619202122[[#This Row],[W CM]]/2.54)</f>
        <v xml:space="preserve"> </v>
      </c>
      <c r="Q8" s="35" t="str">
        <f>IF(Inventory_List_Table34111510911131718141619202122[[#This Row],[Q]]&lt;0.1, " ",Inventory_List_Table34111510911131718141619202122[[#This Row],[D CM ]]/2.54)</f>
        <v xml:space="preserve"> </v>
      </c>
      <c r="R8" s="30" t="str">
        <f>IF(Inventory_List_Table34111510911131718141619202122[[#This Row],[Q]]&lt;0.1, " ",Inventory_List_Table34111510911131718141619202122[[#This Row],[PRICE]]/$L$1)</f>
        <v xml:space="preserve"> </v>
      </c>
      <c r="S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" s="30" t="str">
        <f>IF(Inventory_List_Table34111510911131718141619202122[[#This Row],[Q]]&lt;0.1, " ",Inventory_List_Table34111510911131718141619202122[[#This Row],[AQ RND USD]]*1.4)</f>
        <v xml:space="preserve"> </v>
      </c>
      <c r="U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" s="30" t="str">
        <f>IF(Inventory_List_Table34111510911131718141619202122[[#This Row],[Q]]&lt;0.1, " ",Inventory_List_Table34111510911131718141619202122[[#This Row],[LND RND USD]]*12)</f>
        <v xml:space="preserve"> </v>
      </c>
      <c r="W8" s="30" t="str">
        <f>IF(Inventory_List_Table34111510911131718141619202122[[#This Row],[Q]]&lt;0.1, " ",Inventory_List_Table34111510911131718141619202122[[#This Row],[AQ USD]])</f>
        <v xml:space="preserve"> </v>
      </c>
      <c r="X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" s="30" t="str">
        <f>IF(Inventory_List_Table34111510911131718141619202122[[#This Row],[Q]]&lt;0.1, " ",Inventory_List_Table34111510911131718141619202122[[#This Row],[PRICE]]/Z8*10000)</f>
        <v xml:space="preserve"> </v>
      </c>
      <c r="AB8" s="484"/>
      <c r="AC8" s="1"/>
      <c r="AD8" s="1"/>
    </row>
    <row r="9" spans="1:30" ht="24" customHeight="1" x14ac:dyDescent="0.3">
      <c r="A9" s="480">
        <v>7</v>
      </c>
      <c r="B9" s="1"/>
      <c r="C9" s="478"/>
      <c r="D9" s="478"/>
      <c r="E9" s="478"/>
      <c r="F9" s="38" t="str">
        <f>IF(Inventory_List_Table34111510911131718141619202122[[#This Row],[Q]]&lt;0.1, " ",#REF!&amp;$D$1&amp;#REF!&amp;Inventory_List_Table34111510911131718141619202122[[#This Row],[NOTES]])</f>
        <v xml:space="preserve"> </v>
      </c>
      <c r="G9" s="481"/>
      <c r="H9" s="481"/>
      <c r="I9" s="481"/>
      <c r="J9" s="481"/>
      <c r="K9" s="481"/>
      <c r="L9" s="483"/>
      <c r="M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" s="35" t="str">
        <f>IF(Inventory_List_Table34111510911131718141619202122[[#This Row],[Q]]&lt;0.1, " ", Inventory_List_Table34111510911131718141619202122[[#This Row],[KG]]*2.20462)</f>
        <v xml:space="preserve"> </v>
      </c>
      <c r="O9" s="35" t="str">
        <f>IF(Inventory_List_Table34111510911131718141619202122[[#This Row],[Q]]&lt;0.1, " ",Inventory_List_Table34111510911131718141619202122[[#This Row],[H CM]]/2.54)</f>
        <v xml:space="preserve"> </v>
      </c>
      <c r="P9" s="35" t="str">
        <f>IF(Inventory_List_Table34111510911131718141619202122[[#This Row],[Q]]&lt;0.1, " ",Inventory_List_Table34111510911131718141619202122[[#This Row],[W CM]]/2.54)</f>
        <v xml:space="preserve"> </v>
      </c>
      <c r="Q9" s="35" t="str">
        <f>IF(Inventory_List_Table34111510911131718141619202122[[#This Row],[Q]]&lt;0.1, " ",Inventory_List_Table34111510911131718141619202122[[#This Row],[D CM ]]/2.54)</f>
        <v xml:space="preserve"> </v>
      </c>
      <c r="R9" s="30" t="str">
        <f>IF(Inventory_List_Table34111510911131718141619202122[[#This Row],[Q]]&lt;0.1, " ",Inventory_List_Table34111510911131718141619202122[[#This Row],[PRICE]]/$L$1)</f>
        <v xml:space="preserve"> </v>
      </c>
      <c r="S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" s="30" t="str">
        <f>IF(Inventory_List_Table34111510911131718141619202122[[#This Row],[Q]]&lt;0.1, " ",Inventory_List_Table34111510911131718141619202122[[#This Row],[AQ RND USD]]*1.4)</f>
        <v xml:space="preserve"> </v>
      </c>
      <c r="U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" s="30" t="str">
        <f>IF(Inventory_List_Table34111510911131718141619202122[[#This Row],[Q]]&lt;0.1, " ",Inventory_List_Table34111510911131718141619202122[[#This Row],[LND RND USD]]*12)</f>
        <v xml:space="preserve"> </v>
      </c>
      <c r="W9" s="30" t="str">
        <f>IF(Inventory_List_Table34111510911131718141619202122[[#This Row],[Q]]&lt;0.1, " ",Inventory_List_Table34111510911131718141619202122[[#This Row],[AQ USD]])</f>
        <v xml:space="preserve"> </v>
      </c>
      <c r="X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" s="30" t="str">
        <f>IF(Inventory_List_Table34111510911131718141619202122[[#This Row],[Q]]&lt;0.1, " ",Inventory_List_Table34111510911131718141619202122[[#This Row],[PRICE]]/Z9*10000)</f>
        <v xml:space="preserve"> </v>
      </c>
      <c r="AB9" s="484"/>
      <c r="AC9" s="1"/>
      <c r="AD9" s="1"/>
    </row>
    <row r="10" spans="1:30" ht="24" customHeight="1" x14ac:dyDescent="0.3">
      <c r="A10" s="480">
        <v>8</v>
      </c>
      <c r="B10" s="1"/>
      <c r="C10" s="478"/>
      <c r="D10" s="478"/>
      <c r="E10" s="478"/>
      <c r="F10" s="38" t="str">
        <f>IF(Inventory_List_Table34111510911131718141619202122[[#This Row],[Q]]&lt;0.1, " ",#REF!&amp;$D$1&amp;#REF!&amp;Inventory_List_Table34111510911131718141619202122[[#This Row],[NOTES]])</f>
        <v xml:space="preserve"> </v>
      </c>
      <c r="G10" s="481"/>
      <c r="H10" s="481"/>
      <c r="I10" s="481"/>
      <c r="J10" s="481"/>
      <c r="K10" s="481"/>
      <c r="L10" s="483"/>
      <c r="M1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0" s="35" t="str">
        <f>IF(Inventory_List_Table34111510911131718141619202122[[#This Row],[Q]]&lt;0.1, " ", Inventory_List_Table34111510911131718141619202122[[#This Row],[KG]]*2.20462)</f>
        <v xml:space="preserve"> </v>
      </c>
      <c r="O10" s="35" t="str">
        <f>IF(Inventory_List_Table34111510911131718141619202122[[#This Row],[Q]]&lt;0.1, " ",Inventory_List_Table34111510911131718141619202122[[#This Row],[H CM]]/2.54)</f>
        <v xml:space="preserve"> </v>
      </c>
      <c r="P10" s="35" t="str">
        <f>IF(Inventory_List_Table34111510911131718141619202122[[#This Row],[Q]]&lt;0.1, " ",Inventory_List_Table34111510911131718141619202122[[#This Row],[W CM]]/2.54)</f>
        <v xml:space="preserve"> </v>
      </c>
      <c r="Q10" s="35" t="str">
        <f>IF(Inventory_List_Table34111510911131718141619202122[[#This Row],[Q]]&lt;0.1, " ",Inventory_List_Table34111510911131718141619202122[[#This Row],[D CM ]]/2.54)</f>
        <v xml:space="preserve"> </v>
      </c>
      <c r="R10" s="30" t="str">
        <f>IF(Inventory_List_Table34111510911131718141619202122[[#This Row],[Q]]&lt;0.1, " ",Inventory_List_Table34111510911131718141619202122[[#This Row],[PRICE]]/$L$1)</f>
        <v xml:space="preserve"> </v>
      </c>
      <c r="S1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0" s="30" t="str">
        <f>IF(Inventory_List_Table34111510911131718141619202122[[#This Row],[Q]]&lt;0.1, " ",Inventory_List_Table34111510911131718141619202122[[#This Row],[AQ RND USD]]*1.4)</f>
        <v xml:space="preserve"> </v>
      </c>
      <c r="U1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0" s="30" t="str">
        <f>IF(Inventory_List_Table34111510911131718141619202122[[#This Row],[Q]]&lt;0.1, " ",Inventory_List_Table34111510911131718141619202122[[#This Row],[LND RND USD]]*12)</f>
        <v xml:space="preserve"> </v>
      </c>
      <c r="W10" s="30" t="str">
        <f>IF(Inventory_List_Table34111510911131718141619202122[[#This Row],[Q]]&lt;0.1, " ",Inventory_List_Table34111510911131718141619202122[[#This Row],[AQ USD]])</f>
        <v xml:space="preserve"> </v>
      </c>
      <c r="X1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0" s="30" t="str">
        <f>IF(Inventory_List_Table34111510911131718141619202122[[#This Row],[Q]]&lt;0.1, " ",Inventory_List_Table34111510911131718141619202122[[#This Row],[PRICE]]/Z10*10000)</f>
        <v xml:space="preserve"> </v>
      </c>
      <c r="AB10" s="484"/>
      <c r="AC10" s="1"/>
      <c r="AD10" s="1"/>
    </row>
    <row r="11" spans="1:30" ht="24" customHeight="1" x14ac:dyDescent="0.3">
      <c r="A11" s="480">
        <v>9</v>
      </c>
      <c r="B11" s="1"/>
      <c r="C11" s="478"/>
      <c r="D11" s="478"/>
      <c r="E11" s="478"/>
      <c r="F11" s="38" t="str">
        <f>IF(Inventory_List_Table34111510911131718141619202122[[#This Row],[Q]]&lt;0.1, " ",#REF!&amp;$D$1&amp;#REF!&amp;Inventory_List_Table34111510911131718141619202122[[#This Row],[NOTES]])</f>
        <v xml:space="preserve"> </v>
      </c>
      <c r="G11" s="481"/>
      <c r="H11" s="481"/>
      <c r="I11" s="481"/>
      <c r="J11" s="481"/>
      <c r="K11" s="481"/>
      <c r="L11" s="483"/>
      <c r="M1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1" s="35" t="str">
        <f>IF(Inventory_List_Table34111510911131718141619202122[[#This Row],[Q]]&lt;0.1, " ", Inventory_List_Table34111510911131718141619202122[[#This Row],[KG]]*2.20462)</f>
        <v xml:space="preserve"> </v>
      </c>
      <c r="O11" s="35" t="str">
        <f>IF(Inventory_List_Table34111510911131718141619202122[[#This Row],[Q]]&lt;0.1, " ",Inventory_List_Table34111510911131718141619202122[[#This Row],[H CM]]/2.54)</f>
        <v xml:space="preserve"> </v>
      </c>
      <c r="P11" s="35" t="str">
        <f>IF(Inventory_List_Table34111510911131718141619202122[[#This Row],[Q]]&lt;0.1, " ",Inventory_List_Table34111510911131718141619202122[[#This Row],[W CM]]/2.54)</f>
        <v xml:space="preserve"> </v>
      </c>
      <c r="Q11" s="35" t="str">
        <f>IF(Inventory_List_Table34111510911131718141619202122[[#This Row],[Q]]&lt;0.1, " ",Inventory_List_Table34111510911131718141619202122[[#This Row],[D CM ]]/2.54)</f>
        <v xml:space="preserve"> </v>
      </c>
      <c r="R11" s="30" t="str">
        <f>IF(Inventory_List_Table34111510911131718141619202122[[#This Row],[Q]]&lt;0.1, " ",Inventory_List_Table34111510911131718141619202122[[#This Row],[PRICE]]/$L$1)</f>
        <v xml:space="preserve"> </v>
      </c>
      <c r="S1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1" s="30" t="str">
        <f>IF(Inventory_List_Table34111510911131718141619202122[[#This Row],[Q]]&lt;0.1, " ",Inventory_List_Table34111510911131718141619202122[[#This Row],[AQ RND USD]]*1.4)</f>
        <v xml:space="preserve"> </v>
      </c>
      <c r="U1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1" s="30" t="str">
        <f>IF(Inventory_List_Table34111510911131718141619202122[[#This Row],[Q]]&lt;0.1, " ",Inventory_List_Table34111510911131718141619202122[[#This Row],[LND RND USD]]*12)</f>
        <v xml:space="preserve"> </v>
      </c>
      <c r="W11" s="30" t="str">
        <f>IF(Inventory_List_Table34111510911131718141619202122[[#This Row],[Q]]&lt;0.1, " ",Inventory_List_Table34111510911131718141619202122[[#This Row],[AQ USD]])</f>
        <v xml:space="preserve"> </v>
      </c>
      <c r="X1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1" s="30" t="str">
        <f>IF(Inventory_List_Table34111510911131718141619202122[[#This Row],[Q]]&lt;0.1, " ",Inventory_List_Table34111510911131718141619202122[[#This Row],[PRICE]]/Z11*10000)</f>
        <v xml:space="preserve"> </v>
      </c>
      <c r="AB11" s="484"/>
      <c r="AC11" s="1"/>
      <c r="AD11" s="1"/>
    </row>
    <row r="12" spans="1:30" ht="24" customHeight="1" x14ac:dyDescent="0.3">
      <c r="A12" s="480">
        <v>10</v>
      </c>
      <c r="B12" s="1"/>
      <c r="C12" s="478"/>
      <c r="D12" s="478"/>
      <c r="E12" s="478"/>
      <c r="F12" s="38" t="str">
        <f>IF(Inventory_List_Table34111510911131718141619202122[[#This Row],[Q]]&lt;0.1, " ",#REF!&amp;$D$1&amp;#REF!&amp;Inventory_List_Table34111510911131718141619202122[[#This Row],[NOTES]])</f>
        <v xml:space="preserve"> </v>
      </c>
      <c r="G12" s="481"/>
      <c r="H12" s="481"/>
      <c r="I12" s="481"/>
      <c r="J12" s="481"/>
      <c r="K12" s="481"/>
      <c r="L12" s="483"/>
      <c r="M1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2" s="35" t="str">
        <f>IF(Inventory_List_Table34111510911131718141619202122[[#This Row],[Q]]&lt;0.1, " ", Inventory_List_Table34111510911131718141619202122[[#This Row],[KG]]*2.20462)</f>
        <v xml:space="preserve"> </v>
      </c>
      <c r="O12" s="35" t="str">
        <f>IF(Inventory_List_Table34111510911131718141619202122[[#This Row],[Q]]&lt;0.1, " ",Inventory_List_Table34111510911131718141619202122[[#This Row],[H CM]]/2.54)</f>
        <v xml:space="preserve"> </v>
      </c>
      <c r="P12" s="35" t="str">
        <f>IF(Inventory_List_Table34111510911131718141619202122[[#This Row],[Q]]&lt;0.1, " ",Inventory_List_Table34111510911131718141619202122[[#This Row],[W CM]]/2.54)</f>
        <v xml:space="preserve"> </v>
      </c>
      <c r="Q12" s="35" t="str">
        <f>IF(Inventory_List_Table34111510911131718141619202122[[#This Row],[Q]]&lt;0.1, " ",Inventory_List_Table34111510911131718141619202122[[#This Row],[D CM ]]/2.54)</f>
        <v xml:space="preserve"> </v>
      </c>
      <c r="R12" s="30" t="str">
        <f>IF(Inventory_List_Table34111510911131718141619202122[[#This Row],[Q]]&lt;0.1, " ",Inventory_List_Table34111510911131718141619202122[[#This Row],[PRICE]]/$L$1)</f>
        <v xml:space="preserve"> </v>
      </c>
      <c r="S1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2" s="30" t="str">
        <f>IF(Inventory_List_Table34111510911131718141619202122[[#This Row],[Q]]&lt;0.1, " ",Inventory_List_Table34111510911131718141619202122[[#This Row],[AQ RND USD]]*1.4)</f>
        <v xml:space="preserve"> </v>
      </c>
      <c r="U1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2" s="30" t="str">
        <f>IF(Inventory_List_Table34111510911131718141619202122[[#This Row],[Q]]&lt;0.1, " ",Inventory_List_Table34111510911131718141619202122[[#This Row],[LND RND USD]]*12)</f>
        <v xml:space="preserve"> </v>
      </c>
      <c r="W12" s="30" t="str">
        <f>IF(Inventory_List_Table34111510911131718141619202122[[#This Row],[Q]]&lt;0.1, " ",Inventory_List_Table34111510911131718141619202122[[#This Row],[AQ USD]])</f>
        <v xml:space="preserve"> </v>
      </c>
      <c r="X1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2" s="30" t="str">
        <f>IF(Inventory_List_Table34111510911131718141619202122[[#This Row],[Q]]&lt;0.1, " ",Inventory_List_Table34111510911131718141619202122[[#This Row],[PRICE]]/Z12*10000)</f>
        <v xml:space="preserve"> </v>
      </c>
      <c r="AB12" s="484"/>
      <c r="AC12" s="1"/>
      <c r="AD12" s="1"/>
    </row>
    <row r="13" spans="1:30" ht="24" customHeight="1" x14ac:dyDescent="0.3">
      <c r="A13" s="480">
        <v>11</v>
      </c>
      <c r="B13" s="1"/>
      <c r="C13" s="478"/>
      <c r="D13" s="478"/>
      <c r="E13" s="478"/>
      <c r="F13" s="38" t="str">
        <f>IF(Inventory_List_Table34111510911131718141619202122[[#This Row],[Q]]&lt;0.1, " ",#REF!&amp;$D$1&amp;#REF!&amp;Inventory_List_Table34111510911131718141619202122[[#This Row],[NOTES]])</f>
        <v xml:space="preserve"> </v>
      </c>
      <c r="G13" s="481"/>
      <c r="H13" s="481"/>
      <c r="I13" s="481"/>
      <c r="J13" s="481"/>
      <c r="K13" s="481"/>
      <c r="L13" s="483"/>
      <c r="M1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3" s="35" t="str">
        <f>IF(Inventory_List_Table34111510911131718141619202122[[#This Row],[Q]]&lt;0.1, " ", Inventory_List_Table34111510911131718141619202122[[#This Row],[KG]]*2.20462)</f>
        <v xml:space="preserve"> </v>
      </c>
      <c r="O13" s="35" t="str">
        <f>IF(Inventory_List_Table34111510911131718141619202122[[#This Row],[Q]]&lt;0.1, " ",Inventory_List_Table34111510911131718141619202122[[#This Row],[H CM]]/2.54)</f>
        <v xml:space="preserve"> </v>
      </c>
      <c r="P13" s="35" t="str">
        <f>IF(Inventory_List_Table34111510911131718141619202122[[#This Row],[Q]]&lt;0.1, " ",Inventory_List_Table34111510911131718141619202122[[#This Row],[W CM]]/2.54)</f>
        <v xml:space="preserve"> </v>
      </c>
      <c r="Q13" s="35" t="str">
        <f>IF(Inventory_List_Table34111510911131718141619202122[[#This Row],[Q]]&lt;0.1, " ",Inventory_List_Table34111510911131718141619202122[[#This Row],[D CM ]]/2.54)</f>
        <v xml:space="preserve"> </v>
      </c>
      <c r="R13" s="30" t="str">
        <f>IF(Inventory_List_Table34111510911131718141619202122[[#This Row],[Q]]&lt;0.1, " ",Inventory_List_Table34111510911131718141619202122[[#This Row],[PRICE]]/$L$1)</f>
        <v xml:space="preserve"> </v>
      </c>
      <c r="S1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3" s="30" t="str">
        <f>IF(Inventory_List_Table34111510911131718141619202122[[#This Row],[Q]]&lt;0.1, " ",Inventory_List_Table34111510911131718141619202122[[#This Row],[AQ RND USD]]*1.4)</f>
        <v xml:space="preserve"> </v>
      </c>
      <c r="U1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3" s="30" t="str">
        <f>IF(Inventory_List_Table34111510911131718141619202122[[#This Row],[Q]]&lt;0.1, " ",Inventory_List_Table34111510911131718141619202122[[#This Row],[LND RND USD]]*12)</f>
        <v xml:space="preserve"> </v>
      </c>
      <c r="W13" s="30" t="str">
        <f>IF(Inventory_List_Table34111510911131718141619202122[[#This Row],[Q]]&lt;0.1, " ",Inventory_List_Table34111510911131718141619202122[[#This Row],[AQ USD]])</f>
        <v xml:space="preserve"> </v>
      </c>
      <c r="X1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3" s="30" t="str">
        <f>IF(Inventory_List_Table34111510911131718141619202122[[#This Row],[Q]]&lt;0.1, " ",Inventory_List_Table34111510911131718141619202122[[#This Row],[PRICE]]/Z13*10000)</f>
        <v xml:space="preserve"> </v>
      </c>
      <c r="AB13" s="484"/>
      <c r="AC13" s="1"/>
      <c r="AD13" s="1"/>
    </row>
    <row r="14" spans="1:30" ht="24" customHeight="1" x14ac:dyDescent="0.3">
      <c r="A14" s="480">
        <v>12</v>
      </c>
      <c r="B14" s="1"/>
      <c r="C14" s="478"/>
      <c r="D14" s="478"/>
      <c r="E14" s="478"/>
      <c r="F14" s="38" t="str">
        <f>IF(Inventory_List_Table34111510911131718141619202122[[#This Row],[Q]]&lt;0.1, " ",#REF!&amp;$D$1&amp;#REF!&amp;Inventory_List_Table34111510911131718141619202122[[#This Row],[NOTES]])</f>
        <v xml:space="preserve"> </v>
      </c>
      <c r="G14" s="481"/>
      <c r="H14" s="481"/>
      <c r="I14" s="481"/>
      <c r="J14" s="481"/>
      <c r="K14" s="481"/>
      <c r="L14" s="483"/>
      <c r="M1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4" s="35" t="str">
        <f>IF(Inventory_List_Table34111510911131718141619202122[[#This Row],[Q]]&lt;0.1, " ", Inventory_List_Table34111510911131718141619202122[[#This Row],[KG]]*2.20462)</f>
        <v xml:space="preserve"> </v>
      </c>
      <c r="O14" s="35" t="str">
        <f>IF(Inventory_List_Table34111510911131718141619202122[[#This Row],[Q]]&lt;0.1, " ",Inventory_List_Table34111510911131718141619202122[[#This Row],[H CM]]/2.54)</f>
        <v xml:space="preserve"> </v>
      </c>
      <c r="P14" s="35" t="str">
        <f>IF(Inventory_List_Table34111510911131718141619202122[[#This Row],[Q]]&lt;0.1, " ",Inventory_List_Table34111510911131718141619202122[[#This Row],[W CM]]/2.54)</f>
        <v xml:space="preserve"> </v>
      </c>
      <c r="Q14" s="35" t="str">
        <f>IF(Inventory_List_Table34111510911131718141619202122[[#This Row],[Q]]&lt;0.1, " ",Inventory_List_Table34111510911131718141619202122[[#This Row],[D CM ]]/2.54)</f>
        <v xml:space="preserve"> </v>
      </c>
      <c r="R14" s="30" t="str">
        <f>IF(Inventory_List_Table34111510911131718141619202122[[#This Row],[Q]]&lt;0.1, " ",Inventory_List_Table34111510911131718141619202122[[#This Row],[PRICE]]/$L$1)</f>
        <v xml:space="preserve"> </v>
      </c>
      <c r="S1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4" s="30" t="str">
        <f>IF(Inventory_List_Table34111510911131718141619202122[[#This Row],[Q]]&lt;0.1, " ",Inventory_List_Table34111510911131718141619202122[[#This Row],[AQ RND USD]]*1.4)</f>
        <v xml:space="preserve"> </v>
      </c>
      <c r="U1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4" s="30" t="str">
        <f>IF(Inventory_List_Table34111510911131718141619202122[[#This Row],[Q]]&lt;0.1, " ",Inventory_List_Table34111510911131718141619202122[[#This Row],[LND RND USD]]*12)</f>
        <v xml:space="preserve"> </v>
      </c>
      <c r="W14" s="30" t="str">
        <f>IF(Inventory_List_Table34111510911131718141619202122[[#This Row],[Q]]&lt;0.1, " ",Inventory_List_Table34111510911131718141619202122[[#This Row],[AQ USD]])</f>
        <v xml:space="preserve"> </v>
      </c>
      <c r="X1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4" s="30" t="str">
        <f>IF(Inventory_List_Table34111510911131718141619202122[[#This Row],[Q]]&lt;0.1, " ",Inventory_List_Table34111510911131718141619202122[[#This Row],[PRICE]]/Z14*10000)</f>
        <v xml:space="preserve"> </v>
      </c>
      <c r="AB14" s="484"/>
      <c r="AC14" s="1"/>
      <c r="AD14" s="1"/>
    </row>
    <row r="15" spans="1:30" ht="24" customHeight="1" x14ac:dyDescent="0.3">
      <c r="A15" s="480">
        <v>13</v>
      </c>
      <c r="B15" s="1"/>
      <c r="C15" s="478"/>
      <c r="D15" s="478"/>
      <c r="E15" s="478"/>
      <c r="F15" s="38" t="str">
        <f>IF(Inventory_List_Table34111510911131718141619202122[[#This Row],[Q]]&lt;0.1, " ",#REF!&amp;$D$1&amp;#REF!&amp;Inventory_List_Table34111510911131718141619202122[[#This Row],[NOTES]])</f>
        <v xml:space="preserve"> </v>
      </c>
      <c r="G15" s="481"/>
      <c r="H15" s="481"/>
      <c r="I15" s="481"/>
      <c r="J15" s="481"/>
      <c r="K15" s="481"/>
      <c r="L15" s="483"/>
      <c r="M1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5" s="35" t="str">
        <f>IF(Inventory_List_Table34111510911131718141619202122[[#This Row],[Q]]&lt;0.1, " ", Inventory_List_Table34111510911131718141619202122[[#This Row],[KG]]*2.20462)</f>
        <v xml:space="preserve"> </v>
      </c>
      <c r="O15" s="35" t="str">
        <f>IF(Inventory_List_Table34111510911131718141619202122[[#This Row],[Q]]&lt;0.1, " ",Inventory_List_Table34111510911131718141619202122[[#This Row],[H CM]]/2.54)</f>
        <v xml:space="preserve"> </v>
      </c>
      <c r="P15" s="35" t="str">
        <f>IF(Inventory_List_Table34111510911131718141619202122[[#This Row],[Q]]&lt;0.1, " ",Inventory_List_Table34111510911131718141619202122[[#This Row],[W CM]]/2.54)</f>
        <v xml:space="preserve"> </v>
      </c>
      <c r="Q15" s="35" t="str">
        <f>IF(Inventory_List_Table34111510911131718141619202122[[#This Row],[Q]]&lt;0.1, " ",Inventory_List_Table34111510911131718141619202122[[#This Row],[D CM ]]/2.54)</f>
        <v xml:space="preserve"> </v>
      </c>
      <c r="R15" s="30" t="str">
        <f>IF(Inventory_List_Table34111510911131718141619202122[[#This Row],[Q]]&lt;0.1, " ",Inventory_List_Table34111510911131718141619202122[[#This Row],[PRICE]]/$L$1)</f>
        <v xml:space="preserve"> </v>
      </c>
      <c r="S1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5" s="30" t="str">
        <f>IF(Inventory_List_Table34111510911131718141619202122[[#This Row],[Q]]&lt;0.1, " ",Inventory_List_Table34111510911131718141619202122[[#This Row],[AQ RND USD]]*1.4)</f>
        <v xml:space="preserve"> </v>
      </c>
      <c r="U1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5" s="30" t="str">
        <f>IF(Inventory_List_Table34111510911131718141619202122[[#This Row],[Q]]&lt;0.1, " ",Inventory_List_Table34111510911131718141619202122[[#This Row],[LND RND USD]]*12)</f>
        <v xml:space="preserve"> </v>
      </c>
      <c r="W15" s="30" t="str">
        <f>IF(Inventory_List_Table34111510911131718141619202122[[#This Row],[Q]]&lt;0.1, " ",Inventory_List_Table34111510911131718141619202122[[#This Row],[AQ USD]])</f>
        <v xml:space="preserve"> </v>
      </c>
      <c r="X1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5" s="30" t="str">
        <f>IF(Inventory_List_Table34111510911131718141619202122[[#This Row],[Q]]&lt;0.1, " ",Inventory_List_Table34111510911131718141619202122[[#This Row],[PRICE]]/Z15*10000)</f>
        <v xml:space="preserve"> </v>
      </c>
      <c r="AB15" s="484"/>
      <c r="AC15" s="1"/>
      <c r="AD15" s="1"/>
    </row>
    <row r="16" spans="1:30" ht="24" customHeight="1" x14ac:dyDescent="0.3">
      <c r="A16" s="480">
        <v>14</v>
      </c>
      <c r="B16" s="1"/>
      <c r="C16" s="478"/>
      <c r="D16" s="478"/>
      <c r="E16" s="478"/>
      <c r="F16" s="38" t="str">
        <f>IF(Inventory_List_Table34111510911131718141619202122[[#This Row],[Q]]&lt;0.1, " ",#REF!&amp;$D$1&amp;#REF!&amp;Inventory_List_Table34111510911131718141619202122[[#This Row],[NOTES]])</f>
        <v xml:space="preserve"> </v>
      </c>
      <c r="G16" s="481"/>
      <c r="H16" s="481"/>
      <c r="I16" s="481"/>
      <c r="J16" s="481"/>
      <c r="K16" s="481"/>
      <c r="L16" s="483"/>
      <c r="M1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6" s="35" t="str">
        <f>IF(Inventory_List_Table34111510911131718141619202122[[#This Row],[Q]]&lt;0.1, " ", Inventory_List_Table34111510911131718141619202122[[#This Row],[KG]]*2.20462)</f>
        <v xml:space="preserve"> </v>
      </c>
      <c r="O16" s="35" t="str">
        <f>IF(Inventory_List_Table34111510911131718141619202122[[#This Row],[Q]]&lt;0.1, " ",Inventory_List_Table34111510911131718141619202122[[#This Row],[H CM]]/2.54)</f>
        <v xml:space="preserve"> </v>
      </c>
      <c r="P16" s="35" t="str">
        <f>IF(Inventory_List_Table34111510911131718141619202122[[#This Row],[Q]]&lt;0.1, " ",Inventory_List_Table34111510911131718141619202122[[#This Row],[W CM]]/2.54)</f>
        <v xml:space="preserve"> </v>
      </c>
      <c r="Q16" s="35" t="str">
        <f>IF(Inventory_List_Table34111510911131718141619202122[[#This Row],[Q]]&lt;0.1, " ",Inventory_List_Table34111510911131718141619202122[[#This Row],[D CM ]]/2.54)</f>
        <v xml:space="preserve"> </v>
      </c>
      <c r="R16" s="30" t="str">
        <f>IF(Inventory_List_Table34111510911131718141619202122[[#This Row],[Q]]&lt;0.1, " ",Inventory_List_Table34111510911131718141619202122[[#This Row],[PRICE]]/$L$1)</f>
        <v xml:space="preserve"> </v>
      </c>
      <c r="S1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6" s="30" t="str">
        <f>IF(Inventory_List_Table34111510911131718141619202122[[#This Row],[Q]]&lt;0.1, " ",Inventory_List_Table34111510911131718141619202122[[#This Row],[AQ RND USD]]*1.4)</f>
        <v xml:space="preserve"> </v>
      </c>
      <c r="U1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6" s="30" t="str">
        <f>IF(Inventory_List_Table34111510911131718141619202122[[#This Row],[Q]]&lt;0.1, " ",Inventory_List_Table34111510911131718141619202122[[#This Row],[LND RND USD]]*12)</f>
        <v xml:space="preserve"> </v>
      </c>
      <c r="W16" s="30" t="str">
        <f>IF(Inventory_List_Table34111510911131718141619202122[[#This Row],[Q]]&lt;0.1, " ",Inventory_List_Table34111510911131718141619202122[[#This Row],[AQ USD]])</f>
        <v xml:space="preserve"> </v>
      </c>
      <c r="X1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6" s="30" t="str">
        <f>IF(Inventory_List_Table34111510911131718141619202122[[#This Row],[Q]]&lt;0.1, " ",Inventory_List_Table34111510911131718141619202122[[#This Row],[PRICE]]/Z16*10000)</f>
        <v xml:space="preserve"> </v>
      </c>
      <c r="AB16" s="484"/>
      <c r="AC16" s="1"/>
      <c r="AD16" s="1"/>
    </row>
    <row r="17" spans="1:30" ht="24" customHeight="1" x14ac:dyDescent="0.3">
      <c r="A17" s="480">
        <v>15</v>
      </c>
      <c r="B17" s="1"/>
      <c r="C17" s="478"/>
      <c r="D17" s="478"/>
      <c r="E17" s="478"/>
      <c r="F17" s="38" t="str">
        <f>IF(Inventory_List_Table34111510911131718141619202122[[#This Row],[Q]]&lt;0.1, " ",#REF!&amp;$D$1&amp;#REF!&amp;Inventory_List_Table34111510911131718141619202122[[#This Row],[NOTES]])</f>
        <v xml:space="preserve"> </v>
      </c>
      <c r="G17" s="481"/>
      <c r="H17" s="481"/>
      <c r="I17" s="481"/>
      <c r="J17" s="481"/>
      <c r="K17" s="481"/>
      <c r="L17" s="483"/>
      <c r="M1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7" s="35" t="str">
        <f>IF(Inventory_List_Table34111510911131718141619202122[[#This Row],[Q]]&lt;0.1, " ", Inventory_List_Table34111510911131718141619202122[[#This Row],[KG]]*2.20462)</f>
        <v xml:space="preserve"> </v>
      </c>
      <c r="O17" s="35" t="str">
        <f>IF(Inventory_List_Table34111510911131718141619202122[[#This Row],[Q]]&lt;0.1, " ",Inventory_List_Table34111510911131718141619202122[[#This Row],[H CM]]/2.54)</f>
        <v xml:space="preserve"> </v>
      </c>
      <c r="P17" s="35" t="str">
        <f>IF(Inventory_List_Table34111510911131718141619202122[[#This Row],[Q]]&lt;0.1, " ",Inventory_List_Table34111510911131718141619202122[[#This Row],[W CM]]/2.54)</f>
        <v xml:space="preserve"> </v>
      </c>
      <c r="Q17" s="35" t="str">
        <f>IF(Inventory_List_Table34111510911131718141619202122[[#This Row],[Q]]&lt;0.1, " ",Inventory_List_Table34111510911131718141619202122[[#This Row],[D CM ]]/2.54)</f>
        <v xml:space="preserve"> </v>
      </c>
      <c r="R17" s="30" t="str">
        <f>IF(Inventory_List_Table34111510911131718141619202122[[#This Row],[Q]]&lt;0.1, " ",Inventory_List_Table34111510911131718141619202122[[#This Row],[PRICE]]/$L$1)</f>
        <v xml:space="preserve"> </v>
      </c>
      <c r="S1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7" s="30" t="str">
        <f>IF(Inventory_List_Table34111510911131718141619202122[[#This Row],[Q]]&lt;0.1, " ",Inventory_List_Table34111510911131718141619202122[[#This Row],[AQ RND USD]]*1.4)</f>
        <v xml:space="preserve"> </v>
      </c>
      <c r="U1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7" s="30" t="str">
        <f>IF(Inventory_List_Table34111510911131718141619202122[[#This Row],[Q]]&lt;0.1, " ",Inventory_List_Table34111510911131718141619202122[[#This Row],[LND RND USD]]*12)</f>
        <v xml:space="preserve"> </v>
      </c>
      <c r="W17" s="30" t="str">
        <f>IF(Inventory_List_Table34111510911131718141619202122[[#This Row],[Q]]&lt;0.1, " ",Inventory_List_Table34111510911131718141619202122[[#This Row],[AQ USD]])</f>
        <v xml:space="preserve"> </v>
      </c>
      <c r="X1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7" s="30" t="str">
        <f>IF(Inventory_List_Table34111510911131718141619202122[[#This Row],[Q]]&lt;0.1, " ",Inventory_List_Table34111510911131718141619202122[[#This Row],[PRICE]]/Z17*10000)</f>
        <v xml:space="preserve"> </v>
      </c>
      <c r="AB17" s="484"/>
      <c r="AC17" s="1"/>
      <c r="AD17" s="1"/>
    </row>
    <row r="18" spans="1:30" ht="24" customHeight="1" x14ac:dyDescent="0.3">
      <c r="A18" s="480">
        <v>16</v>
      </c>
      <c r="B18" s="1"/>
      <c r="C18" s="478"/>
      <c r="D18" s="478"/>
      <c r="E18" s="478"/>
      <c r="F18" s="38" t="str">
        <f>IF(Inventory_List_Table34111510911131718141619202122[[#This Row],[Q]]&lt;0.1, " ",#REF!&amp;$D$1&amp;#REF!&amp;Inventory_List_Table34111510911131718141619202122[[#This Row],[NOTES]])</f>
        <v xml:space="preserve"> </v>
      </c>
      <c r="G18" s="481"/>
      <c r="H18" s="481"/>
      <c r="I18" s="481"/>
      <c r="J18" s="481"/>
      <c r="K18" s="481"/>
      <c r="L18" s="483"/>
      <c r="M1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8" s="35" t="str">
        <f>IF(Inventory_List_Table34111510911131718141619202122[[#This Row],[Q]]&lt;0.1, " ", Inventory_List_Table34111510911131718141619202122[[#This Row],[KG]]*2.20462)</f>
        <v xml:space="preserve"> </v>
      </c>
      <c r="O18" s="35" t="str">
        <f>IF(Inventory_List_Table34111510911131718141619202122[[#This Row],[Q]]&lt;0.1, " ",Inventory_List_Table34111510911131718141619202122[[#This Row],[H CM]]/2.54)</f>
        <v xml:space="preserve"> </v>
      </c>
      <c r="P18" s="35" t="str">
        <f>IF(Inventory_List_Table34111510911131718141619202122[[#This Row],[Q]]&lt;0.1, " ",Inventory_List_Table34111510911131718141619202122[[#This Row],[W CM]]/2.54)</f>
        <v xml:space="preserve"> </v>
      </c>
      <c r="Q18" s="35" t="str">
        <f>IF(Inventory_List_Table34111510911131718141619202122[[#This Row],[Q]]&lt;0.1, " ",Inventory_List_Table34111510911131718141619202122[[#This Row],[D CM ]]/2.54)</f>
        <v xml:space="preserve"> </v>
      </c>
      <c r="R18" s="30" t="str">
        <f>IF(Inventory_List_Table34111510911131718141619202122[[#This Row],[Q]]&lt;0.1, " ",Inventory_List_Table34111510911131718141619202122[[#This Row],[PRICE]]/$L$1)</f>
        <v xml:space="preserve"> </v>
      </c>
      <c r="S1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8" s="30" t="str">
        <f>IF(Inventory_List_Table34111510911131718141619202122[[#This Row],[Q]]&lt;0.1, " ",Inventory_List_Table34111510911131718141619202122[[#This Row],[AQ RND USD]]*1.4)</f>
        <v xml:space="preserve"> </v>
      </c>
      <c r="U1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8" s="30" t="str">
        <f>IF(Inventory_List_Table34111510911131718141619202122[[#This Row],[Q]]&lt;0.1, " ",Inventory_List_Table34111510911131718141619202122[[#This Row],[LND RND USD]]*12)</f>
        <v xml:space="preserve"> </v>
      </c>
      <c r="W18" s="30" t="str">
        <f>IF(Inventory_List_Table34111510911131718141619202122[[#This Row],[Q]]&lt;0.1, " ",Inventory_List_Table34111510911131718141619202122[[#This Row],[AQ USD]])</f>
        <v xml:space="preserve"> </v>
      </c>
      <c r="X1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8" s="30" t="str">
        <f>IF(Inventory_List_Table34111510911131718141619202122[[#This Row],[Q]]&lt;0.1, " ",Inventory_List_Table34111510911131718141619202122[[#This Row],[PRICE]]/Z18*10000)</f>
        <v xml:space="preserve"> </v>
      </c>
      <c r="AB18" s="484"/>
      <c r="AC18" s="1"/>
      <c r="AD18" s="1"/>
    </row>
    <row r="19" spans="1:30" ht="24" customHeight="1" x14ac:dyDescent="0.3">
      <c r="A19" s="480">
        <v>17</v>
      </c>
      <c r="B19" s="1"/>
      <c r="C19" s="478"/>
      <c r="D19" s="478"/>
      <c r="E19" s="478"/>
      <c r="F19" s="38" t="str">
        <f>IF(Inventory_List_Table34111510911131718141619202122[[#This Row],[Q]]&lt;0.1, " ",#REF!&amp;$D$1&amp;#REF!&amp;Inventory_List_Table34111510911131718141619202122[[#This Row],[NOTES]])</f>
        <v xml:space="preserve"> </v>
      </c>
      <c r="G19" s="481"/>
      <c r="H19" s="481"/>
      <c r="I19" s="481"/>
      <c r="J19" s="481"/>
      <c r="K19" s="481"/>
      <c r="L19" s="483"/>
      <c r="M1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9" s="35" t="str">
        <f>IF(Inventory_List_Table34111510911131718141619202122[[#This Row],[Q]]&lt;0.1, " ", Inventory_List_Table34111510911131718141619202122[[#This Row],[KG]]*2.20462)</f>
        <v xml:space="preserve"> </v>
      </c>
      <c r="O19" s="35" t="str">
        <f>IF(Inventory_List_Table34111510911131718141619202122[[#This Row],[Q]]&lt;0.1, " ",Inventory_List_Table34111510911131718141619202122[[#This Row],[H CM]]/2.54)</f>
        <v xml:space="preserve"> </v>
      </c>
      <c r="P19" s="35" t="str">
        <f>IF(Inventory_List_Table34111510911131718141619202122[[#This Row],[Q]]&lt;0.1, " ",Inventory_List_Table34111510911131718141619202122[[#This Row],[W CM]]/2.54)</f>
        <v xml:space="preserve"> </v>
      </c>
      <c r="Q19" s="35" t="str">
        <f>IF(Inventory_List_Table34111510911131718141619202122[[#This Row],[Q]]&lt;0.1, " ",Inventory_List_Table34111510911131718141619202122[[#This Row],[D CM ]]/2.54)</f>
        <v xml:space="preserve"> </v>
      </c>
      <c r="R19" s="30" t="str">
        <f>IF(Inventory_List_Table34111510911131718141619202122[[#This Row],[Q]]&lt;0.1, " ",Inventory_List_Table34111510911131718141619202122[[#This Row],[PRICE]]/$L$1)</f>
        <v xml:space="preserve"> </v>
      </c>
      <c r="S1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9" s="30" t="str">
        <f>IF(Inventory_List_Table34111510911131718141619202122[[#This Row],[Q]]&lt;0.1, " ",Inventory_List_Table34111510911131718141619202122[[#This Row],[AQ RND USD]]*1.4)</f>
        <v xml:space="preserve"> </v>
      </c>
      <c r="U1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9" s="30" t="str">
        <f>IF(Inventory_List_Table34111510911131718141619202122[[#This Row],[Q]]&lt;0.1, " ",Inventory_List_Table34111510911131718141619202122[[#This Row],[LND RND USD]]*12)</f>
        <v xml:space="preserve"> </v>
      </c>
      <c r="W19" s="30" t="str">
        <f>IF(Inventory_List_Table34111510911131718141619202122[[#This Row],[Q]]&lt;0.1, " ",Inventory_List_Table34111510911131718141619202122[[#This Row],[AQ USD]])</f>
        <v xml:space="preserve"> </v>
      </c>
      <c r="X1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9" s="30" t="str">
        <f>IF(Inventory_List_Table34111510911131718141619202122[[#This Row],[Q]]&lt;0.1, " ",Inventory_List_Table34111510911131718141619202122[[#This Row],[PRICE]]/Z19*10000)</f>
        <v xml:space="preserve"> </v>
      </c>
      <c r="AB19" s="484"/>
      <c r="AC19" s="1"/>
      <c r="AD19" s="1"/>
    </row>
    <row r="20" spans="1:30" ht="24" customHeight="1" x14ac:dyDescent="0.3">
      <c r="A20" s="480">
        <v>18</v>
      </c>
      <c r="B20" s="1"/>
      <c r="C20" s="478"/>
      <c r="D20" s="478"/>
      <c r="E20" s="478"/>
      <c r="F20" s="38" t="str">
        <f>IF(Inventory_List_Table34111510911131718141619202122[[#This Row],[Q]]&lt;0.1, " ",#REF!&amp;$D$1&amp;#REF!&amp;Inventory_List_Table34111510911131718141619202122[[#This Row],[NOTES]])</f>
        <v xml:space="preserve"> </v>
      </c>
      <c r="G20" s="481"/>
      <c r="H20" s="481"/>
      <c r="I20" s="481"/>
      <c r="J20" s="481"/>
      <c r="K20" s="481"/>
      <c r="L20" s="483"/>
      <c r="M2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0" s="35" t="str">
        <f>IF(Inventory_List_Table34111510911131718141619202122[[#This Row],[Q]]&lt;0.1, " ", Inventory_List_Table34111510911131718141619202122[[#This Row],[KG]]*2.20462)</f>
        <v xml:space="preserve"> </v>
      </c>
      <c r="O20" s="35" t="str">
        <f>IF(Inventory_List_Table34111510911131718141619202122[[#This Row],[Q]]&lt;0.1, " ",Inventory_List_Table34111510911131718141619202122[[#This Row],[H CM]]/2.54)</f>
        <v xml:space="preserve"> </v>
      </c>
      <c r="P20" s="35" t="str">
        <f>IF(Inventory_List_Table34111510911131718141619202122[[#This Row],[Q]]&lt;0.1, " ",Inventory_List_Table34111510911131718141619202122[[#This Row],[W CM]]/2.54)</f>
        <v xml:space="preserve"> </v>
      </c>
      <c r="Q20" s="35" t="str">
        <f>IF(Inventory_List_Table34111510911131718141619202122[[#This Row],[Q]]&lt;0.1, " ",Inventory_List_Table34111510911131718141619202122[[#This Row],[D CM ]]/2.54)</f>
        <v xml:space="preserve"> </v>
      </c>
      <c r="R20" s="30" t="str">
        <f>IF(Inventory_List_Table34111510911131718141619202122[[#This Row],[Q]]&lt;0.1, " ",Inventory_List_Table34111510911131718141619202122[[#This Row],[PRICE]]/$L$1)</f>
        <v xml:space="preserve"> </v>
      </c>
      <c r="S2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0" s="30" t="str">
        <f>IF(Inventory_List_Table34111510911131718141619202122[[#This Row],[Q]]&lt;0.1, " ",Inventory_List_Table34111510911131718141619202122[[#This Row],[AQ RND USD]]*1.4)</f>
        <v xml:space="preserve"> </v>
      </c>
      <c r="U2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0" s="30" t="str">
        <f>IF(Inventory_List_Table34111510911131718141619202122[[#This Row],[Q]]&lt;0.1, " ",Inventory_List_Table34111510911131718141619202122[[#This Row],[LND RND USD]]*12)</f>
        <v xml:space="preserve"> </v>
      </c>
      <c r="W20" s="30" t="str">
        <f>IF(Inventory_List_Table34111510911131718141619202122[[#This Row],[Q]]&lt;0.1, " ",Inventory_List_Table34111510911131718141619202122[[#This Row],[AQ USD]])</f>
        <v xml:space="preserve"> </v>
      </c>
      <c r="X2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0" s="30" t="str">
        <f>IF(Inventory_List_Table34111510911131718141619202122[[#This Row],[Q]]&lt;0.1, " ",Inventory_List_Table34111510911131718141619202122[[#This Row],[PRICE]]/Z20*10000)</f>
        <v xml:space="preserve"> </v>
      </c>
      <c r="AB20" s="484"/>
      <c r="AC20" s="1"/>
      <c r="AD20" s="1"/>
    </row>
    <row r="21" spans="1:30" ht="24" customHeight="1" x14ac:dyDescent="0.3">
      <c r="A21" s="480">
        <v>19</v>
      </c>
      <c r="B21" s="1"/>
      <c r="C21" s="478"/>
      <c r="D21" s="478"/>
      <c r="E21" s="478"/>
      <c r="F21" s="38" t="str">
        <f>IF(Inventory_List_Table34111510911131718141619202122[[#This Row],[Q]]&lt;0.1, " ",#REF!&amp;$D$1&amp;#REF!&amp;Inventory_List_Table34111510911131718141619202122[[#This Row],[NOTES]])</f>
        <v xml:space="preserve"> </v>
      </c>
      <c r="G21" s="481"/>
      <c r="H21" s="481"/>
      <c r="I21" s="481"/>
      <c r="J21" s="481"/>
      <c r="K21" s="481"/>
      <c r="L21" s="483"/>
      <c r="M2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1" s="35" t="str">
        <f>IF(Inventory_List_Table34111510911131718141619202122[[#This Row],[Q]]&lt;0.1, " ", Inventory_List_Table34111510911131718141619202122[[#This Row],[KG]]*2.20462)</f>
        <v xml:space="preserve"> </v>
      </c>
      <c r="O21" s="35" t="str">
        <f>IF(Inventory_List_Table34111510911131718141619202122[[#This Row],[Q]]&lt;0.1, " ",Inventory_List_Table34111510911131718141619202122[[#This Row],[H CM]]/2.54)</f>
        <v xml:space="preserve"> </v>
      </c>
      <c r="P21" s="35" t="str">
        <f>IF(Inventory_List_Table34111510911131718141619202122[[#This Row],[Q]]&lt;0.1, " ",Inventory_List_Table34111510911131718141619202122[[#This Row],[W CM]]/2.54)</f>
        <v xml:space="preserve"> </v>
      </c>
      <c r="Q21" s="35" t="str">
        <f>IF(Inventory_List_Table34111510911131718141619202122[[#This Row],[Q]]&lt;0.1, " ",Inventory_List_Table34111510911131718141619202122[[#This Row],[D CM ]]/2.54)</f>
        <v xml:space="preserve"> </v>
      </c>
      <c r="R21" s="30" t="str">
        <f>IF(Inventory_List_Table34111510911131718141619202122[[#This Row],[Q]]&lt;0.1, " ",Inventory_List_Table34111510911131718141619202122[[#This Row],[PRICE]]/$L$1)</f>
        <v xml:space="preserve"> </v>
      </c>
      <c r="S2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1" s="30" t="str">
        <f>IF(Inventory_List_Table34111510911131718141619202122[[#This Row],[Q]]&lt;0.1, " ",Inventory_List_Table34111510911131718141619202122[[#This Row],[AQ RND USD]]*1.4)</f>
        <v xml:space="preserve"> </v>
      </c>
      <c r="U2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1" s="30" t="str">
        <f>IF(Inventory_List_Table34111510911131718141619202122[[#This Row],[Q]]&lt;0.1, " ",Inventory_List_Table34111510911131718141619202122[[#This Row],[LND RND USD]]*12)</f>
        <v xml:space="preserve"> </v>
      </c>
      <c r="W21" s="30" t="str">
        <f>IF(Inventory_List_Table34111510911131718141619202122[[#This Row],[Q]]&lt;0.1, " ",Inventory_List_Table34111510911131718141619202122[[#This Row],[AQ USD]])</f>
        <v xml:space="preserve"> </v>
      </c>
      <c r="X2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1" s="30" t="str">
        <f>IF(Inventory_List_Table34111510911131718141619202122[[#This Row],[Q]]&lt;0.1, " ",Inventory_List_Table34111510911131718141619202122[[#This Row],[PRICE]]/Z21*10000)</f>
        <v xml:space="preserve"> </v>
      </c>
      <c r="AB21" s="484"/>
      <c r="AC21" s="1"/>
      <c r="AD21" s="1"/>
    </row>
    <row r="22" spans="1:30" ht="24" customHeight="1" x14ac:dyDescent="0.3">
      <c r="A22" s="480">
        <v>20</v>
      </c>
      <c r="B22" s="1"/>
      <c r="C22" s="478"/>
      <c r="D22" s="478"/>
      <c r="E22" s="478"/>
      <c r="F22" s="38" t="str">
        <f>IF(Inventory_List_Table34111510911131718141619202122[[#This Row],[Q]]&lt;0.1, " ",#REF!&amp;$D$1&amp;#REF!&amp;Inventory_List_Table34111510911131718141619202122[[#This Row],[NOTES]])</f>
        <v xml:space="preserve"> </v>
      </c>
      <c r="G22" s="481"/>
      <c r="H22" s="481"/>
      <c r="I22" s="481"/>
      <c r="J22" s="481"/>
      <c r="K22" s="481"/>
      <c r="L22" s="483"/>
      <c r="M2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2" s="35" t="str">
        <f>IF(Inventory_List_Table34111510911131718141619202122[[#This Row],[Q]]&lt;0.1, " ", Inventory_List_Table34111510911131718141619202122[[#This Row],[KG]]*2.20462)</f>
        <v xml:space="preserve"> </v>
      </c>
      <c r="O22" s="35" t="str">
        <f>IF(Inventory_List_Table34111510911131718141619202122[[#This Row],[Q]]&lt;0.1, " ",Inventory_List_Table34111510911131718141619202122[[#This Row],[H CM]]/2.54)</f>
        <v xml:space="preserve"> </v>
      </c>
      <c r="P22" s="35" t="str">
        <f>IF(Inventory_List_Table34111510911131718141619202122[[#This Row],[Q]]&lt;0.1, " ",Inventory_List_Table34111510911131718141619202122[[#This Row],[W CM]]/2.54)</f>
        <v xml:space="preserve"> </v>
      </c>
      <c r="Q22" s="35" t="str">
        <f>IF(Inventory_List_Table34111510911131718141619202122[[#This Row],[Q]]&lt;0.1, " ",Inventory_List_Table34111510911131718141619202122[[#This Row],[D CM ]]/2.54)</f>
        <v xml:space="preserve"> </v>
      </c>
      <c r="R22" s="30" t="str">
        <f>IF(Inventory_List_Table34111510911131718141619202122[[#This Row],[Q]]&lt;0.1, " ",Inventory_List_Table34111510911131718141619202122[[#This Row],[PRICE]]/$L$1)</f>
        <v xml:space="preserve"> </v>
      </c>
      <c r="S2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2" s="30" t="str">
        <f>IF(Inventory_List_Table34111510911131718141619202122[[#This Row],[Q]]&lt;0.1, " ",Inventory_List_Table34111510911131718141619202122[[#This Row],[AQ RND USD]]*1.4)</f>
        <v xml:space="preserve"> </v>
      </c>
      <c r="U2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2" s="30" t="str">
        <f>IF(Inventory_List_Table34111510911131718141619202122[[#This Row],[Q]]&lt;0.1, " ",Inventory_List_Table34111510911131718141619202122[[#This Row],[LND RND USD]]*12)</f>
        <v xml:space="preserve"> </v>
      </c>
      <c r="W22" s="30" t="str">
        <f>IF(Inventory_List_Table34111510911131718141619202122[[#This Row],[Q]]&lt;0.1, " ",Inventory_List_Table34111510911131718141619202122[[#This Row],[AQ USD]])</f>
        <v xml:space="preserve"> </v>
      </c>
      <c r="X2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2" s="30" t="str">
        <f>IF(Inventory_List_Table34111510911131718141619202122[[#This Row],[Q]]&lt;0.1, " ",Inventory_List_Table34111510911131718141619202122[[#This Row],[PRICE]]/Z22*10000)</f>
        <v xml:space="preserve"> </v>
      </c>
      <c r="AB22" s="484"/>
      <c r="AC22" s="1"/>
      <c r="AD22" s="1"/>
    </row>
    <row r="23" spans="1:30" ht="24" customHeight="1" x14ac:dyDescent="0.3">
      <c r="A23" s="480">
        <v>21</v>
      </c>
      <c r="B23" s="1"/>
      <c r="C23" s="478"/>
      <c r="D23" s="478"/>
      <c r="E23" s="478"/>
      <c r="F23" s="38" t="str">
        <f>IF(Inventory_List_Table34111510911131718141619202122[[#This Row],[Q]]&lt;0.1, " ",#REF!&amp;$D$1&amp;#REF!&amp;Inventory_List_Table34111510911131718141619202122[[#This Row],[NOTES]])</f>
        <v xml:space="preserve"> </v>
      </c>
      <c r="G23" s="481"/>
      <c r="H23" s="481"/>
      <c r="I23" s="481"/>
      <c r="J23" s="481"/>
      <c r="K23" s="481"/>
      <c r="L23" s="483"/>
      <c r="M2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3" s="35" t="str">
        <f>IF(Inventory_List_Table34111510911131718141619202122[[#This Row],[Q]]&lt;0.1, " ", Inventory_List_Table34111510911131718141619202122[[#This Row],[KG]]*2.20462)</f>
        <v xml:space="preserve"> </v>
      </c>
      <c r="O23" s="35" t="str">
        <f>IF(Inventory_List_Table34111510911131718141619202122[[#This Row],[Q]]&lt;0.1, " ",Inventory_List_Table34111510911131718141619202122[[#This Row],[H CM]]/2.54)</f>
        <v xml:space="preserve"> </v>
      </c>
      <c r="P23" s="35" t="str">
        <f>IF(Inventory_List_Table34111510911131718141619202122[[#This Row],[Q]]&lt;0.1, " ",Inventory_List_Table34111510911131718141619202122[[#This Row],[W CM]]/2.54)</f>
        <v xml:space="preserve"> </v>
      </c>
      <c r="Q23" s="35" t="str">
        <f>IF(Inventory_List_Table34111510911131718141619202122[[#This Row],[Q]]&lt;0.1, " ",Inventory_List_Table34111510911131718141619202122[[#This Row],[D CM ]]/2.54)</f>
        <v xml:space="preserve"> </v>
      </c>
      <c r="R23" s="30" t="str">
        <f>IF(Inventory_List_Table34111510911131718141619202122[[#This Row],[Q]]&lt;0.1, " ",Inventory_List_Table34111510911131718141619202122[[#This Row],[PRICE]]/$L$1)</f>
        <v xml:space="preserve"> </v>
      </c>
      <c r="S2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3" s="30" t="str">
        <f>IF(Inventory_List_Table34111510911131718141619202122[[#This Row],[Q]]&lt;0.1, " ",Inventory_List_Table34111510911131718141619202122[[#This Row],[AQ RND USD]]*1.4)</f>
        <v xml:space="preserve"> </v>
      </c>
      <c r="U2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3" s="30" t="str">
        <f>IF(Inventory_List_Table34111510911131718141619202122[[#This Row],[Q]]&lt;0.1, " ",Inventory_List_Table34111510911131718141619202122[[#This Row],[LND RND USD]]*12)</f>
        <v xml:space="preserve"> </v>
      </c>
      <c r="W23" s="30" t="str">
        <f>IF(Inventory_List_Table34111510911131718141619202122[[#This Row],[Q]]&lt;0.1, " ",Inventory_List_Table34111510911131718141619202122[[#This Row],[AQ USD]])</f>
        <v xml:space="preserve"> </v>
      </c>
      <c r="X2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3" s="30" t="str">
        <f>IF(Inventory_List_Table34111510911131718141619202122[[#This Row],[Q]]&lt;0.1, " ",Inventory_List_Table34111510911131718141619202122[[#This Row],[PRICE]]/Z23*10000)</f>
        <v xml:space="preserve"> </v>
      </c>
      <c r="AB23" s="484"/>
      <c r="AC23" s="1"/>
      <c r="AD23" s="1"/>
    </row>
    <row r="24" spans="1:30" ht="24" customHeight="1" x14ac:dyDescent="0.3">
      <c r="A24" s="480">
        <v>22</v>
      </c>
      <c r="B24" s="1"/>
      <c r="C24" s="478"/>
      <c r="D24" s="478"/>
      <c r="E24" s="478"/>
      <c r="F24" s="38" t="str">
        <f>IF(Inventory_List_Table34111510911131718141619202122[[#This Row],[Q]]&lt;0.1, " ",#REF!&amp;$D$1&amp;#REF!&amp;Inventory_List_Table34111510911131718141619202122[[#This Row],[NOTES]])</f>
        <v xml:space="preserve"> </v>
      </c>
      <c r="G24" s="481"/>
      <c r="H24" s="481"/>
      <c r="I24" s="481"/>
      <c r="J24" s="481"/>
      <c r="K24" s="481"/>
      <c r="L24" s="483"/>
      <c r="M2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4" s="35" t="str">
        <f>IF(Inventory_List_Table34111510911131718141619202122[[#This Row],[Q]]&lt;0.1, " ", Inventory_List_Table34111510911131718141619202122[[#This Row],[KG]]*2.20462)</f>
        <v xml:space="preserve"> </v>
      </c>
      <c r="O24" s="35" t="str">
        <f>IF(Inventory_List_Table34111510911131718141619202122[[#This Row],[Q]]&lt;0.1, " ",Inventory_List_Table34111510911131718141619202122[[#This Row],[H CM]]/2.54)</f>
        <v xml:space="preserve"> </v>
      </c>
      <c r="P24" s="35" t="str">
        <f>IF(Inventory_List_Table34111510911131718141619202122[[#This Row],[Q]]&lt;0.1, " ",Inventory_List_Table34111510911131718141619202122[[#This Row],[W CM]]/2.54)</f>
        <v xml:space="preserve"> </v>
      </c>
      <c r="Q24" s="35" t="str">
        <f>IF(Inventory_List_Table34111510911131718141619202122[[#This Row],[Q]]&lt;0.1, " ",Inventory_List_Table34111510911131718141619202122[[#This Row],[D CM ]]/2.54)</f>
        <v xml:space="preserve"> </v>
      </c>
      <c r="R24" s="30" t="str">
        <f>IF(Inventory_List_Table34111510911131718141619202122[[#This Row],[Q]]&lt;0.1, " ",Inventory_List_Table34111510911131718141619202122[[#This Row],[PRICE]]/$L$1)</f>
        <v xml:space="preserve"> </v>
      </c>
      <c r="S2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4" s="30" t="str">
        <f>IF(Inventory_List_Table34111510911131718141619202122[[#This Row],[Q]]&lt;0.1, " ",Inventory_List_Table34111510911131718141619202122[[#This Row],[AQ RND USD]]*1.4)</f>
        <v xml:space="preserve"> </v>
      </c>
      <c r="U2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4" s="30" t="str">
        <f>IF(Inventory_List_Table34111510911131718141619202122[[#This Row],[Q]]&lt;0.1, " ",Inventory_List_Table34111510911131718141619202122[[#This Row],[LND RND USD]]*12)</f>
        <v xml:space="preserve"> </v>
      </c>
      <c r="W24" s="30" t="str">
        <f>IF(Inventory_List_Table34111510911131718141619202122[[#This Row],[Q]]&lt;0.1, " ",Inventory_List_Table34111510911131718141619202122[[#This Row],[AQ USD]])</f>
        <v xml:space="preserve"> </v>
      </c>
      <c r="X2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4" s="30" t="str">
        <f>IF(Inventory_List_Table34111510911131718141619202122[[#This Row],[Q]]&lt;0.1, " ",Inventory_List_Table34111510911131718141619202122[[#This Row],[PRICE]]/Z24*10000)</f>
        <v xml:space="preserve"> </v>
      </c>
      <c r="AB24" s="484"/>
      <c r="AC24" s="1"/>
      <c r="AD24" s="1"/>
    </row>
    <row r="25" spans="1:30" ht="24" customHeight="1" x14ac:dyDescent="0.3">
      <c r="A25" s="480">
        <v>23</v>
      </c>
      <c r="B25" s="1"/>
      <c r="C25" s="478"/>
      <c r="D25" s="478"/>
      <c r="E25" s="478"/>
      <c r="F25" s="38" t="str">
        <f>IF(Inventory_List_Table34111510911131718141619202122[[#This Row],[Q]]&lt;0.1, " ",#REF!&amp;$D$1&amp;#REF!&amp;Inventory_List_Table34111510911131718141619202122[[#This Row],[NOTES]])</f>
        <v xml:space="preserve"> </v>
      </c>
      <c r="G25" s="481"/>
      <c r="H25" s="481"/>
      <c r="I25" s="481"/>
      <c r="J25" s="481"/>
      <c r="K25" s="481"/>
      <c r="L25" s="483"/>
      <c r="M2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5" s="35" t="str">
        <f>IF(Inventory_List_Table34111510911131718141619202122[[#This Row],[Q]]&lt;0.1, " ", Inventory_List_Table34111510911131718141619202122[[#This Row],[KG]]*2.20462)</f>
        <v xml:space="preserve"> </v>
      </c>
      <c r="O25" s="35" t="str">
        <f>IF(Inventory_List_Table34111510911131718141619202122[[#This Row],[Q]]&lt;0.1, " ",Inventory_List_Table34111510911131718141619202122[[#This Row],[H CM]]/2.54)</f>
        <v xml:space="preserve"> </v>
      </c>
      <c r="P25" s="35" t="str">
        <f>IF(Inventory_List_Table34111510911131718141619202122[[#This Row],[Q]]&lt;0.1, " ",Inventory_List_Table34111510911131718141619202122[[#This Row],[W CM]]/2.54)</f>
        <v xml:space="preserve"> </v>
      </c>
      <c r="Q25" s="35" t="str">
        <f>IF(Inventory_List_Table34111510911131718141619202122[[#This Row],[Q]]&lt;0.1, " ",Inventory_List_Table34111510911131718141619202122[[#This Row],[D CM ]]/2.54)</f>
        <v xml:space="preserve"> </v>
      </c>
      <c r="R25" s="30" t="str">
        <f>IF(Inventory_List_Table34111510911131718141619202122[[#This Row],[Q]]&lt;0.1, " ",Inventory_List_Table34111510911131718141619202122[[#This Row],[PRICE]]/$L$1)</f>
        <v xml:space="preserve"> </v>
      </c>
      <c r="S2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5" s="30" t="str">
        <f>IF(Inventory_List_Table34111510911131718141619202122[[#This Row],[Q]]&lt;0.1, " ",Inventory_List_Table34111510911131718141619202122[[#This Row],[AQ RND USD]]*1.4)</f>
        <v xml:space="preserve"> </v>
      </c>
      <c r="U2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5" s="30" t="str">
        <f>IF(Inventory_List_Table34111510911131718141619202122[[#This Row],[Q]]&lt;0.1, " ",Inventory_List_Table34111510911131718141619202122[[#This Row],[LND RND USD]]*12)</f>
        <v xml:space="preserve"> </v>
      </c>
      <c r="W25" s="30" t="str">
        <f>IF(Inventory_List_Table34111510911131718141619202122[[#This Row],[Q]]&lt;0.1, " ",Inventory_List_Table34111510911131718141619202122[[#This Row],[AQ USD]])</f>
        <v xml:space="preserve"> </v>
      </c>
      <c r="X2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5" s="30" t="str">
        <f>IF(Inventory_List_Table34111510911131718141619202122[[#This Row],[Q]]&lt;0.1, " ",Inventory_List_Table34111510911131718141619202122[[#This Row],[PRICE]]/Z25*10000)</f>
        <v xml:space="preserve"> </v>
      </c>
      <c r="AB25" s="484"/>
      <c r="AC25" s="1"/>
      <c r="AD25" s="1"/>
    </row>
    <row r="26" spans="1:30" ht="24" customHeight="1" x14ac:dyDescent="0.3">
      <c r="A26" s="480">
        <v>24</v>
      </c>
      <c r="B26" s="1"/>
      <c r="C26" s="478"/>
      <c r="D26" s="478"/>
      <c r="E26" s="478"/>
      <c r="F26" s="38" t="str">
        <f>IF(Inventory_List_Table34111510911131718141619202122[[#This Row],[Q]]&lt;0.1, " ",#REF!&amp;$D$1&amp;#REF!&amp;Inventory_List_Table34111510911131718141619202122[[#This Row],[NOTES]])</f>
        <v xml:space="preserve"> </v>
      </c>
      <c r="G26" s="481"/>
      <c r="H26" s="481"/>
      <c r="I26" s="481"/>
      <c r="J26" s="481"/>
      <c r="K26" s="481"/>
      <c r="L26" s="483"/>
      <c r="M2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6" s="35" t="str">
        <f>IF(Inventory_List_Table34111510911131718141619202122[[#This Row],[Q]]&lt;0.1, " ", Inventory_List_Table34111510911131718141619202122[[#This Row],[KG]]*2.20462)</f>
        <v xml:space="preserve"> </v>
      </c>
      <c r="O26" s="35" t="str">
        <f>IF(Inventory_List_Table34111510911131718141619202122[[#This Row],[Q]]&lt;0.1, " ",Inventory_List_Table34111510911131718141619202122[[#This Row],[H CM]]/2.54)</f>
        <v xml:space="preserve"> </v>
      </c>
      <c r="P26" s="35" t="str">
        <f>IF(Inventory_List_Table34111510911131718141619202122[[#This Row],[Q]]&lt;0.1, " ",Inventory_List_Table34111510911131718141619202122[[#This Row],[W CM]]/2.54)</f>
        <v xml:space="preserve"> </v>
      </c>
      <c r="Q26" s="35" t="str">
        <f>IF(Inventory_List_Table34111510911131718141619202122[[#This Row],[Q]]&lt;0.1, " ",Inventory_List_Table34111510911131718141619202122[[#This Row],[D CM ]]/2.54)</f>
        <v xml:space="preserve"> </v>
      </c>
      <c r="R26" s="30" t="str">
        <f>IF(Inventory_List_Table34111510911131718141619202122[[#This Row],[Q]]&lt;0.1, " ",Inventory_List_Table34111510911131718141619202122[[#This Row],[PRICE]]/$L$1)</f>
        <v xml:space="preserve"> </v>
      </c>
      <c r="S2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6" s="30" t="str">
        <f>IF(Inventory_List_Table34111510911131718141619202122[[#This Row],[Q]]&lt;0.1, " ",Inventory_List_Table34111510911131718141619202122[[#This Row],[AQ RND USD]]*1.4)</f>
        <v xml:space="preserve"> </v>
      </c>
      <c r="U2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6" s="30" t="str">
        <f>IF(Inventory_List_Table34111510911131718141619202122[[#This Row],[Q]]&lt;0.1, " ",Inventory_List_Table34111510911131718141619202122[[#This Row],[LND RND USD]]*12)</f>
        <v xml:space="preserve"> </v>
      </c>
      <c r="W26" s="30" t="str">
        <f>IF(Inventory_List_Table34111510911131718141619202122[[#This Row],[Q]]&lt;0.1, " ",Inventory_List_Table34111510911131718141619202122[[#This Row],[AQ USD]])</f>
        <v xml:space="preserve"> </v>
      </c>
      <c r="X2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6" s="30" t="str">
        <f>IF(Inventory_List_Table34111510911131718141619202122[[#This Row],[Q]]&lt;0.1, " ",Inventory_List_Table34111510911131718141619202122[[#This Row],[PRICE]]/Z26*10000)</f>
        <v xml:space="preserve"> </v>
      </c>
      <c r="AB26" s="484"/>
      <c r="AC26" s="1"/>
      <c r="AD26" s="1"/>
    </row>
    <row r="27" spans="1:30" ht="24" customHeight="1" x14ac:dyDescent="0.3">
      <c r="A27" s="480">
        <v>25</v>
      </c>
      <c r="B27" s="1"/>
      <c r="C27" s="478"/>
      <c r="D27" s="478"/>
      <c r="E27" s="478"/>
      <c r="F27" s="38" t="str">
        <f>IF(Inventory_List_Table34111510911131718141619202122[[#This Row],[Q]]&lt;0.1, " ",#REF!&amp;$D$1&amp;#REF!&amp;Inventory_List_Table34111510911131718141619202122[[#This Row],[NOTES]])</f>
        <v xml:space="preserve"> </v>
      </c>
      <c r="G27" s="481"/>
      <c r="H27" s="481"/>
      <c r="I27" s="481"/>
      <c r="J27" s="481"/>
      <c r="K27" s="481"/>
      <c r="L27" s="483"/>
      <c r="M2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7" s="35" t="str">
        <f>IF(Inventory_List_Table34111510911131718141619202122[[#This Row],[Q]]&lt;0.1, " ", Inventory_List_Table34111510911131718141619202122[[#This Row],[KG]]*2.20462)</f>
        <v xml:space="preserve"> </v>
      </c>
      <c r="O27" s="35" t="str">
        <f>IF(Inventory_List_Table34111510911131718141619202122[[#This Row],[Q]]&lt;0.1, " ",Inventory_List_Table34111510911131718141619202122[[#This Row],[H CM]]/2.54)</f>
        <v xml:space="preserve"> </v>
      </c>
      <c r="P27" s="35" t="str">
        <f>IF(Inventory_List_Table34111510911131718141619202122[[#This Row],[Q]]&lt;0.1, " ",Inventory_List_Table34111510911131718141619202122[[#This Row],[W CM]]/2.54)</f>
        <v xml:space="preserve"> </v>
      </c>
      <c r="Q27" s="35" t="str">
        <f>IF(Inventory_List_Table34111510911131718141619202122[[#This Row],[Q]]&lt;0.1, " ",Inventory_List_Table34111510911131718141619202122[[#This Row],[D CM ]]/2.54)</f>
        <v xml:space="preserve"> </v>
      </c>
      <c r="R27" s="30" t="str">
        <f>IF(Inventory_List_Table34111510911131718141619202122[[#This Row],[Q]]&lt;0.1, " ",Inventory_List_Table34111510911131718141619202122[[#This Row],[PRICE]]/$L$1)</f>
        <v xml:space="preserve"> </v>
      </c>
      <c r="S2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7" s="30" t="str">
        <f>IF(Inventory_List_Table34111510911131718141619202122[[#This Row],[Q]]&lt;0.1, " ",Inventory_List_Table34111510911131718141619202122[[#This Row],[AQ RND USD]]*1.4)</f>
        <v xml:space="preserve"> </v>
      </c>
      <c r="U2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7" s="30" t="str">
        <f>IF(Inventory_List_Table34111510911131718141619202122[[#This Row],[Q]]&lt;0.1, " ",Inventory_List_Table34111510911131718141619202122[[#This Row],[LND RND USD]]*12)</f>
        <v xml:space="preserve"> </v>
      </c>
      <c r="W27" s="30" t="str">
        <f>IF(Inventory_List_Table34111510911131718141619202122[[#This Row],[Q]]&lt;0.1, " ",Inventory_List_Table34111510911131718141619202122[[#This Row],[AQ USD]])</f>
        <v xml:space="preserve"> </v>
      </c>
      <c r="X2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7" s="30" t="str">
        <f>IF(Inventory_List_Table34111510911131718141619202122[[#This Row],[Q]]&lt;0.1, " ",Inventory_List_Table34111510911131718141619202122[[#This Row],[PRICE]]/Z27*10000)</f>
        <v xml:space="preserve"> </v>
      </c>
      <c r="AB27" s="484"/>
      <c r="AC27" s="1"/>
      <c r="AD27" s="1"/>
    </row>
    <row r="28" spans="1:30" ht="24" customHeight="1" x14ac:dyDescent="0.3">
      <c r="A28" s="480">
        <v>26</v>
      </c>
      <c r="B28" s="1"/>
      <c r="C28" s="478"/>
      <c r="D28" s="478"/>
      <c r="E28" s="478"/>
      <c r="F28" s="38" t="str">
        <f>IF(Inventory_List_Table34111510911131718141619202122[[#This Row],[Q]]&lt;0.1, " ",#REF!&amp;$D$1&amp;#REF!&amp;Inventory_List_Table34111510911131718141619202122[[#This Row],[NOTES]])</f>
        <v xml:space="preserve"> </v>
      </c>
      <c r="G28" s="481"/>
      <c r="H28" s="481"/>
      <c r="I28" s="481"/>
      <c r="J28" s="481"/>
      <c r="K28" s="481"/>
      <c r="L28" s="483"/>
      <c r="M2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8" s="35" t="str">
        <f>IF(Inventory_List_Table34111510911131718141619202122[[#This Row],[Q]]&lt;0.1, " ", Inventory_List_Table34111510911131718141619202122[[#This Row],[KG]]*2.20462)</f>
        <v xml:space="preserve"> </v>
      </c>
      <c r="O28" s="35" t="str">
        <f>IF(Inventory_List_Table34111510911131718141619202122[[#This Row],[Q]]&lt;0.1, " ",Inventory_List_Table34111510911131718141619202122[[#This Row],[H CM]]/2.54)</f>
        <v xml:space="preserve"> </v>
      </c>
      <c r="P28" s="35" t="str">
        <f>IF(Inventory_List_Table34111510911131718141619202122[[#This Row],[Q]]&lt;0.1, " ",Inventory_List_Table34111510911131718141619202122[[#This Row],[W CM]]/2.54)</f>
        <v xml:space="preserve"> </v>
      </c>
      <c r="Q28" s="35" t="str">
        <f>IF(Inventory_List_Table34111510911131718141619202122[[#This Row],[Q]]&lt;0.1, " ",Inventory_List_Table34111510911131718141619202122[[#This Row],[D CM ]]/2.54)</f>
        <v xml:space="preserve"> </v>
      </c>
      <c r="R28" s="30" t="str">
        <f>IF(Inventory_List_Table34111510911131718141619202122[[#This Row],[Q]]&lt;0.1, " ",Inventory_List_Table34111510911131718141619202122[[#This Row],[PRICE]]/$L$1)</f>
        <v xml:space="preserve"> </v>
      </c>
      <c r="S2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8" s="30" t="str">
        <f>IF(Inventory_List_Table34111510911131718141619202122[[#This Row],[Q]]&lt;0.1, " ",Inventory_List_Table34111510911131718141619202122[[#This Row],[AQ RND USD]]*1.4)</f>
        <v xml:space="preserve"> </v>
      </c>
      <c r="U2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8" s="30" t="str">
        <f>IF(Inventory_List_Table34111510911131718141619202122[[#This Row],[Q]]&lt;0.1, " ",Inventory_List_Table34111510911131718141619202122[[#This Row],[LND RND USD]]*12)</f>
        <v xml:space="preserve"> </v>
      </c>
      <c r="W28" s="30" t="str">
        <f>IF(Inventory_List_Table34111510911131718141619202122[[#This Row],[Q]]&lt;0.1, " ",Inventory_List_Table34111510911131718141619202122[[#This Row],[AQ USD]])</f>
        <v xml:space="preserve"> </v>
      </c>
      <c r="X2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8" s="30" t="str">
        <f>IF(Inventory_List_Table34111510911131718141619202122[[#This Row],[Q]]&lt;0.1, " ",Inventory_List_Table34111510911131718141619202122[[#This Row],[PRICE]]/Z28*10000)</f>
        <v xml:space="preserve"> </v>
      </c>
      <c r="AB28" s="484"/>
      <c r="AC28" s="1"/>
      <c r="AD28" s="1"/>
    </row>
    <row r="29" spans="1:30" ht="24" customHeight="1" x14ac:dyDescent="0.3">
      <c r="A29" s="480">
        <v>27</v>
      </c>
      <c r="B29" s="1"/>
      <c r="C29" s="478"/>
      <c r="D29" s="478"/>
      <c r="E29" s="478"/>
      <c r="F29" s="38" t="str">
        <f>IF(Inventory_List_Table34111510911131718141619202122[[#This Row],[Q]]&lt;0.1, " ",#REF!&amp;$D$1&amp;#REF!&amp;Inventory_List_Table34111510911131718141619202122[[#This Row],[NOTES]])</f>
        <v xml:space="preserve"> </v>
      </c>
      <c r="G29" s="481"/>
      <c r="H29" s="481"/>
      <c r="I29" s="481"/>
      <c r="J29" s="481"/>
      <c r="K29" s="481"/>
      <c r="L29" s="483"/>
      <c r="M2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29" s="35" t="str">
        <f>IF(Inventory_List_Table34111510911131718141619202122[[#This Row],[Q]]&lt;0.1, " ", Inventory_List_Table34111510911131718141619202122[[#This Row],[KG]]*2.20462)</f>
        <v xml:space="preserve"> </v>
      </c>
      <c r="O29" s="35" t="str">
        <f>IF(Inventory_List_Table34111510911131718141619202122[[#This Row],[Q]]&lt;0.1, " ",Inventory_List_Table34111510911131718141619202122[[#This Row],[H CM]]/2.54)</f>
        <v xml:space="preserve"> </v>
      </c>
      <c r="P29" s="35" t="str">
        <f>IF(Inventory_List_Table34111510911131718141619202122[[#This Row],[Q]]&lt;0.1, " ",Inventory_List_Table34111510911131718141619202122[[#This Row],[W CM]]/2.54)</f>
        <v xml:space="preserve"> </v>
      </c>
      <c r="Q29" s="35" t="str">
        <f>IF(Inventory_List_Table34111510911131718141619202122[[#This Row],[Q]]&lt;0.1, " ",Inventory_List_Table34111510911131718141619202122[[#This Row],[D CM ]]/2.54)</f>
        <v xml:space="preserve"> </v>
      </c>
      <c r="R29" s="30" t="str">
        <f>IF(Inventory_List_Table34111510911131718141619202122[[#This Row],[Q]]&lt;0.1, " ",Inventory_List_Table34111510911131718141619202122[[#This Row],[PRICE]]/$L$1)</f>
        <v xml:space="preserve"> </v>
      </c>
      <c r="S2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29" s="30" t="str">
        <f>IF(Inventory_List_Table34111510911131718141619202122[[#This Row],[Q]]&lt;0.1, " ",Inventory_List_Table34111510911131718141619202122[[#This Row],[AQ RND USD]]*1.4)</f>
        <v xml:space="preserve"> </v>
      </c>
      <c r="U2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29" s="30" t="str">
        <f>IF(Inventory_List_Table34111510911131718141619202122[[#This Row],[Q]]&lt;0.1, " ",Inventory_List_Table34111510911131718141619202122[[#This Row],[LND RND USD]]*12)</f>
        <v xml:space="preserve"> </v>
      </c>
      <c r="W29" s="30" t="str">
        <f>IF(Inventory_List_Table34111510911131718141619202122[[#This Row],[Q]]&lt;0.1, " ",Inventory_List_Table34111510911131718141619202122[[#This Row],[AQ USD]])</f>
        <v xml:space="preserve"> </v>
      </c>
      <c r="X2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2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2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29" s="30" t="str">
        <f>IF(Inventory_List_Table34111510911131718141619202122[[#This Row],[Q]]&lt;0.1, " ",Inventory_List_Table34111510911131718141619202122[[#This Row],[PRICE]]/Z29*10000)</f>
        <v xml:space="preserve"> </v>
      </c>
      <c r="AB29" s="484"/>
      <c r="AC29" s="1"/>
      <c r="AD29" s="1"/>
    </row>
    <row r="30" spans="1:30" ht="24" customHeight="1" x14ac:dyDescent="0.3">
      <c r="A30" s="480">
        <v>28</v>
      </c>
      <c r="B30" s="1"/>
      <c r="C30" s="478"/>
      <c r="D30" s="478"/>
      <c r="E30" s="478"/>
      <c r="F30" s="38" t="str">
        <f>IF(Inventory_List_Table34111510911131718141619202122[[#This Row],[Q]]&lt;0.1, " ",#REF!&amp;$D$1&amp;#REF!&amp;Inventory_List_Table34111510911131718141619202122[[#This Row],[NOTES]])</f>
        <v xml:space="preserve"> </v>
      </c>
      <c r="G30" s="481"/>
      <c r="H30" s="481"/>
      <c r="I30" s="481"/>
      <c r="J30" s="481"/>
      <c r="K30" s="481"/>
      <c r="L30" s="483"/>
      <c r="M3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0" s="35" t="str">
        <f>IF(Inventory_List_Table34111510911131718141619202122[[#This Row],[Q]]&lt;0.1, " ", Inventory_List_Table34111510911131718141619202122[[#This Row],[KG]]*2.20462)</f>
        <v xml:space="preserve"> </v>
      </c>
      <c r="O30" s="35" t="str">
        <f>IF(Inventory_List_Table34111510911131718141619202122[[#This Row],[Q]]&lt;0.1, " ",Inventory_List_Table34111510911131718141619202122[[#This Row],[H CM]]/2.54)</f>
        <v xml:space="preserve"> </v>
      </c>
      <c r="P30" s="35" t="str">
        <f>IF(Inventory_List_Table34111510911131718141619202122[[#This Row],[Q]]&lt;0.1, " ",Inventory_List_Table34111510911131718141619202122[[#This Row],[W CM]]/2.54)</f>
        <v xml:space="preserve"> </v>
      </c>
      <c r="Q30" s="35" t="str">
        <f>IF(Inventory_List_Table34111510911131718141619202122[[#This Row],[Q]]&lt;0.1, " ",Inventory_List_Table34111510911131718141619202122[[#This Row],[D CM ]]/2.54)</f>
        <v xml:space="preserve"> </v>
      </c>
      <c r="R30" s="30" t="str">
        <f>IF(Inventory_List_Table34111510911131718141619202122[[#This Row],[Q]]&lt;0.1, " ",Inventory_List_Table34111510911131718141619202122[[#This Row],[PRICE]]/$L$1)</f>
        <v xml:space="preserve"> </v>
      </c>
      <c r="S3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0" s="30" t="str">
        <f>IF(Inventory_List_Table34111510911131718141619202122[[#This Row],[Q]]&lt;0.1, " ",Inventory_List_Table34111510911131718141619202122[[#This Row],[AQ RND USD]]*1.4)</f>
        <v xml:space="preserve"> </v>
      </c>
      <c r="U3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0" s="30" t="str">
        <f>IF(Inventory_List_Table34111510911131718141619202122[[#This Row],[Q]]&lt;0.1, " ",Inventory_List_Table34111510911131718141619202122[[#This Row],[LND RND USD]]*12)</f>
        <v xml:space="preserve"> </v>
      </c>
      <c r="W30" s="30" t="str">
        <f>IF(Inventory_List_Table34111510911131718141619202122[[#This Row],[Q]]&lt;0.1, " ",Inventory_List_Table34111510911131718141619202122[[#This Row],[AQ USD]])</f>
        <v xml:space="preserve"> </v>
      </c>
      <c r="X3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0" s="30" t="str">
        <f>IF(Inventory_List_Table34111510911131718141619202122[[#This Row],[Q]]&lt;0.1, " ",Inventory_List_Table34111510911131718141619202122[[#This Row],[PRICE]]/Z30*10000)</f>
        <v xml:space="preserve"> </v>
      </c>
      <c r="AB30" s="484"/>
      <c r="AC30" s="1"/>
      <c r="AD30" s="1"/>
    </row>
    <row r="31" spans="1:30" ht="24" customHeight="1" x14ac:dyDescent="0.3">
      <c r="A31" s="480">
        <v>29</v>
      </c>
      <c r="B31" s="1"/>
      <c r="C31" s="478"/>
      <c r="D31" s="478"/>
      <c r="E31" s="478"/>
      <c r="F31" s="38" t="str">
        <f>IF(Inventory_List_Table34111510911131718141619202122[[#This Row],[Q]]&lt;0.1, " ",#REF!&amp;$D$1&amp;#REF!&amp;Inventory_List_Table34111510911131718141619202122[[#This Row],[NOTES]])</f>
        <v xml:space="preserve"> </v>
      </c>
      <c r="G31" s="481"/>
      <c r="H31" s="481"/>
      <c r="I31" s="481"/>
      <c r="J31" s="481"/>
      <c r="K31" s="481"/>
      <c r="L31" s="483"/>
      <c r="M3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1" s="35" t="str">
        <f>IF(Inventory_List_Table34111510911131718141619202122[[#This Row],[Q]]&lt;0.1, " ", Inventory_List_Table34111510911131718141619202122[[#This Row],[KG]]*2.20462)</f>
        <v xml:space="preserve"> </v>
      </c>
      <c r="O31" s="35" t="str">
        <f>IF(Inventory_List_Table34111510911131718141619202122[[#This Row],[Q]]&lt;0.1, " ",Inventory_List_Table34111510911131718141619202122[[#This Row],[H CM]]/2.54)</f>
        <v xml:space="preserve"> </v>
      </c>
      <c r="P31" s="35" t="str">
        <f>IF(Inventory_List_Table34111510911131718141619202122[[#This Row],[Q]]&lt;0.1, " ",Inventory_List_Table34111510911131718141619202122[[#This Row],[W CM]]/2.54)</f>
        <v xml:space="preserve"> </v>
      </c>
      <c r="Q31" s="35" t="str">
        <f>IF(Inventory_List_Table34111510911131718141619202122[[#This Row],[Q]]&lt;0.1, " ",Inventory_List_Table34111510911131718141619202122[[#This Row],[D CM ]]/2.54)</f>
        <v xml:space="preserve"> </v>
      </c>
      <c r="R31" s="30" t="str">
        <f>IF(Inventory_List_Table34111510911131718141619202122[[#This Row],[Q]]&lt;0.1, " ",Inventory_List_Table34111510911131718141619202122[[#This Row],[PRICE]]/$L$1)</f>
        <v xml:space="preserve"> </v>
      </c>
      <c r="S3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1" s="30" t="str">
        <f>IF(Inventory_List_Table34111510911131718141619202122[[#This Row],[Q]]&lt;0.1, " ",Inventory_List_Table34111510911131718141619202122[[#This Row],[AQ RND USD]]*1.4)</f>
        <v xml:space="preserve"> </v>
      </c>
      <c r="U3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1" s="30" t="str">
        <f>IF(Inventory_List_Table34111510911131718141619202122[[#This Row],[Q]]&lt;0.1, " ",Inventory_List_Table34111510911131718141619202122[[#This Row],[LND RND USD]]*12)</f>
        <v xml:space="preserve"> </v>
      </c>
      <c r="W31" s="30" t="str">
        <f>IF(Inventory_List_Table34111510911131718141619202122[[#This Row],[Q]]&lt;0.1, " ",Inventory_List_Table34111510911131718141619202122[[#This Row],[AQ USD]])</f>
        <v xml:space="preserve"> </v>
      </c>
      <c r="X3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1" s="30" t="str">
        <f>IF(Inventory_List_Table34111510911131718141619202122[[#This Row],[Q]]&lt;0.1, " ",Inventory_List_Table34111510911131718141619202122[[#This Row],[PRICE]]/Z31*10000)</f>
        <v xml:space="preserve"> </v>
      </c>
      <c r="AB31" s="484"/>
      <c r="AC31" s="1"/>
      <c r="AD31" s="1"/>
    </row>
    <row r="32" spans="1:30" ht="24" customHeight="1" x14ac:dyDescent="0.3">
      <c r="A32" s="480">
        <v>30</v>
      </c>
      <c r="B32" s="1"/>
      <c r="C32" s="478"/>
      <c r="D32" s="478"/>
      <c r="E32" s="478"/>
      <c r="F32" s="38" t="str">
        <f>IF(Inventory_List_Table34111510911131718141619202122[[#This Row],[Q]]&lt;0.1, " ",#REF!&amp;$D$1&amp;#REF!&amp;Inventory_List_Table34111510911131718141619202122[[#This Row],[NOTES]])</f>
        <v xml:space="preserve"> </v>
      </c>
      <c r="G32" s="481"/>
      <c r="H32" s="481"/>
      <c r="I32" s="481"/>
      <c r="J32" s="481"/>
      <c r="K32" s="481"/>
      <c r="L32" s="483"/>
      <c r="M3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2" s="35" t="str">
        <f>IF(Inventory_List_Table34111510911131718141619202122[[#This Row],[Q]]&lt;0.1, " ", Inventory_List_Table34111510911131718141619202122[[#This Row],[KG]]*2.20462)</f>
        <v xml:space="preserve"> </v>
      </c>
      <c r="O32" s="35" t="str">
        <f>IF(Inventory_List_Table34111510911131718141619202122[[#This Row],[Q]]&lt;0.1, " ",Inventory_List_Table34111510911131718141619202122[[#This Row],[H CM]]/2.54)</f>
        <v xml:space="preserve"> </v>
      </c>
      <c r="P32" s="35" t="str">
        <f>IF(Inventory_List_Table34111510911131718141619202122[[#This Row],[Q]]&lt;0.1, " ",Inventory_List_Table34111510911131718141619202122[[#This Row],[W CM]]/2.54)</f>
        <v xml:space="preserve"> </v>
      </c>
      <c r="Q32" s="35" t="str">
        <f>IF(Inventory_List_Table34111510911131718141619202122[[#This Row],[Q]]&lt;0.1, " ",Inventory_List_Table34111510911131718141619202122[[#This Row],[D CM ]]/2.54)</f>
        <v xml:space="preserve"> </v>
      </c>
      <c r="R32" s="30" t="str">
        <f>IF(Inventory_List_Table34111510911131718141619202122[[#This Row],[Q]]&lt;0.1, " ",Inventory_List_Table34111510911131718141619202122[[#This Row],[PRICE]]/$L$1)</f>
        <v xml:space="preserve"> </v>
      </c>
      <c r="S3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2" s="30" t="str">
        <f>IF(Inventory_List_Table34111510911131718141619202122[[#This Row],[Q]]&lt;0.1, " ",Inventory_List_Table34111510911131718141619202122[[#This Row],[AQ RND USD]]*1.4)</f>
        <v xml:space="preserve"> </v>
      </c>
      <c r="U3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2" s="30" t="str">
        <f>IF(Inventory_List_Table34111510911131718141619202122[[#This Row],[Q]]&lt;0.1, " ",Inventory_List_Table34111510911131718141619202122[[#This Row],[LND RND USD]]*12)</f>
        <v xml:space="preserve"> </v>
      </c>
      <c r="W32" s="30" t="str">
        <f>IF(Inventory_List_Table34111510911131718141619202122[[#This Row],[Q]]&lt;0.1, " ",Inventory_List_Table34111510911131718141619202122[[#This Row],[AQ USD]])</f>
        <v xml:space="preserve"> </v>
      </c>
      <c r="X3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2" s="30" t="str">
        <f>IF(Inventory_List_Table34111510911131718141619202122[[#This Row],[Q]]&lt;0.1, " ",Inventory_List_Table34111510911131718141619202122[[#This Row],[PRICE]]/Z32*10000)</f>
        <v xml:space="preserve"> </v>
      </c>
      <c r="AB32" s="484"/>
      <c r="AC32" s="1"/>
      <c r="AD32" s="1"/>
    </row>
    <row r="33" spans="1:30" ht="24" customHeight="1" x14ac:dyDescent="0.3">
      <c r="A33" s="480">
        <v>31</v>
      </c>
      <c r="B33" s="1"/>
      <c r="C33" s="478"/>
      <c r="D33" s="478"/>
      <c r="E33" s="478"/>
      <c r="F33" s="38" t="str">
        <f>IF(Inventory_List_Table34111510911131718141619202122[[#This Row],[Q]]&lt;0.1, " ",#REF!&amp;$D$1&amp;#REF!&amp;Inventory_List_Table34111510911131718141619202122[[#This Row],[NOTES]])</f>
        <v xml:space="preserve"> </v>
      </c>
      <c r="G33" s="481"/>
      <c r="H33" s="481"/>
      <c r="I33" s="481"/>
      <c r="J33" s="481"/>
      <c r="K33" s="481"/>
      <c r="L33" s="483"/>
      <c r="M3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3" s="35" t="str">
        <f>IF(Inventory_List_Table34111510911131718141619202122[[#This Row],[Q]]&lt;0.1, " ", Inventory_List_Table34111510911131718141619202122[[#This Row],[KG]]*2.20462)</f>
        <v xml:space="preserve"> </v>
      </c>
      <c r="O33" s="35" t="str">
        <f>IF(Inventory_List_Table34111510911131718141619202122[[#This Row],[Q]]&lt;0.1, " ",Inventory_List_Table34111510911131718141619202122[[#This Row],[H CM]]/2.54)</f>
        <v xml:space="preserve"> </v>
      </c>
      <c r="P33" s="35" t="str">
        <f>IF(Inventory_List_Table34111510911131718141619202122[[#This Row],[Q]]&lt;0.1, " ",Inventory_List_Table34111510911131718141619202122[[#This Row],[W CM]]/2.54)</f>
        <v xml:space="preserve"> </v>
      </c>
      <c r="Q33" s="35" t="str">
        <f>IF(Inventory_List_Table34111510911131718141619202122[[#This Row],[Q]]&lt;0.1, " ",Inventory_List_Table34111510911131718141619202122[[#This Row],[D CM ]]/2.54)</f>
        <v xml:space="preserve"> </v>
      </c>
      <c r="R33" s="30" t="str">
        <f>IF(Inventory_List_Table34111510911131718141619202122[[#This Row],[Q]]&lt;0.1, " ",Inventory_List_Table34111510911131718141619202122[[#This Row],[PRICE]]/$L$1)</f>
        <v xml:space="preserve"> </v>
      </c>
      <c r="S3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3" s="30" t="str">
        <f>IF(Inventory_List_Table34111510911131718141619202122[[#This Row],[Q]]&lt;0.1, " ",Inventory_List_Table34111510911131718141619202122[[#This Row],[AQ RND USD]]*1.4)</f>
        <v xml:space="preserve"> </v>
      </c>
      <c r="U3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3" s="30" t="str">
        <f>IF(Inventory_List_Table34111510911131718141619202122[[#This Row],[Q]]&lt;0.1, " ",Inventory_List_Table34111510911131718141619202122[[#This Row],[LND RND USD]]*12)</f>
        <v xml:space="preserve"> </v>
      </c>
      <c r="W33" s="30" t="str">
        <f>IF(Inventory_List_Table34111510911131718141619202122[[#This Row],[Q]]&lt;0.1, " ",Inventory_List_Table34111510911131718141619202122[[#This Row],[AQ USD]])</f>
        <v xml:space="preserve"> </v>
      </c>
      <c r="X3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3" s="30" t="str">
        <f>IF(Inventory_List_Table34111510911131718141619202122[[#This Row],[Q]]&lt;0.1, " ",Inventory_List_Table34111510911131718141619202122[[#This Row],[PRICE]]/Z33*10000)</f>
        <v xml:space="preserve"> </v>
      </c>
      <c r="AB33" s="484"/>
      <c r="AC33" s="1"/>
      <c r="AD33" s="1"/>
    </row>
    <row r="34" spans="1:30" ht="24" customHeight="1" x14ac:dyDescent="0.3">
      <c r="A34" s="480">
        <v>32</v>
      </c>
      <c r="B34" s="1"/>
      <c r="C34" s="478"/>
      <c r="D34" s="478"/>
      <c r="E34" s="478"/>
      <c r="F34" s="38" t="str">
        <f>IF(Inventory_List_Table34111510911131718141619202122[[#This Row],[Q]]&lt;0.1, " ",#REF!&amp;$D$1&amp;#REF!&amp;Inventory_List_Table34111510911131718141619202122[[#This Row],[NOTES]])</f>
        <v xml:space="preserve"> </v>
      </c>
      <c r="G34" s="481"/>
      <c r="H34" s="481"/>
      <c r="I34" s="481"/>
      <c r="J34" s="481"/>
      <c r="K34" s="481"/>
      <c r="L34" s="483"/>
      <c r="M3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4" s="35" t="str">
        <f>IF(Inventory_List_Table34111510911131718141619202122[[#This Row],[Q]]&lt;0.1, " ", Inventory_List_Table34111510911131718141619202122[[#This Row],[KG]]*2.20462)</f>
        <v xml:space="preserve"> </v>
      </c>
      <c r="O34" s="35" t="str">
        <f>IF(Inventory_List_Table34111510911131718141619202122[[#This Row],[Q]]&lt;0.1, " ",Inventory_List_Table34111510911131718141619202122[[#This Row],[H CM]]/2.54)</f>
        <v xml:space="preserve"> </v>
      </c>
      <c r="P34" s="35" t="str">
        <f>IF(Inventory_List_Table34111510911131718141619202122[[#This Row],[Q]]&lt;0.1, " ",Inventory_List_Table34111510911131718141619202122[[#This Row],[W CM]]/2.54)</f>
        <v xml:space="preserve"> </v>
      </c>
      <c r="Q34" s="35" t="str">
        <f>IF(Inventory_List_Table34111510911131718141619202122[[#This Row],[Q]]&lt;0.1, " ",Inventory_List_Table34111510911131718141619202122[[#This Row],[D CM ]]/2.54)</f>
        <v xml:space="preserve"> </v>
      </c>
      <c r="R34" s="30" t="str">
        <f>IF(Inventory_List_Table34111510911131718141619202122[[#This Row],[Q]]&lt;0.1, " ",Inventory_List_Table34111510911131718141619202122[[#This Row],[PRICE]]/$L$1)</f>
        <v xml:space="preserve"> </v>
      </c>
      <c r="S3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4" s="30" t="str">
        <f>IF(Inventory_List_Table34111510911131718141619202122[[#This Row],[Q]]&lt;0.1, " ",Inventory_List_Table34111510911131718141619202122[[#This Row],[AQ RND USD]]*1.4)</f>
        <v xml:space="preserve"> </v>
      </c>
      <c r="U3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4" s="30" t="str">
        <f>IF(Inventory_List_Table34111510911131718141619202122[[#This Row],[Q]]&lt;0.1, " ",Inventory_List_Table34111510911131718141619202122[[#This Row],[LND RND USD]]*12)</f>
        <v xml:space="preserve"> </v>
      </c>
      <c r="W34" s="30" t="str">
        <f>IF(Inventory_List_Table34111510911131718141619202122[[#This Row],[Q]]&lt;0.1, " ",Inventory_List_Table34111510911131718141619202122[[#This Row],[AQ USD]])</f>
        <v xml:space="preserve"> </v>
      </c>
      <c r="X3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4" s="30" t="str">
        <f>IF(Inventory_List_Table34111510911131718141619202122[[#This Row],[Q]]&lt;0.1, " ",Inventory_List_Table34111510911131718141619202122[[#This Row],[PRICE]]/Z34*10000)</f>
        <v xml:space="preserve"> </v>
      </c>
      <c r="AB34" s="484"/>
      <c r="AC34" s="1"/>
      <c r="AD34" s="1"/>
    </row>
    <row r="35" spans="1:30" ht="24" customHeight="1" x14ac:dyDescent="0.3">
      <c r="A35" s="480">
        <v>33</v>
      </c>
      <c r="B35" s="1"/>
      <c r="C35" s="478"/>
      <c r="D35" s="478"/>
      <c r="E35" s="478"/>
      <c r="F35" s="38" t="str">
        <f>IF(Inventory_List_Table34111510911131718141619202122[[#This Row],[Q]]&lt;0.1, " ",#REF!&amp;$D$1&amp;#REF!&amp;Inventory_List_Table34111510911131718141619202122[[#This Row],[NOTES]])</f>
        <v xml:space="preserve"> </v>
      </c>
      <c r="G35" s="481"/>
      <c r="H35" s="481"/>
      <c r="I35" s="481"/>
      <c r="J35" s="481"/>
      <c r="K35" s="481"/>
      <c r="L35" s="483"/>
      <c r="M3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5" s="35" t="str">
        <f>IF(Inventory_List_Table34111510911131718141619202122[[#This Row],[Q]]&lt;0.1, " ", Inventory_List_Table34111510911131718141619202122[[#This Row],[KG]]*2.20462)</f>
        <v xml:space="preserve"> </v>
      </c>
      <c r="O35" s="35" t="str">
        <f>IF(Inventory_List_Table34111510911131718141619202122[[#This Row],[Q]]&lt;0.1, " ",Inventory_List_Table34111510911131718141619202122[[#This Row],[H CM]]/2.54)</f>
        <v xml:space="preserve"> </v>
      </c>
      <c r="P35" s="35" t="str">
        <f>IF(Inventory_List_Table34111510911131718141619202122[[#This Row],[Q]]&lt;0.1, " ",Inventory_List_Table34111510911131718141619202122[[#This Row],[W CM]]/2.54)</f>
        <v xml:space="preserve"> </v>
      </c>
      <c r="Q35" s="35" t="str">
        <f>IF(Inventory_List_Table34111510911131718141619202122[[#This Row],[Q]]&lt;0.1, " ",Inventory_List_Table34111510911131718141619202122[[#This Row],[D CM ]]/2.54)</f>
        <v xml:space="preserve"> </v>
      </c>
      <c r="R35" s="30" t="str">
        <f>IF(Inventory_List_Table34111510911131718141619202122[[#This Row],[Q]]&lt;0.1, " ",Inventory_List_Table34111510911131718141619202122[[#This Row],[PRICE]]/$L$1)</f>
        <v xml:space="preserve"> </v>
      </c>
      <c r="S3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5" s="30" t="str">
        <f>IF(Inventory_List_Table34111510911131718141619202122[[#This Row],[Q]]&lt;0.1, " ",Inventory_List_Table34111510911131718141619202122[[#This Row],[AQ RND USD]]*1.4)</f>
        <v xml:space="preserve"> </v>
      </c>
      <c r="U3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5" s="30" t="str">
        <f>IF(Inventory_List_Table34111510911131718141619202122[[#This Row],[Q]]&lt;0.1, " ",Inventory_List_Table34111510911131718141619202122[[#This Row],[LND RND USD]]*12)</f>
        <v xml:space="preserve"> </v>
      </c>
      <c r="W35" s="30" t="str">
        <f>IF(Inventory_List_Table34111510911131718141619202122[[#This Row],[Q]]&lt;0.1, " ",Inventory_List_Table34111510911131718141619202122[[#This Row],[AQ USD]])</f>
        <v xml:space="preserve"> </v>
      </c>
      <c r="X3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5" s="30" t="str">
        <f>IF(Inventory_List_Table34111510911131718141619202122[[#This Row],[Q]]&lt;0.1, " ",Inventory_List_Table34111510911131718141619202122[[#This Row],[PRICE]]/Z35*10000)</f>
        <v xml:space="preserve"> </v>
      </c>
      <c r="AB35" s="484"/>
      <c r="AC35" s="1"/>
      <c r="AD35" s="1"/>
    </row>
    <row r="36" spans="1:30" ht="24" customHeight="1" x14ac:dyDescent="0.3">
      <c r="A36" s="480">
        <v>34</v>
      </c>
      <c r="B36" s="1"/>
      <c r="C36" s="478"/>
      <c r="D36" s="478"/>
      <c r="E36" s="478"/>
      <c r="F36" s="38" t="str">
        <f>IF(Inventory_List_Table34111510911131718141619202122[[#This Row],[Q]]&lt;0.1, " ",#REF!&amp;$D$1&amp;#REF!&amp;Inventory_List_Table34111510911131718141619202122[[#This Row],[NOTES]])</f>
        <v xml:space="preserve"> </v>
      </c>
      <c r="G36" s="481"/>
      <c r="H36" s="481"/>
      <c r="I36" s="481"/>
      <c r="J36" s="481"/>
      <c r="K36" s="481"/>
      <c r="L36" s="483"/>
      <c r="M3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6" s="35" t="str">
        <f>IF(Inventory_List_Table34111510911131718141619202122[[#This Row],[Q]]&lt;0.1, " ", Inventory_List_Table34111510911131718141619202122[[#This Row],[KG]]*2.20462)</f>
        <v xml:space="preserve"> </v>
      </c>
      <c r="O36" s="35" t="str">
        <f>IF(Inventory_List_Table34111510911131718141619202122[[#This Row],[Q]]&lt;0.1, " ",Inventory_List_Table34111510911131718141619202122[[#This Row],[H CM]]/2.54)</f>
        <v xml:space="preserve"> </v>
      </c>
      <c r="P36" s="35" t="str">
        <f>IF(Inventory_List_Table34111510911131718141619202122[[#This Row],[Q]]&lt;0.1, " ",Inventory_List_Table34111510911131718141619202122[[#This Row],[W CM]]/2.54)</f>
        <v xml:space="preserve"> </v>
      </c>
      <c r="Q36" s="35" t="str">
        <f>IF(Inventory_List_Table34111510911131718141619202122[[#This Row],[Q]]&lt;0.1, " ",Inventory_List_Table34111510911131718141619202122[[#This Row],[D CM ]]/2.54)</f>
        <v xml:space="preserve"> </v>
      </c>
      <c r="R36" s="30" t="str">
        <f>IF(Inventory_List_Table34111510911131718141619202122[[#This Row],[Q]]&lt;0.1, " ",Inventory_List_Table34111510911131718141619202122[[#This Row],[PRICE]]/$L$1)</f>
        <v xml:space="preserve"> </v>
      </c>
      <c r="S3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6" s="30" t="str">
        <f>IF(Inventory_List_Table34111510911131718141619202122[[#This Row],[Q]]&lt;0.1, " ",Inventory_List_Table34111510911131718141619202122[[#This Row],[AQ RND USD]]*1.4)</f>
        <v xml:space="preserve"> </v>
      </c>
      <c r="U3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6" s="30" t="str">
        <f>IF(Inventory_List_Table34111510911131718141619202122[[#This Row],[Q]]&lt;0.1, " ",Inventory_List_Table34111510911131718141619202122[[#This Row],[LND RND USD]]*12)</f>
        <v xml:space="preserve"> </v>
      </c>
      <c r="W36" s="30" t="str">
        <f>IF(Inventory_List_Table34111510911131718141619202122[[#This Row],[Q]]&lt;0.1, " ",Inventory_List_Table34111510911131718141619202122[[#This Row],[AQ USD]])</f>
        <v xml:space="preserve"> </v>
      </c>
      <c r="X3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6" s="30" t="str">
        <f>IF(Inventory_List_Table34111510911131718141619202122[[#This Row],[Q]]&lt;0.1, " ",Inventory_List_Table34111510911131718141619202122[[#This Row],[PRICE]]/Z36*10000)</f>
        <v xml:space="preserve"> </v>
      </c>
      <c r="AB36" s="484"/>
      <c r="AC36" s="1"/>
      <c r="AD36" s="1"/>
    </row>
    <row r="37" spans="1:30" ht="24" customHeight="1" x14ac:dyDescent="0.3">
      <c r="A37" s="480">
        <v>35</v>
      </c>
      <c r="B37" s="1"/>
      <c r="C37" s="478"/>
      <c r="D37" s="478"/>
      <c r="E37" s="478"/>
      <c r="F37" s="38" t="str">
        <f>IF(Inventory_List_Table34111510911131718141619202122[[#This Row],[Q]]&lt;0.1, " ",#REF!&amp;$D$1&amp;#REF!&amp;Inventory_List_Table34111510911131718141619202122[[#This Row],[NOTES]])</f>
        <v xml:space="preserve"> </v>
      </c>
      <c r="G37" s="481"/>
      <c r="H37" s="481"/>
      <c r="I37" s="481"/>
      <c r="J37" s="481"/>
      <c r="K37" s="481"/>
      <c r="L37" s="483"/>
      <c r="M3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7" s="35" t="str">
        <f>IF(Inventory_List_Table34111510911131718141619202122[[#This Row],[Q]]&lt;0.1, " ", Inventory_List_Table34111510911131718141619202122[[#This Row],[KG]]*2.20462)</f>
        <v xml:space="preserve"> </v>
      </c>
      <c r="O37" s="35" t="str">
        <f>IF(Inventory_List_Table34111510911131718141619202122[[#This Row],[Q]]&lt;0.1, " ",Inventory_List_Table34111510911131718141619202122[[#This Row],[H CM]]/2.54)</f>
        <v xml:space="preserve"> </v>
      </c>
      <c r="P37" s="35" t="str">
        <f>IF(Inventory_List_Table34111510911131718141619202122[[#This Row],[Q]]&lt;0.1, " ",Inventory_List_Table34111510911131718141619202122[[#This Row],[W CM]]/2.54)</f>
        <v xml:space="preserve"> </v>
      </c>
      <c r="Q37" s="35" t="str">
        <f>IF(Inventory_List_Table34111510911131718141619202122[[#This Row],[Q]]&lt;0.1, " ",Inventory_List_Table34111510911131718141619202122[[#This Row],[D CM ]]/2.54)</f>
        <v xml:space="preserve"> </v>
      </c>
      <c r="R37" s="30" t="str">
        <f>IF(Inventory_List_Table34111510911131718141619202122[[#This Row],[Q]]&lt;0.1, " ",Inventory_List_Table34111510911131718141619202122[[#This Row],[PRICE]]/$L$1)</f>
        <v xml:space="preserve"> </v>
      </c>
      <c r="S3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7" s="30" t="str">
        <f>IF(Inventory_List_Table34111510911131718141619202122[[#This Row],[Q]]&lt;0.1, " ",Inventory_List_Table34111510911131718141619202122[[#This Row],[AQ RND USD]]*1.4)</f>
        <v xml:space="preserve"> </v>
      </c>
      <c r="U3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7" s="30" t="str">
        <f>IF(Inventory_List_Table34111510911131718141619202122[[#This Row],[Q]]&lt;0.1, " ",Inventory_List_Table34111510911131718141619202122[[#This Row],[LND RND USD]]*12)</f>
        <v xml:space="preserve"> </v>
      </c>
      <c r="W37" s="30" t="str">
        <f>IF(Inventory_List_Table34111510911131718141619202122[[#This Row],[Q]]&lt;0.1, " ",Inventory_List_Table34111510911131718141619202122[[#This Row],[AQ USD]])</f>
        <v xml:space="preserve"> </v>
      </c>
      <c r="X3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7" s="30" t="str">
        <f>IF(Inventory_List_Table34111510911131718141619202122[[#This Row],[Q]]&lt;0.1, " ",Inventory_List_Table34111510911131718141619202122[[#This Row],[PRICE]]/Z37*10000)</f>
        <v xml:space="preserve"> </v>
      </c>
      <c r="AB37" s="484"/>
      <c r="AC37" s="1"/>
      <c r="AD37" s="1"/>
    </row>
    <row r="38" spans="1:30" ht="24" customHeight="1" x14ac:dyDescent="0.3">
      <c r="A38" s="480">
        <v>36</v>
      </c>
      <c r="B38" s="1"/>
      <c r="C38" s="478"/>
      <c r="D38" s="478"/>
      <c r="E38" s="478"/>
      <c r="F38" s="38" t="str">
        <f>IF(Inventory_List_Table34111510911131718141619202122[[#This Row],[Q]]&lt;0.1, " ",#REF!&amp;$D$1&amp;#REF!&amp;Inventory_List_Table34111510911131718141619202122[[#This Row],[NOTES]])</f>
        <v xml:space="preserve"> </v>
      </c>
      <c r="G38" s="481"/>
      <c r="H38" s="481"/>
      <c r="I38" s="481"/>
      <c r="J38" s="481"/>
      <c r="K38" s="481"/>
      <c r="L38" s="483"/>
      <c r="M3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8" s="35" t="str">
        <f>IF(Inventory_List_Table34111510911131718141619202122[[#This Row],[Q]]&lt;0.1, " ", Inventory_List_Table34111510911131718141619202122[[#This Row],[KG]]*2.20462)</f>
        <v xml:space="preserve"> </v>
      </c>
      <c r="O38" s="35" t="str">
        <f>IF(Inventory_List_Table34111510911131718141619202122[[#This Row],[Q]]&lt;0.1, " ",Inventory_List_Table34111510911131718141619202122[[#This Row],[H CM]]/2.54)</f>
        <v xml:space="preserve"> </v>
      </c>
      <c r="P38" s="35" t="str">
        <f>IF(Inventory_List_Table34111510911131718141619202122[[#This Row],[Q]]&lt;0.1, " ",Inventory_List_Table34111510911131718141619202122[[#This Row],[W CM]]/2.54)</f>
        <v xml:space="preserve"> </v>
      </c>
      <c r="Q38" s="35" t="str">
        <f>IF(Inventory_List_Table34111510911131718141619202122[[#This Row],[Q]]&lt;0.1, " ",Inventory_List_Table34111510911131718141619202122[[#This Row],[D CM ]]/2.54)</f>
        <v xml:space="preserve"> </v>
      </c>
      <c r="R38" s="30" t="str">
        <f>IF(Inventory_List_Table34111510911131718141619202122[[#This Row],[Q]]&lt;0.1, " ",Inventory_List_Table34111510911131718141619202122[[#This Row],[PRICE]]/$L$1)</f>
        <v xml:space="preserve"> </v>
      </c>
      <c r="S3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8" s="30" t="str">
        <f>IF(Inventory_List_Table34111510911131718141619202122[[#This Row],[Q]]&lt;0.1, " ",Inventory_List_Table34111510911131718141619202122[[#This Row],[AQ RND USD]]*1.4)</f>
        <v xml:space="preserve"> </v>
      </c>
      <c r="U3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8" s="30" t="str">
        <f>IF(Inventory_List_Table34111510911131718141619202122[[#This Row],[Q]]&lt;0.1, " ",Inventory_List_Table34111510911131718141619202122[[#This Row],[LND RND USD]]*12)</f>
        <v xml:space="preserve"> </v>
      </c>
      <c r="W38" s="30" t="str">
        <f>IF(Inventory_List_Table34111510911131718141619202122[[#This Row],[Q]]&lt;0.1, " ",Inventory_List_Table34111510911131718141619202122[[#This Row],[AQ USD]])</f>
        <v xml:space="preserve"> </v>
      </c>
      <c r="X3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8" s="30" t="str">
        <f>IF(Inventory_List_Table34111510911131718141619202122[[#This Row],[Q]]&lt;0.1, " ",Inventory_List_Table34111510911131718141619202122[[#This Row],[PRICE]]/Z38*10000)</f>
        <v xml:space="preserve"> </v>
      </c>
      <c r="AB38" s="484"/>
      <c r="AC38" s="1"/>
      <c r="AD38" s="1"/>
    </row>
    <row r="39" spans="1:30" ht="24" customHeight="1" x14ac:dyDescent="0.3">
      <c r="A39" s="480">
        <v>37</v>
      </c>
      <c r="B39" s="1"/>
      <c r="C39" s="478"/>
      <c r="D39" s="478"/>
      <c r="E39" s="478"/>
      <c r="F39" s="38" t="str">
        <f>IF(Inventory_List_Table34111510911131718141619202122[[#This Row],[Q]]&lt;0.1, " ",#REF!&amp;$D$1&amp;#REF!&amp;Inventory_List_Table34111510911131718141619202122[[#This Row],[NOTES]])</f>
        <v xml:space="preserve"> </v>
      </c>
      <c r="G39" s="481"/>
      <c r="H39" s="481"/>
      <c r="I39" s="481"/>
      <c r="J39" s="481"/>
      <c r="K39" s="481"/>
      <c r="L39" s="483"/>
      <c r="M3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39" s="35" t="str">
        <f>IF(Inventory_List_Table34111510911131718141619202122[[#This Row],[Q]]&lt;0.1, " ", Inventory_List_Table34111510911131718141619202122[[#This Row],[KG]]*2.20462)</f>
        <v xml:space="preserve"> </v>
      </c>
      <c r="O39" s="35" t="str">
        <f>IF(Inventory_List_Table34111510911131718141619202122[[#This Row],[Q]]&lt;0.1, " ",Inventory_List_Table34111510911131718141619202122[[#This Row],[H CM]]/2.54)</f>
        <v xml:space="preserve"> </v>
      </c>
      <c r="P39" s="35" t="str">
        <f>IF(Inventory_List_Table34111510911131718141619202122[[#This Row],[Q]]&lt;0.1, " ",Inventory_List_Table34111510911131718141619202122[[#This Row],[W CM]]/2.54)</f>
        <v xml:space="preserve"> </v>
      </c>
      <c r="Q39" s="35" t="str">
        <f>IF(Inventory_List_Table34111510911131718141619202122[[#This Row],[Q]]&lt;0.1, " ",Inventory_List_Table34111510911131718141619202122[[#This Row],[D CM ]]/2.54)</f>
        <v xml:space="preserve"> </v>
      </c>
      <c r="R39" s="30" t="str">
        <f>IF(Inventory_List_Table34111510911131718141619202122[[#This Row],[Q]]&lt;0.1, " ",Inventory_List_Table34111510911131718141619202122[[#This Row],[PRICE]]/$L$1)</f>
        <v xml:space="preserve"> </v>
      </c>
      <c r="S3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39" s="30" t="str">
        <f>IF(Inventory_List_Table34111510911131718141619202122[[#This Row],[Q]]&lt;0.1, " ",Inventory_List_Table34111510911131718141619202122[[#This Row],[AQ RND USD]]*1.4)</f>
        <v xml:space="preserve"> </v>
      </c>
      <c r="U3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39" s="30" t="str">
        <f>IF(Inventory_List_Table34111510911131718141619202122[[#This Row],[Q]]&lt;0.1, " ",Inventory_List_Table34111510911131718141619202122[[#This Row],[LND RND USD]]*12)</f>
        <v xml:space="preserve"> </v>
      </c>
      <c r="W39" s="30" t="str">
        <f>IF(Inventory_List_Table34111510911131718141619202122[[#This Row],[Q]]&lt;0.1, " ",Inventory_List_Table34111510911131718141619202122[[#This Row],[AQ USD]])</f>
        <v xml:space="preserve"> </v>
      </c>
      <c r="X3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3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3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39" s="30" t="str">
        <f>IF(Inventory_List_Table34111510911131718141619202122[[#This Row],[Q]]&lt;0.1, " ",Inventory_List_Table34111510911131718141619202122[[#This Row],[PRICE]]/Z39*10000)</f>
        <v xml:space="preserve"> </v>
      </c>
      <c r="AB39" s="484"/>
      <c r="AC39" s="1"/>
      <c r="AD39" s="1"/>
    </row>
    <row r="40" spans="1:30" ht="24" customHeight="1" x14ac:dyDescent="0.3">
      <c r="A40" s="480">
        <v>38</v>
      </c>
      <c r="B40" s="1"/>
      <c r="C40" s="478"/>
      <c r="D40" s="478"/>
      <c r="E40" s="478"/>
      <c r="F40" s="38" t="str">
        <f>IF(Inventory_List_Table34111510911131718141619202122[[#This Row],[Q]]&lt;0.1, " ",#REF!&amp;$D$1&amp;#REF!&amp;Inventory_List_Table34111510911131718141619202122[[#This Row],[NOTES]])</f>
        <v xml:space="preserve"> </v>
      </c>
      <c r="G40" s="481"/>
      <c r="H40" s="481"/>
      <c r="I40" s="481"/>
      <c r="J40" s="481"/>
      <c r="K40" s="481"/>
      <c r="L40" s="483"/>
      <c r="M4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0" s="35" t="str">
        <f>IF(Inventory_List_Table34111510911131718141619202122[[#This Row],[Q]]&lt;0.1, " ", Inventory_List_Table34111510911131718141619202122[[#This Row],[KG]]*2.20462)</f>
        <v xml:space="preserve"> </v>
      </c>
      <c r="O40" s="35" t="str">
        <f>IF(Inventory_List_Table34111510911131718141619202122[[#This Row],[Q]]&lt;0.1, " ",Inventory_List_Table34111510911131718141619202122[[#This Row],[H CM]]/2.54)</f>
        <v xml:space="preserve"> </v>
      </c>
      <c r="P40" s="35" t="str">
        <f>IF(Inventory_List_Table34111510911131718141619202122[[#This Row],[Q]]&lt;0.1, " ",Inventory_List_Table34111510911131718141619202122[[#This Row],[W CM]]/2.54)</f>
        <v xml:space="preserve"> </v>
      </c>
      <c r="Q40" s="35" t="str">
        <f>IF(Inventory_List_Table34111510911131718141619202122[[#This Row],[Q]]&lt;0.1, " ",Inventory_List_Table34111510911131718141619202122[[#This Row],[D CM ]]/2.54)</f>
        <v xml:space="preserve"> </v>
      </c>
      <c r="R40" s="30" t="str">
        <f>IF(Inventory_List_Table34111510911131718141619202122[[#This Row],[Q]]&lt;0.1, " ",Inventory_List_Table34111510911131718141619202122[[#This Row],[PRICE]]/$L$1)</f>
        <v xml:space="preserve"> </v>
      </c>
      <c r="S4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0" s="30" t="str">
        <f>IF(Inventory_List_Table34111510911131718141619202122[[#This Row],[Q]]&lt;0.1, " ",Inventory_List_Table34111510911131718141619202122[[#This Row],[AQ RND USD]]*1.4)</f>
        <v xml:space="preserve"> </v>
      </c>
      <c r="U4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0" s="30" t="str">
        <f>IF(Inventory_List_Table34111510911131718141619202122[[#This Row],[Q]]&lt;0.1, " ",Inventory_List_Table34111510911131718141619202122[[#This Row],[LND RND USD]]*12)</f>
        <v xml:space="preserve"> </v>
      </c>
      <c r="W40" s="30" t="str">
        <f>IF(Inventory_List_Table34111510911131718141619202122[[#This Row],[Q]]&lt;0.1, " ",Inventory_List_Table34111510911131718141619202122[[#This Row],[AQ USD]])</f>
        <v xml:space="preserve"> </v>
      </c>
      <c r="X4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0" s="30" t="str">
        <f>IF(Inventory_List_Table34111510911131718141619202122[[#This Row],[Q]]&lt;0.1, " ",Inventory_List_Table34111510911131718141619202122[[#This Row],[PRICE]]/Z40*10000)</f>
        <v xml:space="preserve"> </v>
      </c>
      <c r="AB40" s="484"/>
      <c r="AC40" s="1"/>
      <c r="AD40" s="1"/>
    </row>
    <row r="41" spans="1:30" ht="24" customHeight="1" x14ac:dyDescent="0.3">
      <c r="A41" s="480">
        <v>39</v>
      </c>
      <c r="B41" s="1"/>
      <c r="C41" s="478"/>
      <c r="D41" s="478"/>
      <c r="E41" s="478"/>
      <c r="F41" s="38" t="str">
        <f>IF(Inventory_List_Table34111510911131718141619202122[[#This Row],[Q]]&lt;0.1, " ",#REF!&amp;$D$1&amp;#REF!&amp;Inventory_List_Table34111510911131718141619202122[[#This Row],[NOTES]])</f>
        <v xml:space="preserve"> </v>
      </c>
      <c r="G41" s="481"/>
      <c r="H41" s="481"/>
      <c r="I41" s="481"/>
      <c r="J41" s="481"/>
      <c r="K41" s="481"/>
      <c r="L41" s="483"/>
      <c r="M4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1" s="35" t="str">
        <f>IF(Inventory_List_Table34111510911131718141619202122[[#This Row],[Q]]&lt;0.1, " ", Inventory_List_Table34111510911131718141619202122[[#This Row],[KG]]*2.20462)</f>
        <v xml:space="preserve"> </v>
      </c>
      <c r="O41" s="35" t="str">
        <f>IF(Inventory_List_Table34111510911131718141619202122[[#This Row],[Q]]&lt;0.1, " ",Inventory_List_Table34111510911131718141619202122[[#This Row],[H CM]]/2.54)</f>
        <v xml:space="preserve"> </v>
      </c>
      <c r="P41" s="35" t="str">
        <f>IF(Inventory_List_Table34111510911131718141619202122[[#This Row],[Q]]&lt;0.1, " ",Inventory_List_Table34111510911131718141619202122[[#This Row],[W CM]]/2.54)</f>
        <v xml:space="preserve"> </v>
      </c>
      <c r="Q41" s="35" t="str">
        <f>IF(Inventory_List_Table34111510911131718141619202122[[#This Row],[Q]]&lt;0.1, " ",Inventory_List_Table34111510911131718141619202122[[#This Row],[D CM ]]/2.54)</f>
        <v xml:space="preserve"> </v>
      </c>
      <c r="R41" s="30" t="str">
        <f>IF(Inventory_List_Table34111510911131718141619202122[[#This Row],[Q]]&lt;0.1, " ",Inventory_List_Table34111510911131718141619202122[[#This Row],[PRICE]]/$L$1)</f>
        <v xml:space="preserve"> </v>
      </c>
      <c r="S4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1" s="30" t="str">
        <f>IF(Inventory_List_Table34111510911131718141619202122[[#This Row],[Q]]&lt;0.1, " ",Inventory_List_Table34111510911131718141619202122[[#This Row],[AQ RND USD]]*1.4)</f>
        <v xml:space="preserve"> </v>
      </c>
      <c r="U4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1" s="30" t="str">
        <f>IF(Inventory_List_Table34111510911131718141619202122[[#This Row],[Q]]&lt;0.1, " ",Inventory_List_Table34111510911131718141619202122[[#This Row],[LND RND USD]]*12)</f>
        <v xml:space="preserve"> </v>
      </c>
      <c r="W41" s="30" t="str">
        <f>IF(Inventory_List_Table34111510911131718141619202122[[#This Row],[Q]]&lt;0.1, " ",Inventory_List_Table34111510911131718141619202122[[#This Row],[AQ USD]])</f>
        <v xml:space="preserve"> </v>
      </c>
      <c r="X4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1" s="30" t="str">
        <f>IF(Inventory_List_Table34111510911131718141619202122[[#This Row],[Q]]&lt;0.1, " ",Inventory_List_Table34111510911131718141619202122[[#This Row],[PRICE]]/Z41*10000)</f>
        <v xml:space="preserve"> </v>
      </c>
      <c r="AB41" s="484"/>
      <c r="AC41" s="1"/>
      <c r="AD41" s="1"/>
    </row>
    <row r="42" spans="1:30" ht="24" customHeight="1" x14ac:dyDescent="0.3">
      <c r="A42" s="480">
        <v>40</v>
      </c>
      <c r="B42" s="1"/>
      <c r="C42" s="478"/>
      <c r="D42" s="478"/>
      <c r="E42" s="478"/>
      <c r="F42" s="38" t="str">
        <f>IF(Inventory_List_Table34111510911131718141619202122[[#This Row],[Q]]&lt;0.1, " ",#REF!&amp;$D$1&amp;#REF!&amp;Inventory_List_Table34111510911131718141619202122[[#This Row],[NOTES]])</f>
        <v xml:space="preserve"> </v>
      </c>
      <c r="G42" s="481"/>
      <c r="H42" s="481"/>
      <c r="I42" s="481"/>
      <c r="J42" s="481"/>
      <c r="K42" s="481"/>
      <c r="L42" s="483"/>
      <c r="M4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2" s="35" t="str">
        <f>IF(Inventory_List_Table34111510911131718141619202122[[#This Row],[Q]]&lt;0.1, " ", Inventory_List_Table34111510911131718141619202122[[#This Row],[KG]]*2.20462)</f>
        <v xml:space="preserve"> </v>
      </c>
      <c r="O42" s="35" t="str">
        <f>IF(Inventory_List_Table34111510911131718141619202122[[#This Row],[Q]]&lt;0.1, " ",Inventory_List_Table34111510911131718141619202122[[#This Row],[H CM]]/2.54)</f>
        <v xml:space="preserve"> </v>
      </c>
      <c r="P42" s="35" t="str">
        <f>IF(Inventory_List_Table34111510911131718141619202122[[#This Row],[Q]]&lt;0.1, " ",Inventory_List_Table34111510911131718141619202122[[#This Row],[W CM]]/2.54)</f>
        <v xml:space="preserve"> </v>
      </c>
      <c r="Q42" s="35" t="str">
        <f>IF(Inventory_List_Table34111510911131718141619202122[[#This Row],[Q]]&lt;0.1, " ",Inventory_List_Table34111510911131718141619202122[[#This Row],[D CM ]]/2.54)</f>
        <v xml:space="preserve"> </v>
      </c>
      <c r="R42" s="30" t="str">
        <f>IF(Inventory_List_Table34111510911131718141619202122[[#This Row],[Q]]&lt;0.1, " ",Inventory_List_Table34111510911131718141619202122[[#This Row],[PRICE]]/$L$1)</f>
        <v xml:space="preserve"> </v>
      </c>
      <c r="S4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2" s="30" t="str">
        <f>IF(Inventory_List_Table34111510911131718141619202122[[#This Row],[Q]]&lt;0.1, " ",Inventory_List_Table34111510911131718141619202122[[#This Row],[AQ RND USD]]*1.4)</f>
        <v xml:space="preserve"> </v>
      </c>
      <c r="U4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2" s="30" t="str">
        <f>IF(Inventory_List_Table34111510911131718141619202122[[#This Row],[Q]]&lt;0.1, " ",Inventory_List_Table34111510911131718141619202122[[#This Row],[LND RND USD]]*12)</f>
        <v xml:space="preserve"> </v>
      </c>
      <c r="W42" s="30" t="str">
        <f>IF(Inventory_List_Table34111510911131718141619202122[[#This Row],[Q]]&lt;0.1, " ",Inventory_List_Table34111510911131718141619202122[[#This Row],[AQ USD]])</f>
        <v xml:space="preserve"> </v>
      </c>
      <c r="X4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2" s="30" t="str">
        <f>IF(Inventory_List_Table34111510911131718141619202122[[#This Row],[Q]]&lt;0.1, " ",Inventory_List_Table34111510911131718141619202122[[#This Row],[PRICE]]/Z42*10000)</f>
        <v xml:space="preserve"> </v>
      </c>
      <c r="AB42" s="484"/>
      <c r="AC42" s="1"/>
      <c r="AD42" s="1"/>
    </row>
    <row r="43" spans="1:30" ht="24" customHeight="1" x14ac:dyDescent="0.3">
      <c r="A43" s="480">
        <v>41</v>
      </c>
      <c r="B43" s="1"/>
      <c r="C43" s="478"/>
      <c r="D43" s="478"/>
      <c r="E43" s="478"/>
      <c r="F43" s="38" t="str">
        <f>IF(Inventory_List_Table34111510911131718141619202122[[#This Row],[Q]]&lt;0.1, " ",#REF!&amp;$D$1&amp;#REF!&amp;Inventory_List_Table34111510911131718141619202122[[#This Row],[NOTES]])</f>
        <v xml:space="preserve"> </v>
      </c>
      <c r="G43" s="481"/>
      <c r="H43" s="481"/>
      <c r="I43" s="481"/>
      <c r="J43" s="481"/>
      <c r="K43" s="481"/>
      <c r="L43" s="483"/>
      <c r="M4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3" s="35" t="str">
        <f>IF(Inventory_List_Table34111510911131718141619202122[[#This Row],[Q]]&lt;0.1, " ", Inventory_List_Table34111510911131718141619202122[[#This Row],[KG]]*2.20462)</f>
        <v xml:space="preserve"> </v>
      </c>
      <c r="O43" s="35" t="str">
        <f>IF(Inventory_List_Table34111510911131718141619202122[[#This Row],[Q]]&lt;0.1, " ",Inventory_List_Table34111510911131718141619202122[[#This Row],[H CM]]/2.54)</f>
        <v xml:space="preserve"> </v>
      </c>
      <c r="P43" s="35" t="str">
        <f>IF(Inventory_List_Table34111510911131718141619202122[[#This Row],[Q]]&lt;0.1, " ",Inventory_List_Table34111510911131718141619202122[[#This Row],[W CM]]/2.54)</f>
        <v xml:space="preserve"> </v>
      </c>
      <c r="Q43" s="35" t="str">
        <f>IF(Inventory_List_Table34111510911131718141619202122[[#This Row],[Q]]&lt;0.1, " ",Inventory_List_Table34111510911131718141619202122[[#This Row],[D CM ]]/2.54)</f>
        <v xml:space="preserve"> </v>
      </c>
      <c r="R43" s="30" t="str">
        <f>IF(Inventory_List_Table34111510911131718141619202122[[#This Row],[Q]]&lt;0.1, " ",Inventory_List_Table34111510911131718141619202122[[#This Row],[PRICE]]/$L$1)</f>
        <v xml:space="preserve"> </v>
      </c>
      <c r="S4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3" s="30" t="str">
        <f>IF(Inventory_List_Table34111510911131718141619202122[[#This Row],[Q]]&lt;0.1, " ",Inventory_List_Table34111510911131718141619202122[[#This Row],[AQ RND USD]]*1.4)</f>
        <v xml:space="preserve"> </v>
      </c>
      <c r="U4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3" s="30" t="str">
        <f>IF(Inventory_List_Table34111510911131718141619202122[[#This Row],[Q]]&lt;0.1, " ",Inventory_List_Table34111510911131718141619202122[[#This Row],[LND RND USD]]*12)</f>
        <v xml:space="preserve"> </v>
      </c>
      <c r="W43" s="30" t="str">
        <f>IF(Inventory_List_Table34111510911131718141619202122[[#This Row],[Q]]&lt;0.1, " ",Inventory_List_Table34111510911131718141619202122[[#This Row],[AQ USD]])</f>
        <v xml:space="preserve"> </v>
      </c>
      <c r="X4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3" s="30" t="str">
        <f>IF(Inventory_List_Table34111510911131718141619202122[[#This Row],[Q]]&lt;0.1, " ",Inventory_List_Table34111510911131718141619202122[[#This Row],[PRICE]]/Z43*10000)</f>
        <v xml:space="preserve"> </v>
      </c>
      <c r="AB43" s="484"/>
      <c r="AC43" s="1"/>
      <c r="AD43" s="1"/>
    </row>
    <row r="44" spans="1:30" ht="24" customHeight="1" x14ac:dyDescent="0.3">
      <c r="A44" s="480">
        <v>42</v>
      </c>
      <c r="B44" s="1"/>
      <c r="C44" s="478"/>
      <c r="D44" s="478"/>
      <c r="E44" s="478"/>
      <c r="F44" s="38" t="str">
        <f>IF(Inventory_List_Table34111510911131718141619202122[[#This Row],[Q]]&lt;0.1, " ",#REF!&amp;$D$1&amp;#REF!&amp;Inventory_List_Table34111510911131718141619202122[[#This Row],[NOTES]])</f>
        <v xml:space="preserve"> </v>
      </c>
      <c r="G44" s="481"/>
      <c r="H44" s="481"/>
      <c r="I44" s="481"/>
      <c r="J44" s="481"/>
      <c r="K44" s="481"/>
      <c r="L44" s="483"/>
      <c r="M4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4" s="35" t="str">
        <f>IF(Inventory_List_Table34111510911131718141619202122[[#This Row],[Q]]&lt;0.1, " ", Inventory_List_Table34111510911131718141619202122[[#This Row],[KG]]*2.20462)</f>
        <v xml:space="preserve"> </v>
      </c>
      <c r="O44" s="35" t="str">
        <f>IF(Inventory_List_Table34111510911131718141619202122[[#This Row],[Q]]&lt;0.1, " ",Inventory_List_Table34111510911131718141619202122[[#This Row],[H CM]]/2.54)</f>
        <v xml:space="preserve"> </v>
      </c>
      <c r="P44" s="35" t="str">
        <f>IF(Inventory_List_Table34111510911131718141619202122[[#This Row],[Q]]&lt;0.1, " ",Inventory_List_Table34111510911131718141619202122[[#This Row],[W CM]]/2.54)</f>
        <v xml:space="preserve"> </v>
      </c>
      <c r="Q44" s="35" t="str">
        <f>IF(Inventory_List_Table34111510911131718141619202122[[#This Row],[Q]]&lt;0.1, " ",Inventory_List_Table34111510911131718141619202122[[#This Row],[D CM ]]/2.54)</f>
        <v xml:space="preserve"> </v>
      </c>
      <c r="R44" s="30" t="str">
        <f>IF(Inventory_List_Table34111510911131718141619202122[[#This Row],[Q]]&lt;0.1, " ",Inventory_List_Table34111510911131718141619202122[[#This Row],[PRICE]]/$L$1)</f>
        <v xml:space="preserve"> </v>
      </c>
      <c r="S4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4" s="30" t="str">
        <f>IF(Inventory_List_Table34111510911131718141619202122[[#This Row],[Q]]&lt;0.1, " ",Inventory_List_Table34111510911131718141619202122[[#This Row],[AQ RND USD]]*1.4)</f>
        <v xml:space="preserve"> </v>
      </c>
      <c r="U4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4" s="30" t="str">
        <f>IF(Inventory_List_Table34111510911131718141619202122[[#This Row],[Q]]&lt;0.1, " ",Inventory_List_Table34111510911131718141619202122[[#This Row],[LND RND USD]]*12)</f>
        <v xml:space="preserve"> </v>
      </c>
      <c r="W44" s="30" t="str">
        <f>IF(Inventory_List_Table34111510911131718141619202122[[#This Row],[Q]]&lt;0.1, " ",Inventory_List_Table34111510911131718141619202122[[#This Row],[AQ USD]])</f>
        <v xml:space="preserve"> </v>
      </c>
      <c r="X4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4" s="30" t="str">
        <f>IF(Inventory_List_Table34111510911131718141619202122[[#This Row],[Q]]&lt;0.1, " ",Inventory_List_Table34111510911131718141619202122[[#This Row],[PRICE]]/Z44*10000)</f>
        <v xml:space="preserve"> </v>
      </c>
      <c r="AB44" s="484"/>
      <c r="AC44" s="1"/>
      <c r="AD44" s="1"/>
    </row>
    <row r="45" spans="1:30" ht="24" customHeight="1" x14ac:dyDescent="0.3">
      <c r="A45" s="480">
        <v>43</v>
      </c>
      <c r="B45" s="1"/>
      <c r="C45" s="478"/>
      <c r="D45" s="478"/>
      <c r="E45" s="478"/>
      <c r="F45" s="38" t="str">
        <f>IF(Inventory_List_Table34111510911131718141619202122[[#This Row],[Q]]&lt;0.1, " ",#REF!&amp;$D$1&amp;#REF!&amp;Inventory_List_Table34111510911131718141619202122[[#This Row],[NOTES]])</f>
        <v xml:space="preserve"> </v>
      </c>
      <c r="G45" s="481"/>
      <c r="H45" s="481"/>
      <c r="I45" s="481"/>
      <c r="J45" s="481"/>
      <c r="K45" s="481"/>
      <c r="L45" s="483"/>
      <c r="M4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5" s="35" t="str">
        <f>IF(Inventory_List_Table34111510911131718141619202122[[#This Row],[Q]]&lt;0.1, " ", Inventory_List_Table34111510911131718141619202122[[#This Row],[KG]]*2.20462)</f>
        <v xml:space="preserve"> </v>
      </c>
      <c r="O45" s="35" t="str">
        <f>IF(Inventory_List_Table34111510911131718141619202122[[#This Row],[Q]]&lt;0.1, " ",Inventory_List_Table34111510911131718141619202122[[#This Row],[H CM]]/2.54)</f>
        <v xml:space="preserve"> </v>
      </c>
      <c r="P45" s="35" t="str">
        <f>IF(Inventory_List_Table34111510911131718141619202122[[#This Row],[Q]]&lt;0.1, " ",Inventory_List_Table34111510911131718141619202122[[#This Row],[W CM]]/2.54)</f>
        <v xml:space="preserve"> </v>
      </c>
      <c r="Q45" s="35" t="str">
        <f>IF(Inventory_List_Table34111510911131718141619202122[[#This Row],[Q]]&lt;0.1, " ",Inventory_List_Table34111510911131718141619202122[[#This Row],[D CM ]]/2.54)</f>
        <v xml:space="preserve"> </v>
      </c>
      <c r="R45" s="30" t="str">
        <f>IF(Inventory_List_Table34111510911131718141619202122[[#This Row],[Q]]&lt;0.1, " ",Inventory_List_Table34111510911131718141619202122[[#This Row],[PRICE]]/$L$1)</f>
        <v xml:space="preserve"> </v>
      </c>
      <c r="S4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5" s="30" t="str">
        <f>IF(Inventory_List_Table34111510911131718141619202122[[#This Row],[Q]]&lt;0.1, " ",Inventory_List_Table34111510911131718141619202122[[#This Row],[AQ RND USD]]*1.4)</f>
        <v xml:space="preserve"> </v>
      </c>
      <c r="U4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5" s="30" t="str">
        <f>IF(Inventory_List_Table34111510911131718141619202122[[#This Row],[Q]]&lt;0.1, " ",Inventory_List_Table34111510911131718141619202122[[#This Row],[LND RND USD]]*12)</f>
        <v xml:space="preserve"> </v>
      </c>
      <c r="W45" s="30" t="str">
        <f>IF(Inventory_List_Table34111510911131718141619202122[[#This Row],[Q]]&lt;0.1, " ",Inventory_List_Table34111510911131718141619202122[[#This Row],[AQ USD]])</f>
        <v xml:space="preserve"> </v>
      </c>
      <c r="X4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5" s="30" t="str">
        <f>IF(Inventory_List_Table34111510911131718141619202122[[#This Row],[Q]]&lt;0.1, " ",Inventory_List_Table34111510911131718141619202122[[#This Row],[PRICE]]/Z45*10000)</f>
        <v xml:space="preserve"> </v>
      </c>
      <c r="AB45" s="484"/>
      <c r="AC45" s="1"/>
      <c r="AD45" s="1"/>
    </row>
    <row r="46" spans="1:30" ht="24" customHeight="1" x14ac:dyDescent="0.3">
      <c r="A46" s="480">
        <v>44</v>
      </c>
      <c r="B46" s="1"/>
      <c r="C46" s="478"/>
      <c r="D46" s="478"/>
      <c r="E46" s="478"/>
      <c r="F46" s="38" t="str">
        <f>IF(Inventory_List_Table34111510911131718141619202122[[#This Row],[Q]]&lt;0.1, " ",#REF!&amp;$D$1&amp;#REF!&amp;Inventory_List_Table34111510911131718141619202122[[#This Row],[NOTES]])</f>
        <v xml:space="preserve"> </v>
      </c>
      <c r="G46" s="481"/>
      <c r="H46" s="481"/>
      <c r="I46" s="481"/>
      <c r="J46" s="481"/>
      <c r="K46" s="481"/>
      <c r="L46" s="483"/>
      <c r="M4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6" s="35" t="str">
        <f>IF(Inventory_List_Table34111510911131718141619202122[[#This Row],[Q]]&lt;0.1, " ", Inventory_List_Table34111510911131718141619202122[[#This Row],[KG]]*2.20462)</f>
        <v xml:space="preserve"> </v>
      </c>
      <c r="O46" s="35" t="str">
        <f>IF(Inventory_List_Table34111510911131718141619202122[[#This Row],[Q]]&lt;0.1, " ",Inventory_List_Table34111510911131718141619202122[[#This Row],[H CM]]/2.54)</f>
        <v xml:space="preserve"> </v>
      </c>
      <c r="P46" s="35" t="str">
        <f>IF(Inventory_List_Table34111510911131718141619202122[[#This Row],[Q]]&lt;0.1, " ",Inventory_List_Table34111510911131718141619202122[[#This Row],[W CM]]/2.54)</f>
        <v xml:space="preserve"> </v>
      </c>
      <c r="Q46" s="35" t="str">
        <f>IF(Inventory_List_Table34111510911131718141619202122[[#This Row],[Q]]&lt;0.1, " ",Inventory_List_Table34111510911131718141619202122[[#This Row],[D CM ]]/2.54)</f>
        <v xml:space="preserve"> </v>
      </c>
      <c r="R46" s="30" t="str">
        <f>IF(Inventory_List_Table34111510911131718141619202122[[#This Row],[Q]]&lt;0.1, " ",Inventory_List_Table34111510911131718141619202122[[#This Row],[PRICE]]/$L$1)</f>
        <v xml:space="preserve"> </v>
      </c>
      <c r="S4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6" s="30" t="str">
        <f>IF(Inventory_List_Table34111510911131718141619202122[[#This Row],[Q]]&lt;0.1, " ",Inventory_List_Table34111510911131718141619202122[[#This Row],[AQ RND USD]]*1.4)</f>
        <v xml:space="preserve"> </v>
      </c>
      <c r="U4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6" s="30" t="str">
        <f>IF(Inventory_List_Table34111510911131718141619202122[[#This Row],[Q]]&lt;0.1, " ",Inventory_List_Table34111510911131718141619202122[[#This Row],[LND RND USD]]*12)</f>
        <v xml:space="preserve"> </v>
      </c>
      <c r="W46" s="30" t="str">
        <f>IF(Inventory_List_Table34111510911131718141619202122[[#This Row],[Q]]&lt;0.1, " ",Inventory_List_Table34111510911131718141619202122[[#This Row],[AQ USD]])</f>
        <v xml:space="preserve"> </v>
      </c>
      <c r="X4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6" s="30" t="str">
        <f>IF(Inventory_List_Table34111510911131718141619202122[[#This Row],[Q]]&lt;0.1, " ",Inventory_List_Table34111510911131718141619202122[[#This Row],[PRICE]]/Z46*10000)</f>
        <v xml:space="preserve"> </v>
      </c>
      <c r="AB46" s="484"/>
      <c r="AC46" s="1"/>
      <c r="AD46" s="1"/>
    </row>
    <row r="47" spans="1:30" ht="24" customHeight="1" x14ac:dyDescent="0.3">
      <c r="A47" s="480">
        <v>45</v>
      </c>
      <c r="B47" s="1"/>
      <c r="C47" s="478"/>
      <c r="D47" s="478"/>
      <c r="E47" s="478"/>
      <c r="F47" s="38" t="str">
        <f>IF(Inventory_List_Table34111510911131718141619202122[[#This Row],[Q]]&lt;0.1, " ",#REF!&amp;$D$1&amp;#REF!&amp;Inventory_List_Table34111510911131718141619202122[[#This Row],[NOTES]])</f>
        <v xml:space="preserve"> </v>
      </c>
      <c r="G47" s="481"/>
      <c r="H47" s="481"/>
      <c r="I47" s="481"/>
      <c r="J47" s="481"/>
      <c r="K47" s="481"/>
      <c r="L47" s="483"/>
      <c r="M4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7" s="35" t="str">
        <f>IF(Inventory_List_Table34111510911131718141619202122[[#This Row],[Q]]&lt;0.1, " ", Inventory_List_Table34111510911131718141619202122[[#This Row],[KG]]*2.20462)</f>
        <v xml:space="preserve"> </v>
      </c>
      <c r="O47" s="35" t="str">
        <f>IF(Inventory_List_Table34111510911131718141619202122[[#This Row],[Q]]&lt;0.1, " ",Inventory_List_Table34111510911131718141619202122[[#This Row],[H CM]]/2.54)</f>
        <v xml:space="preserve"> </v>
      </c>
      <c r="P47" s="35" t="str">
        <f>IF(Inventory_List_Table34111510911131718141619202122[[#This Row],[Q]]&lt;0.1, " ",Inventory_List_Table34111510911131718141619202122[[#This Row],[W CM]]/2.54)</f>
        <v xml:space="preserve"> </v>
      </c>
      <c r="Q47" s="35" t="str">
        <f>IF(Inventory_List_Table34111510911131718141619202122[[#This Row],[Q]]&lt;0.1, " ",Inventory_List_Table34111510911131718141619202122[[#This Row],[D CM ]]/2.54)</f>
        <v xml:space="preserve"> </v>
      </c>
      <c r="R47" s="30" t="str">
        <f>IF(Inventory_List_Table34111510911131718141619202122[[#This Row],[Q]]&lt;0.1, " ",Inventory_List_Table34111510911131718141619202122[[#This Row],[PRICE]]/$L$1)</f>
        <v xml:space="preserve"> </v>
      </c>
      <c r="S4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7" s="30" t="str">
        <f>IF(Inventory_List_Table34111510911131718141619202122[[#This Row],[Q]]&lt;0.1, " ",Inventory_List_Table34111510911131718141619202122[[#This Row],[AQ RND USD]]*1.4)</f>
        <v xml:space="preserve"> </v>
      </c>
      <c r="U4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7" s="30" t="str">
        <f>IF(Inventory_List_Table34111510911131718141619202122[[#This Row],[Q]]&lt;0.1, " ",Inventory_List_Table34111510911131718141619202122[[#This Row],[LND RND USD]]*12)</f>
        <v xml:space="preserve"> </v>
      </c>
      <c r="W47" s="30" t="str">
        <f>IF(Inventory_List_Table34111510911131718141619202122[[#This Row],[Q]]&lt;0.1, " ",Inventory_List_Table34111510911131718141619202122[[#This Row],[AQ USD]])</f>
        <v xml:space="preserve"> </v>
      </c>
      <c r="X4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7" s="30" t="str">
        <f>IF(Inventory_List_Table34111510911131718141619202122[[#This Row],[Q]]&lt;0.1, " ",Inventory_List_Table34111510911131718141619202122[[#This Row],[PRICE]]/Z47*10000)</f>
        <v xml:space="preserve"> </v>
      </c>
      <c r="AB47" s="484"/>
      <c r="AC47" s="1"/>
      <c r="AD47" s="1"/>
    </row>
    <row r="48" spans="1:30" ht="24" customHeight="1" x14ac:dyDescent="0.3">
      <c r="A48" s="480">
        <v>46</v>
      </c>
      <c r="B48" s="1"/>
      <c r="C48" s="478"/>
      <c r="D48" s="478"/>
      <c r="E48" s="478"/>
      <c r="F48" s="38" t="str">
        <f>IF(Inventory_List_Table34111510911131718141619202122[[#This Row],[Q]]&lt;0.1, " ",#REF!&amp;$D$1&amp;#REF!&amp;Inventory_List_Table34111510911131718141619202122[[#This Row],[NOTES]])</f>
        <v xml:space="preserve"> </v>
      </c>
      <c r="G48" s="481"/>
      <c r="H48" s="481"/>
      <c r="I48" s="481"/>
      <c r="J48" s="481"/>
      <c r="K48" s="481"/>
      <c r="L48" s="483"/>
      <c r="M4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8" s="35" t="str">
        <f>IF(Inventory_List_Table34111510911131718141619202122[[#This Row],[Q]]&lt;0.1, " ", Inventory_List_Table34111510911131718141619202122[[#This Row],[KG]]*2.20462)</f>
        <v xml:space="preserve"> </v>
      </c>
      <c r="O48" s="35" t="str">
        <f>IF(Inventory_List_Table34111510911131718141619202122[[#This Row],[Q]]&lt;0.1, " ",Inventory_List_Table34111510911131718141619202122[[#This Row],[H CM]]/2.54)</f>
        <v xml:space="preserve"> </v>
      </c>
      <c r="P48" s="35" t="str">
        <f>IF(Inventory_List_Table34111510911131718141619202122[[#This Row],[Q]]&lt;0.1, " ",Inventory_List_Table34111510911131718141619202122[[#This Row],[W CM]]/2.54)</f>
        <v xml:space="preserve"> </v>
      </c>
      <c r="Q48" s="35" t="str">
        <f>IF(Inventory_List_Table34111510911131718141619202122[[#This Row],[Q]]&lt;0.1, " ",Inventory_List_Table34111510911131718141619202122[[#This Row],[D CM ]]/2.54)</f>
        <v xml:space="preserve"> </v>
      </c>
      <c r="R48" s="30" t="str">
        <f>IF(Inventory_List_Table34111510911131718141619202122[[#This Row],[Q]]&lt;0.1, " ",Inventory_List_Table34111510911131718141619202122[[#This Row],[PRICE]]/$L$1)</f>
        <v xml:space="preserve"> </v>
      </c>
      <c r="S4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8" s="30" t="str">
        <f>IF(Inventory_List_Table34111510911131718141619202122[[#This Row],[Q]]&lt;0.1, " ",Inventory_List_Table34111510911131718141619202122[[#This Row],[AQ RND USD]]*1.4)</f>
        <v xml:space="preserve"> </v>
      </c>
      <c r="U4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8" s="30" t="str">
        <f>IF(Inventory_List_Table34111510911131718141619202122[[#This Row],[Q]]&lt;0.1, " ",Inventory_List_Table34111510911131718141619202122[[#This Row],[LND RND USD]]*12)</f>
        <v xml:space="preserve"> </v>
      </c>
      <c r="W48" s="30" t="str">
        <f>IF(Inventory_List_Table34111510911131718141619202122[[#This Row],[Q]]&lt;0.1, " ",Inventory_List_Table34111510911131718141619202122[[#This Row],[AQ USD]])</f>
        <v xml:space="preserve"> </v>
      </c>
      <c r="X4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8" s="30" t="str">
        <f>IF(Inventory_List_Table34111510911131718141619202122[[#This Row],[Q]]&lt;0.1, " ",Inventory_List_Table34111510911131718141619202122[[#This Row],[PRICE]]/Z48*10000)</f>
        <v xml:space="preserve"> </v>
      </c>
      <c r="AB48" s="484"/>
      <c r="AC48" s="1"/>
      <c r="AD48" s="1"/>
    </row>
    <row r="49" spans="1:30" ht="24" customHeight="1" x14ac:dyDescent="0.3">
      <c r="A49" s="480">
        <v>47</v>
      </c>
      <c r="B49" s="1"/>
      <c r="C49" s="478"/>
      <c r="D49" s="478"/>
      <c r="E49" s="478"/>
      <c r="F49" s="38" t="str">
        <f>IF(Inventory_List_Table34111510911131718141619202122[[#This Row],[Q]]&lt;0.1, " ",#REF!&amp;$D$1&amp;#REF!&amp;Inventory_List_Table34111510911131718141619202122[[#This Row],[NOTES]])</f>
        <v xml:space="preserve"> </v>
      </c>
      <c r="G49" s="481"/>
      <c r="H49" s="481"/>
      <c r="I49" s="481"/>
      <c r="J49" s="481"/>
      <c r="K49" s="481"/>
      <c r="L49" s="483"/>
      <c r="M4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49" s="35" t="str">
        <f>IF(Inventory_List_Table34111510911131718141619202122[[#This Row],[Q]]&lt;0.1, " ", Inventory_List_Table34111510911131718141619202122[[#This Row],[KG]]*2.20462)</f>
        <v xml:space="preserve"> </v>
      </c>
      <c r="O49" s="35" t="str">
        <f>IF(Inventory_List_Table34111510911131718141619202122[[#This Row],[Q]]&lt;0.1, " ",Inventory_List_Table34111510911131718141619202122[[#This Row],[H CM]]/2.54)</f>
        <v xml:space="preserve"> </v>
      </c>
      <c r="P49" s="35" t="str">
        <f>IF(Inventory_List_Table34111510911131718141619202122[[#This Row],[Q]]&lt;0.1, " ",Inventory_List_Table34111510911131718141619202122[[#This Row],[W CM]]/2.54)</f>
        <v xml:space="preserve"> </v>
      </c>
      <c r="Q49" s="35" t="str">
        <f>IF(Inventory_List_Table34111510911131718141619202122[[#This Row],[Q]]&lt;0.1, " ",Inventory_List_Table34111510911131718141619202122[[#This Row],[D CM ]]/2.54)</f>
        <v xml:space="preserve"> </v>
      </c>
      <c r="R49" s="30" t="str">
        <f>IF(Inventory_List_Table34111510911131718141619202122[[#This Row],[Q]]&lt;0.1, " ",Inventory_List_Table34111510911131718141619202122[[#This Row],[PRICE]]/$L$1)</f>
        <v xml:space="preserve"> </v>
      </c>
      <c r="S4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49" s="30" t="str">
        <f>IF(Inventory_List_Table34111510911131718141619202122[[#This Row],[Q]]&lt;0.1, " ",Inventory_List_Table34111510911131718141619202122[[#This Row],[AQ RND USD]]*1.4)</f>
        <v xml:space="preserve"> </v>
      </c>
      <c r="U4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49" s="30" t="str">
        <f>IF(Inventory_List_Table34111510911131718141619202122[[#This Row],[Q]]&lt;0.1, " ",Inventory_List_Table34111510911131718141619202122[[#This Row],[LND RND USD]]*12)</f>
        <v xml:space="preserve"> </v>
      </c>
      <c r="W49" s="30" t="str">
        <f>IF(Inventory_List_Table34111510911131718141619202122[[#This Row],[Q]]&lt;0.1, " ",Inventory_List_Table34111510911131718141619202122[[#This Row],[AQ USD]])</f>
        <v xml:space="preserve"> </v>
      </c>
      <c r="X4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4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4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49" s="30" t="str">
        <f>IF(Inventory_List_Table34111510911131718141619202122[[#This Row],[Q]]&lt;0.1, " ",Inventory_List_Table34111510911131718141619202122[[#This Row],[PRICE]]/Z49*10000)</f>
        <v xml:space="preserve"> </v>
      </c>
      <c r="AB49" s="484"/>
      <c r="AC49" s="1"/>
      <c r="AD49" s="1"/>
    </row>
    <row r="50" spans="1:30" ht="24" customHeight="1" x14ac:dyDescent="0.3">
      <c r="A50" s="480">
        <v>48</v>
      </c>
      <c r="B50" s="1"/>
      <c r="C50" s="478"/>
      <c r="D50" s="478"/>
      <c r="E50" s="478"/>
      <c r="F50" s="38" t="str">
        <f>IF(Inventory_List_Table34111510911131718141619202122[[#This Row],[Q]]&lt;0.1, " ",#REF!&amp;$D$1&amp;#REF!&amp;Inventory_List_Table34111510911131718141619202122[[#This Row],[NOTES]])</f>
        <v xml:space="preserve"> </v>
      </c>
      <c r="G50" s="481"/>
      <c r="H50" s="481"/>
      <c r="I50" s="481"/>
      <c r="J50" s="481"/>
      <c r="K50" s="481"/>
      <c r="L50" s="483"/>
      <c r="M5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0" s="35" t="str">
        <f>IF(Inventory_List_Table34111510911131718141619202122[[#This Row],[Q]]&lt;0.1, " ", Inventory_List_Table34111510911131718141619202122[[#This Row],[KG]]*2.20462)</f>
        <v xml:space="preserve"> </v>
      </c>
      <c r="O50" s="35" t="str">
        <f>IF(Inventory_List_Table34111510911131718141619202122[[#This Row],[Q]]&lt;0.1, " ",Inventory_List_Table34111510911131718141619202122[[#This Row],[H CM]]/2.54)</f>
        <v xml:space="preserve"> </v>
      </c>
      <c r="P50" s="35" t="str">
        <f>IF(Inventory_List_Table34111510911131718141619202122[[#This Row],[Q]]&lt;0.1, " ",Inventory_List_Table34111510911131718141619202122[[#This Row],[W CM]]/2.54)</f>
        <v xml:space="preserve"> </v>
      </c>
      <c r="Q50" s="35" t="str">
        <f>IF(Inventory_List_Table34111510911131718141619202122[[#This Row],[Q]]&lt;0.1, " ",Inventory_List_Table34111510911131718141619202122[[#This Row],[D CM ]]/2.54)</f>
        <v xml:space="preserve"> </v>
      </c>
      <c r="R50" s="30" t="str">
        <f>IF(Inventory_List_Table34111510911131718141619202122[[#This Row],[Q]]&lt;0.1, " ",Inventory_List_Table34111510911131718141619202122[[#This Row],[PRICE]]/$L$1)</f>
        <v xml:space="preserve"> </v>
      </c>
      <c r="S5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0" s="30" t="str">
        <f>IF(Inventory_List_Table34111510911131718141619202122[[#This Row],[Q]]&lt;0.1, " ",Inventory_List_Table34111510911131718141619202122[[#This Row],[AQ RND USD]]*1.4)</f>
        <v xml:space="preserve"> </v>
      </c>
      <c r="U5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0" s="30" t="str">
        <f>IF(Inventory_List_Table34111510911131718141619202122[[#This Row],[Q]]&lt;0.1, " ",Inventory_List_Table34111510911131718141619202122[[#This Row],[LND RND USD]]*12)</f>
        <v xml:space="preserve"> </v>
      </c>
      <c r="W50" s="30" t="str">
        <f>IF(Inventory_List_Table34111510911131718141619202122[[#This Row],[Q]]&lt;0.1, " ",Inventory_List_Table34111510911131718141619202122[[#This Row],[AQ USD]])</f>
        <v xml:space="preserve"> </v>
      </c>
      <c r="X5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0" s="30" t="str">
        <f>IF(Inventory_List_Table34111510911131718141619202122[[#This Row],[Q]]&lt;0.1, " ",Inventory_List_Table34111510911131718141619202122[[#This Row],[PRICE]]/Z50*10000)</f>
        <v xml:space="preserve"> </v>
      </c>
      <c r="AB50" s="484"/>
      <c r="AC50" s="1"/>
      <c r="AD50" s="1"/>
    </row>
    <row r="51" spans="1:30" ht="24" customHeight="1" x14ac:dyDescent="0.3">
      <c r="A51" s="480">
        <v>49</v>
      </c>
      <c r="B51" s="1"/>
      <c r="C51" s="478"/>
      <c r="D51" s="478"/>
      <c r="E51" s="478"/>
      <c r="F51" s="38" t="str">
        <f>IF(Inventory_List_Table34111510911131718141619202122[[#This Row],[Q]]&lt;0.1, " ",#REF!&amp;$D$1&amp;#REF!&amp;Inventory_List_Table34111510911131718141619202122[[#This Row],[NOTES]])</f>
        <v xml:space="preserve"> </v>
      </c>
      <c r="G51" s="481"/>
      <c r="H51" s="481"/>
      <c r="I51" s="481"/>
      <c r="J51" s="481"/>
      <c r="K51" s="481"/>
      <c r="L51" s="483"/>
      <c r="M5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1" s="35" t="str">
        <f>IF(Inventory_List_Table34111510911131718141619202122[[#This Row],[Q]]&lt;0.1, " ", Inventory_List_Table34111510911131718141619202122[[#This Row],[KG]]*2.20462)</f>
        <v xml:space="preserve"> </v>
      </c>
      <c r="O51" s="35" t="str">
        <f>IF(Inventory_List_Table34111510911131718141619202122[[#This Row],[Q]]&lt;0.1, " ",Inventory_List_Table34111510911131718141619202122[[#This Row],[H CM]]/2.54)</f>
        <v xml:space="preserve"> </v>
      </c>
      <c r="P51" s="35" t="str">
        <f>IF(Inventory_List_Table34111510911131718141619202122[[#This Row],[Q]]&lt;0.1, " ",Inventory_List_Table34111510911131718141619202122[[#This Row],[W CM]]/2.54)</f>
        <v xml:space="preserve"> </v>
      </c>
      <c r="Q51" s="35" t="str">
        <f>IF(Inventory_List_Table34111510911131718141619202122[[#This Row],[Q]]&lt;0.1, " ",Inventory_List_Table34111510911131718141619202122[[#This Row],[D CM ]]/2.54)</f>
        <v xml:space="preserve"> </v>
      </c>
      <c r="R51" s="30" t="str">
        <f>IF(Inventory_List_Table34111510911131718141619202122[[#This Row],[Q]]&lt;0.1, " ",Inventory_List_Table34111510911131718141619202122[[#This Row],[PRICE]]/$L$1)</f>
        <v xml:space="preserve"> </v>
      </c>
      <c r="S5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1" s="30" t="str">
        <f>IF(Inventory_List_Table34111510911131718141619202122[[#This Row],[Q]]&lt;0.1, " ",Inventory_List_Table34111510911131718141619202122[[#This Row],[AQ RND USD]]*1.4)</f>
        <v xml:space="preserve"> </v>
      </c>
      <c r="U5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1" s="30" t="str">
        <f>IF(Inventory_List_Table34111510911131718141619202122[[#This Row],[Q]]&lt;0.1, " ",Inventory_List_Table34111510911131718141619202122[[#This Row],[LND RND USD]]*12)</f>
        <v xml:space="preserve"> </v>
      </c>
      <c r="W51" s="30" t="str">
        <f>IF(Inventory_List_Table34111510911131718141619202122[[#This Row],[Q]]&lt;0.1, " ",Inventory_List_Table34111510911131718141619202122[[#This Row],[AQ USD]])</f>
        <v xml:space="preserve"> </v>
      </c>
      <c r="X5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1" s="30" t="str">
        <f>IF(Inventory_List_Table34111510911131718141619202122[[#This Row],[Q]]&lt;0.1, " ",Inventory_List_Table34111510911131718141619202122[[#This Row],[PRICE]]/Z51*10000)</f>
        <v xml:space="preserve"> </v>
      </c>
      <c r="AB51" s="484"/>
      <c r="AC51" s="1"/>
      <c r="AD51" s="1"/>
    </row>
    <row r="52" spans="1:30" ht="24" customHeight="1" x14ac:dyDescent="0.3">
      <c r="A52" s="480">
        <v>50</v>
      </c>
      <c r="B52" s="1"/>
      <c r="C52" s="478"/>
      <c r="D52" s="478"/>
      <c r="E52" s="478"/>
      <c r="F52" s="38" t="str">
        <f>IF(Inventory_List_Table34111510911131718141619202122[[#This Row],[Q]]&lt;0.1, " ",#REF!&amp;$D$1&amp;#REF!&amp;Inventory_List_Table34111510911131718141619202122[[#This Row],[NOTES]])</f>
        <v xml:space="preserve"> </v>
      </c>
      <c r="G52" s="481"/>
      <c r="H52" s="481"/>
      <c r="I52" s="481"/>
      <c r="J52" s="481"/>
      <c r="K52" s="481"/>
      <c r="L52" s="483"/>
      <c r="M5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2" s="35" t="str">
        <f>IF(Inventory_List_Table34111510911131718141619202122[[#This Row],[Q]]&lt;0.1, " ", Inventory_List_Table34111510911131718141619202122[[#This Row],[KG]]*2.20462)</f>
        <v xml:space="preserve"> </v>
      </c>
      <c r="O52" s="35" t="str">
        <f>IF(Inventory_List_Table34111510911131718141619202122[[#This Row],[Q]]&lt;0.1, " ",Inventory_List_Table34111510911131718141619202122[[#This Row],[H CM]]/2.54)</f>
        <v xml:space="preserve"> </v>
      </c>
      <c r="P52" s="35" t="str">
        <f>IF(Inventory_List_Table34111510911131718141619202122[[#This Row],[Q]]&lt;0.1, " ",Inventory_List_Table34111510911131718141619202122[[#This Row],[W CM]]/2.54)</f>
        <v xml:space="preserve"> </v>
      </c>
      <c r="Q52" s="35" t="str">
        <f>IF(Inventory_List_Table34111510911131718141619202122[[#This Row],[Q]]&lt;0.1, " ",Inventory_List_Table34111510911131718141619202122[[#This Row],[D CM ]]/2.54)</f>
        <v xml:space="preserve"> </v>
      </c>
      <c r="R52" s="30" t="str">
        <f>IF(Inventory_List_Table34111510911131718141619202122[[#This Row],[Q]]&lt;0.1, " ",Inventory_List_Table34111510911131718141619202122[[#This Row],[PRICE]]/$L$1)</f>
        <v xml:space="preserve"> </v>
      </c>
      <c r="S5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2" s="30" t="str">
        <f>IF(Inventory_List_Table34111510911131718141619202122[[#This Row],[Q]]&lt;0.1, " ",Inventory_List_Table34111510911131718141619202122[[#This Row],[AQ RND USD]]*1.4)</f>
        <v xml:space="preserve"> </v>
      </c>
      <c r="U5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2" s="30" t="str">
        <f>IF(Inventory_List_Table34111510911131718141619202122[[#This Row],[Q]]&lt;0.1, " ",Inventory_List_Table34111510911131718141619202122[[#This Row],[LND RND USD]]*12)</f>
        <v xml:space="preserve"> </v>
      </c>
      <c r="W52" s="30" t="str">
        <f>IF(Inventory_List_Table34111510911131718141619202122[[#This Row],[Q]]&lt;0.1, " ",Inventory_List_Table34111510911131718141619202122[[#This Row],[AQ USD]])</f>
        <v xml:space="preserve"> </v>
      </c>
      <c r="X5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2" s="30" t="str">
        <f>IF(Inventory_List_Table34111510911131718141619202122[[#This Row],[Q]]&lt;0.1, " ",Inventory_List_Table34111510911131718141619202122[[#This Row],[PRICE]]/Z52*10000)</f>
        <v xml:space="preserve"> </v>
      </c>
      <c r="AB52" s="484"/>
      <c r="AC52" s="1"/>
      <c r="AD52" s="1"/>
    </row>
    <row r="53" spans="1:30" ht="24" customHeight="1" x14ac:dyDescent="0.3">
      <c r="A53" s="480">
        <v>51</v>
      </c>
      <c r="B53" s="1"/>
      <c r="C53" s="478"/>
      <c r="D53" s="478"/>
      <c r="E53" s="478"/>
      <c r="F53" s="38" t="str">
        <f>IF(Inventory_List_Table34111510911131718141619202122[[#This Row],[Q]]&lt;0.1, " ",#REF!&amp;$D$1&amp;#REF!&amp;Inventory_List_Table34111510911131718141619202122[[#This Row],[NOTES]])</f>
        <v xml:space="preserve"> </v>
      </c>
      <c r="G53" s="481"/>
      <c r="H53" s="481"/>
      <c r="I53" s="481"/>
      <c r="J53" s="481"/>
      <c r="K53" s="481"/>
      <c r="L53" s="483"/>
      <c r="M5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3" s="35" t="str">
        <f>IF(Inventory_List_Table34111510911131718141619202122[[#This Row],[Q]]&lt;0.1, " ", Inventory_List_Table34111510911131718141619202122[[#This Row],[KG]]*2.20462)</f>
        <v xml:space="preserve"> </v>
      </c>
      <c r="O53" s="35" t="str">
        <f>IF(Inventory_List_Table34111510911131718141619202122[[#This Row],[Q]]&lt;0.1, " ",Inventory_List_Table34111510911131718141619202122[[#This Row],[H CM]]/2.54)</f>
        <v xml:space="preserve"> </v>
      </c>
      <c r="P53" s="35" t="str">
        <f>IF(Inventory_List_Table34111510911131718141619202122[[#This Row],[Q]]&lt;0.1, " ",Inventory_List_Table34111510911131718141619202122[[#This Row],[W CM]]/2.54)</f>
        <v xml:space="preserve"> </v>
      </c>
      <c r="Q53" s="35" t="str">
        <f>IF(Inventory_List_Table34111510911131718141619202122[[#This Row],[Q]]&lt;0.1, " ",Inventory_List_Table34111510911131718141619202122[[#This Row],[D CM ]]/2.54)</f>
        <v xml:space="preserve"> </v>
      </c>
      <c r="R53" s="30" t="str">
        <f>IF(Inventory_List_Table34111510911131718141619202122[[#This Row],[Q]]&lt;0.1, " ",Inventory_List_Table34111510911131718141619202122[[#This Row],[PRICE]]/$L$1)</f>
        <v xml:space="preserve"> </v>
      </c>
      <c r="S5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3" s="30" t="str">
        <f>IF(Inventory_List_Table34111510911131718141619202122[[#This Row],[Q]]&lt;0.1, " ",Inventory_List_Table34111510911131718141619202122[[#This Row],[AQ RND USD]]*1.4)</f>
        <v xml:space="preserve"> </v>
      </c>
      <c r="U5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3" s="30" t="str">
        <f>IF(Inventory_List_Table34111510911131718141619202122[[#This Row],[Q]]&lt;0.1, " ",Inventory_List_Table34111510911131718141619202122[[#This Row],[LND RND USD]]*12)</f>
        <v xml:space="preserve"> </v>
      </c>
      <c r="W53" s="30" t="str">
        <f>IF(Inventory_List_Table34111510911131718141619202122[[#This Row],[Q]]&lt;0.1, " ",Inventory_List_Table34111510911131718141619202122[[#This Row],[AQ USD]])</f>
        <v xml:space="preserve"> </v>
      </c>
      <c r="X5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3" s="30" t="str">
        <f>IF(Inventory_List_Table34111510911131718141619202122[[#This Row],[Q]]&lt;0.1, " ",Inventory_List_Table34111510911131718141619202122[[#This Row],[PRICE]]/Z53*10000)</f>
        <v xml:space="preserve"> </v>
      </c>
      <c r="AB53" s="484"/>
      <c r="AC53" s="1"/>
      <c r="AD53" s="1"/>
    </row>
    <row r="54" spans="1:30" ht="24" customHeight="1" x14ac:dyDescent="0.3">
      <c r="A54" s="480">
        <v>52</v>
      </c>
      <c r="B54" s="1"/>
      <c r="C54" s="478"/>
      <c r="D54" s="478"/>
      <c r="E54" s="478"/>
      <c r="F54" s="38" t="str">
        <f>IF(Inventory_List_Table34111510911131718141619202122[[#This Row],[Q]]&lt;0.1, " ",#REF!&amp;$D$1&amp;#REF!&amp;Inventory_List_Table34111510911131718141619202122[[#This Row],[NOTES]])</f>
        <v xml:space="preserve"> </v>
      </c>
      <c r="G54" s="481"/>
      <c r="H54" s="481"/>
      <c r="I54" s="481"/>
      <c r="J54" s="481"/>
      <c r="K54" s="481"/>
      <c r="L54" s="483"/>
      <c r="M5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4" s="35" t="str">
        <f>IF(Inventory_List_Table34111510911131718141619202122[[#This Row],[Q]]&lt;0.1, " ", Inventory_List_Table34111510911131718141619202122[[#This Row],[KG]]*2.20462)</f>
        <v xml:space="preserve"> </v>
      </c>
      <c r="O54" s="35" t="str">
        <f>IF(Inventory_List_Table34111510911131718141619202122[[#This Row],[Q]]&lt;0.1, " ",Inventory_List_Table34111510911131718141619202122[[#This Row],[H CM]]/2.54)</f>
        <v xml:space="preserve"> </v>
      </c>
      <c r="P54" s="35" t="str">
        <f>IF(Inventory_List_Table34111510911131718141619202122[[#This Row],[Q]]&lt;0.1, " ",Inventory_List_Table34111510911131718141619202122[[#This Row],[W CM]]/2.54)</f>
        <v xml:space="preserve"> </v>
      </c>
      <c r="Q54" s="35" t="str">
        <f>IF(Inventory_List_Table34111510911131718141619202122[[#This Row],[Q]]&lt;0.1, " ",Inventory_List_Table34111510911131718141619202122[[#This Row],[D CM ]]/2.54)</f>
        <v xml:space="preserve"> </v>
      </c>
      <c r="R54" s="30" t="str">
        <f>IF(Inventory_List_Table34111510911131718141619202122[[#This Row],[Q]]&lt;0.1, " ",Inventory_List_Table34111510911131718141619202122[[#This Row],[PRICE]]/$L$1)</f>
        <v xml:space="preserve"> </v>
      </c>
      <c r="S5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4" s="30" t="str">
        <f>IF(Inventory_List_Table34111510911131718141619202122[[#This Row],[Q]]&lt;0.1, " ",Inventory_List_Table34111510911131718141619202122[[#This Row],[AQ RND USD]]*1.4)</f>
        <v xml:space="preserve"> </v>
      </c>
      <c r="U5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4" s="30" t="str">
        <f>IF(Inventory_List_Table34111510911131718141619202122[[#This Row],[Q]]&lt;0.1, " ",Inventory_List_Table34111510911131718141619202122[[#This Row],[LND RND USD]]*12)</f>
        <v xml:space="preserve"> </v>
      </c>
      <c r="W54" s="30" t="str">
        <f>IF(Inventory_List_Table34111510911131718141619202122[[#This Row],[Q]]&lt;0.1, " ",Inventory_List_Table34111510911131718141619202122[[#This Row],[AQ USD]])</f>
        <v xml:space="preserve"> </v>
      </c>
      <c r="X5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4" s="30" t="str">
        <f>IF(Inventory_List_Table34111510911131718141619202122[[#This Row],[Q]]&lt;0.1, " ",Inventory_List_Table34111510911131718141619202122[[#This Row],[PRICE]]/Z54*10000)</f>
        <v xml:space="preserve"> </v>
      </c>
      <c r="AB54" s="484"/>
      <c r="AC54" s="1"/>
      <c r="AD54" s="1"/>
    </row>
    <row r="55" spans="1:30" ht="24" customHeight="1" x14ac:dyDescent="0.3">
      <c r="A55" s="480">
        <v>53</v>
      </c>
      <c r="B55" s="1"/>
      <c r="C55" s="478"/>
      <c r="D55" s="478"/>
      <c r="E55" s="478"/>
      <c r="F55" s="38" t="str">
        <f>IF(Inventory_List_Table34111510911131718141619202122[[#This Row],[Q]]&lt;0.1, " ",#REF!&amp;$D$1&amp;#REF!&amp;Inventory_List_Table34111510911131718141619202122[[#This Row],[NOTES]])</f>
        <v xml:space="preserve"> </v>
      </c>
      <c r="G55" s="481"/>
      <c r="H55" s="481"/>
      <c r="I55" s="481"/>
      <c r="J55" s="481"/>
      <c r="K55" s="481"/>
      <c r="L55" s="483"/>
      <c r="M5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5" s="35" t="str">
        <f>IF(Inventory_List_Table34111510911131718141619202122[[#This Row],[Q]]&lt;0.1, " ", Inventory_List_Table34111510911131718141619202122[[#This Row],[KG]]*2.20462)</f>
        <v xml:space="preserve"> </v>
      </c>
      <c r="O55" s="35" t="str">
        <f>IF(Inventory_List_Table34111510911131718141619202122[[#This Row],[Q]]&lt;0.1, " ",Inventory_List_Table34111510911131718141619202122[[#This Row],[H CM]]/2.54)</f>
        <v xml:space="preserve"> </v>
      </c>
      <c r="P55" s="35" t="str">
        <f>IF(Inventory_List_Table34111510911131718141619202122[[#This Row],[Q]]&lt;0.1, " ",Inventory_List_Table34111510911131718141619202122[[#This Row],[W CM]]/2.54)</f>
        <v xml:space="preserve"> </v>
      </c>
      <c r="Q55" s="35" t="str">
        <f>IF(Inventory_List_Table34111510911131718141619202122[[#This Row],[Q]]&lt;0.1, " ",Inventory_List_Table34111510911131718141619202122[[#This Row],[D CM ]]/2.54)</f>
        <v xml:space="preserve"> </v>
      </c>
      <c r="R55" s="30" t="str">
        <f>IF(Inventory_List_Table34111510911131718141619202122[[#This Row],[Q]]&lt;0.1, " ",Inventory_List_Table34111510911131718141619202122[[#This Row],[PRICE]]/$L$1)</f>
        <v xml:space="preserve"> </v>
      </c>
      <c r="S5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5" s="30" t="str">
        <f>IF(Inventory_List_Table34111510911131718141619202122[[#This Row],[Q]]&lt;0.1, " ",Inventory_List_Table34111510911131718141619202122[[#This Row],[AQ RND USD]]*1.4)</f>
        <v xml:space="preserve"> </v>
      </c>
      <c r="U5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5" s="30" t="str">
        <f>IF(Inventory_List_Table34111510911131718141619202122[[#This Row],[Q]]&lt;0.1, " ",Inventory_List_Table34111510911131718141619202122[[#This Row],[LND RND USD]]*12)</f>
        <v xml:space="preserve"> </v>
      </c>
      <c r="W55" s="30" t="str">
        <f>IF(Inventory_List_Table34111510911131718141619202122[[#This Row],[Q]]&lt;0.1, " ",Inventory_List_Table34111510911131718141619202122[[#This Row],[AQ USD]])</f>
        <v xml:space="preserve"> </v>
      </c>
      <c r="X5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5" s="30" t="str">
        <f>IF(Inventory_List_Table34111510911131718141619202122[[#This Row],[Q]]&lt;0.1, " ",Inventory_List_Table34111510911131718141619202122[[#This Row],[PRICE]]/Z55*10000)</f>
        <v xml:space="preserve"> </v>
      </c>
      <c r="AB55" s="484"/>
      <c r="AC55" s="1"/>
      <c r="AD55" s="1"/>
    </row>
    <row r="56" spans="1:30" ht="24" customHeight="1" x14ac:dyDescent="0.3">
      <c r="A56" s="480">
        <v>54</v>
      </c>
      <c r="B56" s="1"/>
      <c r="C56" s="478"/>
      <c r="D56" s="478"/>
      <c r="E56" s="478"/>
      <c r="F56" s="38" t="str">
        <f>IF(Inventory_List_Table34111510911131718141619202122[[#This Row],[Q]]&lt;0.1, " ",#REF!&amp;$D$1&amp;#REF!&amp;Inventory_List_Table34111510911131718141619202122[[#This Row],[NOTES]])</f>
        <v xml:space="preserve"> </v>
      </c>
      <c r="G56" s="481"/>
      <c r="H56" s="481"/>
      <c r="I56" s="481"/>
      <c r="J56" s="481"/>
      <c r="K56" s="481"/>
      <c r="L56" s="483"/>
      <c r="M5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6" s="35" t="str">
        <f>IF(Inventory_List_Table34111510911131718141619202122[[#This Row],[Q]]&lt;0.1, " ", Inventory_List_Table34111510911131718141619202122[[#This Row],[KG]]*2.20462)</f>
        <v xml:space="preserve"> </v>
      </c>
      <c r="O56" s="35" t="str">
        <f>IF(Inventory_List_Table34111510911131718141619202122[[#This Row],[Q]]&lt;0.1, " ",Inventory_List_Table34111510911131718141619202122[[#This Row],[H CM]]/2.54)</f>
        <v xml:space="preserve"> </v>
      </c>
      <c r="P56" s="35" t="str">
        <f>IF(Inventory_List_Table34111510911131718141619202122[[#This Row],[Q]]&lt;0.1, " ",Inventory_List_Table34111510911131718141619202122[[#This Row],[W CM]]/2.54)</f>
        <v xml:space="preserve"> </v>
      </c>
      <c r="Q56" s="35" t="str">
        <f>IF(Inventory_List_Table34111510911131718141619202122[[#This Row],[Q]]&lt;0.1, " ",Inventory_List_Table34111510911131718141619202122[[#This Row],[D CM ]]/2.54)</f>
        <v xml:space="preserve"> </v>
      </c>
      <c r="R56" s="30" t="str">
        <f>IF(Inventory_List_Table34111510911131718141619202122[[#This Row],[Q]]&lt;0.1, " ",Inventory_List_Table34111510911131718141619202122[[#This Row],[PRICE]]/$L$1)</f>
        <v xml:space="preserve"> </v>
      </c>
      <c r="S5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6" s="30" t="str">
        <f>IF(Inventory_List_Table34111510911131718141619202122[[#This Row],[Q]]&lt;0.1, " ",Inventory_List_Table34111510911131718141619202122[[#This Row],[AQ RND USD]]*1.4)</f>
        <v xml:space="preserve"> </v>
      </c>
      <c r="U5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6" s="30" t="str">
        <f>IF(Inventory_List_Table34111510911131718141619202122[[#This Row],[Q]]&lt;0.1, " ",Inventory_List_Table34111510911131718141619202122[[#This Row],[LND RND USD]]*12)</f>
        <v xml:space="preserve"> </v>
      </c>
      <c r="W56" s="30" t="str">
        <f>IF(Inventory_List_Table34111510911131718141619202122[[#This Row],[Q]]&lt;0.1, " ",Inventory_List_Table34111510911131718141619202122[[#This Row],[AQ USD]])</f>
        <v xml:space="preserve"> </v>
      </c>
      <c r="X5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6" s="30" t="str">
        <f>IF(Inventory_List_Table34111510911131718141619202122[[#This Row],[Q]]&lt;0.1, " ",Inventory_List_Table34111510911131718141619202122[[#This Row],[PRICE]]/Z56*10000)</f>
        <v xml:space="preserve"> </v>
      </c>
      <c r="AB56" s="484"/>
      <c r="AC56" s="1"/>
      <c r="AD56" s="1"/>
    </row>
    <row r="57" spans="1:30" ht="24" customHeight="1" x14ac:dyDescent="0.3">
      <c r="A57" s="480">
        <v>55</v>
      </c>
      <c r="B57" s="1"/>
      <c r="C57" s="478"/>
      <c r="D57" s="478"/>
      <c r="E57" s="478"/>
      <c r="F57" s="38" t="str">
        <f>IF(Inventory_List_Table34111510911131718141619202122[[#This Row],[Q]]&lt;0.1, " ",#REF!&amp;$D$1&amp;#REF!&amp;Inventory_List_Table34111510911131718141619202122[[#This Row],[NOTES]])</f>
        <v xml:space="preserve"> </v>
      </c>
      <c r="G57" s="481"/>
      <c r="H57" s="481"/>
      <c r="I57" s="481"/>
      <c r="J57" s="481"/>
      <c r="K57" s="481"/>
      <c r="L57" s="483"/>
      <c r="M5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7" s="35" t="str">
        <f>IF(Inventory_List_Table34111510911131718141619202122[[#This Row],[Q]]&lt;0.1, " ", Inventory_List_Table34111510911131718141619202122[[#This Row],[KG]]*2.20462)</f>
        <v xml:space="preserve"> </v>
      </c>
      <c r="O57" s="35" t="str">
        <f>IF(Inventory_List_Table34111510911131718141619202122[[#This Row],[Q]]&lt;0.1, " ",Inventory_List_Table34111510911131718141619202122[[#This Row],[H CM]]/2.54)</f>
        <v xml:space="preserve"> </v>
      </c>
      <c r="P57" s="35" t="str">
        <f>IF(Inventory_List_Table34111510911131718141619202122[[#This Row],[Q]]&lt;0.1, " ",Inventory_List_Table34111510911131718141619202122[[#This Row],[W CM]]/2.54)</f>
        <v xml:space="preserve"> </v>
      </c>
      <c r="Q57" s="35" t="str">
        <f>IF(Inventory_List_Table34111510911131718141619202122[[#This Row],[Q]]&lt;0.1, " ",Inventory_List_Table34111510911131718141619202122[[#This Row],[D CM ]]/2.54)</f>
        <v xml:space="preserve"> </v>
      </c>
      <c r="R57" s="30" t="str">
        <f>IF(Inventory_List_Table34111510911131718141619202122[[#This Row],[Q]]&lt;0.1, " ",Inventory_List_Table34111510911131718141619202122[[#This Row],[PRICE]]/$L$1)</f>
        <v xml:space="preserve"> </v>
      </c>
      <c r="S5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7" s="30" t="str">
        <f>IF(Inventory_List_Table34111510911131718141619202122[[#This Row],[Q]]&lt;0.1, " ",Inventory_List_Table34111510911131718141619202122[[#This Row],[AQ RND USD]]*1.4)</f>
        <v xml:space="preserve"> </v>
      </c>
      <c r="U5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7" s="30" t="str">
        <f>IF(Inventory_List_Table34111510911131718141619202122[[#This Row],[Q]]&lt;0.1, " ",Inventory_List_Table34111510911131718141619202122[[#This Row],[LND RND USD]]*12)</f>
        <v xml:space="preserve"> </v>
      </c>
      <c r="W57" s="30" t="str">
        <f>IF(Inventory_List_Table34111510911131718141619202122[[#This Row],[Q]]&lt;0.1, " ",Inventory_List_Table34111510911131718141619202122[[#This Row],[AQ USD]])</f>
        <v xml:space="preserve"> </v>
      </c>
      <c r="X5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7" s="30" t="str">
        <f>IF(Inventory_List_Table34111510911131718141619202122[[#This Row],[Q]]&lt;0.1, " ",Inventory_List_Table34111510911131718141619202122[[#This Row],[PRICE]]/Z57*10000)</f>
        <v xml:space="preserve"> </v>
      </c>
      <c r="AB57" s="484"/>
      <c r="AC57" s="1"/>
      <c r="AD57" s="1"/>
    </row>
    <row r="58" spans="1:30" ht="24" customHeight="1" x14ac:dyDescent="0.3">
      <c r="A58" s="480">
        <v>56</v>
      </c>
      <c r="B58" s="1"/>
      <c r="C58" s="478"/>
      <c r="D58" s="478"/>
      <c r="E58" s="478"/>
      <c r="F58" s="38" t="str">
        <f>IF(Inventory_List_Table34111510911131718141619202122[[#This Row],[Q]]&lt;0.1, " ",#REF!&amp;$D$1&amp;#REF!&amp;Inventory_List_Table34111510911131718141619202122[[#This Row],[NOTES]])</f>
        <v xml:space="preserve"> </v>
      </c>
      <c r="G58" s="481"/>
      <c r="H58" s="481"/>
      <c r="I58" s="481"/>
      <c r="J58" s="481"/>
      <c r="K58" s="481"/>
      <c r="L58" s="483"/>
      <c r="M5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8" s="35" t="str">
        <f>IF(Inventory_List_Table34111510911131718141619202122[[#This Row],[Q]]&lt;0.1, " ", Inventory_List_Table34111510911131718141619202122[[#This Row],[KG]]*2.20462)</f>
        <v xml:space="preserve"> </v>
      </c>
      <c r="O58" s="35" t="str">
        <f>IF(Inventory_List_Table34111510911131718141619202122[[#This Row],[Q]]&lt;0.1, " ",Inventory_List_Table34111510911131718141619202122[[#This Row],[H CM]]/2.54)</f>
        <v xml:space="preserve"> </v>
      </c>
      <c r="P58" s="35" t="str">
        <f>IF(Inventory_List_Table34111510911131718141619202122[[#This Row],[Q]]&lt;0.1, " ",Inventory_List_Table34111510911131718141619202122[[#This Row],[W CM]]/2.54)</f>
        <v xml:space="preserve"> </v>
      </c>
      <c r="Q58" s="35" t="str">
        <f>IF(Inventory_List_Table34111510911131718141619202122[[#This Row],[Q]]&lt;0.1, " ",Inventory_List_Table34111510911131718141619202122[[#This Row],[D CM ]]/2.54)</f>
        <v xml:space="preserve"> </v>
      </c>
      <c r="R58" s="30" t="str">
        <f>IF(Inventory_List_Table34111510911131718141619202122[[#This Row],[Q]]&lt;0.1, " ",Inventory_List_Table34111510911131718141619202122[[#This Row],[PRICE]]/$L$1)</f>
        <v xml:space="preserve"> </v>
      </c>
      <c r="S5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8" s="30" t="str">
        <f>IF(Inventory_List_Table34111510911131718141619202122[[#This Row],[Q]]&lt;0.1, " ",Inventory_List_Table34111510911131718141619202122[[#This Row],[AQ RND USD]]*1.4)</f>
        <v xml:space="preserve"> </v>
      </c>
      <c r="U5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8" s="30" t="str">
        <f>IF(Inventory_List_Table34111510911131718141619202122[[#This Row],[Q]]&lt;0.1, " ",Inventory_List_Table34111510911131718141619202122[[#This Row],[LND RND USD]]*12)</f>
        <v xml:space="preserve"> </v>
      </c>
      <c r="W58" s="30" t="str">
        <f>IF(Inventory_List_Table34111510911131718141619202122[[#This Row],[Q]]&lt;0.1, " ",Inventory_List_Table34111510911131718141619202122[[#This Row],[AQ USD]])</f>
        <v xml:space="preserve"> </v>
      </c>
      <c r="X5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8" s="30" t="str">
        <f>IF(Inventory_List_Table34111510911131718141619202122[[#This Row],[Q]]&lt;0.1, " ",Inventory_List_Table34111510911131718141619202122[[#This Row],[PRICE]]/Z58*10000)</f>
        <v xml:space="preserve"> </v>
      </c>
      <c r="AB58" s="484"/>
      <c r="AC58" s="1"/>
      <c r="AD58" s="1"/>
    </row>
    <row r="59" spans="1:30" ht="24" customHeight="1" x14ac:dyDescent="0.3">
      <c r="A59" s="480">
        <v>57</v>
      </c>
      <c r="B59" s="1"/>
      <c r="C59" s="478"/>
      <c r="D59" s="478"/>
      <c r="E59" s="478"/>
      <c r="F59" s="38" t="str">
        <f>IF(Inventory_List_Table34111510911131718141619202122[[#This Row],[Q]]&lt;0.1, " ",#REF!&amp;$D$1&amp;#REF!&amp;Inventory_List_Table34111510911131718141619202122[[#This Row],[NOTES]])</f>
        <v xml:space="preserve"> </v>
      </c>
      <c r="G59" s="481"/>
      <c r="H59" s="481"/>
      <c r="I59" s="481"/>
      <c r="J59" s="481"/>
      <c r="K59" s="481"/>
      <c r="L59" s="483"/>
      <c r="M5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59" s="35" t="str">
        <f>IF(Inventory_List_Table34111510911131718141619202122[[#This Row],[Q]]&lt;0.1, " ", Inventory_List_Table34111510911131718141619202122[[#This Row],[KG]]*2.20462)</f>
        <v xml:space="preserve"> </v>
      </c>
      <c r="O59" s="35" t="str">
        <f>IF(Inventory_List_Table34111510911131718141619202122[[#This Row],[Q]]&lt;0.1, " ",Inventory_List_Table34111510911131718141619202122[[#This Row],[H CM]]/2.54)</f>
        <v xml:space="preserve"> </v>
      </c>
      <c r="P59" s="35" t="str">
        <f>IF(Inventory_List_Table34111510911131718141619202122[[#This Row],[Q]]&lt;0.1, " ",Inventory_List_Table34111510911131718141619202122[[#This Row],[W CM]]/2.54)</f>
        <v xml:space="preserve"> </v>
      </c>
      <c r="Q59" s="35" t="str">
        <f>IF(Inventory_List_Table34111510911131718141619202122[[#This Row],[Q]]&lt;0.1, " ",Inventory_List_Table34111510911131718141619202122[[#This Row],[D CM ]]/2.54)</f>
        <v xml:space="preserve"> </v>
      </c>
      <c r="R59" s="30" t="str">
        <f>IF(Inventory_List_Table34111510911131718141619202122[[#This Row],[Q]]&lt;0.1, " ",Inventory_List_Table34111510911131718141619202122[[#This Row],[PRICE]]/$L$1)</f>
        <v xml:space="preserve"> </v>
      </c>
      <c r="S5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59" s="30" t="str">
        <f>IF(Inventory_List_Table34111510911131718141619202122[[#This Row],[Q]]&lt;0.1, " ",Inventory_List_Table34111510911131718141619202122[[#This Row],[AQ RND USD]]*1.4)</f>
        <v xml:space="preserve"> </v>
      </c>
      <c r="U5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59" s="30" t="str">
        <f>IF(Inventory_List_Table34111510911131718141619202122[[#This Row],[Q]]&lt;0.1, " ",Inventory_List_Table34111510911131718141619202122[[#This Row],[LND RND USD]]*12)</f>
        <v xml:space="preserve"> </v>
      </c>
      <c r="W59" s="30" t="str">
        <f>IF(Inventory_List_Table34111510911131718141619202122[[#This Row],[Q]]&lt;0.1, " ",Inventory_List_Table34111510911131718141619202122[[#This Row],[AQ USD]])</f>
        <v xml:space="preserve"> </v>
      </c>
      <c r="X5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5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5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59" s="30" t="str">
        <f>IF(Inventory_List_Table34111510911131718141619202122[[#This Row],[Q]]&lt;0.1, " ",Inventory_List_Table34111510911131718141619202122[[#This Row],[PRICE]]/Z59*10000)</f>
        <v xml:space="preserve"> </v>
      </c>
      <c r="AB59" s="484"/>
      <c r="AC59" s="1"/>
      <c r="AD59" s="1"/>
    </row>
    <row r="60" spans="1:30" ht="24" customHeight="1" x14ac:dyDescent="0.3">
      <c r="A60" s="480">
        <v>58</v>
      </c>
      <c r="B60" s="1"/>
      <c r="C60" s="478"/>
      <c r="D60" s="478"/>
      <c r="E60" s="478"/>
      <c r="F60" s="38" t="str">
        <f>IF(Inventory_List_Table34111510911131718141619202122[[#This Row],[Q]]&lt;0.1, " ",#REF!&amp;$D$1&amp;#REF!&amp;Inventory_List_Table34111510911131718141619202122[[#This Row],[NOTES]])</f>
        <v xml:space="preserve"> </v>
      </c>
      <c r="G60" s="481"/>
      <c r="H60" s="481"/>
      <c r="I60" s="481"/>
      <c r="J60" s="481"/>
      <c r="K60" s="481"/>
      <c r="L60" s="483"/>
      <c r="M6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0" s="35" t="str">
        <f>IF(Inventory_List_Table34111510911131718141619202122[[#This Row],[Q]]&lt;0.1, " ", Inventory_List_Table34111510911131718141619202122[[#This Row],[KG]]*2.20462)</f>
        <v xml:space="preserve"> </v>
      </c>
      <c r="O60" s="35" t="str">
        <f>IF(Inventory_List_Table34111510911131718141619202122[[#This Row],[Q]]&lt;0.1, " ",Inventory_List_Table34111510911131718141619202122[[#This Row],[H CM]]/2.54)</f>
        <v xml:space="preserve"> </v>
      </c>
      <c r="P60" s="35" t="str">
        <f>IF(Inventory_List_Table34111510911131718141619202122[[#This Row],[Q]]&lt;0.1, " ",Inventory_List_Table34111510911131718141619202122[[#This Row],[W CM]]/2.54)</f>
        <v xml:space="preserve"> </v>
      </c>
      <c r="Q60" s="35" t="str">
        <f>IF(Inventory_List_Table34111510911131718141619202122[[#This Row],[Q]]&lt;0.1, " ",Inventory_List_Table34111510911131718141619202122[[#This Row],[D CM ]]/2.54)</f>
        <v xml:space="preserve"> </v>
      </c>
      <c r="R60" s="30" t="str">
        <f>IF(Inventory_List_Table34111510911131718141619202122[[#This Row],[Q]]&lt;0.1, " ",Inventory_List_Table34111510911131718141619202122[[#This Row],[PRICE]]/$L$1)</f>
        <v xml:space="preserve"> </v>
      </c>
      <c r="S6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0" s="30" t="str">
        <f>IF(Inventory_List_Table34111510911131718141619202122[[#This Row],[Q]]&lt;0.1, " ",Inventory_List_Table34111510911131718141619202122[[#This Row],[AQ RND USD]]*1.4)</f>
        <v xml:space="preserve"> </v>
      </c>
      <c r="U6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0" s="30" t="str">
        <f>IF(Inventory_List_Table34111510911131718141619202122[[#This Row],[Q]]&lt;0.1, " ",Inventory_List_Table34111510911131718141619202122[[#This Row],[LND RND USD]]*12)</f>
        <v xml:space="preserve"> </v>
      </c>
      <c r="W60" s="30" t="str">
        <f>IF(Inventory_List_Table34111510911131718141619202122[[#This Row],[Q]]&lt;0.1, " ",Inventory_List_Table34111510911131718141619202122[[#This Row],[AQ USD]])</f>
        <v xml:space="preserve"> </v>
      </c>
      <c r="X6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0" s="30" t="str">
        <f>IF(Inventory_List_Table34111510911131718141619202122[[#This Row],[Q]]&lt;0.1, " ",Inventory_List_Table34111510911131718141619202122[[#This Row],[PRICE]]/Z60*10000)</f>
        <v xml:space="preserve"> </v>
      </c>
      <c r="AB60" s="484"/>
      <c r="AC60" s="1"/>
      <c r="AD60" s="1"/>
    </row>
    <row r="61" spans="1:30" ht="24" customHeight="1" x14ac:dyDescent="0.3">
      <c r="A61" s="480">
        <v>59</v>
      </c>
      <c r="B61" s="1"/>
      <c r="C61" s="478"/>
      <c r="D61" s="478"/>
      <c r="E61" s="478"/>
      <c r="F61" s="38" t="str">
        <f>IF(Inventory_List_Table34111510911131718141619202122[[#This Row],[Q]]&lt;0.1, " ",#REF!&amp;$D$1&amp;#REF!&amp;Inventory_List_Table34111510911131718141619202122[[#This Row],[NOTES]])</f>
        <v xml:space="preserve"> </v>
      </c>
      <c r="G61" s="481"/>
      <c r="H61" s="481"/>
      <c r="I61" s="481"/>
      <c r="J61" s="481"/>
      <c r="K61" s="481"/>
      <c r="L61" s="483"/>
      <c r="M6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1" s="35" t="str">
        <f>IF(Inventory_List_Table34111510911131718141619202122[[#This Row],[Q]]&lt;0.1, " ", Inventory_List_Table34111510911131718141619202122[[#This Row],[KG]]*2.20462)</f>
        <v xml:space="preserve"> </v>
      </c>
      <c r="O61" s="35" t="str">
        <f>IF(Inventory_List_Table34111510911131718141619202122[[#This Row],[Q]]&lt;0.1, " ",Inventory_List_Table34111510911131718141619202122[[#This Row],[H CM]]/2.54)</f>
        <v xml:space="preserve"> </v>
      </c>
      <c r="P61" s="35" t="str">
        <f>IF(Inventory_List_Table34111510911131718141619202122[[#This Row],[Q]]&lt;0.1, " ",Inventory_List_Table34111510911131718141619202122[[#This Row],[W CM]]/2.54)</f>
        <v xml:space="preserve"> </v>
      </c>
      <c r="Q61" s="35" t="str">
        <f>IF(Inventory_List_Table34111510911131718141619202122[[#This Row],[Q]]&lt;0.1, " ",Inventory_List_Table34111510911131718141619202122[[#This Row],[D CM ]]/2.54)</f>
        <v xml:space="preserve"> </v>
      </c>
      <c r="R61" s="30" t="str">
        <f>IF(Inventory_List_Table34111510911131718141619202122[[#This Row],[Q]]&lt;0.1, " ",Inventory_List_Table34111510911131718141619202122[[#This Row],[PRICE]]/$L$1)</f>
        <v xml:space="preserve"> </v>
      </c>
      <c r="S6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1" s="30" t="str">
        <f>IF(Inventory_List_Table34111510911131718141619202122[[#This Row],[Q]]&lt;0.1, " ",Inventory_List_Table34111510911131718141619202122[[#This Row],[AQ RND USD]]*1.4)</f>
        <v xml:space="preserve"> </v>
      </c>
      <c r="U6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1" s="30" t="str">
        <f>IF(Inventory_List_Table34111510911131718141619202122[[#This Row],[Q]]&lt;0.1, " ",Inventory_List_Table34111510911131718141619202122[[#This Row],[LND RND USD]]*12)</f>
        <v xml:space="preserve"> </v>
      </c>
      <c r="W61" s="30" t="str">
        <f>IF(Inventory_List_Table34111510911131718141619202122[[#This Row],[Q]]&lt;0.1, " ",Inventory_List_Table34111510911131718141619202122[[#This Row],[AQ USD]])</f>
        <v xml:space="preserve"> </v>
      </c>
      <c r="X6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1" s="30" t="str">
        <f>IF(Inventory_List_Table34111510911131718141619202122[[#This Row],[Q]]&lt;0.1, " ",Inventory_List_Table34111510911131718141619202122[[#This Row],[PRICE]]/Z61*10000)</f>
        <v xml:space="preserve"> </v>
      </c>
      <c r="AB61" s="484"/>
      <c r="AC61" s="1"/>
      <c r="AD61" s="1"/>
    </row>
    <row r="62" spans="1:30" ht="24" customHeight="1" x14ac:dyDescent="0.3">
      <c r="A62" s="480">
        <v>60</v>
      </c>
      <c r="B62" s="1"/>
      <c r="C62" s="478"/>
      <c r="D62" s="478"/>
      <c r="E62" s="478"/>
      <c r="F62" s="38" t="str">
        <f>IF(Inventory_List_Table34111510911131718141619202122[[#This Row],[Q]]&lt;0.1, " ",#REF!&amp;$D$1&amp;#REF!&amp;Inventory_List_Table34111510911131718141619202122[[#This Row],[NOTES]])</f>
        <v xml:space="preserve"> </v>
      </c>
      <c r="G62" s="481"/>
      <c r="H62" s="481"/>
      <c r="I62" s="481"/>
      <c r="J62" s="481"/>
      <c r="K62" s="481"/>
      <c r="L62" s="483"/>
      <c r="M6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2" s="35" t="str">
        <f>IF(Inventory_List_Table34111510911131718141619202122[[#This Row],[Q]]&lt;0.1, " ", Inventory_List_Table34111510911131718141619202122[[#This Row],[KG]]*2.20462)</f>
        <v xml:space="preserve"> </v>
      </c>
      <c r="O62" s="35" t="str">
        <f>IF(Inventory_List_Table34111510911131718141619202122[[#This Row],[Q]]&lt;0.1, " ",Inventory_List_Table34111510911131718141619202122[[#This Row],[H CM]]/2.54)</f>
        <v xml:space="preserve"> </v>
      </c>
      <c r="P62" s="35" t="str">
        <f>IF(Inventory_List_Table34111510911131718141619202122[[#This Row],[Q]]&lt;0.1, " ",Inventory_List_Table34111510911131718141619202122[[#This Row],[W CM]]/2.54)</f>
        <v xml:space="preserve"> </v>
      </c>
      <c r="Q62" s="35" t="str">
        <f>IF(Inventory_List_Table34111510911131718141619202122[[#This Row],[Q]]&lt;0.1, " ",Inventory_List_Table34111510911131718141619202122[[#This Row],[D CM ]]/2.54)</f>
        <v xml:space="preserve"> </v>
      </c>
      <c r="R62" s="30" t="str">
        <f>IF(Inventory_List_Table34111510911131718141619202122[[#This Row],[Q]]&lt;0.1, " ",Inventory_List_Table34111510911131718141619202122[[#This Row],[PRICE]]/$L$1)</f>
        <v xml:space="preserve"> </v>
      </c>
      <c r="S6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2" s="30" t="str">
        <f>IF(Inventory_List_Table34111510911131718141619202122[[#This Row],[Q]]&lt;0.1, " ",Inventory_List_Table34111510911131718141619202122[[#This Row],[AQ RND USD]]*1.4)</f>
        <v xml:space="preserve"> </v>
      </c>
      <c r="U6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2" s="30" t="str">
        <f>IF(Inventory_List_Table34111510911131718141619202122[[#This Row],[Q]]&lt;0.1, " ",Inventory_List_Table34111510911131718141619202122[[#This Row],[LND RND USD]]*12)</f>
        <v xml:space="preserve"> </v>
      </c>
      <c r="W62" s="30" t="str">
        <f>IF(Inventory_List_Table34111510911131718141619202122[[#This Row],[Q]]&lt;0.1, " ",Inventory_List_Table34111510911131718141619202122[[#This Row],[AQ USD]])</f>
        <v xml:space="preserve"> </v>
      </c>
      <c r="X6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2" s="30" t="str">
        <f>IF(Inventory_List_Table34111510911131718141619202122[[#This Row],[Q]]&lt;0.1, " ",Inventory_List_Table34111510911131718141619202122[[#This Row],[PRICE]]/Z62*10000)</f>
        <v xml:space="preserve"> </v>
      </c>
      <c r="AB62" s="484"/>
      <c r="AC62" s="1"/>
      <c r="AD62" s="1"/>
    </row>
    <row r="63" spans="1:30" ht="24" customHeight="1" x14ac:dyDescent="0.3">
      <c r="A63" s="480">
        <v>61</v>
      </c>
      <c r="B63" s="1"/>
      <c r="C63" s="478"/>
      <c r="D63" s="478"/>
      <c r="E63" s="478"/>
      <c r="F63" s="38" t="str">
        <f>IF(Inventory_List_Table34111510911131718141619202122[[#This Row],[Q]]&lt;0.1, " ",#REF!&amp;$D$1&amp;#REF!&amp;Inventory_List_Table34111510911131718141619202122[[#This Row],[NOTES]])</f>
        <v xml:space="preserve"> </v>
      </c>
      <c r="G63" s="481"/>
      <c r="H63" s="481"/>
      <c r="I63" s="481"/>
      <c r="J63" s="481"/>
      <c r="K63" s="481"/>
      <c r="L63" s="483"/>
      <c r="M6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3" s="35" t="str">
        <f>IF(Inventory_List_Table34111510911131718141619202122[[#This Row],[Q]]&lt;0.1, " ", Inventory_List_Table34111510911131718141619202122[[#This Row],[KG]]*2.20462)</f>
        <v xml:space="preserve"> </v>
      </c>
      <c r="O63" s="35" t="str">
        <f>IF(Inventory_List_Table34111510911131718141619202122[[#This Row],[Q]]&lt;0.1, " ",Inventory_List_Table34111510911131718141619202122[[#This Row],[H CM]]/2.54)</f>
        <v xml:space="preserve"> </v>
      </c>
      <c r="P63" s="35" t="str">
        <f>IF(Inventory_List_Table34111510911131718141619202122[[#This Row],[Q]]&lt;0.1, " ",Inventory_List_Table34111510911131718141619202122[[#This Row],[W CM]]/2.54)</f>
        <v xml:space="preserve"> </v>
      </c>
      <c r="Q63" s="35" t="str">
        <f>IF(Inventory_List_Table34111510911131718141619202122[[#This Row],[Q]]&lt;0.1, " ",Inventory_List_Table34111510911131718141619202122[[#This Row],[D CM ]]/2.54)</f>
        <v xml:space="preserve"> </v>
      </c>
      <c r="R63" s="30" t="str">
        <f>IF(Inventory_List_Table34111510911131718141619202122[[#This Row],[Q]]&lt;0.1, " ",Inventory_List_Table34111510911131718141619202122[[#This Row],[PRICE]]/$L$1)</f>
        <v xml:space="preserve"> </v>
      </c>
      <c r="S6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3" s="30" t="str">
        <f>IF(Inventory_List_Table34111510911131718141619202122[[#This Row],[Q]]&lt;0.1, " ",Inventory_List_Table34111510911131718141619202122[[#This Row],[AQ RND USD]]*1.4)</f>
        <v xml:space="preserve"> </v>
      </c>
      <c r="U6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3" s="30" t="str">
        <f>IF(Inventory_List_Table34111510911131718141619202122[[#This Row],[Q]]&lt;0.1, " ",Inventory_List_Table34111510911131718141619202122[[#This Row],[LND RND USD]]*12)</f>
        <v xml:space="preserve"> </v>
      </c>
      <c r="W63" s="30" t="str">
        <f>IF(Inventory_List_Table34111510911131718141619202122[[#This Row],[Q]]&lt;0.1, " ",Inventory_List_Table34111510911131718141619202122[[#This Row],[AQ USD]])</f>
        <v xml:space="preserve"> </v>
      </c>
      <c r="X6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3" s="30" t="str">
        <f>IF(Inventory_List_Table34111510911131718141619202122[[#This Row],[Q]]&lt;0.1, " ",Inventory_List_Table34111510911131718141619202122[[#This Row],[PRICE]]/Z63*10000)</f>
        <v xml:space="preserve"> </v>
      </c>
      <c r="AB63" s="484"/>
      <c r="AC63" s="1"/>
      <c r="AD63" s="1"/>
    </row>
    <row r="64" spans="1:30" ht="24" customHeight="1" x14ac:dyDescent="0.3">
      <c r="A64" s="480">
        <v>62</v>
      </c>
      <c r="B64" s="1"/>
      <c r="C64" s="478"/>
      <c r="D64" s="478"/>
      <c r="E64" s="478"/>
      <c r="F64" s="38" t="str">
        <f>IF(Inventory_List_Table34111510911131718141619202122[[#This Row],[Q]]&lt;0.1, " ",#REF!&amp;$D$1&amp;#REF!&amp;Inventory_List_Table34111510911131718141619202122[[#This Row],[NOTES]])</f>
        <v xml:space="preserve"> </v>
      </c>
      <c r="G64" s="481"/>
      <c r="H64" s="481"/>
      <c r="I64" s="481"/>
      <c r="J64" s="481"/>
      <c r="K64" s="481"/>
      <c r="L64" s="483"/>
      <c r="M6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4" s="35" t="str">
        <f>IF(Inventory_List_Table34111510911131718141619202122[[#This Row],[Q]]&lt;0.1, " ", Inventory_List_Table34111510911131718141619202122[[#This Row],[KG]]*2.20462)</f>
        <v xml:space="preserve"> </v>
      </c>
      <c r="O64" s="35" t="str">
        <f>IF(Inventory_List_Table34111510911131718141619202122[[#This Row],[Q]]&lt;0.1, " ",Inventory_List_Table34111510911131718141619202122[[#This Row],[H CM]]/2.54)</f>
        <v xml:space="preserve"> </v>
      </c>
      <c r="P64" s="35" t="str">
        <f>IF(Inventory_List_Table34111510911131718141619202122[[#This Row],[Q]]&lt;0.1, " ",Inventory_List_Table34111510911131718141619202122[[#This Row],[W CM]]/2.54)</f>
        <v xml:space="preserve"> </v>
      </c>
      <c r="Q64" s="35" t="str">
        <f>IF(Inventory_List_Table34111510911131718141619202122[[#This Row],[Q]]&lt;0.1, " ",Inventory_List_Table34111510911131718141619202122[[#This Row],[D CM ]]/2.54)</f>
        <v xml:space="preserve"> </v>
      </c>
      <c r="R64" s="30" t="str">
        <f>IF(Inventory_List_Table34111510911131718141619202122[[#This Row],[Q]]&lt;0.1, " ",Inventory_List_Table34111510911131718141619202122[[#This Row],[PRICE]]/$L$1)</f>
        <v xml:space="preserve"> </v>
      </c>
      <c r="S6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4" s="30" t="str">
        <f>IF(Inventory_List_Table34111510911131718141619202122[[#This Row],[Q]]&lt;0.1, " ",Inventory_List_Table34111510911131718141619202122[[#This Row],[AQ RND USD]]*1.4)</f>
        <v xml:space="preserve"> </v>
      </c>
      <c r="U6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4" s="30" t="str">
        <f>IF(Inventory_List_Table34111510911131718141619202122[[#This Row],[Q]]&lt;0.1, " ",Inventory_List_Table34111510911131718141619202122[[#This Row],[LND RND USD]]*12)</f>
        <v xml:space="preserve"> </v>
      </c>
      <c r="W64" s="30" t="str">
        <f>IF(Inventory_List_Table34111510911131718141619202122[[#This Row],[Q]]&lt;0.1, " ",Inventory_List_Table34111510911131718141619202122[[#This Row],[AQ USD]])</f>
        <v xml:space="preserve"> </v>
      </c>
      <c r="X6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4" s="30" t="str">
        <f>IF(Inventory_List_Table34111510911131718141619202122[[#This Row],[Q]]&lt;0.1, " ",Inventory_List_Table34111510911131718141619202122[[#This Row],[PRICE]]/Z64*10000)</f>
        <v xml:space="preserve"> </v>
      </c>
      <c r="AB64" s="484"/>
      <c r="AC64" s="1"/>
      <c r="AD64" s="1"/>
    </row>
    <row r="65" spans="1:30" ht="24" customHeight="1" x14ac:dyDescent="0.3">
      <c r="A65" s="480">
        <v>63</v>
      </c>
      <c r="B65" s="1"/>
      <c r="C65" s="478"/>
      <c r="D65" s="478"/>
      <c r="E65" s="478"/>
      <c r="F65" s="38" t="str">
        <f>IF(Inventory_List_Table34111510911131718141619202122[[#This Row],[Q]]&lt;0.1, " ",#REF!&amp;$D$1&amp;#REF!&amp;Inventory_List_Table34111510911131718141619202122[[#This Row],[NOTES]])</f>
        <v xml:space="preserve"> </v>
      </c>
      <c r="G65" s="481"/>
      <c r="H65" s="481"/>
      <c r="I65" s="481"/>
      <c r="J65" s="481"/>
      <c r="K65" s="481"/>
      <c r="L65" s="483"/>
      <c r="M6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5" s="35" t="str">
        <f>IF(Inventory_List_Table34111510911131718141619202122[[#This Row],[Q]]&lt;0.1, " ", Inventory_List_Table34111510911131718141619202122[[#This Row],[KG]]*2.20462)</f>
        <v xml:space="preserve"> </v>
      </c>
      <c r="O65" s="35" t="str">
        <f>IF(Inventory_List_Table34111510911131718141619202122[[#This Row],[Q]]&lt;0.1, " ",Inventory_List_Table34111510911131718141619202122[[#This Row],[H CM]]/2.54)</f>
        <v xml:space="preserve"> </v>
      </c>
      <c r="P65" s="35" t="str">
        <f>IF(Inventory_List_Table34111510911131718141619202122[[#This Row],[Q]]&lt;0.1, " ",Inventory_List_Table34111510911131718141619202122[[#This Row],[W CM]]/2.54)</f>
        <v xml:space="preserve"> </v>
      </c>
      <c r="Q65" s="35" t="str">
        <f>IF(Inventory_List_Table34111510911131718141619202122[[#This Row],[Q]]&lt;0.1, " ",Inventory_List_Table34111510911131718141619202122[[#This Row],[D CM ]]/2.54)</f>
        <v xml:space="preserve"> </v>
      </c>
      <c r="R65" s="30" t="str">
        <f>IF(Inventory_List_Table34111510911131718141619202122[[#This Row],[Q]]&lt;0.1, " ",Inventory_List_Table34111510911131718141619202122[[#This Row],[PRICE]]/$L$1)</f>
        <v xml:space="preserve"> </v>
      </c>
      <c r="S6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5" s="30" t="str">
        <f>IF(Inventory_List_Table34111510911131718141619202122[[#This Row],[Q]]&lt;0.1, " ",Inventory_List_Table34111510911131718141619202122[[#This Row],[AQ RND USD]]*1.4)</f>
        <v xml:space="preserve"> </v>
      </c>
      <c r="U6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5" s="30" t="str">
        <f>IF(Inventory_List_Table34111510911131718141619202122[[#This Row],[Q]]&lt;0.1, " ",Inventory_List_Table34111510911131718141619202122[[#This Row],[LND RND USD]]*12)</f>
        <v xml:space="preserve"> </v>
      </c>
      <c r="W65" s="30" t="str">
        <f>IF(Inventory_List_Table34111510911131718141619202122[[#This Row],[Q]]&lt;0.1, " ",Inventory_List_Table34111510911131718141619202122[[#This Row],[AQ USD]])</f>
        <v xml:space="preserve"> </v>
      </c>
      <c r="X6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5" s="30" t="str">
        <f>IF(Inventory_List_Table34111510911131718141619202122[[#This Row],[Q]]&lt;0.1, " ",Inventory_List_Table34111510911131718141619202122[[#This Row],[PRICE]]/Z65*10000)</f>
        <v xml:space="preserve"> </v>
      </c>
      <c r="AB65" s="484"/>
      <c r="AC65" s="1"/>
      <c r="AD65" s="1"/>
    </row>
    <row r="66" spans="1:30" ht="24" customHeight="1" x14ac:dyDescent="0.3">
      <c r="A66" s="480">
        <v>64</v>
      </c>
      <c r="B66" s="1"/>
      <c r="C66" s="478"/>
      <c r="D66" s="478"/>
      <c r="E66" s="478"/>
      <c r="F66" s="38" t="str">
        <f>IF(Inventory_List_Table34111510911131718141619202122[[#This Row],[Q]]&lt;0.1, " ",#REF!&amp;$D$1&amp;#REF!&amp;Inventory_List_Table34111510911131718141619202122[[#This Row],[NOTES]])</f>
        <v xml:space="preserve"> </v>
      </c>
      <c r="G66" s="481"/>
      <c r="H66" s="481"/>
      <c r="I66" s="481"/>
      <c r="J66" s="481"/>
      <c r="K66" s="481"/>
      <c r="L66" s="483"/>
      <c r="M6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6" s="35" t="str">
        <f>IF(Inventory_List_Table34111510911131718141619202122[[#This Row],[Q]]&lt;0.1, " ", Inventory_List_Table34111510911131718141619202122[[#This Row],[KG]]*2.20462)</f>
        <v xml:space="preserve"> </v>
      </c>
      <c r="O66" s="35" t="str">
        <f>IF(Inventory_List_Table34111510911131718141619202122[[#This Row],[Q]]&lt;0.1, " ",Inventory_List_Table34111510911131718141619202122[[#This Row],[H CM]]/2.54)</f>
        <v xml:space="preserve"> </v>
      </c>
      <c r="P66" s="35" t="str">
        <f>IF(Inventory_List_Table34111510911131718141619202122[[#This Row],[Q]]&lt;0.1, " ",Inventory_List_Table34111510911131718141619202122[[#This Row],[W CM]]/2.54)</f>
        <v xml:space="preserve"> </v>
      </c>
      <c r="Q66" s="35" t="str">
        <f>IF(Inventory_List_Table34111510911131718141619202122[[#This Row],[Q]]&lt;0.1, " ",Inventory_List_Table34111510911131718141619202122[[#This Row],[D CM ]]/2.54)</f>
        <v xml:space="preserve"> </v>
      </c>
      <c r="R66" s="30" t="str">
        <f>IF(Inventory_List_Table34111510911131718141619202122[[#This Row],[Q]]&lt;0.1, " ",Inventory_List_Table34111510911131718141619202122[[#This Row],[PRICE]]/$L$1)</f>
        <v xml:space="preserve"> </v>
      </c>
      <c r="S6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6" s="30" t="str">
        <f>IF(Inventory_List_Table34111510911131718141619202122[[#This Row],[Q]]&lt;0.1, " ",Inventory_List_Table34111510911131718141619202122[[#This Row],[AQ RND USD]]*1.4)</f>
        <v xml:space="preserve"> </v>
      </c>
      <c r="U6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6" s="30" t="str">
        <f>IF(Inventory_List_Table34111510911131718141619202122[[#This Row],[Q]]&lt;0.1, " ",Inventory_List_Table34111510911131718141619202122[[#This Row],[LND RND USD]]*12)</f>
        <v xml:space="preserve"> </v>
      </c>
      <c r="W66" s="30" t="str">
        <f>IF(Inventory_List_Table34111510911131718141619202122[[#This Row],[Q]]&lt;0.1, " ",Inventory_List_Table34111510911131718141619202122[[#This Row],[AQ USD]])</f>
        <v xml:space="preserve"> </v>
      </c>
      <c r="X6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6" s="30" t="str">
        <f>IF(Inventory_List_Table34111510911131718141619202122[[#This Row],[Q]]&lt;0.1, " ",Inventory_List_Table34111510911131718141619202122[[#This Row],[PRICE]]/Z66*10000)</f>
        <v xml:space="preserve"> </v>
      </c>
      <c r="AB66" s="484"/>
      <c r="AC66" s="1"/>
      <c r="AD66" s="1"/>
    </row>
    <row r="67" spans="1:30" ht="24" customHeight="1" x14ac:dyDescent="0.3">
      <c r="A67" s="480">
        <v>65</v>
      </c>
      <c r="B67" s="1"/>
      <c r="C67" s="478"/>
      <c r="D67" s="478"/>
      <c r="E67" s="478"/>
      <c r="F67" s="38" t="str">
        <f>IF(Inventory_List_Table34111510911131718141619202122[[#This Row],[Q]]&lt;0.1, " ",#REF!&amp;$D$1&amp;#REF!&amp;Inventory_List_Table34111510911131718141619202122[[#This Row],[NOTES]])</f>
        <v xml:space="preserve"> </v>
      </c>
      <c r="G67" s="481"/>
      <c r="H67" s="481"/>
      <c r="I67" s="481"/>
      <c r="J67" s="481"/>
      <c r="K67" s="481"/>
      <c r="L67" s="483"/>
      <c r="M6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7" s="35" t="str">
        <f>IF(Inventory_List_Table34111510911131718141619202122[[#This Row],[Q]]&lt;0.1, " ", Inventory_List_Table34111510911131718141619202122[[#This Row],[KG]]*2.20462)</f>
        <v xml:space="preserve"> </v>
      </c>
      <c r="O67" s="35" t="str">
        <f>IF(Inventory_List_Table34111510911131718141619202122[[#This Row],[Q]]&lt;0.1, " ",Inventory_List_Table34111510911131718141619202122[[#This Row],[H CM]]/2.54)</f>
        <v xml:space="preserve"> </v>
      </c>
      <c r="P67" s="35" t="str">
        <f>IF(Inventory_List_Table34111510911131718141619202122[[#This Row],[Q]]&lt;0.1, " ",Inventory_List_Table34111510911131718141619202122[[#This Row],[W CM]]/2.54)</f>
        <v xml:space="preserve"> </v>
      </c>
      <c r="Q67" s="35" t="str">
        <f>IF(Inventory_List_Table34111510911131718141619202122[[#This Row],[Q]]&lt;0.1, " ",Inventory_List_Table34111510911131718141619202122[[#This Row],[D CM ]]/2.54)</f>
        <v xml:space="preserve"> </v>
      </c>
      <c r="R67" s="30" t="str">
        <f>IF(Inventory_List_Table34111510911131718141619202122[[#This Row],[Q]]&lt;0.1, " ",Inventory_List_Table34111510911131718141619202122[[#This Row],[PRICE]]/$L$1)</f>
        <v xml:space="preserve"> </v>
      </c>
      <c r="S6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7" s="30" t="str">
        <f>IF(Inventory_List_Table34111510911131718141619202122[[#This Row],[Q]]&lt;0.1, " ",Inventory_List_Table34111510911131718141619202122[[#This Row],[AQ RND USD]]*1.4)</f>
        <v xml:space="preserve"> </v>
      </c>
      <c r="U6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7" s="30" t="str">
        <f>IF(Inventory_List_Table34111510911131718141619202122[[#This Row],[Q]]&lt;0.1, " ",Inventory_List_Table34111510911131718141619202122[[#This Row],[LND RND USD]]*12)</f>
        <v xml:space="preserve"> </v>
      </c>
      <c r="W67" s="30" t="str">
        <f>IF(Inventory_List_Table34111510911131718141619202122[[#This Row],[Q]]&lt;0.1, " ",Inventory_List_Table34111510911131718141619202122[[#This Row],[AQ USD]])</f>
        <v xml:space="preserve"> </v>
      </c>
      <c r="X6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7" s="30" t="str">
        <f>IF(Inventory_List_Table34111510911131718141619202122[[#This Row],[Q]]&lt;0.1, " ",Inventory_List_Table34111510911131718141619202122[[#This Row],[PRICE]]/Z67*10000)</f>
        <v xml:space="preserve"> </v>
      </c>
      <c r="AB67" s="484"/>
      <c r="AC67" s="1"/>
      <c r="AD67" s="1"/>
    </row>
    <row r="68" spans="1:30" ht="24" customHeight="1" x14ac:dyDescent="0.3">
      <c r="A68" s="480">
        <v>66</v>
      </c>
      <c r="B68" s="1"/>
      <c r="C68" s="478"/>
      <c r="D68" s="478"/>
      <c r="E68" s="478"/>
      <c r="F68" s="38" t="str">
        <f>IF(Inventory_List_Table34111510911131718141619202122[[#This Row],[Q]]&lt;0.1, " ",#REF!&amp;$D$1&amp;#REF!&amp;Inventory_List_Table34111510911131718141619202122[[#This Row],[NOTES]])</f>
        <v xml:space="preserve"> </v>
      </c>
      <c r="G68" s="481"/>
      <c r="H68" s="481"/>
      <c r="I68" s="481"/>
      <c r="J68" s="481"/>
      <c r="K68" s="481"/>
      <c r="L68" s="483"/>
      <c r="M6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8" s="35" t="str">
        <f>IF(Inventory_List_Table34111510911131718141619202122[[#This Row],[Q]]&lt;0.1, " ", Inventory_List_Table34111510911131718141619202122[[#This Row],[KG]]*2.20462)</f>
        <v xml:space="preserve"> </v>
      </c>
      <c r="O68" s="35" t="str">
        <f>IF(Inventory_List_Table34111510911131718141619202122[[#This Row],[Q]]&lt;0.1, " ",Inventory_List_Table34111510911131718141619202122[[#This Row],[H CM]]/2.54)</f>
        <v xml:space="preserve"> </v>
      </c>
      <c r="P68" s="35" t="str">
        <f>IF(Inventory_List_Table34111510911131718141619202122[[#This Row],[Q]]&lt;0.1, " ",Inventory_List_Table34111510911131718141619202122[[#This Row],[W CM]]/2.54)</f>
        <v xml:space="preserve"> </v>
      </c>
      <c r="Q68" s="35" t="str">
        <f>IF(Inventory_List_Table34111510911131718141619202122[[#This Row],[Q]]&lt;0.1, " ",Inventory_List_Table34111510911131718141619202122[[#This Row],[D CM ]]/2.54)</f>
        <v xml:space="preserve"> </v>
      </c>
      <c r="R68" s="30" t="str">
        <f>IF(Inventory_List_Table34111510911131718141619202122[[#This Row],[Q]]&lt;0.1, " ",Inventory_List_Table34111510911131718141619202122[[#This Row],[PRICE]]/$L$1)</f>
        <v xml:space="preserve"> </v>
      </c>
      <c r="S6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8" s="30" t="str">
        <f>IF(Inventory_List_Table34111510911131718141619202122[[#This Row],[Q]]&lt;0.1, " ",Inventory_List_Table34111510911131718141619202122[[#This Row],[AQ RND USD]]*1.4)</f>
        <v xml:space="preserve"> </v>
      </c>
      <c r="U6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8" s="30" t="str">
        <f>IF(Inventory_List_Table34111510911131718141619202122[[#This Row],[Q]]&lt;0.1, " ",Inventory_List_Table34111510911131718141619202122[[#This Row],[LND RND USD]]*12)</f>
        <v xml:space="preserve"> </v>
      </c>
      <c r="W68" s="30" t="str">
        <f>IF(Inventory_List_Table34111510911131718141619202122[[#This Row],[Q]]&lt;0.1, " ",Inventory_List_Table34111510911131718141619202122[[#This Row],[AQ USD]])</f>
        <v xml:space="preserve"> </v>
      </c>
      <c r="X6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8" s="30" t="str">
        <f>IF(Inventory_List_Table34111510911131718141619202122[[#This Row],[Q]]&lt;0.1, " ",Inventory_List_Table34111510911131718141619202122[[#This Row],[PRICE]]/Z68*10000)</f>
        <v xml:space="preserve"> </v>
      </c>
      <c r="AB68" s="484"/>
      <c r="AC68" s="1"/>
      <c r="AD68" s="1"/>
    </row>
    <row r="69" spans="1:30" ht="24" customHeight="1" x14ac:dyDescent="0.3">
      <c r="A69" s="480">
        <v>67</v>
      </c>
      <c r="B69" s="1"/>
      <c r="C69" s="478"/>
      <c r="D69" s="478"/>
      <c r="E69" s="478"/>
      <c r="F69" s="38" t="str">
        <f>IF(Inventory_List_Table34111510911131718141619202122[[#This Row],[Q]]&lt;0.1, " ",#REF!&amp;$D$1&amp;#REF!&amp;Inventory_List_Table34111510911131718141619202122[[#This Row],[NOTES]])</f>
        <v xml:space="preserve"> </v>
      </c>
      <c r="G69" s="481"/>
      <c r="H69" s="481"/>
      <c r="I69" s="481"/>
      <c r="J69" s="481"/>
      <c r="K69" s="481"/>
      <c r="L69" s="483"/>
      <c r="M6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69" s="35" t="str">
        <f>IF(Inventory_List_Table34111510911131718141619202122[[#This Row],[Q]]&lt;0.1, " ", Inventory_List_Table34111510911131718141619202122[[#This Row],[KG]]*2.20462)</f>
        <v xml:space="preserve"> </v>
      </c>
      <c r="O69" s="35" t="str">
        <f>IF(Inventory_List_Table34111510911131718141619202122[[#This Row],[Q]]&lt;0.1, " ",Inventory_List_Table34111510911131718141619202122[[#This Row],[H CM]]/2.54)</f>
        <v xml:space="preserve"> </v>
      </c>
      <c r="P69" s="35" t="str">
        <f>IF(Inventory_List_Table34111510911131718141619202122[[#This Row],[Q]]&lt;0.1, " ",Inventory_List_Table34111510911131718141619202122[[#This Row],[W CM]]/2.54)</f>
        <v xml:space="preserve"> </v>
      </c>
      <c r="Q69" s="35" t="str">
        <f>IF(Inventory_List_Table34111510911131718141619202122[[#This Row],[Q]]&lt;0.1, " ",Inventory_List_Table34111510911131718141619202122[[#This Row],[D CM ]]/2.54)</f>
        <v xml:space="preserve"> </v>
      </c>
      <c r="R69" s="30" t="str">
        <f>IF(Inventory_List_Table34111510911131718141619202122[[#This Row],[Q]]&lt;0.1, " ",Inventory_List_Table34111510911131718141619202122[[#This Row],[PRICE]]/$L$1)</f>
        <v xml:space="preserve"> </v>
      </c>
      <c r="S6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69" s="30" t="str">
        <f>IF(Inventory_List_Table34111510911131718141619202122[[#This Row],[Q]]&lt;0.1, " ",Inventory_List_Table34111510911131718141619202122[[#This Row],[AQ RND USD]]*1.4)</f>
        <v xml:space="preserve"> </v>
      </c>
      <c r="U6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69" s="30" t="str">
        <f>IF(Inventory_List_Table34111510911131718141619202122[[#This Row],[Q]]&lt;0.1, " ",Inventory_List_Table34111510911131718141619202122[[#This Row],[LND RND USD]]*12)</f>
        <v xml:space="preserve"> </v>
      </c>
      <c r="W69" s="30" t="str">
        <f>IF(Inventory_List_Table34111510911131718141619202122[[#This Row],[Q]]&lt;0.1, " ",Inventory_List_Table34111510911131718141619202122[[#This Row],[AQ USD]])</f>
        <v xml:space="preserve"> </v>
      </c>
      <c r="X6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6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6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69" s="30" t="str">
        <f>IF(Inventory_List_Table34111510911131718141619202122[[#This Row],[Q]]&lt;0.1, " ",Inventory_List_Table34111510911131718141619202122[[#This Row],[PRICE]]/Z69*10000)</f>
        <v xml:space="preserve"> </v>
      </c>
      <c r="AB69" s="484"/>
      <c r="AC69" s="1"/>
      <c r="AD69" s="1"/>
    </row>
    <row r="70" spans="1:30" ht="24" customHeight="1" x14ac:dyDescent="0.3">
      <c r="A70" s="480">
        <v>68</v>
      </c>
      <c r="B70" s="1"/>
      <c r="C70" s="478"/>
      <c r="D70" s="478"/>
      <c r="E70" s="478"/>
      <c r="F70" s="38" t="str">
        <f>IF(Inventory_List_Table34111510911131718141619202122[[#This Row],[Q]]&lt;0.1, " ",#REF!&amp;$D$1&amp;#REF!&amp;Inventory_List_Table34111510911131718141619202122[[#This Row],[NOTES]])</f>
        <v xml:space="preserve"> </v>
      </c>
      <c r="G70" s="481"/>
      <c r="H70" s="481"/>
      <c r="I70" s="481"/>
      <c r="J70" s="481"/>
      <c r="K70" s="481"/>
      <c r="L70" s="483"/>
      <c r="M7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0" s="35" t="str">
        <f>IF(Inventory_List_Table34111510911131718141619202122[[#This Row],[Q]]&lt;0.1, " ", Inventory_List_Table34111510911131718141619202122[[#This Row],[KG]]*2.20462)</f>
        <v xml:space="preserve"> </v>
      </c>
      <c r="O70" s="35" t="str">
        <f>IF(Inventory_List_Table34111510911131718141619202122[[#This Row],[Q]]&lt;0.1, " ",Inventory_List_Table34111510911131718141619202122[[#This Row],[H CM]]/2.54)</f>
        <v xml:space="preserve"> </v>
      </c>
      <c r="P70" s="35" t="str">
        <f>IF(Inventory_List_Table34111510911131718141619202122[[#This Row],[Q]]&lt;0.1, " ",Inventory_List_Table34111510911131718141619202122[[#This Row],[W CM]]/2.54)</f>
        <v xml:space="preserve"> </v>
      </c>
      <c r="Q70" s="35" t="str">
        <f>IF(Inventory_List_Table34111510911131718141619202122[[#This Row],[Q]]&lt;0.1, " ",Inventory_List_Table34111510911131718141619202122[[#This Row],[D CM ]]/2.54)</f>
        <v xml:space="preserve"> </v>
      </c>
      <c r="R70" s="30" t="str">
        <f>IF(Inventory_List_Table34111510911131718141619202122[[#This Row],[Q]]&lt;0.1, " ",Inventory_List_Table34111510911131718141619202122[[#This Row],[PRICE]]/$L$1)</f>
        <v xml:space="preserve"> </v>
      </c>
      <c r="S7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0" s="30" t="str">
        <f>IF(Inventory_List_Table34111510911131718141619202122[[#This Row],[Q]]&lt;0.1, " ",Inventory_List_Table34111510911131718141619202122[[#This Row],[AQ RND USD]]*1.4)</f>
        <v xml:space="preserve"> </v>
      </c>
      <c r="U7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0" s="30" t="str">
        <f>IF(Inventory_List_Table34111510911131718141619202122[[#This Row],[Q]]&lt;0.1, " ",Inventory_List_Table34111510911131718141619202122[[#This Row],[LND RND USD]]*12)</f>
        <v xml:space="preserve"> </v>
      </c>
      <c r="W70" s="30" t="str">
        <f>IF(Inventory_List_Table34111510911131718141619202122[[#This Row],[Q]]&lt;0.1, " ",Inventory_List_Table34111510911131718141619202122[[#This Row],[AQ USD]])</f>
        <v xml:space="preserve"> </v>
      </c>
      <c r="X7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0" s="30" t="str">
        <f>IF(Inventory_List_Table34111510911131718141619202122[[#This Row],[Q]]&lt;0.1, " ",Inventory_List_Table34111510911131718141619202122[[#This Row],[PRICE]]/Z70*10000)</f>
        <v xml:space="preserve"> </v>
      </c>
      <c r="AB70" s="484"/>
      <c r="AC70" s="1"/>
      <c r="AD70" s="1"/>
    </row>
    <row r="71" spans="1:30" ht="24" customHeight="1" x14ac:dyDescent="0.3">
      <c r="A71" s="480">
        <v>69</v>
      </c>
      <c r="B71" s="1"/>
      <c r="C71" s="478"/>
      <c r="D71" s="478"/>
      <c r="E71" s="478"/>
      <c r="F71" s="38" t="str">
        <f>IF(Inventory_List_Table34111510911131718141619202122[[#This Row],[Q]]&lt;0.1, " ",#REF!&amp;$D$1&amp;#REF!&amp;Inventory_List_Table34111510911131718141619202122[[#This Row],[NOTES]])</f>
        <v xml:space="preserve"> </v>
      </c>
      <c r="G71" s="481"/>
      <c r="H71" s="481"/>
      <c r="I71" s="481"/>
      <c r="J71" s="481"/>
      <c r="K71" s="481"/>
      <c r="L71" s="483"/>
      <c r="M7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1" s="35" t="str">
        <f>IF(Inventory_List_Table34111510911131718141619202122[[#This Row],[Q]]&lt;0.1, " ", Inventory_List_Table34111510911131718141619202122[[#This Row],[KG]]*2.20462)</f>
        <v xml:space="preserve"> </v>
      </c>
      <c r="O71" s="35" t="str">
        <f>IF(Inventory_List_Table34111510911131718141619202122[[#This Row],[Q]]&lt;0.1, " ",Inventory_List_Table34111510911131718141619202122[[#This Row],[H CM]]/2.54)</f>
        <v xml:space="preserve"> </v>
      </c>
      <c r="P71" s="35" t="str">
        <f>IF(Inventory_List_Table34111510911131718141619202122[[#This Row],[Q]]&lt;0.1, " ",Inventory_List_Table34111510911131718141619202122[[#This Row],[W CM]]/2.54)</f>
        <v xml:space="preserve"> </v>
      </c>
      <c r="Q71" s="35" t="str">
        <f>IF(Inventory_List_Table34111510911131718141619202122[[#This Row],[Q]]&lt;0.1, " ",Inventory_List_Table34111510911131718141619202122[[#This Row],[D CM ]]/2.54)</f>
        <v xml:space="preserve"> </v>
      </c>
      <c r="R71" s="30" t="str">
        <f>IF(Inventory_List_Table34111510911131718141619202122[[#This Row],[Q]]&lt;0.1, " ",Inventory_List_Table34111510911131718141619202122[[#This Row],[PRICE]]/$L$1)</f>
        <v xml:space="preserve"> </v>
      </c>
      <c r="S7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1" s="30" t="str">
        <f>IF(Inventory_List_Table34111510911131718141619202122[[#This Row],[Q]]&lt;0.1, " ",Inventory_List_Table34111510911131718141619202122[[#This Row],[AQ RND USD]]*1.4)</f>
        <v xml:space="preserve"> </v>
      </c>
      <c r="U7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1" s="30" t="str">
        <f>IF(Inventory_List_Table34111510911131718141619202122[[#This Row],[Q]]&lt;0.1, " ",Inventory_List_Table34111510911131718141619202122[[#This Row],[LND RND USD]]*12)</f>
        <v xml:space="preserve"> </v>
      </c>
      <c r="W71" s="30" t="str">
        <f>IF(Inventory_List_Table34111510911131718141619202122[[#This Row],[Q]]&lt;0.1, " ",Inventory_List_Table34111510911131718141619202122[[#This Row],[AQ USD]])</f>
        <v xml:space="preserve"> </v>
      </c>
      <c r="X7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1" s="30" t="str">
        <f>IF(Inventory_List_Table34111510911131718141619202122[[#This Row],[Q]]&lt;0.1, " ",Inventory_List_Table34111510911131718141619202122[[#This Row],[PRICE]]/Z71*10000)</f>
        <v xml:space="preserve"> </v>
      </c>
      <c r="AB71" s="484"/>
      <c r="AC71" s="1"/>
      <c r="AD71" s="1"/>
    </row>
    <row r="72" spans="1:30" ht="24" customHeight="1" x14ac:dyDescent="0.3">
      <c r="A72" s="480">
        <v>70</v>
      </c>
      <c r="B72" s="1"/>
      <c r="C72" s="478"/>
      <c r="D72" s="478"/>
      <c r="E72" s="478"/>
      <c r="F72" s="38" t="str">
        <f>IF(Inventory_List_Table34111510911131718141619202122[[#This Row],[Q]]&lt;0.1, " ",#REF!&amp;$D$1&amp;#REF!&amp;Inventory_List_Table34111510911131718141619202122[[#This Row],[NOTES]])</f>
        <v xml:space="preserve"> </v>
      </c>
      <c r="G72" s="481"/>
      <c r="H72" s="481"/>
      <c r="I72" s="481"/>
      <c r="J72" s="481"/>
      <c r="K72" s="481"/>
      <c r="L72" s="483"/>
      <c r="M7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2" s="35" t="str">
        <f>IF(Inventory_List_Table34111510911131718141619202122[[#This Row],[Q]]&lt;0.1, " ", Inventory_List_Table34111510911131718141619202122[[#This Row],[KG]]*2.20462)</f>
        <v xml:space="preserve"> </v>
      </c>
      <c r="O72" s="35" t="str">
        <f>IF(Inventory_List_Table34111510911131718141619202122[[#This Row],[Q]]&lt;0.1, " ",Inventory_List_Table34111510911131718141619202122[[#This Row],[H CM]]/2.54)</f>
        <v xml:space="preserve"> </v>
      </c>
      <c r="P72" s="35" t="str">
        <f>IF(Inventory_List_Table34111510911131718141619202122[[#This Row],[Q]]&lt;0.1, " ",Inventory_List_Table34111510911131718141619202122[[#This Row],[W CM]]/2.54)</f>
        <v xml:space="preserve"> </v>
      </c>
      <c r="Q72" s="35" t="str">
        <f>IF(Inventory_List_Table34111510911131718141619202122[[#This Row],[Q]]&lt;0.1, " ",Inventory_List_Table34111510911131718141619202122[[#This Row],[D CM ]]/2.54)</f>
        <v xml:space="preserve"> </v>
      </c>
      <c r="R72" s="30" t="str">
        <f>IF(Inventory_List_Table34111510911131718141619202122[[#This Row],[Q]]&lt;0.1, " ",Inventory_List_Table34111510911131718141619202122[[#This Row],[PRICE]]/$L$1)</f>
        <v xml:space="preserve"> </v>
      </c>
      <c r="S7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2" s="30" t="str">
        <f>IF(Inventory_List_Table34111510911131718141619202122[[#This Row],[Q]]&lt;0.1, " ",Inventory_List_Table34111510911131718141619202122[[#This Row],[AQ RND USD]]*1.4)</f>
        <v xml:space="preserve"> </v>
      </c>
      <c r="U7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2" s="30" t="str">
        <f>IF(Inventory_List_Table34111510911131718141619202122[[#This Row],[Q]]&lt;0.1, " ",Inventory_List_Table34111510911131718141619202122[[#This Row],[LND RND USD]]*12)</f>
        <v xml:space="preserve"> </v>
      </c>
      <c r="W72" s="30" t="str">
        <f>IF(Inventory_List_Table34111510911131718141619202122[[#This Row],[Q]]&lt;0.1, " ",Inventory_List_Table34111510911131718141619202122[[#This Row],[AQ USD]])</f>
        <v xml:space="preserve"> </v>
      </c>
      <c r="X7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2" s="30" t="str">
        <f>IF(Inventory_List_Table34111510911131718141619202122[[#This Row],[Q]]&lt;0.1, " ",Inventory_List_Table34111510911131718141619202122[[#This Row],[PRICE]]/Z72*10000)</f>
        <v xml:space="preserve"> </v>
      </c>
      <c r="AB72" s="484"/>
      <c r="AC72" s="1"/>
      <c r="AD72" s="1"/>
    </row>
    <row r="73" spans="1:30" ht="24" customHeight="1" x14ac:dyDescent="0.3">
      <c r="A73" s="480">
        <v>71</v>
      </c>
      <c r="B73" s="1"/>
      <c r="C73" s="478"/>
      <c r="D73" s="478"/>
      <c r="E73" s="478"/>
      <c r="F73" s="38" t="str">
        <f>IF(Inventory_List_Table34111510911131718141619202122[[#This Row],[Q]]&lt;0.1, " ",#REF!&amp;$D$1&amp;#REF!&amp;Inventory_List_Table34111510911131718141619202122[[#This Row],[NOTES]])</f>
        <v xml:space="preserve"> </v>
      </c>
      <c r="G73" s="481"/>
      <c r="H73" s="481"/>
      <c r="I73" s="481"/>
      <c r="J73" s="481"/>
      <c r="K73" s="481"/>
      <c r="L73" s="483"/>
      <c r="M7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3" s="35" t="str">
        <f>IF(Inventory_List_Table34111510911131718141619202122[[#This Row],[Q]]&lt;0.1, " ", Inventory_List_Table34111510911131718141619202122[[#This Row],[KG]]*2.20462)</f>
        <v xml:space="preserve"> </v>
      </c>
      <c r="O73" s="35" t="str">
        <f>IF(Inventory_List_Table34111510911131718141619202122[[#This Row],[Q]]&lt;0.1, " ",Inventory_List_Table34111510911131718141619202122[[#This Row],[H CM]]/2.54)</f>
        <v xml:space="preserve"> </v>
      </c>
      <c r="P73" s="35" t="str">
        <f>IF(Inventory_List_Table34111510911131718141619202122[[#This Row],[Q]]&lt;0.1, " ",Inventory_List_Table34111510911131718141619202122[[#This Row],[W CM]]/2.54)</f>
        <v xml:space="preserve"> </v>
      </c>
      <c r="Q73" s="35" t="str">
        <f>IF(Inventory_List_Table34111510911131718141619202122[[#This Row],[Q]]&lt;0.1, " ",Inventory_List_Table34111510911131718141619202122[[#This Row],[D CM ]]/2.54)</f>
        <v xml:space="preserve"> </v>
      </c>
      <c r="R73" s="30" t="str">
        <f>IF(Inventory_List_Table34111510911131718141619202122[[#This Row],[Q]]&lt;0.1, " ",Inventory_List_Table34111510911131718141619202122[[#This Row],[PRICE]]/$L$1)</f>
        <v xml:space="preserve"> </v>
      </c>
      <c r="S7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3" s="30" t="str">
        <f>IF(Inventory_List_Table34111510911131718141619202122[[#This Row],[Q]]&lt;0.1, " ",Inventory_List_Table34111510911131718141619202122[[#This Row],[AQ RND USD]]*1.4)</f>
        <v xml:space="preserve"> </v>
      </c>
      <c r="U7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3" s="30" t="str">
        <f>IF(Inventory_List_Table34111510911131718141619202122[[#This Row],[Q]]&lt;0.1, " ",Inventory_List_Table34111510911131718141619202122[[#This Row],[LND RND USD]]*12)</f>
        <v xml:space="preserve"> </v>
      </c>
      <c r="W73" s="30" t="str">
        <f>IF(Inventory_List_Table34111510911131718141619202122[[#This Row],[Q]]&lt;0.1, " ",Inventory_List_Table34111510911131718141619202122[[#This Row],[AQ USD]])</f>
        <v xml:space="preserve"> </v>
      </c>
      <c r="X7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3" s="30" t="str">
        <f>IF(Inventory_List_Table34111510911131718141619202122[[#This Row],[Q]]&lt;0.1, " ",Inventory_List_Table34111510911131718141619202122[[#This Row],[PRICE]]/Z73*10000)</f>
        <v xml:space="preserve"> </v>
      </c>
      <c r="AB73" s="484"/>
      <c r="AC73" s="1"/>
      <c r="AD73" s="1"/>
    </row>
    <row r="74" spans="1:30" ht="24" customHeight="1" x14ac:dyDescent="0.3">
      <c r="A74" s="480">
        <v>72</v>
      </c>
      <c r="B74" s="1"/>
      <c r="C74" s="478"/>
      <c r="D74" s="478"/>
      <c r="E74" s="478"/>
      <c r="F74" s="38" t="str">
        <f>IF(Inventory_List_Table34111510911131718141619202122[[#This Row],[Q]]&lt;0.1, " ",#REF!&amp;$D$1&amp;#REF!&amp;Inventory_List_Table34111510911131718141619202122[[#This Row],[NOTES]])</f>
        <v xml:space="preserve"> </v>
      </c>
      <c r="G74" s="481"/>
      <c r="H74" s="481"/>
      <c r="I74" s="481"/>
      <c r="J74" s="481"/>
      <c r="K74" s="481"/>
      <c r="L74" s="483"/>
      <c r="M7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4" s="35" t="str">
        <f>IF(Inventory_List_Table34111510911131718141619202122[[#This Row],[Q]]&lt;0.1, " ", Inventory_List_Table34111510911131718141619202122[[#This Row],[KG]]*2.20462)</f>
        <v xml:space="preserve"> </v>
      </c>
      <c r="O74" s="35" t="str">
        <f>IF(Inventory_List_Table34111510911131718141619202122[[#This Row],[Q]]&lt;0.1, " ",Inventory_List_Table34111510911131718141619202122[[#This Row],[H CM]]/2.54)</f>
        <v xml:space="preserve"> </v>
      </c>
      <c r="P74" s="35" t="str">
        <f>IF(Inventory_List_Table34111510911131718141619202122[[#This Row],[Q]]&lt;0.1, " ",Inventory_List_Table34111510911131718141619202122[[#This Row],[W CM]]/2.54)</f>
        <v xml:space="preserve"> </v>
      </c>
      <c r="Q74" s="35" t="str">
        <f>IF(Inventory_List_Table34111510911131718141619202122[[#This Row],[Q]]&lt;0.1, " ",Inventory_List_Table34111510911131718141619202122[[#This Row],[D CM ]]/2.54)</f>
        <v xml:space="preserve"> </v>
      </c>
      <c r="R74" s="30" t="str">
        <f>IF(Inventory_List_Table34111510911131718141619202122[[#This Row],[Q]]&lt;0.1, " ",Inventory_List_Table34111510911131718141619202122[[#This Row],[PRICE]]/$L$1)</f>
        <v xml:space="preserve"> </v>
      </c>
      <c r="S7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4" s="30" t="str">
        <f>IF(Inventory_List_Table34111510911131718141619202122[[#This Row],[Q]]&lt;0.1, " ",Inventory_List_Table34111510911131718141619202122[[#This Row],[AQ RND USD]]*1.4)</f>
        <v xml:space="preserve"> </v>
      </c>
      <c r="U7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4" s="30" t="str">
        <f>IF(Inventory_List_Table34111510911131718141619202122[[#This Row],[Q]]&lt;0.1, " ",Inventory_List_Table34111510911131718141619202122[[#This Row],[LND RND USD]]*12)</f>
        <v xml:space="preserve"> </v>
      </c>
      <c r="W74" s="30" t="str">
        <f>IF(Inventory_List_Table34111510911131718141619202122[[#This Row],[Q]]&lt;0.1, " ",Inventory_List_Table34111510911131718141619202122[[#This Row],[AQ USD]])</f>
        <v xml:space="preserve"> </v>
      </c>
      <c r="X7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4" s="30" t="str">
        <f>IF(Inventory_List_Table34111510911131718141619202122[[#This Row],[Q]]&lt;0.1, " ",Inventory_List_Table34111510911131718141619202122[[#This Row],[PRICE]]/Z74*10000)</f>
        <v xml:space="preserve"> </v>
      </c>
      <c r="AB74" s="484"/>
      <c r="AC74" s="1"/>
      <c r="AD74" s="1"/>
    </row>
    <row r="75" spans="1:30" ht="24" customHeight="1" x14ac:dyDescent="0.3">
      <c r="A75" s="480">
        <v>73</v>
      </c>
      <c r="B75" s="1"/>
      <c r="C75" s="478"/>
      <c r="D75" s="478"/>
      <c r="E75" s="478"/>
      <c r="F75" s="38" t="str">
        <f>IF(Inventory_List_Table34111510911131718141619202122[[#This Row],[Q]]&lt;0.1, " ",#REF!&amp;$D$1&amp;#REF!&amp;Inventory_List_Table34111510911131718141619202122[[#This Row],[NOTES]])</f>
        <v xml:space="preserve"> </v>
      </c>
      <c r="G75" s="481"/>
      <c r="H75" s="481"/>
      <c r="I75" s="481"/>
      <c r="J75" s="481"/>
      <c r="K75" s="481"/>
      <c r="L75" s="483"/>
      <c r="M7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5" s="35" t="str">
        <f>IF(Inventory_List_Table34111510911131718141619202122[[#This Row],[Q]]&lt;0.1, " ", Inventory_List_Table34111510911131718141619202122[[#This Row],[KG]]*2.20462)</f>
        <v xml:space="preserve"> </v>
      </c>
      <c r="O75" s="35" t="str">
        <f>IF(Inventory_List_Table34111510911131718141619202122[[#This Row],[Q]]&lt;0.1, " ",Inventory_List_Table34111510911131718141619202122[[#This Row],[H CM]]/2.54)</f>
        <v xml:space="preserve"> </v>
      </c>
      <c r="P75" s="35" t="str">
        <f>IF(Inventory_List_Table34111510911131718141619202122[[#This Row],[Q]]&lt;0.1, " ",Inventory_List_Table34111510911131718141619202122[[#This Row],[W CM]]/2.54)</f>
        <v xml:space="preserve"> </v>
      </c>
      <c r="Q75" s="35" t="str">
        <f>IF(Inventory_List_Table34111510911131718141619202122[[#This Row],[Q]]&lt;0.1, " ",Inventory_List_Table34111510911131718141619202122[[#This Row],[D CM ]]/2.54)</f>
        <v xml:space="preserve"> </v>
      </c>
      <c r="R75" s="30" t="str">
        <f>IF(Inventory_List_Table34111510911131718141619202122[[#This Row],[Q]]&lt;0.1, " ",Inventory_List_Table34111510911131718141619202122[[#This Row],[PRICE]]/$L$1)</f>
        <v xml:space="preserve"> </v>
      </c>
      <c r="S7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5" s="30" t="str">
        <f>IF(Inventory_List_Table34111510911131718141619202122[[#This Row],[Q]]&lt;0.1, " ",Inventory_List_Table34111510911131718141619202122[[#This Row],[AQ RND USD]]*1.4)</f>
        <v xml:space="preserve"> </v>
      </c>
      <c r="U7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5" s="30" t="str">
        <f>IF(Inventory_List_Table34111510911131718141619202122[[#This Row],[Q]]&lt;0.1, " ",Inventory_List_Table34111510911131718141619202122[[#This Row],[LND RND USD]]*12)</f>
        <v xml:space="preserve"> </v>
      </c>
      <c r="W75" s="30" t="str">
        <f>IF(Inventory_List_Table34111510911131718141619202122[[#This Row],[Q]]&lt;0.1, " ",Inventory_List_Table34111510911131718141619202122[[#This Row],[AQ USD]])</f>
        <v xml:space="preserve"> </v>
      </c>
      <c r="X7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5" s="30" t="str">
        <f>IF(Inventory_List_Table34111510911131718141619202122[[#This Row],[Q]]&lt;0.1, " ",Inventory_List_Table34111510911131718141619202122[[#This Row],[PRICE]]/Z75*10000)</f>
        <v xml:space="preserve"> </v>
      </c>
      <c r="AB75" s="484"/>
      <c r="AC75" s="1"/>
      <c r="AD75" s="1"/>
    </row>
    <row r="76" spans="1:30" ht="24" customHeight="1" x14ac:dyDescent="0.3">
      <c r="A76" s="480">
        <v>74</v>
      </c>
      <c r="B76" s="1"/>
      <c r="C76" s="478"/>
      <c r="D76" s="478"/>
      <c r="E76" s="478"/>
      <c r="F76" s="38" t="str">
        <f>IF(Inventory_List_Table34111510911131718141619202122[[#This Row],[Q]]&lt;0.1, " ",#REF!&amp;$D$1&amp;#REF!&amp;Inventory_List_Table34111510911131718141619202122[[#This Row],[NOTES]])</f>
        <v xml:space="preserve"> </v>
      </c>
      <c r="G76" s="481"/>
      <c r="H76" s="481"/>
      <c r="I76" s="481"/>
      <c r="J76" s="481"/>
      <c r="K76" s="481"/>
      <c r="L76" s="483"/>
      <c r="M7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6" s="35" t="str">
        <f>IF(Inventory_List_Table34111510911131718141619202122[[#This Row],[Q]]&lt;0.1, " ", Inventory_List_Table34111510911131718141619202122[[#This Row],[KG]]*2.20462)</f>
        <v xml:space="preserve"> </v>
      </c>
      <c r="O76" s="35" t="str">
        <f>IF(Inventory_List_Table34111510911131718141619202122[[#This Row],[Q]]&lt;0.1, " ",Inventory_List_Table34111510911131718141619202122[[#This Row],[H CM]]/2.54)</f>
        <v xml:space="preserve"> </v>
      </c>
      <c r="P76" s="35" t="str">
        <f>IF(Inventory_List_Table34111510911131718141619202122[[#This Row],[Q]]&lt;0.1, " ",Inventory_List_Table34111510911131718141619202122[[#This Row],[W CM]]/2.54)</f>
        <v xml:space="preserve"> </v>
      </c>
      <c r="Q76" s="35" t="str">
        <f>IF(Inventory_List_Table34111510911131718141619202122[[#This Row],[Q]]&lt;0.1, " ",Inventory_List_Table34111510911131718141619202122[[#This Row],[D CM ]]/2.54)</f>
        <v xml:space="preserve"> </v>
      </c>
      <c r="R76" s="30" t="str">
        <f>IF(Inventory_List_Table34111510911131718141619202122[[#This Row],[Q]]&lt;0.1, " ",Inventory_List_Table34111510911131718141619202122[[#This Row],[PRICE]]/$L$1)</f>
        <v xml:space="preserve"> </v>
      </c>
      <c r="S7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6" s="30" t="str">
        <f>IF(Inventory_List_Table34111510911131718141619202122[[#This Row],[Q]]&lt;0.1, " ",Inventory_List_Table34111510911131718141619202122[[#This Row],[AQ RND USD]]*1.4)</f>
        <v xml:space="preserve"> </v>
      </c>
      <c r="U7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6" s="30" t="str">
        <f>IF(Inventory_List_Table34111510911131718141619202122[[#This Row],[Q]]&lt;0.1, " ",Inventory_List_Table34111510911131718141619202122[[#This Row],[LND RND USD]]*12)</f>
        <v xml:space="preserve"> </v>
      </c>
      <c r="W76" s="30" t="str">
        <f>IF(Inventory_List_Table34111510911131718141619202122[[#This Row],[Q]]&lt;0.1, " ",Inventory_List_Table34111510911131718141619202122[[#This Row],[AQ USD]])</f>
        <v xml:space="preserve"> </v>
      </c>
      <c r="X7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6" s="30" t="str">
        <f>IF(Inventory_List_Table34111510911131718141619202122[[#This Row],[Q]]&lt;0.1, " ",Inventory_List_Table34111510911131718141619202122[[#This Row],[PRICE]]/Z76*10000)</f>
        <v xml:space="preserve"> </v>
      </c>
      <c r="AB76" s="484"/>
      <c r="AC76" s="1"/>
      <c r="AD76" s="1"/>
    </row>
    <row r="77" spans="1:30" ht="24" customHeight="1" x14ac:dyDescent="0.3">
      <c r="A77" s="480">
        <v>75</v>
      </c>
      <c r="B77" s="1"/>
      <c r="C77" s="478"/>
      <c r="D77" s="478"/>
      <c r="E77" s="478"/>
      <c r="F77" s="38" t="str">
        <f>IF(Inventory_List_Table34111510911131718141619202122[[#This Row],[Q]]&lt;0.1, " ",#REF!&amp;$D$1&amp;#REF!&amp;Inventory_List_Table34111510911131718141619202122[[#This Row],[NOTES]])</f>
        <v xml:space="preserve"> </v>
      </c>
      <c r="G77" s="481"/>
      <c r="H77" s="481"/>
      <c r="I77" s="481"/>
      <c r="J77" s="481"/>
      <c r="K77" s="481"/>
      <c r="L77" s="483"/>
      <c r="M7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7" s="35" t="str">
        <f>IF(Inventory_List_Table34111510911131718141619202122[[#This Row],[Q]]&lt;0.1, " ", Inventory_List_Table34111510911131718141619202122[[#This Row],[KG]]*2.20462)</f>
        <v xml:space="preserve"> </v>
      </c>
      <c r="O77" s="35" t="str">
        <f>IF(Inventory_List_Table34111510911131718141619202122[[#This Row],[Q]]&lt;0.1, " ",Inventory_List_Table34111510911131718141619202122[[#This Row],[H CM]]/2.54)</f>
        <v xml:space="preserve"> </v>
      </c>
      <c r="P77" s="35" t="str">
        <f>IF(Inventory_List_Table34111510911131718141619202122[[#This Row],[Q]]&lt;0.1, " ",Inventory_List_Table34111510911131718141619202122[[#This Row],[W CM]]/2.54)</f>
        <v xml:space="preserve"> </v>
      </c>
      <c r="Q77" s="35" t="str">
        <f>IF(Inventory_List_Table34111510911131718141619202122[[#This Row],[Q]]&lt;0.1, " ",Inventory_List_Table34111510911131718141619202122[[#This Row],[D CM ]]/2.54)</f>
        <v xml:space="preserve"> </v>
      </c>
      <c r="R77" s="30" t="str">
        <f>IF(Inventory_List_Table34111510911131718141619202122[[#This Row],[Q]]&lt;0.1, " ",Inventory_List_Table34111510911131718141619202122[[#This Row],[PRICE]]/$L$1)</f>
        <v xml:space="preserve"> </v>
      </c>
      <c r="S7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7" s="30" t="str">
        <f>IF(Inventory_List_Table34111510911131718141619202122[[#This Row],[Q]]&lt;0.1, " ",Inventory_List_Table34111510911131718141619202122[[#This Row],[AQ RND USD]]*1.4)</f>
        <v xml:space="preserve"> </v>
      </c>
      <c r="U7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7" s="30" t="str">
        <f>IF(Inventory_List_Table34111510911131718141619202122[[#This Row],[Q]]&lt;0.1, " ",Inventory_List_Table34111510911131718141619202122[[#This Row],[LND RND USD]]*12)</f>
        <v xml:space="preserve"> </v>
      </c>
      <c r="W77" s="30" t="str">
        <f>IF(Inventory_List_Table34111510911131718141619202122[[#This Row],[Q]]&lt;0.1, " ",Inventory_List_Table34111510911131718141619202122[[#This Row],[AQ USD]])</f>
        <v xml:space="preserve"> </v>
      </c>
      <c r="X7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7" s="30" t="str">
        <f>IF(Inventory_List_Table34111510911131718141619202122[[#This Row],[Q]]&lt;0.1, " ",Inventory_List_Table34111510911131718141619202122[[#This Row],[PRICE]]/Z77*10000)</f>
        <v xml:space="preserve"> </v>
      </c>
      <c r="AB77" s="484"/>
      <c r="AC77" s="1"/>
      <c r="AD77" s="1"/>
    </row>
    <row r="78" spans="1:30" ht="24" customHeight="1" x14ac:dyDescent="0.3">
      <c r="A78" s="480">
        <v>76</v>
      </c>
      <c r="B78" s="1"/>
      <c r="C78" s="478"/>
      <c r="D78" s="478"/>
      <c r="E78" s="478"/>
      <c r="F78" s="38" t="str">
        <f>IF(Inventory_List_Table34111510911131718141619202122[[#This Row],[Q]]&lt;0.1, " ",#REF!&amp;$D$1&amp;#REF!&amp;Inventory_List_Table34111510911131718141619202122[[#This Row],[NOTES]])</f>
        <v xml:space="preserve"> </v>
      </c>
      <c r="G78" s="481"/>
      <c r="H78" s="481"/>
      <c r="I78" s="481"/>
      <c r="J78" s="481"/>
      <c r="K78" s="481"/>
      <c r="L78" s="483"/>
      <c r="M7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8" s="35" t="str">
        <f>IF(Inventory_List_Table34111510911131718141619202122[[#This Row],[Q]]&lt;0.1, " ", Inventory_List_Table34111510911131718141619202122[[#This Row],[KG]]*2.20462)</f>
        <v xml:space="preserve"> </v>
      </c>
      <c r="O78" s="35" t="str">
        <f>IF(Inventory_List_Table34111510911131718141619202122[[#This Row],[Q]]&lt;0.1, " ",Inventory_List_Table34111510911131718141619202122[[#This Row],[H CM]]/2.54)</f>
        <v xml:space="preserve"> </v>
      </c>
      <c r="P78" s="35" t="str">
        <f>IF(Inventory_List_Table34111510911131718141619202122[[#This Row],[Q]]&lt;0.1, " ",Inventory_List_Table34111510911131718141619202122[[#This Row],[W CM]]/2.54)</f>
        <v xml:space="preserve"> </v>
      </c>
      <c r="Q78" s="35" t="str">
        <f>IF(Inventory_List_Table34111510911131718141619202122[[#This Row],[Q]]&lt;0.1, " ",Inventory_List_Table34111510911131718141619202122[[#This Row],[D CM ]]/2.54)</f>
        <v xml:space="preserve"> </v>
      </c>
      <c r="R78" s="30" t="str">
        <f>IF(Inventory_List_Table34111510911131718141619202122[[#This Row],[Q]]&lt;0.1, " ",Inventory_List_Table34111510911131718141619202122[[#This Row],[PRICE]]/$L$1)</f>
        <v xml:space="preserve"> </v>
      </c>
      <c r="S7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8" s="30" t="str">
        <f>IF(Inventory_List_Table34111510911131718141619202122[[#This Row],[Q]]&lt;0.1, " ",Inventory_List_Table34111510911131718141619202122[[#This Row],[AQ RND USD]]*1.4)</f>
        <v xml:space="preserve"> </v>
      </c>
      <c r="U7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8" s="30" t="str">
        <f>IF(Inventory_List_Table34111510911131718141619202122[[#This Row],[Q]]&lt;0.1, " ",Inventory_List_Table34111510911131718141619202122[[#This Row],[LND RND USD]]*12)</f>
        <v xml:space="preserve"> </v>
      </c>
      <c r="W78" s="30" t="str">
        <f>IF(Inventory_List_Table34111510911131718141619202122[[#This Row],[Q]]&lt;0.1, " ",Inventory_List_Table34111510911131718141619202122[[#This Row],[AQ USD]])</f>
        <v xml:space="preserve"> </v>
      </c>
      <c r="X7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8" s="30" t="str">
        <f>IF(Inventory_List_Table34111510911131718141619202122[[#This Row],[Q]]&lt;0.1, " ",Inventory_List_Table34111510911131718141619202122[[#This Row],[PRICE]]/Z78*10000)</f>
        <v xml:space="preserve"> </v>
      </c>
      <c r="AB78" s="484"/>
      <c r="AC78" s="1"/>
      <c r="AD78" s="1"/>
    </row>
    <row r="79" spans="1:30" ht="24" customHeight="1" x14ac:dyDescent="0.3">
      <c r="A79" s="480">
        <v>77</v>
      </c>
      <c r="B79" s="1"/>
      <c r="C79" s="478"/>
      <c r="D79" s="478"/>
      <c r="E79" s="478"/>
      <c r="F79" s="38" t="str">
        <f>IF(Inventory_List_Table34111510911131718141619202122[[#This Row],[Q]]&lt;0.1, " ",#REF!&amp;$D$1&amp;#REF!&amp;Inventory_List_Table34111510911131718141619202122[[#This Row],[NOTES]])</f>
        <v xml:space="preserve"> </v>
      </c>
      <c r="G79" s="481"/>
      <c r="H79" s="481"/>
      <c r="I79" s="481"/>
      <c r="J79" s="481"/>
      <c r="K79" s="481"/>
      <c r="L79" s="483"/>
      <c r="M7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79" s="35" t="str">
        <f>IF(Inventory_List_Table34111510911131718141619202122[[#This Row],[Q]]&lt;0.1, " ", Inventory_List_Table34111510911131718141619202122[[#This Row],[KG]]*2.20462)</f>
        <v xml:space="preserve"> </v>
      </c>
      <c r="O79" s="35" t="str">
        <f>IF(Inventory_List_Table34111510911131718141619202122[[#This Row],[Q]]&lt;0.1, " ",Inventory_List_Table34111510911131718141619202122[[#This Row],[H CM]]/2.54)</f>
        <v xml:space="preserve"> </v>
      </c>
      <c r="P79" s="35" t="str">
        <f>IF(Inventory_List_Table34111510911131718141619202122[[#This Row],[Q]]&lt;0.1, " ",Inventory_List_Table34111510911131718141619202122[[#This Row],[W CM]]/2.54)</f>
        <v xml:space="preserve"> </v>
      </c>
      <c r="Q79" s="35" t="str">
        <f>IF(Inventory_List_Table34111510911131718141619202122[[#This Row],[Q]]&lt;0.1, " ",Inventory_List_Table34111510911131718141619202122[[#This Row],[D CM ]]/2.54)</f>
        <v xml:space="preserve"> </v>
      </c>
      <c r="R79" s="30" t="str">
        <f>IF(Inventory_List_Table34111510911131718141619202122[[#This Row],[Q]]&lt;0.1, " ",Inventory_List_Table34111510911131718141619202122[[#This Row],[PRICE]]/$L$1)</f>
        <v xml:space="preserve"> </v>
      </c>
      <c r="S7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79" s="30" t="str">
        <f>IF(Inventory_List_Table34111510911131718141619202122[[#This Row],[Q]]&lt;0.1, " ",Inventory_List_Table34111510911131718141619202122[[#This Row],[AQ RND USD]]*1.4)</f>
        <v xml:space="preserve"> </v>
      </c>
      <c r="U7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79" s="30" t="str">
        <f>IF(Inventory_List_Table34111510911131718141619202122[[#This Row],[Q]]&lt;0.1, " ",Inventory_List_Table34111510911131718141619202122[[#This Row],[LND RND USD]]*12)</f>
        <v xml:space="preserve"> </v>
      </c>
      <c r="W79" s="30" t="str">
        <f>IF(Inventory_List_Table34111510911131718141619202122[[#This Row],[Q]]&lt;0.1, " ",Inventory_List_Table34111510911131718141619202122[[#This Row],[AQ USD]])</f>
        <v xml:space="preserve"> </v>
      </c>
      <c r="X7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7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7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79" s="30" t="str">
        <f>IF(Inventory_List_Table34111510911131718141619202122[[#This Row],[Q]]&lt;0.1, " ",Inventory_List_Table34111510911131718141619202122[[#This Row],[PRICE]]/Z79*10000)</f>
        <v xml:space="preserve"> </v>
      </c>
      <c r="AB79" s="484"/>
      <c r="AC79" s="1"/>
      <c r="AD79" s="1"/>
    </row>
    <row r="80" spans="1:30" ht="24" customHeight="1" x14ac:dyDescent="0.3">
      <c r="A80" s="480">
        <v>78</v>
      </c>
      <c r="B80" s="1"/>
      <c r="C80" s="478"/>
      <c r="D80" s="478"/>
      <c r="E80" s="478"/>
      <c r="F80" s="38" t="str">
        <f>IF(Inventory_List_Table34111510911131718141619202122[[#This Row],[Q]]&lt;0.1, " ",#REF!&amp;$D$1&amp;#REF!&amp;Inventory_List_Table34111510911131718141619202122[[#This Row],[NOTES]])</f>
        <v xml:space="preserve"> </v>
      </c>
      <c r="G80" s="481"/>
      <c r="H80" s="481"/>
      <c r="I80" s="481"/>
      <c r="J80" s="481"/>
      <c r="K80" s="481"/>
      <c r="L80" s="483"/>
      <c r="M8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0" s="35" t="str">
        <f>IF(Inventory_List_Table34111510911131718141619202122[[#This Row],[Q]]&lt;0.1, " ", Inventory_List_Table34111510911131718141619202122[[#This Row],[KG]]*2.20462)</f>
        <v xml:space="preserve"> </v>
      </c>
      <c r="O80" s="35" t="str">
        <f>IF(Inventory_List_Table34111510911131718141619202122[[#This Row],[Q]]&lt;0.1, " ",Inventory_List_Table34111510911131718141619202122[[#This Row],[H CM]]/2.54)</f>
        <v xml:space="preserve"> </v>
      </c>
      <c r="P80" s="35" t="str">
        <f>IF(Inventory_List_Table34111510911131718141619202122[[#This Row],[Q]]&lt;0.1, " ",Inventory_List_Table34111510911131718141619202122[[#This Row],[W CM]]/2.54)</f>
        <v xml:space="preserve"> </v>
      </c>
      <c r="Q80" s="35" t="str">
        <f>IF(Inventory_List_Table34111510911131718141619202122[[#This Row],[Q]]&lt;0.1, " ",Inventory_List_Table34111510911131718141619202122[[#This Row],[D CM ]]/2.54)</f>
        <v xml:space="preserve"> </v>
      </c>
      <c r="R80" s="30" t="str">
        <f>IF(Inventory_List_Table34111510911131718141619202122[[#This Row],[Q]]&lt;0.1, " ",Inventory_List_Table34111510911131718141619202122[[#This Row],[PRICE]]/$L$1)</f>
        <v xml:space="preserve"> </v>
      </c>
      <c r="S8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0" s="30" t="str">
        <f>IF(Inventory_List_Table34111510911131718141619202122[[#This Row],[Q]]&lt;0.1, " ",Inventory_List_Table34111510911131718141619202122[[#This Row],[AQ RND USD]]*1.4)</f>
        <v xml:space="preserve"> </v>
      </c>
      <c r="U8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0" s="30" t="str">
        <f>IF(Inventory_List_Table34111510911131718141619202122[[#This Row],[Q]]&lt;0.1, " ",Inventory_List_Table34111510911131718141619202122[[#This Row],[LND RND USD]]*12)</f>
        <v xml:space="preserve"> </v>
      </c>
      <c r="W80" s="30" t="str">
        <f>IF(Inventory_List_Table34111510911131718141619202122[[#This Row],[Q]]&lt;0.1, " ",Inventory_List_Table34111510911131718141619202122[[#This Row],[AQ USD]])</f>
        <v xml:space="preserve"> </v>
      </c>
      <c r="X8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0" s="30" t="str">
        <f>IF(Inventory_List_Table34111510911131718141619202122[[#This Row],[Q]]&lt;0.1, " ",Inventory_List_Table34111510911131718141619202122[[#This Row],[PRICE]]/Z80*10000)</f>
        <v xml:space="preserve"> </v>
      </c>
      <c r="AB80" s="484"/>
      <c r="AC80" s="1"/>
      <c r="AD80" s="1"/>
    </row>
    <row r="81" spans="1:30" ht="24" customHeight="1" x14ac:dyDescent="0.3">
      <c r="A81" s="480">
        <v>79</v>
      </c>
      <c r="B81" s="1"/>
      <c r="C81" s="478"/>
      <c r="D81" s="478"/>
      <c r="E81" s="478"/>
      <c r="F81" s="38" t="str">
        <f>IF(Inventory_List_Table34111510911131718141619202122[[#This Row],[Q]]&lt;0.1, " ",#REF!&amp;$D$1&amp;#REF!&amp;Inventory_List_Table34111510911131718141619202122[[#This Row],[NOTES]])</f>
        <v xml:space="preserve"> </v>
      </c>
      <c r="G81" s="481"/>
      <c r="H81" s="481"/>
      <c r="I81" s="481"/>
      <c r="J81" s="481"/>
      <c r="K81" s="481"/>
      <c r="L81" s="483"/>
      <c r="M8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1" s="35" t="str">
        <f>IF(Inventory_List_Table34111510911131718141619202122[[#This Row],[Q]]&lt;0.1, " ", Inventory_List_Table34111510911131718141619202122[[#This Row],[KG]]*2.20462)</f>
        <v xml:space="preserve"> </v>
      </c>
      <c r="O81" s="35" t="str">
        <f>IF(Inventory_List_Table34111510911131718141619202122[[#This Row],[Q]]&lt;0.1, " ",Inventory_List_Table34111510911131718141619202122[[#This Row],[H CM]]/2.54)</f>
        <v xml:space="preserve"> </v>
      </c>
      <c r="P81" s="35" t="str">
        <f>IF(Inventory_List_Table34111510911131718141619202122[[#This Row],[Q]]&lt;0.1, " ",Inventory_List_Table34111510911131718141619202122[[#This Row],[W CM]]/2.54)</f>
        <v xml:space="preserve"> </v>
      </c>
      <c r="Q81" s="35" t="str">
        <f>IF(Inventory_List_Table34111510911131718141619202122[[#This Row],[Q]]&lt;0.1, " ",Inventory_List_Table34111510911131718141619202122[[#This Row],[D CM ]]/2.54)</f>
        <v xml:space="preserve"> </v>
      </c>
      <c r="R81" s="30" t="str">
        <f>IF(Inventory_List_Table34111510911131718141619202122[[#This Row],[Q]]&lt;0.1, " ",Inventory_List_Table34111510911131718141619202122[[#This Row],[PRICE]]/$L$1)</f>
        <v xml:space="preserve"> </v>
      </c>
      <c r="S8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1" s="30" t="str">
        <f>IF(Inventory_List_Table34111510911131718141619202122[[#This Row],[Q]]&lt;0.1, " ",Inventory_List_Table34111510911131718141619202122[[#This Row],[AQ RND USD]]*1.4)</f>
        <v xml:space="preserve"> </v>
      </c>
      <c r="U8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1" s="30" t="str">
        <f>IF(Inventory_List_Table34111510911131718141619202122[[#This Row],[Q]]&lt;0.1, " ",Inventory_List_Table34111510911131718141619202122[[#This Row],[LND RND USD]]*12)</f>
        <v xml:space="preserve"> </v>
      </c>
      <c r="W81" s="30" t="str">
        <f>IF(Inventory_List_Table34111510911131718141619202122[[#This Row],[Q]]&lt;0.1, " ",Inventory_List_Table34111510911131718141619202122[[#This Row],[AQ USD]])</f>
        <v xml:space="preserve"> </v>
      </c>
      <c r="X8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1" s="30" t="str">
        <f>IF(Inventory_List_Table34111510911131718141619202122[[#This Row],[Q]]&lt;0.1, " ",Inventory_List_Table34111510911131718141619202122[[#This Row],[PRICE]]/Z81*10000)</f>
        <v xml:space="preserve"> </v>
      </c>
      <c r="AB81" s="484"/>
      <c r="AC81" s="1"/>
      <c r="AD81" s="1"/>
    </row>
    <row r="82" spans="1:30" ht="24" customHeight="1" x14ac:dyDescent="0.3">
      <c r="A82" s="480">
        <v>80</v>
      </c>
      <c r="B82" s="1"/>
      <c r="C82" s="478"/>
      <c r="D82" s="478"/>
      <c r="E82" s="478"/>
      <c r="F82" s="38" t="str">
        <f>IF(Inventory_List_Table34111510911131718141619202122[[#This Row],[Q]]&lt;0.1, " ",#REF!&amp;$D$1&amp;#REF!&amp;Inventory_List_Table34111510911131718141619202122[[#This Row],[NOTES]])</f>
        <v xml:space="preserve"> </v>
      </c>
      <c r="G82" s="481"/>
      <c r="H82" s="481"/>
      <c r="I82" s="481"/>
      <c r="J82" s="481"/>
      <c r="K82" s="481"/>
      <c r="L82" s="483"/>
      <c r="M8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2" s="35" t="str">
        <f>IF(Inventory_List_Table34111510911131718141619202122[[#This Row],[Q]]&lt;0.1, " ", Inventory_List_Table34111510911131718141619202122[[#This Row],[KG]]*2.20462)</f>
        <v xml:space="preserve"> </v>
      </c>
      <c r="O82" s="35" t="str">
        <f>IF(Inventory_List_Table34111510911131718141619202122[[#This Row],[Q]]&lt;0.1, " ",Inventory_List_Table34111510911131718141619202122[[#This Row],[H CM]]/2.54)</f>
        <v xml:space="preserve"> </v>
      </c>
      <c r="P82" s="35" t="str">
        <f>IF(Inventory_List_Table34111510911131718141619202122[[#This Row],[Q]]&lt;0.1, " ",Inventory_List_Table34111510911131718141619202122[[#This Row],[W CM]]/2.54)</f>
        <v xml:space="preserve"> </v>
      </c>
      <c r="Q82" s="35" t="str">
        <f>IF(Inventory_List_Table34111510911131718141619202122[[#This Row],[Q]]&lt;0.1, " ",Inventory_List_Table34111510911131718141619202122[[#This Row],[D CM ]]/2.54)</f>
        <v xml:space="preserve"> </v>
      </c>
      <c r="R82" s="30" t="str">
        <f>IF(Inventory_List_Table34111510911131718141619202122[[#This Row],[Q]]&lt;0.1, " ",Inventory_List_Table34111510911131718141619202122[[#This Row],[PRICE]]/$L$1)</f>
        <v xml:space="preserve"> </v>
      </c>
      <c r="S8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2" s="30" t="str">
        <f>IF(Inventory_List_Table34111510911131718141619202122[[#This Row],[Q]]&lt;0.1, " ",Inventory_List_Table34111510911131718141619202122[[#This Row],[AQ RND USD]]*1.4)</f>
        <v xml:space="preserve"> </v>
      </c>
      <c r="U8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2" s="30" t="str">
        <f>IF(Inventory_List_Table34111510911131718141619202122[[#This Row],[Q]]&lt;0.1, " ",Inventory_List_Table34111510911131718141619202122[[#This Row],[LND RND USD]]*12)</f>
        <v xml:space="preserve"> </v>
      </c>
      <c r="W82" s="30" t="str">
        <f>IF(Inventory_List_Table34111510911131718141619202122[[#This Row],[Q]]&lt;0.1, " ",Inventory_List_Table34111510911131718141619202122[[#This Row],[AQ USD]])</f>
        <v xml:space="preserve"> </v>
      </c>
      <c r="X8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2" s="30" t="str">
        <f>IF(Inventory_List_Table34111510911131718141619202122[[#This Row],[Q]]&lt;0.1, " ",Inventory_List_Table34111510911131718141619202122[[#This Row],[PRICE]]/Z82*10000)</f>
        <v xml:space="preserve"> </v>
      </c>
      <c r="AB82" s="484"/>
      <c r="AC82" s="1"/>
      <c r="AD82" s="1"/>
    </row>
    <row r="83" spans="1:30" ht="24" customHeight="1" x14ac:dyDescent="0.3">
      <c r="A83" s="480">
        <v>81</v>
      </c>
      <c r="B83" s="1"/>
      <c r="C83" s="478"/>
      <c r="D83" s="478"/>
      <c r="E83" s="478"/>
      <c r="F83" s="38" t="str">
        <f>IF(Inventory_List_Table34111510911131718141619202122[[#This Row],[Q]]&lt;0.1, " ",#REF!&amp;$D$1&amp;#REF!&amp;Inventory_List_Table34111510911131718141619202122[[#This Row],[NOTES]])</f>
        <v xml:space="preserve"> </v>
      </c>
      <c r="G83" s="481"/>
      <c r="H83" s="481"/>
      <c r="I83" s="481"/>
      <c r="J83" s="481"/>
      <c r="K83" s="481"/>
      <c r="L83" s="483"/>
      <c r="M8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3" s="35" t="str">
        <f>IF(Inventory_List_Table34111510911131718141619202122[[#This Row],[Q]]&lt;0.1, " ", Inventory_List_Table34111510911131718141619202122[[#This Row],[KG]]*2.20462)</f>
        <v xml:space="preserve"> </v>
      </c>
      <c r="O83" s="35" t="str">
        <f>IF(Inventory_List_Table34111510911131718141619202122[[#This Row],[Q]]&lt;0.1, " ",Inventory_List_Table34111510911131718141619202122[[#This Row],[H CM]]/2.54)</f>
        <v xml:space="preserve"> </v>
      </c>
      <c r="P83" s="35" t="str">
        <f>IF(Inventory_List_Table34111510911131718141619202122[[#This Row],[Q]]&lt;0.1, " ",Inventory_List_Table34111510911131718141619202122[[#This Row],[W CM]]/2.54)</f>
        <v xml:space="preserve"> </v>
      </c>
      <c r="Q83" s="35" t="str">
        <f>IF(Inventory_List_Table34111510911131718141619202122[[#This Row],[Q]]&lt;0.1, " ",Inventory_List_Table34111510911131718141619202122[[#This Row],[D CM ]]/2.54)</f>
        <v xml:space="preserve"> </v>
      </c>
      <c r="R83" s="30" t="str">
        <f>IF(Inventory_List_Table34111510911131718141619202122[[#This Row],[Q]]&lt;0.1, " ",Inventory_List_Table34111510911131718141619202122[[#This Row],[PRICE]]/$L$1)</f>
        <v xml:space="preserve"> </v>
      </c>
      <c r="S8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3" s="30" t="str">
        <f>IF(Inventory_List_Table34111510911131718141619202122[[#This Row],[Q]]&lt;0.1, " ",Inventory_List_Table34111510911131718141619202122[[#This Row],[AQ RND USD]]*1.4)</f>
        <v xml:space="preserve"> </v>
      </c>
      <c r="U8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3" s="30" t="str">
        <f>IF(Inventory_List_Table34111510911131718141619202122[[#This Row],[Q]]&lt;0.1, " ",Inventory_List_Table34111510911131718141619202122[[#This Row],[LND RND USD]]*12)</f>
        <v xml:space="preserve"> </v>
      </c>
      <c r="W83" s="30" t="str">
        <f>IF(Inventory_List_Table34111510911131718141619202122[[#This Row],[Q]]&lt;0.1, " ",Inventory_List_Table34111510911131718141619202122[[#This Row],[AQ USD]])</f>
        <v xml:space="preserve"> </v>
      </c>
      <c r="X8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3" s="30" t="str">
        <f>IF(Inventory_List_Table34111510911131718141619202122[[#This Row],[Q]]&lt;0.1, " ",Inventory_List_Table34111510911131718141619202122[[#This Row],[PRICE]]/Z83*10000)</f>
        <v xml:space="preserve"> </v>
      </c>
      <c r="AB83" s="484"/>
      <c r="AC83" s="1"/>
      <c r="AD83" s="1"/>
    </row>
    <row r="84" spans="1:30" ht="24" customHeight="1" x14ac:dyDescent="0.3">
      <c r="A84" s="480">
        <v>82</v>
      </c>
      <c r="B84" s="1"/>
      <c r="C84" s="478"/>
      <c r="D84" s="478"/>
      <c r="E84" s="478"/>
      <c r="F84" s="38" t="str">
        <f>IF(Inventory_List_Table34111510911131718141619202122[[#This Row],[Q]]&lt;0.1, " ",#REF!&amp;$D$1&amp;#REF!&amp;Inventory_List_Table34111510911131718141619202122[[#This Row],[NOTES]])</f>
        <v xml:space="preserve"> </v>
      </c>
      <c r="G84" s="481"/>
      <c r="H84" s="481"/>
      <c r="I84" s="481"/>
      <c r="J84" s="481"/>
      <c r="K84" s="481"/>
      <c r="L84" s="483"/>
      <c r="M8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4" s="35" t="str">
        <f>IF(Inventory_List_Table34111510911131718141619202122[[#This Row],[Q]]&lt;0.1, " ", Inventory_List_Table34111510911131718141619202122[[#This Row],[KG]]*2.20462)</f>
        <v xml:space="preserve"> </v>
      </c>
      <c r="O84" s="35" t="str">
        <f>IF(Inventory_List_Table34111510911131718141619202122[[#This Row],[Q]]&lt;0.1, " ",Inventory_List_Table34111510911131718141619202122[[#This Row],[H CM]]/2.54)</f>
        <v xml:space="preserve"> </v>
      </c>
      <c r="P84" s="35" t="str">
        <f>IF(Inventory_List_Table34111510911131718141619202122[[#This Row],[Q]]&lt;0.1, " ",Inventory_List_Table34111510911131718141619202122[[#This Row],[W CM]]/2.54)</f>
        <v xml:space="preserve"> </v>
      </c>
      <c r="Q84" s="35" t="str">
        <f>IF(Inventory_List_Table34111510911131718141619202122[[#This Row],[Q]]&lt;0.1, " ",Inventory_List_Table34111510911131718141619202122[[#This Row],[D CM ]]/2.54)</f>
        <v xml:space="preserve"> </v>
      </c>
      <c r="R84" s="30" t="str">
        <f>IF(Inventory_List_Table34111510911131718141619202122[[#This Row],[Q]]&lt;0.1, " ",Inventory_List_Table34111510911131718141619202122[[#This Row],[PRICE]]/$L$1)</f>
        <v xml:space="preserve"> </v>
      </c>
      <c r="S8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4" s="30" t="str">
        <f>IF(Inventory_List_Table34111510911131718141619202122[[#This Row],[Q]]&lt;0.1, " ",Inventory_List_Table34111510911131718141619202122[[#This Row],[AQ RND USD]]*1.4)</f>
        <v xml:space="preserve"> </v>
      </c>
      <c r="U8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4" s="30" t="str">
        <f>IF(Inventory_List_Table34111510911131718141619202122[[#This Row],[Q]]&lt;0.1, " ",Inventory_List_Table34111510911131718141619202122[[#This Row],[LND RND USD]]*12)</f>
        <v xml:space="preserve"> </v>
      </c>
      <c r="W84" s="30" t="str">
        <f>IF(Inventory_List_Table34111510911131718141619202122[[#This Row],[Q]]&lt;0.1, " ",Inventory_List_Table34111510911131718141619202122[[#This Row],[AQ USD]])</f>
        <v xml:space="preserve"> </v>
      </c>
      <c r="X8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4" s="30" t="str">
        <f>IF(Inventory_List_Table34111510911131718141619202122[[#This Row],[Q]]&lt;0.1, " ",Inventory_List_Table34111510911131718141619202122[[#This Row],[PRICE]]/Z84*10000)</f>
        <v xml:space="preserve"> </v>
      </c>
      <c r="AB84" s="484"/>
      <c r="AC84" s="1"/>
      <c r="AD84" s="1"/>
    </row>
    <row r="85" spans="1:30" ht="24" customHeight="1" x14ac:dyDescent="0.3">
      <c r="A85" s="480">
        <v>83</v>
      </c>
      <c r="B85" s="1"/>
      <c r="C85" s="478"/>
      <c r="D85" s="478"/>
      <c r="E85" s="478"/>
      <c r="F85" s="38" t="str">
        <f>IF(Inventory_List_Table34111510911131718141619202122[[#This Row],[Q]]&lt;0.1, " ",#REF!&amp;$D$1&amp;#REF!&amp;Inventory_List_Table34111510911131718141619202122[[#This Row],[NOTES]])</f>
        <v xml:space="preserve"> </v>
      </c>
      <c r="G85" s="481"/>
      <c r="H85" s="481"/>
      <c r="I85" s="481"/>
      <c r="J85" s="481"/>
      <c r="K85" s="481"/>
      <c r="L85" s="483"/>
      <c r="M8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5" s="35" t="str">
        <f>IF(Inventory_List_Table34111510911131718141619202122[[#This Row],[Q]]&lt;0.1, " ", Inventory_List_Table34111510911131718141619202122[[#This Row],[KG]]*2.20462)</f>
        <v xml:space="preserve"> </v>
      </c>
      <c r="O85" s="35" t="str">
        <f>IF(Inventory_List_Table34111510911131718141619202122[[#This Row],[Q]]&lt;0.1, " ",Inventory_List_Table34111510911131718141619202122[[#This Row],[H CM]]/2.54)</f>
        <v xml:space="preserve"> </v>
      </c>
      <c r="P85" s="35" t="str">
        <f>IF(Inventory_List_Table34111510911131718141619202122[[#This Row],[Q]]&lt;0.1, " ",Inventory_List_Table34111510911131718141619202122[[#This Row],[W CM]]/2.54)</f>
        <v xml:space="preserve"> </v>
      </c>
      <c r="Q85" s="35" t="str">
        <f>IF(Inventory_List_Table34111510911131718141619202122[[#This Row],[Q]]&lt;0.1, " ",Inventory_List_Table34111510911131718141619202122[[#This Row],[D CM ]]/2.54)</f>
        <v xml:space="preserve"> </v>
      </c>
      <c r="R85" s="30" t="str">
        <f>IF(Inventory_List_Table34111510911131718141619202122[[#This Row],[Q]]&lt;0.1, " ",Inventory_List_Table34111510911131718141619202122[[#This Row],[PRICE]]/$L$1)</f>
        <v xml:space="preserve"> </v>
      </c>
      <c r="S8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5" s="30" t="str">
        <f>IF(Inventory_List_Table34111510911131718141619202122[[#This Row],[Q]]&lt;0.1, " ",Inventory_List_Table34111510911131718141619202122[[#This Row],[AQ RND USD]]*1.4)</f>
        <v xml:space="preserve"> </v>
      </c>
      <c r="U8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5" s="30" t="str">
        <f>IF(Inventory_List_Table34111510911131718141619202122[[#This Row],[Q]]&lt;0.1, " ",Inventory_List_Table34111510911131718141619202122[[#This Row],[LND RND USD]]*12)</f>
        <v xml:space="preserve"> </v>
      </c>
      <c r="W85" s="30" t="str">
        <f>IF(Inventory_List_Table34111510911131718141619202122[[#This Row],[Q]]&lt;0.1, " ",Inventory_List_Table34111510911131718141619202122[[#This Row],[AQ USD]])</f>
        <v xml:space="preserve"> </v>
      </c>
      <c r="X8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5" s="30" t="str">
        <f>IF(Inventory_List_Table34111510911131718141619202122[[#This Row],[Q]]&lt;0.1, " ",Inventory_List_Table34111510911131718141619202122[[#This Row],[PRICE]]/Z85*10000)</f>
        <v xml:space="preserve"> </v>
      </c>
      <c r="AB85" s="484"/>
      <c r="AC85" s="1"/>
      <c r="AD85" s="1"/>
    </row>
    <row r="86" spans="1:30" ht="24" customHeight="1" x14ac:dyDescent="0.3">
      <c r="A86" s="480">
        <v>84</v>
      </c>
      <c r="B86" s="1"/>
      <c r="C86" s="478"/>
      <c r="D86" s="478"/>
      <c r="E86" s="478"/>
      <c r="F86" s="38" t="str">
        <f>IF(Inventory_List_Table34111510911131718141619202122[[#This Row],[Q]]&lt;0.1, " ",#REF!&amp;$D$1&amp;#REF!&amp;Inventory_List_Table34111510911131718141619202122[[#This Row],[NOTES]])</f>
        <v xml:space="preserve"> </v>
      </c>
      <c r="G86" s="481"/>
      <c r="H86" s="481"/>
      <c r="I86" s="481"/>
      <c r="J86" s="481"/>
      <c r="K86" s="481"/>
      <c r="L86" s="483"/>
      <c r="M8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6" s="35" t="str">
        <f>IF(Inventory_List_Table34111510911131718141619202122[[#This Row],[Q]]&lt;0.1, " ", Inventory_List_Table34111510911131718141619202122[[#This Row],[KG]]*2.20462)</f>
        <v xml:space="preserve"> </v>
      </c>
      <c r="O86" s="35" t="str">
        <f>IF(Inventory_List_Table34111510911131718141619202122[[#This Row],[Q]]&lt;0.1, " ",Inventory_List_Table34111510911131718141619202122[[#This Row],[H CM]]/2.54)</f>
        <v xml:space="preserve"> </v>
      </c>
      <c r="P86" s="35" t="str">
        <f>IF(Inventory_List_Table34111510911131718141619202122[[#This Row],[Q]]&lt;0.1, " ",Inventory_List_Table34111510911131718141619202122[[#This Row],[W CM]]/2.54)</f>
        <v xml:space="preserve"> </v>
      </c>
      <c r="Q86" s="35" t="str">
        <f>IF(Inventory_List_Table34111510911131718141619202122[[#This Row],[Q]]&lt;0.1, " ",Inventory_List_Table34111510911131718141619202122[[#This Row],[D CM ]]/2.54)</f>
        <v xml:space="preserve"> </v>
      </c>
      <c r="R86" s="30" t="str">
        <f>IF(Inventory_List_Table34111510911131718141619202122[[#This Row],[Q]]&lt;0.1, " ",Inventory_List_Table34111510911131718141619202122[[#This Row],[PRICE]]/$L$1)</f>
        <v xml:space="preserve"> </v>
      </c>
      <c r="S8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6" s="30" t="str">
        <f>IF(Inventory_List_Table34111510911131718141619202122[[#This Row],[Q]]&lt;0.1, " ",Inventory_List_Table34111510911131718141619202122[[#This Row],[AQ RND USD]]*1.4)</f>
        <v xml:space="preserve"> </v>
      </c>
      <c r="U8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6" s="30" t="str">
        <f>IF(Inventory_List_Table34111510911131718141619202122[[#This Row],[Q]]&lt;0.1, " ",Inventory_List_Table34111510911131718141619202122[[#This Row],[LND RND USD]]*12)</f>
        <v xml:space="preserve"> </v>
      </c>
      <c r="W86" s="30" t="str">
        <f>IF(Inventory_List_Table34111510911131718141619202122[[#This Row],[Q]]&lt;0.1, " ",Inventory_List_Table34111510911131718141619202122[[#This Row],[AQ USD]])</f>
        <v xml:space="preserve"> </v>
      </c>
      <c r="X8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6" s="30" t="str">
        <f>IF(Inventory_List_Table34111510911131718141619202122[[#This Row],[Q]]&lt;0.1, " ",Inventory_List_Table34111510911131718141619202122[[#This Row],[PRICE]]/Z86*10000)</f>
        <v xml:space="preserve"> </v>
      </c>
      <c r="AB86" s="484"/>
      <c r="AC86" s="1"/>
      <c r="AD86" s="1"/>
    </row>
    <row r="87" spans="1:30" ht="24" customHeight="1" x14ac:dyDescent="0.3">
      <c r="A87" s="480">
        <v>85</v>
      </c>
      <c r="B87" s="1"/>
      <c r="C87" s="478"/>
      <c r="D87" s="478"/>
      <c r="E87" s="478"/>
      <c r="F87" s="38" t="str">
        <f>IF(Inventory_List_Table34111510911131718141619202122[[#This Row],[Q]]&lt;0.1, " ",#REF!&amp;$D$1&amp;#REF!&amp;Inventory_List_Table34111510911131718141619202122[[#This Row],[NOTES]])</f>
        <v xml:space="preserve"> </v>
      </c>
      <c r="G87" s="481"/>
      <c r="H87" s="481"/>
      <c r="I87" s="481"/>
      <c r="J87" s="481"/>
      <c r="K87" s="481"/>
      <c r="L87" s="483"/>
      <c r="M8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7" s="35" t="str">
        <f>IF(Inventory_List_Table34111510911131718141619202122[[#This Row],[Q]]&lt;0.1, " ", Inventory_List_Table34111510911131718141619202122[[#This Row],[KG]]*2.20462)</f>
        <v xml:space="preserve"> </v>
      </c>
      <c r="O87" s="35" t="str">
        <f>IF(Inventory_List_Table34111510911131718141619202122[[#This Row],[Q]]&lt;0.1, " ",Inventory_List_Table34111510911131718141619202122[[#This Row],[H CM]]/2.54)</f>
        <v xml:space="preserve"> </v>
      </c>
      <c r="P87" s="35" t="str">
        <f>IF(Inventory_List_Table34111510911131718141619202122[[#This Row],[Q]]&lt;0.1, " ",Inventory_List_Table34111510911131718141619202122[[#This Row],[W CM]]/2.54)</f>
        <v xml:space="preserve"> </v>
      </c>
      <c r="Q87" s="35" t="str">
        <f>IF(Inventory_List_Table34111510911131718141619202122[[#This Row],[Q]]&lt;0.1, " ",Inventory_List_Table34111510911131718141619202122[[#This Row],[D CM ]]/2.54)</f>
        <v xml:space="preserve"> </v>
      </c>
      <c r="R87" s="30" t="str">
        <f>IF(Inventory_List_Table34111510911131718141619202122[[#This Row],[Q]]&lt;0.1, " ",Inventory_List_Table34111510911131718141619202122[[#This Row],[PRICE]]/$L$1)</f>
        <v xml:space="preserve"> </v>
      </c>
      <c r="S8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7" s="30" t="str">
        <f>IF(Inventory_List_Table34111510911131718141619202122[[#This Row],[Q]]&lt;0.1, " ",Inventory_List_Table34111510911131718141619202122[[#This Row],[AQ RND USD]]*1.4)</f>
        <v xml:space="preserve"> </v>
      </c>
      <c r="U8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7" s="30" t="str">
        <f>IF(Inventory_List_Table34111510911131718141619202122[[#This Row],[Q]]&lt;0.1, " ",Inventory_List_Table34111510911131718141619202122[[#This Row],[LND RND USD]]*12)</f>
        <v xml:space="preserve"> </v>
      </c>
      <c r="W87" s="30" t="str">
        <f>IF(Inventory_List_Table34111510911131718141619202122[[#This Row],[Q]]&lt;0.1, " ",Inventory_List_Table34111510911131718141619202122[[#This Row],[AQ USD]])</f>
        <v xml:space="preserve"> </v>
      </c>
      <c r="X8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7" s="30" t="str">
        <f>IF(Inventory_List_Table34111510911131718141619202122[[#This Row],[Q]]&lt;0.1, " ",Inventory_List_Table34111510911131718141619202122[[#This Row],[PRICE]]/Z87*10000)</f>
        <v xml:space="preserve"> </v>
      </c>
      <c r="AB87" s="484"/>
      <c r="AC87" s="1"/>
      <c r="AD87" s="1"/>
    </row>
    <row r="88" spans="1:30" ht="24" customHeight="1" x14ac:dyDescent="0.3">
      <c r="A88" s="480">
        <v>86</v>
      </c>
      <c r="B88" s="1"/>
      <c r="C88" s="478"/>
      <c r="D88" s="478"/>
      <c r="E88" s="478"/>
      <c r="F88" s="38" t="str">
        <f>IF(Inventory_List_Table34111510911131718141619202122[[#This Row],[Q]]&lt;0.1, " ",#REF!&amp;$D$1&amp;#REF!&amp;Inventory_List_Table34111510911131718141619202122[[#This Row],[NOTES]])</f>
        <v xml:space="preserve"> </v>
      </c>
      <c r="G88" s="481"/>
      <c r="H88" s="481"/>
      <c r="I88" s="481"/>
      <c r="J88" s="481"/>
      <c r="K88" s="481"/>
      <c r="L88" s="483"/>
      <c r="M8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8" s="35" t="str">
        <f>IF(Inventory_List_Table34111510911131718141619202122[[#This Row],[Q]]&lt;0.1, " ", Inventory_List_Table34111510911131718141619202122[[#This Row],[KG]]*2.20462)</f>
        <v xml:space="preserve"> </v>
      </c>
      <c r="O88" s="35" t="str">
        <f>IF(Inventory_List_Table34111510911131718141619202122[[#This Row],[Q]]&lt;0.1, " ",Inventory_List_Table34111510911131718141619202122[[#This Row],[H CM]]/2.54)</f>
        <v xml:space="preserve"> </v>
      </c>
      <c r="P88" s="35" t="str">
        <f>IF(Inventory_List_Table34111510911131718141619202122[[#This Row],[Q]]&lt;0.1, " ",Inventory_List_Table34111510911131718141619202122[[#This Row],[W CM]]/2.54)</f>
        <v xml:space="preserve"> </v>
      </c>
      <c r="Q88" s="35" t="str">
        <f>IF(Inventory_List_Table34111510911131718141619202122[[#This Row],[Q]]&lt;0.1, " ",Inventory_List_Table34111510911131718141619202122[[#This Row],[D CM ]]/2.54)</f>
        <v xml:space="preserve"> </v>
      </c>
      <c r="R88" s="30" t="str">
        <f>IF(Inventory_List_Table34111510911131718141619202122[[#This Row],[Q]]&lt;0.1, " ",Inventory_List_Table34111510911131718141619202122[[#This Row],[PRICE]]/$L$1)</f>
        <v xml:space="preserve"> </v>
      </c>
      <c r="S8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8" s="30" t="str">
        <f>IF(Inventory_List_Table34111510911131718141619202122[[#This Row],[Q]]&lt;0.1, " ",Inventory_List_Table34111510911131718141619202122[[#This Row],[AQ RND USD]]*1.4)</f>
        <v xml:space="preserve"> </v>
      </c>
      <c r="U8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8" s="30" t="str">
        <f>IF(Inventory_List_Table34111510911131718141619202122[[#This Row],[Q]]&lt;0.1, " ",Inventory_List_Table34111510911131718141619202122[[#This Row],[LND RND USD]]*12)</f>
        <v xml:space="preserve"> </v>
      </c>
      <c r="W88" s="30" t="str">
        <f>IF(Inventory_List_Table34111510911131718141619202122[[#This Row],[Q]]&lt;0.1, " ",Inventory_List_Table34111510911131718141619202122[[#This Row],[AQ USD]])</f>
        <v xml:space="preserve"> </v>
      </c>
      <c r="X8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8" s="30" t="str">
        <f>IF(Inventory_List_Table34111510911131718141619202122[[#This Row],[Q]]&lt;0.1, " ",Inventory_List_Table34111510911131718141619202122[[#This Row],[PRICE]]/Z88*10000)</f>
        <v xml:space="preserve"> </v>
      </c>
      <c r="AB88" s="484"/>
      <c r="AC88" s="1"/>
      <c r="AD88" s="1"/>
    </row>
    <row r="89" spans="1:30" ht="24" customHeight="1" x14ac:dyDescent="0.3">
      <c r="A89" s="480">
        <v>87</v>
      </c>
      <c r="B89" s="1"/>
      <c r="C89" s="478"/>
      <c r="D89" s="478"/>
      <c r="E89" s="478"/>
      <c r="F89" s="38" t="str">
        <f>IF(Inventory_List_Table34111510911131718141619202122[[#This Row],[Q]]&lt;0.1, " ",#REF!&amp;$D$1&amp;#REF!&amp;Inventory_List_Table34111510911131718141619202122[[#This Row],[NOTES]])</f>
        <v xml:space="preserve"> </v>
      </c>
      <c r="G89" s="481"/>
      <c r="H89" s="481"/>
      <c r="I89" s="481"/>
      <c r="J89" s="481"/>
      <c r="K89" s="481"/>
      <c r="L89" s="483"/>
      <c r="M8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89" s="35" t="str">
        <f>IF(Inventory_List_Table34111510911131718141619202122[[#This Row],[Q]]&lt;0.1, " ", Inventory_List_Table34111510911131718141619202122[[#This Row],[KG]]*2.20462)</f>
        <v xml:space="preserve"> </v>
      </c>
      <c r="O89" s="35" t="str">
        <f>IF(Inventory_List_Table34111510911131718141619202122[[#This Row],[Q]]&lt;0.1, " ",Inventory_List_Table34111510911131718141619202122[[#This Row],[H CM]]/2.54)</f>
        <v xml:space="preserve"> </v>
      </c>
      <c r="P89" s="35" t="str">
        <f>IF(Inventory_List_Table34111510911131718141619202122[[#This Row],[Q]]&lt;0.1, " ",Inventory_List_Table34111510911131718141619202122[[#This Row],[W CM]]/2.54)</f>
        <v xml:space="preserve"> </v>
      </c>
      <c r="Q89" s="35" t="str">
        <f>IF(Inventory_List_Table34111510911131718141619202122[[#This Row],[Q]]&lt;0.1, " ",Inventory_List_Table34111510911131718141619202122[[#This Row],[D CM ]]/2.54)</f>
        <v xml:space="preserve"> </v>
      </c>
      <c r="R89" s="30" t="str">
        <f>IF(Inventory_List_Table34111510911131718141619202122[[#This Row],[Q]]&lt;0.1, " ",Inventory_List_Table34111510911131718141619202122[[#This Row],[PRICE]]/$L$1)</f>
        <v xml:space="preserve"> </v>
      </c>
      <c r="S8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89" s="30" t="str">
        <f>IF(Inventory_List_Table34111510911131718141619202122[[#This Row],[Q]]&lt;0.1, " ",Inventory_List_Table34111510911131718141619202122[[#This Row],[AQ RND USD]]*1.4)</f>
        <v xml:space="preserve"> </v>
      </c>
      <c r="U8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89" s="30" t="str">
        <f>IF(Inventory_List_Table34111510911131718141619202122[[#This Row],[Q]]&lt;0.1, " ",Inventory_List_Table34111510911131718141619202122[[#This Row],[LND RND USD]]*12)</f>
        <v xml:space="preserve"> </v>
      </c>
      <c r="W89" s="30" t="str">
        <f>IF(Inventory_List_Table34111510911131718141619202122[[#This Row],[Q]]&lt;0.1, " ",Inventory_List_Table34111510911131718141619202122[[#This Row],[AQ USD]])</f>
        <v xml:space="preserve"> </v>
      </c>
      <c r="X8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8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8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89" s="30" t="str">
        <f>IF(Inventory_List_Table34111510911131718141619202122[[#This Row],[Q]]&lt;0.1, " ",Inventory_List_Table34111510911131718141619202122[[#This Row],[PRICE]]/Z89*10000)</f>
        <v xml:space="preserve"> </v>
      </c>
      <c r="AB89" s="484"/>
      <c r="AC89" s="1"/>
      <c r="AD89" s="1"/>
    </row>
    <row r="90" spans="1:30" ht="24" customHeight="1" x14ac:dyDescent="0.3">
      <c r="A90" s="480">
        <v>88</v>
      </c>
      <c r="B90" s="1"/>
      <c r="C90" s="478"/>
      <c r="D90" s="478"/>
      <c r="E90" s="478"/>
      <c r="F90" s="38" t="str">
        <f>IF(Inventory_List_Table34111510911131718141619202122[[#This Row],[Q]]&lt;0.1, " ",#REF!&amp;$D$1&amp;#REF!&amp;Inventory_List_Table34111510911131718141619202122[[#This Row],[NOTES]])</f>
        <v xml:space="preserve"> </v>
      </c>
      <c r="G90" s="481"/>
      <c r="H90" s="481"/>
      <c r="I90" s="481"/>
      <c r="J90" s="481"/>
      <c r="K90" s="481"/>
      <c r="L90" s="483"/>
      <c r="M9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0" s="35" t="str">
        <f>IF(Inventory_List_Table34111510911131718141619202122[[#This Row],[Q]]&lt;0.1, " ", Inventory_List_Table34111510911131718141619202122[[#This Row],[KG]]*2.20462)</f>
        <v xml:space="preserve"> </v>
      </c>
      <c r="O90" s="35" t="str">
        <f>IF(Inventory_List_Table34111510911131718141619202122[[#This Row],[Q]]&lt;0.1, " ",Inventory_List_Table34111510911131718141619202122[[#This Row],[H CM]]/2.54)</f>
        <v xml:space="preserve"> </v>
      </c>
      <c r="P90" s="35" t="str">
        <f>IF(Inventory_List_Table34111510911131718141619202122[[#This Row],[Q]]&lt;0.1, " ",Inventory_List_Table34111510911131718141619202122[[#This Row],[W CM]]/2.54)</f>
        <v xml:space="preserve"> </v>
      </c>
      <c r="Q90" s="35" t="str">
        <f>IF(Inventory_List_Table34111510911131718141619202122[[#This Row],[Q]]&lt;0.1, " ",Inventory_List_Table34111510911131718141619202122[[#This Row],[D CM ]]/2.54)</f>
        <v xml:space="preserve"> </v>
      </c>
      <c r="R90" s="30" t="str">
        <f>IF(Inventory_List_Table34111510911131718141619202122[[#This Row],[Q]]&lt;0.1, " ",Inventory_List_Table34111510911131718141619202122[[#This Row],[PRICE]]/$L$1)</f>
        <v xml:space="preserve"> </v>
      </c>
      <c r="S9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0" s="30" t="str">
        <f>IF(Inventory_List_Table34111510911131718141619202122[[#This Row],[Q]]&lt;0.1, " ",Inventory_List_Table34111510911131718141619202122[[#This Row],[AQ RND USD]]*1.4)</f>
        <v xml:space="preserve"> </v>
      </c>
      <c r="U9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0" s="30" t="str">
        <f>IF(Inventory_List_Table34111510911131718141619202122[[#This Row],[Q]]&lt;0.1, " ",Inventory_List_Table34111510911131718141619202122[[#This Row],[LND RND USD]]*12)</f>
        <v xml:space="preserve"> </v>
      </c>
      <c r="W90" s="30" t="str">
        <f>IF(Inventory_List_Table34111510911131718141619202122[[#This Row],[Q]]&lt;0.1, " ",Inventory_List_Table34111510911131718141619202122[[#This Row],[AQ USD]])</f>
        <v xml:space="preserve"> </v>
      </c>
      <c r="X9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0" s="30" t="str">
        <f>IF(Inventory_List_Table34111510911131718141619202122[[#This Row],[Q]]&lt;0.1, " ",Inventory_List_Table34111510911131718141619202122[[#This Row],[PRICE]]/Z90*10000)</f>
        <v xml:space="preserve"> </v>
      </c>
      <c r="AB90" s="484"/>
      <c r="AC90" s="1"/>
      <c r="AD90" s="1"/>
    </row>
    <row r="91" spans="1:30" ht="24" customHeight="1" x14ac:dyDescent="0.3">
      <c r="A91" s="480">
        <v>89</v>
      </c>
      <c r="B91" s="1"/>
      <c r="C91" s="478"/>
      <c r="D91" s="478"/>
      <c r="E91" s="478"/>
      <c r="F91" s="38" t="str">
        <f>IF(Inventory_List_Table34111510911131718141619202122[[#This Row],[Q]]&lt;0.1, " ",#REF!&amp;$D$1&amp;#REF!&amp;Inventory_List_Table34111510911131718141619202122[[#This Row],[NOTES]])</f>
        <v xml:space="preserve"> </v>
      </c>
      <c r="G91" s="481"/>
      <c r="H91" s="481"/>
      <c r="I91" s="481"/>
      <c r="J91" s="481"/>
      <c r="K91" s="481"/>
      <c r="L91" s="483"/>
      <c r="M9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1" s="35" t="str">
        <f>IF(Inventory_List_Table34111510911131718141619202122[[#This Row],[Q]]&lt;0.1, " ", Inventory_List_Table34111510911131718141619202122[[#This Row],[KG]]*2.20462)</f>
        <v xml:space="preserve"> </v>
      </c>
      <c r="O91" s="35" t="str">
        <f>IF(Inventory_List_Table34111510911131718141619202122[[#This Row],[Q]]&lt;0.1, " ",Inventory_List_Table34111510911131718141619202122[[#This Row],[H CM]]/2.54)</f>
        <v xml:space="preserve"> </v>
      </c>
      <c r="P91" s="35" t="str">
        <f>IF(Inventory_List_Table34111510911131718141619202122[[#This Row],[Q]]&lt;0.1, " ",Inventory_List_Table34111510911131718141619202122[[#This Row],[W CM]]/2.54)</f>
        <v xml:space="preserve"> </v>
      </c>
      <c r="Q91" s="35" t="str">
        <f>IF(Inventory_List_Table34111510911131718141619202122[[#This Row],[Q]]&lt;0.1, " ",Inventory_List_Table34111510911131718141619202122[[#This Row],[D CM ]]/2.54)</f>
        <v xml:space="preserve"> </v>
      </c>
      <c r="R91" s="30" t="str">
        <f>IF(Inventory_List_Table34111510911131718141619202122[[#This Row],[Q]]&lt;0.1, " ",Inventory_List_Table34111510911131718141619202122[[#This Row],[PRICE]]/$L$1)</f>
        <v xml:space="preserve"> </v>
      </c>
      <c r="S9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1" s="30" t="str">
        <f>IF(Inventory_List_Table34111510911131718141619202122[[#This Row],[Q]]&lt;0.1, " ",Inventory_List_Table34111510911131718141619202122[[#This Row],[AQ RND USD]]*1.4)</f>
        <v xml:space="preserve"> </v>
      </c>
      <c r="U9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1" s="30" t="str">
        <f>IF(Inventory_List_Table34111510911131718141619202122[[#This Row],[Q]]&lt;0.1, " ",Inventory_List_Table34111510911131718141619202122[[#This Row],[LND RND USD]]*12)</f>
        <v xml:space="preserve"> </v>
      </c>
      <c r="W91" s="30" t="str">
        <f>IF(Inventory_List_Table34111510911131718141619202122[[#This Row],[Q]]&lt;0.1, " ",Inventory_List_Table34111510911131718141619202122[[#This Row],[AQ USD]])</f>
        <v xml:space="preserve"> </v>
      </c>
      <c r="X9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1" s="30" t="str">
        <f>IF(Inventory_List_Table34111510911131718141619202122[[#This Row],[Q]]&lt;0.1, " ",Inventory_List_Table34111510911131718141619202122[[#This Row],[PRICE]]/Z91*10000)</f>
        <v xml:space="preserve"> </v>
      </c>
      <c r="AB91" s="484"/>
      <c r="AC91" s="1"/>
      <c r="AD91" s="1"/>
    </row>
    <row r="92" spans="1:30" ht="24" customHeight="1" x14ac:dyDescent="0.3">
      <c r="A92" s="480">
        <v>90</v>
      </c>
      <c r="B92" s="1"/>
      <c r="C92" s="478"/>
      <c r="D92" s="478"/>
      <c r="E92" s="478"/>
      <c r="F92" s="38" t="str">
        <f>IF(Inventory_List_Table34111510911131718141619202122[[#This Row],[Q]]&lt;0.1, " ",#REF!&amp;$D$1&amp;#REF!&amp;Inventory_List_Table34111510911131718141619202122[[#This Row],[NOTES]])</f>
        <v xml:space="preserve"> </v>
      </c>
      <c r="G92" s="481"/>
      <c r="H92" s="481"/>
      <c r="I92" s="481"/>
      <c r="J92" s="481"/>
      <c r="K92" s="481"/>
      <c r="L92" s="483"/>
      <c r="M9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2" s="35" t="str">
        <f>IF(Inventory_List_Table34111510911131718141619202122[[#This Row],[Q]]&lt;0.1, " ", Inventory_List_Table34111510911131718141619202122[[#This Row],[KG]]*2.20462)</f>
        <v xml:space="preserve"> </v>
      </c>
      <c r="O92" s="35" t="str">
        <f>IF(Inventory_List_Table34111510911131718141619202122[[#This Row],[Q]]&lt;0.1, " ",Inventory_List_Table34111510911131718141619202122[[#This Row],[H CM]]/2.54)</f>
        <v xml:space="preserve"> </v>
      </c>
      <c r="P92" s="35" t="str">
        <f>IF(Inventory_List_Table34111510911131718141619202122[[#This Row],[Q]]&lt;0.1, " ",Inventory_List_Table34111510911131718141619202122[[#This Row],[W CM]]/2.54)</f>
        <v xml:space="preserve"> </v>
      </c>
      <c r="Q92" s="35" t="str">
        <f>IF(Inventory_List_Table34111510911131718141619202122[[#This Row],[Q]]&lt;0.1, " ",Inventory_List_Table34111510911131718141619202122[[#This Row],[D CM ]]/2.54)</f>
        <v xml:space="preserve"> </v>
      </c>
      <c r="R92" s="30" t="str">
        <f>IF(Inventory_List_Table34111510911131718141619202122[[#This Row],[Q]]&lt;0.1, " ",Inventory_List_Table34111510911131718141619202122[[#This Row],[PRICE]]/$L$1)</f>
        <v xml:space="preserve"> </v>
      </c>
      <c r="S9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2" s="30" t="str">
        <f>IF(Inventory_List_Table34111510911131718141619202122[[#This Row],[Q]]&lt;0.1, " ",Inventory_List_Table34111510911131718141619202122[[#This Row],[AQ RND USD]]*1.4)</f>
        <v xml:space="preserve"> </v>
      </c>
      <c r="U9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2" s="30" t="str">
        <f>IF(Inventory_List_Table34111510911131718141619202122[[#This Row],[Q]]&lt;0.1, " ",Inventory_List_Table34111510911131718141619202122[[#This Row],[LND RND USD]]*12)</f>
        <v xml:space="preserve"> </v>
      </c>
      <c r="W92" s="30" t="str">
        <f>IF(Inventory_List_Table34111510911131718141619202122[[#This Row],[Q]]&lt;0.1, " ",Inventory_List_Table34111510911131718141619202122[[#This Row],[AQ USD]])</f>
        <v xml:space="preserve"> </v>
      </c>
      <c r="X9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2" s="30" t="str">
        <f>IF(Inventory_List_Table34111510911131718141619202122[[#This Row],[Q]]&lt;0.1, " ",Inventory_List_Table34111510911131718141619202122[[#This Row],[PRICE]]/Z92*10000)</f>
        <v xml:space="preserve"> </v>
      </c>
      <c r="AB92" s="484"/>
      <c r="AC92" s="1"/>
      <c r="AD92" s="1"/>
    </row>
    <row r="93" spans="1:30" ht="24" customHeight="1" x14ac:dyDescent="0.3">
      <c r="A93" s="480">
        <v>91</v>
      </c>
      <c r="B93" s="1"/>
      <c r="C93" s="478"/>
      <c r="D93" s="478"/>
      <c r="E93" s="478"/>
      <c r="F93" s="38" t="str">
        <f>IF(Inventory_List_Table34111510911131718141619202122[[#This Row],[Q]]&lt;0.1, " ",#REF!&amp;$D$1&amp;#REF!&amp;Inventory_List_Table34111510911131718141619202122[[#This Row],[NOTES]])</f>
        <v xml:space="preserve"> </v>
      </c>
      <c r="G93" s="481"/>
      <c r="H93" s="481"/>
      <c r="I93" s="481"/>
      <c r="J93" s="481"/>
      <c r="K93" s="481"/>
      <c r="L93" s="483"/>
      <c r="M93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3" s="35" t="str">
        <f>IF(Inventory_List_Table34111510911131718141619202122[[#This Row],[Q]]&lt;0.1, " ", Inventory_List_Table34111510911131718141619202122[[#This Row],[KG]]*2.20462)</f>
        <v xml:space="preserve"> </v>
      </c>
      <c r="O93" s="35" t="str">
        <f>IF(Inventory_List_Table34111510911131718141619202122[[#This Row],[Q]]&lt;0.1, " ",Inventory_List_Table34111510911131718141619202122[[#This Row],[H CM]]/2.54)</f>
        <v xml:space="preserve"> </v>
      </c>
      <c r="P93" s="35" t="str">
        <f>IF(Inventory_List_Table34111510911131718141619202122[[#This Row],[Q]]&lt;0.1, " ",Inventory_List_Table34111510911131718141619202122[[#This Row],[W CM]]/2.54)</f>
        <v xml:space="preserve"> </v>
      </c>
      <c r="Q93" s="35" t="str">
        <f>IF(Inventory_List_Table34111510911131718141619202122[[#This Row],[Q]]&lt;0.1, " ",Inventory_List_Table34111510911131718141619202122[[#This Row],[D CM ]]/2.54)</f>
        <v xml:space="preserve"> </v>
      </c>
      <c r="R93" s="30" t="str">
        <f>IF(Inventory_List_Table34111510911131718141619202122[[#This Row],[Q]]&lt;0.1, " ",Inventory_List_Table34111510911131718141619202122[[#This Row],[PRICE]]/$L$1)</f>
        <v xml:space="preserve"> </v>
      </c>
      <c r="S93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3" s="30" t="str">
        <f>IF(Inventory_List_Table34111510911131718141619202122[[#This Row],[Q]]&lt;0.1, " ",Inventory_List_Table34111510911131718141619202122[[#This Row],[AQ RND USD]]*1.4)</f>
        <v xml:space="preserve"> </v>
      </c>
      <c r="U93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3" s="30" t="str">
        <f>IF(Inventory_List_Table34111510911131718141619202122[[#This Row],[Q]]&lt;0.1, " ",Inventory_List_Table34111510911131718141619202122[[#This Row],[LND RND USD]]*12)</f>
        <v xml:space="preserve"> </v>
      </c>
      <c r="W93" s="30" t="str">
        <f>IF(Inventory_List_Table34111510911131718141619202122[[#This Row],[Q]]&lt;0.1, " ",Inventory_List_Table34111510911131718141619202122[[#This Row],[AQ USD]])</f>
        <v xml:space="preserve"> </v>
      </c>
      <c r="X9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3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3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3" s="30" t="str">
        <f>IF(Inventory_List_Table34111510911131718141619202122[[#This Row],[Q]]&lt;0.1, " ",Inventory_List_Table34111510911131718141619202122[[#This Row],[PRICE]]/Z93*10000)</f>
        <v xml:space="preserve"> </v>
      </c>
      <c r="AB93" s="484"/>
      <c r="AC93" s="1"/>
      <c r="AD93" s="1"/>
    </row>
    <row r="94" spans="1:30" ht="24" customHeight="1" x14ac:dyDescent="0.3">
      <c r="A94" s="480">
        <v>92</v>
      </c>
      <c r="B94" s="1"/>
      <c r="C94" s="478"/>
      <c r="D94" s="478"/>
      <c r="E94" s="478"/>
      <c r="F94" s="38" t="str">
        <f>IF(Inventory_List_Table34111510911131718141619202122[[#This Row],[Q]]&lt;0.1, " ",#REF!&amp;$D$1&amp;#REF!&amp;Inventory_List_Table34111510911131718141619202122[[#This Row],[NOTES]])</f>
        <v xml:space="preserve"> </v>
      </c>
      <c r="G94" s="481"/>
      <c r="H94" s="481"/>
      <c r="I94" s="481"/>
      <c r="J94" s="481"/>
      <c r="K94" s="481"/>
      <c r="L94" s="483"/>
      <c r="M94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4" s="35" t="str">
        <f>IF(Inventory_List_Table34111510911131718141619202122[[#This Row],[Q]]&lt;0.1, " ", Inventory_List_Table34111510911131718141619202122[[#This Row],[KG]]*2.20462)</f>
        <v xml:space="preserve"> </v>
      </c>
      <c r="O94" s="35" t="str">
        <f>IF(Inventory_List_Table34111510911131718141619202122[[#This Row],[Q]]&lt;0.1, " ",Inventory_List_Table34111510911131718141619202122[[#This Row],[H CM]]/2.54)</f>
        <v xml:space="preserve"> </v>
      </c>
      <c r="P94" s="35" t="str">
        <f>IF(Inventory_List_Table34111510911131718141619202122[[#This Row],[Q]]&lt;0.1, " ",Inventory_List_Table34111510911131718141619202122[[#This Row],[W CM]]/2.54)</f>
        <v xml:space="preserve"> </v>
      </c>
      <c r="Q94" s="35" t="str">
        <f>IF(Inventory_List_Table34111510911131718141619202122[[#This Row],[Q]]&lt;0.1, " ",Inventory_List_Table34111510911131718141619202122[[#This Row],[D CM ]]/2.54)</f>
        <v xml:space="preserve"> </v>
      </c>
      <c r="R94" s="30" t="str">
        <f>IF(Inventory_List_Table34111510911131718141619202122[[#This Row],[Q]]&lt;0.1, " ",Inventory_List_Table34111510911131718141619202122[[#This Row],[PRICE]]/$L$1)</f>
        <v xml:space="preserve"> </v>
      </c>
      <c r="S94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4" s="30" t="str">
        <f>IF(Inventory_List_Table34111510911131718141619202122[[#This Row],[Q]]&lt;0.1, " ",Inventory_List_Table34111510911131718141619202122[[#This Row],[AQ RND USD]]*1.4)</f>
        <v xml:space="preserve"> </v>
      </c>
      <c r="U94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4" s="30" t="str">
        <f>IF(Inventory_List_Table34111510911131718141619202122[[#This Row],[Q]]&lt;0.1, " ",Inventory_List_Table34111510911131718141619202122[[#This Row],[LND RND USD]]*12)</f>
        <v xml:space="preserve"> </v>
      </c>
      <c r="W94" s="30" t="str">
        <f>IF(Inventory_List_Table34111510911131718141619202122[[#This Row],[Q]]&lt;0.1, " ",Inventory_List_Table34111510911131718141619202122[[#This Row],[AQ USD]])</f>
        <v xml:space="preserve"> </v>
      </c>
      <c r="X9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4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4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4" s="30" t="str">
        <f>IF(Inventory_List_Table34111510911131718141619202122[[#This Row],[Q]]&lt;0.1, " ",Inventory_List_Table34111510911131718141619202122[[#This Row],[PRICE]]/Z94*10000)</f>
        <v xml:space="preserve"> </v>
      </c>
      <c r="AB94" s="484"/>
      <c r="AC94" s="1"/>
      <c r="AD94" s="1"/>
    </row>
    <row r="95" spans="1:30" ht="24" customHeight="1" x14ac:dyDescent="0.3">
      <c r="A95" s="480">
        <v>93</v>
      </c>
      <c r="B95" s="1"/>
      <c r="C95" s="478"/>
      <c r="D95" s="478"/>
      <c r="E95" s="478"/>
      <c r="F95" s="38" t="str">
        <f>IF(Inventory_List_Table34111510911131718141619202122[[#This Row],[Q]]&lt;0.1, " ",#REF!&amp;$D$1&amp;#REF!&amp;Inventory_List_Table34111510911131718141619202122[[#This Row],[NOTES]])</f>
        <v xml:space="preserve"> </v>
      </c>
      <c r="G95" s="481"/>
      <c r="H95" s="481"/>
      <c r="I95" s="481"/>
      <c r="J95" s="481"/>
      <c r="K95" s="481"/>
      <c r="L95" s="483"/>
      <c r="M95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5" s="35" t="str">
        <f>IF(Inventory_List_Table34111510911131718141619202122[[#This Row],[Q]]&lt;0.1, " ", Inventory_List_Table34111510911131718141619202122[[#This Row],[KG]]*2.20462)</f>
        <v xml:space="preserve"> </v>
      </c>
      <c r="O95" s="35" t="str">
        <f>IF(Inventory_List_Table34111510911131718141619202122[[#This Row],[Q]]&lt;0.1, " ",Inventory_List_Table34111510911131718141619202122[[#This Row],[H CM]]/2.54)</f>
        <v xml:space="preserve"> </v>
      </c>
      <c r="P95" s="35" t="str">
        <f>IF(Inventory_List_Table34111510911131718141619202122[[#This Row],[Q]]&lt;0.1, " ",Inventory_List_Table34111510911131718141619202122[[#This Row],[W CM]]/2.54)</f>
        <v xml:space="preserve"> </v>
      </c>
      <c r="Q95" s="35" t="str">
        <f>IF(Inventory_List_Table34111510911131718141619202122[[#This Row],[Q]]&lt;0.1, " ",Inventory_List_Table34111510911131718141619202122[[#This Row],[D CM ]]/2.54)</f>
        <v xml:space="preserve"> </v>
      </c>
      <c r="R95" s="30" t="str">
        <f>IF(Inventory_List_Table34111510911131718141619202122[[#This Row],[Q]]&lt;0.1, " ",Inventory_List_Table34111510911131718141619202122[[#This Row],[PRICE]]/$L$1)</f>
        <v xml:space="preserve"> </v>
      </c>
      <c r="S95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5" s="30" t="str">
        <f>IF(Inventory_List_Table34111510911131718141619202122[[#This Row],[Q]]&lt;0.1, " ",Inventory_List_Table34111510911131718141619202122[[#This Row],[AQ RND USD]]*1.4)</f>
        <v xml:space="preserve"> </v>
      </c>
      <c r="U95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5" s="30" t="str">
        <f>IF(Inventory_List_Table34111510911131718141619202122[[#This Row],[Q]]&lt;0.1, " ",Inventory_List_Table34111510911131718141619202122[[#This Row],[LND RND USD]]*12)</f>
        <v xml:space="preserve"> </v>
      </c>
      <c r="W95" s="30" t="str">
        <f>IF(Inventory_List_Table34111510911131718141619202122[[#This Row],[Q]]&lt;0.1, " ",Inventory_List_Table34111510911131718141619202122[[#This Row],[AQ USD]])</f>
        <v xml:space="preserve"> </v>
      </c>
      <c r="X9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5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5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5" s="30" t="str">
        <f>IF(Inventory_List_Table34111510911131718141619202122[[#This Row],[Q]]&lt;0.1, " ",Inventory_List_Table34111510911131718141619202122[[#This Row],[PRICE]]/Z95*10000)</f>
        <v xml:space="preserve"> </v>
      </c>
      <c r="AB95" s="484"/>
      <c r="AC95" s="1"/>
      <c r="AD95" s="1"/>
    </row>
    <row r="96" spans="1:30" ht="24" customHeight="1" x14ac:dyDescent="0.3">
      <c r="A96" s="480">
        <v>94</v>
      </c>
      <c r="B96" s="1"/>
      <c r="C96" s="478"/>
      <c r="D96" s="478"/>
      <c r="E96" s="478"/>
      <c r="F96" s="38" t="str">
        <f>IF(Inventory_List_Table34111510911131718141619202122[[#This Row],[Q]]&lt;0.1, " ",#REF!&amp;$D$1&amp;#REF!&amp;Inventory_List_Table34111510911131718141619202122[[#This Row],[NOTES]])</f>
        <v xml:space="preserve"> </v>
      </c>
      <c r="G96" s="481"/>
      <c r="H96" s="481"/>
      <c r="I96" s="481"/>
      <c r="J96" s="481"/>
      <c r="K96" s="481"/>
      <c r="L96" s="483"/>
      <c r="M96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6" s="35" t="str">
        <f>IF(Inventory_List_Table34111510911131718141619202122[[#This Row],[Q]]&lt;0.1, " ", Inventory_List_Table34111510911131718141619202122[[#This Row],[KG]]*2.20462)</f>
        <v xml:space="preserve"> </v>
      </c>
      <c r="O96" s="35" t="str">
        <f>IF(Inventory_List_Table34111510911131718141619202122[[#This Row],[Q]]&lt;0.1, " ",Inventory_List_Table34111510911131718141619202122[[#This Row],[H CM]]/2.54)</f>
        <v xml:space="preserve"> </v>
      </c>
      <c r="P96" s="35" t="str">
        <f>IF(Inventory_List_Table34111510911131718141619202122[[#This Row],[Q]]&lt;0.1, " ",Inventory_List_Table34111510911131718141619202122[[#This Row],[W CM]]/2.54)</f>
        <v xml:space="preserve"> </v>
      </c>
      <c r="Q96" s="35" t="str">
        <f>IF(Inventory_List_Table34111510911131718141619202122[[#This Row],[Q]]&lt;0.1, " ",Inventory_List_Table34111510911131718141619202122[[#This Row],[D CM ]]/2.54)</f>
        <v xml:space="preserve"> </v>
      </c>
      <c r="R96" s="30" t="str">
        <f>IF(Inventory_List_Table34111510911131718141619202122[[#This Row],[Q]]&lt;0.1, " ",Inventory_List_Table34111510911131718141619202122[[#This Row],[PRICE]]/$L$1)</f>
        <v xml:space="preserve"> </v>
      </c>
      <c r="S96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6" s="30" t="str">
        <f>IF(Inventory_List_Table34111510911131718141619202122[[#This Row],[Q]]&lt;0.1, " ",Inventory_List_Table34111510911131718141619202122[[#This Row],[AQ RND USD]]*1.4)</f>
        <v xml:space="preserve"> </v>
      </c>
      <c r="U96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6" s="30" t="str">
        <f>IF(Inventory_List_Table34111510911131718141619202122[[#This Row],[Q]]&lt;0.1, " ",Inventory_List_Table34111510911131718141619202122[[#This Row],[LND RND USD]]*12)</f>
        <v xml:space="preserve"> </v>
      </c>
      <c r="W96" s="30" t="str">
        <f>IF(Inventory_List_Table34111510911131718141619202122[[#This Row],[Q]]&lt;0.1, " ",Inventory_List_Table34111510911131718141619202122[[#This Row],[AQ USD]])</f>
        <v xml:space="preserve"> </v>
      </c>
      <c r="X9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6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6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6" s="30" t="str">
        <f>IF(Inventory_List_Table34111510911131718141619202122[[#This Row],[Q]]&lt;0.1, " ",Inventory_List_Table34111510911131718141619202122[[#This Row],[PRICE]]/Z96*10000)</f>
        <v xml:space="preserve"> </v>
      </c>
      <c r="AB96" s="484"/>
      <c r="AC96" s="1"/>
      <c r="AD96" s="1"/>
    </row>
    <row r="97" spans="1:30" ht="24" customHeight="1" x14ac:dyDescent="0.3">
      <c r="A97" s="480">
        <v>95</v>
      </c>
      <c r="B97" s="1"/>
      <c r="C97" s="478"/>
      <c r="D97" s="478"/>
      <c r="E97" s="478"/>
      <c r="F97" s="38" t="str">
        <f>IF(Inventory_List_Table34111510911131718141619202122[[#This Row],[Q]]&lt;0.1, " ",#REF!&amp;$D$1&amp;#REF!&amp;Inventory_List_Table34111510911131718141619202122[[#This Row],[NOTES]])</f>
        <v xml:space="preserve"> </v>
      </c>
      <c r="G97" s="481"/>
      <c r="H97" s="481"/>
      <c r="I97" s="481"/>
      <c r="J97" s="481"/>
      <c r="K97" s="481"/>
      <c r="L97" s="483"/>
      <c r="M97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7" s="35" t="str">
        <f>IF(Inventory_List_Table34111510911131718141619202122[[#This Row],[Q]]&lt;0.1, " ", Inventory_List_Table34111510911131718141619202122[[#This Row],[KG]]*2.20462)</f>
        <v xml:space="preserve"> </v>
      </c>
      <c r="O97" s="35" t="str">
        <f>IF(Inventory_List_Table34111510911131718141619202122[[#This Row],[Q]]&lt;0.1, " ",Inventory_List_Table34111510911131718141619202122[[#This Row],[H CM]]/2.54)</f>
        <v xml:space="preserve"> </v>
      </c>
      <c r="P97" s="35" t="str">
        <f>IF(Inventory_List_Table34111510911131718141619202122[[#This Row],[Q]]&lt;0.1, " ",Inventory_List_Table34111510911131718141619202122[[#This Row],[W CM]]/2.54)</f>
        <v xml:space="preserve"> </v>
      </c>
      <c r="Q97" s="35" t="str">
        <f>IF(Inventory_List_Table34111510911131718141619202122[[#This Row],[Q]]&lt;0.1, " ",Inventory_List_Table34111510911131718141619202122[[#This Row],[D CM ]]/2.54)</f>
        <v xml:space="preserve"> </v>
      </c>
      <c r="R97" s="30" t="str">
        <f>IF(Inventory_List_Table34111510911131718141619202122[[#This Row],[Q]]&lt;0.1, " ",Inventory_List_Table34111510911131718141619202122[[#This Row],[PRICE]]/$L$1)</f>
        <v xml:space="preserve"> </v>
      </c>
      <c r="S97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7" s="30" t="str">
        <f>IF(Inventory_List_Table34111510911131718141619202122[[#This Row],[Q]]&lt;0.1, " ",Inventory_List_Table34111510911131718141619202122[[#This Row],[AQ RND USD]]*1.4)</f>
        <v xml:space="preserve"> </v>
      </c>
      <c r="U97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7" s="30" t="str">
        <f>IF(Inventory_List_Table34111510911131718141619202122[[#This Row],[Q]]&lt;0.1, " ",Inventory_List_Table34111510911131718141619202122[[#This Row],[LND RND USD]]*12)</f>
        <v xml:space="preserve"> </v>
      </c>
      <c r="W97" s="30" t="str">
        <f>IF(Inventory_List_Table34111510911131718141619202122[[#This Row],[Q]]&lt;0.1, " ",Inventory_List_Table34111510911131718141619202122[[#This Row],[AQ USD]])</f>
        <v xml:space="preserve"> </v>
      </c>
      <c r="X9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7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7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7" s="30" t="str">
        <f>IF(Inventory_List_Table34111510911131718141619202122[[#This Row],[Q]]&lt;0.1, " ",Inventory_List_Table34111510911131718141619202122[[#This Row],[PRICE]]/Z97*10000)</f>
        <v xml:space="preserve"> </v>
      </c>
      <c r="AB97" s="484"/>
      <c r="AC97" s="1"/>
      <c r="AD97" s="1"/>
    </row>
    <row r="98" spans="1:30" ht="24" customHeight="1" x14ac:dyDescent="0.3">
      <c r="A98" s="480">
        <v>96</v>
      </c>
      <c r="B98" s="1"/>
      <c r="C98" s="478"/>
      <c r="D98" s="478"/>
      <c r="E98" s="478"/>
      <c r="F98" s="38" t="str">
        <f>IF(Inventory_List_Table34111510911131718141619202122[[#This Row],[Q]]&lt;0.1, " ",#REF!&amp;$D$1&amp;#REF!&amp;Inventory_List_Table34111510911131718141619202122[[#This Row],[NOTES]])</f>
        <v xml:space="preserve"> </v>
      </c>
      <c r="G98" s="481"/>
      <c r="H98" s="481"/>
      <c r="I98" s="481"/>
      <c r="J98" s="481"/>
      <c r="K98" s="481"/>
      <c r="L98" s="483"/>
      <c r="M98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8" s="35" t="str">
        <f>IF(Inventory_List_Table34111510911131718141619202122[[#This Row],[Q]]&lt;0.1, " ", Inventory_List_Table34111510911131718141619202122[[#This Row],[KG]]*2.20462)</f>
        <v xml:space="preserve"> </v>
      </c>
      <c r="O98" s="35" t="str">
        <f>IF(Inventory_List_Table34111510911131718141619202122[[#This Row],[Q]]&lt;0.1, " ",Inventory_List_Table34111510911131718141619202122[[#This Row],[H CM]]/2.54)</f>
        <v xml:space="preserve"> </v>
      </c>
      <c r="P98" s="35" t="str">
        <f>IF(Inventory_List_Table34111510911131718141619202122[[#This Row],[Q]]&lt;0.1, " ",Inventory_List_Table34111510911131718141619202122[[#This Row],[W CM]]/2.54)</f>
        <v xml:space="preserve"> </v>
      </c>
      <c r="Q98" s="35" t="str">
        <f>IF(Inventory_List_Table34111510911131718141619202122[[#This Row],[Q]]&lt;0.1, " ",Inventory_List_Table34111510911131718141619202122[[#This Row],[D CM ]]/2.54)</f>
        <v xml:space="preserve"> </v>
      </c>
      <c r="R98" s="30" t="str">
        <f>IF(Inventory_List_Table34111510911131718141619202122[[#This Row],[Q]]&lt;0.1, " ",Inventory_List_Table34111510911131718141619202122[[#This Row],[PRICE]]/$L$1)</f>
        <v xml:space="preserve"> </v>
      </c>
      <c r="S98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8" s="30" t="str">
        <f>IF(Inventory_List_Table34111510911131718141619202122[[#This Row],[Q]]&lt;0.1, " ",Inventory_List_Table34111510911131718141619202122[[#This Row],[AQ RND USD]]*1.4)</f>
        <v xml:space="preserve"> </v>
      </c>
      <c r="U98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8" s="30" t="str">
        <f>IF(Inventory_List_Table34111510911131718141619202122[[#This Row],[Q]]&lt;0.1, " ",Inventory_List_Table34111510911131718141619202122[[#This Row],[LND RND USD]]*12)</f>
        <v xml:space="preserve"> </v>
      </c>
      <c r="W98" s="30" t="str">
        <f>IF(Inventory_List_Table34111510911131718141619202122[[#This Row],[Q]]&lt;0.1, " ",Inventory_List_Table34111510911131718141619202122[[#This Row],[AQ USD]])</f>
        <v xml:space="preserve"> </v>
      </c>
      <c r="X9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8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8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8" s="30" t="str">
        <f>IF(Inventory_List_Table34111510911131718141619202122[[#This Row],[Q]]&lt;0.1, " ",Inventory_List_Table34111510911131718141619202122[[#This Row],[PRICE]]/Z98*10000)</f>
        <v xml:space="preserve"> </v>
      </c>
      <c r="AB98" s="484"/>
      <c r="AC98" s="1"/>
      <c r="AD98" s="1"/>
    </row>
    <row r="99" spans="1:30" ht="24" customHeight="1" x14ac:dyDescent="0.3">
      <c r="A99" s="480">
        <v>97</v>
      </c>
      <c r="B99" s="1"/>
      <c r="C99" s="478"/>
      <c r="D99" s="478"/>
      <c r="E99" s="478"/>
      <c r="F99" s="38" t="str">
        <f>IF(Inventory_List_Table34111510911131718141619202122[[#This Row],[Q]]&lt;0.1, " ",#REF!&amp;$D$1&amp;#REF!&amp;Inventory_List_Table34111510911131718141619202122[[#This Row],[NOTES]])</f>
        <v xml:space="preserve"> </v>
      </c>
      <c r="G99" s="481"/>
      <c r="H99" s="481"/>
      <c r="I99" s="481"/>
      <c r="J99" s="481"/>
      <c r="K99" s="481"/>
      <c r="L99" s="483"/>
      <c r="M99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99" s="35" t="str">
        <f>IF(Inventory_List_Table34111510911131718141619202122[[#This Row],[Q]]&lt;0.1, " ", Inventory_List_Table34111510911131718141619202122[[#This Row],[KG]]*2.20462)</f>
        <v xml:space="preserve"> </v>
      </c>
      <c r="O99" s="35" t="str">
        <f>IF(Inventory_List_Table34111510911131718141619202122[[#This Row],[Q]]&lt;0.1, " ",Inventory_List_Table34111510911131718141619202122[[#This Row],[H CM]]/2.54)</f>
        <v xml:space="preserve"> </v>
      </c>
      <c r="P99" s="35" t="str">
        <f>IF(Inventory_List_Table34111510911131718141619202122[[#This Row],[Q]]&lt;0.1, " ",Inventory_List_Table34111510911131718141619202122[[#This Row],[W CM]]/2.54)</f>
        <v xml:space="preserve"> </v>
      </c>
      <c r="Q99" s="35" t="str">
        <f>IF(Inventory_List_Table34111510911131718141619202122[[#This Row],[Q]]&lt;0.1, " ",Inventory_List_Table34111510911131718141619202122[[#This Row],[D CM ]]/2.54)</f>
        <v xml:space="preserve"> </v>
      </c>
      <c r="R99" s="30" t="str">
        <f>IF(Inventory_List_Table34111510911131718141619202122[[#This Row],[Q]]&lt;0.1, " ",Inventory_List_Table34111510911131718141619202122[[#This Row],[PRICE]]/$L$1)</f>
        <v xml:space="preserve"> </v>
      </c>
      <c r="S99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99" s="30" t="str">
        <f>IF(Inventory_List_Table34111510911131718141619202122[[#This Row],[Q]]&lt;0.1, " ",Inventory_List_Table34111510911131718141619202122[[#This Row],[AQ RND USD]]*1.4)</f>
        <v xml:space="preserve"> </v>
      </c>
      <c r="U99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99" s="30" t="str">
        <f>IF(Inventory_List_Table34111510911131718141619202122[[#This Row],[Q]]&lt;0.1, " ",Inventory_List_Table34111510911131718141619202122[[#This Row],[LND RND USD]]*12)</f>
        <v xml:space="preserve"> </v>
      </c>
      <c r="W99" s="30" t="str">
        <f>IF(Inventory_List_Table34111510911131718141619202122[[#This Row],[Q]]&lt;0.1, " ",Inventory_List_Table34111510911131718141619202122[[#This Row],[AQ USD]])</f>
        <v xml:space="preserve"> </v>
      </c>
      <c r="X9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99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99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99" s="30" t="str">
        <f>IF(Inventory_List_Table34111510911131718141619202122[[#This Row],[Q]]&lt;0.1, " ",Inventory_List_Table34111510911131718141619202122[[#This Row],[PRICE]]/Z99*10000)</f>
        <v xml:space="preserve"> </v>
      </c>
      <c r="AB99" s="484"/>
      <c r="AC99" s="1"/>
      <c r="AD99" s="1"/>
    </row>
    <row r="100" spans="1:30" ht="24" customHeight="1" x14ac:dyDescent="0.3">
      <c r="A100" s="480">
        <v>98</v>
      </c>
      <c r="B100" s="1"/>
      <c r="C100" s="478"/>
      <c r="D100" s="478"/>
      <c r="E100" s="478"/>
      <c r="F100" s="38" t="str">
        <f>IF(Inventory_List_Table34111510911131718141619202122[[#This Row],[Q]]&lt;0.1, " ",#REF!&amp;$D$1&amp;#REF!&amp;Inventory_List_Table34111510911131718141619202122[[#This Row],[NOTES]])</f>
        <v xml:space="preserve"> </v>
      </c>
      <c r="G100" s="481"/>
      <c r="H100" s="481"/>
      <c r="I100" s="481"/>
      <c r="J100" s="481"/>
      <c r="K100" s="481"/>
      <c r="L100" s="483"/>
      <c r="M100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00" s="35" t="str">
        <f>IF(Inventory_List_Table34111510911131718141619202122[[#This Row],[Q]]&lt;0.1, " ", Inventory_List_Table34111510911131718141619202122[[#This Row],[KG]]*2.20462)</f>
        <v xml:space="preserve"> </v>
      </c>
      <c r="O100" s="35" t="str">
        <f>IF(Inventory_List_Table34111510911131718141619202122[[#This Row],[Q]]&lt;0.1, " ",Inventory_List_Table34111510911131718141619202122[[#This Row],[H CM]]/2.54)</f>
        <v xml:space="preserve"> </v>
      </c>
      <c r="P100" s="35" t="str">
        <f>IF(Inventory_List_Table34111510911131718141619202122[[#This Row],[Q]]&lt;0.1, " ",Inventory_List_Table34111510911131718141619202122[[#This Row],[W CM]]/2.54)</f>
        <v xml:space="preserve"> </v>
      </c>
      <c r="Q100" s="35" t="str">
        <f>IF(Inventory_List_Table34111510911131718141619202122[[#This Row],[Q]]&lt;0.1, " ",Inventory_List_Table34111510911131718141619202122[[#This Row],[D CM ]]/2.54)</f>
        <v xml:space="preserve"> </v>
      </c>
      <c r="R100" s="30" t="str">
        <f>IF(Inventory_List_Table34111510911131718141619202122[[#This Row],[Q]]&lt;0.1, " ",Inventory_List_Table34111510911131718141619202122[[#This Row],[PRICE]]/$L$1)</f>
        <v xml:space="preserve"> </v>
      </c>
      <c r="S100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00" s="30" t="str">
        <f>IF(Inventory_List_Table34111510911131718141619202122[[#This Row],[Q]]&lt;0.1, " ",Inventory_List_Table34111510911131718141619202122[[#This Row],[AQ RND USD]]*1.4)</f>
        <v xml:space="preserve"> </v>
      </c>
      <c r="U100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00" s="30" t="str">
        <f>IF(Inventory_List_Table34111510911131718141619202122[[#This Row],[Q]]&lt;0.1, " ",Inventory_List_Table34111510911131718141619202122[[#This Row],[LND RND USD]]*12)</f>
        <v xml:space="preserve"> </v>
      </c>
      <c r="W100" s="30" t="str">
        <f>IF(Inventory_List_Table34111510911131718141619202122[[#This Row],[Q]]&lt;0.1, " ",Inventory_List_Table34111510911131718141619202122[[#This Row],[AQ USD]])</f>
        <v xml:space="preserve"> </v>
      </c>
      <c r="X10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00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00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00" s="30" t="str">
        <f>IF(Inventory_List_Table34111510911131718141619202122[[#This Row],[Q]]&lt;0.1, " ",Inventory_List_Table34111510911131718141619202122[[#This Row],[PRICE]]/Z100*10000)</f>
        <v xml:space="preserve"> </v>
      </c>
      <c r="AB100" s="484"/>
      <c r="AC100" s="1"/>
      <c r="AD100" s="1"/>
    </row>
    <row r="101" spans="1:30" ht="24" customHeight="1" x14ac:dyDescent="0.3">
      <c r="A101" s="480">
        <v>99</v>
      </c>
      <c r="B101" s="1"/>
      <c r="C101" s="478"/>
      <c r="D101" s="478"/>
      <c r="E101" s="478"/>
      <c r="F101" s="38" t="str">
        <f>IF(Inventory_List_Table34111510911131718141619202122[[#This Row],[Q]]&lt;0.1, " ",#REF!&amp;$D$1&amp;#REF!&amp;Inventory_List_Table34111510911131718141619202122[[#This Row],[NOTES]])</f>
        <v xml:space="preserve"> </v>
      </c>
      <c r="G101" s="481"/>
      <c r="H101" s="481"/>
      <c r="I101" s="481"/>
      <c r="J101" s="481"/>
      <c r="K101" s="481"/>
      <c r="L101" s="483"/>
      <c r="M101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01" s="35" t="str">
        <f>IF(Inventory_List_Table34111510911131718141619202122[[#This Row],[Q]]&lt;0.1, " ", Inventory_List_Table34111510911131718141619202122[[#This Row],[KG]]*2.20462)</f>
        <v xml:space="preserve"> </v>
      </c>
      <c r="O101" s="35" t="str">
        <f>IF(Inventory_List_Table34111510911131718141619202122[[#This Row],[Q]]&lt;0.1, " ",Inventory_List_Table34111510911131718141619202122[[#This Row],[H CM]]/2.54)</f>
        <v xml:space="preserve"> </v>
      </c>
      <c r="P101" s="35" t="str">
        <f>IF(Inventory_List_Table34111510911131718141619202122[[#This Row],[Q]]&lt;0.1, " ",Inventory_List_Table34111510911131718141619202122[[#This Row],[W CM]]/2.54)</f>
        <v xml:space="preserve"> </v>
      </c>
      <c r="Q101" s="35" t="str">
        <f>IF(Inventory_List_Table34111510911131718141619202122[[#This Row],[Q]]&lt;0.1, " ",Inventory_List_Table34111510911131718141619202122[[#This Row],[D CM ]]/2.54)</f>
        <v xml:space="preserve"> </v>
      </c>
      <c r="R101" s="30" t="str">
        <f>IF(Inventory_List_Table34111510911131718141619202122[[#This Row],[Q]]&lt;0.1, " ",Inventory_List_Table34111510911131718141619202122[[#This Row],[PRICE]]/$L$1)</f>
        <v xml:space="preserve"> </v>
      </c>
      <c r="S101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01" s="30" t="str">
        <f>IF(Inventory_List_Table34111510911131718141619202122[[#This Row],[Q]]&lt;0.1, " ",Inventory_List_Table34111510911131718141619202122[[#This Row],[AQ RND USD]]*1.4)</f>
        <v xml:space="preserve"> </v>
      </c>
      <c r="U101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01" s="30" t="str">
        <f>IF(Inventory_List_Table34111510911131718141619202122[[#This Row],[Q]]&lt;0.1, " ",Inventory_List_Table34111510911131718141619202122[[#This Row],[LND RND USD]]*12)</f>
        <v xml:space="preserve"> </v>
      </c>
      <c r="W101" s="30" t="str">
        <f>IF(Inventory_List_Table34111510911131718141619202122[[#This Row],[Q]]&lt;0.1, " ",Inventory_List_Table34111510911131718141619202122[[#This Row],[AQ USD]])</f>
        <v xml:space="preserve"> </v>
      </c>
      <c r="X10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01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01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01" s="30" t="str">
        <f>IF(Inventory_List_Table34111510911131718141619202122[[#This Row],[Q]]&lt;0.1, " ",Inventory_List_Table34111510911131718141619202122[[#This Row],[PRICE]]/Z101*10000)</f>
        <v xml:space="preserve"> </v>
      </c>
      <c r="AB101" s="484"/>
      <c r="AC101" s="1"/>
      <c r="AD101" s="1"/>
    </row>
    <row r="102" spans="1:30" ht="24" customHeight="1" x14ac:dyDescent="0.3">
      <c r="A102" s="480">
        <v>100</v>
      </c>
      <c r="B102" s="1"/>
      <c r="C102" s="478"/>
      <c r="D102" s="478"/>
      <c r="E102" s="478"/>
      <c r="F102" s="38" t="str">
        <f>IF(Inventory_List_Table34111510911131718141619202122[[#This Row],[Q]]&lt;0.1, " ",#REF!&amp;$D$1&amp;#REF!&amp;Inventory_List_Table34111510911131718141619202122[[#This Row],[NOTES]])</f>
        <v xml:space="preserve"> </v>
      </c>
      <c r="G102" s="481"/>
      <c r="H102" s="481"/>
      <c r="I102" s="481"/>
      <c r="J102" s="481"/>
      <c r="K102" s="481"/>
      <c r="L102" s="483"/>
      <c r="M102" s="30" t="str">
        <f>IF(Inventory_List_Table34111510911131718141619202122[[#This Row],[Q]]&lt;0.1, " ", Inventory_List_Table34111510911131718141619202122[[#This Row],[Q]]*Inventory_List_Table34111510911131718141619202122[[#This Row],[PRICE]])</f>
        <v xml:space="preserve"> </v>
      </c>
      <c r="N102" s="35" t="str">
        <f>IF(Inventory_List_Table34111510911131718141619202122[[#This Row],[Q]]&lt;0.1, " ", Inventory_List_Table34111510911131718141619202122[[#This Row],[KG]]*2.20462)</f>
        <v xml:space="preserve"> </v>
      </c>
      <c r="O102" s="35" t="str">
        <f>IF(Inventory_List_Table34111510911131718141619202122[[#This Row],[Q]]&lt;0.1, " ",Inventory_List_Table34111510911131718141619202122[[#This Row],[H CM]]/2.54)</f>
        <v xml:space="preserve"> </v>
      </c>
      <c r="P102" s="35" t="str">
        <f>IF(Inventory_List_Table34111510911131718141619202122[[#This Row],[Q]]&lt;0.1, " ",Inventory_List_Table34111510911131718141619202122[[#This Row],[W CM]]/2.54)</f>
        <v xml:space="preserve"> </v>
      </c>
      <c r="Q102" s="35" t="str">
        <f>IF(Inventory_List_Table34111510911131718141619202122[[#This Row],[Q]]&lt;0.1, " ",Inventory_List_Table34111510911131718141619202122[[#This Row],[D CM ]]/2.54)</f>
        <v xml:space="preserve"> </v>
      </c>
      <c r="R102" s="30" t="str">
        <f>IF(Inventory_List_Table34111510911131718141619202122[[#This Row],[Q]]&lt;0.1, " ",Inventory_List_Table34111510911131718141619202122[[#This Row],[PRICE]]/$L$1)</f>
        <v xml:space="preserve"> </v>
      </c>
      <c r="S102" s="30" t="str">
        <f>IF(Inventory_List_Table34111510911131718141619202122[[#This Row],[Q]]&lt;0.1, " ",IF(MOD(Inventory_List_Table34111510911131718141619202122[[#This Row],[AQ USD]],1)&gt;0.4,ROUNDUP(Inventory_List_Table34111510911131718141619202122[[#This Row],[AQ USD]],0),ROUNDDOWN(Inventory_List_Table34111510911131718141619202122[[#This Row],[AQ USD]],0)))</f>
        <v xml:space="preserve"> </v>
      </c>
      <c r="T102" s="30" t="str">
        <f>IF(Inventory_List_Table34111510911131718141619202122[[#This Row],[Q]]&lt;0.1, " ",Inventory_List_Table34111510911131718141619202122[[#This Row],[AQ RND USD]]*1.4)</f>
        <v xml:space="preserve"> </v>
      </c>
      <c r="U102" s="30" t="str">
        <f>IF(Inventory_List_Table34111510911131718141619202122[[#This Row],[Q]]&lt;0.1, " ",IF(MOD(Inventory_List_Table34111510911131718141619202122[[#This Row],[LND USD]],1)&gt;0.4,ROUNDUP(Inventory_List_Table34111510911131718141619202122[[#This Row],[LND USD]],0),ROUNDDOWN(Inventory_List_Table34111510911131718141619202122[[#This Row],[LND USD]],0)))</f>
        <v xml:space="preserve"> </v>
      </c>
      <c r="V102" s="30" t="str">
        <f>IF(Inventory_List_Table34111510911131718141619202122[[#This Row],[Q]]&lt;0.1, " ",Inventory_List_Table34111510911131718141619202122[[#This Row],[LND RND USD]]*12)</f>
        <v xml:space="preserve"> </v>
      </c>
      <c r="W102" s="30" t="str">
        <f>IF(Inventory_List_Table34111510911131718141619202122[[#This Row],[Q]]&lt;0.1, " ",Inventory_List_Table34111510911131718141619202122[[#This Row],[AQ USD]])</f>
        <v xml:space="preserve"> </v>
      </c>
      <c r="X10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Row],[AQ RND USD]], "1", "M"), "2", "O"), "3", "X"), "4", "H"), "5", "E"), "6", "L"), "7", "F"), "8", "A"), "9", "N"), "0", "D"))</f>
        <v xml:space="preserve"> </v>
      </c>
      <c r="Y102" s="1" t="str">
        <f>IF(Inventory_List_Table34111510911131718141619202122[[#This Row],[Q]]&lt;0.1, " ",SUBSTITUTE(SUBSTITUTE(SUBSTITUTE(SUBSTITUTE(SUBSTITUTE(SUBSTITUTE(SUBSTITUTE(SUBSTITUTE(SUBSTITUTE(SUBSTITUTE(Inventory_List_Table34111510911131718141619202122[[#This Row],[LND RND USD]], "1", "M"), "2", "O"), "3", "X"), "4", "H"), "5", "E"), "6", "L"), "7", "F"), "8", "A"), "9", "N"), "0", "D"))</f>
        <v xml:space="preserve"> </v>
      </c>
      <c r="Z102" s="1" t="str">
        <f>IF(Inventory_List_Table34111510911131718141619202122[[#This Row],[Q]]&lt;0.1, " ",Inventory_List_Table34111510911131718141619202122[[#This Row],[H CM]]*Inventory_List_Table34111510911131718141619202122[[#This Row],[D CM ]]*4+Inventory_List_Table34111510911131718141619202122[[#This Row],[W CM]]*Inventory_List_Table34111510911131718141619202122[[#This Row],[D CM ]]/10000)</f>
        <v xml:space="preserve"> </v>
      </c>
      <c r="AA102" s="30" t="str">
        <f>IF(Inventory_List_Table34111510911131718141619202122[[#This Row],[Q]]&lt;0.1, " ",Inventory_List_Table34111510911131718141619202122[[#This Row],[PRICE]]/Z102*10000)</f>
        <v xml:space="preserve"> </v>
      </c>
      <c r="AB102" s="484"/>
      <c r="AC102" s="1"/>
      <c r="AD102" s="1"/>
    </row>
  </sheetData>
  <dataValidations count="12">
    <dataValidation allowBlank="1" showInputMessage="1" showErrorMessage="1" prompt="Enter a description of the item in this column" sqref="G2:G3" xr:uid="{7A7B70D3-5240-47EF-ACCD-882159D20EB7}"/>
    <dataValidation allowBlank="1" showInputMessage="1" showErrorMessage="1" prompt="Enter the unit price of each item in this column" sqref="H2:H3" xr:uid="{9F863C13-4CD4-4F12-A233-60D0865F0036}"/>
    <dataValidation allowBlank="1" showInputMessage="1" showErrorMessage="1" prompt="Enter the quantity in stock for each item in this column" sqref="I2:I3" xr:uid="{0E9C5F3E-0201-4CB1-A2F3-56908BD3CB61}"/>
    <dataValidation allowBlank="1" showInputMessage="1" showErrorMessage="1" prompt="This is an automated column._x000a__x000a_The inventory value for each item is automatically calculated in this column." sqref="J2:J3" xr:uid="{ECAAB324-F312-4F52-BFF3-82E001F5607C}"/>
    <dataValidation allowBlank="1" showInputMessage="1" showErrorMessage="1" prompt="Enter the reorder level for each item in this column" sqref="K2:K3" xr:uid="{696B40C3-D1EA-42CE-88A4-D1A178F36D91}"/>
    <dataValidation allowBlank="1" showInputMessage="1" showErrorMessage="1" prompt="Enter the number of days it takes to reorder each item in this column" sqref="L2:N3" xr:uid="{069A1547-7A6C-4D6A-AA06-01E8B271FB97}"/>
    <dataValidation allowBlank="1" showInputMessage="1" showErrorMessage="1" prompt="Enter the quantity in reorder for each item in this column" sqref="O2:O3" xr:uid="{A6568415-4ECC-4576-9239-43D1157916A2}"/>
    <dataValidation allowBlank="1" showInputMessage="1" showErrorMessage="1" prompt="Enter yes if the item has been discontinued. When a yes is entered, the corresponding row is highlighted a light grey and the font style changed to strikethrough" sqref="P2:P3" xr:uid="{1B909BB4-252E-40E0-A9BF-9CE39D61AE44}"/>
    <dataValidation allowBlank="1" showInputMessage="1" showErrorMessage="1" prompt="Enter the name of the item in this column" sqref="F2:F3" xr:uid="{47C4EDDB-062B-4B3E-A4E4-DE992F411D12}"/>
    <dataValidation allowBlank="1" showInputMessage="1" showErrorMessage="1" prompt="Enter the item inventory ID in this column" sqref="E2:E3" xr:uid="{717F3671-F7C0-4F56-8EA3-A5BCA473AF5D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39CB24DB-D1D6-439B-8AAA-4DBBF90B9D5C}"/>
    <dataValidation allowBlank="1" showInputMessage="1" showErrorMessage="1" prompt="Enter company name in this cell" sqref="B1" xr:uid="{6AADA546-B5E8-4F44-B7A4-08F18EC521A4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CC91-0393-44A3-A32D-34F543E03D06}">
  <sheetPr>
    <tabColor rgb="FFD11C7E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8.75" style="553" customWidth="1"/>
    <col min="2" max="2" width="36.5" style="29" bestFit="1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485" t="s">
        <v>138</v>
      </c>
      <c r="B1" s="488" t="s">
        <v>139</v>
      </c>
      <c r="C1" s="489" t="s">
        <v>17</v>
      </c>
      <c r="D1" s="489">
        <v>326</v>
      </c>
      <c r="E1" s="489"/>
      <c r="F1" s="489"/>
      <c r="G1" s="489"/>
      <c r="H1" s="489"/>
      <c r="I1" s="489"/>
      <c r="J1" s="493"/>
      <c r="K1" s="489" t="s">
        <v>18</v>
      </c>
      <c r="L1" s="494">
        <v>18</v>
      </c>
      <c r="M1" s="498">
        <f>SUM(Inventory_List_Table3411151091113171814161920212223[TOTAL PESOS])</f>
        <v>0</v>
      </c>
      <c r="N1" s="499"/>
      <c r="O1" s="499"/>
      <c r="P1" s="499"/>
      <c r="Q1" s="500"/>
      <c r="R1" s="501"/>
      <c r="S1" s="502"/>
      <c r="T1" s="503"/>
      <c r="U1" s="503"/>
      <c r="V1" s="503"/>
      <c r="W1" s="504">
        <f>SUM(Inventory_List_Table3411151091113171814161920212223[TOTAL USD])</f>
        <v>0</v>
      </c>
      <c r="X1" s="505"/>
      <c r="Y1" s="505"/>
      <c r="Z1" s="505"/>
      <c r="AA1" s="506" t="str">
        <f>IF(G3&gt;0.1, AVERAGE(Inventory_List_Table3411151091113171814161920212223[NOTES]), " ")</f>
        <v xml:space="preserve"> </v>
      </c>
      <c r="AB1" s="501"/>
    </row>
    <row r="2" spans="1:30" s="39" customFormat="1" ht="39" x14ac:dyDescent="0.25">
      <c r="A2" s="486" t="s">
        <v>19</v>
      </c>
      <c r="B2" s="490" t="s">
        <v>56</v>
      </c>
      <c r="C2" s="490" t="s">
        <v>146</v>
      </c>
      <c r="D2" s="490" t="s">
        <v>145</v>
      </c>
      <c r="E2" s="490" t="s">
        <v>55</v>
      </c>
      <c r="F2" s="486" t="s">
        <v>20</v>
      </c>
      <c r="G2" s="486" t="s">
        <v>9</v>
      </c>
      <c r="H2" s="486" t="s">
        <v>10</v>
      </c>
      <c r="I2" s="486" t="s">
        <v>15</v>
      </c>
      <c r="J2" s="486" t="s">
        <v>11</v>
      </c>
      <c r="K2" s="486" t="s">
        <v>12</v>
      </c>
      <c r="L2" s="490" t="s">
        <v>25</v>
      </c>
      <c r="M2" s="507" t="s">
        <v>21</v>
      </c>
      <c r="N2" s="508" t="s">
        <v>13</v>
      </c>
      <c r="O2" s="508" t="s">
        <v>22</v>
      </c>
      <c r="P2" s="508" t="s">
        <v>23</v>
      </c>
      <c r="Q2" s="508" t="s">
        <v>24</v>
      </c>
      <c r="R2" s="509" t="s">
        <v>57</v>
      </c>
      <c r="S2" s="490" t="s">
        <v>58</v>
      </c>
      <c r="T2" s="509" t="s">
        <v>59</v>
      </c>
      <c r="U2" s="509" t="s">
        <v>60</v>
      </c>
      <c r="V2" s="509" t="s">
        <v>61</v>
      </c>
      <c r="W2" s="510" t="s">
        <v>14</v>
      </c>
      <c r="X2" s="510" t="s">
        <v>16</v>
      </c>
      <c r="Y2" s="510" t="s">
        <v>1</v>
      </c>
      <c r="Z2" s="489" t="s">
        <v>62</v>
      </c>
      <c r="AA2" s="494" t="s">
        <v>63</v>
      </c>
      <c r="AB2" s="489" t="s">
        <v>64</v>
      </c>
    </row>
    <row r="3" spans="1:30" s="29" customFormat="1" ht="23.25" x14ac:dyDescent="0.35">
      <c r="A3" s="487">
        <v>1</v>
      </c>
      <c r="B3" s="1"/>
      <c r="C3" s="491"/>
      <c r="D3" s="491"/>
      <c r="E3" s="491"/>
      <c r="F3" s="38" t="str">
        <f>IF(Inventory_List_Table3411151091113171814161920212223[[#This Row],[Q]]&lt;0.1, " ",A1&amp;$D$1&amp;Inventory_List_Table3411151091113171814161920212223[[#This Row],['#]]&amp;Inventory_List_Table3411151091113171814161920212223[[#This Row],[LC]])</f>
        <v xml:space="preserve"> </v>
      </c>
      <c r="G3" s="495"/>
      <c r="H3" s="495"/>
      <c r="I3" s="495"/>
      <c r="J3" s="495"/>
      <c r="K3" s="495"/>
      <c r="L3" s="496"/>
      <c r="M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" s="35" t="str">
        <f>IF(Inventory_List_Table3411151091113171814161920212223[[#This Row],[Q]]&lt;0.1, " ", Inventory_List_Table3411151091113171814161920212223[[#This Row],[KG]]*2.20462)</f>
        <v xml:space="preserve"> </v>
      </c>
      <c r="O3" s="35" t="str">
        <f>IF(Inventory_List_Table3411151091113171814161920212223[[#This Row],[Q]]&lt;0.1, " ",Inventory_List_Table3411151091113171814161920212223[[#This Row],[H CM]]/2.54)</f>
        <v xml:space="preserve"> </v>
      </c>
      <c r="P3" s="35" t="str">
        <f>IF(Inventory_List_Table3411151091113171814161920212223[[#This Row],[Q]]&lt;0.1, " ",Inventory_List_Table3411151091113171814161920212223[[#This Row],[W CM]]/2.54)</f>
        <v xml:space="preserve"> </v>
      </c>
      <c r="Q3" s="35" t="str">
        <f>IF(Inventory_List_Table3411151091113171814161920212223[[#This Row],[Q]]&lt;0.1, " ",Inventory_List_Table3411151091113171814161920212223[[#This Row],[D CM ]]/2.54)</f>
        <v xml:space="preserve"> </v>
      </c>
      <c r="R3" s="30" t="str">
        <f>IF(Inventory_List_Table3411151091113171814161920212223[[#This Row],[Q]]&lt;0.1, " ",Inventory_List_Table3411151091113171814161920212223[[#This Row],[PRICE]]/$L$1)</f>
        <v xml:space="preserve"> </v>
      </c>
      <c r="S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" s="30" t="str">
        <f>IF(Inventory_List_Table3411151091113171814161920212223[[#This Row],[Q]]&lt;0.1, " ",Inventory_List_Table3411151091113171814161920212223[[#This Row],[AQ RND USD]]*1.4)</f>
        <v xml:space="preserve"> </v>
      </c>
      <c r="U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" s="30" t="str">
        <f>IF(Inventory_List_Table3411151091113171814161920212223[[#This Row],[Q]]&lt;0.1, " ",Inventory_List_Table3411151091113171814161920212223[[#This Row],[LND RND USD]]*12)</f>
        <v xml:space="preserve"> </v>
      </c>
      <c r="W3" s="30" t="str">
        <f>IF(Inventory_List_Table3411151091113171814161920212223[[#This Row],[Q]]&lt;0.1, " ",Inventory_List_Table3411151091113171814161920212223[[#This Row],[AQ USD]])</f>
        <v xml:space="preserve"> </v>
      </c>
      <c r="X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" s="36" t="str">
        <f>IF(Inventory_List_Table3411151091113171814161920212223[[#This Row],[Q]]&lt;0.1, " ",Inventory_List_Table3411151091113171814161920212223[[#This Row],[PRICE]]/Z3*10000)</f>
        <v xml:space="preserve"> </v>
      </c>
      <c r="AB3" s="492"/>
      <c r="AC3" s="27"/>
      <c r="AD3" s="28"/>
    </row>
    <row r="4" spans="1:30" ht="21" x14ac:dyDescent="0.3">
      <c r="A4" s="487">
        <v>2</v>
      </c>
      <c r="B4" s="1"/>
      <c r="C4" s="491"/>
      <c r="D4" s="491"/>
      <c r="E4" s="491"/>
      <c r="F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" s="495"/>
      <c r="H4" s="495"/>
      <c r="I4" s="495"/>
      <c r="J4" s="495"/>
      <c r="K4" s="495"/>
      <c r="L4" s="497"/>
      <c r="M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" s="35" t="str">
        <f>IF(Inventory_List_Table3411151091113171814161920212223[[#This Row],[Q]]&lt;0.1, " ", Inventory_List_Table3411151091113171814161920212223[[#This Row],[KG]]*2.20462)</f>
        <v xml:space="preserve"> </v>
      </c>
      <c r="O4" s="35" t="str">
        <f>IF(Inventory_List_Table3411151091113171814161920212223[[#This Row],[Q]]&lt;0.1, " ",Inventory_List_Table3411151091113171814161920212223[[#This Row],[H CM]]/2.54)</f>
        <v xml:space="preserve"> </v>
      </c>
      <c r="P4" s="35" t="str">
        <f>IF(Inventory_List_Table3411151091113171814161920212223[[#This Row],[Q]]&lt;0.1, " ",Inventory_List_Table3411151091113171814161920212223[[#This Row],[W CM]]/2.54)</f>
        <v xml:space="preserve"> </v>
      </c>
      <c r="Q4" s="35" t="str">
        <f>IF(Inventory_List_Table3411151091113171814161920212223[[#This Row],[Q]]&lt;0.1, " ",Inventory_List_Table3411151091113171814161920212223[[#This Row],[D CM ]]/2.54)</f>
        <v xml:space="preserve"> </v>
      </c>
      <c r="R4" s="30" t="str">
        <f>IF(Inventory_List_Table3411151091113171814161920212223[[#This Row],[Q]]&lt;0.1, " ",Inventory_List_Table3411151091113171814161920212223[[#This Row],[PRICE]]/$L$1)</f>
        <v xml:space="preserve"> </v>
      </c>
      <c r="S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" s="30" t="str">
        <f>IF(Inventory_List_Table3411151091113171814161920212223[[#This Row],[Q]]&lt;0.1, " ",Inventory_List_Table3411151091113171814161920212223[[#This Row],[AQ RND USD]]*1.4)</f>
        <v xml:space="preserve"> </v>
      </c>
      <c r="U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" s="30" t="str">
        <f>IF(Inventory_List_Table3411151091113171814161920212223[[#This Row],[Q]]&lt;0.1, " ",Inventory_List_Table3411151091113171814161920212223[[#This Row],[LND RND USD]]*12)</f>
        <v xml:space="preserve"> </v>
      </c>
      <c r="W4" s="30" t="str">
        <f>IF(Inventory_List_Table3411151091113171814161920212223[[#This Row],[Q]]&lt;0.1, " ",Inventory_List_Table3411151091113171814161920212223[[#This Row],[AQ USD]])</f>
        <v xml:space="preserve"> </v>
      </c>
      <c r="X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" s="30" t="str">
        <f>IF(Inventory_List_Table3411151091113171814161920212223[[#This Row],[Q]]&lt;0.1, " ",Inventory_List_Table3411151091113171814161920212223[[#This Row],[PRICE]]/Z4*10000)</f>
        <v xml:space="preserve"> </v>
      </c>
      <c r="AB4" s="511"/>
      <c r="AC4" s="1"/>
      <c r="AD4" s="1"/>
    </row>
    <row r="5" spans="1:30" ht="24" customHeight="1" x14ac:dyDescent="0.3">
      <c r="A5" s="487">
        <v>3</v>
      </c>
      <c r="B5" s="1"/>
      <c r="C5" s="491"/>
      <c r="D5" s="491"/>
      <c r="E5" s="491"/>
      <c r="F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" s="495"/>
      <c r="H5" s="495"/>
      <c r="I5" s="495"/>
      <c r="J5" s="495"/>
      <c r="K5" s="495"/>
      <c r="L5" s="497"/>
      <c r="M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" s="35" t="str">
        <f>IF(Inventory_List_Table3411151091113171814161920212223[[#This Row],[Q]]&lt;0.1, " ", Inventory_List_Table3411151091113171814161920212223[[#This Row],[KG]]*2.20462)</f>
        <v xml:space="preserve"> </v>
      </c>
      <c r="O5" s="35" t="str">
        <f>IF(Inventory_List_Table3411151091113171814161920212223[[#This Row],[Q]]&lt;0.1, " ",Inventory_List_Table3411151091113171814161920212223[[#This Row],[H CM]]/2.54)</f>
        <v xml:space="preserve"> </v>
      </c>
      <c r="P5" s="35" t="str">
        <f>IF(Inventory_List_Table3411151091113171814161920212223[[#This Row],[Q]]&lt;0.1, " ",Inventory_List_Table3411151091113171814161920212223[[#This Row],[W CM]]/2.54)</f>
        <v xml:space="preserve"> </v>
      </c>
      <c r="Q5" s="35" t="str">
        <f>IF(Inventory_List_Table3411151091113171814161920212223[[#This Row],[Q]]&lt;0.1, " ",Inventory_List_Table3411151091113171814161920212223[[#This Row],[D CM ]]/2.54)</f>
        <v xml:space="preserve"> </v>
      </c>
      <c r="R5" s="30" t="str">
        <f>IF(Inventory_List_Table3411151091113171814161920212223[[#This Row],[Q]]&lt;0.1, " ",Inventory_List_Table3411151091113171814161920212223[[#This Row],[PRICE]]/$L$1)</f>
        <v xml:space="preserve"> </v>
      </c>
      <c r="S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" s="30" t="str">
        <f>IF(Inventory_List_Table3411151091113171814161920212223[[#This Row],[Q]]&lt;0.1, " ",Inventory_List_Table3411151091113171814161920212223[[#This Row],[AQ RND USD]]*1.4)</f>
        <v xml:space="preserve"> </v>
      </c>
      <c r="U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" s="30" t="str">
        <f>IF(Inventory_List_Table3411151091113171814161920212223[[#This Row],[Q]]&lt;0.1, " ",Inventory_List_Table3411151091113171814161920212223[[#This Row],[LND RND USD]]*12)</f>
        <v xml:space="preserve"> </v>
      </c>
      <c r="W5" s="30" t="str">
        <f>IF(Inventory_List_Table3411151091113171814161920212223[[#This Row],[Q]]&lt;0.1, " ",Inventory_List_Table3411151091113171814161920212223[[#This Row],[AQ USD]])</f>
        <v xml:space="preserve"> </v>
      </c>
      <c r="X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" s="30" t="str">
        <f>IF(Inventory_List_Table3411151091113171814161920212223[[#This Row],[Q]]&lt;0.1, " ",Inventory_List_Table3411151091113171814161920212223[[#This Row],[PRICE]]/Z5*10000)</f>
        <v xml:space="preserve"> </v>
      </c>
      <c r="AB5" s="511"/>
      <c r="AC5" s="1"/>
      <c r="AD5" s="1"/>
    </row>
    <row r="6" spans="1:30" ht="24" customHeight="1" x14ac:dyDescent="0.3">
      <c r="A6" s="487">
        <v>4</v>
      </c>
      <c r="B6" s="1"/>
      <c r="C6" s="491"/>
      <c r="D6" s="491"/>
      <c r="E6" s="491"/>
      <c r="F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" s="495"/>
      <c r="H6" s="495"/>
      <c r="I6" s="495"/>
      <c r="J6" s="495"/>
      <c r="K6" s="495"/>
      <c r="L6" s="497"/>
      <c r="M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" s="35" t="str">
        <f>IF(Inventory_List_Table3411151091113171814161920212223[[#This Row],[Q]]&lt;0.1, " ", Inventory_List_Table3411151091113171814161920212223[[#This Row],[KG]]*2.20462)</f>
        <v xml:space="preserve"> </v>
      </c>
      <c r="O6" s="35" t="str">
        <f>IF(Inventory_List_Table3411151091113171814161920212223[[#This Row],[Q]]&lt;0.1, " ",Inventory_List_Table3411151091113171814161920212223[[#This Row],[H CM]]/2.54)</f>
        <v xml:space="preserve"> </v>
      </c>
      <c r="P6" s="35" t="str">
        <f>IF(Inventory_List_Table3411151091113171814161920212223[[#This Row],[Q]]&lt;0.1, " ",Inventory_List_Table3411151091113171814161920212223[[#This Row],[W CM]]/2.54)</f>
        <v xml:space="preserve"> </v>
      </c>
      <c r="Q6" s="35" t="str">
        <f>IF(Inventory_List_Table3411151091113171814161920212223[[#This Row],[Q]]&lt;0.1, " ",Inventory_List_Table3411151091113171814161920212223[[#This Row],[D CM ]]/2.54)</f>
        <v xml:space="preserve"> </v>
      </c>
      <c r="R6" s="30" t="str">
        <f>IF(Inventory_List_Table3411151091113171814161920212223[[#This Row],[Q]]&lt;0.1, " ",Inventory_List_Table3411151091113171814161920212223[[#This Row],[PRICE]]/$L$1)</f>
        <v xml:space="preserve"> </v>
      </c>
      <c r="S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" s="30" t="str">
        <f>IF(Inventory_List_Table3411151091113171814161920212223[[#This Row],[Q]]&lt;0.1, " ",Inventory_List_Table3411151091113171814161920212223[[#This Row],[AQ RND USD]]*1.4)</f>
        <v xml:space="preserve"> </v>
      </c>
      <c r="U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" s="30" t="str">
        <f>IF(Inventory_List_Table3411151091113171814161920212223[[#This Row],[Q]]&lt;0.1, " ",Inventory_List_Table3411151091113171814161920212223[[#This Row],[LND RND USD]]*12)</f>
        <v xml:space="preserve"> </v>
      </c>
      <c r="W6" s="30" t="str">
        <f>IF(Inventory_List_Table3411151091113171814161920212223[[#This Row],[Q]]&lt;0.1, " ",Inventory_List_Table3411151091113171814161920212223[[#This Row],[AQ USD]])</f>
        <v xml:space="preserve"> </v>
      </c>
      <c r="X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" s="30" t="str">
        <f>IF(Inventory_List_Table3411151091113171814161920212223[[#This Row],[Q]]&lt;0.1, " ",Inventory_List_Table3411151091113171814161920212223[[#This Row],[PRICE]]/Z6*10000)</f>
        <v xml:space="preserve"> </v>
      </c>
      <c r="AB6" s="511"/>
      <c r="AC6" s="1"/>
      <c r="AD6" s="1"/>
    </row>
    <row r="7" spans="1:30" ht="24" customHeight="1" x14ac:dyDescent="0.3">
      <c r="A7" s="487">
        <v>5</v>
      </c>
      <c r="B7" s="1"/>
      <c r="C7" s="491"/>
      <c r="D7" s="491"/>
      <c r="E7" s="491"/>
      <c r="F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" s="495"/>
      <c r="H7" s="495"/>
      <c r="I7" s="495"/>
      <c r="J7" s="495"/>
      <c r="K7" s="495"/>
      <c r="L7" s="497"/>
      <c r="M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" s="35" t="str">
        <f>IF(Inventory_List_Table3411151091113171814161920212223[[#This Row],[Q]]&lt;0.1, " ", Inventory_List_Table3411151091113171814161920212223[[#This Row],[KG]]*2.20462)</f>
        <v xml:space="preserve"> </v>
      </c>
      <c r="O7" s="35" t="str">
        <f>IF(Inventory_List_Table3411151091113171814161920212223[[#This Row],[Q]]&lt;0.1, " ",Inventory_List_Table3411151091113171814161920212223[[#This Row],[H CM]]/2.54)</f>
        <v xml:space="preserve"> </v>
      </c>
      <c r="P7" s="35" t="str">
        <f>IF(Inventory_List_Table3411151091113171814161920212223[[#This Row],[Q]]&lt;0.1, " ",Inventory_List_Table3411151091113171814161920212223[[#This Row],[W CM]]/2.54)</f>
        <v xml:space="preserve"> </v>
      </c>
      <c r="Q7" s="35" t="str">
        <f>IF(Inventory_List_Table3411151091113171814161920212223[[#This Row],[Q]]&lt;0.1, " ",Inventory_List_Table3411151091113171814161920212223[[#This Row],[D CM ]]/2.54)</f>
        <v xml:space="preserve"> </v>
      </c>
      <c r="R7" s="30" t="str">
        <f>IF(Inventory_List_Table3411151091113171814161920212223[[#This Row],[Q]]&lt;0.1, " ",Inventory_List_Table3411151091113171814161920212223[[#This Row],[PRICE]]/$L$1)</f>
        <v xml:space="preserve"> </v>
      </c>
      <c r="S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" s="30" t="str">
        <f>IF(Inventory_List_Table3411151091113171814161920212223[[#This Row],[Q]]&lt;0.1, " ",Inventory_List_Table3411151091113171814161920212223[[#This Row],[AQ RND USD]]*1.4)</f>
        <v xml:space="preserve"> </v>
      </c>
      <c r="U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" s="30" t="str">
        <f>IF(Inventory_List_Table3411151091113171814161920212223[[#This Row],[Q]]&lt;0.1, " ",Inventory_List_Table3411151091113171814161920212223[[#This Row],[LND RND USD]]*12)</f>
        <v xml:space="preserve"> </v>
      </c>
      <c r="W7" s="30" t="str">
        <f>IF(Inventory_List_Table3411151091113171814161920212223[[#This Row],[Q]]&lt;0.1, " ",Inventory_List_Table3411151091113171814161920212223[[#This Row],[AQ USD]])</f>
        <v xml:space="preserve"> </v>
      </c>
      <c r="X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" s="30" t="str">
        <f>IF(Inventory_List_Table3411151091113171814161920212223[[#This Row],[Q]]&lt;0.1, " ",Inventory_List_Table3411151091113171814161920212223[[#This Row],[PRICE]]/Z7*10000)</f>
        <v xml:space="preserve"> </v>
      </c>
      <c r="AB7" s="511"/>
      <c r="AC7" s="1"/>
      <c r="AD7" s="1"/>
    </row>
    <row r="8" spans="1:30" ht="24" customHeight="1" x14ac:dyDescent="0.3">
      <c r="A8" s="487">
        <v>6</v>
      </c>
      <c r="B8" s="1"/>
      <c r="C8" s="491"/>
      <c r="D8" s="491"/>
      <c r="E8" s="491"/>
      <c r="F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" s="495"/>
      <c r="H8" s="495"/>
      <c r="I8" s="495"/>
      <c r="J8" s="495"/>
      <c r="K8" s="495"/>
      <c r="L8" s="497"/>
      <c r="M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" s="35" t="str">
        <f>IF(Inventory_List_Table3411151091113171814161920212223[[#This Row],[Q]]&lt;0.1, " ", Inventory_List_Table3411151091113171814161920212223[[#This Row],[KG]]*2.20462)</f>
        <v xml:space="preserve"> </v>
      </c>
      <c r="O8" s="35" t="str">
        <f>IF(Inventory_List_Table3411151091113171814161920212223[[#This Row],[Q]]&lt;0.1, " ",Inventory_List_Table3411151091113171814161920212223[[#This Row],[H CM]]/2.54)</f>
        <v xml:space="preserve"> </v>
      </c>
      <c r="P8" s="35" t="str">
        <f>IF(Inventory_List_Table3411151091113171814161920212223[[#This Row],[Q]]&lt;0.1, " ",Inventory_List_Table3411151091113171814161920212223[[#This Row],[W CM]]/2.54)</f>
        <v xml:space="preserve"> </v>
      </c>
      <c r="Q8" s="35" t="str">
        <f>IF(Inventory_List_Table3411151091113171814161920212223[[#This Row],[Q]]&lt;0.1, " ",Inventory_List_Table3411151091113171814161920212223[[#This Row],[D CM ]]/2.54)</f>
        <v xml:space="preserve"> </v>
      </c>
      <c r="R8" s="30" t="str">
        <f>IF(Inventory_List_Table3411151091113171814161920212223[[#This Row],[Q]]&lt;0.1, " ",Inventory_List_Table3411151091113171814161920212223[[#This Row],[PRICE]]/$L$1)</f>
        <v xml:space="preserve"> </v>
      </c>
      <c r="S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" s="30" t="str">
        <f>IF(Inventory_List_Table3411151091113171814161920212223[[#This Row],[Q]]&lt;0.1, " ",Inventory_List_Table3411151091113171814161920212223[[#This Row],[AQ RND USD]]*1.4)</f>
        <v xml:space="preserve"> </v>
      </c>
      <c r="U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" s="30" t="str">
        <f>IF(Inventory_List_Table3411151091113171814161920212223[[#This Row],[Q]]&lt;0.1, " ",Inventory_List_Table3411151091113171814161920212223[[#This Row],[LND RND USD]]*12)</f>
        <v xml:space="preserve"> </v>
      </c>
      <c r="W8" s="30" t="str">
        <f>IF(Inventory_List_Table3411151091113171814161920212223[[#This Row],[Q]]&lt;0.1, " ",Inventory_List_Table3411151091113171814161920212223[[#This Row],[AQ USD]])</f>
        <v xml:space="preserve"> </v>
      </c>
      <c r="X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" s="30" t="str">
        <f>IF(Inventory_List_Table3411151091113171814161920212223[[#This Row],[Q]]&lt;0.1, " ",Inventory_List_Table3411151091113171814161920212223[[#This Row],[PRICE]]/Z8*10000)</f>
        <v xml:space="preserve"> </v>
      </c>
      <c r="AB8" s="511"/>
      <c r="AC8" s="1"/>
      <c r="AD8" s="1"/>
    </row>
    <row r="9" spans="1:30" ht="24" customHeight="1" x14ac:dyDescent="0.3">
      <c r="A9" s="487">
        <v>7</v>
      </c>
      <c r="B9" s="1"/>
      <c r="C9" s="491"/>
      <c r="D9" s="491"/>
      <c r="E9" s="491"/>
      <c r="F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" s="495"/>
      <c r="H9" s="495"/>
      <c r="I9" s="495"/>
      <c r="J9" s="495"/>
      <c r="K9" s="495"/>
      <c r="L9" s="497"/>
      <c r="M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" s="35" t="str">
        <f>IF(Inventory_List_Table3411151091113171814161920212223[[#This Row],[Q]]&lt;0.1, " ", Inventory_List_Table3411151091113171814161920212223[[#This Row],[KG]]*2.20462)</f>
        <v xml:space="preserve"> </v>
      </c>
      <c r="O9" s="35" t="str">
        <f>IF(Inventory_List_Table3411151091113171814161920212223[[#This Row],[Q]]&lt;0.1, " ",Inventory_List_Table3411151091113171814161920212223[[#This Row],[H CM]]/2.54)</f>
        <v xml:space="preserve"> </v>
      </c>
      <c r="P9" s="35" t="str">
        <f>IF(Inventory_List_Table3411151091113171814161920212223[[#This Row],[Q]]&lt;0.1, " ",Inventory_List_Table3411151091113171814161920212223[[#This Row],[W CM]]/2.54)</f>
        <v xml:space="preserve"> </v>
      </c>
      <c r="Q9" s="35" t="str">
        <f>IF(Inventory_List_Table3411151091113171814161920212223[[#This Row],[Q]]&lt;0.1, " ",Inventory_List_Table3411151091113171814161920212223[[#This Row],[D CM ]]/2.54)</f>
        <v xml:space="preserve"> </v>
      </c>
      <c r="R9" s="30" t="str">
        <f>IF(Inventory_List_Table3411151091113171814161920212223[[#This Row],[Q]]&lt;0.1, " ",Inventory_List_Table3411151091113171814161920212223[[#This Row],[PRICE]]/$L$1)</f>
        <v xml:space="preserve"> </v>
      </c>
      <c r="S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" s="30" t="str">
        <f>IF(Inventory_List_Table3411151091113171814161920212223[[#This Row],[Q]]&lt;0.1, " ",Inventory_List_Table3411151091113171814161920212223[[#This Row],[AQ RND USD]]*1.4)</f>
        <v xml:space="preserve"> </v>
      </c>
      <c r="U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" s="30" t="str">
        <f>IF(Inventory_List_Table3411151091113171814161920212223[[#This Row],[Q]]&lt;0.1, " ",Inventory_List_Table3411151091113171814161920212223[[#This Row],[LND RND USD]]*12)</f>
        <v xml:space="preserve"> </v>
      </c>
      <c r="W9" s="30" t="str">
        <f>IF(Inventory_List_Table3411151091113171814161920212223[[#This Row],[Q]]&lt;0.1, " ",Inventory_List_Table3411151091113171814161920212223[[#This Row],[AQ USD]])</f>
        <v xml:space="preserve"> </v>
      </c>
      <c r="X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" s="30" t="str">
        <f>IF(Inventory_List_Table3411151091113171814161920212223[[#This Row],[Q]]&lt;0.1, " ",Inventory_List_Table3411151091113171814161920212223[[#This Row],[PRICE]]/Z9*10000)</f>
        <v xml:space="preserve"> </v>
      </c>
      <c r="AB9" s="511"/>
      <c r="AC9" s="1"/>
      <c r="AD9" s="1"/>
    </row>
    <row r="10" spans="1:30" ht="24" customHeight="1" x14ac:dyDescent="0.3">
      <c r="A10" s="487">
        <v>8</v>
      </c>
      <c r="B10" s="1"/>
      <c r="C10" s="491"/>
      <c r="D10" s="491"/>
      <c r="E10" s="491"/>
      <c r="F1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0" s="495"/>
      <c r="H10" s="495"/>
      <c r="I10" s="495"/>
      <c r="J10" s="495"/>
      <c r="K10" s="495"/>
      <c r="L10" s="497"/>
      <c r="M1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0" s="35" t="str">
        <f>IF(Inventory_List_Table3411151091113171814161920212223[[#This Row],[Q]]&lt;0.1, " ", Inventory_List_Table3411151091113171814161920212223[[#This Row],[KG]]*2.20462)</f>
        <v xml:space="preserve"> </v>
      </c>
      <c r="O10" s="35" t="str">
        <f>IF(Inventory_List_Table3411151091113171814161920212223[[#This Row],[Q]]&lt;0.1, " ",Inventory_List_Table3411151091113171814161920212223[[#This Row],[H CM]]/2.54)</f>
        <v xml:space="preserve"> </v>
      </c>
      <c r="P10" s="35" t="str">
        <f>IF(Inventory_List_Table3411151091113171814161920212223[[#This Row],[Q]]&lt;0.1, " ",Inventory_List_Table3411151091113171814161920212223[[#This Row],[W CM]]/2.54)</f>
        <v xml:space="preserve"> </v>
      </c>
      <c r="Q10" s="35" t="str">
        <f>IF(Inventory_List_Table3411151091113171814161920212223[[#This Row],[Q]]&lt;0.1, " ",Inventory_List_Table3411151091113171814161920212223[[#This Row],[D CM ]]/2.54)</f>
        <v xml:space="preserve"> </v>
      </c>
      <c r="R10" s="30" t="str">
        <f>IF(Inventory_List_Table3411151091113171814161920212223[[#This Row],[Q]]&lt;0.1, " ",Inventory_List_Table3411151091113171814161920212223[[#This Row],[PRICE]]/$L$1)</f>
        <v xml:space="preserve"> </v>
      </c>
      <c r="S1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0" s="30" t="str">
        <f>IF(Inventory_List_Table3411151091113171814161920212223[[#This Row],[Q]]&lt;0.1, " ",Inventory_List_Table3411151091113171814161920212223[[#This Row],[AQ RND USD]]*1.4)</f>
        <v xml:space="preserve"> </v>
      </c>
      <c r="U1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0" s="30" t="str">
        <f>IF(Inventory_List_Table3411151091113171814161920212223[[#This Row],[Q]]&lt;0.1, " ",Inventory_List_Table3411151091113171814161920212223[[#This Row],[LND RND USD]]*12)</f>
        <v xml:space="preserve"> </v>
      </c>
      <c r="W10" s="30" t="str">
        <f>IF(Inventory_List_Table3411151091113171814161920212223[[#This Row],[Q]]&lt;0.1, " ",Inventory_List_Table3411151091113171814161920212223[[#This Row],[AQ USD]])</f>
        <v xml:space="preserve"> </v>
      </c>
      <c r="X1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0" s="30" t="str">
        <f>IF(Inventory_List_Table3411151091113171814161920212223[[#This Row],[Q]]&lt;0.1, " ",Inventory_List_Table3411151091113171814161920212223[[#This Row],[PRICE]]/Z10*10000)</f>
        <v xml:space="preserve"> </v>
      </c>
      <c r="AB10" s="511"/>
      <c r="AC10" s="1"/>
      <c r="AD10" s="1"/>
    </row>
    <row r="11" spans="1:30" ht="24" customHeight="1" x14ac:dyDescent="0.3">
      <c r="A11" s="487">
        <v>9</v>
      </c>
      <c r="B11" s="1"/>
      <c r="C11" s="491"/>
      <c r="D11" s="491"/>
      <c r="E11" s="491"/>
      <c r="F1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1" s="495"/>
      <c r="H11" s="495"/>
      <c r="I11" s="495"/>
      <c r="J11" s="495"/>
      <c r="K11" s="495"/>
      <c r="L11" s="497"/>
      <c r="M1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1" s="35" t="str">
        <f>IF(Inventory_List_Table3411151091113171814161920212223[[#This Row],[Q]]&lt;0.1, " ", Inventory_List_Table3411151091113171814161920212223[[#This Row],[KG]]*2.20462)</f>
        <v xml:space="preserve"> </v>
      </c>
      <c r="O11" s="35" t="str">
        <f>IF(Inventory_List_Table3411151091113171814161920212223[[#This Row],[Q]]&lt;0.1, " ",Inventory_List_Table3411151091113171814161920212223[[#This Row],[H CM]]/2.54)</f>
        <v xml:space="preserve"> </v>
      </c>
      <c r="P11" s="35" t="str">
        <f>IF(Inventory_List_Table3411151091113171814161920212223[[#This Row],[Q]]&lt;0.1, " ",Inventory_List_Table3411151091113171814161920212223[[#This Row],[W CM]]/2.54)</f>
        <v xml:space="preserve"> </v>
      </c>
      <c r="Q11" s="35" t="str">
        <f>IF(Inventory_List_Table3411151091113171814161920212223[[#This Row],[Q]]&lt;0.1, " ",Inventory_List_Table3411151091113171814161920212223[[#This Row],[D CM ]]/2.54)</f>
        <v xml:space="preserve"> </v>
      </c>
      <c r="R11" s="30" t="str">
        <f>IF(Inventory_List_Table3411151091113171814161920212223[[#This Row],[Q]]&lt;0.1, " ",Inventory_List_Table3411151091113171814161920212223[[#This Row],[PRICE]]/$L$1)</f>
        <v xml:space="preserve"> </v>
      </c>
      <c r="S1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1" s="30" t="str">
        <f>IF(Inventory_List_Table3411151091113171814161920212223[[#This Row],[Q]]&lt;0.1, " ",Inventory_List_Table3411151091113171814161920212223[[#This Row],[AQ RND USD]]*1.4)</f>
        <v xml:space="preserve"> </v>
      </c>
      <c r="U1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1" s="30" t="str">
        <f>IF(Inventory_List_Table3411151091113171814161920212223[[#This Row],[Q]]&lt;0.1, " ",Inventory_List_Table3411151091113171814161920212223[[#This Row],[LND RND USD]]*12)</f>
        <v xml:space="preserve"> </v>
      </c>
      <c r="W11" s="30" t="str">
        <f>IF(Inventory_List_Table3411151091113171814161920212223[[#This Row],[Q]]&lt;0.1, " ",Inventory_List_Table3411151091113171814161920212223[[#This Row],[AQ USD]])</f>
        <v xml:space="preserve"> </v>
      </c>
      <c r="X1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1" s="30" t="str">
        <f>IF(Inventory_List_Table3411151091113171814161920212223[[#This Row],[Q]]&lt;0.1, " ",Inventory_List_Table3411151091113171814161920212223[[#This Row],[PRICE]]/Z11*10000)</f>
        <v xml:space="preserve"> </v>
      </c>
      <c r="AB11" s="511"/>
      <c r="AC11" s="1"/>
      <c r="AD11" s="1"/>
    </row>
    <row r="12" spans="1:30" ht="24" customHeight="1" x14ac:dyDescent="0.3">
      <c r="A12" s="487">
        <v>10</v>
      </c>
      <c r="B12" s="1"/>
      <c r="C12" s="491"/>
      <c r="D12" s="491"/>
      <c r="E12" s="491"/>
      <c r="F1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2" s="495"/>
      <c r="H12" s="495"/>
      <c r="I12" s="495"/>
      <c r="J12" s="495"/>
      <c r="K12" s="495"/>
      <c r="L12" s="497"/>
      <c r="M1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2" s="35" t="str">
        <f>IF(Inventory_List_Table3411151091113171814161920212223[[#This Row],[Q]]&lt;0.1, " ", Inventory_List_Table3411151091113171814161920212223[[#This Row],[KG]]*2.20462)</f>
        <v xml:space="preserve"> </v>
      </c>
      <c r="O12" s="35" t="str">
        <f>IF(Inventory_List_Table3411151091113171814161920212223[[#This Row],[Q]]&lt;0.1, " ",Inventory_List_Table3411151091113171814161920212223[[#This Row],[H CM]]/2.54)</f>
        <v xml:space="preserve"> </v>
      </c>
      <c r="P12" s="35" t="str">
        <f>IF(Inventory_List_Table3411151091113171814161920212223[[#This Row],[Q]]&lt;0.1, " ",Inventory_List_Table3411151091113171814161920212223[[#This Row],[W CM]]/2.54)</f>
        <v xml:space="preserve"> </v>
      </c>
      <c r="Q12" s="35" t="str">
        <f>IF(Inventory_List_Table3411151091113171814161920212223[[#This Row],[Q]]&lt;0.1, " ",Inventory_List_Table3411151091113171814161920212223[[#This Row],[D CM ]]/2.54)</f>
        <v xml:space="preserve"> </v>
      </c>
      <c r="R12" s="30" t="str">
        <f>IF(Inventory_List_Table3411151091113171814161920212223[[#This Row],[Q]]&lt;0.1, " ",Inventory_List_Table3411151091113171814161920212223[[#This Row],[PRICE]]/$L$1)</f>
        <v xml:space="preserve"> </v>
      </c>
      <c r="S1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2" s="30" t="str">
        <f>IF(Inventory_List_Table3411151091113171814161920212223[[#This Row],[Q]]&lt;0.1, " ",Inventory_List_Table3411151091113171814161920212223[[#This Row],[AQ RND USD]]*1.4)</f>
        <v xml:space="preserve"> </v>
      </c>
      <c r="U1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2" s="30" t="str">
        <f>IF(Inventory_List_Table3411151091113171814161920212223[[#This Row],[Q]]&lt;0.1, " ",Inventory_List_Table3411151091113171814161920212223[[#This Row],[LND RND USD]]*12)</f>
        <v xml:space="preserve"> </v>
      </c>
      <c r="W12" s="30" t="str">
        <f>IF(Inventory_List_Table3411151091113171814161920212223[[#This Row],[Q]]&lt;0.1, " ",Inventory_List_Table3411151091113171814161920212223[[#This Row],[AQ USD]])</f>
        <v xml:space="preserve"> </v>
      </c>
      <c r="X1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2" s="30" t="str">
        <f>IF(Inventory_List_Table3411151091113171814161920212223[[#This Row],[Q]]&lt;0.1, " ",Inventory_List_Table3411151091113171814161920212223[[#This Row],[PRICE]]/Z12*10000)</f>
        <v xml:space="preserve"> </v>
      </c>
      <c r="AB12" s="511"/>
      <c r="AC12" s="1"/>
      <c r="AD12" s="1"/>
    </row>
    <row r="13" spans="1:30" ht="24" customHeight="1" x14ac:dyDescent="0.3">
      <c r="A13" s="487">
        <v>11</v>
      </c>
      <c r="B13" s="1"/>
      <c r="C13" s="491"/>
      <c r="D13" s="491"/>
      <c r="E13" s="491"/>
      <c r="F1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3" s="495"/>
      <c r="H13" s="495"/>
      <c r="I13" s="495"/>
      <c r="J13" s="495"/>
      <c r="K13" s="495"/>
      <c r="L13" s="497"/>
      <c r="M1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3" s="35" t="str">
        <f>IF(Inventory_List_Table3411151091113171814161920212223[[#This Row],[Q]]&lt;0.1, " ", Inventory_List_Table3411151091113171814161920212223[[#This Row],[KG]]*2.20462)</f>
        <v xml:space="preserve"> </v>
      </c>
      <c r="O13" s="35" t="str">
        <f>IF(Inventory_List_Table3411151091113171814161920212223[[#This Row],[Q]]&lt;0.1, " ",Inventory_List_Table3411151091113171814161920212223[[#This Row],[H CM]]/2.54)</f>
        <v xml:space="preserve"> </v>
      </c>
      <c r="P13" s="35" t="str">
        <f>IF(Inventory_List_Table3411151091113171814161920212223[[#This Row],[Q]]&lt;0.1, " ",Inventory_List_Table3411151091113171814161920212223[[#This Row],[W CM]]/2.54)</f>
        <v xml:space="preserve"> </v>
      </c>
      <c r="Q13" s="35" t="str">
        <f>IF(Inventory_List_Table3411151091113171814161920212223[[#This Row],[Q]]&lt;0.1, " ",Inventory_List_Table3411151091113171814161920212223[[#This Row],[D CM ]]/2.54)</f>
        <v xml:space="preserve"> </v>
      </c>
      <c r="R13" s="30" t="str">
        <f>IF(Inventory_List_Table3411151091113171814161920212223[[#This Row],[Q]]&lt;0.1, " ",Inventory_List_Table3411151091113171814161920212223[[#This Row],[PRICE]]/$L$1)</f>
        <v xml:space="preserve"> </v>
      </c>
      <c r="S1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3" s="30" t="str">
        <f>IF(Inventory_List_Table3411151091113171814161920212223[[#This Row],[Q]]&lt;0.1, " ",Inventory_List_Table3411151091113171814161920212223[[#This Row],[AQ RND USD]]*1.4)</f>
        <v xml:space="preserve"> </v>
      </c>
      <c r="U1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3" s="30" t="str">
        <f>IF(Inventory_List_Table3411151091113171814161920212223[[#This Row],[Q]]&lt;0.1, " ",Inventory_List_Table3411151091113171814161920212223[[#This Row],[LND RND USD]]*12)</f>
        <v xml:space="preserve"> </v>
      </c>
      <c r="W13" s="30" t="str">
        <f>IF(Inventory_List_Table3411151091113171814161920212223[[#This Row],[Q]]&lt;0.1, " ",Inventory_List_Table3411151091113171814161920212223[[#This Row],[AQ USD]])</f>
        <v xml:space="preserve"> </v>
      </c>
      <c r="X1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3" s="30" t="str">
        <f>IF(Inventory_List_Table3411151091113171814161920212223[[#This Row],[Q]]&lt;0.1, " ",Inventory_List_Table3411151091113171814161920212223[[#This Row],[PRICE]]/Z13*10000)</f>
        <v xml:space="preserve"> </v>
      </c>
      <c r="AB13" s="511"/>
      <c r="AC13" s="1"/>
      <c r="AD13" s="1"/>
    </row>
    <row r="14" spans="1:30" ht="24" customHeight="1" x14ac:dyDescent="0.3">
      <c r="A14" s="487">
        <v>12</v>
      </c>
      <c r="B14" s="1"/>
      <c r="C14" s="491"/>
      <c r="D14" s="491"/>
      <c r="E14" s="491"/>
      <c r="F1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4" s="495"/>
      <c r="H14" s="495"/>
      <c r="I14" s="495"/>
      <c r="J14" s="495"/>
      <c r="K14" s="495"/>
      <c r="L14" s="497"/>
      <c r="M1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4" s="35" t="str">
        <f>IF(Inventory_List_Table3411151091113171814161920212223[[#This Row],[Q]]&lt;0.1, " ", Inventory_List_Table3411151091113171814161920212223[[#This Row],[KG]]*2.20462)</f>
        <v xml:space="preserve"> </v>
      </c>
      <c r="O14" s="35" t="str">
        <f>IF(Inventory_List_Table3411151091113171814161920212223[[#This Row],[Q]]&lt;0.1, " ",Inventory_List_Table3411151091113171814161920212223[[#This Row],[H CM]]/2.54)</f>
        <v xml:space="preserve"> </v>
      </c>
      <c r="P14" s="35" t="str">
        <f>IF(Inventory_List_Table3411151091113171814161920212223[[#This Row],[Q]]&lt;0.1, " ",Inventory_List_Table3411151091113171814161920212223[[#This Row],[W CM]]/2.54)</f>
        <v xml:space="preserve"> </v>
      </c>
      <c r="Q14" s="35" t="str">
        <f>IF(Inventory_List_Table3411151091113171814161920212223[[#This Row],[Q]]&lt;0.1, " ",Inventory_List_Table3411151091113171814161920212223[[#This Row],[D CM ]]/2.54)</f>
        <v xml:space="preserve"> </v>
      </c>
      <c r="R14" s="30" t="str">
        <f>IF(Inventory_List_Table3411151091113171814161920212223[[#This Row],[Q]]&lt;0.1, " ",Inventory_List_Table3411151091113171814161920212223[[#This Row],[PRICE]]/$L$1)</f>
        <v xml:space="preserve"> </v>
      </c>
      <c r="S1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4" s="30" t="str">
        <f>IF(Inventory_List_Table3411151091113171814161920212223[[#This Row],[Q]]&lt;0.1, " ",Inventory_List_Table3411151091113171814161920212223[[#This Row],[AQ RND USD]]*1.4)</f>
        <v xml:space="preserve"> </v>
      </c>
      <c r="U1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4" s="30" t="str">
        <f>IF(Inventory_List_Table3411151091113171814161920212223[[#This Row],[Q]]&lt;0.1, " ",Inventory_List_Table3411151091113171814161920212223[[#This Row],[LND RND USD]]*12)</f>
        <v xml:space="preserve"> </v>
      </c>
      <c r="W14" s="30" t="str">
        <f>IF(Inventory_List_Table3411151091113171814161920212223[[#This Row],[Q]]&lt;0.1, " ",Inventory_List_Table3411151091113171814161920212223[[#This Row],[AQ USD]])</f>
        <v xml:space="preserve"> </v>
      </c>
      <c r="X1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4" s="30" t="str">
        <f>IF(Inventory_List_Table3411151091113171814161920212223[[#This Row],[Q]]&lt;0.1, " ",Inventory_List_Table3411151091113171814161920212223[[#This Row],[PRICE]]/Z14*10000)</f>
        <v xml:space="preserve"> </v>
      </c>
      <c r="AB14" s="511"/>
      <c r="AC14" s="1"/>
      <c r="AD14" s="1"/>
    </row>
    <row r="15" spans="1:30" ht="24" customHeight="1" x14ac:dyDescent="0.3">
      <c r="A15" s="487">
        <v>13</v>
      </c>
      <c r="B15" s="1"/>
      <c r="C15" s="491"/>
      <c r="D15" s="491"/>
      <c r="E15" s="491"/>
      <c r="F1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5" s="495"/>
      <c r="H15" s="495"/>
      <c r="I15" s="495"/>
      <c r="J15" s="495"/>
      <c r="K15" s="495"/>
      <c r="L15" s="497"/>
      <c r="M1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5" s="35" t="str">
        <f>IF(Inventory_List_Table3411151091113171814161920212223[[#This Row],[Q]]&lt;0.1, " ", Inventory_List_Table3411151091113171814161920212223[[#This Row],[KG]]*2.20462)</f>
        <v xml:space="preserve"> </v>
      </c>
      <c r="O15" s="35" t="str">
        <f>IF(Inventory_List_Table3411151091113171814161920212223[[#This Row],[Q]]&lt;0.1, " ",Inventory_List_Table3411151091113171814161920212223[[#This Row],[H CM]]/2.54)</f>
        <v xml:space="preserve"> </v>
      </c>
      <c r="P15" s="35" t="str">
        <f>IF(Inventory_List_Table3411151091113171814161920212223[[#This Row],[Q]]&lt;0.1, " ",Inventory_List_Table3411151091113171814161920212223[[#This Row],[W CM]]/2.54)</f>
        <v xml:space="preserve"> </v>
      </c>
      <c r="Q15" s="35" t="str">
        <f>IF(Inventory_List_Table3411151091113171814161920212223[[#This Row],[Q]]&lt;0.1, " ",Inventory_List_Table3411151091113171814161920212223[[#This Row],[D CM ]]/2.54)</f>
        <v xml:space="preserve"> </v>
      </c>
      <c r="R15" s="30" t="str">
        <f>IF(Inventory_List_Table3411151091113171814161920212223[[#This Row],[Q]]&lt;0.1, " ",Inventory_List_Table3411151091113171814161920212223[[#This Row],[PRICE]]/$L$1)</f>
        <v xml:space="preserve"> </v>
      </c>
      <c r="S1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5" s="30" t="str">
        <f>IF(Inventory_List_Table3411151091113171814161920212223[[#This Row],[Q]]&lt;0.1, " ",Inventory_List_Table3411151091113171814161920212223[[#This Row],[AQ RND USD]]*1.4)</f>
        <v xml:space="preserve"> </v>
      </c>
      <c r="U1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5" s="30" t="str">
        <f>IF(Inventory_List_Table3411151091113171814161920212223[[#This Row],[Q]]&lt;0.1, " ",Inventory_List_Table3411151091113171814161920212223[[#This Row],[LND RND USD]]*12)</f>
        <v xml:space="preserve"> </v>
      </c>
      <c r="W15" s="30" t="str">
        <f>IF(Inventory_List_Table3411151091113171814161920212223[[#This Row],[Q]]&lt;0.1, " ",Inventory_List_Table3411151091113171814161920212223[[#This Row],[AQ USD]])</f>
        <v xml:space="preserve"> </v>
      </c>
      <c r="X1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5" s="30" t="str">
        <f>IF(Inventory_List_Table3411151091113171814161920212223[[#This Row],[Q]]&lt;0.1, " ",Inventory_List_Table3411151091113171814161920212223[[#This Row],[PRICE]]/Z15*10000)</f>
        <v xml:space="preserve"> </v>
      </c>
      <c r="AB15" s="511"/>
      <c r="AC15" s="1"/>
      <c r="AD15" s="1"/>
    </row>
    <row r="16" spans="1:30" ht="24" customHeight="1" x14ac:dyDescent="0.3">
      <c r="A16" s="487">
        <v>14</v>
      </c>
      <c r="B16" s="1"/>
      <c r="C16" s="491"/>
      <c r="D16" s="491"/>
      <c r="E16" s="491"/>
      <c r="F1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6" s="495"/>
      <c r="H16" s="495"/>
      <c r="I16" s="495"/>
      <c r="J16" s="495"/>
      <c r="K16" s="495"/>
      <c r="L16" s="497"/>
      <c r="M1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6" s="35" t="str">
        <f>IF(Inventory_List_Table3411151091113171814161920212223[[#This Row],[Q]]&lt;0.1, " ", Inventory_List_Table3411151091113171814161920212223[[#This Row],[KG]]*2.20462)</f>
        <v xml:space="preserve"> </v>
      </c>
      <c r="O16" s="35" t="str">
        <f>IF(Inventory_List_Table3411151091113171814161920212223[[#This Row],[Q]]&lt;0.1, " ",Inventory_List_Table3411151091113171814161920212223[[#This Row],[H CM]]/2.54)</f>
        <v xml:space="preserve"> </v>
      </c>
      <c r="P16" s="35" t="str">
        <f>IF(Inventory_List_Table3411151091113171814161920212223[[#This Row],[Q]]&lt;0.1, " ",Inventory_List_Table3411151091113171814161920212223[[#This Row],[W CM]]/2.54)</f>
        <v xml:space="preserve"> </v>
      </c>
      <c r="Q16" s="35" t="str">
        <f>IF(Inventory_List_Table3411151091113171814161920212223[[#This Row],[Q]]&lt;0.1, " ",Inventory_List_Table3411151091113171814161920212223[[#This Row],[D CM ]]/2.54)</f>
        <v xml:space="preserve"> </v>
      </c>
      <c r="R16" s="30" t="str">
        <f>IF(Inventory_List_Table3411151091113171814161920212223[[#This Row],[Q]]&lt;0.1, " ",Inventory_List_Table3411151091113171814161920212223[[#This Row],[PRICE]]/$L$1)</f>
        <v xml:space="preserve"> </v>
      </c>
      <c r="S1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6" s="30" t="str">
        <f>IF(Inventory_List_Table3411151091113171814161920212223[[#This Row],[Q]]&lt;0.1, " ",Inventory_List_Table3411151091113171814161920212223[[#This Row],[AQ RND USD]]*1.4)</f>
        <v xml:space="preserve"> </v>
      </c>
      <c r="U1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6" s="30" t="str">
        <f>IF(Inventory_List_Table3411151091113171814161920212223[[#This Row],[Q]]&lt;0.1, " ",Inventory_List_Table3411151091113171814161920212223[[#This Row],[LND RND USD]]*12)</f>
        <v xml:space="preserve"> </v>
      </c>
      <c r="W16" s="30" t="str">
        <f>IF(Inventory_List_Table3411151091113171814161920212223[[#This Row],[Q]]&lt;0.1, " ",Inventory_List_Table3411151091113171814161920212223[[#This Row],[AQ USD]])</f>
        <v xml:space="preserve"> </v>
      </c>
      <c r="X1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6" s="30" t="str">
        <f>IF(Inventory_List_Table3411151091113171814161920212223[[#This Row],[Q]]&lt;0.1, " ",Inventory_List_Table3411151091113171814161920212223[[#This Row],[PRICE]]/Z16*10000)</f>
        <v xml:space="preserve"> </v>
      </c>
      <c r="AB16" s="511"/>
      <c r="AC16" s="1"/>
      <c r="AD16" s="1"/>
    </row>
    <row r="17" spans="1:30" ht="24" customHeight="1" x14ac:dyDescent="0.3">
      <c r="A17" s="487">
        <v>15</v>
      </c>
      <c r="B17" s="1"/>
      <c r="C17" s="491"/>
      <c r="D17" s="491"/>
      <c r="E17" s="491"/>
      <c r="F1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7" s="495"/>
      <c r="H17" s="495"/>
      <c r="I17" s="495"/>
      <c r="J17" s="495"/>
      <c r="K17" s="495"/>
      <c r="L17" s="497"/>
      <c r="M1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7" s="35" t="str">
        <f>IF(Inventory_List_Table3411151091113171814161920212223[[#This Row],[Q]]&lt;0.1, " ", Inventory_List_Table3411151091113171814161920212223[[#This Row],[KG]]*2.20462)</f>
        <v xml:space="preserve"> </v>
      </c>
      <c r="O17" s="35" t="str">
        <f>IF(Inventory_List_Table3411151091113171814161920212223[[#This Row],[Q]]&lt;0.1, " ",Inventory_List_Table3411151091113171814161920212223[[#This Row],[H CM]]/2.54)</f>
        <v xml:space="preserve"> </v>
      </c>
      <c r="P17" s="35" t="str">
        <f>IF(Inventory_List_Table3411151091113171814161920212223[[#This Row],[Q]]&lt;0.1, " ",Inventory_List_Table3411151091113171814161920212223[[#This Row],[W CM]]/2.54)</f>
        <v xml:space="preserve"> </v>
      </c>
      <c r="Q17" s="35" t="str">
        <f>IF(Inventory_List_Table3411151091113171814161920212223[[#This Row],[Q]]&lt;0.1, " ",Inventory_List_Table3411151091113171814161920212223[[#This Row],[D CM ]]/2.54)</f>
        <v xml:space="preserve"> </v>
      </c>
      <c r="R17" s="30" t="str">
        <f>IF(Inventory_List_Table3411151091113171814161920212223[[#This Row],[Q]]&lt;0.1, " ",Inventory_List_Table3411151091113171814161920212223[[#This Row],[PRICE]]/$L$1)</f>
        <v xml:space="preserve"> </v>
      </c>
      <c r="S1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7" s="30" t="str">
        <f>IF(Inventory_List_Table3411151091113171814161920212223[[#This Row],[Q]]&lt;0.1, " ",Inventory_List_Table3411151091113171814161920212223[[#This Row],[AQ RND USD]]*1.4)</f>
        <v xml:space="preserve"> </v>
      </c>
      <c r="U1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7" s="30" t="str">
        <f>IF(Inventory_List_Table3411151091113171814161920212223[[#This Row],[Q]]&lt;0.1, " ",Inventory_List_Table3411151091113171814161920212223[[#This Row],[LND RND USD]]*12)</f>
        <v xml:space="preserve"> </v>
      </c>
      <c r="W17" s="30" t="str">
        <f>IF(Inventory_List_Table3411151091113171814161920212223[[#This Row],[Q]]&lt;0.1, " ",Inventory_List_Table3411151091113171814161920212223[[#This Row],[AQ USD]])</f>
        <v xml:space="preserve"> </v>
      </c>
      <c r="X1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7" s="30" t="str">
        <f>IF(Inventory_List_Table3411151091113171814161920212223[[#This Row],[Q]]&lt;0.1, " ",Inventory_List_Table3411151091113171814161920212223[[#This Row],[PRICE]]/Z17*10000)</f>
        <v xml:space="preserve"> </v>
      </c>
      <c r="AB17" s="511"/>
      <c r="AC17" s="1"/>
      <c r="AD17" s="1"/>
    </row>
    <row r="18" spans="1:30" ht="24" customHeight="1" x14ac:dyDescent="0.3">
      <c r="A18" s="487">
        <v>16</v>
      </c>
      <c r="B18" s="1"/>
      <c r="C18" s="491"/>
      <c r="D18" s="491"/>
      <c r="E18" s="491"/>
      <c r="F1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8" s="495"/>
      <c r="H18" s="495"/>
      <c r="I18" s="495"/>
      <c r="J18" s="495"/>
      <c r="K18" s="495"/>
      <c r="L18" s="497"/>
      <c r="M1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8" s="35" t="str">
        <f>IF(Inventory_List_Table3411151091113171814161920212223[[#This Row],[Q]]&lt;0.1, " ", Inventory_List_Table3411151091113171814161920212223[[#This Row],[KG]]*2.20462)</f>
        <v xml:space="preserve"> </v>
      </c>
      <c r="O18" s="35" t="str">
        <f>IF(Inventory_List_Table3411151091113171814161920212223[[#This Row],[Q]]&lt;0.1, " ",Inventory_List_Table3411151091113171814161920212223[[#This Row],[H CM]]/2.54)</f>
        <v xml:space="preserve"> </v>
      </c>
      <c r="P18" s="35" t="str">
        <f>IF(Inventory_List_Table3411151091113171814161920212223[[#This Row],[Q]]&lt;0.1, " ",Inventory_List_Table3411151091113171814161920212223[[#This Row],[W CM]]/2.54)</f>
        <v xml:space="preserve"> </v>
      </c>
      <c r="Q18" s="35" t="str">
        <f>IF(Inventory_List_Table3411151091113171814161920212223[[#This Row],[Q]]&lt;0.1, " ",Inventory_List_Table3411151091113171814161920212223[[#This Row],[D CM ]]/2.54)</f>
        <v xml:space="preserve"> </v>
      </c>
      <c r="R18" s="30" t="str">
        <f>IF(Inventory_List_Table3411151091113171814161920212223[[#This Row],[Q]]&lt;0.1, " ",Inventory_List_Table3411151091113171814161920212223[[#This Row],[PRICE]]/$L$1)</f>
        <v xml:space="preserve"> </v>
      </c>
      <c r="S1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8" s="30" t="str">
        <f>IF(Inventory_List_Table3411151091113171814161920212223[[#This Row],[Q]]&lt;0.1, " ",Inventory_List_Table3411151091113171814161920212223[[#This Row],[AQ RND USD]]*1.4)</f>
        <v xml:space="preserve"> </v>
      </c>
      <c r="U1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8" s="30" t="str">
        <f>IF(Inventory_List_Table3411151091113171814161920212223[[#This Row],[Q]]&lt;0.1, " ",Inventory_List_Table3411151091113171814161920212223[[#This Row],[LND RND USD]]*12)</f>
        <v xml:space="preserve"> </v>
      </c>
      <c r="W18" s="30" t="str">
        <f>IF(Inventory_List_Table3411151091113171814161920212223[[#This Row],[Q]]&lt;0.1, " ",Inventory_List_Table3411151091113171814161920212223[[#This Row],[AQ USD]])</f>
        <v xml:space="preserve"> </v>
      </c>
      <c r="X1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8" s="30" t="str">
        <f>IF(Inventory_List_Table3411151091113171814161920212223[[#This Row],[Q]]&lt;0.1, " ",Inventory_List_Table3411151091113171814161920212223[[#This Row],[PRICE]]/Z18*10000)</f>
        <v xml:space="preserve"> </v>
      </c>
      <c r="AB18" s="511"/>
      <c r="AC18" s="1"/>
      <c r="AD18" s="1"/>
    </row>
    <row r="19" spans="1:30" ht="24" customHeight="1" x14ac:dyDescent="0.3">
      <c r="A19" s="487">
        <v>17</v>
      </c>
      <c r="B19" s="1"/>
      <c r="C19" s="491"/>
      <c r="D19" s="491"/>
      <c r="E19" s="491"/>
      <c r="F1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9" s="495"/>
      <c r="H19" s="495"/>
      <c r="I19" s="495"/>
      <c r="J19" s="495"/>
      <c r="K19" s="495"/>
      <c r="L19" s="497"/>
      <c r="M1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9" s="35" t="str">
        <f>IF(Inventory_List_Table3411151091113171814161920212223[[#This Row],[Q]]&lt;0.1, " ", Inventory_List_Table3411151091113171814161920212223[[#This Row],[KG]]*2.20462)</f>
        <v xml:space="preserve"> </v>
      </c>
      <c r="O19" s="35" t="str">
        <f>IF(Inventory_List_Table3411151091113171814161920212223[[#This Row],[Q]]&lt;0.1, " ",Inventory_List_Table3411151091113171814161920212223[[#This Row],[H CM]]/2.54)</f>
        <v xml:space="preserve"> </v>
      </c>
      <c r="P19" s="35" t="str">
        <f>IF(Inventory_List_Table3411151091113171814161920212223[[#This Row],[Q]]&lt;0.1, " ",Inventory_List_Table3411151091113171814161920212223[[#This Row],[W CM]]/2.54)</f>
        <v xml:space="preserve"> </v>
      </c>
      <c r="Q19" s="35" t="str">
        <f>IF(Inventory_List_Table3411151091113171814161920212223[[#This Row],[Q]]&lt;0.1, " ",Inventory_List_Table3411151091113171814161920212223[[#This Row],[D CM ]]/2.54)</f>
        <v xml:space="preserve"> </v>
      </c>
      <c r="R19" s="30" t="str">
        <f>IF(Inventory_List_Table3411151091113171814161920212223[[#This Row],[Q]]&lt;0.1, " ",Inventory_List_Table3411151091113171814161920212223[[#This Row],[PRICE]]/$L$1)</f>
        <v xml:space="preserve"> </v>
      </c>
      <c r="S1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9" s="30" t="str">
        <f>IF(Inventory_List_Table3411151091113171814161920212223[[#This Row],[Q]]&lt;0.1, " ",Inventory_List_Table3411151091113171814161920212223[[#This Row],[AQ RND USD]]*1.4)</f>
        <v xml:space="preserve"> </v>
      </c>
      <c r="U1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9" s="30" t="str">
        <f>IF(Inventory_List_Table3411151091113171814161920212223[[#This Row],[Q]]&lt;0.1, " ",Inventory_List_Table3411151091113171814161920212223[[#This Row],[LND RND USD]]*12)</f>
        <v xml:space="preserve"> </v>
      </c>
      <c r="W19" s="30" t="str">
        <f>IF(Inventory_List_Table3411151091113171814161920212223[[#This Row],[Q]]&lt;0.1, " ",Inventory_List_Table3411151091113171814161920212223[[#This Row],[AQ USD]])</f>
        <v xml:space="preserve"> </v>
      </c>
      <c r="X1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9" s="30" t="str">
        <f>IF(Inventory_List_Table3411151091113171814161920212223[[#This Row],[Q]]&lt;0.1, " ",Inventory_List_Table3411151091113171814161920212223[[#This Row],[PRICE]]/Z19*10000)</f>
        <v xml:space="preserve"> </v>
      </c>
      <c r="AB19" s="511"/>
      <c r="AC19" s="1"/>
      <c r="AD19" s="1"/>
    </row>
    <row r="20" spans="1:30" ht="24" customHeight="1" x14ac:dyDescent="0.3">
      <c r="A20" s="487">
        <v>18</v>
      </c>
      <c r="B20" s="1"/>
      <c r="C20" s="491"/>
      <c r="D20" s="491"/>
      <c r="E20" s="491"/>
      <c r="F2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0" s="495"/>
      <c r="H20" s="495"/>
      <c r="I20" s="495"/>
      <c r="J20" s="495"/>
      <c r="K20" s="495"/>
      <c r="L20" s="497"/>
      <c r="M2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0" s="35" t="str">
        <f>IF(Inventory_List_Table3411151091113171814161920212223[[#This Row],[Q]]&lt;0.1, " ", Inventory_List_Table3411151091113171814161920212223[[#This Row],[KG]]*2.20462)</f>
        <v xml:space="preserve"> </v>
      </c>
      <c r="O20" s="35" t="str">
        <f>IF(Inventory_List_Table3411151091113171814161920212223[[#This Row],[Q]]&lt;0.1, " ",Inventory_List_Table3411151091113171814161920212223[[#This Row],[H CM]]/2.54)</f>
        <v xml:space="preserve"> </v>
      </c>
      <c r="P20" s="35" t="str">
        <f>IF(Inventory_List_Table3411151091113171814161920212223[[#This Row],[Q]]&lt;0.1, " ",Inventory_List_Table3411151091113171814161920212223[[#This Row],[W CM]]/2.54)</f>
        <v xml:space="preserve"> </v>
      </c>
      <c r="Q20" s="35" t="str">
        <f>IF(Inventory_List_Table3411151091113171814161920212223[[#This Row],[Q]]&lt;0.1, " ",Inventory_List_Table3411151091113171814161920212223[[#This Row],[D CM ]]/2.54)</f>
        <v xml:space="preserve"> </v>
      </c>
      <c r="R20" s="30" t="str">
        <f>IF(Inventory_List_Table3411151091113171814161920212223[[#This Row],[Q]]&lt;0.1, " ",Inventory_List_Table3411151091113171814161920212223[[#This Row],[PRICE]]/$L$1)</f>
        <v xml:space="preserve"> </v>
      </c>
      <c r="S2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0" s="30" t="str">
        <f>IF(Inventory_List_Table3411151091113171814161920212223[[#This Row],[Q]]&lt;0.1, " ",Inventory_List_Table3411151091113171814161920212223[[#This Row],[AQ RND USD]]*1.4)</f>
        <v xml:space="preserve"> </v>
      </c>
      <c r="U2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0" s="30" t="str">
        <f>IF(Inventory_List_Table3411151091113171814161920212223[[#This Row],[Q]]&lt;0.1, " ",Inventory_List_Table3411151091113171814161920212223[[#This Row],[LND RND USD]]*12)</f>
        <v xml:space="preserve"> </v>
      </c>
      <c r="W20" s="30" t="str">
        <f>IF(Inventory_List_Table3411151091113171814161920212223[[#This Row],[Q]]&lt;0.1, " ",Inventory_List_Table3411151091113171814161920212223[[#This Row],[AQ USD]])</f>
        <v xml:space="preserve"> </v>
      </c>
      <c r="X2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0" s="30" t="str">
        <f>IF(Inventory_List_Table3411151091113171814161920212223[[#This Row],[Q]]&lt;0.1, " ",Inventory_List_Table3411151091113171814161920212223[[#This Row],[PRICE]]/Z20*10000)</f>
        <v xml:space="preserve"> </v>
      </c>
      <c r="AB20" s="511"/>
      <c r="AC20" s="1"/>
      <c r="AD20" s="1"/>
    </row>
    <row r="21" spans="1:30" ht="24" customHeight="1" x14ac:dyDescent="0.3">
      <c r="A21" s="487">
        <v>19</v>
      </c>
      <c r="B21" s="1"/>
      <c r="C21" s="491"/>
      <c r="D21" s="491"/>
      <c r="E21" s="491"/>
      <c r="F2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1" s="495"/>
      <c r="H21" s="495"/>
      <c r="I21" s="495"/>
      <c r="J21" s="495"/>
      <c r="K21" s="495"/>
      <c r="L21" s="497"/>
      <c r="M2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1" s="35" t="str">
        <f>IF(Inventory_List_Table3411151091113171814161920212223[[#This Row],[Q]]&lt;0.1, " ", Inventory_List_Table3411151091113171814161920212223[[#This Row],[KG]]*2.20462)</f>
        <v xml:space="preserve"> </v>
      </c>
      <c r="O21" s="35" t="str">
        <f>IF(Inventory_List_Table3411151091113171814161920212223[[#This Row],[Q]]&lt;0.1, " ",Inventory_List_Table3411151091113171814161920212223[[#This Row],[H CM]]/2.54)</f>
        <v xml:space="preserve"> </v>
      </c>
      <c r="P21" s="35" t="str">
        <f>IF(Inventory_List_Table3411151091113171814161920212223[[#This Row],[Q]]&lt;0.1, " ",Inventory_List_Table3411151091113171814161920212223[[#This Row],[W CM]]/2.54)</f>
        <v xml:space="preserve"> </v>
      </c>
      <c r="Q21" s="35" t="str">
        <f>IF(Inventory_List_Table3411151091113171814161920212223[[#This Row],[Q]]&lt;0.1, " ",Inventory_List_Table3411151091113171814161920212223[[#This Row],[D CM ]]/2.54)</f>
        <v xml:space="preserve"> </v>
      </c>
      <c r="R21" s="30" t="str">
        <f>IF(Inventory_List_Table3411151091113171814161920212223[[#This Row],[Q]]&lt;0.1, " ",Inventory_List_Table3411151091113171814161920212223[[#This Row],[PRICE]]/$L$1)</f>
        <v xml:space="preserve"> </v>
      </c>
      <c r="S2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1" s="30" t="str">
        <f>IF(Inventory_List_Table3411151091113171814161920212223[[#This Row],[Q]]&lt;0.1, " ",Inventory_List_Table3411151091113171814161920212223[[#This Row],[AQ RND USD]]*1.4)</f>
        <v xml:space="preserve"> </v>
      </c>
      <c r="U2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1" s="30" t="str">
        <f>IF(Inventory_List_Table3411151091113171814161920212223[[#This Row],[Q]]&lt;0.1, " ",Inventory_List_Table3411151091113171814161920212223[[#This Row],[LND RND USD]]*12)</f>
        <v xml:space="preserve"> </v>
      </c>
      <c r="W21" s="30" t="str">
        <f>IF(Inventory_List_Table3411151091113171814161920212223[[#This Row],[Q]]&lt;0.1, " ",Inventory_List_Table3411151091113171814161920212223[[#This Row],[AQ USD]])</f>
        <v xml:space="preserve"> </v>
      </c>
      <c r="X2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1" s="30" t="str">
        <f>IF(Inventory_List_Table3411151091113171814161920212223[[#This Row],[Q]]&lt;0.1, " ",Inventory_List_Table3411151091113171814161920212223[[#This Row],[PRICE]]/Z21*10000)</f>
        <v xml:space="preserve"> </v>
      </c>
      <c r="AB21" s="511"/>
      <c r="AC21" s="1"/>
      <c r="AD21" s="1"/>
    </row>
    <row r="22" spans="1:30" ht="24" customHeight="1" x14ac:dyDescent="0.3">
      <c r="A22" s="487">
        <v>20</v>
      </c>
      <c r="B22" s="1"/>
      <c r="C22" s="491"/>
      <c r="D22" s="491"/>
      <c r="E22" s="491"/>
      <c r="F2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2" s="495"/>
      <c r="H22" s="495"/>
      <c r="I22" s="495"/>
      <c r="J22" s="495"/>
      <c r="K22" s="495"/>
      <c r="L22" s="497"/>
      <c r="M2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2" s="35" t="str">
        <f>IF(Inventory_List_Table3411151091113171814161920212223[[#This Row],[Q]]&lt;0.1, " ", Inventory_List_Table3411151091113171814161920212223[[#This Row],[KG]]*2.20462)</f>
        <v xml:space="preserve"> </v>
      </c>
      <c r="O22" s="35" t="str">
        <f>IF(Inventory_List_Table3411151091113171814161920212223[[#This Row],[Q]]&lt;0.1, " ",Inventory_List_Table3411151091113171814161920212223[[#This Row],[H CM]]/2.54)</f>
        <v xml:space="preserve"> </v>
      </c>
      <c r="P22" s="35" t="str">
        <f>IF(Inventory_List_Table3411151091113171814161920212223[[#This Row],[Q]]&lt;0.1, " ",Inventory_List_Table3411151091113171814161920212223[[#This Row],[W CM]]/2.54)</f>
        <v xml:space="preserve"> </v>
      </c>
      <c r="Q22" s="35" t="str">
        <f>IF(Inventory_List_Table3411151091113171814161920212223[[#This Row],[Q]]&lt;0.1, " ",Inventory_List_Table3411151091113171814161920212223[[#This Row],[D CM ]]/2.54)</f>
        <v xml:space="preserve"> </v>
      </c>
      <c r="R22" s="30" t="str">
        <f>IF(Inventory_List_Table3411151091113171814161920212223[[#This Row],[Q]]&lt;0.1, " ",Inventory_List_Table3411151091113171814161920212223[[#This Row],[PRICE]]/$L$1)</f>
        <v xml:space="preserve"> </v>
      </c>
      <c r="S2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2" s="30" t="str">
        <f>IF(Inventory_List_Table3411151091113171814161920212223[[#This Row],[Q]]&lt;0.1, " ",Inventory_List_Table3411151091113171814161920212223[[#This Row],[AQ RND USD]]*1.4)</f>
        <v xml:space="preserve"> </v>
      </c>
      <c r="U2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2" s="30" t="str">
        <f>IF(Inventory_List_Table3411151091113171814161920212223[[#This Row],[Q]]&lt;0.1, " ",Inventory_List_Table3411151091113171814161920212223[[#This Row],[LND RND USD]]*12)</f>
        <v xml:space="preserve"> </v>
      </c>
      <c r="W22" s="30" t="str">
        <f>IF(Inventory_List_Table3411151091113171814161920212223[[#This Row],[Q]]&lt;0.1, " ",Inventory_List_Table3411151091113171814161920212223[[#This Row],[AQ USD]])</f>
        <v xml:space="preserve"> </v>
      </c>
      <c r="X2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2" s="30" t="str">
        <f>IF(Inventory_List_Table3411151091113171814161920212223[[#This Row],[Q]]&lt;0.1, " ",Inventory_List_Table3411151091113171814161920212223[[#This Row],[PRICE]]/Z22*10000)</f>
        <v xml:space="preserve"> </v>
      </c>
      <c r="AB22" s="511"/>
      <c r="AC22" s="1"/>
      <c r="AD22" s="1"/>
    </row>
    <row r="23" spans="1:30" ht="24" customHeight="1" x14ac:dyDescent="0.3">
      <c r="A23" s="487">
        <v>21</v>
      </c>
      <c r="B23" s="1"/>
      <c r="C23" s="491"/>
      <c r="D23" s="491"/>
      <c r="E23" s="491"/>
      <c r="F2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3" s="495"/>
      <c r="H23" s="495"/>
      <c r="I23" s="495"/>
      <c r="J23" s="495"/>
      <c r="K23" s="495"/>
      <c r="L23" s="497"/>
      <c r="M2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3" s="35" t="str">
        <f>IF(Inventory_List_Table3411151091113171814161920212223[[#This Row],[Q]]&lt;0.1, " ", Inventory_List_Table3411151091113171814161920212223[[#This Row],[KG]]*2.20462)</f>
        <v xml:space="preserve"> </v>
      </c>
      <c r="O23" s="35" t="str">
        <f>IF(Inventory_List_Table3411151091113171814161920212223[[#This Row],[Q]]&lt;0.1, " ",Inventory_List_Table3411151091113171814161920212223[[#This Row],[H CM]]/2.54)</f>
        <v xml:space="preserve"> </v>
      </c>
      <c r="P23" s="35" t="str">
        <f>IF(Inventory_List_Table3411151091113171814161920212223[[#This Row],[Q]]&lt;0.1, " ",Inventory_List_Table3411151091113171814161920212223[[#This Row],[W CM]]/2.54)</f>
        <v xml:space="preserve"> </v>
      </c>
      <c r="Q23" s="35" t="str">
        <f>IF(Inventory_List_Table3411151091113171814161920212223[[#This Row],[Q]]&lt;0.1, " ",Inventory_List_Table3411151091113171814161920212223[[#This Row],[D CM ]]/2.54)</f>
        <v xml:space="preserve"> </v>
      </c>
      <c r="R23" s="30" t="str">
        <f>IF(Inventory_List_Table3411151091113171814161920212223[[#This Row],[Q]]&lt;0.1, " ",Inventory_List_Table3411151091113171814161920212223[[#This Row],[PRICE]]/$L$1)</f>
        <v xml:space="preserve"> </v>
      </c>
      <c r="S2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3" s="30" t="str">
        <f>IF(Inventory_List_Table3411151091113171814161920212223[[#This Row],[Q]]&lt;0.1, " ",Inventory_List_Table3411151091113171814161920212223[[#This Row],[AQ RND USD]]*1.4)</f>
        <v xml:space="preserve"> </v>
      </c>
      <c r="U2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3" s="30" t="str">
        <f>IF(Inventory_List_Table3411151091113171814161920212223[[#This Row],[Q]]&lt;0.1, " ",Inventory_List_Table3411151091113171814161920212223[[#This Row],[LND RND USD]]*12)</f>
        <v xml:space="preserve"> </v>
      </c>
      <c r="W23" s="30" t="str">
        <f>IF(Inventory_List_Table3411151091113171814161920212223[[#This Row],[Q]]&lt;0.1, " ",Inventory_List_Table3411151091113171814161920212223[[#This Row],[AQ USD]])</f>
        <v xml:space="preserve"> </v>
      </c>
      <c r="X2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3" s="30" t="str">
        <f>IF(Inventory_List_Table3411151091113171814161920212223[[#This Row],[Q]]&lt;0.1, " ",Inventory_List_Table3411151091113171814161920212223[[#This Row],[PRICE]]/Z23*10000)</f>
        <v xml:space="preserve"> </v>
      </c>
      <c r="AB23" s="511"/>
      <c r="AC23" s="1"/>
      <c r="AD23" s="1"/>
    </row>
    <row r="24" spans="1:30" ht="24" customHeight="1" x14ac:dyDescent="0.3">
      <c r="A24" s="487">
        <v>22</v>
      </c>
      <c r="B24" s="1"/>
      <c r="C24" s="491"/>
      <c r="D24" s="491"/>
      <c r="E24" s="491"/>
      <c r="F2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4" s="495"/>
      <c r="H24" s="495"/>
      <c r="I24" s="495"/>
      <c r="J24" s="495"/>
      <c r="K24" s="495"/>
      <c r="L24" s="497"/>
      <c r="M2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4" s="35" t="str">
        <f>IF(Inventory_List_Table3411151091113171814161920212223[[#This Row],[Q]]&lt;0.1, " ", Inventory_List_Table3411151091113171814161920212223[[#This Row],[KG]]*2.20462)</f>
        <v xml:space="preserve"> </v>
      </c>
      <c r="O24" s="35" t="str">
        <f>IF(Inventory_List_Table3411151091113171814161920212223[[#This Row],[Q]]&lt;0.1, " ",Inventory_List_Table3411151091113171814161920212223[[#This Row],[H CM]]/2.54)</f>
        <v xml:space="preserve"> </v>
      </c>
      <c r="P24" s="35" t="str">
        <f>IF(Inventory_List_Table3411151091113171814161920212223[[#This Row],[Q]]&lt;0.1, " ",Inventory_List_Table3411151091113171814161920212223[[#This Row],[W CM]]/2.54)</f>
        <v xml:space="preserve"> </v>
      </c>
      <c r="Q24" s="35" t="str">
        <f>IF(Inventory_List_Table3411151091113171814161920212223[[#This Row],[Q]]&lt;0.1, " ",Inventory_List_Table3411151091113171814161920212223[[#This Row],[D CM ]]/2.54)</f>
        <v xml:space="preserve"> </v>
      </c>
      <c r="R24" s="30" t="str">
        <f>IF(Inventory_List_Table3411151091113171814161920212223[[#This Row],[Q]]&lt;0.1, " ",Inventory_List_Table3411151091113171814161920212223[[#This Row],[PRICE]]/$L$1)</f>
        <v xml:space="preserve"> </v>
      </c>
      <c r="S2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4" s="30" t="str">
        <f>IF(Inventory_List_Table3411151091113171814161920212223[[#This Row],[Q]]&lt;0.1, " ",Inventory_List_Table3411151091113171814161920212223[[#This Row],[AQ RND USD]]*1.4)</f>
        <v xml:space="preserve"> </v>
      </c>
      <c r="U2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4" s="30" t="str">
        <f>IF(Inventory_List_Table3411151091113171814161920212223[[#This Row],[Q]]&lt;0.1, " ",Inventory_List_Table3411151091113171814161920212223[[#This Row],[LND RND USD]]*12)</f>
        <v xml:space="preserve"> </v>
      </c>
      <c r="W24" s="30" t="str">
        <f>IF(Inventory_List_Table3411151091113171814161920212223[[#This Row],[Q]]&lt;0.1, " ",Inventory_List_Table3411151091113171814161920212223[[#This Row],[AQ USD]])</f>
        <v xml:space="preserve"> </v>
      </c>
      <c r="X2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4" s="30" t="str">
        <f>IF(Inventory_List_Table3411151091113171814161920212223[[#This Row],[Q]]&lt;0.1, " ",Inventory_List_Table3411151091113171814161920212223[[#This Row],[PRICE]]/Z24*10000)</f>
        <v xml:space="preserve"> </v>
      </c>
      <c r="AB24" s="511"/>
      <c r="AC24" s="1"/>
      <c r="AD24" s="1"/>
    </row>
    <row r="25" spans="1:30" ht="24" customHeight="1" x14ac:dyDescent="0.3">
      <c r="A25" s="487">
        <v>23</v>
      </c>
      <c r="B25" s="1"/>
      <c r="C25" s="491"/>
      <c r="D25" s="491"/>
      <c r="E25" s="491"/>
      <c r="F2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5" s="495"/>
      <c r="H25" s="495"/>
      <c r="I25" s="495"/>
      <c r="J25" s="495"/>
      <c r="K25" s="495"/>
      <c r="L25" s="497"/>
      <c r="M2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5" s="35" t="str">
        <f>IF(Inventory_List_Table3411151091113171814161920212223[[#This Row],[Q]]&lt;0.1, " ", Inventory_List_Table3411151091113171814161920212223[[#This Row],[KG]]*2.20462)</f>
        <v xml:space="preserve"> </v>
      </c>
      <c r="O25" s="35" t="str">
        <f>IF(Inventory_List_Table3411151091113171814161920212223[[#This Row],[Q]]&lt;0.1, " ",Inventory_List_Table3411151091113171814161920212223[[#This Row],[H CM]]/2.54)</f>
        <v xml:space="preserve"> </v>
      </c>
      <c r="P25" s="35" t="str">
        <f>IF(Inventory_List_Table3411151091113171814161920212223[[#This Row],[Q]]&lt;0.1, " ",Inventory_List_Table3411151091113171814161920212223[[#This Row],[W CM]]/2.54)</f>
        <v xml:space="preserve"> </v>
      </c>
      <c r="Q25" s="35" t="str">
        <f>IF(Inventory_List_Table3411151091113171814161920212223[[#This Row],[Q]]&lt;0.1, " ",Inventory_List_Table3411151091113171814161920212223[[#This Row],[D CM ]]/2.54)</f>
        <v xml:space="preserve"> </v>
      </c>
      <c r="R25" s="30" t="str">
        <f>IF(Inventory_List_Table3411151091113171814161920212223[[#This Row],[Q]]&lt;0.1, " ",Inventory_List_Table3411151091113171814161920212223[[#This Row],[PRICE]]/$L$1)</f>
        <v xml:space="preserve"> </v>
      </c>
      <c r="S2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5" s="30" t="str">
        <f>IF(Inventory_List_Table3411151091113171814161920212223[[#This Row],[Q]]&lt;0.1, " ",Inventory_List_Table3411151091113171814161920212223[[#This Row],[AQ RND USD]]*1.4)</f>
        <v xml:space="preserve"> </v>
      </c>
      <c r="U2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5" s="30" t="str">
        <f>IF(Inventory_List_Table3411151091113171814161920212223[[#This Row],[Q]]&lt;0.1, " ",Inventory_List_Table3411151091113171814161920212223[[#This Row],[LND RND USD]]*12)</f>
        <v xml:space="preserve"> </v>
      </c>
      <c r="W25" s="30" t="str">
        <f>IF(Inventory_List_Table3411151091113171814161920212223[[#This Row],[Q]]&lt;0.1, " ",Inventory_List_Table3411151091113171814161920212223[[#This Row],[AQ USD]])</f>
        <v xml:space="preserve"> </v>
      </c>
      <c r="X2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5" s="30" t="str">
        <f>IF(Inventory_List_Table3411151091113171814161920212223[[#This Row],[Q]]&lt;0.1, " ",Inventory_List_Table3411151091113171814161920212223[[#This Row],[PRICE]]/Z25*10000)</f>
        <v xml:space="preserve"> </v>
      </c>
      <c r="AB25" s="511"/>
      <c r="AC25" s="1"/>
      <c r="AD25" s="1"/>
    </row>
    <row r="26" spans="1:30" ht="24" customHeight="1" x14ac:dyDescent="0.3">
      <c r="A26" s="487">
        <v>24</v>
      </c>
      <c r="B26" s="1"/>
      <c r="C26" s="491"/>
      <c r="D26" s="491"/>
      <c r="E26" s="491"/>
      <c r="F2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6" s="495"/>
      <c r="H26" s="495"/>
      <c r="I26" s="495"/>
      <c r="J26" s="495"/>
      <c r="K26" s="495"/>
      <c r="L26" s="497"/>
      <c r="M2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6" s="35" t="str">
        <f>IF(Inventory_List_Table3411151091113171814161920212223[[#This Row],[Q]]&lt;0.1, " ", Inventory_List_Table3411151091113171814161920212223[[#This Row],[KG]]*2.20462)</f>
        <v xml:space="preserve"> </v>
      </c>
      <c r="O26" s="35" t="str">
        <f>IF(Inventory_List_Table3411151091113171814161920212223[[#This Row],[Q]]&lt;0.1, " ",Inventory_List_Table3411151091113171814161920212223[[#This Row],[H CM]]/2.54)</f>
        <v xml:space="preserve"> </v>
      </c>
      <c r="P26" s="35" t="str">
        <f>IF(Inventory_List_Table3411151091113171814161920212223[[#This Row],[Q]]&lt;0.1, " ",Inventory_List_Table3411151091113171814161920212223[[#This Row],[W CM]]/2.54)</f>
        <v xml:space="preserve"> </v>
      </c>
      <c r="Q26" s="35" t="str">
        <f>IF(Inventory_List_Table3411151091113171814161920212223[[#This Row],[Q]]&lt;0.1, " ",Inventory_List_Table3411151091113171814161920212223[[#This Row],[D CM ]]/2.54)</f>
        <v xml:space="preserve"> </v>
      </c>
      <c r="R26" s="30" t="str">
        <f>IF(Inventory_List_Table3411151091113171814161920212223[[#This Row],[Q]]&lt;0.1, " ",Inventory_List_Table3411151091113171814161920212223[[#This Row],[PRICE]]/$L$1)</f>
        <v xml:space="preserve"> </v>
      </c>
      <c r="S2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6" s="30" t="str">
        <f>IF(Inventory_List_Table3411151091113171814161920212223[[#This Row],[Q]]&lt;0.1, " ",Inventory_List_Table3411151091113171814161920212223[[#This Row],[AQ RND USD]]*1.4)</f>
        <v xml:space="preserve"> </v>
      </c>
      <c r="U2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6" s="30" t="str">
        <f>IF(Inventory_List_Table3411151091113171814161920212223[[#This Row],[Q]]&lt;0.1, " ",Inventory_List_Table3411151091113171814161920212223[[#This Row],[LND RND USD]]*12)</f>
        <v xml:space="preserve"> </v>
      </c>
      <c r="W26" s="30" t="str">
        <f>IF(Inventory_List_Table3411151091113171814161920212223[[#This Row],[Q]]&lt;0.1, " ",Inventory_List_Table3411151091113171814161920212223[[#This Row],[AQ USD]])</f>
        <v xml:space="preserve"> </v>
      </c>
      <c r="X2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6" s="30" t="str">
        <f>IF(Inventory_List_Table3411151091113171814161920212223[[#This Row],[Q]]&lt;0.1, " ",Inventory_List_Table3411151091113171814161920212223[[#This Row],[PRICE]]/Z26*10000)</f>
        <v xml:space="preserve"> </v>
      </c>
      <c r="AB26" s="511"/>
      <c r="AC26" s="1"/>
      <c r="AD26" s="1"/>
    </row>
    <row r="27" spans="1:30" ht="24" customHeight="1" x14ac:dyDescent="0.3">
      <c r="A27" s="487">
        <v>25</v>
      </c>
      <c r="B27" s="1"/>
      <c r="C27" s="491"/>
      <c r="D27" s="491"/>
      <c r="E27" s="491"/>
      <c r="F2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7" s="495"/>
      <c r="H27" s="495"/>
      <c r="I27" s="495"/>
      <c r="J27" s="495"/>
      <c r="K27" s="495"/>
      <c r="L27" s="497"/>
      <c r="M2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7" s="35" t="str">
        <f>IF(Inventory_List_Table3411151091113171814161920212223[[#This Row],[Q]]&lt;0.1, " ", Inventory_List_Table3411151091113171814161920212223[[#This Row],[KG]]*2.20462)</f>
        <v xml:space="preserve"> </v>
      </c>
      <c r="O27" s="35" t="str">
        <f>IF(Inventory_List_Table3411151091113171814161920212223[[#This Row],[Q]]&lt;0.1, " ",Inventory_List_Table3411151091113171814161920212223[[#This Row],[H CM]]/2.54)</f>
        <v xml:space="preserve"> </v>
      </c>
      <c r="P27" s="35" t="str">
        <f>IF(Inventory_List_Table3411151091113171814161920212223[[#This Row],[Q]]&lt;0.1, " ",Inventory_List_Table3411151091113171814161920212223[[#This Row],[W CM]]/2.54)</f>
        <v xml:space="preserve"> </v>
      </c>
      <c r="Q27" s="35" t="str">
        <f>IF(Inventory_List_Table3411151091113171814161920212223[[#This Row],[Q]]&lt;0.1, " ",Inventory_List_Table3411151091113171814161920212223[[#This Row],[D CM ]]/2.54)</f>
        <v xml:space="preserve"> </v>
      </c>
      <c r="R27" s="30" t="str">
        <f>IF(Inventory_List_Table3411151091113171814161920212223[[#This Row],[Q]]&lt;0.1, " ",Inventory_List_Table3411151091113171814161920212223[[#This Row],[PRICE]]/$L$1)</f>
        <v xml:space="preserve"> </v>
      </c>
      <c r="S2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7" s="30" t="str">
        <f>IF(Inventory_List_Table3411151091113171814161920212223[[#This Row],[Q]]&lt;0.1, " ",Inventory_List_Table3411151091113171814161920212223[[#This Row],[AQ RND USD]]*1.4)</f>
        <v xml:space="preserve"> </v>
      </c>
      <c r="U2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7" s="30" t="str">
        <f>IF(Inventory_List_Table3411151091113171814161920212223[[#This Row],[Q]]&lt;0.1, " ",Inventory_List_Table3411151091113171814161920212223[[#This Row],[LND RND USD]]*12)</f>
        <v xml:space="preserve"> </v>
      </c>
      <c r="W27" s="30" t="str">
        <f>IF(Inventory_List_Table3411151091113171814161920212223[[#This Row],[Q]]&lt;0.1, " ",Inventory_List_Table3411151091113171814161920212223[[#This Row],[AQ USD]])</f>
        <v xml:space="preserve"> </v>
      </c>
      <c r="X2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7" s="30" t="str">
        <f>IF(Inventory_List_Table3411151091113171814161920212223[[#This Row],[Q]]&lt;0.1, " ",Inventory_List_Table3411151091113171814161920212223[[#This Row],[PRICE]]/Z27*10000)</f>
        <v xml:space="preserve"> </v>
      </c>
      <c r="AB27" s="511"/>
      <c r="AC27" s="1"/>
      <c r="AD27" s="1"/>
    </row>
    <row r="28" spans="1:30" ht="24" customHeight="1" x14ac:dyDescent="0.3">
      <c r="A28" s="487">
        <v>26</v>
      </c>
      <c r="B28" s="1"/>
      <c r="C28" s="491"/>
      <c r="D28" s="491"/>
      <c r="E28" s="491"/>
      <c r="F2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8" s="495"/>
      <c r="H28" s="495"/>
      <c r="I28" s="495"/>
      <c r="J28" s="495"/>
      <c r="K28" s="495"/>
      <c r="L28" s="497"/>
      <c r="M2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8" s="35" t="str">
        <f>IF(Inventory_List_Table3411151091113171814161920212223[[#This Row],[Q]]&lt;0.1, " ", Inventory_List_Table3411151091113171814161920212223[[#This Row],[KG]]*2.20462)</f>
        <v xml:space="preserve"> </v>
      </c>
      <c r="O28" s="35" t="str">
        <f>IF(Inventory_List_Table3411151091113171814161920212223[[#This Row],[Q]]&lt;0.1, " ",Inventory_List_Table3411151091113171814161920212223[[#This Row],[H CM]]/2.54)</f>
        <v xml:space="preserve"> </v>
      </c>
      <c r="P28" s="35" t="str">
        <f>IF(Inventory_List_Table3411151091113171814161920212223[[#This Row],[Q]]&lt;0.1, " ",Inventory_List_Table3411151091113171814161920212223[[#This Row],[W CM]]/2.54)</f>
        <v xml:space="preserve"> </v>
      </c>
      <c r="Q28" s="35" t="str">
        <f>IF(Inventory_List_Table3411151091113171814161920212223[[#This Row],[Q]]&lt;0.1, " ",Inventory_List_Table3411151091113171814161920212223[[#This Row],[D CM ]]/2.54)</f>
        <v xml:space="preserve"> </v>
      </c>
      <c r="R28" s="30" t="str">
        <f>IF(Inventory_List_Table3411151091113171814161920212223[[#This Row],[Q]]&lt;0.1, " ",Inventory_List_Table3411151091113171814161920212223[[#This Row],[PRICE]]/$L$1)</f>
        <v xml:space="preserve"> </v>
      </c>
      <c r="S2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8" s="30" t="str">
        <f>IF(Inventory_List_Table3411151091113171814161920212223[[#This Row],[Q]]&lt;0.1, " ",Inventory_List_Table3411151091113171814161920212223[[#This Row],[AQ RND USD]]*1.4)</f>
        <v xml:space="preserve"> </v>
      </c>
      <c r="U2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8" s="30" t="str">
        <f>IF(Inventory_List_Table3411151091113171814161920212223[[#This Row],[Q]]&lt;0.1, " ",Inventory_List_Table3411151091113171814161920212223[[#This Row],[LND RND USD]]*12)</f>
        <v xml:space="preserve"> </v>
      </c>
      <c r="W28" s="30" t="str">
        <f>IF(Inventory_List_Table3411151091113171814161920212223[[#This Row],[Q]]&lt;0.1, " ",Inventory_List_Table3411151091113171814161920212223[[#This Row],[AQ USD]])</f>
        <v xml:space="preserve"> </v>
      </c>
      <c r="X2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8" s="30" t="str">
        <f>IF(Inventory_List_Table3411151091113171814161920212223[[#This Row],[Q]]&lt;0.1, " ",Inventory_List_Table3411151091113171814161920212223[[#This Row],[PRICE]]/Z28*10000)</f>
        <v xml:space="preserve"> </v>
      </c>
      <c r="AB28" s="511"/>
      <c r="AC28" s="1"/>
      <c r="AD28" s="1"/>
    </row>
    <row r="29" spans="1:30" ht="24" customHeight="1" x14ac:dyDescent="0.3">
      <c r="A29" s="487">
        <v>27</v>
      </c>
      <c r="B29" s="1"/>
      <c r="C29" s="491"/>
      <c r="D29" s="491"/>
      <c r="E29" s="491"/>
      <c r="F2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29" s="495"/>
      <c r="H29" s="495"/>
      <c r="I29" s="495"/>
      <c r="J29" s="495"/>
      <c r="K29" s="495"/>
      <c r="L29" s="497"/>
      <c r="M2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29" s="35" t="str">
        <f>IF(Inventory_List_Table3411151091113171814161920212223[[#This Row],[Q]]&lt;0.1, " ", Inventory_List_Table3411151091113171814161920212223[[#This Row],[KG]]*2.20462)</f>
        <v xml:space="preserve"> </v>
      </c>
      <c r="O29" s="35" t="str">
        <f>IF(Inventory_List_Table3411151091113171814161920212223[[#This Row],[Q]]&lt;0.1, " ",Inventory_List_Table3411151091113171814161920212223[[#This Row],[H CM]]/2.54)</f>
        <v xml:space="preserve"> </v>
      </c>
      <c r="P29" s="35" t="str">
        <f>IF(Inventory_List_Table3411151091113171814161920212223[[#This Row],[Q]]&lt;0.1, " ",Inventory_List_Table3411151091113171814161920212223[[#This Row],[W CM]]/2.54)</f>
        <v xml:space="preserve"> </v>
      </c>
      <c r="Q29" s="35" t="str">
        <f>IF(Inventory_List_Table3411151091113171814161920212223[[#This Row],[Q]]&lt;0.1, " ",Inventory_List_Table3411151091113171814161920212223[[#This Row],[D CM ]]/2.54)</f>
        <v xml:space="preserve"> </v>
      </c>
      <c r="R29" s="30" t="str">
        <f>IF(Inventory_List_Table3411151091113171814161920212223[[#This Row],[Q]]&lt;0.1, " ",Inventory_List_Table3411151091113171814161920212223[[#This Row],[PRICE]]/$L$1)</f>
        <v xml:space="preserve"> </v>
      </c>
      <c r="S2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29" s="30" t="str">
        <f>IF(Inventory_List_Table3411151091113171814161920212223[[#This Row],[Q]]&lt;0.1, " ",Inventory_List_Table3411151091113171814161920212223[[#This Row],[AQ RND USD]]*1.4)</f>
        <v xml:space="preserve"> </v>
      </c>
      <c r="U2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29" s="30" t="str">
        <f>IF(Inventory_List_Table3411151091113171814161920212223[[#This Row],[Q]]&lt;0.1, " ",Inventory_List_Table3411151091113171814161920212223[[#This Row],[LND RND USD]]*12)</f>
        <v xml:space="preserve"> </v>
      </c>
      <c r="W29" s="30" t="str">
        <f>IF(Inventory_List_Table3411151091113171814161920212223[[#This Row],[Q]]&lt;0.1, " ",Inventory_List_Table3411151091113171814161920212223[[#This Row],[AQ USD]])</f>
        <v xml:space="preserve"> </v>
      </c>
      <c r="X2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2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2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29" s="30" t="str">
        <f>IF(Inventory_List_Table3411151091113171814161920212223[[#This Row],[Q]]&lt;0.1, " ",Inventory_List_Table3411151091113171814161920212223[[#This Row],[PRICE]]/Z29*10000)</f>
        <v xml:space="preserve"> </v>
      </c>
      <c r="AB29" s="511"/>
      <c r="AC29" s="1"/>
      <c r="AD29" s="1"/>
    </row>
    <row r="30" spans="1:30" ht="24" customHeight="1" x14ac:dyDescent="0.3">
      <c r="A30" s="487">
        <v>28</v>
      </c>
      <c r="B30" s="1"/>
      <c r="C30" s="491"/>
      <c r="D30" s="491"/>
      <c r="E30" s="491"/>
      <c r="F3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0" s="495"/>
      <c r="H30" s="495"/>
      <c r="I30" s="495"/>
      <c r="J30" s="495"/>
      <c r="K30" s="495"/>
      <c r="L30" s="497"/>
      <c r="M3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0" s="35" t="str">
        <f>IF(Inventory_List_Table3411151091113171814161920212223[[#This Row],[Q]]&lt;0.1, " ", Inventory_List_Table3411151091113171814161920212223[[#This Row],[KG]]*2.20462)</f>
        <v xml:space="preserve"> </v>
      </c>
      <c r="O30" s="35" t="str">
        <f>IF(Inventory_List_Table3411151091113171814161920212223[[#This Row],[Q]]&lt;0.1, " ",Inventory_List_Table3411151091113171814161920212223[[#This Row],[H CM]]/2.54)</f>
        <v xml:space="preserve"> </v>
      </c>
      <c r="P30" s="35" t="str">
        <f>IF(Inventory_List_Table3411151091113171814161920212223[[#This Row],[Q]]&lt;0.1, " ",Inventory_List_Table3411151091113171814161920212223[[#This Row],[W CM]]/2.54)</f>
        <v xml:space="preserve"> </v>
      </c>
      <c r="Q30" s="35" t="str">
        <f>IF(Inventory_List_Table3411151091113171814161920212223[[#This Row],[Q]]&lt;0.1, " ",Inventory_List_Table3411151091113171814161920212223[[#This Row],[D CM ]]/2.54)</f>
        <v xml:space="preserve"> </v>
      </c>
      <c r="R30" s="30" t="str">
        <f>IF(Inventory_List_Table3411151091113171814161920212223[[#This Row],[Q]]&lt;0.1, " ",Inventory_List_Table3411151091113171814161920212223[[#This Row],[PRICE]]/$L$1)</f>
        <v xml:space="preserve"> </v>
      </c>
      <c r="S3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0" s="30" t="str">
        <f>IF(Inventory_List_Table3411151091113171814161920212223[[#This Row],[Q]]&lt;0.1, " ",Inventory_List_Table3411151091113171814161920212223[[#This Row],[AQ RND USD]]*1.4)</f>
        <v xml:space="preserve"> </v>
      </c>
      <c r="U3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0" s="30" t="str">
        <f>IF(Inventory_List_Table3411151091113171814161920212223[[#This Row],[Q]]&lt;0.1, " ",Inventory_List_Table3411151091113171814161920212223[[#This Row],[LND RND USD]]*12)</f>
        <v xml:space="preserve"> </v>
      </c>
      <c r="W30" s="30" t="str">
        <f>IF(Inventory_List_Table3411151091113171814161920212223[[#This Row],[Q]]&lt;0.1, " ",Inventory_List_Table3411151091113171814161920212223[[#This Row],[AQ USD]])</f>
        <v xml:space="preserve"> </v>
      </c>
      <c r="X3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0" s="30" t="str">
        <f>IF(Inventory_List_Table3411151091113171814161920212223[[#This Row],[Q]]&lt;0.1, " ",Inventory_List_Table3411151091113171814161920212223[[#This Row],[PRICE]]/Z30*10000)</f>
        <v xml:space="preserve"> </v>
      </c>
      <c r="AB30" s="511"/>
      <c r="AC30" s="1"/>
      <c r="AD30" s="1"/>
    </row>
    <row r="31" spans="1:30" ht="24" customHeight="1" x14ac:dyDescent="0.3">
      <c r="A31" s="487">
        <v>29</v>
      </c>
      <c r="B31" s="1"/>
      <c r="C31" s="491"/>
      <c r="D31" s="491"/>
      <c r="E31" s="491"/>
      <c r="F3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1" s="495"/>
      <c r="H31" s="495"/>
      <c r="I31" s="495"/>
      <c r="J31" s="495"/>
      <c r="K31" s="495"/>
      <c r="L31" s="497"/>
      <c r="M3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1" s="35" t="str">
        <f>IF(Inventory_List_Table3411151091113171814161920212223[[#This Row],[Q]]&lt;0.1, " ", Inventory_List_Table3411151091113171814161920212223[[#This Row],[KG]]*2.20462)</f>
        <v xml:space="preserve"> </v>
      </c>
      <c r="O31" s="35" t="str">
        <f>IF(Inventory_List_Table3411151091113171814161920212223[[#This Row],[Q]]&lt;0.1, " ",Inventory_List_Table3411151091113171814161920212223[[#This Row],[H CM]]/2.54)</f>
        <v xml:space="preserve"> </v>
      </c>
      <c r="P31" s="35" t="str">
        <f>IF(Inventory_List_Table3411151091113171814161920212223[[#This Row],[Q]]&lt;0.1, " ",Inventory_List_Table3411151091113171814161920212223[[#This Row],[W CM]]/2.54)</f>
        <v xml:space="preserve"> </v>
      </c>
      <c r="Q31" s="35" t="str">
        <f>IF(Inventory_List_Table3411151091113171814161920212223[[#This Row],[Q]]&lt;0.1, " ",Inventory_List_Table3411151091113171814161920212223[[#This Row],[D CM ]]/2.54)</f>
        <v xml:space="preserve"> </v>
      </c>
      <c r="R31" s="30" t="str">
        <f>IF(Inventory_List_Table3411151091113171814161920212223[[#This Row],[Q]]&lt;0.1, " ",Inventory_List_Table3411151091113171814161920212223[[#This Row],[PRICE]]/$L$1)</f>
        <v xml:space="preserve"> </v>
      </c>
      <c r="S3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1" s="30" t="str">
        <f>IF(Inventory_List_Table3411151091113171814161920212223[[#This Row],[Q]]&lt;0.1, " ",Inventory_List_Table3411151091113171814161920212223[[#This Row],[AQ RND USD]]*1.4)</f>
        <v xml:space="preserve"> </v>
      </c>
      <c r="U3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1" s="30" t="str">
        <f>IF(Inventory_List_Table3411151091113171814161920212223[[#This Row],[Q]]&lt;0.1, " ",Inventory_List_Table3411151091113171814161920212223[[#This Row],[LND RND USD]]*12)</f>
        <v xml:space="preserve"> </v>
      </c>
      <c r="W31" s="30" t="str">
        <f>IF(Inventory_List_Table3411151091113171814161920212223[[#This Row],[Q]]&lt;0.1, " ",Inventory_List_Table3411151091113171814161920212223[[#This Row],[AQ USD]])</f>
        <v xml:space="preserve"> </v>
      </c>
      <c r="X3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1" s="30" t="str">
        <f>IF(Inventory_List_Table3411151091113171814161920212223[[#This Row],[Q]]&lt;0.1, " ",Inventory_List_Table3411151091113171814161920212223[[#This Row],[PRICE]]/Z31*10000)</f>
        <v xml:space="preserve"> </v>
      </c>
      <c r="AB31" s="511"/>
      <c r="AC31" s="1"/>
      <c r="AD31" s="1"/>
    </row>
    <row r="32" spans="1:30" ht="24" customHeight="1" x14ac:dyDescent="0.3">
      <c r="A32" s="487">
        <v>30</v>
      </c>
      <c r="B32" s="1"/>
      <c r="C32" s="491"/>
      <c r="D32" s="491"/>
      <c r="E32" s="491"/>
      <c r="F3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2" s="495"/>
      <c r="H32" s="495"/>
      <c r="I32" s="495"/>
      <c r="J32" s="495"/>
      <c r="K32" s="495"/>
      <c r="L32" s="497"/>
      <c r="M3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2" s="35" t="str">
        <f>IF(Inventory_List_Table3411151091113171814161920212223[[#This Row],[Q]]&lt;0.1, " ", Inventory_List_Table3411151091113171814161920212223[[#This Row],[KG]]*2.20462)</f>
        <v xml:space="preserve"> </v>
      </c>
      <c r="O32" s="35" t="str">
        <f>IF(Inventory_List_Table3411151091113171814161920212223[[#This Row],[Q]]&lt;0.1, " ",Inventory_List_Table3411151091113171814161920212223[[#This Row],[H CM]]/2.54)</f>
        <v xml:space="preserve"> </v>
      </c>
      <c r="P32" s="35" t="str">
        <f>IF(Inventory_List_Table3411151091113171814161920212223[[#This Row],[Q]]&lt;0.1, " ",Inventory_List_Table3411151091113171814161920212223[[#This Row],[W CM]]/2.54)</f>
        <v xml:space="preserve"> </v>
      </c>
      <c r="Q32" s="35" t="str">
        <f>IF(Inventory_List_Table3411151091113171814161920212223[[#This Row],[Q]]&lt;0.1, " ",Inventory_List_Table3411151091113171814161920212223[[#This Row],[D CM ]]/2.54)</f>
        <v xml:space="preserve"> </v>
      </c>
      <c r="R32" s="30" t="str">
        <f>IF(Inventory_List_Table3411151091113171814161920212223[[#This Row],[Q]]&lt;0.1, " ",Inventory_List_Table3411151091113171814161920212223[[#This Row],[PRICE]]/$L$1)</f>
        <v xml:space="preserve"> </v>
      </c>
      <c r="S3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2" s="30" t="str">
        <f>IF(Inventory_List_Table3411151091113171814161920212223[[#This Row],[Q]]&lt;0.1, " ",Inventory_List_Table3411151091113171814161920212223[[#This Row],[AQ RND USD]]*1.4)</f>
        <v xml:space="preserve"> </v>
      </c>
      <c r="U3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2" s="30" t="str">
        <f>IF(Inventory_List_Table3411151091113171814161920212223[[#This Row],[Q]]&lt;0.1, " ",Inventory_List_Table3411151091113171814161920212223[[#This Row],[LND RND USD]]*12)</f>
        <v xml:space="preserve"> </v>
      </c>
      <c r="W32" s="30" t="str">
        <f>IF(Inventory_List_Table3411151091113171814161920212223[[#This Row],[Q]]&lt;0.1, " ",Inventory_List_Table3411151091113171814161920212223[[#This Row],[AQ USD]])</f>
        <v xml:space="preserve"> </v>
      </c>
      <c r="X3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2" s="30" t="str">
        <f>IF(Inventory_List_Table3411151091113171814161920212223[[#This Row],[Q]]&lt;0.1, " ",Inventory_List_Table3411151091113171814161920212223[[#This Row],[PRICE]]/Z32*10000)</f>
        <v xml:space="preserve"> </v>
      </c>
      <c r="AB32" s="511"/>
      <c r="AC32" s="1"/>
      <c r="AD32" s="1"/>
    </row>
    <row r="33" spans="1:30" ht="24" customHeight="1" x14ac:dyDescent="0.3">
      <c r="A33" s="487">
        <v>31</v>
      </c>
      <c r="B33" s="1"/>
      <c r="C33" s="491"/>
      <c r="D33" s="491"/>
      <c r="E33" s="491"/>
      <c r="F3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3" s="495"/>
      <c r="H33" s="495"/>
      <c r="I33" s="495"/>
      <c r="J33" s="495"/>
      <c r="K33" s="495"/>
      <c r="L33" s="497"/>
      <c r="M3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3" s="35" t="str">
        <f>IF(Inventory_List_Table3411151091113171814161920212223[[#This Row],[Q]]&lt;0.1, " ", Inventory_List_Table3411151091113171814161920212223[[#This Row],[KG]]*2.20462)</f>
        <v xml:space="preserve"> </v>
      </c>
      <c r="O33" s="35" t="str">
        <f>IF(Inventory_List_Table3411151091113171814161920212223[[#This Row],[Q]]&lt;0.1, " ",Inventory_List_Table3411151091113171814161920212223[[#This Row],[H CM]]/2.54)</f>
        <v xml:space="preserve"> </v>
      </c>
      <c r="P33" s="35" t="str">
        <f>IF(Inventory_List_Table3411151091113171814161920212223[[#This Row],[Q]]&lt;0.1, " ",Inventory_List_Table3411151091113171814161920212223[[#This Row],[W CM]]/2.54)</f>
        <v xml:space="preserve"> </v>
      </c>
      <c r="Q33" s="35" t="str">
        <f>IF(Inventory_List_Table3411151091113171814161920212223[[#This Row],[Q]]&lt;0.1, " ",Inventory_List_Table3411151091113171814161920212223[[#This Row],[D CM ]]/2.54)</f>
        <v xml:space="preserve"> </v>
      </c>
      <c r="R33" s="30" t="str">
        <f>IF(Inventory_List_Table3411151091113171814161920212223[[#This Row],[Q]]&lt;0.1, " ",Inventory_List_Table3411151091113171814161920212223[[#This Row],[PRICE]]/$L$1)</f>
        <v xml:space="preserve"> </v>
      </c>
      <c r="S3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3" s="30" t="str">
        <f>IF(Inventory_List_Table3411151091113171814161920212223[[#This Row],[Q]]&lt;0.1, " ",Inventory_List_Table3411151091113171814161920212223[[#This Row],[AQ RND USD]]*1.4)</f>
        <v xml:space="preserve"> </v>
      </c>
      <c r="U3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3" s="30" t="str">
        <f>IF(Inventory_List_Table3411151091113171814161920212223[[#This Row],[Q]]&lt;0.1, " ",Inventory_List_Table3411151091113171814161920212223[[#This Row],[LND RND USD]]*12)</f>
        <v xml:space="preserve"> </v>
      </c>
      <c r="W33" s="30" t="str">
        <f>IF(Inventory_List_Table3411151091113171814161920212223[[#This Row],[Q]]&lt;0.1, " ",Inventory_List_Table3411151091113171814161920212223[[#This Row],[AQ USD]])</f>
        <v xml:space="preserve"> </v>
      </c>
      <c r="X3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3" s="30" t="str">
        <f>IF(Inventory_List_Table3411151091113171814161920212223[[#This Row],[Q]]&lt;0.1, " ",Inventory_List_Table3411151091113171814161920212223[[#This Row],[PRICE]]/Z33*10000)</f>
        <v xml:space="preserve"> </v>
      </c>
      <c r="AB33" s="511"/>
      <c r="AC33" s="1"/>
      <c r="AD33" s="1"/>
    </row>
    <row r="34" spans="1:30" ht="24" customHeight="1" x14ac:dyDescent="0.3">
      <c r="A34" s="487">
        <v>32</v>
      </c>
      <c r="B34" s="1"/>
      <c r="C34" s="491"/>
      <c r="D34" s="491"/>
      <c r="E34" s="491"/>
      <c r="F3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4" s="495"/>
      <c r="H34" s="495"/>
      <c r="I34" s="495"/>
      <c r="J34" s="495"/>
      <c r="K34" s="495"/>
      <c r="L34" s="497"/>
      <c r="M3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4" s="35" t="str">
        <f>IF(Inventory_List_Table3411151091113171814161920212223[[#This Row],[Q]]&lt;0.1, " ", Inventory_List_Table3411151091113171814161920212223[[#This Row],[KG]]*2.20462)</f>
        <v xml:space="preserve"> </v>
      </c>
      <c r="O34" s="35" t="str">
        <f>IF(Inventory_List_Table3411151091113171814161920212223[[#This Row],[Q]]&lt;0.1, " ",Inventory_List_Table3411151091113171814161920212223[[#This Row],[H CM]]/2.54)</f>
        <v xml:space="preserve"> </v>
      </c>
      <c r="P34" s="35" t="str">
        <f>IF(Inventory_List_Table3411151091113171814161920212223[[#This Row],[Q]]&lt;0.1, " ",Inventory_List_Table3411151091113171814161920212223[[#This Row],[W CM]]/2.54)</f>
        <v xml:space="preserve"> </v>
      </c>
      <c r="Q34" s="35" t="str">
        <f>IF(Inventory_List_Table3411151091113171814161920212223[[#This Row],[Q]]&lt;0.1, " ",Inventory_List_Table3411151091113171814161920212223[[#This Row],[D CM ]]/2.54)</f>
        <v xml:space="preserve"> </v>
      </c>
      <c r="R34" s="30" t="str">
        <f>IF(Inventory_List_Table3411151091113171814161920212223[[#This Row],[Q]]&lt;0.1, " ",Inventory_List_Table3411151091113171814161920212223[[#This Row],[PRICE]]/$L$1)</f>
        <v xml:space="preserve"> </v>
      </c>
      <c r="S3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4" s="30" t="str">
        <f>IF(Inventory_List_Table3411151091113171814161920212223[[#This Row],[Q]]&lt;0.1, " ",Inventory_List_Table3411151091113171814161920212223[[#This Row],[AQ RND USD]]*1.4)</f>
        <v xml:space="preserve"> </v>
      </c>
      <c r="U3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4" s="30" t="str">
        <f>IF(Inventory_List_Table3411151091113171814161920212223[[#This Row],[Q]]&lt;0.1, " ",Inventory_List_Table3411151091113171814161920212223[[#This Row],[LND RND USD]]*12)</f>
        <v xml:space="preserve"> </v>
      </c>
      <c r="W34" s="30" t="str">
        <f>IF(Inventory_List_Table3411151091113171814161920212223[[#This Row],[Q]]&lt;0.1, " ",Inventory_List_Table3411151091113171814161920212223[[#This Row],[AQ USD]])</f>
        <v xml:space="preserve"> </v>
      </c>
      <c r="X3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4" s="30" t="str">
        <f>IF(Inventory_List_Table3411151091113171814161920212223[[#This Row],[Q]]&lt;0.1, " ",Inventory_List_Table3411151091113171814161920212223[[#This Row],[PRICE]]/Z34*10000)</f>
        <v xml:space="preserve"> </v>
      </c>
      <c r="AB34" s="511"/>
      <c r="AC34" s="1"/>
      <c r="AD34" s="1"/>
    </row>
    <row r="35" spans="1:30" ht="24" customHeight="1" x14ac:dyDescent="0.3">
      <c r="A35" s="487">
        <v>33</v>
      </c>
      <c r="B35" s="1"/>
      <c r="C35" s="491"/>
      <c r="D35" s="491"/>
      <c r="E35" s="491"/>
      <c r="F3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5" s="495"/>
      <c r="H35" s="495"/>
      <c r="I35" s="495"/>
      <c r="J35" s="495"/>
      <c r="K35" s="495"/>
      <c r="L35" s="497"/>
      <c r="M3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5" s="35" t="str">
        <f>IF(Inventory_List_Table3411151091113171814161920212223[[#This Row],[Q]]&lt;0.1, " ", Inventory_List_Table3411151091113171814161920212223[[#This Row],[KG]]*2.20462)</f>
        <v xml:space="preserve"> </v>
      </c>
      <c r="O35" s="35" t="str">
        <f>IF(Inventory_List_Table3411151091113171814161920212223[[#This Row],[Q]]&lt;0.1, " ",Inventory_List_Table3411151091113171814161920212223[[#This Row],[H CM]]/2.54)</f>
        <v xml:space="preserve"> </v>
      </c>
      <c r="P35" s="35" t="str">
        <f>IF(Inventory_List_Table3411151091113171814161920212223[[#This Row],[Q]]&lt;0.1, " ",Inventory_List_Table3411151091113171814161920212223[[#This Row],[W CM]]/2.54)</f>
        <v xml:space="preserve"> </v>
      </c>
      <c r="Q35" s="35" t="str">
        <f>IF(Inventory_List_Table3411151091113171814161920212223[[#This Row],[Q]]&lt;0.1, " ",Inventory_List_Table3411151091113171814161920212223[[#This Row],[D CM ]]/2.54)</f>
        <v xml:space="preserve"> </v>
      </c>
      <c r="R35" s="30" t="str">
        <f>IF(Inventory_List_Table3411151091113171814161920212223[[#This Row],[Q]]&lt;0.1, " ",Inventory_List_Table3411151091113171814161920212223[[#This Row],[PRICE]]/$L$1)</f>
        <v xml:space="preserve"> </v>
      </c>
      <c r="S3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5" s="30" t="str">
        <f>IF(Inventory_List_Table3411151091113171814161920212223[[#This Row],[Q]]&lt;0.1, " ",Inventory_List_Table3411151091113171814161920212223[[#This Row],[AQ RND USD]]*1.4)</f>
        <v xml:space="preserve"> </v>
      </c>
      <c r="U3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5" s="30" t="str">
        <f>IF(Inventory_List_Table3411151091113171814161920212223[[#This Row],[Q]]&lt;0.1, " ",Inventory_List_Table3411151091113171814161920212223[[#This Row],[LND RND USD]]*12)</f>
        <v xml:space="preserve"> </v>
      </c>
      <c r="W35" s="30" t="str">
        <f>IF(Inventory_List_Table3411151091113171814161920212223[[#This Row],[Q]]&lt;0.1, " ",Inventory_List_Table3411151091113171814161920212223[[#This Row],[AQ USD]])</f>
        <v xml:space="preserve"> </v>
      </c>
      <c r="X3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5" s="30" t="str">
        <f>IF(Inventory_List_Table3411151091113171814161920212223[[#This Row],[Q]]&lt;0.1, " ",Inventory_List_Table3411151091113171814161920212223[[#This Row],[PRICE]]/Z35*10000)</f>
        <v xml:space="preserve"> </v>
      </c>
      <c r="AB35" s="511"/>
      <c r="AC35" s="1"/>
      <c r="AD35" s="1"/>
    </row>
    <row r="36" spans="1:30" ht="24" customHeight="1" x14ac:dyDescent="0.3">
      <c r="A36" s="487">
        <v>34</v>
      </c>
      <c r="B36" s="1"/>
      <c r="C36" s="491"/>
      <c r="D36" s="491"/>
      <c r="E36" s="491"/>
      <c r="F3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6" s="495"/>
      <c r="H36" s="495"/>
      <c r="I36" s="495"/>
      <c r="J36" s="495"/>
      <c r="K36" s="495"/>
      <c r="L36" s="497"/>
      <c r="M3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6" s="35" t="str">
        <f>IF(Inventory_List_Table3411151091113171814161920212223[[#This Row],[Q]]&lt;0.1, " ", Inventory_List_Table3411151091113171814161920212223[[#This Row],[KG]]*2.20462)</f>
        <v xml:space="preserve"> </v>
      </c>
      <c r="O36" s="35" t="str">
        <f>IF(Inventory_List_Table3411151091113171814161920212223[[#This Row],[Q]]&lt;0.1, " ",Inventory_List_Table3411151091113171814161920212223[[#This Row],[H CM]]/2.54)</f>
        <v xml:space="preserve"> </v>
      </c>
      <c r="P36" s="35" t="str">
        <f>IF(Inventory_List_Table3411151091113171814161920212223[[#This Row],[Q]]&lt;0.1, " ",Inventory_List_Table3411151091113171814161920212223[[#This Row],[W CM]]/2.54)</f>
        <v xml:space="preserve"> </v>
      </c>
      <c r="Q36" s="35" t="str">
        <f>IF(Inventory_List_Table3411151091113171814161920212223[[#This Row],[Q]]&lt;0.1, " ",Inventory_List_Table3411151091113171814161920212223[[#This Row],[D CM ]]/2.54)</f>
        <v xml:space="preserve"> </v>
      </c>
      <c r="R36" s="30" t="str">
        <f>IF(Inventory_List_Table3411151091113171814161920212223[[#This Row],[Q]]&lt;0.1, " ",Inventory_List_Table3411151091113171814161920212223[[#This Row],[PRICE]]/$L$1)</f>
        <v xml:space="preserve"> </v>
      </c>
      <c r="S3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6" s="30" t="str">
        <f>IF(Inventory_List_Table3411151091113171814161920212223[[#This Row],[Q]]&lt;0.1, " ",Inventory_List_Table3411151091113171814161920212223[[#This Row],[AQ RND USD]]*1.4)</f>
        <v xml:space="preserve"> </v>
      </c>
      <c r="U3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6" s="30" t="str">
        <f>IF(Inventory_List_Table3411151091113171814161920212223[[#This Row],[Q]]&lt;0.1, " ",Inventory_List_Table3411151091113171814161920212223[[#This Row],[LND RND USD]]*12)</f>
        <v xml:space="preserve"> </v>
      </c>
      <c r="W36" s="30" t="str">
        <f>IF(Inventory_List_Table3411151091113171814161920212223[[#This Row],[Q]]&lt;0.1, " ",Inventory_List_Table3411151091113171814161920212223[[#This Row],[AQ USD]])</f>
        <v xml:space="preserve"> </v>
      </c>
      <c r="X3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6" s="30" t="str">
        <f>IF(Inventory_List_Table3411151091113171814161920212223[[#This Row],[Q]]&lt;0.1, " ",Inventory_List_Table3411151091113171814161920212223[[#This Row],[PRICE]]/Z36*10000)</f>
        <v xml:space="preserve"> </v>
      </c>
      <c r="AB36" s="511"/>
      <c r="AC36" s="1"/>
      <c r="AD36" s="1"/>
    </row>
    <row r="37" spans="1:30" ht="24" customHeight="1" x14ac:dyDescent="0.3">
      <c r="A37" s="487">
        <v>35</v>
      </c>
      <c r="B37" s="1"/>
      <c r="C37" s="491"/>
      <c r="D37" s="491"/>
      <c r="E37" s="491"/>
      <c r="F3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7" s="495"/>
      <c r="H37" s="495"/>
      <c r="I37" s="495"/>
      <c r="J37" s="495"/>
      <c r="K37" s="495"/>
      <c r="L37" s="497"/>
      <c r="M3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7" s="35" t="str">
        <f>IF(Inventory_List_Table3411151091113171814161920212223[[#This Row],[Q]]&lt;0.1, " ", Inventory_List_Table3411151091113171814161920212223[[#This Row],[KG]]*2.20462)</f>
        <v xml:space="preserve"> </v>
      </c>
      <c r="O37" s="35" t="str">
        <f>IF(Inventory_List_Table3411151091113171814161920212223[[#This Row],[Q]]&lt;0.1, " ",Inventory_List_Table3411151091113171814161920212223[[#This Row],[H CM]]/2.54)</f>
        <v xml:space="preserve"> </v>
      </c>
      <c r="P37" s="35" t="str">
        <f>IF(Inventory_List_Table3411151091113171814161920212223[[#This Row],[Q]]&lt;0.1, " ",Inventory_List_Table3411151091113171814161920212223[[#This Row],[W CM]]/2.54)</f>
        <v xml:space="preserve"> </v>
      </c>
      <c r="Q37" s="35" t="str">
        <f>IF(Inventory_List_Table3411151091113171814161920212223[[#This Row],[Q]]&lt;0.1, " ",Inventory_List_Table3411151091113171814161920212223[[#This Row],[D CM ]]/2.54)</f>
        <v xml:space="preserve"> </v>
      </c>
      <c r="R37" s="30" t="str">
        <f>IF(Inventory_List_Table3411151091113171814161920212223[[#This Row],[Q]]&lt;0.1, " ",Inventory_List_Table3411151091113171814161920212223[[#This Row],[PRICE]]/$L$1)</f>
        <v xml:space="preserve"> </v>
      </c>
      <c r="S3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7" s="30" t="str">
        <f>IF(Inventory_List_Table3411151091113171814161920212223[[#This Row],[Q]]&lt;0.1, " ",Inventory_List_Table3411151091113171814161920212223[[#This Row],[AQ RND USD]]*1.4)</f>
        <v xml:space="preserve"> </v>
      </c>
      <c r="U3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7" s="30" t="str">
        <f>IF(Inventory_List_Table3411151091113171814161920212223[[#This Row],[Q]]&lt;0.1, " ",Inventory_List_Table3411151091113171814161920212223[[#This Row],[LND RND USD]]*12)</f>
        <v xml:space="preserve"> </v>
      </c>
      <c r="W37" s="30" t="str">
        <f>IF(Inventory_List_Table3411151091113171814161920212223[[#This Row],[Q]]&lt;0.1, " ",Inventory_List_Table3411151091113171814161920212223[[#This Row],[AQ USD]])</f>
        <v xml:space="preserve"> </v>
      </c>
      <c r="X3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7" s="30" t="str">
        <f>IF(Inventory_List_Table3411151091113171814161920212223[[#This Row],[Q]]&lt;0.1, " ",Inventory_List_Table3411151091113171814161920212223[[#This Row],[PRICE]]/Z37*10000)</f>
        <v xml:space="preserve"> </v>
      </c>
      <c r="AB37" s="511"/>
      <c r="AC37" s="1"/>
      <c r="AD37" s="1"/>
    </row>
    <row r="38" spans="1:30" ht="24" customHeight="1" x14ac:dyDescent="0.3">
      <c r="A38" s="487">
        <v>36</v>
      </c>
      <c r="B38" s="1"/>
      <c r="C38" s="491"/>
      <c r="D38" s="491"/>
      <c r="E38" s="491"/>
      <c r="F3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8" s="495"/>
      <c r="H38" s="495"/>
      <c r="I38" s="495"/>
      <c r="J38" s="495"/>
      <c r="K38" s="495"/>
      <c r="L38" s="497"/>
      <c r="M3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8" s="35" t="str">
        <f>IF(Inventory_List_Table3411151091113171814161920212223[[#This Row],[Q]]&lt;0.1, " ", Inventory_List_Table3411151091113171814161920212223[[#This Row],[KG]]*2.20462)</f>
        <v xml:space="preserve"> </v>
      </c>
      <c r="O38" s="35" t="str">
        <f>IF(Inventory_List_Table3411151091113171814161920212223[[#This Row],[Q]]&lt;0.1, " ",Inventory_List_Table3411151091113171814161920212223[[#This Row],[H CM]]/2.54)</f>
        <v xml:space="preserve"> </v>
      </c>
      <c r="P38" s="35" t="str">
        <f>IF(Inventory_List_Table3411151091113171814161920212223[[#This Row],[Q]]&lt;0.1, " ",Inventory_List_Table3411151091113171814161920212223[[#This Row],[W CM]]/2.54)</f>
        <v xml:space="preserve"> </v>
      </c>
      <c r="Q38" s="35" t="str">
        <f>IF(Inventory_List_Table3411151091113171814161920212223[[#This Row],[Q]]&lt;0.1, " ",Inventory_List_Table3411151091113171814161920212223[[#This Row],[D CM ]]/2.54)</f>
        <v xml:space="preserve"> </v>
      </c>
      <c r="R38" s="30" t="str">
        <f>IF(Inventory_List_Table3411151091113171814161920212223[[#This Row],[Q]]&lt;0.1, " ",Inventory_List_Table3411151091113171814161920212223[[#This Row],[PRICE]]/$L$1)</f>
        <v xml:space="preserve"> </v>
      </c>
      <c r="S3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8" s="30" t="str">
        <f>IF(Inventory_List_Table3411151091113171814161920212223[[#This Row],[Q]]&lt;0.1, " ",Inventory_List_Table3411151091113171814161920212223[[#This Row],[AQ RND USD]]*1.4)</f>
        <v xml:space="preserve"> </v>
      </c>
      <c r="U3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8" s="30" t="str">
        <f>IF(Inventory_List_Table3411151091113171814161920212223[[#This Row],[Q]]&lt;0.1, " ",Inventory_List_Table3411151091113171814161920212223[[#This Row],[LND RND USD]]*12)</f>
        <v xml:space="preserve"> </v>
      </c>
      <c r="W38" s="30" t="str">
        <f>IF(Inventory_List_Table3411151091113171814161920212223[[#This Row],[Q]]&lt;0.1, " ",Inventory_List_Table3411151091113171814161920212223[[#This Row],[AQ USD]])</f>
        <v xml:space="preserve"> </v>
      </c>
      <c r="X3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8" s="30" t="str">
        <f>IF(Inventory_List_Table3411151091113171814161920212223[[#This Row],[Q]]&lt;0.1, " ",Inventory_List_Table3411151091113171814161920212223[[#This Row],[PRICE]]/Z38*10000)</f>
        <v xml:space="preserve"> </v>
      </c>
      <c r="AB38" s="511"/>
      <c r="AC38" s="1"/>
      <c r="AD38" s="1"/>
    </row>
    <row r="39" spans="1:30" ht="24" customHeight="1" x14ac:dyDescent="0.3">
      <c r="A39" s="487">
        <v>37</v>
      </c>
      <c r="B39" s="1"/>
      <c r="C39" s="491"/>
      <c r="D39" s="491"/>
      <c r="E39" s="491"/>
      <c r="F3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39" s="495"/>
      <c r="H39" s="495"/>
      <c r="I39" s="495"/>
      <c r="J39" s="495"/>
      <c r="K39" s="495"/>
      <c r="L39" s="497"/>
      <c r="M3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39" s="35" t="str">
        <f>IF(Inventory_List_Table3411151091113171814161920212223[[#This Row],[Q]]&lt;0.1, " ", Inventory_List_Table3411151091113171814161920212223[[#This Row],[KG]]*2.20462)</f>
        <v xml:space="preserve"> </v>
      </c>
      <c r="O39" s="35" t="str">
        <f>IF(Inventory_List_Table3411151091113171814161920212223[[#This Row],[Q]]&lt;0.1, " ",Inventory_List_Table3411151091113171814161920212223[[#This Row],[H CM]]/2.54)</f>
        <v xml:space="preserve"> </v>
      </c>
      <c r="P39" s="35" t="str">
        <f>IF(Inventory_List_Table3411151091113171814161920212223[[#This Row],[Q]]&lt;0.1, " ",Inventory_List_Table3411151091113171814161920212223[[#This Row],[W CM]]/2.54)</f>
        <v xml:space="preserve"> </v>
      </c>
      <c r="Q39" s="35" t="str">
        <f>IF(Inventory_List_Table3411151091113171814161920212223[[#This Row],[Q]]&lt;0.1, " ",Inventory_List_Table3411151091113171814161920212223[[#This Row],[D CM ]]/2.54)</f>
        <v xml:space="preserve"> </v>
      </c>
      <c r="R39" s="30" t="str">
        <f>IF(Inventory_List_Table3411151091113171814161920212223[[#This Row],[Q]]&lt;0.1, " ",Inventory_List_Table3411151091113171814161920212223[[#This Row],[PRICE]]/$L$1)</f>
        <v xml:space="preserve"> </v>
      </c>
      <c r="S3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39" s="30" t="str">
        <f>IF(Inventory_List_Table3411151091113171814161920212223[[#This Row],[Q]]&lt;0.1, " ",Inventory_List_Table3411151091113171814161920212223[[#This Row],[AQ RND USD]]*1.4)</f>
        <v xml:space="preserve"> </v>
      </c>
      <c r="U3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39" s="30" t="str">
        <f>IF(Inventory_List_Table3411151091113171814161920212223[[#This Row],[Q]]&lt;0.1, " ",Inventory_List_Table3411151091113171814161920212223[[#This Row],[LND RND USD]]*12)</f>
        <v xml:space="preserve"> </v>
      </c>
      <c r="W39" s="30" t="str">
        <f>IF(Inventory_List_Table3411151091113171814161920212223[[#This Row],[Q]]&lt;0.1, " ",Inventory_List_Table3411151091113171814161920212223[[#This Row],[AQ USD]])</f>
        <v xml:space="preserve"> </v>
      </c>
      <c r="X3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3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3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39" s="30" t="str">
        <f>IF(Inventory_List_Table3411151091113171814161920212223[[#This Row],[Q]]&lt;0.1, " ",Inventory_List_Table3411151091113171814161920212223[[#This Row],[PRICE]]/Z39*10000)</f>
        <v xml:space="preserve"> </v>
      </c>
      <c r="AB39" s="511"/>
      <c r="AC39" s="1"/>
      <c r="AD39" s="1"/>
    </row>
    <row r="40" spans="1:30" ht="24" customHeight="1" x14ac:dyDescent="0.3">
      <c r="A40" s="487">
        <v>38</v>
      </c>
      <c r="B40" s="1"/>
      <c r="C40" s="491"/>
      <c r="D40" s="491"/>
      <c r="E40" s="491"/>
      <c r="F4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0" s="495"/>
      <c r="H40" s="495"/>
      <c r="I40" s="495"/>
      <c r="J40" s="495"/>
      <c r="K40" s="495"/>
      <c r="L40" s="497"/>
      <c r="M4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0" s="35" t="str">
        <f>IF(Inventory_List_Table3411151091113171814161920212223[[#This Row],[Q]]&lt;0.1, " ", Inventory_List_Table3411151091113171814161920212223[[#This Row],[KG]]*2.20462)</f>
        <v xml:space="preserve"> </v>
      </c>
      <c r="O40" s="35" t="str">
        <f>IF(Inventory_List_Table3411151091113171814161920212223[[#This Row],[Q]]&lt;0.1, " ",Inventory_List_Table3411151091113171814161920212223[[#This Row],[H CM]]/2.54)</f>
        <v xml:space="preserve"> </v>
      </c>
      <c r="P40" s="35" t="str">
        <f>IF(Inventory_List_Table3411151091113171814161920212223[[#This Row],[Q]]&lt;0.1, " ",Inventory_List_Table3411151091113171814161920212223[[#This Row],[W CM]]/2.54)</f>
        <v xml:space="preserve"> </v>
      </c>
      <c r="Q40" s="35" t="str">
        <f>IF(Inventory_List_Table3411151091113171814161920212223[[#This Row],[Q]]&lt;0.1, " ",Inventory_List_Table3411151091113171814161920212223[[#This Row],[D CM ]]/2.54)</f>
        <v xml:space="preserve"> </v>
      </c>
      <c r="R40" s="30" t="str">
        <f>IF(Inventory_List_Table3411151091113171814161920212223[[#This Row],[Q]]&lt;0.1, " ",Inventory_List_Table3411151091113171814161920212223[[#This Row],[PRICE]]/$L$1)</f>
        <v xml:space="preserve"> </v>
      </c>
      <c r="S4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0" s="30" t="str">
        <f>IF(Inventory_List_Table3411151091113171814161920212223[[#This Row],[Q]]&lt;0.1, " ",Inventory_List_Table3411151091113171814161920212223[[#This Row],[AQ RND USD]]*1.4)</f>
        <v xml:space="preserve"> </v>
      </c>
      <c r="U4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0" s="30" t="str">
        <f>IF(Inventory_List_Table3411151091113171814161920212223[[#This Row],[Q]]&lt;0.1, " ",Inventory_List_Table3411151091113171814161920212223[[#This Row],[LND RND USD]]*12)</f>
        <v xml:space="preserve"> </v>
      </c>
      <c r="W40" s="30" t="str">
        <f>IF(Inventory_List_Table3411151091113171814161920212223[[#This Row],[Q]]&lt;0.1, " ",Inventory_List_Table3411151091113171814161920212223[[#This Row],[AQ USD]])</f>
        <v xml:space="preserve"> </v>
      </c>
      <c r="X4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0" s="30" t="str">
        <f>IF(Inventory_List_Table3411151091113171814161920212223[[#This Row],[Q]]&lt;0.1, " ",Inventory_List_Table3411151091113171814161920212223[[#This Row],[PRICE]]/Z40*10000)</f>
        <v xml:space="preserve"> </v>
      </c>
      <c r="AB40" s="511"/>
      <c r="AC40" s="1"/>
      <c r="AD40" s="1"/>
    </row>
    <row r="41" spans="1:30" ht="24" customHeight="1" x14ac:dyDescent="0.3">
      <c r="A41" s="487">
        <v>39</v>
      </c>
      <c r="B41" s="1"/>
      <c r="C41" s="491"/>
      <c r="D41" s="491"/>
      <c r="E41" s="491"/>
      <c r="F4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1" s="495"/>
      <c r="H41" s="495"/>
      <c r="I41" s="495"/>
      <c r="J41" s="495"/>
      <c r="K41" s="495"/>
      <c r="L41" s="497"/>
      <c r="M4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1" s="35" t="str">
        <f>IF(Inventory_List_Table3411151091113171814161920212223[[#This Row],[Q]]&lt;0.1, " ", Inventory_List_Table3411151091113171814161920212223[[#This Row],[KG]]*2.20462)</f>
        <v xml:space="preserve"> </v>
      </c>
      <c r="O41" s="35" t="str">
        <f>IF(Inventory_List_Table3411151091113171814161920212223[[#This Row],[Q]]&lt;0.1, " ",Inventory_List_Table3411151091113171814161920212223[[#This Row],[H CM]]/2.54)</f>
        <v xml:space="preserve"> </v>
      </c>
      <c r="P41" s="35" t="str">
        <f>IF(Inventory_List_Table3411151091113171814161920212223[[#This Row],[Q]]&lt;0.1, " ",Inventory_List_Table3411151091113171814161920212223[[#This Row],[W CM]]/2.54)</f>
        <v xml:space="preserve"> </v>
      </c>
      <c r="Q41" s="35" t="str">
        <f>IF(Inventory_List_Table3411151091113171814161920212223[[#This Row],[Q]]&lt;0.1, " ",Inventory_List_Table3411151091113171814161920212223[[#This Row],[D CM ]]/2.54)</f>
        <v xml:space="preserve"> </v>
      </c>
      <c r="R41" s="30" t="str">
        <f>IF(Inventory_List_Table3411151091113171814161920212223[[#This Row],[Q]]&lt;0.1, " ",Inventory_List_Table3411151091113171814161920212223[[#This Row],[PRICE]]/$L$1)</f>
        <v xml:space="preserve"> </v>
      </c>
      <c r="S4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1" s="30" t="str">
        <f>IF(Inventory_List_Table3411151091113171814161920212223[[#This Row],[Q]]&lt;0.1, " ",Inventory_List_Table3411151091113171814161920212223[[#This Row],[AQ RND USD]]*1.4)</f>
        <v xml:space="preserve"> </v>
      </c>
      <c r="U4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1" s="30" t="str">
        <f>IF(Inventory_List_Table3411151091113171814161920212223[[#This Row],[Q]]&lt;0.1, " ",Inventory_List_Table3411151091113171814161920212223[[#This Row],[LND RND USD]]*12)</f>
        <v xml:space="preserve"> </v>
      </c>
      <c r="W41" s="30" t="str">
        <f>IF(Inventory_List_Table3411151091113171814161920212223[[#This Row],[Q]]&lt;0.1, " ",Inventory_List_Table3411151091113171814161920212223[[#This Row],[AQ USD]])</f>
        <v xml:space="preserve"> </v>
      </c>
      <c r="X4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1" s="30" t="str">
        <f>IF(Inventory_List_Table3411151091113171814161920212223[[#This Row],[Q]]&lt;0.1, " ",Inventory_List_Table3411151091113171814161920212223[[#This Row],[PRICE]]/Z41*10000)</f>
        <v xml:space="preserve"> </v>
      </c>
      <c r="AB41" s="511"/>
      <c r="AC41" s="1"/>
      <c r="AD41" s="1"/>
    </row>
    <row r="42" spans="1:30" ht="24" customHeight="1" x14ac:dyDescent="0.3">
      <c r="A42" s="487">
        <v>40</v>
      </c>
      <c r="B42" s="1"/>
      <c r="C42" s="491"/>
      <c r="D42" s="491"/>
      <c r="E42" s="491"/>
      <c r="F4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2" s="495"/>
      <c r="H42" s="495"/>
      <c r="I42" s="495"/>
      <c r="J42" s="495"/>
      <c r="K42" s="495"/>
      <c r="L42" s="497"/>
      <c r="M4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2" s="35" t="str">
        <f>IF(Inventory_List_Table3411151091113171814161920212223[[#This Row],[Q]]&lt;0.1, " ", Inventory_List_Table3411151091113171814161920212223[[#This Row],[KG]]*2.20462)</f>
        <v xml:space="preserve"> </v>
      </c>
      <c r="O42" s="35" t="str">
        <f>IF(Inventory_List_Table3411151091113171814161920212223[[#This Row],[Q]]&lt;0.1, " ",Inventory_List_Table3411151091113171814161920212223[[#This Row],[H CM]]/2.54)</f>
        <v xml:space="preserve"> </v>
      </c>
      <c r="P42" s="35" t="str">
        <f>IF(Inventory_List_Table3411151091113171814161920212223[[#This Row],[Q]]&lt;0.1, " ",Inventory_List_Table3411151091113171814161920212223[[#This Row],[W CM]]/2.54)</f>
        <v xml:space="preserve"> </v>
      </c>
      <c r="Q42" s="35" t="str">
        <f>IF(Inventory_List_Table3411151091113171814161920212223[[#This Row],[Q]]&lt;0.1, " ",Inventory_List_Table3411151091113171814161920212223[[#This Row],[D CM ]]/2.54)</f>
        <v xml:space="preserve"> </v>
      </c>
      <c r="R42" s="30" t="str">
        <f>IF(Inventory_List_Table3411151091113171814161920212223[[#This Row],[Q]]&lt;0.1, " ",Inventory_List_Table3411151091113171814161920212223[[#This Row],[PRICE]]/$L$1)</f>
        <v xml:space="preserve"> </v>
      </c>
      <c r="S4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2" s="30" t="str">
        <f>IF(Inventory_List_Table3411151091113171814161920212223[[#This Row],[Q]]&lt;0.1, " ",Inventory_List_Table3411151091113171814161920212223[[#This Row],[AQ RND USD]]*1.4)</f>
        <v xml:space="preserve"> </v>
      </c>
      <c r="U4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2" s="30" t="str">
        <f>IF(Inventory_List_Table3411151091113171814161920212223[[#This Row],[Q]]&lt;0.1, " ",Inventory_List_Table3411151091113171814161920212223[[#This Row],[LND RND USD]]*12)</f>
        <v xml:space="preserve"> </v>
      </c>
      <c r="W42" s="30" t="str">
        <f>IF(Inventory_List_Table3411151091113171814161920212223[[#This Row],[Q]]&lt;0.1, " ",Inventory_List_Table3411151091113171814161920212223[[#This Row],[AQ USD]])</f>
        <v xml:space="preserve"> </v>
      </c>
      <c r="X4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2" s="30" t="str">
        <f>IF(Inventory_List_Table3411151091113171814161920212223[[#This Row],[Q]]&lt;0.1, " ",Inventory_List_Table3411151091113171814161920212223[[#This Row],[PRICE]]/Z42*10000)</f>
        <v xml:space="preserve"> </v>
      </c>
      <c r="AB42" s="511"/>
      <c r="AC42" s="1"/>
      <c r="AD42" s="1"/>
    </row>
    <row r="43" spans="1:30" ht="24" customHeight="1" x14ac:dyDescent="0.3">
      <c r="A43" s="487">
        <v>41</v>
      </c>
      <c r="B43" s="1"/>
      <c r="C43" s="491"/>
      <c r="D43" s="491"/>
      <c r="E43" s="491"/>
      <c r="F4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3" s="495"/>
      <c r="H43" s="495"/>
      <c r="I43" s="495"/>
      <c r="J43" s="495"/>
      <c r="K43" s="495"/>
      <c r="L43" s="497"/>
      <c r="M4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3" s="35" t="str">
        <f>IF(Inventory_List_Table3411151091113171814161920212223[[#This Row],[Q]]&lt;0.1, " ", Inventory_List_Table3411151091113171814161920212223[[#This Row],[KG]]*2.20462)</f>
        <v xml:space="preserve"> </v>
      </c>
      <c r="O43" s="35" t="str">
        <f>IF(Inventory_List_Table3411151091113171814161920212223[[#This Row],[Q]]&lt;0.1, " ",Inventory_List_Table3411151091113171814161920212223[[#This Row],[H CM]]/2.54)</f>
        <v xml:space="preserve"> </v>
      </c>
      <c r="P43" s="35" t="str">
        <f>IF(Inventory_List_Table3411151091113171814161920212223[[#This Row],[Q]]&lt;0.1, " ",Inventory_List_Table3411151091113171814161920212223[[#This Row],[W CM]]/2.54)</f>
        <v xml:space="preserve"> </v>
      </c>
      <c r="Q43" s="35" t="str">
        <f>IF(Inventory_List_Table3411151091113171814161920212223[[#This Row],[Q]]&lt;0.1, " ",Inventory_List_Table3411151091113171814161920212223[[#This Row],[D CM ]]/2.54)</f>
        <v xml:space="preserve"> </v>
      </c>
      <c r="R43" s="30" t="str">
        <f>IF(Inventory_List_Table3411151091113171814161920212223[[#This Row],[Q]]&lt;0.1, " ",Inventory_List_Table3411151091113171814161920212223[[#This Row],[PRICE]]/$L$1)</f>
        <v xml:space="preserve"> </v>
      </c>
      <c r="S4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3" s="30" t="str">
        <f>IF(Inventory_List_Table3411151091113171814161920212223[[#This Row],[Q]]&lt;0.1, " ",Inventory_List_Table3411151091113171814161920212223[[#This Row],[AQ RND USD]]*1.4)</f>
        <v xml:space="preserve"> </v>
      </c>
      <c r="U4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3" s="30" t="str">
        <f>IF(Inventory_List_Table3411151091113171814161920212223[[#This Row],[Q]]&lt;0.1, " ",Inventory_List_Table3411151091113171814161920212223[[#This Row],[LND RND USD]]*12)</f>
        <v xml:space="preserve"> </v>
      </c>
      <c r="W43" s="30" t="str">
        <f>IF(Inventory_List_Table3411151091113171814161920212223[[#This Row],[Q]]&lt;0.1, " ",Inventory_List_Table3411151091113171814161920212223[[#This Row],[AQ USD]])</f>
        <v xml:space="preserve"> </v>
      </c>
      <c r="X4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3" s="30" t="str">
        <f>IF(Inventory_List_Table3411151091113171814161920212223[[#This Row],[Q]]&lt;0.1, " ",Inventory_List_Table3411151091113171814161920212223[[#This Row],[PRICE]]/Z43*10000)</f>
        <v xml:space="preserve"> </v>
      </c>
      <c r="AB43" s="511"/>
      <c r="AC43" s="1"/>
      <c r="AD43" s="1"/>
    </row>
    <row r="44" spans="1:30" ht="24" customHeight="1" x14ac:dyDescent="0.3">
      <c r="A44" s="487">
        <v>42</v>
      </c>
      <c r="B44" s="1"/>
      <c r="C44" s="491"/>
      <c r="D44" s="491"/>
      <c r="E44" s="491"/>
      <c r="F4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4" s="495"/>
      <c r="H44" s="495"/>
      <c r="I44" s="495"/>
      <c r="J44" s="495"/>
      <c r="K44" s="495"/>
      <c r="L44" s="497"/>
      <c r="M4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4" s="35" t="str">
        <f>IF(Inventory_List_Table3411151091113171814161920212223[[#This Row],[Q]]&lt;0.1, " ", Inventory_List_Table3411151091113171814161920212223[[#This Row],[KG]]*2.20462)</f>
        <v xml:space="preserve"> </v>
      </c>
      <c r="O44" s="35" t="str">
        <f>IF(Inventory_List_Table3411151091113171814161920212223[[#This Row],[Q]]&lt;0.1, " ",Inventory_List_Table3411151091113171814161920212223[[#This Row],[H CM]]/2.54)</f>
        <v xml:space="preserve"> </v>
      </c>
      <c r="P44" s="35" t="str">
        <f>IF(Inventory_List_Table3411151091113171814161920212223[[#This Row],[Q]]&lt;0.1, " ",Inventory_List_Table3411151091113171814161920212223[[#This Row],[W CM]]/2.54)</f>
        <v xml:space="preserve"> </v>
      </c>
      <c r="Q44" s="35" t="str">
        <f>IF(Inventory_List_Table3411151091113171814161920212223[[#This Row],[Q]]&lt;0.1, " ",Inventory_List_Table3411151091113171814161920212223[[#This Row],[D CM ]]/2.54)</f>
        <v xml:space="preserve"> </v>
      </c>
      <c r="R44" s="30" t="str">
        <f>IF(Inventory_List_Table3411151091113171814161920212223[[#This Row],[Q]]&lt;0.1, " ",Inventory_List_Table3411151091113171814161920212223[[#This Row],[PRICE]]/$L$1)</f>
        <v xml:space="preserve"> </v>
      </c>
      <c r="S4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4" s="30" t="str">
        <f>IF(Inventory_List_Table3411151091113171814161920212223[[#This Row],[Q]]&lt;0.1, " ",Inventory_List_Table3411151091113171814161920212223[[#This Row],[AQ RND USD]]*1.4)</f>
        <v xml:space="preserve"> </v>
      </c>
      <c r="U4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4" s="30" t="str">
        <f>IF(Inventory_List_Table3411151091113171814161920212223[[#This Row],[Q]]&lt;0.1, " ",Inventory_List_Table3411151091113171814161920212223[[#This Row],[LND RND USD]]*12)</f>
        <v xml:space="preserve"> </v>
      </c>
      <c r="W44" s="30" t="str">
        <f>IF(Inventory_List_Table3411151091113171814161920212223[[#This Row],[Q]]&lt;0.1, " ",Inventory_List_Table3411151091113171814161920212223[[#This Row],[AQ USD]])</f>
        <v xml:space="preserve"> </v>
      </c>
      <c r="X4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4" s="30" t="str">
        <f>IF(Inventory_List_Table3411151091113171814161920212223[[#This Row],[Q]]&lt;0.1, " ",Inventory_List_Table3411151091113171814161920212223[[#This Row],[PRICE]]/Z44*10000)</f>
        <v xml:space="preserve"> </v>
      </c>
      <c r="AB44" s="511"/>
      <c r="AC44" s="1"/>
      <c r="AD44" s="1"/>
    </row>
    <row r="45" spans="1:30" ht="24" customHeight="1" x14ac:dyDescent="0.3">
      <c r="A45" s="487">
        <v>43</v>
      </c>
      <c r="B45" s="1"/>
      <c r="C45" s="491"/>
      <c r="D45" s="491"/>
      <c r="E45" s="491"/>
      <c r="F4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5" s="495"/>
      <c r="H45" s="495"/>
      <c r="I45" s="495"/>
      <c r="J45" s="495"/>
      <c r="K45" s="495"/>
      <c r="L45" s="497"/>
      <c r="M4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5" s="35" t="str">
        <f>IF(Inventory_List_Table3411151091113171814161920212223[[#This Row],[Q]]&lt;0.1, " ", Inventory_List_Table3411151091113171814161920212223[[#This Row],[KG]]*2.20462)</f>
        <v xml:space="preserve"> </v>
      </c>
      <c r="O45" s="35" t="str">
        <f>IF(Inventory_List_Table3411151091113171814161920212223[[#This Row],[Q]]&lt;0.1, " ",Inventory_List_Table3411151091113171814161920212223[[#This Row],[H CM]]/2.54)</f>
        <v xml:space="preserve"> </v>
      </c>
      <c r="P45" s="35" t="str">
        <f>IF(Inventory_List_Table3411151091113171814161920212223[[#This Row],[Q]]&lt;0.1, " ",Inventory_List_Table3411151091113171814161920212223[[#This Row],[W CM]]/2.54)</f>
        <v xml:space="preserve"> </v>
      </c>
      <c r="Q45" s="35" t="str">
        <f>IF(Inventory_List_Table3411151091113171814161920212223[[#This Row],[Q]]&lt;0.1, " ",Inventory_List_Table3411151091113171814161920212223[[#This Row],[D CM ]]/2.54)</f>
        <v xml:space="preserve"> </v>
      </c>
      <c r="R45" s="30" t="str">
        <f>IF(Inventory_List_Table3411151091113171814161920212223[[#This Row],[Q]]&lt;0.1, " ",Inventory_List_Table3411151091113171814161920212223[[#This Row],[PRICE]]/$L$1)</f>
        <v xml:space="preserve"> </v>
      </c>
      <c r="S4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5" s="30" t="str">
        <f>IF(Inventory_List_Table3411151091113171814161920212223[[#This Row],[Q]]&lt;0.1, " ",Inventory_List_Table3411151091113171814161920212223[[#This Row],[AQ RND USD]]*1.4)</f>
        <v xml:space="preserve"> </v>
      </c>
      <c r="U4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5" s="30" t="str">
        <f>IF(Inventory_List_Table3411151091113171814161920212223[[#This Row],[Q]]&lt;0.1, " ",Inventory_List_Table3411151091113171814161920212223[[#This Row],[LND RND USD]]*12)</f>
        <v xml:space="preserve"> </v>
      </c>
      <c r="W45" s="30" t="str">
        <f>IF(Inventory_List_Table3411151091113171814161920212223[[#This Row],[Q]]&lt;0.1, " ",Inventory_List_Table3411151091113171814161920212223[[#This Row],[AQ USD]])</f>
        <v xml:space="preserve"> </v>
      </c>
      <c r="X4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5" s="30" t="str">
        <f>IF(Inventory_List_Table3411151091113171814161920212223[[#This Row],[Q]]&lt;0.1, " ",Inventory_List_Table3411151091113171814161920212223[[#This Row],[PRICE]]/Z45*10000)</f>
        <v xml:space="preserve"> </v>
      </c>
      <c r="AB45" s="511"/>
      <c r="AC45" s="1"/>
      <c r="AD45" s="1"/>
    </row>
    <row r="46" spans="1:30" ht="24" customHeight="1" x14ac:dyDescent="0.3">
      <c r="A46" s="487">
        <v>44</v>
      </c>
      <c r="B46" s="1"/>
      <c r="C46" s="491"/>
      <c r="D46" s="491"/>
      <c r="E46" s="491"/>
      <c r="F4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6" s="495"/>
      <c r="H46" s="495"/>
      <c r="I46" s="495"/>
      <c r="J46" s="495"/>
      <c r="K46" s="495"/>
      <c r="L46" s="497"/>
      <c r="M4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6" s="35" t="str">
        <f>IF(Inventory_List_Table3411151091113171814161920212223[[#This Row],[Q]]&lt;0.1, " ", Inventory_List_Table3411151091113171814161920212223[[#This Row],[KG]]*2.20462)</f>
        <v xml:space="preserve"> </v>
      </c>
      <c r="O46" s="35" t="str">
        <f>IF(Inventory_List_Table3411151091113171814161920212223[[#This Row],[Q]]&lt;0.1, " ",Inventory_List_Table3411151091113171814161920212223[[#This Row],[H CM]]/2.54)</f>
        <v xml:space="preserve"> </v>
      </c>
      <c r="P46" s="35" t="str">
        <f>IF(Inventory_List_Table3411151091113171814161920212223[[#This Row],[Q]]&lt;0.1, " ",Inventory_List_Table3411151091113171814161920212223[[#This Row],[W CM]]/2.54)</f>
        <v xml:space="preserve"> </v>
      </c>
      <c r="Q46" s="35" t="str">
        <f>IF(Inventory_List_Table3411151091113171814161920212223[[#This Row],[Q]]&lt;0.1, " ",Inventory_List_Table3411151091113171814161920212223[[#This Row],[D CM ]]/2.54)</f>
        <v xml:space="preserve"> </v>
      </c>
      <c r="R46" s="30" t="str">
        <f>IF(Inventory_List_Table3411151091113171814161920212223[[#This Row],[Q]]&lt;0.1, " ",Inventory_List_Table3411151091113171814161920212223[[#This Row],[PRICE]]/$L$1)</f>
        <v xml:space="preserve"> </v>
      </c>
      <c r="S4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6" s="30" t="str">
        <f>IF(Inventory_List_Table3411151091113171814161920212223[[#This Row],[Q]]&lt;0.1, " ",Inventory_List_Table3411151091113171814161920212223[[#This Row],[AQ RND USD]]*1.4)</f>
        <v xml:space="preserve"> </v>
      </c>
      <c r="U4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6" s="30" t="str">
        <f>IF(Inventory_List_Table3411151091113171814161920212223[[#This Row],[Q]]&lt;0.1, " ",Inventory_List_Table3411151091113171814161920212223[[#This Row],[LND RND USD]]*12)</f>
        <v xml:space="preserve"> </v>
      </c>
      <c r="W46" s="30" t="str">
        <f>IF(Inventory_List_Table3411151091113171814161920212223[[#This Row],[Q]]&lt;0.1, " ",Inventory_List_Table3411151091113171814161920212223[[#This Row],[AQ USD]])</f>
        <v xml:space="preserve"> </v>
      </c>
      <c r="X4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6" s="30" t="str">
        <f>IF(Inventory_List_Table3411151091113171814161920212223[[#This Row],[Q]]&lt;0.1, " ",Inventory_List_Table3411151091113171814161920212223[[#This Row],[PRICE]]/Z46*10000)</f>
        <v xml:space="preserve"> </v>
      </c>
      <c r="AB46" s="511"/>
      <c r="AC46" s="1"/>
      <c r="AD46" s="1"/>
    </row>
    <row r="47" spans="1:30" ht="24" customHeight="1" x14ac:dyDescent="0.3">
      <c r="A47" s="487">
        <v>45</v>
      </c>
      <c r="B47" s="1"/>
      <c r="C47" s="491"/>
      <c r="D47" s="491"/>
      <c r="E47" s="491"/>
      <c r="F4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7" s="495"/>
      <c r="H47" s="495"/>
      <c r="I47" s="495"/>
      <c r="J47" s="495"/>
      <c r="K47" s="495"/>
      <c r="L47" s="497"/>
      <c r="M4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7" s="35" t="str">
        <f>IF(Inventory_List_Table3411151091113171814161920212223[[#This Row],[Q]]&lt;0.1, " ", Inventory_List_Table3411151091113171814161920212223[[#This Row],[KG]]*2.20462)</f>
        <v xml:space="preserve"> </v>
      </c>
      <c r="O47" s="35" t="str">
        <f>IF(Inventory_List_Table3411151091113171814161920212223[[#This Row],[Q]]&lt;0.1, " ",Inventory_List_Table3411151091113171814161920212223[[#This Row],[H CM]]/2.54)</f>
        <v xml:space="preserve"> </v>
      </c>
      <c r="P47" s="35" t="str">
        <f>IF(Inventory_List_Table3411151091113171814161920212223[[#This Row],[Q]]&lt;0.1, " ",Inventory_List_Table3411151091113171814161920212223[[#This Row],[W CM]]/2.54)</f>
        <v xml:space="preserve"> </v>
      </c>
      <c r="Q47" s="35" t="str">
        <f>IF(Inventory_List_Table3411151091113171814161920212223[[#This Row],[Q]]&lt;0.1, " ",Inventory_List_Table3411151091113171814161920212223[[#This Row],[D CM ]]/2.54)</f>
        <v xml:space="preserve"> </v>
      </c>
      <c r="R47" s="30" t="str">
        <f>IF(Inventory_List_Table3411151091113171814161920212223[[#This Row],[Q]]&lt;0.1, " ",Inventory_List_Table3411151091113171814161920212223[[#This Row],[PRICE]]/$L$1)</f>
        <v xml:space="preserve"> </v>
      </c>
      <c r="S4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7" s="30" t="str">
        <f>IF(Inventory_List_Table3411151091113171814161920212223[[#This Row],[Q]]&lt;0.1, " ",Inventory_List_Table3411151091113171814161920212223[[#This Row],[AQ RND USD]]*1.4)</f>
        <v xml:space="preserve"> </v>
      </c>
      <c r="U4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7" s="30" t="str">
        <f>IF(Inventory_List_Table3411151091113171814161920212223[[#This Row],[Q]]&lt;0.1, " ",Inventory_List_Table3411151091113171814161920212223[[#This Row],[LND RND USD]]*12)</f>
        <v xml:space="preserve"> </v>
      </c>
      <c r="W47" s="30" t="str">
        <f>IF(Inventory_List_Table3411151091113171814161920212223[[#This Row],[Q]]&lt;0.1, " ",Inventory_List_Table3411151091113171814161920212223[[#This Row],[AQ USD]])</f>
        <v xml:space="preserve"> </v>
      </c>
      <c r="X4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7" s="30" t="str">
        <f>IF(Inventory_List_Table3411151091113171814161920212223[[#This Row],[Q]]&lt;0.1, " ",Inventory_List_Table3411151091113171814161920212223[[#This Row],[PRICE]]/Z47*10000)</f>
        <v xml:space="preserve"> </v>
      </c>
      <c r="AB47" s="511"/>
      <c r="AC47" s="1"/>
      <c r="AD47" s="1"/>
    </row>
    <row r="48" spans="1:30" ht="24" customHeight="1" x14ac:dyDescent="0.3">
      <c r="A48" s="487">
        <v>46</v>
      </c>
      <c r="B48" s="1"/>
      <c r="C48" s="491"/>
      <c r="D48" s="491"/>
      <c r="E48" s="491"/>
      <c r="F4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8" s="495"/>
      <c r="H48" s="495"/>
      <c r="I48" s="495"/>
      <c r="J48" s="495"/>
      <c r="K48" s="495"/>
      <c r="L48" s="497"/>
      <c r="M4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8" s="35" t="str">
        <f>IF(Inventory_List_Table3411151091113171814161920212223[[#This Row],[Q]]&lt;0.1, " ", Inventory_List_Table3411151091113171814161920212223[[#This Row],[KG]]*2.20462)</f>
        <v xml:space="preserve"> </v>
      </c>
      <c r="O48" s="35" t="str">
        <f>IF(Inventory_List_Table3411151091113171814161920212223[[#This Row],[Q]]&lt;0.1, " ",Inventory_List_Table3411151091113171814161920212223[[#This Row],[H CM]]/2.54)</f>
        <v xml:space="preserve"> </v>
      </c>
      <c r="P48" s="35" t="str">
        <f>IF(Inventory_List_Table3411151091113171814161920212223[[#This Row],[Q]]&lt;0.1, " ",Inventory_List_Table3411151091113171814161920212223[[#This Row],[W CM]]/2.54)</f>
        <v xml:space="preserve"> </v>
      </c>
      <c r="Q48" s="35" t="str">
        <f>IF(Inventory_List_Table3411151091113171814161920212223[[#This Row],[Q]]&lt;0.1, " ",Inventory_List_Table3411151091113171814161920212223[[#This Row],[D CM ]]/2.54)</f>
        <v xml:space="preserve"> </v>
      </c>
      <c r="R48" s="30" t="str">
        <f>IF(Inventory_List_Table3411151091113171814161920212223[[#This Row],[Q]]&lt;0.1, " ",Inventory_List_Table3411151091113171814161920212223[[#This Row],[PRICE]]/$L$1)</f>
        <v xml:space="preserve"> </v>
      </c>
      <c r="S4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8" s="30" t="str">
        <f>IF(Inventory_List_Table3411151091113171814161920212223[[#This Row],[Q]]&lt;0.1, " ",Inventory_List_Table3411151091113171814161920212223[[#This Row],[AQ RND USD]]*1.4)</f>
        <v xml:space="preserve"> </v>
      </c>
      <c r="U4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8" s="30" t="str">
        <f>IF(Inventory_List_Table3411151091113171814161920212223[[#This Row],[Q]]&lt;0.1, " ",Inventory_List_Table3411151091113171814161920212223[[#This Row],[LND RND USD]]*12)</f>
        <v xml:space="preserve"> </v>
      </c>
      <c r="W48" s="30" t="str">
        <f>IF(Inventory_List_Table3411151091113171814161920212223[[#This Row],[Q]]&lt;0.1, " ",Inventory_List_Table3411151091113171814161920212223[[#This Row],[AQ USD]])</f>
        <v xml:space="preserve"> </v>
      </c>
      <c r="X4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8" s="30" t="str">
        <f>IF(Inventory_List_Table3411151091113171814161920212223[[#This Row],[Q]]&lt;0.1, " ",Inventory_List_Table3411151091113171814161920212223[[#This Row],[PRICE]]/Z48*10000)</f>
        <v xml:space="preserve"> </v>
      </c>
      <c r="AB48" s="511"/>
      <c r="AC48" s="1"/>
      <c r="AD48" s="1"/>
    </row>
    <row r="49" spans="1:30" ht="24" customHeight="1" x14ac:dyDescent="0.3">
      <c r="A49" s="487">
        <v>47</v>
      </c>
      <c r="B49" s="1"/>
      <c r="C49" s="491"/>
      <c r="D49" s="491"/>
      <c r="E49" s="491"/>
      <c r="F4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49" s="495"/>
      <c r="H49" s="495"/>
      <c r="I49" s="495"/>
      <c r="J49" s="495"/>
      <c r="K49" s="495"/>
      <c r="L49" s="497"/>
      <c r="M4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49" s="35" t="str">
        <f>IF(Inventory_List_Table3411151091113171814161920212223[[#This Row],[Q]]&lt;0.1, " ", Inventory_List_Table3411151091113171814161920212223[[#This Row],[KG]]*2.20462)</f>
        <v xml:space="preserve"> </v>
      </c>
      <c r="O49" s="35" t="str">
        <f>IF(Inventory_List_Table3411151091113171814161920212223[[#This Row],[Q]]&lt;0.1, " ",Inventory_List_Table3411151091113171814161920212223[[#This Row],[H CM]]/2.54)</f>
        <v xml:space="preserve"> </v>
      </c>
      <c r="P49" s="35" t="str">
        <f>IF(Inventory_List_Table3411151091113171814161920212223[[#This Row],[Q]]&lt;0.1, " ",Inventory_List_Table3411151091113171814161920212223[[#This Row],[W CM]]/2.54)</f>
        <v xml:space="preserve"> </v>
      </c>
      <c r="Q49" s="35" t="str">
        <f>IF(Inventory_List_Table3411151091113171814161920212223[[#This Row],[Q]]&lt;0.1, " ",Inventory_List_Table3411151091113171814161920212223[[#This Row],[D CM ]]/2.54)</f>
        <v xml:space="preserve"> </v>
      </c>
      <c r="R49" s="30" t="str">
        <f>IF(Inventory_List_Table3411151091113171814161920212223[[#This Row],[Q]]&lt;0.1, " ",Inventory_List_Table3411151091113171814161920212223[[#This Row],[PRICE]]/$L$1)</f>
        <v xml:space="preserve"> </v>
      </c>
      <c r="S4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49" s="30" t="str">
        <f>IF(Inventory_List_Table3411151091113171814161920212223[[#This Row],[Q]]&lt;0.1, " ",Inventory_List_Table3411151091113171814161920212223[[#This Row],[AQ RND USD]]*1.4)</f>
        <v xml:space="preserve"> </v>
      </c>
      <c r="U4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49" s="30" t="str">
        <f>IF(Inventory_List_Table3411151091113171814161920212223[[#This Row],[Q]]&lt;0.1, " ",Inventory_List_Table3411151091113171814161920212223[[#This Row],[LND RND USD]]*12)</f>
        <v xml:space="preserve"> </v>
      </c>
      <c r="W49" s="30" t="str">
        <f>IF(Inventory_List_Table3411151091113171814161920212223[[#This Row],[Q]]&lt;0.1, " ",Inventory_List_Table3411151091113171814161920212223[[#This Row],[AQ USD]])</f>
        <v xml:space="preserve"> </v>
      </c>
      <c r="X4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4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4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49" s="30" t="str">
        <f>IF(Inventory_List_Table3411151091113171814161920212223[[#This Row],[Q]]&lt;0.1, " ",Inventory_List_Table3411151091113171814161920212223[[#This Row],[PRICE]]/Z49*10000)</f>
        <v xml:space="preserve"> </v>
      </c>
      <c r="AB49" s="511"/>
      <c r="AC49" s="1"/>
      <c r="AD49" s="1"/>
    </row>
    <row r="50" spans="1:30" ht="24" customHeight="1" x14ac:dyDescent="0.3">
      <c r="A50" s="487">
        <v>48</v>
      </c>
      <c r="B50" s="1"/>
      <c r="C50" s="491"/>
      <c r="D50" s="491"/>
      <c r="E50" s="491"/>
      <c r="F5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0" s="495"/>
      <c r="H50" s="495"/>
      <c r="I50" s="495"/>
      <c r="J50" s="495"/>
      <c r="K50" s="495"/>
      <c r="L50" s="497"/>
      <c r="M5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0" s="35" t="str">
        <f>IF(Inventory_List_Table3411151091113171814161920212223[[#This Row],[Q]]&lt;0.1, " ", Inventory_List_Table3411151091113171814161920212223[[#This Row],[KG]]*2.20462)</f>
        <v xml:space="preserve"> </v>
      </c>
      <c r="O50" s="35" t="str">
        <f>IF(Inventory_List_Table3411151091113171814161920212223[[#This Row],[Q]]&lt;0.1, " ",Inventory_List_Table3411151091113171814161920212223[[#This Row],[H CM]]/2.54)</f>
        <v xml:space="preserve"> </v>
      </c>
      <c r="P50" s="35" t="str">
        <f>IF(Inventory_List_Table3411151091113171814161920212223[[#This Row],[Q]]&lt;0.1, " ",Inventory_List_Table3411151091113171814161920212223[[#This Row],[W CM]]/2.54)</f>
        <v xml:space="preserve"> </v>
      </c>
      <c r="Q50" s="35" t="str">
        <f>IF(Inventory_List_Table3411151091113171814161920212223[[#This Row],[Q]]&lt;0.1, " ",Inventory_List_Table3411151091113171814161920212223[[#This Row],[D CM ]]/2.54)</f>
        <v xml:space="preserve"> </v>
      </c>
      <c r="R50" s="30" t="str">
        <f>IF(Inventory_List_Table3411151091113171814161920212223[[#This Row],[Q]]&lt;0.1, " ",Inventory_List_Table3411151091113171814161920212223[[#This Row],[PRICE]]/$L$1)</f>
        <v xml:space="preserve"> </v>
      </c>
      <c r="S5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0" s="30" t="str">
        <f>IF(Inventory_List_Table3411151091113171814161920212223[[#This Row],[Q]]&lt;0.1, " ",Inventory_List_Table3411151091113171814161920212223[[#This Row],[AQ RND USD]]*1.4)</f>
        <v xml:space="preserve"> </v>
      </c>
      <c r="U5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0" s="30" t="str">
        <f>IF(Inventory_List_Table3411151091113171814161920212223[[#This Row],[Q]]&lt;0.1, " ",Inventory_List_Table3411151091113171814161920212223[[#This Row],[LND RND USD]]*12)</f>
        <v xml:space="preserve"> </v>
      </c>
      <c r="W50" s="30" t="str">
        <f>IF(Inventory_List_Table3411151091113171814161920212223[[#This Row],[Q]]&lt;0.1, " ",Inventory_List_Table3411151091113171814161920212223[[#This Row],[AQ USD]])</f>
        <v xml:space="preserve"> </v>
      </c>
      <c r="X5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0" s="30" t="str">
        <f>IF(Inventory_List_Table3411151091113171814161920212223[[#This Row],[Q]]&lt;0.1, " ",Inventory_List_Table3411151091113171814161920212223[[#This Row],[PRICE]]/Z50*10000)</f>
        <v xml:space="preserve"> </v>
      </c>
      <c r="AB50" s="511"/>
      <c r="AC50" s="1"/>
      <c r="AD50" s="1"/>
    </row>
    <row r="51" spans="1:30" ht="24" customHeight="1" x14ac:dyDescent="0.3">
      <c r="A51" s="487">
        <v>49</v>
      </c>
      <c r="B51" s="1"/>
      <c r="C51" s="491"/>
      <c r="D51" s="491"/>
      <c r="E51" s="491"/>
      <c r="F5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1" s="495"/>
      <c r="H51" s="495"/>
      <c r="I51" s="495"/>
      <c r="J51" s="495"/>
      <c r="K51" s="495"/>
      <c r="L51" s="497"/>
      <c r="M5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1" s="35" t="str">
        <f>IF(Inventory_List_Table3411151091113171814161920212223[[#This Row],[Q]]&lt;0.1, " ", Inventory_List_Table3411151091113171814161920212223[[#This Row],[KG]]*2.20462)</f>
        <v xml:space="preserve"> </v>
      </c>
      <c r="O51" s="35" t="str">
        <f>IF(Inventory_List_Table3411151091113171814161920212223[[#This Row],[Q]]&lt;0.1, " ",Inventory_List_Table3411151091113171814161920212223[[#This Row],[H CM]]/2.54)</f>
        <v xml:space="preserve"> </v>
      </c>
      <c r="P51" s="35" t="str">
        <f>IF(Inventory_List_Table3411151091113171814161920212223[[#This Row],[Q]]&lt;0.1, " ",Inventory_List_Table3411151091113171814161920212223[[#This Row],[W CM]]/2.54)</f>
        <v xml:space="preserve"> </v>
      </c>
      <c r="Q51" s="35" t="str">
        <f>IF(Inventory_List_Table3411151091113171814161920212223[[#This Row],[Q]]&lt;0.1, " ",Inventory_List_Table3411151091113171814161920212223[[#This Row],[D CM ]]/2.54)</f>
        <v xml:space="preserve"> </v>
      </c>
      <c r="R51" s="30" t="str">
        <f>IF(Inventory_List_Table3411151091113171814161920212223[[#This Row],[Q]]&lt;0.1, " ",Inventory_List_Table3411151091113171814161920212223[[#This Row],[PRICE]]/$L$1)</f>
        <v xml:space="preserve"> </v>
      </c>
      <c r="S5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1" s="30" t="str">
        <f>IF(Inventory_List_Table3411151091113171814161920212223[[#This Row],[Q]]&lt;0.1, " ",Inventory_List_Table3411151091113171814161920212223[[#This Row],[AQ RND USD]]*1.4)</f>
        <v xml:space="preserve"> </v>
      </c>
      <c r="U5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1" s="30" t="str">
        <f>IF(Inventory_List_Table3411151091113171814161920212223[[#This Row],[Q]]&lt;0.1, " ",Inventory_List_Table3411151091113171814161920212223[[#This Row],[LND RND USD]]*12)</f>
        <v xml:space="preserve"> </v>
      </c>
      <c r="W51" s="30" t="str">
        <f>IF(Inventory_List_Table3411151091113171814161920212223[[#This Row],[Q]]&lt;0.1, " ",Inventory_List_Table3411151091113171814161920212223[[#This Row],[AQ USD]])</f>
        <v xml:space="preserve"> </v>
      </c>
      <c r="X5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1" s="30" t="str">
        <f>IF(Inventory_List_Table3411151091113171814161920212223[[#This Row],[Q]]&lt;0.1, " ",Inventory_List_Table3411151091113171814161920212223[[#This Row],[PRICE]]/Z51*10000)</f>
        <v xml:space="preserve"> </v>
      </c>
      <c r="AB51" s="511"/>
      <c r="AC51" s="1"/>
      <c r="AD51" s="1"/>
    </row>
    <row r="52" spans="1:30" ht="24" customHeight="1" x14ac:dyDescent="0.3">
      <c r="A52" s="487">
        <v>50</v>
      </c>
      <c r="B52" s="1"/>
      <c r="C52" s="491"/>
      <c r="D52" s="491"/>
      <c r="E52" s="491"/>
      <c r="F5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2" s="495"/>
      <c r="H52" s="495"/>
      <c r="I52" s="495"/>
      <c r="J52" s="495"/>
      <c r="K52" s="495"/>
      <c r="L52" s="497"/>
      <c r="M5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2" s="35" t="str">
        <f>IF(Inventory_List_Table3411151091113171814161920212223[[#This Row],[Q]]&lt;0.1, " ", Inventory_List_Table3411151091113171814161920212223[[#This Row],[KG]]*2.20462)</f>
        <v xml:space="preserve"> </v>
      </c>
      <c r="O52" s="35" t="str">
        <f>IF(Inventory_List_Table3411151091113171814161920212223[[#This Row],[Q]]&lt;0.1, " ",Inventory_List_Table3411151091113171814161920212223[[#This Row],[H CM]]/2.54)</f>
        <v xml:space="preserve"> </v>
      </c>
      <c r="P52" s="35" t="str">
        <f>IF(Inventory_List_Table3411151091113171814161920212223[[#This Row],[Q]]&lt;0.1, " ",Inventory_List_Table3411151091113171814161920212223[[#This Row],[W CM]]/2.54)</f>
        <v xml:space="preserve"> </v>
      </c>
      <c r="Q52" s="35" t="str">
        <f>IF(Inventory_List_Table3411151091113171814161920212223[[#This Row],[Q]]&lt;0.1, " ",Inventory_List_Table3411151091113171814161920212223[[#This Row],[D CM ]]/2.54)</f>
        <v xml:space="preserve"> </v>
      </c>
      <c r="R52" s="30" t="str">
        <f>IF(Inventory_List_Table3411151091113171814161920212223[[#This Row],[Q]]&lt;0.1, " ",Inventory_List_Table3411151091113171814161920212223[[#This Row],[PRICE]]/$L$1)</f>
        <v xml:space="preserve"> </v>
      </c>
      <c r="S5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2" s="30" t="str">
        <f>IF(Inventory_List_Table3411151091113171814161920212223[[#This Row],[Q]]&lt;0.1, " ",Inventory_List_Table3411151091113171814161920212223[[#This Row],[AQ RND USD]]*1.4)</f>
        <v xml:space="preserve"> </v>
      </c>
      <c r="U5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2" s="30" t="str">
        <f>IF(Inventory_List_Table3411151091113171814161920212223[[#This Row],[Q]]&lt;0.1, " ",Inventory_List_Table3411151091113171814161920212223[[#This Row],[LND RND USD]]*12)</f>
        <v xml:space="preserve"> </v>
      </c>
      <c r="W52" s="30" t="str">
        <f>IF(Inventory_List_Table3411151091113171814161920212223[[#This Row],[Q]]&lt;0.1, " ",Inventory_List_Table3411151091113171814161920212223[[#This Row],[AQ USD]])</f>
        <v xml:space="preserve"> </v>
      </c>
      <c r="X5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2" s="30" t="str">
        <f>IF(Inventory_List_Table3411151091113171814161920212223[[#This Row],[Q]]&lt;0.1, " ",Inventory_List_Table3411151091113171814161920212223[[#This Row],[PRICE]]/Z52*10000)</f>
        <v xml:space="preserve"> </v>
      </c>
      <c r="AB52" s="511"/>
      <c r="AC52" s="1"/>
      <c r="AD52" s="1"/>
    </row>
    <row r="53" spans="1:30" ht="24" customHeight="1" x14ac:dyDescent="0.3">
      <c r="A53" s="487">
        <v>51</v>
      </c>
      <c r="B53" s="1"/>
      <c r="C53" s="491"/>
      <c r="D53" s="491"/>
      <c r="E53" s="491"/>
      <c r="F5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3" s="495"/>
      <c r="H53" s="495"/>
      <c r="I53" s="495"/>
      <c r="J53" s="495"/>
      <c r="K53" s="495"/>
      <c r="L53" s="497"/>
      <c r="M5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3" s="35" t="str">
        <f>IF(Inventory_List_Table3411151091113171814161920212223[[#This Row],[Q]]&lt;0.1, " ", Inventory_List_Table3411151091113171814161920212223[[#This Row],[KG]]*2.20462)</f>
        <v xml:space="preserve"> </v>
      </c>
      <c r="O53" s="35" t="str">
        <f>IF(Inventory_List_Table3411151091113171814161920212223[[#This Row],[Q]]&lt;0.1, " ",Inventory_List_Table3411151091113171814161920212223[[#This Row],[H CM]]/2.54)</f>
        <v xml:space="preserve"> </v>
      </c>
      <c r="P53" s="35" t="str">
        <f>IF(Inventory_List_Table3411151091113171814161920212223[[#This Row],[Q]]&lt;0.1, " ",Inventory_List_Table3411151091113171814161920212223[[#This Row],[W CM]]/2.54)</f>
        <v xml:space="preserve"> </v>
      </c>
      <c r="Q53" s="35" t="str">
        <f>IF(Inventory_List_Table3411151091113171814161920212223[[#This Row],[Q]]&lt;0.1, " ",Inventory_List_Table3411151091113171814161920212223[[#This Row],[D CM ]]/2.54)</f>
        <v xml:space="preserve"> </v>
      </c>
      <c r="R53" s="30" t="str">
        <f>IF(Inventory_List_Table3411151091113171814161920212223[[#This Row],[Q]]&lt;0.1, " ",Inventory_List_Table3411151091113171814161920212223[[#This Row],[PRICE]]/$L$1)</f>
        <v xml:space="preserve"> </v>
      </c>
      <c r="S5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3" s="30" t="str">
        <f>IF(Inventory_List_Table3411151091113171814161920212223[[#This Row],[Q]]&lt;0.1, " ",Inventory_List_Table3411151091113171814161920212223[[#This Row],[AQ RND USD]]*1.4)</f>
        <v xml:space="preserve"> </v>
      </c>
      <c r="U5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3" s="30" t="str">
        <f>IF(Inventory_List_Table3411151091113171814161920212223[[#This Row],[Q]]&lt;0.1, " ",Inventory_List_Table3411151091113171814161920212223[[#This Row],[LND RND USD]]*12)</f>
        <v xml:space="preserve"> </v>
      </c>
      <c r="W53" s="30" t="str">
        <f>IF(Inventory_List_Table3411151091113171814161920212223[[#This Row],[Q]]&lt;0.1, " ",Inventory_List_Table3411151091113171814161920212223[[#This Row],[AQ USD]])</f>
        <v xml:space="preserve"> </v>
      </c>
      <c r="X5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3" s="30" t="str">
        <f>IF(Inventory_List_Table3411151091113171814161920212223[[#This Row],[Q]]&lt;0.1, " ",Inventory_List_Table3411151091113171814161920212223[[#This Row],[PRICE]]/Z53*10000)</f>
        <v xml:space="preserve"> </v>
      </c>
      <c r="AB53" s="511"/>
      <c r="AC53" s="1"/>
      <c r="AD53" s="1"/>
    </row>
    <row r="54" spans="1:30" ht="24" customHeight="1" x14ac:dyDescent="0.3">
      <c r="A54" s="487">
        <v>52</v>
      </c>
      <c r="B54" s="1"/>
      <c r="C54" s="491"/>
      <c r="D54" s="491"/>
      <c r="E54" s="491"/>
      <c r="F5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4" s="495"/>
      <c r="H54" s="495"/>
      <c r="I54" s="495"/>
      <c r="J54" s="495"/>
      <c r="K54" s="495"/>
      <c r="L54" s="497"/>
      <c r="M5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4" s="35" t="str">
        <f>IF(Inventory_List_Table3411151091113171814161920212223[[#This Row],[Q]]&lt;0.1, " ", Inventory_List_Table3411151091113171814161920212223[[#This Row],[KG]]*2.20462)</f>
        <v xml:space="preserve"> </v>
      </c>
      <c r="O54" s="35" t="str">
        <f>IF(Inventory_List_Table3411151091113171814161920212223[[#This Row],[Q]]&lt;0.1, " ",Inventory_List_Table3411151091113171814161920212223[[#This Row],[H CM]]/2.54)</f>
        <v xml:space="preserve"> </v>
      </c>
      <c r="P54" s="35" t="str">
        <f>IF(Inventory_List_Table3411151091113171814161920212223[[#This Row],[Q]]&lt;0.1, " ",Inventory_List_Table3411151091113171814161920212223[[#This Row],[W CM]]/2.54)</f>
        <v xml:space="preserve"> </v>
      </c>
      <c r="Q54" s="35" t="str">
        <f>IF(Inventory_List_Table3411151091113171814161920212223[[#This Row],[Q]]&lt;0.1, " ",Inventory_List_Table3411151091113171814161920212223[[#This Row],[D CM ]]/2.54)</f>
        <v xml:space="preserve"> </v>
      </c>
      <c r="R54" s="30" t="str">
        <f>IF(Inventory_List_Table3411151091113171814161920212223[[#This Row],[Q]]&lt;0.1, " ",Inventory_List_Table3411151091113171814161920212223[[#This Row],[PRICE]]/$L$1)</f>
        <v xml:space="preserve"> </v>
      </c>
      <c r="S5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4" s="30" t="str">
        <f>IF(Inventory_List_Table3411151091113171814161920212223[[#This Row],[Q]]&lt;0.1, " ",Inventory_List_Table3411151091113171814161920212223[[#This Row],[AQ RND USD]]*1.4)</f>
        <v xml:space="preserve"> </v>
      </c>
      <c r="U5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4" s="30" t="str">
        <f>IF(Inventory_List_Table3411151091113171814161920212223[[#This Row],[Q]]&lt;0.1, " ",Inventory_List_Table3411151091113171814161920212223[[#This Row],[LND RND USD]]*12)</f>
        <v xml:space="preserve"> </v>
      </c>
      <c r="W54" s="30" t="str">
        <f>IF(Inventory_List_Table3411151091113171814161920212223[[#This Row],[Q]]&lt;0.1, " ",Inventory_List_Table3411151091113171814161920212223[[#This Row],[AQ USD]])</f>
        <v xml:space="preserve"> </v>
      </c>
      <c r="X5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4" s="30" t="str">
        <f>IF(Inventory_List_Table3411151091113171814161920212223[[#This Row],[Q]]&lt;0.1, " ",Inventory_List_Table3411151091113171814161920212223[[#This Row],[PRICE]]/Z54*10000)</f>
        <v xml:space="preserve"> </v>
      </c>
      <c r="AB54" s="511"/>
      <c r="AC54" s="1"/>
      <c r="AD54" s="1"/>
    </row>
    <row r="55" spans="1:30" ht="24" customHeight="1" x14ac:dyDescent="0.3">
      <c r="A55" s="487">
        <v>53</v>
      </c>
      <c r="B55" s="1"/>
      <c r="C55" s="491"/>
      <c r="D55" s="491"/>
      <c r="E55" s="491"/>
      <c r="F5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5" s="495"/>
      <c r="H55" s="495"/>
      <c r="I55" s="495"/>
      <c r="J55" s="495"/>
      <c r="K55" s="495"/>
      <c r="L55" s="497"/>
      <c r="M5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5" s="35" t="str">
        <f>IF(Inventory_List_Table3411151091113171814161920212223[[#This Row],[Q]]&lt;0.1, " ", Inventory_List_Table3411151091113171814161920212223[[#This Row],[KG]]*2.20462)</f>
        <v xml:space="preserve"> </v>
      </c>
      <c r="O55" s="35" t="str">
        <f>IF(Inventory_List_Table3411151091113171814161920212223[[#This Row],[Q]]&lt;0.1, " ",Inventory_List_Table3411151091113171814161920212223[[#This Row],[H CM]]/2.54)</f>
        <v xml:space="preserve"> </v>
      </c>
      <c r="P55" s="35" t="str">
        <f>IF(Inventory_List_Table3411151091113171814161920212223[[#This Row],[Q]]&lt;0.1, " ",Inventory_List_Table3411151091113171814161920212223[[#This Row],[W CM]]/2.54)</f>
        <v xml:space="preserve"> </v>
      </c>
      <c r="Q55" s="35" t="str">
        <f>IF(Inventory_List_Table3411151091113171814161920212223[[#This Row],[Q]]&lt;0.1, " ",Inventory_List_Table3411151091113171814161920212223[[#This Row],[D CM ]]/2.54)</f>
        <v xml:space="preserve"> </v>
      </c>
      <c r="R55" s="30" t="str">
        <f>IF(Inventory_List_Table3411151091113171814161920212223[[#This Row],[Q]]&lt;0.1, " ",Inventory_List_Table3411151091113171814161920212223[[#This Row],[PRICE]]/$L$1)</f>
        <v xml:space="preserve"> </v>
      </c>
      <c r="S5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5" s="30" t="str">
        <f>IF(Inventory_List_Table3411151091113171814161920212223[[#This Row],[Q]]&lt;0.1, " ",Inventory_List_Table3411151091113171814161920212223[[#This Row],[AQ RND USD]]*1.4)</f>
        <v xml:space="preserve"> </v>
      </c>
      <c r="U5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5" s="30" t="str">
        <f>IF(Inventory_List_Table3411151091113171814161920212223[[#This Row],[Q]]&lt;0.1, " ",Inventory_List_Table3411151091113171814161920212223[[#This Row],[LND RND USD]]*12)</f>
        <v xml:space="preserve"> </v>
      </c>
      <c r="W55" s="30" t="str">
        <f>IF(Inventory_List_Table3411151091113171814161920212223[[#This Row],[Q]]&lt;0.1, " ",Inventory_List_Table3411151091113171814161920212223[[#This Row],[AQ USD]])</f>
        <v xml:space="preserve"> </v>
      </c>
      <c r="X5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5" s="30" t="str">
        <f>IF(Inventory_List_Table3411151091113171814161920212223[[#This Row],[Q]]&lt;0.1, " ",Inventory_List_Table3411151091113171814161920212223[[#This Row],[PRICE]]/Z55*10000)</f>
        <v xml:space="preserve"> </v>
      </c>
      <c r="AB55" s="511"/>
      <c r="AC55" s="1"/>
      <c r="AD55" s="1"/>
    </row>
    <row r="56" spans="1:30" ht="24" customHeight="1" x14ac:dyDescent="0.3">
      <c r="A56" s="487">
        <v>54</v>
      </c>
      <c r="B56" s="1"/>
      <c r="C56" s="491"/>
      <c r="D56" s="491"/>
      <c r="E56" s="491"/>
      <c r="F5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6" s="495"/>
      <c r="H56" s="495"/>
      <c r="I56" s="495"/>
      <c r="J56" s="495"/>
      <c r="K56" s="495"/>
      <c r="L56" s="497"/>
      <c r="M5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6" s="35" t="str">
        <f>IF(Inventory_List_Table3411151091113171814161920212223[[#This Row],[Q]]&lt;0.1, " ", Inventory_List_Table3411151091113171814161920212223[[#This Row],[KG]]*2.20462)</f>
        <v xml:space="preserve"> </v>
      </c>
      <c r="O56" s="35" t="str">
        <f>IF(Inventory_List_Table3411151091113171814161920212223[[#This Row],[Q]]&lt;0.1, " ",Inventory_List_Table3411151091113171814161920212223[[#This Row],[H CM]]/2.54)</f>
        <v xml:space="preserve"> </v>
      </c>
      <c r="P56" s="35" t="str">
        <f>IF(Inventory_List_Table3411151091113171814161920212223[[#This Row],[Q]]&lt;0.1, " ",Inventory_List_Table3411151091113171814161920212223[[#This Row],[W CM]]/2.54)</f>
        <v xml:space="preserve"> </v>
      </c>
      <c r="Q56" s="35" t="str">
        <f>IF(Inventory_List_Table3411151091113171814161920212223[[#This Row],[Q]]&lt;0.1, " ",Inventory_List_Table3411151091113171814161920212223[[#This Row],[D CM ]]/2.54)</f>
        <v xml:space="preserve"> </v>
      </c>
      <c r="R56" s="30" t="str">
        <f>IF(Inventory_List_Table3411151091113171814161920212223[[#This Row],[Q]]&lt;0.1, " ",Inventory_List_Table3411151091113171814161920212223[[#This Row],[PRICE]]/$L$1)</f>
        <v xml:space="preserve"> </v>
      </c>
      <c r="S5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6" s="30" t="str">
        <f>IF(Inventory_List_Table3411151091113171814161920212223[[#This Row],[Q]]&lt;0.1, " ",Inventory_List_Table3411151091113171814161920212223[[#This Row],[AQ RND USD]]*1.4)</f>
        <v xml:space="preserve"> </v>
      </c>
      <c r="U5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6" s="30" t="str">
        <f>IF(Inventory_List_Table3411151091113171814161920212223[[#This Row],[Q]]&lt;0.1, " ",Inventory_List_Table3411151091113171814161920212223[[#This Row],[LND RND USD]]*12)</f>
        <v xml:space="preserve"> </v>
      </c>
      <c r="W56" s="30" t="str">
        <f>IF(Inventory_List_Table3411151091113171814161920212223[[#This Row],[Q]]&lt;0.1, " ",Inventory_List_Table3411151091113171814161920212223[[#This Row],[AQ USD]])</f>
        <v xml:space="preserve"> </v>
      </c>
      <c r="X5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6" s="30" t="str">
        <f>IF(Inventory_List_Table3411151091113171814161920212223[[#This Row],[Q]]&lt;0.1, " ",Inventory_List_Table3411151091113171814161920212223[[#This Row],[PRICE]]/Z56*10000)</f>
        <v xml:space="preserve"> </v>
      </c>
      <c r="AB56" s="511"/>
      <c r="AC56" s="1"/>
      <c r="AD56" s="1"/>
    </row>
    <row r="57" spans="1:30" ht="24" customHeight="1" x14ac:dyDescent="0.3">
      <c r="A57" s="487">
        <v>55</v>
      </c>
      <c r="B57" s="1"/>
      <c r="C57" s="491"/>
      <c r="D57" s="491"/>
      <c r="E57" s="491"/>
      <c r="F5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7" s="495"/>
      <c r="H57" s="495"/>
      <c r="I57" s="495"/>
      <c r="J57" s="495"/>
      <c r="K57" s="495"/>
      <c r="L57" s="497"/>
      <c r="M5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7" s="35" t="str">
        <f>IF(Inventory_List_Table3411151091113171814161920212223[[#This Row],[Q]]&lt;0.1, " ", Inventory_List_Table3411151091113171814161920212223[[#This Row],[KG]]*2.20462)</f>
        <v xml:space="preserve"> </v>
      </c>
      <c r="O57" s="35" t="str">
        <f>IF(Inventory_List_Table3411151091113171814161920212223[[#This Row],[Q]]&lt;0.1, " ",Inventory_List_Table3411151091113171814161920212223[[#This Row],[H CM]]/2.54)</f>
        <v xml:space="preserve"> </v>
      </c>
      <c r="P57" s="35" t="str">
        <f>IF(Inventory_List_Table3411151091113171814161920212223[[#This Row],[Q]]&lt;0.1, " ",Inventory_List_Table3411151091113171814161920212223[[#This Row],[W CM]]/2.54)</f>
        <v xml:space="preserve"> </v>
      </c>
      <c r="Q57" s="35" t="str">
        <f>IF(Inventory_List_Table3411151091113171814161920212223[[#This Row],[Q]]&lt;0.1, " ",Inventory_List_Table3411151091113171814161920212223[[#This Row],[D CM ]]/2.54)</f>
        <v xml:space="preserve"> </v>
      </c>
      <c r="R57" s="30" t="str">
        <f>IF(Inventory_List_Table3411151091113171814161920212223[[#This Row],[Q]]&lt;0.1, " ",Inventory_List_Table3411151091113171814161920212223[[#This Row],[PRICE]]/$L$1)</f>
        <v xml:space="preserve"> </v>
      </c>
      <c r="S5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7" s="30" t="str">
        <f>IF(Inventory_List_Table3411151091113171814161920212223[[#This Row],[Q]]&lt;0.1, " ",Inventory_List_Table3411151091113171814161920212223[[#This Row],[AQ RND USD]]*1.4)</f>
        <v xml:space="preserve"> </v>
      </c>
      <c r="U5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7" s="30" t="str">
        <f>IF(Inventory_List_Table3411151091113171814161920212223[[#This Row],[Q]]&lt;0.1, " ",Inventory_List_Table3411151091113171814161920212223[[#This Row],[LND RND USD]]*12)</f>
        <v xml:space="preserve"> </v>
      </c>
      <c r="W57" s="30" t="str">
        <f>IF(Inventory_List_Table3411151091113171814161920212223[[#This Row],[Q]]&lt;0.1, " ",Inventory_List_Table3411151091113171814161920212223[[#This Row],[AQ USD]])</f>
        <v xml:space="preserve"> </v>
      </c>
      <c r="X5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7" s="30" t="str">
        <f>IF(Inventory_List_Table3411151091113171814161920212223[[#This Row],[Q]]&lt;0.1, " ",Inventory_List_Table3411151091113171814161920212223[[#This Row],[PRICE]]/Z57*10000)</f>
        <v xml:space="preserve"> </v>
      </c>
      <c r="AB57" s="511"/>
      <c r="AC57" s="1"/>
      <c r="AD57" s="1"/>
    </row>
    <row r="58" spans="1:30" ht="24" customHeight="1" x14ac:dyDescent="0.3">
      <c r="A58" s="487">
        <v>56</v>
      </c>
      <c r="B58" s="1"/>
      <c r="C58" s="491"/>
      <c r="D58" s="491"/>
      <c r="E58" s="491"/>
      <c r="F5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8" s="495"/>
      <c r="H58" s="495"/>
      <c r="I58" s="495"/>
      <c r="J58" s="495"/>
      <c r="K58" s="495"/>
      <c r="L58" s="497"/>
      <c r="M5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8" s="35" t="str">
        <f>IF(Inventory_List_Table3411151091113171814161920212223[[#This Row],[Q]]&lt;0.1, " ", Inventory_List_Table3411151091113171814161920212223[[#This Row],[KG]]*2.20462)</f>
        <v xml:space="preserve"> </v>
      </c>
      <c r="O58" s="35" t="str">
        <f>IF(Inventory_List_Table3411151091113171814161920212223[[#This Row],[Q]]&lt;0.1, " ",Inventory_List_Table3411151091113171814161920212223[[#This Row],[H CM]]/2.54)</f>
        <v xml:space="preserve"> </v>
      </c>
      <c r="P58" s="35" t="str">
        <f>IF(Inventory_List_Table3411151091113171814161920212223[[#This Row],[Q]]&lt;0.1, " ",Inventory_List_Table3411151091113171814161920212223[[#This Row],[W CM]]/2.54)</f>
        <v xml:space="preserve"> </v>
      </c>
      <c r="Q58" s="35" t="str">
        <f>IF(Inventory_List_Table3411151091113171814161920212223[[#This Row],[Q]]&lt;0.1, " ",Inventory_List_Table3411151091113171814161920212223[[#This Row],[D CM ]]/2.54)</f>
        <v xml:space="preserve"> </v>
      </c>
      <c r="R58" s="30" t="str">
        <f>IF(Inventory_List_Table3411151091113171814161920212223[[#This Row],[Q]]&lt;0.1, " ",Inventory_List_Table3411151091113171814161920212223[[#This Row],[PRICE]]/$L$1)</f>
        <v xml:space="preserve"> </v>
      </c>
      <c r="S5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8" s="30" t="str">
        <f>IF(Inventory_List_Table3411151091113171814161920212223[[#This Row],[Q]]&lt;0.1, " ",Inventory_List_Table3411151091113171814161920212223[[#This Row],[AQ RND USD]]*1.4)</f>
        <v xml:space="preserve"> </v>
      </c>
      <c r="U5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8" s="30" t="str">
        <f>IF(Inventory_List_Table3411151091113171814161920212223[[#This Row],[Q]]&lt;0.1, " ",Inventory_List_Table3411151091113171814161920212223[[#This Row],[LND RND USD]]*12)</f>
        <v xml:space="preserve"> </v>
      </c>
      <c r="W58" s="30" t="str">
        <f>IF(Inventory_List_Table3411151091113171814161920212223[[#This Row],[Q]]&lt;0.1, " ",Inventory_List_Table3411151091113171814161920212223[[#This Row],[AQ USD]])</f>
        <v xml:space="preserve"> </v>
      </c>
      <c r="X5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8" s="30" t="str">
        <f>IF(Inventory_List_Table3411151091113171814161920212223[[#This Row],[Q]]&lt;0.1, " ",Inventory_List_Table3411151091113171814161920212223[[#This Row],[PRICE]]/Z58*10000)</f>
        <v xml:space="preserve"> </v>
      </c>
      <c r="AB58" s="511"/>
      <c r="AC58" s="1"/>
      <c r="AD58" s="1"/>
    </row>
    <row r="59" spans="1:30" ht="24" customHeight="1" x14ac:dyDescent="0.3">
      <c r="A59" s="487">
        <v>57</v>
      </c>
      <c r="B59" s="1"/>
      <c r="C59" s="491"/>
      <c r="D59" s="491"/>
      <c r="E59" s="491"/>
      <c r="F5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59" s="495"/>
      <c r="H59" s="495"/>
      <c r="I59" s="495"/>
      <c r="J59" s="495"/>
      <c r="K59" s="495"/>
      <c r="L59" s="497"/>
      <c r="M5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59" s="35" t="str">
        <f>IF(Inventory_List_Table3411151091113171814161920212223[[#This Row],[Q]]&lt;0.1, " ", Inventory_List_Table3411151091113171814161920212223[[#This Row],[KG]]*2.20462)</f>
        <v xml:space="preserve"> </v>
      </c>
      <c r="O59" s="35" t="str">
        <f>IF(Inventory_List_Table3411151091113171814161920212223[[#This Row],[Q]]&lt;0.1, " ",Inventory_List_Table3411151091113171814161920212223[[#This Row],[H CM]]/2.54)</f>
        <v xml:space="preserve"> </v>
      </c>
      <c r="P59" s="35" t="str">
        <f>IF(Inventory_List_Table3411151091113171814161920212223[[#This Row],[Q]]&lt;0.1, " ",Inventory_List_Table3411151091113171814161920212223[[#This Row],[W CM]]/2.54)</f>
        <v xml:space="preserve"> </v>
      </c>
      <c r="Q59" s="35" t="str">
        <f>IF(Inventory_List_Table3411151091113171814161920212223[[#This Row],[Q]]&lt;0.1, " ",Inventory_List_Table3411151091113171814161920212223[[#This Row],[D CM ]]/2.54)</f>
        <v xml:space="preserve"> </v>
      </c>
      <c r="R59" s="30" t="str">
        <f>IF(Inventory_List_Table3411151091113171814161920212223[[#This Row],[Q]]&lt;0.1, " ",Inventory_List_Table3411151091113171814161920212223[[#This Row],[PRICE]]/$L$1)</f>
        <v xml:space="preserve"> </v>
      </c>
      <c r="S5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59" s="30" t="str">
        <f>IF(Inventory_List_Table3411151091113171814161920212223[[#This Row],[Q]]&lt;0.1, " ",Inventory_List_Table3411151091113171814161920212223[[#This Row],[AQ RND USD]]*1.4)</f>
        <v xml:space="preserve"> </v>
      </c>
      <c r="U5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59" s="30" t="str">
        <f>IF(Inventory_List_Table3411151091113171814161920212223[[#This Row],[Q]]&lt;0.1, " ",Inventory_List_Table3411151091113171814161920212223[[#This Row],[LND RND USD]]*12)</f>
        <v xml:space="preserve"> </v>
      </c>
      <c r="W59" s="30" t="str">
        <f>IF(Inventory_List_Table3411151091113171814161920212223[[#This Row],[Q]]&lt;0.1, " ",Inventory_List_Table3411151091113171814161920212223[[#This Row],[AQ USD]])</f>
        <v xml:space="preserve"> </v>
      </c>
      <c r="X5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5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5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59" s="30" t="str">
        <f>IF(Inventory_List_Table3411151091113171814161920212223[[#This Row],[Q]]&lt;0.1, " ",Inventory_List_Table3411151091113171814161920212223[[#This Row],[PRICE]]/Z59*10000)</f>
        <v xml:space="preserve"> </v>
      </c>
      <c r="AB59" s="511"/>
      <c r="AC59" s="1"/>
      <c r="AD59" s="1"/>
    </row>
    <row r="60" spans="1:30" ht="24" customHeight="1" x14ac:dyDescent="0.3">
      <c r="A60" s="487">
        <v>58</v>
      </c>
      <c r="B60" s="1"/>
      <c r="C60" s="491"/>
      <c r="D60" s="491"/>
      <c r="E60" s="491"/>
      <c r="F6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0" s="495"/>
      <c r="H60" s="495"/>
      <c r="I60" s="495"/>
      <c r="J60" s="495"/>
      <c r="K60" s="495"/>
      <c r="L60" s="497"/>
      <c r="M6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0" s="35" t="str">
        <f>IF(Inventory_List_Table3411151091113171814161920212223[[#This Row],[Q]]&lt;0.1, " ", Inventory_List_Table3411151091113171814161920212223[[#This Row],[KG]]*2.20462)</f>
        <v xml:space="preserve"> </v>
      </c>
      <c r="O60" s="35" t="str">
        <f>IF(Inventory_List_Table3411151091113171814161920212223[[#This Row],[Q]]&lt;0.1, " ",Inventory_List_Table3411151091113171814161920212223[[#This Row],[H CM]]/2.54)</f>
        <v xml:space="preserve"> </v>
      </c>
      <c r="P60" s="35" t="str">
        <f>IF(Inventory_List_Table3411151091113171814161920212223[[#This Row],[Q]]&lt;0.1, " ",Inventory_List_Table3411151091113171814161920212223[[#This Row],[W CM]]/2.54)</f>
        <v xml:space="preserve"> </v>
      </c>
      <c r="Q60" s="35" t="str">
        <f>IF(Inventory_List_Table3411151091113171814161920212223[[#This Row],[Q]]&lt;0.1, " ",Inventory_List_Table3411151091113171814161920212223[[#This Row],[D CM ]]/2.54)</f>
        <v xml:space="preserve"> </v>
      </c>
      <c r="R60" s="30" t="str">
        <f>IF(Inventory_List_Table3411151091113171814161920212223[[#This Row],[Q]]&lt;0.1, " ",Inventory_List_Table3411151091113171814161920212223[[#This Row],[PRICE]]/$L$1)</f>
        <v xml:space="preserve"> </v>
      </c>
      <c r="S6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0" s="30" t="str">
        <f>IF(Inventory_List_Table3411151091113171814161920212223[[#This Row],[Q]]&lt;0.1, " ",Inventory_List_Table3411151091113171814161920212223[[#This Row],[AQ RND USD]]*1.4)</f>
        <v xml:space="preserve"> </v>
      </c>
      <c r="U6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0" s="30" t="str">
        <f>IF(Inventory_List_Table3411151091113171814161920212223[[#This Row],[Q]]&lt;0.1, " ",Inventory_List_Table3411151091113171814161920212223[[#This Row],[LND RND USD]]*12)</f>
        <v xml:space="preserve"> </v>
      </c>
      <c r="W60" s="30" t="str">
        <f>IF(Inventory_List_Table3411151091113171814161920212223[[#This Row],[Q]]&lt;0.1, " ",Inventory_List_Table3411151091113171814161920212223[[#This Row],[AQ USD]])</f>
        <v xml:space="preserve"> </v>
      </c>
      <c r="X6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0" s="30" t="str">
        <f>IF(Inventory_List_Table3411151091113171814161920212223[[#This Row],[Q]]&lt;0.1, " ",Inventory_List_Table3411151091113171814161920212223[[#This Row],[PRICE]]/Z60*10000)</f>
        <v xml:space="preserve"> </v>
      </c>
      <c r="AB60" s="511"/>
      <c r="AC60" s="1"/>
      <c r="AD60" s="1"/>
    </row>
    <row r="61" spans="1:30" ht="24" customHeight="1" x14ac:dyDescent="0.3">
      <c r="A61" s="487">
        <v>59</v>
      </c>
      <c r="B61" s="1"/>
      <c r="C61" s="491"/>
      <c r="D61" s="491"/>
      <c r="E61" s="491"/>
      <c r="F6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1" s="495"/>
      <c r="H61" s="495"/>
      <c r="I61" s="495"/>
      <c r="J61" s="495"/>
      <c r="K61" s="495"/>
      <c r="L61" s="497"/>
      <c r="M6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1" s="35" t="str">
        <f>IF(Inventory_List_Table3411151091113171814161920212223[[#This Row],[Q]]&lt;0.1, " ", Inventory_List_Table3411151091113171814161920212223[[#This Row],[KG]]*2.20462)</f>
        <v xml:space="preserve"> </v>
      </c>
      <c r="O61" s="35" t="str">
        <f>IF(Inventory_List_Table3411151091113171814161920212223[[#This Row],[Q]]&lt;0.1, " ",Inventory_List_Table3411151091113171814161920212223[[#This Row],[H CM]]/2.54)</f>
        <v xml:space="preserve"> </v>
      </c>
      <c r="P61" s="35" t="str">
        <f>IF(Inventory_List_Table3411151091113171814161920212223[[#This Row],[Q]]&lt;0.1, " ",Inventory_List_Table3411151091113171814161920212223[[#This Row],[W CM]]/2.54)</f>
        <v xml:space="preserve"> </v>
      </c>
      <c r="Q61" s="35" t="str">
        <f>IF(Inventory_List_Table3411151091113171814161920212223[[#This Row],[Q]]&lt;0.1, " ",Inventory_List_Table3411151091113171814161920212223[[#This Row],[D CM ]]/2.54)</f>
        <v xml:space="preserve"> </v>
      </c>
      <c r="R61" s="30" t="str">
        <f>IF(Inventory_List_Table3411151091113171814161920212223[[#This Row],[Q]]&lt;0.1, " ",Inventory_List_Table3411151091113171814161920212223[[#This Row],[PRICE]]/$L$1)</f>
        <v xml:space="preserve"> </v>
      </c>
      <c r="S6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1" s="30" t="str">
        <f>IF(Inventory_List_Table3411151091113171814161920212223[[#This Row],[Q]]&lt;0.1, " ",Inventory_List_Table3411151091113171814161920212223[[#This Row],[AQ RND USD]]*1.4)</f>
        <v xml:space="preserve"> </v>
      </c>
      <c r="U6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1" s="30" t="str">
        <f>IF(Inventory_List_Table3411151091113171814161920212223[[#This Row],[Q]]&lt;0.1, " ",Inventory_List_Table3411151091113171814161920212223[[#This Row],[LND RND USD]]*12)</f>
        <v xml:space="preserve"> </v>
      </c>
      <c r="W61" s="30" t="str">
        <f>IF(Inventory_List_Table3411151091113171814161920212223[[#This Row],[Q]]&lt;0.1, " ",Inventory_List_Table3411151091113171814161920212223[[#This Row],[AQ USD]])</f>
        <v xml:space="preserve"> </v>
      </c>
      <c r="X6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1" s="30" t="str">
        <f>IF(Inventory_List_Table3411151091113171814161920212223[[#This Row],[Q]]&lt;0.1, " ",Inventory_List_Table3411151091113171814161920212223[[#This Row],[PRICE]]/Z61*10000)</f>
        <v xml:space="preserve"> </v>
      </c>
      <c r="AB61" s="511"/>
      <c r="AC61" s="1"/>
      <c r="AD61" s="1"/>
    </row>
    <row r="62" spans="1:30" ht="24" customHeight="1" x14ac:dyDescent="0.3">
      <c r="A62" s="487">
        <v>60</v>
      </c>
      <c r="B62" s="1"/>
      <c r="C62" s="491"/>
      <c r="D62" s="491"/>
      <c r="E62" s="491"/>
      <c r="F6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2" s="495"/>
      <c r="H62" s="495"/>
      <c r="I62" s="495"/>
      <c r="J62" s="495"/>
      <c r="K62" s="495"/>
      <c r="L62" s="497"/>
      <c r="M6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2" s="35" t="str">
        <f>IF(Inventory_List_Table3411151091113171814161920212223[[#This Row],[Q]]&lt;0.1, " ", Inventory_List_Table3411151091113171814161920212223[[#This Row],[KG]]*2.20462)</f>
        <v xml:space="preserve"> </v>
      </c>
      <c r="O62" s="35" t="str">
        <f>IF(Inventory_List_Table3411151091113171814161920212223[[#This Row],[Q]]&lt;0.1, " ",Inventory_List_Table3411151091113171814161920212223[[#This Row],[H CM]]/2.54)</f>
        <v xml:space="preserve"> </v>
      </c>
      <c r="P62" s="35" t="str">
        <f>IF(Inventory_List_Table3411151091113171814161920212223[[#This Row],[Q]]&lt;0.1, " ",Inventory_List_Table3411151091113171814161920212223[[#This Row],[W CM]]/2.54)</f>
        <v xml:space="preserve"> </v>
      </c>
      <c r="Q62" s="35" t="str">
        <f>IF(Inventory_List_Table3411151091113171814161920212223[[#This Row],[Q]]&lt;0.1, " ",Inventory_List_Table3411151091113171814161920212223[[#This Row],[D CM ]]/2.54)</f>
        <v xml:space="preserve"> </v>
      </c>
      <c r="R62" s="30" t="str">
        <f>IF(Inventory_List_Table3411151091113171814161920212223[[#This Row],[Q]]&lt;0.1, " ",Inventory_List_Table3411151091113171814161920212223[[#This Row],[PRICE]]/$L$1)</f>
        <v xml:space="preserve"> </v>
      </c>
      <c r="S6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2" s="30" t="str">
        <f>IF(Inventory_List_Table3411151091113171814161920212223[[#This Row],[Q]]&lt;0.1, " ",Inventory_List_Table3411151091113171814161920212223[[#This Row],[AQ RND USD]]*1.4)</f>
        <v xml:space="preserve"> </v>
      </c>
      <c r="U6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2" s="30" t="str">
        <f>IF(Inventory_List_Table3411151091113171814161920212223[[#This Row],[Q]]&lt;0.1, " ",Inventory_List_Table3411151091113171814161920212223[[#This Row],[LND RND USD]]*12)</f>
        <v xml:space="preserve"> </v>
      </c>
      <c r="W62" s="30" t="str">
        <f>IF(Inventory_List_Table3411151091113171814161920212223[[#This Row],[Q]]&lt;0.1, " ",Inventory_List_Table3411151091113171814161920212223[[#This Row],[AQ USD]])</f>
        <v xml:space="preserve"> </v>
      </c>
      <c r="X6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2" s="30" t="str">
        <f>IF(Inventory_List_Table3411151091113171814161920212223[[#This Row],[Q]]&lt;0.1, " ",Inventory_List_Table3411151091113171814161920212223[[#This Row],[PRICE]]/Z62*10000)</f>
        <v xml:space="preserve"> </v>
      </c>
      <c r="AB62" s="511"/>
      <c r="AC62" s="1"/>
      <c r="AD62" s="1"/>
    </row>
    <row r="63" spans="1:30" ht="24" customHeight="1" x14ac:dyDescent="0.3">
      <c r="A63" s="487">
        <v>61</v>
      </c>
      <c r="B63" s="1"/>
      <c r="C63" s="491"/>
      <c r="D63" s="491"/>
      <c r="E63" s="491"/>
      <c r="F6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3" s="495"/>
      <c r="H63" s="495"/>
      <c r="I63" s="495"/>
      <c r="J63" s="495"/>
      <c r="K63" s="495"/>
      <c r="L63" s="497"/>
      <c r="M6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3" s="35" t="str">
        <f>IF(Inventory_List_Table3411151091113171814161920212223[[#This Row],[Q]]&lt;0.1, " ", Inventory_List_Table3411151091113171814161920212223[[#This Row],[KG]]*2.20462)</f>
        <v xml:space="preserve"> </v>
      </c>
      <c r="O63" s="35" t="str">
        <f>IF(Inventory_List_Table3411151091113171814161920212223[[#This Row],[Q]]&lt;0.1, " ",Inventory_List_Table3411151091113171814161920212223[[#This Row],[H CM]]/2.54)</f>
        <v xml:space="preserve"> </v>
      </c>
      <c r="P63" s="35" t="str">
        <f>IF(Inventory_List_Table3411151091113171814161920212223[[#This Row],[Q]]&lt;0.1, " ",Inventory_List_Table3411151091113171814161920212223[[#This Row],[W CM]]/2.54)</f>
        <v xml:space="preserve"> </v>
      </c>
      <c r="Q63" s="35" t="str">
        <f>IF(Inventory_List_Table3411151091113171814161920212223[[#This Row],[Q]]&lt;0.1, " ",Inventory_List_Table3411151091113171814161920212223[[#This Row],[D CM ]]/2.54)</f>
        <v xml:space="preserve"> </v>
      </c>
      <c r="R63" s="30" t="str">
        <f>IF(Inventory_List_Table3411151091113171814161920212223[[#This Row],[Q]]&lt;0.1, " ",Inventory_List_Table3411151091113171814161920212223[[#This Row],[PRICE]]/$L$1)</f>
        <v xml:space="preserve"> </v>
      </c>
      <c r="S6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3" s="30" t="str">
        <f>IF(Inventory_List_Table3411151091113171814161920212223[[#This Row],[Q]]&lt;0.1, " ",Inventory_List_Table3411151091113171814161920212223[[#This Row],[AQ RND USD]]*1.4)</f>
        <v xml:space="preserve"> </v>
      </c>
      <c r="U6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3" s="30" t="str">
        <f>IF(Inventory_List_Table3411151091113171814161920212223[[#This Row],[Q]]&lt;0.1, " ",Inventory_List_Table3411151091113171814161920212223[[#This Row],[LND RND USD]]*12)</f>
        <v xml:space="preserve"> </v>
      </c>
      <c r="W63" s="30" t="str">
        <f>IF(Inventory_List_Table3411151091113171814161920212223[[#This Row],[Q]]&lt;0.1, " ",Inventory_List_Table3411151091113171814161920212223[[#This Row],[AQ USD]])</f>
        <v xml:space="preserve"> </v>
      </c>
      <c r="X6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3" s="30" t="str">
        <f>IF(Inventory_List_Table3411151091113171814161920212223[[#This Row],[Q]]&lt;0.1, " ",Inventory_List_Table3411151091113171814161920212223[[#This Row],[PRICE]]/Z63*10000)</f>
        <v xml:space="preserve"> </v>
      </c>
      <c r="AB63" s="511"/>
      <c r="AC63" s="1"/>
      <c r="AD63" s="1"/>
    </row>
    <row r="64" spans="1:30" ht="24" customHeight="1" x14ac:dyDescent="0.3">
      <c r="A64" s="487">
        <v>62</v>
      </c>
      <c r="B64" s="1"/>
      <c r="C64" s="491"/>
      <c r="D64" s="491"/>
      <c r="E64" s="491"/>
      <c r="F6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4" s="495"/>
      <c r="H64" s="495"/>
      <c r="I64" s="495"/>
      <c r="J64" s="495"/>
      <c r="K64" s="495"/>
      <c r="L64" s="497"/>
      <c r="M6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4" s="35" t="str">
        <f>IF(Inventory_List_Table3411151091113171814161920212223[[#This Row],[Q]]&lt;0.1, " ", Inventory_List_Table3411151091113171814161920212223[[#This Row],[KG]]*2.20462)</f>
        <v xml:space="preserve"> </v>
      </c>
      <c r="O64" s="35" t="str">
        <f>IF(Inventory_List_Table3411151091113171814161920212223[[#This Row],[Q]]&lt;0.1, " ",Inventory_List_Table3411151091113171814161920212223[[#This Row],[H CM]]/2.54)</f>
        <v xml:space="preserve"> </v>
      </c>
      <c r="P64" s="35" t="str">
        <f>IF(Inventory_List_Table3411151091113171814161920212223[[#This Row],[Q]]&lt;0.1, " ",Inventory_List_Table3411151091113171814161920212223[[#This Row],[W CM]]/2.54)</f>
        <v xml:space="preserve"> </v>
      </c>
      <c r="Q64" s="35" t="str">
        <f>IF(Inventory_List_Table3411151091113171814161920212223[[#This Row],[Q]]&lt;0.1, " ",Inventory_List_Table3411151091113171814161920212223[[#This Row],[D CM ]]/2.54)</f>
        <v xml:space="preserve"> </v>
      </c>
      <c r="R64" s="30" t="str">
        <f>IF(Inventory_List_Table3411151091113171814161920212223[[#This Row],[Q]]&lt;0.1, " ",Inventory_List_Table3411151091113171814161920212223[[#This Row],[PRICE]]/$L$1)</f>
        <v xml:space="preserve"> </v>
      </c>
      <c r="S6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4" s="30" t="str">
        <f>IF(Inventory_List_Table3411151091113171814161920212223[[#This Row],[Q]]&lt;0.1, " ",Inventory_List_Table3411151091113171814161920212223[[#This Row],[AQ RND USD]]*1.4)</f>
        <v xml:space="preserve"> </v>
      </c>
      <c r="U6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4" s="30" t="str">
        <f>IF(Inventory_List_Table3411151091113171814161920212223[[#This Row],[Q]]&lt;0.1, " ",Inventory_List_Table3411151091113171814161920212223[[#This Row],[LND RND USD]]*12)</f>
        <v xml:space="preserve"> </v>
      </c>
      <c r="W64" s="30" t="str">
        <f>IF(Inventory_List_Table3411151091113171814161920212223[[#This Row],[Q]]&lt;0.1, " ",Inventory_List_Table3411151091113171814161920212223[[#This Row],[AQ USD]])</f>
        <v xml:space="preserve"> </v>
      </c>
      <c r="X6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4" s="30" t="str">
        <f>IF(Inventory_List_Table3411151091113171814161920212223[[#This Row],[Q]]&lt;0.1, " ",Inventory_List_Table3411151091113171814161920212223[[#This Row],[PRICE]]/Z64*10000)</f>
        <v xml:space="preserve"> </v>
      </c>
      <c r="AB64" s="511"/>
      <c r="AC64" s="1"/>
      <c r="AD64" s="1"/>
    </row>
    <row r="65" spans="1:30" ht="24" customHeight="1" x14ac:dyDescent="0.3">
      <c r="A65" s="487">
        <v>63</v>
      </c>
      <c r="B65" s="1"/>
      <c r="C65" s="491"/>
      <c r="D65" s="491"/>
      <c r="E65" s="491"/>
      <c r="F6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5" s="495"/>
      <c r="H65" s="495"/>
      <c r="I65" s="495"/>
      <c r="J65" s="495"/>
      <c r="K65" s="495"/>
      <c r="L65" s="497"/>
      <c r="M6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5" s="35" t="str">
        <f>IF(Inventory_List_Table3411151091113171814161920212223[[#This Row],[Q]]&lt;0.1, " ", Inventory_List_Table3411151091113171814161920212223[[#This Row],[KG]]*2.20462)</f>
        <v xml:space="preserve"> </v>
      </c>
      <c r="O65" s="35" t="str">
        <f>IF(Inventory_List_Table3411151091113171814161920212223[[#This Row],[Q]]&lt;0.1, " ",Inventory_List_Table3411151091113171814161920212223[[#This Row],[H CM]]/2.54)</f>
        <v xml:space="preserve"> </v>
      </c>
      <c r="P65" s="35" t="str">
        <f>IF(Inventory_List_Table3411151091113171814161920212223[[#This Row],[Q]]&lt;0.1, " ",Inventory_List_Table3411151091113171814161920212223[[#This Row],[W CM]]/2.54)</f>
        <v xml:space="preserve"> </v>
      </c>
      <c r="Q65" s="35" t="str">
        <f>IF(Inventory_List_Table3411151091113171814161920212223[[#This Row],[Q]]&lt;0.1, " ",Inventory_List_Table3411151091113171814161920212223[[#This Row],[D CM ]]/2.54)</f>
        <v xml:space="preserve"> </v>
      </c>
      <c r="R65" s="30" t="str">
        <f>IF(Inventory_List_Table3411151091113171814161920212223[[#This Row],[Q]]&lt;0.1, " ",Inventory_List_Table3411151091113171814161920212223[[#This Row],[PRICE]]/$L$1)</f>
        <v xml:space="preserve"> </v>
      </c>
      <c r="S6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5" s="30" t="str">
        <f>IF(Inventory_List_Table3411151091113171814161920212223[[#This Row],[Q]]&lt;0.1, " ",Inventory_List_Table3411151091113171814161920212223[[#This Row],[AQ RND USD]]*1.4)</f>
        <v xml:space="preserve"> </v>
      </c>
      <c r="U6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5" s="30" t="str">
        <f>IF(Inventory_List_Table3411151091113171814161920212223[[#This Row],[Q]]&lt;0.1, " ",Inventory_List_Table3411151091113171814161920212223[[#This Row],[LND RND USD]]*12)</f>
        <v xml:space="preserve"> </v>
      </c>
      <c r="W65" s="30" t="str">
        <f>IF(Inventory_List_Table3411151091113171814161920212223[[#This Row],[Q]]&lt;0.1, " ",Inventory_List_Table3411151091113171814161920212223[[#This Row],[AQ USD]])</f>
        <v xml:space="preserve"> </v>
      </c>
      <c r="X6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5" s="30" t="str">
        <f>IF(Inventory_List_Table3411151091113171814161920212223[[#This Row],[Q]]&lt;0.1, " ",Inventory_List_Table3411151091113171814161920212223[[#This Row],[PRICE]]/Z65*10000)</f>
        <v xml:space="preserve"> </v>
      </c>
      <c r="AB65" s="511"/>
      <c r="AC65" s="1"/>
      <c r="AD65" s="1"/>
    </row>
    <row r="66" spans="1:30" ht="24" customHeight="1" x14ac:dyDescent="0.3">
      <c r="A66" s="487">
        <v>64</v>
      </c>
      <c r="B66" s="1"/>
      <c r="C66" s="491"/>
      <c r="D66" s="491"/>
      <c r="E66" s="491"/>
      <c r="F6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6" s="495"/>
      <c r="H66" s="495"/>
      <c r="I66" s="495"/>
      <c r="J66" s="495"/>
      <c r="K66" s="495"/>
      <c r="L66" s="497"/>
      <c r="M6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6" s="35" t="str">
        <f>IF(Inventory_List_Table3411151091113171814161920212223[[#This Row],[Q]]&lt;0.1, " ", Inventory_List_Table3411151091113171814161920212223[[#This Row],[KG]]*2.20462)</f>
        <v xml:space="preserve"> </v>
      </c>
      <c r="O66" s="35" t="str">
        <f>IF(Inventory_List_Table3411151091113171814161920212223[[#This Row],[Q]]&lt;0.1, " ",Inventory_List_Table3411151091113171814161920212223[[#This Row],[H CM]]/2.54)</f>
        <v xml:space="preserve"> </v>
      </c>
      <c r="P66" s="35" t="str">
        <f>IF(Inventory_List_Table3411151091113171814161920212223[[#This Row],[Q]]&lt;0.1, " ",Inventory_List_Table3411151091113171814161920212223[[#This Row],[W CM]]/2.54)</f>
        <v xml:space="preserve"> </v>
      </c>
      <c r="Q66" s="35" t="str">
        <f>IF(Inventory_List_Table3411151091113171814161920212223[[#This Row],[Q]]&lt;0.1, " ",Inventory_List_Table3411151091113171814161920212223[[#This Row],[D CM ]]/2.54)</f>
        <v xml:space="preserve"> </v>
      </c>
      <c r="R66" s="30" t="str">
        <f>IF(Inventory_List_Table3411151091113171814161920212223[[#This Row],[Q]]&lt;0.1, " ",Inventory_List_Table3411151091113171814161920212223[[#This Row],[PRICE]]/$L$1)</f>
        <v xml:space="preserve"> </v>
      </c>
      <c r="S6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6" s="30" t="str">
        <f>IF(Inventory_List_Table3411151091113171814161920212223[[#This Row],[Q]]&lt;0.1, " ",Inventory_List_Table3411151091113171814161920212223[[#This Row],[AQ RND USD]]*1.4)</f>
        <v xml:space="preserve"> </v>
      </c>
      <c r="U6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6" s="30" t="str">
        <f>IF(Inventory_List_Table3411151091113171814161920212223[[#This Row],[Q]]&lt;0.1, " ",Inventory_List_Table3411151091113171814161920212223[[#This Row],[LND RND USD]]*12)</f>
        <v xml:space="preserve"> </v>
      </c>
      <c r="W66" s="30" t="str">
        <f>IF(Inventory_List_Table3411151091113171814161920212223[[#This Row],[Q]]&lt;0.1, " ",Inventory_List_Table3411151091113171814161920212223[[#This Row],[AQ USD]])</f>
        <v xml:space="preserve"> </v>
      </c>
      <c r="X6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6" s="30" t="str">
        <f>IF(Inventory_List_Table3411151091113171814161920212223[[#This Row],[Q]]&lt;0.1, " ",Inventory_List_Table3411151091113171814161920212223[[#This Row],[PRICE]]/Z66*10000)</f>
        <v xml:space="preserve"> </v>
      </c>
      <c r="AB66" s="511"/>
      <c r="AC66" s="1"/>
      <c r="AD66" s="1"/>
    </row>
    <row r="67" spans="1:30" ht="24" customHeight="1" x14ac:dyDescent="0.3">
      <c r="A67" s="487">
        <v>65</v>
      </c>
      <c r="B67" s="1"/>
      <c r="C67" s="491"/>
      <c r="D67" s="491"/>
      <c r="E67" s="491"/>
      <c r="F6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7" s="495"/>
      <c r="H67" s="495"/>
      <c r="I67" s="495"/>
      <c r="J67" s="495"/>
      <c r="K67" s="495"/>
      <c r="L67" s="497"/>
      <c r="M6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7" s="35" t="str">
        <f>IF(Inventory_List_Table3411151091113171814161920212223[[#This Row],[Q]]&lt;0.1, " ", Inventory_List_Table3411151091113171814161920212223[[#This Row],[KG]]*2.20462)</f>
        <v xml:space="preserve"> </v>
      </c>
      <c r="O67" s="35" t="str">
        <f>IF(Inventory_List_Table3411151091113171814161920212223[[#This Row],[Q]]&lt;0.1, " ",Inventory_List_Table3411151091113171814161920212223[[#This Row],[H CM]]/2.54)</f>
        <v xml:space="preserve"> </v>
      </c>
      <c r="P67" s="35" t="str">
        <f>IF(Inventory_List_Table3411151091113171814161920212223[[#This Row],[Q]]&lt;0.1, " ",Inventory_List_Table3411151091113171814161920212223[[#This Row],[W CM]]/2.54)</f>
        <v xml:space="preserve"> </v>
      </c>
      <c r="Q67" s="35" t="str">
        <f>IF(Inventory_List_Table3411151091113171814161920212223[[#This Row],[Q]]&lt;0.1, " ",Inventory_List_Table3411151091113171814161920212223[[#This Row],[D CM ]]/2.54)</f>
        <v xml:space="preserve"> </v>
      </c>
      <c r="R67" s="30" t="str">
        <f>IF(Inventory_List_Table3411151091113171814161920212223[[#This Row],[Q]]&lt;0.1, " ",Inventory_List_Table3411151091113171814161920212223[[#This Row],[PRICE]]/$L$1)</f>
        <v xml:space="preserve"> </v>
      </c>
      <c r="S6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7" s="30" t="str">
        <f>IF(Inventory_List_Table3411151091113171814161920212223[[#This Row],[Q]]&lt;0.1, " ",Inventory_List_Table3411151091113171814161920212223[[#This Row],[AQ RND USD]]*1.4)</f>
        <v xml:space="preserve"> </v>
      </c>
      <c r="U6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7" s="30" t="str">
        <f>IF(Inventory_List_Table3411151091113171814161920212223[[#This Row],[Q]]&lt;0.1, " ",Inventory_List_Table3411151091113171814161920212223[[#This Row],[LND RND USD]]*12)</f>
        <v xml:space="preserve"> </v>
      </c>
      <c r="W67" s="30" t="str">
        <f>IF(Inventory_List_Table3411151091113171814161920212223[[#This Row],[Q]]&lt;0.1, " ",Inventory_List_Table3411151091113171814161920212223[[#This Row],[AQ USD]])</f>
        <v xml:space="preserve"> </v>
      </c>
      <c r="X6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7" s="30" t="str">
        <f>IF(Inventory_List_Table3411151091113171814161920212223[[#This Row],[Q]]&lt;0.1, " ",Inventory_List_Table3411151091113171814161920212223[[#This Row],[PRICE]]/Z67*10000)</f>
        <v xml:space="preserve"> </v>
      </c>
      <c r="AB67" s="511"/>
      <c r="AC67" s="1"/>
      <c r="AD67" s="1"/>
    </row>
    <row r="68" spans="1:30" ht="24" customHeight="1" x14ac:dyDescent="0.3">
      <c r="A68" s="487">
        <v>66</v>
      </c>
      <c r="B68" s="1"/>
      <c r="C68" s="491"/>
      <c r="D68" s="491"/>
      <c r="E68" s="491"/>
      <c r="F6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8" s="495"/>
      <c r="H68" s="495"/>
      <c r="I68" s="495"/>
      <c r="J68" s="495"/>
      <c r="K68" s="495"/>
      <c r="L68" s="497"/>
      <c r="M6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8" s="35" t="str">
        <f>IF(Inventory_List_Table3411151091113171814161920212223[[#This Row],[Q]]&lt;0.1, " ", Inventory_List_Table3411151091113171814161920212223[[#This Row],[KG]]*2.20462)</f>
        <v xml:space="preserve"> </v>
      </c>
      <c r="O68" s="35" t="str">
        <f>IF(Inventory_List_Table3411151091113171814161920212223[[#This Row],[Q]]&lt;0.1, " ",Inventory_List_Table3411151091113171814161920212223[[#This Row],[H CM]]/2.54)</f>
        <v xml:space="preserve"> </v>
      </c>
      <c r="P68" s="35" t="str">
        <f>IF(Inventory_List_Table3411151091113171814161920212223[[#This Row],[Q]]&lt;0.1, " ",Inventory_List_Table3411151091113171814161920212223[[#This Row],[W CM]]/2.54)</f>
        <v xml:space="preserve"> </v>
      </c>
      <c r="Q68" s="35" t="str">
        <f>IF(Inventory_List_Table3411151091113171814161920212223[[#This Row],[Q]]&lt;0.1, " ",Inventory_List_Table3411151091113171814161920212223[[#This Row],[D CM ]]/2.54)</f>
        <v xml:space="preserve"> </v>
      </c>
      <c r="R68" s="30" t="str">
        <f>IF(Inventory_List_Table3411151091113171814161920212223[[#This Row],[Q]]&lt;0.1, " ",Inventory_List_Table3411151091113171814161920212223[[#This Row],[PRICE]]/$L$1)</f>
        <v xml:space="preserve"> </v>
      </c>
      <c r="S6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8" s="30" t="str">
        <f>IF(Inventory_List_Table3411151091113171814161920212223[[#This Row],[Q]]&lt;0.1, " ",Inventory_List_Table3411151091113171814161920212223[[#This Row],[AQ RND USD]]*1.4)</f>
        <v xml:space="preserve"> </v>
      </c>
      <c r="U6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8" s="30" t="str">
        <f>IF(Inventory_List_Table3411151091113171814161920212223[[#This Row],[Q]]&lt;0.1, " ",Inventory_List_Table3411151091113171814161920212223[[#This Row],[LND RND USD]]*12)</f>
        <v xml:space="preserve"> </v>
      </c>
      <c r="W68" s="30" t="str">
        <f>IF(Inventory_List_Table3411151091113171814161920212223[[#This Row],[Q]]&lt;0.1, " ",Inventory_List_Table3411151091113171814161920212223[[#This Row],[AQ USD]])</f>
        <v xml:space="preserve"> </v>
      </c>
      <c r="X6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8" s="30" t="str">
        <f>IF(Inventory_List_Table3411151091113171814161920212223[[#This Row],[Q]]&lt;0.1, " ",Inventory_List_Table3411151091113171814161920212223[[#This Row],[PRICE]]/Z68*10000)</f>
        <v xml:space="preserve"> </v>
      </c>
      <c r="AB68" s="511"/>
      <c r="AC68" s="1"/>
      <c r="AD68" s="1"/>
    </row>
    <row r="69" spans="1:30" ht="24" customHeight="1" x14ac:dyDescent="0.3">
      <c r="A69" s="487">
        <v>67</v>
      </c>
      <c r="B69" s="1"/>
      <c r="C69" s="491"/>
      <c r="D69" s="491"/>
      <c r="E69" s="491"/>
      <c r="F6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69" s="495"/>
      <c r="H69" s="495"/>
      <c r="I69" s="495"/>
      <c r="J69" s="495"/>
      <c r="K69" s="495"/>
      <c r="L69" s="497"/>
      <c r="M6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69" s="35" t="str">
        <f>IF(Inventory_List_Table3411151091113171814161920212223[[#This Row],[Q]]&lt;0.1, " ", Inventory_List_Table3411151091113171814161920212223[[#This Row],[KG]]*2.20462)</f>
        <v xml:space="preserve"> </v>
      </c>
      <c r="O69" s="35" t="str">
        <f>IF(Inventory_List_Table3411151091113171814161920212223[[#This Row],[Q]]&lt;0.1, " ",Inventory_List_Table3411151091113171814161920212223[[#This Row],[H CM]]/2.54)</f>
        <v xml:space="preserve"> </v>
      </c>
      <c r="P69" s="35" t="str">
        <f>IF(Inventory_List_Table3411151091113171814161920212223[[#This Row],[Q]]&lt;0.1, " ",Inventory_List_Table3411151091113171814161920212223[[#This Row],[W CM]]/2.54)</f>
        <v xml:space="preserve"> </v>
      </c>
      <c r="Q69" s="35" t="str">
        <f>IF(Inventory_List_Table3411151091113171814161920212223[[#This Row],[Q]]&lt;0.1, " ",Inventory_List_Table3411151091113171814161920212223[[#This Row],[D CM ]]/2.54)</f>
        <v xml:space="preserve"> </v>
      </c>
      <c r="R69" s="30" t="str">
        <f>IF(Inventory_List_Table3411151091113171814161920212223[[#This Row],[Q]]&lt;0.1, " ",Inventory_List_Table3411151091113171814161920212223[[#This Row],[PRICE]]/$L$1)</f>
        <v xml:space="preserve"> </v>
      </c>
      <c r="S6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69" s="30" t="str">
        <f>IF(Inventory_List_Table3411151091113171814161920212223[[#This Row],[Q]]&lt;0.1, " ",Inventory_List_Table3411151091113171814161920212223[[#This Row],[AQ RND USD]]*1.4)</f>
        <v xml:space="preserve"> </v>
      </c>
      <c r="U6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69" s="30" t="str">
        <f>IF(Inventory_List_Table3411151091113171814161920212223[[#This Row],[Q]]&lt;0.1, " ",Inventory_List_Table3411151091113171814161920212223[[#This Row],[LND RND USD]]*12)</f>
        <v xml:space="preserve"> </v>
      </c>
      <c r="W69" s="30" t="str">
        <f>IF(Inventory_List_Table3411151091113171814161920212223[[#This Row],[Q]]&lt;0.1, " ",Inventory_List_Table3411151091113171814161920212223[[#This Row],[AQ USD]])</f>
        <v xml:space="preserve"> </v>
      </c>
      <c r="X6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6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6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69" s="30" t="str">
        <f>IF(Inventory_List_Table3411151091113171814161920212223[[#This Row],[Q]]&lt;0.1, " ",Inventory_List_Table3411151091113171814161920212223[[#This Row],[PRICE]]/Z69*10000)</f>
        <v xml:space="preserve"> </v>
      </c>
      <c r="AB69" s="511"/>
      <c r="AC69" s="1"/>
      <c r="AD69" s="1"/>
    </row>
    <row r="70" spans="1:30" ht="24" customHeight="1" x14ac:dyDescent="0.3">
      <c r="A70" s="487">
        <v>68</v>
      </c>
      <c r="B70" s="1"/>
      <c r="C70" s="491"/>
      <c r="D70" s="491"/>
      <c r="E70" s="491"/>
      <c r="F7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0" s="495"/>
      <c r="H70" s="495"/>
      <c r="I70" s="495"/>
      <c r="J70" s="495"/>
      <c r="K70" s="495"/>
      <c r="L70" s="497"/>
      <c r="M7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0" s="35" t="str">
        <f>IF(Inventory_List_Table3411151091113171814161920212223[[#This Row],[Q]]&lt;0.1, " ", Inventory_List_Table3411151091113171814161920212223[[#This Row],[KG]]*2.20462)</f>
        <v xml:space="preserve"> </v>
      </c>
      <c r="O70" s="35" t="str">
        <f>IF(Inventory_List_Table3411151091113171814161920212223[[#This Row],[Q]]&lt;0.1, " ",Inventory_List_Table3411151091113171814161920212223[[#This Row],[H CM]]/2.54)</f>
        <v xml:space="preserve"> </v>
      </c>
      <c r="P70" s="35" t="str">
        <f>IF(Inventory_List_Table3411151091113171814161920212223[[#This Row],[Q]]&lt;0.1, " ",Inventory_List_Table3411151091113171814161920212223[[#This Row],[W CM]]/2.54)</f>
        <v xml:space="preserve"> </v>
      </c>
      <c r="Q70" s="35" t="str">
        <f>IF(Inventory_List_Table3411151091113171814161920212223[[#This Row],[Q]]&lt;0.1, " ",Inventory_List_Table3411151091113171814161920212223[[#This Row],[D CM ]]/2.54)</f>
        <v xml:space="preserve"> </v>
      </c>
      <c r="R70" s="30" t="str">
        <f>IF(Inventory_List_Table3411151091113171814161920212223[[#This Row],[Q]]&lt;0.1, " ",Inventory_List_Table3411151091113171814161920212223[[#This Row],[PRICE]]/$L$1)</f>
        <v xml:space="preserve"> </v>
      </c>
      <c r="S7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0" s="30" t="str">
        <f>IF(Inventory_List_Table3411151091113171814161920212223[[#This Row],[Q]]&lt;0.1, " ",Inventory_List_Table3411151091113171814161920212223[[#This Row],[AQ RND USD]]*1.4)</f>
        <v xml:space="preserve"> </v>
      </c>
      <c r="U7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0" s="30" t="str">
        <f>IF(Inventory_List_Table3411151091113171814161920212223[[#This Row],[Q]]&lt;0.1, " ",Inventory_List_Table3411151091113171814161920212223[[#This Row],[LND RND USD]]*12)</f>
        <v xml:space="preserve"> </v>
      </c>
      <c r="W70" s="30" t="str">
        <f>IF(Inventory_List_Table3411151091113171814161920212223[[#This Row],[Q]]&lt;0.1, " ",Inventory_List_Table3411151091113171814161920212223[[#This Row],[AQ USD]])</f>
        <v xml:space="preserve"> </v>
      </c>
      <c r="X7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0" s="30" t="str">
        <f>IF(Inventory_List_Table3411151091113171814161920212223[[#This Row],[Q]]&lt;0.1, " ",Inventory_List_Table3411151091113171814161920212223[[#This Row],[PRICE]]/Z70*10000)</f>
        <v xml:space="preserve"> </v>
      </c>
      <c r="AB70" s="511"/>
      <c r="AC70" s="1"/>
      <c r="AD70" s="1"/>
    </row>
    <row r="71" spans="1:30" ht="24" customHeight="1" x14ac:dyDescent="0.3">
      <c r="A71" s="487">
        <v>69</v>
      </c>
      <c r="B71" s="1"/>
      <c r="C71" s="491"/>
      <c r="D71" s="491"/>
      <c r="E71" s="491"/>
      <c r="F7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1" s="495"/>
      <c r="H71" s="495"/>
      <c r="I71" s="495"/>
      <c r="J71" s="495"/>
      <c r="K71" s="495"/>
      <c r="L71" s="497"/>
      <c r="M7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1" s="35" t="str">
        <f>IF(Inventory_List_Table3411151091113171814161920212223[[#This Row],[Q]]&lt;0.1, " ", Inventory_List_Table3411151091113171814161920212223[[#This Row],[KG]]*2.20462)</f>
        <v xml:space="preserve"> </v>
      </c>
      <c r="O71" s="35" t="str">
        <f>IF(Inventory_List_Table3411151091113171814161920212223[[#This Row],[Q]]&lt;0.1, " ",Inventory_List_Table3411151091113171814161920212223[[#This Row],[H CM]]/2.54)</f>
        <v xml:space="preserve"> </v>
      </c>
      <c r="P71" s="35" t="str">
        <f>IF(Inventory_List_Table3411151091113171814161920212223[[#This Row],[Q]]&lt;0.1, " ",Inventory_List_Table3411151091113171814161920212223[[#This Row],[W CM]]/2.54)</f>
        <v xml:space="preserve"> </v>
      </c>
      <c r="Q71" s="35" t="str">
        <f>IF(Inventory_List_Table3411151091113171814161920212223[[#This Row],[Q]]&lt;0.1, " ",Inventory_List_Table3411151091113171814161920212223[[#This Row],[D CM ]]/2.54)</f>
        <v xml:space="preserve"> </v>
      </c>
      <c r="R71" s="30" t="str">
        <f>IF(Inventory_List_Table3411151091113171814161920212223[[#This Row],[Q]]&lt;0.1, " ",Inventory_List_Table3411151091113171814161920212223[[#This Row],[PRICE]]/$L$1)</f>
        <v xml:space="preserve"> </v>
      </c>
      <c r="S7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1" s="30" t="str">
        <f>IF(Inventory_List_Table3411151091113171814161920212223[[#This Row],[Q]]&lt;0.1, " ",Inventory_List_Table3411151091113171814161920212223[[#This Row],[AQ RND USD]]*1.4)</f>
        <v xml:space="preserve"> </v>
      </c>
      <c r="U7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1" s="30" t="str">
        <f>IF(Inventory_List_Table3411151091113171814161920212223[[#This Row],[Q]]&lt;0.1, " ",Inventory_List_Table3411151091113171814161920212223[[#This Row],[LND RND USD]]*12)</f>
        <v xml:space="preserve"> </v>
      </c>
      <c r="W71" s="30" t="str">
        <f>IF(Inventory_List_Table3411151091113171814161920212223[[#This Row],[Q]]&lt;0.1, " ",Inventory_List_Table3411151091113171814161920212223[[#This Row],[AQ USD]])</f>
        <v xml:space="preserve"> </v>
      </c>
      <c r="X7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1" s="30" t="str">
        <f>IF(Inventory_List_Table3411151091113171814161920212223[[#This Row],[Q]]&lt;0.1, " ",Inventory_List_Table3411151091113171814161920212223[[#This Row],[PRICE]]/Z71*10000)</f>
        <v xml:space="preserve"> </v>
      </c>
      <c r="AB71" s="511"/>
      <c r="AC71" s="1"/>
      <c r="AD71" s="1"/>
    </row>
    <row r="72" spans="1:30" ht="24" customHeight="1" x14ac:dyDescent="0.3">
      <c r="A72" s="487">
        <v>70</v>
      </c>
      <c r="B72" s="1"/>
      <c r="C72" s="491"/>
      <c r="D72" s="491"/>
      <c r="E72" s="491"/>
      <c r="F7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2" s="495"/>
      <c r="H72" s="495"/>
      <c r="I72" s="495"/>
      <c r="J72" s="495"/>
      <c r="K72" s="495"/>
      <c r="L72" s="497"/>
      <c r="M7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2" s="35" t="str">
        <f>IF(Inventory_List_Table3411151091113171814161920212223[[#This Row],[Q]]&lt;0.1, " ", Inventory_List_Table3411151091113171814161920212223[[#This Row],[KG]]*2.20462)</f>
        <v xml:space="preserve"> </v>
      </c>
      <c r="O72" s="35" t="str">
        <f>IF(Inventory_List_Table3411151091113171814161920212223[[#This Row],[Q]]&lt;0.1, " ",Inventory_List_Table3411151091113171814161920212223[[#This Row],[H CM]]/2.54)</f>
        <v xml:space="preserve"> </v>
      </c>
      <c r="P72" s="35" t="str">
        <f>IF(Inventory_List_Table3411151091113171814161920212223[[#This Row],[Q]]&lt;0.1, " ",Inventory_List_Table3411151091113171814161920212223[[#This Row],[W CM]]/2.54)</f>
        <v xml:space="preserve"> </v>
      </c>
      <c r="Q72" s="35" t="str">
        <f>IF(Inventory_List_Table3411151091113171814161920212223[[#This Row],[Q]]&lt;0.1, " ",Inventory_List_Table3411151091113171814161920212223[[#This Row],[D CM ]]/2.54)</f>
        <v xml:space="preserve"> </v>
      </c>
      <c r="R72" s="30" t="str">
        <f>IF(Inventory_List_Table3411151091113171814161920212223[[#This Row],[Q]]&lt;0.1, " ",Inventory_List_Table3411151091113171814161920212223[[#This Row],[PRICE]]/$L$1)</f>
        <v xml:space="preserve"> </v>
      </c>
      <c r="S7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2" s="30" t="str">
        <f>IF(Inventory_List_Table3411151091113171814161920212223[[#This Row],[Q]]&lt;0.1, " ",Inventory_List_Table3411151091113171814161920212223[[#This Row],[AQ RND USD]]*1.4)</f>
        <v xml:space="preserve"> </v>
      </c>
      <c r="U7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2" s="30" t="str">
        <f>IF(Inventory_List_Table3411151091113171814161920212223[[#This Row],[Q]]&lt;0.1, " ",Inventory_List_Table3411151091113171814161920212223[[#This Row],[LND RND USD]]*12)</f>
        <v xml:space="preserve"> </v>
      </c>
      <c r="W72" s="30" t="str">
        <f>IF(Inventory_List_Table3411151091113171814161920212223[[#This Row],[Q]]&lt;0.1, " ",Inventory_List_Table3411151091113171814161920212223[[#This Row],[AQ USD]])</f>
        <v xml:space="preserve"> </v>
      </c>
      <c r="X7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2" s="30" t="str">
        <f>IF(Inventory_List_Table3411151091113171814161920212223[[#This Row],[Q]]&lt;0.1, " ",Inventory_List_Table3411151091113171814161920212223[[#This Row],[PRICE]]/Z72*10000)</f>
        <v xml:space="preserve"> </v>
      </c>
      <c r="AB72" s="511"/>
      <c r="AC72" s="1"/>
      <c r="AD72" s="1"/>
    </row>
    <row r="73" spans="1:30" ht="24" customHeight="1" x14ac:dyDescent="0.3">
      <c r="A73" s="487">
        <v>71</v>
      </c>
      <c r="B73" s="1"/>
      <c r="C73" s="491"/>
      <c r="D73" s="491"/>
      <c r="E73" s="491"/>
      <c r="F7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3" s="495"/>
      <c r="H73" s="495"/>
      <c r="I73" s="495"/>
      <c r="J73" s="495"/>
      <c r="K73" s="495"/>
      <c r="L73" s="497"/>
      <c r="M7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3" s="35" t="str">
        <f>IF(Inventory_List_Table3411151091113171814161920212223[[#This Row],[Q]]&lt;0.1, " ", Inventory_List_Table3411151091113171814161920212223[[#This Row],[KG]]*2.20462)</f>
        <v xml:space="preserve"> </v>
      </c>
      <c r="O73" s="35" t="str">
        <f>IF(Inventory_List_Table3411151091113171814161920212223[[#This Row],[Q]]&lt;0.1, " ",Inventory_List_Table3411151091113171814161920212223[[#This Row],[H CM]]/2.54)</f>
        <v xml:space="preserve"> </v>
      </c>
      <c r="P73" s="35" t="str">
        <f>IF(Inventory_List_Table3411151091113171814161920212223[[#This Row],[Q]]&lt;0.1, " ",Inventory_List_Table3411151091113171814161920212223[[#This Row],[W CM]]/2.54)</f>
        <v xml:space="preserve"> </v>
      </c>
      <c r="Q73" s="35" t="str">
        <f>IF(Inventory_List_Table3411151091113171814161920212223[[#This Row],[Q]]&lt;0.1, " ",Inventory_List_Table3411151091113171814161920212223[[#This Row],[D CM ]]/2.54)</f>
        <v xml:space="preserve"> </v>
      </c>
      <c r="R73" s="30" t="str">
        <f>IF(Inventory_List_Table3411151091113171814161920212223[[#This Row],[Q]]&lt;0.1, " ",Inventory_List_Table3411151091113171814161920212223[[#This Row],[PRICE]]/$L$1)</f>
        <v xml:space="preserve"> </v>
      </c>
      <c r="S7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3" s="30" t="str">
        <f>IF(Inventory_List_Table3411151091113171814161920212223[[#This Row],[Q]]&lt;0.1, " ",Inventory_List_Table3411151091113171814161920212223[[#This Row],[AQ RND USD]]*1.4)</f>
        <v xml:space="preserve"> </v>
      </c>
      <c r="U7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3" s="30" t="str">
        <f>IF(Inventory_List_Table3411151091113171814161920212223[[#This Row],[Q]]&lt;0.1, " ",Inventory_List_Table3411151091113171814161920212223[[#This Row],[LND RND USD]]*12)</f>
        <v xml:space="preserve"> </v>
      </c>
      <c r="W73" s="30" t="str">
        <f>IF(Inventory_List_Table3411151091113171814161920212223[[#This Row],[Q]]&lt;0.1, " ",Inventory_List_Table3411151091113171814161920212223[[#This Row],[AQ USD]])</f>
        <v xml:space="preserve"> </v>
      </c>
      <c r="X7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3" s="30" t="str">
        <f>IF(Inventory_List_Table3411151091113171814161920212223[[#This Row],[Q]]&lt;0.1, " ",Inventory_List_Table3411151091113171814161920212223[[#This Row],[PRICE]]/Z73*10000)</f>
        <v xml:space="preserve"> </v>
      </c>
      <c r="AB73" s="511"/>
      <c r="AC73" s="1"/>
      <c r="AD73" s="1"/>
    </row>
    <row r="74" spans="1:30" ht="24" customHeight="1" x14ac:dyDescent="0.3">
      <c r="A74" s="487">
        <v>72</v>
      </c>
      <c r="B74" s="1"/>
      <c r="C74" s="491"/>
      <c r="D74" s="491"/>
      <c r="E74" s="491"/>
      <c r="F7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4" s="495"/>
      <c r="H74" s="495"/>
      <c r="I74" s="495"/>
      <c r="J74" s="495"/>
      <c r="K74" s="495"/>
      <c r="L74" s="497"/>
      <c r="M7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4" s="35" t="str">
        <f>IF(Inventory_List_Table3411151091113171814161920212223[[#This Row],[Q]]&lt;0.1, " ", Inventory_List_Table3411151091113171814161920212223[[#This Row],[KG]]*2.20462)</f>
        <v xml:space="preserve"> </v>
      </c>
      <c r="O74" s="35" t="str">
        <f>IF(Inventory_List_Table3411151091113171814161920212223[[#This Row],[Q]]&lt;0.1, " ",Inventory_List_Table3411151091113171814161920212223[[#This Row],[H CM]]/2.54)</f>
        <v xml:space="preserve"> </v>
      </c>
      <c r="P74" s="35" t="str">
        <f>IF(Inventory_List_Table3411151091113171814161920212223[[#This Row],[Q]]&lt;0.1, " ",Inventory_List_Table3411151091113171814161920212223[[#This Row],[W CM]]/2.54)</f>
        <v xml:space="preserve"> </v>
      </c>
      <c r="Q74" s="35" t="str">
        <f>IF(Inventory_List_Table3411151091113171814161920212223[[#This Row],[Q]]&lt;0.1, " ",Inventory_List_Table3411151091113171814161920212223[[#This Row],[D CM ]]/2.54)</f>
        <v xml:space="preserve"> </v>
      </c>
      <c r="R74" s="30" t="str">
        <f>IF(Inventory_List_Table3411151091113171814161920212223[[#This Row],[Q]]&lt;0.1, " ",Inventory_List_Table3411151091113171814161920212223[[#This Row],[PRICE]]/$L$1)</f>
        <v xml:space="preserve"> </v>
      </c>
      <c r="S7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4" s="30" t="str">
        <f>IF(Inventory_List_Table3411151091113171814161920212223[[#This Row],[Q]]&lt;0.1, " ",Inventory_List_Table3411151091113171814161920212223[[#This Row],[AQ RND USD]]*1.4)</f>
        <v xml:space="preserve"> </v>
      </c>
      <c r="U7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4" s="30" t="str">
        <f>IF(Inventory_List_Table3411151091113171814161920212223[[#This Row],[Q]]&lt;0.1, " ",Inventory_List_Table3411151091113171814161920212223[[#This Row],[LND RND USD]]*12)</f>
        <v xml:space="preserve"> </v>
      </c>
      <c r="W74" s="30" t="str">
        <f>IF(Inventory_List_Table3411151091113171814161920212223[[#This Row],[Q]]&lt;0.1, " ",Inventory_List_Table3411151091113171814161920212223[[#This Row],[AQ USD]])</f>
        <v xml:space="preserve"> </v>
      </c>
      <c r="X7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4" s="30" t="str">
        <f>IF(Inventory_List_Table3411151091113171814161920212223[[#This Row],[Q]]&lt;0.1, " ",Inventory_List_Table3411151091113171814161920212223[[#This Row],[PRICE]]/Z74*10000)</f>
        <v xml:space="preserve"> </v>
      </c>
      <c r="AB74" s="511"/>
      <c r="AC74" s="1"/>
      <c r="AD74" s="1"/>
    </row>
    <row r="75" spans="1:30" ht="24" customHeight="1" x14ac:dyDescent="0.3">
      <c r="A75" s="487">
        <v>73</v>
      </c>
      <c r="B75" s="1"/>
      <c r="C75" s="491"/>
      <c r="D75" s="491"/>
      <c r="E75" s="491"/>
      <c r="F7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5" s="495"/>
      <c r="H75" s="495"/>
      <c r="I75" s="495"/>
      <c r="J75" s="495"/>
      <c r="K75" s="495"/>
      <c r="L75" s="497"/>
      <c r="M7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5" s="35" t="str">
        <f>IF(Inventory_List_Table3411151091113171814161920212223[[#This Row],[Q]]&lt;0.1, " ", Inventory_List_Table3411151091113171814161920212223[[#This Row],[KG]]*2.20462)</f>
        <v xml:space="preserve"> </v>
      </c>
      <c r="O75" s="35" t="str">
        <f>IF(Inventory_List_Table3411151091113171814161920212223[[#This Row],[Q]]&lt;0.1, " ",Inventory_List_Table3411151091113171814161920212223[[#This Row],[H CM]]/2.54)</f>
        <v xml:space="preserve"> </v>
      </c>
      <c r="P75" s="35" t="str">
        <f>IF(Inventory_List_Table3411151091113171814161920212223[[#This Row],[Q]]&lt;0.1, " ",Inventory_List_Table3411151091113171814161920212223[[#This Row],[W CM]]/2.54)</f>
        <v xml:space="preserve"> </v>
      </c>
      <c r="Q75" s="35" t="str">
        <f>IF(Inventory_List_Table3411151091113171814161920212223[[#This Row],[Q]]&lt;0.1, " ",Inventory_List_Table3411151091113171814161920212223[[#This Row],[D CM ]]/2.54)</f>
        <v xml:space="preserve"> </v>
      </c>
      <c r="R75" s="30" t="str">
        <f>IF(Inventory_List_Table3411151091113171814161920212223[[#This Row],[Q]]&lt;0.1, " ",Inventory_List_Table3411151091113171814161920212223[[#This Row],[PRICE]]/$L$1)</f>
        <v xml:space="preserve"> </v>
      </c>
      <c r="S7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5" s="30" t="str">
        <f>IF(Inventory_List_Table3411151091113171814161920212223[[#This Row],[Q]]&lt;0.1, " ",Inventory_List_Table3411151091113171814161920212223[[#This Row],[AQ RND USD]]*1.4)</f>
        <v xml:space="preserve"> </v>
      </c>
      <c r="U7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5" s="30" t="str">
        <f>IF(Inventory_List_Table3411151091113171814161920212223[[#This Row],[Q]]&lt;0.1, " ",Inventory_List_Table3411151091113171814161920212223[[#This Row],[LND RND USD]]*12)</f>
        <v xml:space="preserve"> </v>
      </c>
      <c r="W75" s="30" t="str">
        <f>IF(Inventory_List_Table3411151091113171814161920212223[[#This Row],[Q]]&lt;0.1, " ",Inventory_List_Table3411151091113171814161920212223[[#This Row],[AQ USD]])</f>
        <v xml:space="preserve"> </v>
      </c>
      <c r="X7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5" s="30" t="str">
        <f>IF(Inventory_List_Table3411151091113171814161920212223[[#This Row],[Q]]&lt;0.1, " ",Inventory_List_Table3411151091113171814161920212223[[#This Row],[PRICE]]/Z75*10000)</f>
        <v xml:space="preserve"> </v>
      </c>
      <c r="AB75" s="511"/>
      <c r="AC75" s="1"/>
      <c r="AD75" s="1"/>
    </row>
    <row r="76" spans="1:30" ht="24" customHeight="1" x14ac:dyDescent="0.3">
      <c r="A76" s="487">
        <v>74</v>
      </c>
      <c r="B76" s="1"/>
      <c r="C76" s="491"/>
      <c r="D76" s="491"/>
      <c r="E76" s="491"/>
      <c r="F7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6" s="495"/>
      <c r="H76" s="495"/>
      <c r="I76" s="495"/>
      <c r="J76" s="495"/>
      <c r="K76" s="495"/>
      <c r="L76" s="497"/>
      <c r="M7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6" s="35" t="str">
        <f>IF(Inventory_List_Table3411151091113171814161920212223[[#This Row],[Q]]&lt;0.1, " ", Inventory_List_Table3411151091113171814161920212223[[#This Row],[KG]]*2.20462)</f>
        <v xml:space="preserve"> </v>
      </c>
      <c r="O76" s="35" t="str">
        <f>IF(Inventory_List_Table3411151091113171814161920212223[[#This Row],[Q]]&lt;0.1, " ",Inventory_List_Table3411151091113171814161920212223[[#This Row],[H CM]]/2.54)</f>
        <v xml:space="preserve"> </v>
      </c>
      <c r="P76" s="35" t="str">
        <f>IF(Inventory_List_Table3411151091113171814161920212223[[#This Row],[Q]]&lt;0.1, " ",Inventory_List_Table3411151091113171814161920212223[[#This Row],[W CM]]/2.54)</f>
        <v xml:space="preserve"> </v>
      </c>
      <c r="Q76" s="35" t="str">
        <f>IF(Inventory_List_Table3411151091113171814161920212223[[#This Row],[Q]]&lt;0.1, " ",Inventory_List_Table3411151091113171814161920212223[[#This Row],[D CM ]]/2.54)</f>
        <v xml:space="preserve"> </v>
      </c>
      <c r="R76" s="30" t="str">
        <f>IF(Inventory_List_Table3411151091113171814161920212223[[#This Row],[Q]]&lt;0.1, " ",Inventory_List_Table3411151091113171814161920212223[[#This Row],[PRICE]]/$L$1)</f>
        <v xml:space="preserve"> </v>
      </c>
      <c r="S7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6" s="30" t="str">
        <f>IF(Inventory_List_Table3411151091113171814161920212223[[#This Row],[Q]]&lt;0.1, " ",Inventory_List_Table3411151091113171814161920212223[[#This Row],[AQ RND USD]]*1.4)</f>
        <v xml:space="preserve"> </v>
      </c>
      <c r="U7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6" s="30" t="str">
        <f>IF(Inventory_List_Table3411151091113171814161920212223[[#This Row],[Q]]&lt;0.1, " ",Inventory_List_Table3411151091113171814161920212223[[#This Row],[LND RND USD]]*12)</f>
        <v xml:space="preserve"> </v>
      </c>
      <c r="W76" s="30" t="str">
        <f>IF(Inventory_List_Table3411151091113171814161920212223[[#This Row],[Q]]&lt;0.1, " ",Inventory_List_Table3411151091113171814161920212223[[#This Row],[AQ USD]])</f>
        <v xml:space="preserve"> </v>
      </c>
      <c r="X7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6" s="30" t="str">
        <f>IF(Inventory_List_Table3411151091113171814161920212223[[#This Row],[Q]]&lt;0.1, " ",Inventory_List_Table3411151091113171814161920212223[[#This Row],[PRICE]]/Z76*10000)</f>
        <v xml:space="preserve"> </v>
      </c>
      <c r="AB76" s="511"/>
      <c r="AC76" s="1"/>
      <c r="AD76" s="1"/>
    </row>
    <row r="77" spans="1:30" ht="24" customHeight="1" x14ac:dyDescent="0.3">
      <c r="A77" s="487">
        <v>75</v>
      </c>
      <c r="B77" s="1"/>
      <c r="C77" s="491"/>
      <c r="D77" s="491"/>
      <c r="E77" s="491"/>
      <c r="F7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7" s="495"/>
      <c r="H77" s="495"/>
      <c r="I77" s="495"/>
      <c r="J77" s="495"/>
      <c r="K77" s="495"/>
      <c r="L77" s="497"/>
      <c r="M7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7" s="35" t="str">
        <f>IF(Inventory_List_Table3411151091113171814161920212223[[#This Row],[Q]]&lt;0.1, " ", Inventory_List_Table3411151091113171814161920212223[[#This Row],[KG]]*2.20462)</f>
        <v xml:space="preserve"> </v>
      </c>
      <c r="O77" s="35" t="str">
        <f>IF(Inventory_List_Table3411151091113171814161920212223[[#This Row],[Q]]&lt;0.1, " ",Inventory_List_Table3411151091113171814161920212223[[#This Row],[H CM]]/2.54)</f>
        <v xml:space="preserve"> </v>
      </c>
      <c r="P77" s="35" t="str">
        <f>IF(Inventory_List_Table3411151091113171814161920212223[[#This Row],[Q]]&lt;0.1, " ",Inventory_List_Table3411151091113171814161920212223[[#This Row],[W CM]]/2.54)</f>
        <v xml:space="preserve"> </v>
      </c>
      <c r="Q77" s="35" t="str">
        <f>IF(Inventory_List_Table3411151091113171814161920212223[[#This Row],[Q]]&lt;0.1, " ",Inventory_List_Table3411151091113171814161920212223[[#This Row],[D CM ]]/2.54)</f>
        <v xml:space="preserve"> </v>
      </c>
      <c r="R77" s="30" t="str">
        <f>IF(Inventory_List_Table3411151091113171814161920212223[[#This Row],[Q]]&lt;0.1, " ",Inventory_List_Table3411151091113171814161920212223[[#This Row],[PRICE]]/$L$1)</f>
        <v xml:space="preserve"> </v>
      </c>
      <c r="S7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7" s="30" t="str">
        <f>IF(Inventory_List_Table3411151091113171814161920212223[[#This Row],[Q]]&lt;0.1, " ",Inventory_List_Table3411151091113171814161920212223[[#This Row],[AQ RND USD]]*1.4)</f>
        <v xml:space="preserve"> </v>
      </c>
      <c r="U7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7" s="30" t="str">
        <f>IF(Inventory_List_Table3411151091113171814161920212223[[#This Row],[Q]]&lt;0.1, " ",Inventory_List_Table3411151091113171814161920212223[[#This Row],[LND RND USD]]*12)</f>
        <v xml:space="preserve"> </v>
      </c>
      <c r="W77" s="30" t="str">
        <f>IF(Inventory_List_Table3411151091113171814161920212223[[#This Row],[Q]]&lt;0.1, " ",Inventory_List_Table3411151091113171814161920212223[[#This Row],[AQ USD]])</f>
        <v xml:space="preserve"> </v>
      </c>
      <c r="X7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7" s="30" t="str">
        <f>IF(Inventory_List_Table3411151091113171814161920212223[[#This Row],[Q]]&lt;0.1, " ",Inventory_List_Table3411151091113171814161920212223[[#This Row],[PRICE]]/Z77*10000)</f>
        <v xml:space="preserve"> </v>
      </c>
      <c r="AB77" s="511"/>
      <c r="AC77" s="1"/>
      <c r="AD77" s="1"/>
    </row>
    <row r="78" spans="1:30" ht="24" customHeight="1" x14ac:dyDescent="0.3">
      <c r="A78" s="487">
        <v>76</v>
      </c>
      <c r="B78" s="1"/>
      <c r="C78" s="491"/>
      <c r="D78" s="491"/>
      <c r="E78" s="491"/>
      <c r="F7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8" s="495"/>
      <c r="H78" s="495"/>
      <c r="I78" s="495"/>
      <c r="J78" s="495"/>
      <c r="K78" s="495"/>
      <c r="L78" s="497"/>
      <c r="M7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8" s="35" t="str">
        <f>IF(Inventory_List_Table3411151091113171814161920212223[[#This Row],[Q]]&lt;0.1, " ", Inventory_List_Table3411151091113171814161920212223[[#This Row],[KG]]*2.20462)</f>
        <v xml:space="preserve"> </v>
      </c>
      <c r="O78" s="35" t="str">
        <f>IF(Inventory_List_Table3411151091113171814161920212223[[#This Row],[Q]]&lt;0.1, " ",Inventory_List_Table3411151091113171814161920212223[[#This Row],[H CM]]/2.54)</f>
        <v xml:space="preserve"> </v>
      </c>
      <c r="P78" s="35" t="str">
        <f>IF(Inventory_List_Table3411151091113171814161920212223[[#This Row],[Q]]&lt;0.1, " ",Inventory_List_Table3411151091113171814161920212223[[#This Row],[W CM]]/2.54)</f>
        <v xml:space="preserve"> </v>
      </c>
      <c r="Q78" s="35" t="str">
        <f>IF(Inventory_List_Table3411151091113171814161920212223[[#This Row],[Q]]&lt;0.1, " ",Inventory_List_Table3411151091113171814161920212223[[#This Row],[D CM ]]/2.54)</f>
        <v xml:space="preserve"> </v>
      </c>
      <c r="R78" s="30" t="str">
        <f>IF(Inventory_List_Table3411151091113171814161920212223[[#This Row],[Q]]&lt;0.1, " ",Inventory_List_Table3411151091113171814161920212223[[#This Row],[PRICE]]/$L$1)</f>
        <v xml:space="preserve"> </v>
      </c>
      <c r="S7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8" s="30" t="str">
        <f>IF(Inventory_List_Table3411151091113171814161920212223[[#This Row],[Q]]&lt;0.1, " ",Inventory_List_Table3411151091113171814161920212223[[#This Row],[AQ RND USD]]*1.4)</f>
        <v xml:space="preserve"> </v>
      </c>
      <c r="U7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8" s="30" t="str">
        <f>IF(Inventory_List_Table3411151091113171814161920212223[[#This Row],[Q]]&lt;0.1, " ",Inventory_List_Table3411151091113171814161920212223[[#This Row],[LND RND USD]]*12)</f>
        <v xml:space="preserve"> </v>
      </c>
      <c r="W78" s="30" t="str">
        <f>IF(Inventory_List_Table3411151091113171814161920212223[[#This Row],[Q]]&lt;0.1, " ",Inventory_List_Table3411151091113171814161920212223[[#This Row],[AQ USD]])</f>
        <v xml:space="preserve"> </v>
      </c>
      <c r="X7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8" s="30" t="str">
        <f>IF(Inventory_List_Table3411151091113171814161920212223[[#This Row],[Q]]&lt;0.1, " ",Inventory_List_Table3411151091113171814161920212223[[#This Row],[PRICE]]/Z78*10000)</f>
        <v xml:space="preserve"> </v>
      </c>
      <c r="AB78" s="511"/>
      <c r="AC78" s="1"/>
      <c r="AD78" s="1"/>
    </row>
    <row r="79" spans="1:30" ht="24" customHeight="1" x14ac:dyDescent="0.3">
      <c r="A79" s="487">
        <v>77</v>
      </c>
      <c r="B79" s="1"/>
      <c r="C79" s="491"/>
      <c r="D79" s="491"/>
      <c r="E79" s="491"/>
      <c r="F7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79" s="495"/>
      <c r="H79" s="495"/>
      <c r="I79" s="495"/>
      <c r="J79" s="495"/>
      <c r="K79" s="495"/>
      <c r="L79" s="497"/>
      <c r="M7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79" s="35" t="str">
        <f>IF(Inventory_List_Table3411151091113171814161920212223[[#This Row],[Q]]&lt;0.1, " ", Inventory_List_Table3411151091113171814161920212223[[#This Row],[KG]]*2.20462)</f>
        <v xml:space="preserve"> </v>
      </c>
      <c r="O79" s="35" t="str">
        <f>IF(Inventory_List_Table3411151091113171814161920212223[[#This Row],[Q]]&lt;0.1, " ",Inventory_List_Table3411151091113171814161920212223[[#This Row],[H CM]]/2.54)</f>
        <v xml:space="preserve"> </v>
      </c>
      <c r="P79" s="35" t="str">
        <f>IF(Inventory_List_Table3411151091113171814161920212223[[#This Row],[Q]]&lt;0.1, " ",Inventory_List_Table3411151091113171814161920212223[[#This Row],[W CM]]/2.54)</f>
        <v xml:space="preserve"> </v>
      </c>
      <c r="Q79" s="35" t="str">
        <f>IF(Inventory_List_Table3411151091113171814161920212223[[#This Row],[Q]]&lt;0.1, " ",Inventory_List_Table3411151091113171814161920212223[[#This Row],[D CM ]]/2.54)</f>
        <v xml:space="preserve"> </v>
      </c>
      <c r="R79" s="30" t="str">
        <f>IF(Inventory_List_Table3411151091113171814161920212223[[#This Row],[Q]]&lt;0.1, " ",Inventory_List_Table3411151091113171814161920212223[[#This Row],[PRICE]]/$L$1)</f>
        <v xml:space="preserve"> </v>
      </c>
      <c r="S7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79" s="30" t="str">
        <f>IF(Inventory_List_Table3411151091113171814161920212223[[#This Row],[Q]]&lt;0.1, " ",Inventory_List_Table3411151091113171814161920212223[[#This Row],[AQ RND USD]]*1.4)</f>
        <v xml:space="preserve"> </v>
      </c>
      <c r="U7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79" s="30" t="str">
        <f>IF(Inventory_List_Table3411151091113171814161920212223[[#This Row],[Q]]&lt;0.1, " ",Inventory_List_Table3411151091113171814161920212223[[#This Row],[LND RND USD]]*12)</f>
        <v xml:space="preserve"> </v>
      </c>
      <c r="W79" s="30" t="str">
        <f>IF(Inventory_List_Table3411151091113171814161920212223[[#This Row],[Q]]&lt;0.1, " ",Inventory_List_Table3411151091113171814161920212223[[#This Row],[AQ USD]])</f>
        <v xml:space="preserve"> </v>
      </c>
      <c r="X7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7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7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79" s="30" t="str">
        <f>IF(Inventory_List_Table3411151091113171814161920212223[[#This Row],[Q]]&lt;0.1, " ",Inventory_List_Table3411151091113171814161920212223[[#This Row],[PRICE]]/Z79*10000)</f>
        <v xml:space="preserve"> </v>
      </c>
      <c r="AB79" s="511"/>
      <c r="AC79" s="1"/>
      <c r="AD79" s="1"/>
    </row>
    <row r="80" spans="1:30" ht="24" customHeight="1" x14ac:dyDescent="0.3">
      <c r="A80" s="487">
        <v>78</v>
      </c>
      <c r="B80" s="1"/>
      <c r="C80" s="491"/>
      <c r="D80" s="491"/>
      <c r="E80" s="491"/>
      <c r="F8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0" s="495"/>
      <c r="H80" s="495"/>
      <c r="I80" s="495"/>
      <c r="J80" s="495"/>
      <c r="K80" s="495"/>
      <c r="L80" s="497"/>
      <c r="M8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0" s="35" t="str">
        <f>IF(Inventory_List_Table3411151091113171814161920212223[[#This Row],[Q]]&lt;0.1, " ", Inventory_List_Table3411151091113171814161920212223[[#This Row],[KG]]*2.20462)</f>
        <v xml:space="preserve"> </v>
      </c>
      <c r="O80" s="35" t="str">
        <f>IF(Inventory_List_Table3411151091113171814161920212223[[#This Row],[Q]]&lt;0.1, " ",Inventory_List_Table3411151091113171814161920212223[[#This Row],[H CM]]/2.54)</f>
        <v xml:space="preserve"> </v>
      </c>
      <c r="P80" s="35" t="str">
        <f>IF(Inventory_List_Table3411151091113171814161920212223[[#This Row],[Q]]&lt;0.1, " ",Inventory_List_Table3411151091113171814161920212223[[#This Row],[W CM]]/2.54)</f>
        <v xml:space="preserve"> </v>
      </c>
      <c r="Q80" s="35" t="str">
        <f>IF(Inventory_List_Table3411151091113171814161920212223[[#This Row],[Q]]&lt;0.1, " ",Inventory_List_Table3411151091113171814161920212223[[#This Row],[D CM ]]/2.54)</f>
        <v xml:space="preserve"> </v>
      </c>
      <c r="R80" s="30" t="str">
        <f>IF(Inventory_List_Table3411151091113171814161920212223[[#This Row],[Q]]&lt;0.1, " ",Inventory_List_Table3411151091113171814161920212223[[#This Row],[PRICE]]/$L$1)</f>
        <v xml:space="preserve"> </v>
      </c>
      <c r="S8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0" s="30" t="str">
        <f>IF(Inventory_List_Table3411151091113171814161920212223[[#This Row],[Q]]&lt;0.1, " ",Inventory_List_Table3411151091113171814161920212223[[#This Row],[AQ RND USD]]*1.4)</f>
        <v xml:space="preserve"> </v>
      </c>
      <c r="U8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0" s="30" t="str">
        <f>IF(Inventory_List_Table3411151091113171814161920212223[[#This Row],[Q]]&lt;0.1, " ",Inventory_List_Table3411151091113171814161920212223[[#This Row],[LND RND USD]]*12)</f>
        <v xml:space="preserve"> </v>
      </c>
      <c r="W80" s="30" t="str">
        <f>IF(Inventory_List_Table3411151091113171814161920212223[[#This Row],[Q]]&lt;0.1, " ",Inventory_List_Table3411151091113171814161920212223[[#This Row],[AQ USD]])</f>
        <v xml:space="preserve"> </v>
      </c>
      <c r="X8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0" s="30" t="str">
        <f>IF(Inventory_List_Table3411151091113171814161920212223[[#This Row],[Q]]&lt;0.1, " ",Inventory_List_Table3411151091113171814161920212223[[#This Row],[PRICE]]/Z80*10000)</f>
        <v xml:space="preserve"> </v>
      </c>
      <c r="AB80" s="511"/>
      <c r="AC80" s="1"/>
      <c r="AD80" s="1"/>
    </row>
    <row r="81" spans="1:30" ht="24" customHeight="1" x14ac:dyDescent="0.3">
      <c r="A81" s="487">
        <v>79</v>
      </c>
      <c r="B81" s="1"/>
      <c r="C81" s="491"/>
      <c r="D81" s="491"/>
      <c r="E81" s="491"/>
      <c r="F8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1" s="495"/>
      <c r="H81" s="495"/>
      <c r="I81" s="495"/>
      <c r="J81" s="495"/>
      <c r="K81" s="495"/>
      <c r="L81" s="497"/>
      <c r="M8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1" s="35" t="str">
        <f>IF(Inventory_List_Table3411151091113171814161920212223[[#This Row],[Q]]&lt;0.1, " ", Inventory_List_Table3411151091113171814161920212223[[#This Row],[KG]]*2.20462)</f>
        <v xml:space="preserve"> </v>
      </c>
      <c r="O81" s="35" t="str">
        <f>IF(Inventory_List_Table3411151091113171814161920212223[[#This Row],[Q]]&lt;0.1, " ",Inventory_List_Table3411151091113171814161920212223[[#This Row],[H CM]]/2.54)</f>
        <v xml:space="preserve"> </v>
      </c>
      <c r="P81" s="35" t="str">
        <f>IF(Inventory_List_Table3411151091113171814161920212223[[#This Row],[Q]]&lt;0.1, " ",Inventory_List_Table3411151091113171814161920212223[[#This Row],[W CM]]/2.54)</f>
        <v xml:space="preserve"> </v>
      </c>
      <c r="Q81" s="35" t="str">
        <f>IF(Inventory_List_Table3411151091113171814161920212223[[#This Row],[Q]]&lt;0.1, " ",Inventory_List_Table3411151091113171814161920212223[[#This Row],[D CM ]]/2.54)</f>
        <v xml:space="preserve"> </v>
      </c>
      <c r="R81" s="30" t="str">
        <f>IF(Inventory_List_Table3411151091113171814161920212223[[#This Row],[Q]]&lt;0.1, " ",Inventory_List_Table3411151091113171814161920212223[[#This Row],[PRICE]]/$L$1)</f>
        <v xml:space="preserve"> </v>
      </c>
      <c r="S8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1" s="30" t="str">
        <f>IF(Inventory_List_Table3411151091113171814161920212223[[#This Row],[Q]]&lt;0.1, " ",Inventory_List_Table3411151091113171814161920212223[[#This Row],[AQ RND USD]]*1.4)</f>
        <v xml:space="preserve"> </v>
      </c>
      <c r="U8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1" s="30" t="str">
        <f>IF(Inventory_List_Table3411151091113171814161920212223[[#This Row],[Q]]&lt;0.1, " ",Inventory_List_Table3411151091113171814161920212223[[#This Row],[LND RND USD]]*12)</f>
        <v xml:space="preserve"> </v>
      </c>
      <c r="W81" s="30" t="str">
        <f>IF(Inventory_List_Table3411151091113171814161920212223[[#This Row],[Q]]&lt;0.1, " ",Inventory_List_Table3411151091113171814161920212223[[#This Row],[AQ USD]])</f>
        <v xml:space="preserve"> </v>
      </c>
      <c r="X8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1" s="30" t="str">
        <f>IF(Inventory_List_Table3411151091113171814161920212223[[#This Row],[Q]]&lt;0.1, " ",Inventory_List_Table3411151091113171814161920212223[[#This Row],[PRICE]]/Z81*10000)</f>
        <v xml:space="preserve"> </v>
      </c>
      <c r="AB81" s="511"/>
      <c r="AC81" s="1"/>
      <c r="AD81" s="1"/>
    </row>
    <row r="82" spans="1:30" ht="24" customHeight="1" x14ac:dyDescent="0.3">
      <c r="A82" s="487">
        <v>80</v>
      </c>
      <c r="B82" s="1"/>
      <c r="C82" s="491"/>
      <c r="D82" s="491"/>
      <c r="E82" s="491"/>
      <c r="F8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2" s="495"/>
      <c r="H82" s="495"/>
      <c r="I82" s="495"/>
      <c r="J82" s="495"/>
      <c r="K82" s="495"/>
      <c r="L82" s="497"/>
      <c r="M8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2" s="35" t="str">
        <f>IF(Inventory_List_Table3411151091113171814161920212223[[#This Row],[Q]]&lt;0.1, " ", Inventory_List_Table3411151091113171814161920212223[[#This Row],[KG]]*2.20462)</f>
        <v xml:space="preserve"> </v>
      </c>
      <c r="O82" s="35" t="str">
        <f>IF(Inventory_List_Table3411151091113171814161920212223[[#This Row],[Q]]&lt;0.1, " ",Inventory_List_Table3411151091113171814161920212223[[#This Row],[H CM]]/2.54)</f>
        <v xml:space="preserve"> </v>
      </c>
      <c r="P82" s="35" t="str">
        <f>IF(Inventory_List_Table3411151091113171814161920212223[[#This Row],[Q]]&lt;0.1, " ",Inventory_List_Table3411151091113171814161920212223[[#This Row],[W CM]]/2.54)</f>
        <v xml:space="preserve"> </v>
      </c>
      <c r="Q82" s="35" t="str">
        <f>IF(Inventory_List_Table3411151091113171814161920212223[[#This Row],[Q]]&lt;0.1, " ",Inventory_List_Table3411151091113171814161920212223[[#This Row],[D CM ]]/2.54)</f>
        <v xml:space="preserve"> </v>
      </c>
      <c r="R82" s="30" t="str">
        <f>IF(Inventory_List_Table3411151091113171814161920212223[[#This Row],[Q]]&lt;0.1, " ",Inventory_List_Table3411151091113171814161920212223[[#This Row],[PRICE]]/$L$1)</f>
        <v xml:space="preserve"> </v>
      </c>
      <c r="S8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2" s="30" t="str">
        <f>IF(Inventory_List_Table3411151091113171814161920212223[[#This Row],[Q]]&lt;0.1, " ",Inventory_List_Table3411151091113171814161920212223[[#This Row],[AQ RND USD]]*1.4)</f>
        <v xml:space="preserve"> </v>
      </c>
      <c r="U8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2" s="30" t="str">
        <f>IF(Inventory_List_Table3411151091113171814161920212223[[#This Row],[Q]]&lt;0.1, " ",Inventory_List_Table3411151091113171814161920212223[[#This Row],[LND RND USD]]*12)</f>
        <v xml:space="preserve"> </v>
      </c>
      <c r="W82" s="30" t="str">
        <f>IF(Inventory_List_Table3411151091113171814161920212223[[#This Row],[Q]]&lt;0.1, " ",Inventory_List_Table3411151091113171814161920212223[[#This Row],[AQ USD]])</f>
        <v xml:space="preserve"> </v>
      </c>
      <c r="X8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2" s="30" t="str">
        <f>IF(Inventory_List_Table3411151091113171814161920212223[[#This Row],[Q]]&lt;0.1, " ",Inventory_List_Table3411151091113171814161920212223[[#This Row],[PRICE]]/Z82*10000)</f>
        <v xml:space="preserve"> </v>
      </c>
      <c r="AB82" s="511"/>
      <c r="AC82" s="1"/>
      <c r="AD82" s="1"/>
    </row>
    <row r="83" spans="1:30" ht="24" customHeight="1" x14ac:dyDescent="0.3">
      <c r="A83" s="487">
        <v>81</v>
      </c>
      <c r="B83" s="1"/>
      <c r="C83" s="491"/>
      <c r="D83" s="491"/>
      <c r="E83" s="491"/>
      <c r="F8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3" s="495"/>
      <c r="H83" s="495"/>
      <c r="I83" s="495"/>
      <c r="J83" s="495"/>
      <c r="K83" s="495"/>
      <c r="L83" s="497"/>
      <c r="M8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3" s="35" t="str">
        <f>IF(Inventory_List_Table3411151091113171814161920212223[[#This Row],[Q]]&lt;0.1, " ", Inventory_List_Table3411151091113171814161920212223[[#This Row],[KG]]*2.20462)</f>
        <v xml:space="preserve"> </v>
      </c>
      <c r="O83" s="35" t="str">
        <f>IF(Inventory_List_Table3411151091113171814161920212223[[#This Row],[Q]]&lt;0.1, " ",Inventory_List_Table3411151091113171814161920212223[[#This Row],[H CM]]/2.54)</f>
        <v xml:space="preserve"> </v>
      </c>
      <c r="P83" s="35" t="str">
        <f>IF(Inventory_List_Table3411151091113171814161920212223[[#This Row],[Q]]&lt;0.1, " ",Inventory_List_Table3411151091113171814161920212223[[#This Row],[W CM]]/2.54)</f>
        <v xml:space="preserve"> </v>
      </c>
      <c r="Q83" s="35" t="str">
        <f>IF(Inventory_List_Table3411151091113171814161920212223[[#This Row],[Q]]&lt;0.1, " ",Inventory_List_Table3411151091113171814161920212223[[#This Row],[D CM ]]/2.54)</f>
        <v xml:space="preserve"> </v>
      </c>
      <c r="R83" s="30" t="str">
        <f>IF(Inventory_List_Table3411151091113171814161920212223[[#This Row],[Q]]&lt;0.1, " ",Inventory_List_Table3411151091113171814161920212223[[#This Row],[PRICE]]/$L$1)</f>
        <v xml:space="preserve"> </v>
      </c>
      <c r="S8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3" s="30" t="str">
        <f>IF(Inventory_List_Table3411151091113171814161920212223[[#This Row],[Q]]&lt;0.1, " ",Inventory_List_Table3411151091113171814161920212223[[#This Row],[AQ RND USD]]*1.4)</f>
        <v xml:space="preserve"> </v>
      </c>
      <c r="U8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3" s="30" t="str">
        <f>IF(Inventory_List_Table3411151091113171814161920212223[[#This Row],[Q]]&lt;0.1, " ",Inventory_List_Table3411151091113171814161920212223[[#This Row],[LND RND USD]]*12)</f>
        <v xml:space="preserve"> </v>
      </c>
      <c r="W83" s="30" t="str">
        <f>IF(Inventory_List_Table3411151091113171814161920212223[[#This Row],[Q]]&lt;0.1, " ",Inventory_List_Table3411151091113171814161920212223[[#This Row],[AQ USD]])</f>
        <v xml:space="preserve"> </v>
      </c>
      <c r="X8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3" s="30" t="str">
        <f>IF(Inventory_List_Table3411151091113171814161920212223[[#This Row],[Q]]&lt;0.1, " ",Inventory_List_Table3411151091113171814161920212223[[#This Row],[PRICE]]/Z83*10000)</f>
        <v xml:space="preserve"> </v>
      </c>
      <c r="AB83" s="511"/>
      <c r="AC83" s="1"/>
      <c r="AD83" s="1"/>
    </row>
    <row r="84" spans="1:30" ht="24" customHeight="1" x14ac:dyDescent="0.3">
      <c r="A84" s="487">
        <v>82</v>
      </c>
      <c r="B84" s="1"/>
      <c r="C84" s="491"/>
      <c r="D84" s="491"/>
      <c r="E84" s="491"/>
      <c r="F8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4" s="495"/>
      <c r="H84" s="495"/>
      <c r="I84" s="495"/>
      <c r="J84" s="495"/>
      <c r="K84" s="495"/>
      <c r="L84" s="497"/>
      <c r="M8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4" s="35" t="str">
        <f>IF(Inventory_List_Table3411151091113171814161920212223[[#This Row],[Q]]&lt;0.1, " ", Inventory_List_Table3411151091113171814161920212223[[#This Row],[KG]]*2.20462)</f>
        <v xml:space="preserve"> </v>
      </c>
      <c r="O84" s="35" t="str">
        <f>IF(Inventory_List_Table3411151091113171814161920212223[[#This Row],[Q]]&lt;0.1, " ",Inventory_List_Table3411151091113171814161920212223[[#This Row],[H CM]]/2.54)</f>
        <v xml:space="preserve"> </v>
      </c>
      <c r="P84" s="35" t="str">
        <f>IF(Inventory_List_Table3411151091113171814161920212223[[#This Row],[Q]]&lt;0.1, " ",Inventory_List_Table3411151091113171814161920212223[[#This Row],[W CM]]/2.54)</f>
        <v xml:space="preserve"> </v>
      </c>
      <c r="Q84" s="35" t="str">
        <f>IF(Inventory_List_Table3411151091113171814161920212223[[#This Row],[Q]]&lt;0.1, " ",Inventory_List_Table3411151091113171814161920212223[[#This Row],[D CM ]]/2.54)</f>
        <v xml:space="preserve"> </v>
      </c>
      <c r="R84" s="30" t="str">
        <f>IF(Inventory_List_Table3411151091113171814161920212223[[#This Row],[Q]]&lt;0.1, " ",Inventory_List_Table3411151091113171814161920212223[[#This Row],[PRICE]]/$L$1)</f>
        <v xml:space="preserve"> </v>
      </c>
      <c r="S8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4" s="30" t="str">
        <f>IF(Inventory_List_Table3411151091113171814161920212223[[#This Row],[Q]]&lt;0.1, " ",Inventory_List_Table3411151091113171814161920212223[[#This Row],[AQ RND USD]]*1.4)</f>
        <v xml:space="preserve"> </v>
      </c>
      <c r="U8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4" s="30" t="str">
        <f>IF(Inventory_List_Table3411151091113171814161920212223[[#This Row],[Q]]&lt;0.1, " ",Inventory_List_Table3411151091113171814161920212223[[#This Row],[LND RND USD]]*12)</f>
        <v xml:space="preserve"> </v>
      </c>
      <c r="W84" s="30" t="str">
        <f>IF(Inventory_List_Table3411151091113171814161920212223[[#This Row],[Q]]&lt;0.1, " ",Inventory_List_Table3411151091113171814161920212223[[#This Row],[AQ USD]])</f>
        <v xml:space="preserve"> </v>
      </c>
      <c r="X8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4" s="30" t="str">
        <f>IF(Inventory_List_Table3411151091113171814161920212223[[#This Row],[Q]]&lt;0.1, " ",Inventory_List_Table3411151091113171814161920212223[[#This Row],[PRICE]]/Z84*10000)</f>
        <v xml:space="preserve"> </v>
      </c>
      <c r="AB84" s="511"/>
      <c r="AC84" s="1"/>
      <c r="AD84" s="1"/>
    </row>
    <row r="85" spans="1:30" ht="24" customHeight="1" x14ac:dyDescent="0.3">
      <c r="A85" s="487">
        <v>83</v>
      </c>
      <c r="B85" s="1"/>
      <c r="C85" s="491"/>
      <c r="D85" s="491"/>
      <c r="E85" s="491"/>
      <c r="F8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5" s="495"/>
      <c r="H85" s="495"/>
      <c r="I85" s="495"/>
      <c r="J85" s="495"/>
      <c r="K85" s="495"/>
      <c r="L85" s="497"/>
      <c r="M8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5" s="35" t="str">
        <f>IF(Inventory_List_Table3411151091113171814161920212223[[#This Row],[Q]]&lt;0.1, " ", Inventory_List_Table3411151091113171814161920212223[[#This Row],[KG]]*2.20462)</f>
        <v xml:space="preserve"> </v>
      </c>
      <c r="O85" s="35" t="str">
        <f>IF(Inventory_List_Table3411151091113171814161920212223[[#This Row],[Q]]&lt;0.1, " ",Inventory_List_Table3411151091113171814161920212223[[#This Row],[H CM]]/2.54)</f>
        <v xml:space="preserve"> </v>
      </c>
      <c r="P85" s="35" t="str">
        <f>IF(Inventory_List_Table3411151091113171814161920212223[[#This Row],[Q]]&lt;0.1, " ",Inventory_List_Table3411151091113171814161920212223[[#This Row],[W CM]]/2.54)</f>
        <v xml:space="preserve"> </v>
      </c>
      <c r="Q85" s="35" t="str">
        <f>IF(Inventory_List_Table3411151091113171814161920212223[[#This Row],[Q]]&lt;0.1, " ",Inventory_List_Table3411151091113171814161920212223[[#This Row],[D CM ]]/2.54)</f>
        <v xml:space="preserve"> </v>
      </c>
      <c r="R85" s="30" t="str">
        <f>IF(Inventory_List_Table3411151091113171814161920212223[[#This Row],[Q]]&lt;0.1, " ",Inventory_List_Table3411151091113171814161920212223[[#This Row],[PRICE]]/$L$1)</f>
        <v xml:space="preserve"> </v>
      </c>
      <c r="S8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5" s="30" t="str">
        <f>IF(Inventory_List_Table3411151091113171814161920212223[[#This Row],[Q]]&lt;0.1, " ",Inventory_List_Table3411151091113171814161920212223[[#This Row],[AQ RND USD]]*1.4)</f>
        <v xml:space="preserve"> </v>
      </c>
      <c r="U8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5" s="30" t="str">
        <f>IF(Inventory_List_Table3411151091113171814161920212223[[#This Row],[Q]]&lt;0.1, " ",Inventory_List_Table3411151091113171814161920212223[[#This Row],[LND RND USD]]*12)</f>
        <v xml:space="preserve"> </v>
      </c>
      <c r="W85" s="30" t="str">
        <f>IF(Inventory_List_Table3411151091113171814161920212223[[#This Row],[Q]]&lt;0.1, " ",Inventory_List_Table3411151091113171814161920212223[[#This Row],[AQ USD]])</f>
        <v xml:space="preserve"> </v>
      </c>
      <c r="X8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5" s="30" t="str">
        <f>IF(Inventory_List_Table3411151091113171814161920212223[[#This Row],[Q]]&lt;0.1, " ",Inventory_List_Table3411151091113171814161920212223[[#This Row],[PRICE]]/Z85*10000)</f>
        <v xml:space="preserve"> </v>
      </c>
      <c r="AB85" s="511"/>
      <c r="AC85" s="1"/>
      <c r="AD85" s="1"/>
    </row>
    <row r="86" spans="1:30" ht="24" customHeight="1" x14ac:dyDescent="0.3">
      <c r="A86" s="487">
        <v>84</v>
      </c>
      <c r="B86" s="1"/>
      <c r="C86" s="491"/>
      <c r="D86" s="491"/>
      <c r="E86" s="491"/>
      <c r="F8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6" s="495"/>
      <c r="H86" s="495"/>
      <c r="I86" s="495"/>
      <c r="J86" s="495"/>
      <c r="K86" s="495"/>
      <c r="L86" s="497"/>
      <c r="M8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6" s="35" t="str">
        <f>IF(Inventory_List_Table3411151091113171814161920212223[[#This Row],[Q]]&lt;0.1, " ", Inventory_List_Table3411151091113171814161920212223[[#This Row],[KG]]*2.20462)</f>
        <v xml:space="preserve"> </v>
      </c>
      <c r="O86" s="35" t="str">
        <f>IF(Inventory_List_Table3411151091113171814161920212223[[#This Row],[Q]]&lt;0.1, " ",Inventory_List_Table3411151091113171814161920212223[[#This Row],[H CM]]/2.54)</f>
        <v xml:space="preserve"> </v>
      </c>
      <c r="P86" s="35" t="str">
        <f>IF(Inventory_List_Table3411151091113171814161920212223[[#This Row],[Q]]&lt;0.1, " ",Inventory_List_Table3411151091113171814161920212223[[#This Row],[W CM]]/2.54)</f>
        <v xml:space="preserve"> </v>
      </c>
      <c r="Q86" s="35" t="str">
        <f>IF(Inventory_List_Table3411151091113171814161920212223[[#This Row],[Q]]&lt;0.1, " ",Inventory_List_Table3411151091113171814161920212223[[#This Row],[D CM ]]/2.54)</f>
        <v xml:space="preserve"> </v>
      </c>
      <c r="R86" s="30" t="str">
        <f>IF(Inventory_List_Table3411151091113171814161920212223[[#This Row],[Q]]&lt;0.1, " ",Inventory_List_Table3411151091113171814161920212223[[#This Row],[PRICE]]/$L$1)</f>
        <v xml:space="preserve"> </v>
      </c>
      <c r="S8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6" s="30" t="str">
        <f>IF(Inventory_List_Table3411151091113171814161920212223[[#This Row],[Q]]&lt;0.1, " ",Inventory_List_Table3411151091113171814161920212223[[#This Row],[AQ RND USD]]*1.4)</f>
        <v xml:space="preserve"> </v>
      </c>
      <c r="U8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6" s="30" t="str">
        <f>IF(Inventory_List_Table3411151091113171814161920212223[[#This Row],[Q]]&lt;0.1, " ",Inventory_List_Table3411151091113171814161920212223[[#This Row],[LND RND USD]]*12)</f>
        <v xml:space="preserve"> </v>
      </c>
      <c r="W86" s="30" t="str">
        <f>IF(Inventory_List_Table3411151091113171814161920212223[[#This Row],[Q]]&lt;0.1, " ",Inventory_List_Table3411151091113171814161920212223[[#This Row],[AQ USD]])</f>
        <v xml:space="preserve"> </v>
      </c>
      <c r="X8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6" s="30" t="str">
        <f>IF(Inventory_List_Table3411151091113171814161920212223[[#This Row],[Q]]&lt;0.1, " ",Inventory_List_Table3411151091113171814161920212223[[#This Row],[PRICE]]/Z86*10000)</f>
        <v xml:space="preserve"> </v>
      </c>
      <c r="AB86" s="511"/>
      <c r="AC86" s="1"/>
      <c r="AD86" s="1"/>
    </row>
    <row r="87" spans="1:30" ht="24" customHeight="1" x14ac:dyDescent="0.3">
      <c r="A87" s="487">
        <v>85</v>
      </c>
      <c r="B87" s="1"/>
      <c r="C87" s="491"/>
      <c r="D87" s="491"/>
      <c r="E87" s="491"/>
      <c r="F8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7" s="495"/>
      <c r="H87" s="495"/>
      <c r="I87" s="495"/>
      <c r="J87" s="495"/>
      <c r="K87" s="495"/>
      <c r="L87" s="497"/>
      <c r="M8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7" s="35" t="str">
        <f>IF(Inventory_List_Table3411151091113171814161920212223[[#This Row],[Q]]&lt;0.1, " ", Inventory_List_Table3411151091113171814161920212223[[#This Row],[KG]]*2.20462)</f>
        <v xml:space="preserve"> </v>
      </c>
      <c r="O87" s="35" t="str">
        <f>IF(Inventory_List_Table3411151091113171814161920212223[[#This Row],[Q]]&lt;0.1, " ",Inventory_List_Table3411151091113171814161920212223[[#This Row],[H CM]]/2.54)</f>
        <v xml:space="preserve"> </v>
      </c>
      <c r="P87" s="35" t="str">
        <f>IF(Inventory_List_Table3411151091113171814161920212223[[#This Row],[Q]]&lt;0.1, " ",Inventory_List_Table3411151091113171814161920212223[[#This Row],[W CM]]/2.54)</f>
        <v xml:space="preserve"> </v>
      </c>
      <c r="Q87" s="35" t="str">
        <f>IF(Inventory_List_Table3411151091113171814161920212223[[#This Row],[Q]]&lt;0.1, " ",Inventory_List_Table3411151091113171814161920212223[[#This Row],[D CM ]]/2.54)</f>
        <v xml:space="preserve"> </v>
      </c>
      <c r="R87" s="30" t="str">
        <f>IF(Inventory_List_Table3411151091113171814161920212223[[#This Row],[Q]]&lt;0.1, " ",Inventory_List_Table3411151091113171814161920212223[[#This Row],[PRICE]]/$L$1)</f>
        <v xml:space="preserve"> </v>
      </c>
      <c r="S8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7" s="30" t="str">
        <f>IF(Inventory_List_Table3411151091113171814161920212223[[#This Row],[Q]]&lt;0.1, " ",Inventory_List_Table3411151091113171814161920212223[[#This Row],[AQ RND USD]]*1.4)</f>
        <v xml:space="preserve"> </v>
      </c>
      <c r="U8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7" s="30" t="str">
        <f>IF(Inventory_List_Table3411151091113171814161920212223[[#This Row],[Q]]&lt;0.1, " ",Inventory_List_Table3411151091113171814161920212223[[#This Row],[LND RND USD]]*12)</f>
        <v xml:space="preserve"> </v>
      </c>
      <c r="W87" s="30" t="str">
        <f>IF(Inventory_List_Table3411151091113171814161920212223[[#This Row],[Q]]&lt;0.1, " ",Inventory_List_Table3411151091113171814161920212223[[#This Row],[AQ USD]])</f>
        <v xml:space="preserve"> </v>
      </c>
      <c r="X8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7" s="30" t="str">
        <f>IF(Inventory_List_Table3411151091113171814161920212223[[#This Row],[Q]]&lt;0.1, " ",Inventory_List_Table3411151091113171814161920212223[[#This Row],[PRICE]]/Z87*10000)</f>
        <v xml:space="preserve"> </v>
      </c>
      <c r="AB87" s="511"/>
      <c r="AC87" s="1"/>
      <c r="AD87" s="1"/>
    </row>
    <row r="88" spans="1:30" ht="24" customHeight="1" x14ac:dyDescent="0.3">
      <c r="A88" s="487">
        <v>86</v>
      </c>
      <c r="B88" s="1"/>
      <c r="C88" s="491"/>
      <c r="D88" s="491"/>
      <c r="E88" s="491"/>
      <c r="F8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8" s="495"/>
      <c r="H88" s="495"/>
      <c r="I88" s="495"/>
      <c r="J88" s="495"/>
      <c r="K88" s="495"/>
      <c r="L88" s="497"/>
      <c r="M8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8" s="35" t="str">
        <f>IF(Inventory_List_Table3411151091113171814161920212223[[#This Row],[Q]]&lt;0.1, " ", Inventory_List_Table3411151091113171814161920212223[[#This Row],[KG]]*2.20462)</f>
        <v xml:space="preserve"> </v>
      </c>
      <c r="O88" s="35" t="str">
        <f>IF(Inventory_List_Table3411151091113171814161920212223[[#This Row],[Q]]&lt;0.1, " ",Inventory_List_Table3411151091113171814161920212223[[#This Row],[H CM]]/2.54)</f>
        <v xml:space="preserve"> </v>
      </c>
      <c r="P88" s="35" t="str">
        <f>IF(Inventory_List_Table3411151091113171814161920212223[[#This Row],[Q]]&lt;0.1, " ",Inventory_List_Table3411151091113171814161920212223[[#This Row],[W CM]]/2.54)</f>
        <v xml:space="preserve"> </v>
      </c>
      <c r="Q88" s="35" t="str">
        <f>IF(Inventory_List_Table3411151091113171814161920212223[[#This Row],[Q]]&lt;0.1, " ",Inventory_List_Table3411151091113171814161920212223[[#This Row],[D CM ]]/2.54)</f>
        <v xml:space="preserve"> </v>
      </c>
      <c r="R88" s="30" t="str">
        <f>IF(Inventory_List_Table3411151091113171814161920212223[[#This Row],[Q]]&lt;0.1, " ",Inventory_List_Table3411151091113171814161920212223[[#This Row],[PRICE]]/$L$1)</f>
        <v xml:space="preserve"> </v>
      </c>
      <c r="S8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8" s="30" t="str">
        <f>IF(Inventory_List_Table3411151091113171814161920212223[[#This Row],[Q]]&lt;0.1, " ",Inventory_List_Table3411151091113171814161920212223[[#This Row],[AQ RND USD]]*1.4)</f>
        <v xml:space="preserve"> </v>
      </c>
      <c r="U8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8" s="30" t="str">
        <f>IF(Inventory_List_Table3411151091113171814161920212223[[#This Row],[Q]]&lt;0.1, " ",Inventory_List_Table3411151091113171814161920212223[[#This Row],[LND RND USD]]*12)</f>
        <v xml:space="preserve"> </v>
      </c>
      <c r="W88" s="30" t="str">
        <f>IF(Inventory_List_Table3411151091113171814161920212223[[#This Row],[Q]]&lt;0.1, " ",Inventory_List_Table3411151091113171814161920212223[[#This Row],[AQ USD]])</f>
        <v xml:space="preserve"> </v>
      </c>
      <c r="X8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8" s="30" t="str">
        <f>IF(Inventory_List_Table3411151091113171814161920212223[[#This Row],[Q]]&lt;0.1, " ",Inventory_List_Table3411151091113171814161920212223[[#This Row],[PRICE]]/Z88*10000)</f>
        <v xml:space="preserve"> </v>
      </c>
      <c r="AB88" s="511"/>
      <c r="AC88" s="1"/>
      <c r="AD88" s="1"/>
    </row>
    <row r="89" spans="1:30" ht="24" customHeight="1" x14ac:dyDescent="0.3">
      <c r="A89" s="487">
        <v>87</v>
      </c>
      <c r="B89" s="1"/>
      <c r="C89" s="491"/>
      <c r="D89" s="491"/>
      <c r="E89" s="491"/>
      <c r="F8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89" s="495"/>
      <c r="H89" s="495"/>
      <c r="I89" s="495"/>
      <c r="J89" s="495"/>
      <c r="K89" s="495"/>
      <c r="L89" s="497"/>
      <c r="M8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89" s="35" t="str">
        <f>IF(Inventory_List_Table3411151091113171814161920212223[[#This Row],[Q]]&lt;0.1, " ", Inventory_List_Table3411151091113171814161920212223[[#This Row],[KG]]*2.20462)</f>
        <v xml:space="preserve"> </v>
      </c>
      <c r="O89" s="35" t="str">
        <f>IF(Inventory_List_Table3411151091113171814161920212223[[#This Row],[Q]]&lt;0.1, " ",Inventory_List_Table3411151091113171814161920212223[[#This Row],[H CM]]/2.54)</f>
        <v xml:space="preserve"> </v>
      </c>
      <c r="P89" s="35" t="str">
        <f>IF(Inventory_List_Table3411151091113171814161920212223[[#This Row],[Q]]&lt;0.1, " ",Inventory_List_Table3411151091113171814161920212223[[#This Row],[W CM]]/2.54)</f>
        <v xml:space="preserve"> </v>
      </c>
      <c r="Q89" s="35" t="str">
        <f>IF(Inventory_List_Table3411151091113171814161920212223[[#This Row],[Q]]&lt;0.1, " ",Inventory_List_Table3411151091113171814161920212223[[#This Row],[D CM ]]/2.54)</f>
        <v xml:space="preserve"> </v>
      </c>
      <c r="R89" s="30" t="str">
        <f>IF(Inventory_List_Table3411151091113171814161920212223[[#This Row],[Q]]&lt;0.1, " ",Inventory_List_Table3411151091113171814161920212223[[#This Row],[PRICE]]/$L$1)</f>
        <v xml:space="preserve"> </v>
      </c>
      <c r="S8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89" s="30" t="str">
        <f>IF(Inventory_List_Table3411151091113171814161920212223[[#This Row],[Q]]&lt;0.1, " ",Inventory_List_Table3411151091113171814161920212223[[#This Row],[AQ RND USD]]*1.4)</f>
        <v xml:space="preserve"> </v>
      </c>
      <c r="U8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89" s="30" t="str">
        <f>IF(Inventory_List_Table3411151091113171814161920212223[[#This Row],[Q]]&lt;0.1, " ",Inventory_List_Table3411151091113171814161920212223[[#This Row],[LND RND USD]]*12)</f>
        <v xml:space="preserve"> </v>
      </c>
      <c r="W89" s="30" t="str">
        <f>IF(Inventory_List_Table3411151091113171814161920212223[[#This Row],[Q]]&lt;0.1, " ",Inventory_List_Table3411151091113171814161920212223[[#This Row],[AQ USD]])</f>
        <v xml:space="preserve"> </v>
      </c>
      <c r="X8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8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8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89" s="30" t="str">
        <f>IF(Inventory_List_Table3411151091113171814161920212223[[#This Row],[Q]]&lt;0.1, " ",Inventory_List_Table3411151091113171814161920212223[[#This Row],[PRICE]]/Z89*10000)</f>
        <v xml:space="preserve"> </v>
      </c>
      <c r="AB89" s="511"/>
      <c r="AC89" s="1"/>
      <c r="AD89" s="1"/>
    </row>
    <row r="90" spans="1:30" ht="24" customHeight="1" x14ac:dyDescent="0.3">
      <c r="A90" s="487">
        <v>88</v>
      </c>
      <c r="B90" s="1"/>
      <c r="C90" s="491"/>
      <c r="D90" s="491"/>
      <c r="E90" s="491"/>
      <c r="F9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0" s="495"/>
      <c r="H90" s="495"/>
      <c r="I90" s="495"/>
      <c r="J90" s="495"/>
      <c r="K90" s="495"/>
      <c r="L90" s="497"/>
      <c r="M9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0" s="35" t="str">
        <f>IF(Inventory_List_Table3411151091113171814161920212223[[#This Row],[Q]]&lt;0.1, " ", Inventory_List_Table3411151091113171814161920212223[[#This Row],[KG]]*2.20462)</f>
        <v xml:space="preserve"> </v>
      </c>
      <c r="O90" s="35" t="str">
        <f>IF(Inventory_List_Table3411151091113171814161920212223[[#This Row],[Q]]&lt;0.1, " ",Inventory_List_Table3411151091113171814161920212223[[#This Row],[H CM]]/2.54)</f>
        <v xml:space="preserve"> </v>
      </c>
      <c r="P90" s="35" t="str">
        <f>IF(Inventory_List_Table3411151091113171814161920212223[[#This Row],[Q]]&lt;0.1, " ",Inventory_List_Table3411151091113171814161920212223[[#This Row],[W CM]]/2.54)</f>
        <v xml:space="preserve"> </v>
      </c>
      <c r="Q90" s="35" t="str">
        <f>IF(Inventory_List_Table3411151091113171814161920212223[[#This Row],[Q]]&lt;0.1, " ",Inventory_List_Table3411151091113171814161920212223[[#This Row],[D CM ]]/2.54)</f>
        <v xml:space="preserve"> </v>
      </c>
      <c r="R90" s="30" t="str">
        <f>IF(Inventory_List_Table3411151091113171814161920212223[[#This Row],[Q]]&lt;0.1, " ",Inventory_List_Table3411151091113171814161920212223[[#This Row],[PRICE]]/$L$1)</f>
        <v xml:space="preserve"> </v>
      </c>
      <c r="S9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0" s="30" t="str">
        <f>IF(Inventory_List_Table3411151091113171814161920212223[[#This Row],[Q]]&lt;0.1, " ",Inventory_List_Table3411151091113171814161920212223[[#This Row],[AQ RND USD]]*1.4)</f>
        <v xml:space="preserve"> </v>
      </c>
      <c r="U9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0" s="30" t="str">
        <f>IF(Inventory_List_Table3411151091113171814161920212223[[#This Row],[Q]]&lt;0.1, " ",Inventory_List_Table3411151091113171814161920212223[[#This Row],[LND RND USD]]*12)</f>
        <v xml:space="preserve"> </v>
      </c>
      <c r="W90" s="30" t="str">
        <f>IF(Inventory_List_Table3411151091113171814161920212223[[#This Row],[Q]]&lt;0.1, " ",Inventory_List_Table3411151091113171814161920212223[[#This Row],[AQ USD]])</f>
        <v xml:space="preserve"> </v>
      </c>
      <c r="X9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0" s="30" t="str">
        <f>IF(Inventory_List_Table3411151091113171814161920212223[[#This Row],[Q]]&lt;0.1, " ",Inventory_List_Table3411151091113171814161920212223[[#This Row],[PRICE]]/Z90*10000)</f>
        <v xml:space="preserve"> </v>
      </c>
      <c r="AB90" s="511"/>
      <c r="AC90" s="1"/>
      <c r="AD90" s="1"/>
    </row>
    <row r="91" spans="1:30" ht="24" customHeight="1" x14ac:dyDescent="0.3">
      <c r="A91" s="487">
        <v>89</v>
      </c>
      <c r="B91" s="1"/>
      <c r="C91" s="491"/>
      <c r="D91" s="491"/>
      <c r="E91" s="491"/>
      <c r="F9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1" s="495"/>
      <c r="H91" s="495"/>
      <c r="I91" s="495"/>
      <c r="J91" s="495"/>
      <c r="K91" s="495"/>
      <c r="L91" s="497"/>
      <c r="M9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1" s="35" t="str">
        <f>IF(Inventory_List_Table3411151091113171814161920212223[[#This Row],[Q]]&lt;0.1, " ", Inventory_List_Table3411151091113171814161920212223[[#This Row],[KG]]*2.20462)</f>
        <v xml:space="preserve"> </v>
      </c>
      <c r="O91" s="35" t="str">
        <f>IF(Inventory_List_Table3411151091113171814161920212223[[#This Row],[Q]]&lt;0.1, " ",Inventory_List_Table3411151091113171814161920212223[[#This Row],[H CM]]/2.54)</f>
        <v xml:space="preserve"> </v>
      </c>
      <c r="P91" s="35" t="str">
        <f>IF(Inventory_List_Table3411151091113171814161920212223[[#This Row],[Q]]&lt;0.1, " ",Inventory_List_Table3411151091113171814161920212223[[#This Row],[W CM]]/2.54)</f>
        <v xml:space="preserve"> </v>
      </c>
      <c r="Q91" s="35" t="str">
        <f>IF(Inventory_List_Table3411151091113171814161920212223[[#This Row],[Q]]&lt;0.1, " ",Inventory_List_Table3411151091113171814161920212223[[#This Row],[D CM ]]/2.54)</f>
        <v xml:space="preserve"> </v>
      </c>
      <c r="R91" s="30" t="str">
        <f>IF(Inventory_List_Table3411151091113171814161920212223[[#This Row],[Q]]&lt;0.1, " ",Inventory_List_Table3411151091113171814161920212223[[#This Row],[PRICE]]/$L$1)</f>
        <v xml:space="preserve"> </v>
      </c>
      <c r="S9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1" s="30" t="str">
        <f>IF(Inventory_List_Table3411151091113171814161920212223[[#This Row],[Q]]&lt;0.1, " ",Inventory_List_Table3411151091113171814161920212223[[#This Row],[AQ RND USD]]*1.4)</f>
        <v xml:space="preserve"> </v>
      </c>
      <c r="U9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1" s="30" t="str">
        <f>IF(Inventory_List_Table3411151091113171814161920212223[[#This Row],[Q]]&lt;0.1, " ",Inventory_List_Table3411151091113171814161920212223[[#This Row],[LND RND USD]]*12)</f>
        <v xml:space="preserve"> </v>
      </c>
      <c r="W91" s="30" t="str">
        <f>IF(Inventory_List_Table3411151091113171814161920212223[[#This Row],[Q]]&lt;0.1, " ",Inventory_List_Table3411151091113171814161920212223[[#This Row],[AQ USD]])</f>
        <v xml:space="preserve"> </v>
      </c>
      <c r="X9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1" s="30" t="str">
        <f>IF(Inventory_List_Table3411151091113171814161920212223[[#This Row],[Q]]&lt;0.1, " ",Inventory_List_Table3411151091113171814161920212223[[#This Row],[PRICE]]/Z91*10000)</f>
        <v xml:space="preserve"> </v>
      </c>
      <c r="AB91" s="511"/>
      <c r="AC91" s="1"/>
      <c r="AD91" s="1"/>
    </row>
    <row r="92" spans="1:30" ht="24" customHeight="1" x14ac:dyDescent="0.3">
      <c r="A92" s="487">
        <v>90</v>
      </c>
      <c r="B92" s="1"/>
      <c r="C92" s="491"/>
      <c r="D92" s="491"/>
      <c r="E92" s="491"/>
      <c r="F9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2" s="495"/>
      <c r="H92" s="495"/>
      <c r="I92" s="495"/>
      <c r="J92" s="495"/>
      <c r="K92" s="495"/>
      <c r="L92" s="497"/>
      <c r="M9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2" s="35" t="str">
        <f>IF(Inventory_List_Table3411151091113171814161920212223[[#This Row],[Q]]&lt;0.1, " ", Inventory_List_Table3411151091113171814161920212223[[#This Row],[KG]]*2.20462)</f>
        <v xml:space="preserve"> </v>
      </c>
      <c r="O92" s="35" t="str">
        <f>IF(Inventory_List_Table3411151091113171814161920212223[[#This Row],[Q]]&lt;0.1, " ",Inventory_List_Table3411151091113171814161920212223[[#This Row],[H CM]]/2.54)</f>
        <v xml:space="preserve"> </v>
      </c>
      <c r="P92" s="35" t="str">
        <f>IF(Inventory_List_Table3411151091113171814161920212223[[#This Row],[Q]]&lt;0.1, " ",Inventory_List_Table3411151091113171814161920212223[[#This Row],[W CM]]/2.54)</f>
        <v xml:space="preserve"> </v>
      </c>
      <c r="Q92" s="35" t="str">
        <f>IF(Inventory_List_Table3411151091113171814161920212223[[#This Row],[Q]]&lt;0.1, " ",Inventory_List_Table3411151091113171814161920212223[[#This Row],[D CM ]]/2.54)</f>
        <v xml:space="preserve"> </v>
      </c>
      <c r="R92" s="30" t="str">
        <f>IF(Inventory_List_Table3411151091113171814161920212223[[#This Row],[Q]]&lt;0.1, " ",Inventory_List_Table3411151091113171814161920212223[[#This Row],[PRICE]]/$L$1)</f>
        <v xml:space="preserve"> </v>
      </c>
      <c r="S9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2" s="30" t="str">
        <f>IF(Inventory_List_Table3411151091113171814161920212223[[#This Row],[Q]]&lt;0.1, " ",Inventory_List_Table3411151091113171814161920212223[[#This Row],[AQ RND USD]]*1.4)</f>
        <v xml:space="preserve"> </v>
      </c>
      <c r="U9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2" s="30" t="str">
        <f>IF(Inventory_List_Table3411151091113171814161920212223[[#This Row],[Q]]&lt;0.1, " ",Inventory_List_Table3411151091113171814161920212223[[#This Row],[LND RND USD]]*12)</f>
        <v xml:space="preserve"> </v>
      </c>
      <c r="W92" s="30" t="str">
        <f>IF(Inventory_List_Table3411151091113171814161920212223[[#This Row],[Q]]&lt;0.1, " ",Inventory_List_Table3411151091113171814161920212223[[#This Row],[AQ USD]])</f>
        <v xml:space="preserve"> </v>
      </c>
      <c r="X9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2" s="30" t="str">
        <f>IF(Inventory_List_Table3411151091113171814161920212223[[#This Row],[Q]]&lt;0.1, " ",Inventory_List_Table3411151091113171814161920212223[[#This Row],[PRICE]]/Z92*10000)</f>
        <v xml:space="preserve"> </v>
      </c>
      <c r="AB92" s="511"/>
      <c r="AC92" s="1"/>
      <c r="AD92" s="1"/>
    </row>
    <row r="93" spans="1:30" ht="24" customHeight="1" x14ac:dyDescent="0.3">
      <c r="A93" s="487">
        <v>91</v>
      </c>
      <c r="B93" s="1"/>
      <c r="C93" s="491"/>
      <c r="D93" s="491"/>
      <c r="E93" s="491"/>
      <c r="F93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3" s="495"/>
      <c r="H93" s="495"/>
      <c r="I93" s="495"/>
      <c r="J93" s="495"/>
      <c r="K93" s="495"/>
      <c r="L93" s="497"/>
      <c r="M93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3" s="35" t="str">
        <f>IF(Inventory_List_Table3411151091113171814161920212223[[#This Row],[Q]]&lt;0.1, " ", Inventory_List_Table3411151091113171814161920212223[[#This Row],[KG]]*2.20462)</f>
        <v xml:space="preserve"> </v>
      </c>
      <c r="O93" s="35" t="str">
        <f>IF(Inventory_List_Table3411151091113171814161920212223[[#This Row],[Q]]&lt;0.1, " ",Inventory_List_Table3411151091113171814161920212223[[#This Row],[H CM]]/2.54)</f>
        <v xml:space="preserve"> </v>
      </c>
      <c r="P93" s="35" t="str">
        <f>IF(Inventory_List_Table3411151091113171814161920212223[[#This Row],[Q]]&lt;0.1, " ",Inventory_List_Table3411151091113171814161920212223[[#This Row],[W CM]]/2.54)</f>
        <v xml:space="preserve"> </v>
      </c>
      <c r="Q93" s="35" t="str">
        <f>IF(Inventory_List_Table3411151091113171814161920212223[[#This Row],[Q]]&lt;0.1, " ",Inventory_List_Table3411151091113171814161920212223[[#This Row],[D CM ]]/2.54)</f>
        <v xml:space="preserve"> </v>
      </c>
      <c r="R93" s="30" t="str">
        <f>IF(Inventory_List_Table3411151091113171814161920212223[[#This Row],[Q]]&lt;0.1, " ",Inventory_List_Table3411151091113171814161920212223[[#This Row],[PRICE]]/$L$1)</f>
        <v xml:space="preserve"> </v>
      </c>
      <c r="S93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3" s="30" t="str">
        <f>IF(Inventory_List_Table3411151091113171814161920212223[[#This Row],[Q]]&lt;0.1, " ",Inventory_List_Table3411151091113171814161920212223[[#This Row],[AQ RND USD]]*1.4)</f>
        <v xml:space="preserve"> </v>
      </c>
      <c r="U93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3" s="30" t="str">
        <f>IF(Inventory_List_Table3411151091113171814161920212223[[#This Row],[Q]]&lt;0.1, " ",Inventory_List_Table3411151091113171814161920212223[[#This Row],[LND RND USD]]*12)</f>
        <v xml:space="preserve"> </v>
      </c>
      <c r="W93" s="30" t="str">
        <f>IF(Inventory_List_Table3411151091113171814161920212223[[#This Row],[Q]]&lt;0.1, " ",Inventory_List_Table3411151091113171814161920212223[[#This Row],[AQ USD]])</f>
        <v xml:space="preserve"> </v>
      </c>
      <c r="X9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3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3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3" s="30" t="str">
        <f>IF(Inventory_List_Table3411151091113171814161920212223[[#This Row],[Q]]&lt;0.1, " ",Inventory_List_Table3411151091113171814161920212223[[#This Row],[PRICE]]/Z93*10000)</f>
        <v xml:space="preserve"> </v>
      </c>
      <c r="AB93" s="511"/>
      <c r="AC93" s="1"/>
      <c r="AD93" s="1"/>
    </row>
    <row r="94" spans="1:30" ht="24" customHeight="1" x14ac:dyDescent="0.3">
      <c r="A94" s="487">
        <v>92</v>
      </c>
      <c r="B94" s="1"/>
      <c r="C94" s="491"/>
      <c r="D94" s="491"/>
      <c r="E94" s="491"/>
      <c r="F94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4" s="495"/>
      <c r="H94" s="495"/>
      <c r="I94" s="495"/>
      <c r="J94" s="495"/>
      <c r="K94" s="495"/>
      <c r="L94" s="497"/>
      <c r="M94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4" s="35" t="str">
        <f>IF(Inventory_List_Table3411151091113171814161920212223[[#This Row],[Q]]&lt;0.1, " ", Inventory_List_Table3411151091113171814161920212223[[#This Row],[KG]]*2.20462)</f>
        <v xml:space="preserve"> </v>
      </c>
      <c r="O94" s="35" t="str">
        <f>IF(Inventory_List_Table3411151091113171814161920212223[[#This Row],[Q]]&lt;0.1, " ",Inventory_List_Table3411151091113171814161920212223[[#This Row],[H CM]]/2.54)</f>
        <v xml:space="preserve"> </v>
      </c>
      <c r="P94" s="35" t="str">
        <f>IF(Inventory_List_Table3411151091113171814161920212223[[#This Row],[Q]]&lt;0.1, " ",Inventory_List_Table3411151091113171814161920212223[[#This Row],[W CM]]/2.54)</f>
        <v xml:space="preserve"> </v>
      </c>
      <c r="Q94" s="35" t="str">
        <f>IF(Inventory_List_Table3411151091113171814161920212223[[#This Row],[Q]]&lt;0.1, " ",Inventory_List_Table3411151091113171814161920212223[[#This Row],[D CM ]]/2.54)</f>
        <v xml:space="preserve"> </v>
      </c>
      <c r="R94" s="30" t="str">
        <f>IF(Inventory_List_Table3411151091113171814161920212223[[#This Row],[Q]]&lt;0.1, " ",Inventory_List_Table3411151091113171814161920212223[[#This Row],[PRICE]]/$L$1)</f>
        <v xml:space="preserve"> </v>
      </c>
      <c r="S94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4" s="30" t="str">
        <f>IF(Inventory_List_Table3411151091113171814161920212223[[#This Row],[Q]]&lt;0.1, " ",Inventory_List_Table3411151091113171814161920212223[[#This Row],[AQ RND USD]]*1.4)</f>
        <v xml:space="preserve"> </v>
      </c>
      <c r="U94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4" s="30" t="str">
        <f>IF(Inventory_List_Table3411151091113171814161920212223[[#This Row],[Q]]&lt;0.1, " ",Inventory_List_Table3411151091113171814161920212223[[#This Row],[LND RND USD]]*12)</f>
        <v xml:space="preserve"> </v>
      </c>
      <c r="W94" s="30" t="str">
        <f>IF(Inventory_List_Table3411151091113171814161920212223[[#This Row],[Q]]&lt;0.1, " ",Inventory_List_Table3411151091113171814161920212223[[#This Row],[AQ USD]])</f>
        <v xml:space="preserve"> </v>
      </c>
      <c r="X9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4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4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4" s="30" t="str">
        <f>IF(Inventory_List_Table3411151091113171814161920212223[[#This Row],[Q]]&lt;0.1, " ",Inventory_List_Table3411151091113171814161920212223[[#This Row],[PRICE]]/Z94*10000)</f>
        <v xml:space="preserve"> </v>
      </c>
      <c r="AB94" s="511"/>
      <c r="AC94" s="1"/>
      <c r="AD94" s="1"/>
    </row>
    <row r="95" spans="1:30" ht="24" customHeight="1" x14ac:dyDescent="0.3">
      <c r="A95" s="487">
        <v>93</v>
      </c>
      <c r="B95" s="1"/>
      <c r="C95" s="491"/>
      <c r="D95" s="491"/>
      <c r="E95" s="491"/>
      <c r="F95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5" s="495"/>
      <c r="H95" s="495"/>
      <c r="I95" s="495"/>
      <c r="J95" s="495"/>
      <c r="K95" s="495"/>
      <c r="L95" s="497"/>
      <c r="M95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5" s="35" t="str">
        <f>IF(Inventory_List_Table3411151091113171814161920212223[[#This Row],[Q]]&lt;0.1, " ", Inventory_List_Table3411151091113171814161920212223[[#This Row],[KG]]*2.20462)</f>
        <v xml:space="preserve"> </v>
      </c>
      <c r="O95" s="35" t="str">
        <f>IF(Inventory_List_Table3411151091113171814161920212223[[#This Row],[Q]]&lt;0.1, " ",Inventory_List_Table3411151091113171814161920212223[[#This Row],[H CM]]/2.54)</f>
        <v xml:space="preserve"> </v>
      </c>
      <c r="P95" s="35" t="str">
        <f>IF(Inventory_List_Table3411151091113171814161920212223[[#This Row],[Q]]&lt;0.1, " ",Inventory_List_Table3411151091113171814161920212223[[#This Row],[W CM]]/2.54)</f>
        <v xml:space="preserve"> </v>
      </c>
      <c r="Q95" s="35" t="str">
        <f>IF(Inventory_List_Table3411151091113171814161920212223[[#This Row],[Q]]&lt;0.1, " ",Inventory_List_Table3411151091113171814161920212223[[#This Row],[D CM ]]/2.54)</f>
        <v xml:space="preserve"> </v>
      </c>
      <c r="R95" s="30" t="str">
        <f>IF(Inventory_List_Table3411151091113171814161920212223[[#This Row],[Q]]&lt;0.1, " ",Inventory_List_Table3411151091113171814161920212223[[#This Row],[PRICE]]/$L$1)</f>
        <v xml:space="preserve"> </v>
      </c>
      <c r="S95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5" s="30" t="str">
        <f>IF(Inventory_List_Table3411151091113171814161920212223[[#This Row],[Q]]&lt;0.1, " ",Inventory_List_Table3411151091113171814161920212223[[#This Row],[AQ RND USD]]*1.4)</f>
        <v xml:space="preserve"> </v>
      </c>
      <c r="U95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5" s="30" t="str">
        <f>IF(Inventory_List_Table3411151091113171814161920212223[[#This Row],[Q]]&lt;0.1, " ",Inventory_List_Table3411151091113171814161920212223[[#This Row],[LND RND USD]]*12)</f>
        <v xml:space="preserve"> </v>
      </c>
      <c r="W95" s="30" t="str">
        <f>IF(Inventory_List_Table3411151091113171814161920212223[[#This Row],[Q]]&lt;0.1, " ",Inventory_List_Table3411151091113171814161920212223[[#This Row],[AQ USD]])</f>
        <v xml:space="preserve"> </v>
      </c>
      <c r="X9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5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5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5" s="30" t="str">
        <f>IF(Inventory_List_Table3411151091113171814161920212223[[#This Row],[Q]]&lt;0.1, " ",Inventory_List_Table3411151091113171814161920212223[[#This Row],[PRICE]]/Z95*10000)</f>
        <v xml:space="preserve"> </v>
      </c>
      <c r="AB95" s="511"/>
      <c r="AC95" s="1"/>
      <c r="AD95" s="1"/>
    </row>
    <row r="96" spans="1:30" ht="24" customHeight="1" x14ac:dyDescent="0.3">
      <c r="A96" s="487">
        <v>94</v>
      </c>
      <c r="B96" s="1"/>
      <c r="C96" s="491"/>
      <c r="D96" s="491"/>
      <c r="E96" s="491"/>
      <c r="F96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6" s="495"/>
      <c r="H96" s="495"/>
      <c r="I96" s="495"/>
      <c r="J96" s="495"/>
      <c r="K96" s="495"/>
      <c r="L96" s="497"/>
      <c r="M96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6" s="35" t="str">
        <f>IF(Inventory_List_Table3411151091113171814161920212223[[#This Row],[Q]]&lt;0.1, " ", Inventory_List_Table3411151091113171814161920212223[[#This Row],[KG]]*2.20462)</f>
        <v xml:space="preserve"> </v>
      </c>
      <c r="O96" s="35" t="str">
        <f>IF(Inventory_List_Table3411151091113171814161920212223[[#This Row],[Q]]&lt;0.1, " ",Inventory_List_Table3411151091113171814161920212223[[#This Row],[H CM]]/2.54)</f>
        <v xml:space="preserve"> </v>
      </c>
      <c r="P96" s="35" t="str">
        <f>IF(Inventory_List_Table3411151091113171814161920212223[[#This Row],[Q]]&lt;0.1, " ",Inventory_List_Table3411151091113171814161920212223[[#This Row],[W CM]]/2.54)</f>
        <v xml:space="preserve"> </v>
      </c>
      <c r="Q96" s="35" t="str">
        <f>IF(Inventory_List_Table3411151091113171814161920212223[[#This Row],[Q]]&lt;0.1, " ",Inventory_List_Table3411151091113171814161920212223[[#This Row],[D CM ]]/2.54)</f>
        <v xml:space="preserve"> </v>
      </c>
      <c r="R96" s="30" t="str">
        <f>IF(Inventory_List_Table3411151091113171814161920212223[[#This Row],[Q]]&lt;0.1, " ",Inventory_List_Table3411151091113171814161920212223[[#This Row],[PRICE]]/$L$1)</f>
        <v xml:space="preserve"> </v>
      </c>
      <c r="S96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6" s="30" t="str">
        <f>IF(Inventory_List_Table3411151091113171814161920212223[[#This Row],[Q]]&lt;0.1, " ",Inventory_List_Table3411151091113171814161920212223[[#This Row],[AQ RND USD]]*1.4)</f>
        <v xml:space="preserve"> </v>
      </c>
      <c r="U96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6" s="30" t="str">
        <f>IF(Inventory_List_Table3411151091113171814161920212223[[#This Row],[Q]]&lt;0.1, " ",Inventory_List_Table3411151091113171814161920212223[[#This Row],[LND RND USD]]*12)</f>
        <v xml:space="preserve"> </v>
      </c>
      <c r="W96" s="30" t="str">
        <f>IF(Inventory_List_Table3411151091113171814161920212223[[#This Row],[Q]]&lt;0.1, " ",Inventory_List_Table3411151091113171814161920212223[[#This Row],[AQ USD]])</f>
        <v xml:space="preserve"> </v>
      </c>
      <c r="X9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6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6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6" s="30" t="str">
        <f>IF(Inventory_List_Table3411151091113171814161920212223[[#This Row],[Q]]&lt;0.1, " ",Inventory_List_Table3411151091113171814161920212223[[#This Row],[PRICE]]/Z96*10000)</f>
        <v xml:space="preserve"> </v>
      </c>
      <c r="AB96" s="511"/>
      <c r="AC96" s="1"/>
      <c r="AD96" s="1"/>
    </row>
    <row r="97" spans="1:30" ht="24" customHeight="1" x14ac:dyDescent="0.3">
      <c r="A97" s="487">
        <v>95</v>
      </c>
      <c r="B97" s="1"/>
      <c r="C97" s="491"/>
      <c r="D97" s="491"/>
      <c r="E97" s="491"/>
      <c r="F97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7" s="495"/>
      <c r="H97" s="495"/>
      <c r="I97" s="495"/>
      <c r="J97" s="495"/>
      <c r="K97" s="495"/>
      <c r="L97" s="497"/>
      <c r="M97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7" s="35" t="str">
        <f>IF(Inventory_List_Table3411151091113171814161920212223[[#This Row],[Q]]&lt;0.1, " ", Inventory_List_Table3411151091113171814161920212223[[#This Row],[KG]]*2.20462)</f>
        <v xml:space="preserve"> </v>
      </c>
      <c r="O97" s="35" t="str">
        <f>IF(Inventory_List_Table3411151091113171814161920212223[[#This Row],[Q]]&lt;0.1, " ",Inventory_List_Table3411151091113171814161920212223[[#This Row],[H CM]]/2.54)</f>
        <v xml:space="preserve"> </v>
      </c>
      <c r="P97" s="35" t="str">
        <f>IF(Inventory_List_Table3411151091113171814161920212223[[#This Row],[Q]]&lt;0.1, " ",Inventory_List_Table3411151091113171814161920212223[[#This Row],[W CM]]/2.54)</f>
        <v xml:space="preserve"> </v>
      </c>
      <c r="Q97" s="35" t="str">
        <f>IF(Inventory_List_Table3411151091113171814161920212223[[#This Row],[Q]]&lt;0.1, " ",Inventory_List_Table3411151091113171814161920212223[[#This Row],[D CM ]]/2.54)</f>
        <v xml:space="preserve"> </v>
      </c>
      <c r="R97" s="30" t="str">
        <f>IF(Inventory_List_Table3411151091113171814161920212223[[#This Row],[Q]]&lt;0.1, " ",Inventory_List_Table3411151091113171814161920212223[[#This Row],[PRICE]]/$L$1)</f>
        <v xml:space="preserve"> </v>
      </c>
      <c r="S97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7" s="30" t="str">
        <f>IF(Inventory_List_Table3411151091113171814161920212223[[#This Row],[Q]]&lt;0.1, " ",Inventory_List_Table3411151091113171814161920212223[[#This Row],[AQ RND USD]]*1.4)</f>
        <v xml:space="preserve"> </v>
      </c>
      <c r="U97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7" s="30" t="str">
        <f>IF(Inventory_List_Table3411151091113171814161920212223[[#This Row],[Q]]&lt;0.1, " ",Inventory_List_Table3411151091113171814161920212223[[#This Row],[LND RND USD]]*12)</f>
        <v xml:space="preserve"> </v>
      </c>
      <c r="W97" s="30" t="str">
        <f>IF(Inventory_List_Table3411151091113171814161920212223[[#This Row],[Q]]&lt;0.1, " ",Inventory_List_Table3411151091113171814161920212223[[#This Row],[AQ USD]])</f>
        <v xml:space="preserve"> </v>
      </c>
      <c r="X9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7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7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7" s="30" t="str">
        <f>IF(Inventory_List_Table3411151091113171814161920212223[[#This Row],[Q]]&lt;0.1, " ",Inventory_List_Table3411151091113171814161920212223[[#This Row],[PRICE]]/Z97*10000)</f>
        <v xml:space="preserve"> </v>
      </c>
      <c r="AB97" s="511"/>
      <c r="AC97" s="1"/>
      <c r="AD97" s="1"/>
    </row>
    <row r="98" spans="1:30" ht="24" customHeight="1" x14ac:dyDescent="0.3">
      <c r="A98" s="487">
        <v>96</v>
      </c>
      <c r="B98" s="1"/>
      <c r="C98" s="491"/>
      <c r="D98" s="491"/>
      <c r="E98" s="491"/>
      <c r="F98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8" s="495"/>
      <c r="H98" s="495"/>
      <c r="I98" s="495"/>
      <c r="J98" s="495"/>
      <c r="K98" s="495"/>
      <c r="L98" s="497"/>
      <c r="M98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8" s="35" t="str">
        <f>IF(Inventory_List_Table3411151091113171814161920212223[[#This Row],[Q]]&lt;0.1, " ", Inventory_List_Table3411151091113171814161920212223[[#This Row],[KG]]*2.20462)</f>
        <v xml:space="preserve"> </v>
      </c>
      <c r="O98" s="35" t="str">
        <f>IF(Inventory_List_Table3411151091113171814161920212223[[#This Row],[Q]]&lt;0.1, " ",Inventory_List_Table3411151091113171814161920212223[[#This Row],[H CM]]/2.54)</f>
        <v xml:space="preserve"> </v>
      </c>
      <c r="P98" s="35" t="str">
        <f>IF(Inventory_List_Table3411151091113171814161920212223[[#This Row],[Q]]&lt;0.1, " ",Inventory_List_Table3411151091113171814161920212223[[#This Row],[W CM]]/2.54)</f>
        <v xml:space="preserve"> </v>
      </c>
      <c r="Q98" s="35" t="str">
        <f>IF(Inventory_List_Table3411151091113171814161920212223[[#This Row],[Q]]&lt;0.1, " ",Inventory_List_Table3411151091113171814161920212223[[#This Row],[D CM ]]/2.54)</f>
        <v xml:space="preserve"> </v>
      </c>
      <c r="R98" s="30" t="str">
        <f>IF(Inventory_List_Table3411151091113171814161920212223[[#This Row],[Q]]&lt;0.1, " ",Inventory_List_Table3411151091113171814161920212223[[#This Row],[PRICE]]/$L$1)</f>
        <v xml:space="preserve"> </v>
      </c>
      <c r="S98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8" s="30" t="str">
        <f>IF(Inventory_List_Table3411151091113171814161920212223[[#This Row],[Q]]&lt;0.1, " ",Inventory_List_Table3411151091113171814161920212223[[#This Row],[AQ RND USD]]*1.4)</f>
        <v xml:space="preserve"> </v>
      </c>
      <c r="U98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8" s="30" t="str">
        <f>IF(Inventory_List_Table3411151091113171814161920212223[[#This Row],[Q]]&lt;0.1, " ",Inventory_List_Table3411151091113171814161920212223[[#This Row],[LND RND USD]]*12)</f>
        <v xml:space="preserve"> </v>
      </c>
      <c r="W98" s="30" t="str">
        <f>IF(Inventory_List_Table3411151091113171814161920212223[[#This Row],[Q]]&lt;0.1, " ",Inventory_List_Table3411151091113171814161920212223[[#This Row],[AQ USD]])</f>
        <v xml:space="preserve"> </v>
      </c>
      <c r="X9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8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8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8" s="30" t="str">
        <f>IF(Inventory_List_Table3411151091113171814161920212223[[#This Row],[Q]]&lt;0.1, " ",Inventory_List_Table3411151091113171814161920212223[[#This Row],[PRICE]]/Z98*10000)</f>
        <v xml:space="preserve"> </v>
      </c>
      <c r="AB98" s="511"/>
      <c r="AC98" s="1"/>
      <c r="AD98" s="1"/>
    </row>
    <row r="99" spans="1:30" ht="24" customHeight="1" x14ac:dyDescent="0.3">
      <c r="A99" s="487">
        <v>97</v>
      </c>
      <c r="B99" s="1"/>
      <c r="C99" s="491"/>
      <c r="D99" s="491"/>
      <c r="E99" s="491"/>
      <c r="F99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99" s="495"/>
      <c r="H99" s="495"/>
      <c r="I99" s="495"/>
      <c r="J99" s="495"/>
      <c r="K99" s="495"/>
      <c r="L99" s="497"/>
      <c r="M99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99" s="35" t="str">
        <f>IF(Inventory_List_Table3411151091113171814161920212223[[#This Row],[Q]]&lt;0.1, " ", Inventory_List_Table3411151091113171814161920212223[[#This Row],[KG]]*2.20462)</f>
        <v xml:space="preserve"> </v>
      </c>
      <c r="O99" s="35" t="str">
        <f>IF(Inventory_List_Table3411151091113171814161920212223[[#This Row],[Q]]&lt;0.1, " ",Inventory_List_Table3411151091113171814161920212223[[#This Row],[H CM]]/2.54)</f>
        <v xml:space="preserve"> </v>
      </c>
      <c r="P99" s="35" t="str">
        <f>IF(Inventory_List_Table3411151091113171814161920212223[[#This Row],[Q]]&lt;0.1, " ",Inventory_List_Table3411151091113171814161920212223[[#This Row],[W CM]]/2.54)</f>
        <v xml:space="preserve"> </v>
      </c>
      <c r="Q99" s="35" t="str">
        <f>IF(Inventory_List_Table3411151091113171814161920212223[[#This Row],[Q]]&lt;0.1, " ",Inventory_List_Table3411151091113171814161920212223[[#This Row],[D CM ]]/2.54)</f>
        <v xml:space="preserve"> </v>
      </c>
      <c r="R99" s="30" t="str">
        <f>IF(Inventory_List_Table3411151091113171814161920212223[[#This Row],[Q]]&lt;0.1, " ",Inventory_List_Table3411151091113171814161920212223[[#This Row],[PRICE]]/$L$1)</f>
        <v xml:space="preserve"> </v>
      </c>
      <c r="S99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99" s="30" t="str">
        <f>IF(Inventory_List_Table3411151091113171814161920212223[[#This Row],[Q]]&lt;0.1, " ",Inventory_List_Table3411151091113171814161920212223[[#This Row],[AQ RND USD]]*1.4)</f>
        <v xml:space="preserve"> </v>
      </c>
      <c r="U99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99" s="30" t="str">
        <f>IF(Inventory_List_Table3411151091113171814161920212223[[#This Row],[Q]]&lt;0.1, " ",Inventory_List_Table3411151091113171814161920212223[[#This Row],[LND RND USD]]*12)</f>
        <v xml:space="preserve"> </v>
      </c>
      <c r="W99" s="30" t="str">
        <f>IF(Inventory_List_Table3411151091113171814161920212223[[#This Row],[Q]]&lt;0.1, " ",Inventory_List_Table3411151091113171814161920212223[[#This Row],[AQ USD]])</f>
        <v xml:space="preserve"> </v>
      </c>
      <c r="X9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99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99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99" s="30" t="str">
        <f>IF(Inventory_List_Table3411151091113171814161920212223[[#This Row],[Q]]&lt;0.1, " ",Inventory_List_Table3411151091113171814161920212223[[#This Row],[PRICE]]/Z99*10000)</f>
        <v xml:space="preserve"> </v>
      </c>
      <c r="AB99" s="511"/>
      <c r="AC99" s="1"/>
      <c r="AD99" s="1"/>
    </row>
    <row r="100" spans="1:30" ht="24" customHeight="1" x14ac:dyDescent="0.3">
      <c r="A100" s="487">
        <v>98</v>
      </c>
      <c r="B100" s="1"/>
      <c r="C100" s="491"/>
      <c r="D100" s="491"/>
      <c r="E100" s="491"/>
      <c r="F100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00" s="495"/>
      <c r="H100" s="495"/>
      <c r="I100" s="495"/>
      <c r="J100" s="495"/>
      <c r="K100" s="495"/>
      <c r="L100" s="497"/>
      <c r="M100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00" s="35" t="str">
        <f>IF(Inventory_List_Table3411151091113171814161920212223[[#This Row],[Q]]&lt;0.1, " ", Inventory_List_Table3411151091113171814161920212223[[#This Row],[KG]]*2.20462)</f>
        <v xml:space="preserve"> </v>
      </c>
      <c r="O100" s="35" t="str">
        <f>IF(Inventory_List_Table3411151091113171814161920212223[[#This Row],[Q]]&lt;0.1, " ",Inventory_List_Table3411151091113171814161920212223[[#This Row],[H CM]]/2.54)</f>
        <v xml:space="preserve"> </v>
      </c>
      <c r="P100" s="35" t="str">
        <f>IF(Inventory_List_Table3411151091113171814161920212223[[#This Row],[Q]]&lt;0.1, " ",Inventory_List_Table3411151091113171814161920212223[[#This Row],[W CM]]/2.54)</f>
        <v xml:space="preserve"> </v>
      </c>
      <c r="Q100" s="35" t="str">
        <f>IF(Inventory_List_Table3411151091113171814161920212223[[#This Row],[Q]]&lt;0.1, " ",Inventory_List_Table3411151091113171814161920212223[[#This Row],[D CM ]]/2.54)</f>
        <v xml:space="preserve"> </v>
      </c>
      <c r="R100" s="30" t="str">
        <f>IF(Inventory_List_Table3411151091113171814161920212223[[#This Row],[Q]]&lt;0.1, " ",Inventory_List_Table3411151091113171814161920212223[[#This Row],[PRICE]]/$L$1)</f>
        <v xml:space="preserve"> </v>
      </c>
      <c r="S100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00" s="30" t="str">
        <f>IF(Inventory_List_Table3411151091113171814161920212223[[#This Row],[Q]]&lt;0.1, " ",Inventory_List_Table3411151091113171814161920212223[[#This Row],[AQ RND USD]]*1.4)</f>
        <v xml:space="preserve"> </v>
      </c>
      <c r="U100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00" s="30" t="str">
        <f>IF(Inventory_List_Table3411151091113171814161920212223[[#This Row],[Q]]&lt;0.1, " ",Inventory_List_Table3411151091113171814161920212223[[#This Row],[LND RND USD]]*12)</f>
        <v xml:space="preserve"> </v>
      </c>
      <c r="W100" s="30" t="str">
        <f>IF(Inventory_List_Table3411151091113171814161920212223[[#This Row],[Q]]&lt;0.1, " ",Inventory_List_Table3411151091113171814161920212223[[#This Row],[AQ USD]])</f>
        <v xml:space="preserve"> </v>
      </c>
      <c r="X10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00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00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00" s="30" t="str">
        <f>IF(Inventory_List_Table3411151091113171814161920212223[[#This Row],[Q]]&lt;0.1, " ",Inventory_List_Table3411151091113171814161920212223[[#This Row],[PRICE]]/Z100*10000)</f>
        <v xml:space="preserve"> </v>
      </c>
      <c r="AB100" s="511"/>
      <c r="AC100" s="1"/>
      <c r="AD100" s="1"/>
    </row>
    <row r="101" spans="1:30" ht="24" customHeight="1" x14ac:dyDescent="0.3">
      <c r="A101" s="487">
        <v>99</v>
      </c>
      <c r="B101" s="1"/>
      <c r="C101" s="491"/>
      <c r="D101" s="491"/>
      <c r="E101" s="491"/>
      <c r="F101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01" s="495"/>
      <c r="H101" s="495"/>
      <c r="I101" s="495"/>
      <c r="J101" s="495"/>
      <c r="K101" s="495"/>
      <c r="L101" s="497"/>
      <c r="M101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01" s="35" t="str">
        <f>IF(Inventory_List_Table3411151091113171814161920212223[[#This Row],[Q]]&lt;0.1, " ", Inventory_List_Table3411151091113171814161920212223[[#This Row],[KG]]*2.20462)</f>
        <v xml:space="preserve"> </v>
      </c>
      <c r="O101" s="35" t="str">
        <f>IF(Inventory_List_Table3411151091113171814161920212223[[#This Row],[Q]]&lt;0.1, " ",Inventory_List_Table3411151091113171814161920212223[[#This Row],[H CM]]/2.54)</f>
        <v xml:space="preserve"> </v>
      </c>
      <c r="P101" s="35" t="str">
        <f>IF(Inventory_List_Table3411151091113171814161920212223[[#This Row],[Q]]&lt;0.1, " ",Inventory_List_Table3411151091113171814161920212223[[#This Row],[W CM]]/2.54)</f>
        <v xml:space="preserve"> </v>
      </c>
      <c r="Q101" s="35" t="str">
        <f>IF(Inventory_List_Table3411151091113171814161920212223[[#This Row],[Q]]&lt;0.1, " ",Inventory_List_Table3411151091113171814161920212223[[#This Row],[D CM ]]/2.54)</f>
        <v xml:space="preserve"> </v>
      </c>
      <c r="R101" s="30" t="str">
        <f>IF(Inventory_List_Table3411151091113171814161920212223[[#This Row],[Q]]&lt;0.1, " ",Inventory_List_Table3411151091113171814161920212223[[#This Row],[PRICE]]/$L$1)</f>
        <v xml:space="preserve"> </v>
      </c>
      <c r="S101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01" s="30" t="str">
        <f>IF(Inventory_List_Table3411151091113171814161920212223[[#This Row],[Q]]&lt;0.1, " ",Inventory_List_Table3411151091113171814161920212223[[#This Row],[AQ RND USD]]*1.4)</f>
        <v xml:space="preserve"> </v>
      </c>
      <c r="U101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01" s="30" t="str">
        <f>IF(Inventory_List_Table3411151091113171814161920212223[[#This Row],[Q]]&lt;0.1, " ",Inventory_List_Table3411151091113171814161920212223[[#This Row],[LND RND USD]]*12)</f>
        <v xml:space="preserve"> </v>
      </c>
      <c r="W101" s="30" t="str">
        <f>IF(Inventory_List_Table3411151091113171814161920212223[[#This Row],[Q]]&lt;0.1, " ",Inventory_List_Table3411151091113171814161920212223[[#This Row],[AQ USD]])</f>
        <v xml:space="preserve"> </v>
      </c>
      <c r="X10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01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01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01" s="30" t="str">
        <f>IF(Inventory_List_Table3411151091113171814161920212223[[#This Row],[Q]]&lt;0.1, " ",Inventory_List_Table3411151091113171814161920212223[[#This Row],[PRICE]]/Z101*10000)</f>
        <v xml:space="preserve"> </v>
      </c>
      <c r="AB101" s="511"/>
      <c r="AC101" s="1"/>
      <c r="AD101" s="1"/>
    </row>
    <row r="102" spans="1:30" ht="24" customHeight="1" x14ac:dyDescent="0.3">
      <c r="A102" s="487">
        <v>100</v>
      </c>
      <c r="B102" s="1"/>
      <c r="C102" s="491"/>
      <c r="D102" s="491"/>
      <c r="E102" s="491"/>
      <c r="F102" s="38" t="str">
        <f>IF(Inventory_List_Table3411151091113171814161920212223[[#This Row],[Q]]&lt;0.1, " ",#REF!&amp;$D$1&amp;#REF!&amp;Inventory_List_Table3411151091113171814161920212223[[#This Row],[NOTES]])</f>
        <v xml:space="preserve"> </v>
      </c>
      <c r="G102" s="495"/>
      <c r="H102" s="495"/>
      <c r="I102" s="495"/>
      <c r="J102" s="495"/>
      <c r="K102" s="495"/>
      <c r="L102" s="497"/>
      <c r="M102" s="30" t="str">
        <f>IF(Inventory_List_Table3411151091113171814161920212223[[#This Row],[Q]]&lt;0.1, " ", Inventory_List_Table3411151091113171814161920212223[[#This Row],[Q]]*Inventory_List_Table3411151091113171814161920212223[[#This Row],[PRICE]])</f>
        <v xml:space="preserve"> </v>
      </c>
      <c r="N102" s="35" t="str">
        <f>IF(Inventory_List_Table3411151091113171814161920212223[[#This Row],[Q]]&lt;0.1, " ", Inventory_List_Table3411151091113171814161920212223[[#This Row],[KG]]*2.20462)</f>
        <v xml:space="preserve"> </v>
      </c>
      <c r="O102" s="35" t="str">
        <f>IF(Inventory_List_Table3411151091113171814161920212223[[#This Row],[Q]]&lt;0.1, " ",Inventory_List_Table3411151091113171814161920212223[[#This Row],[H CM]]/2.54)</f>
        <v xml:space="preserve"> </v>
      </c>
      <c r="P102" s="35" t="str">
        <f>IF(Inventory_List_Table3411151091113171814161920212223[[#This Row],[Q]]&lt;0.1, " ",Inventory_List_Table3411151091113171814161920212223[[#This Row],[W CM]]/2.54)</f>
        <v xml:space="preserve"> </v>
      </c>
      <c r="Q102" s="35" t="str">
        <f>IF(Inventory_List_Table3411151091113171814161920212223[[#This Row],[Q]]&lt;0.1, " ",Inventory_List_Table3411151091113171814161920212223[[#This Row],[D CM ]]/2.54)</f>
        <v xml:space="preserve"> </v>
      </c>
      <c r="R102" s="30" t="str">
        <f>IF(Inventory_List_Table3411151091113171814161920212223[[#This Row],[Q]]&lt;0.1, " ",Inventory_List_Table3411151091113171814161920212223[[#This Row],[PRICE]]/$L$1)</f>
        <v xml:space="preserve"> </v>
      </c>
      <c r="S102" s="30" t="str">
        <f>IF(Inventory_List_Table3411151091113171814161920212223[[#This Row],[Q]]&lt;0.1, " ",IF(MOD(Inventory_List_Table3411151091113171814161920212223[[#This Row],[AQ USD]],1)&gt;0.4,ROUNDUP(Inventory_List_Table3411151091113171814161920212223[[#This Row],[AQ USD]],0),ROUNDDOWN(Inventory_List_Table3411151091113171814161920212223[[#This Row],[AQ USD]],0)))</f>
        <v xml:space="preserve"> </v>
      </c>
      <c r="T102" s="30" t="str">
        <f>IF(Inventory_List_Table3411151091113171814161920212223[[#This Row],[Q]]&lt;0.1, " ",Inventory_List_Table3411151091113171814161920212223[[#This Row],[AQ RND USD]]*1.4)</f>
        <v xml:space="preserve"> </v>
      </c>
      <c r="U102" s="30" t="str">
        <f>IF(Inventory_List_Table3411151091113171814161920212223[[#This Row],[Q]]&lt;0.1, " ",IF(MOD(Inventory_List_Table3411151091113171814161920212223[[#This Row],[LND USD]],1)&gt;0.4,ROUNDUP(Inventory_List_Table3411151091113171814161920212223[[#This Row],[LND USD]],0),ROUNDDOWN(Inventory_List_Table3411151091113171814161920212223[[#This Row],[LND USD]],0)))</f>
        <v xml:space="preserve"> </v>
      </c>
      <c r="V102" s="30" t="str">
        <f>IF(Inventory_List_Table3411151091113171814161920212223[[#This Row],[Q]]&lt;0.1, " ",Inventory_List_Table3411151091113171814161920212223[[#This Row],[LND RND USD]]*12)</f>
        <v xml:space="preserve"> </v>
      </c>
      <c r="W102" s="30" t="str">
        <f>IF(Inventory_List_Table3411151091113171814161920212223[[#This Row],[Q]]&lt;0.1, " ",Inventory_List_Table3411151091113171814161920212223[[#This Row],[AQ USD]])</f>
        <v xml:space="preserve"> </v>
      </c>
      <c r="X10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Row],[AQ RND USD]], "1", "M"), "2", "O"), "3", "X"), "4", "H"), "5", "E"), "6", "L"), "7", "F"), "8", "A"), "9", "N"), "0", "D"))</f>
        <v xml:space="preserve"> </v>
      </c>
      <c r="Y102" s="1" t="str">
        <f>IF(Inventory_List_Table3411151091113171814161920212223[[#This Row],[Q]]&lt;0.1, " ",SUBSTITUTE(SUBSTITUTE(SUBSTITUTE(SUBSTITUTE(SUBSTITUTE(SUBSTITUTE(SUBSTITUTE(SUBSTITUTE(SUBSTITUTE(SUBSTITUTE(Inventory_List_Table3411151091113171814161920212223[[#This Row],[LND RND USD]], "1", "M"), "2", "O"), "3", "X"), "4", "H"), "5", "E"), "6", "L"), "7", "F"), "8", "A"), "9", "N"), "0", "D"))</f>
        <v xml:space="preserve"> </v>
      </c>
      <c r="Z102" s="1" t="str">
        <f>IF(Inventory_List_Table3411151091113171814161920212223[[#This Row],[Q]]&lt;0.1, " ",Inventory_List_Table3411151091113171814161920212223[[#This Row],[H CM]]*Inventory_List_Table3411151091113171814161920212223[[#This Row],[D CM ]]*4+Inventory_List_Table3411151091113171814161920212223[[#This Row],[W CM]]*Inventory_List_Table3411151091113171814161920212223[[#This Row],[D CM ]]/10000)</f>
        <v xml:space="preserve"> </v>
      </c>
      <c r="AA102" s="30" t="str">
        <f>IF(Inventory_List_Table3411151091113171814161920212223[[#This Row],[Q]]&lt;0.1, " ",Inventory_List_Table3411151091113171814161920212223[[#This Row],[PRICE]]/Z102*10000)</f>
        <v xml:space="preserve"> </v>
      </c>
      <c r="AB102" s="511"/>
      <c r="AC102" s="1"/>
      <c r="AD102" s="1"/>
    </row>
  </sheetData>
  <dataValidations count="12">
    <dataValidation allowBlank="1" showInputMessage="1" showErrorMessage="1" prompt="Enter company name in this cell" sqref="B1" xr:uid="{CEED836D-30F7-4E86-89BB-D462672038DB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B577A5B1-6214-4F8E-A6A4-847B75953AEB}"/>
    <dataValidation allowBlank="1" showInputMessage="1" showErrorMessage="1" prompt="Enter the item inventory ID in this column" sqref="E2:E3" xr:uid="{AE340F04-09A3-4BEF-AB76-B3FBD6331782}"/>
    <dataValidation allowBlank="1" showInputMessage="1" showErrorMessage="1" prompt="Enter the name of the item in this column" sqref="F2:F3" xr:uid="{03737992-4ECF-4E8C-B44C-8D5BC9E376F9}"/>
    <dataValidation allowBlank="1" showInputMessage="1" showErrorMessage="1" prompt="Enter yes if the item has been discontinued. When a yes is entered, the corresponding row is highlighted a light grey and the font style changed to strikethrough" sqref="P2:P3" xr:uid="{D492200D-01B2-493F-94B4-C524B6DDA1A6}"/>
    <dataValidation allowBlank="1" showInputMessage="1" showErrorMessage="1" prompt="Enter the quantity in reorder for each item in this column" sqref="O2:O3" xr:uid="{9CEDE728-6F84-4863-BB81-120812E78FA5}"/>
    <dataValidation allowBlank="1" showInputMessage="1" showErrorMessage="1" prompt="Enter the number of days it takes to reorder each item in this column" sqref="L2:N3" xr:uid="{F24CED3C-4045-4867-A82A-3CC020BE6DFD}"/>
    <dataValidation allowBlank="1" showInputMessage="1" showErrorMessage="1" prompt="Enter the reorder level for each item in this column" sqref="K2:K3" xr:uid="{4BC02D8A-C849-4819-BE64-60BF7CB5437D}"/>
    <dataValidation allowBlank="1" showInputMessage="1" showErrorMessage="1" prompt="This is an automated column._x000a__x000a_The inventory value for each item is automatically calculated in this column." sqref="J2:J3" xr:uid="{7DF2EA7E-33AF-474F-BA1B-201F038F5C35}"/>
    <dataValidation allowBlank="1" showInputMessage="1" showErrorMessage="1" prompt="Enter the quantity in stock for each item in this column" sqref="I2:I3" xr:uid="{E33616E5-1B85-4153-93D3-8A66FF1936EA}"/>
    <dataValidation allowBlank="1" showInputMessage="1" showErrorMessage="1" prompt="Enter the unit price of each item in this column" sqref="H2:H3" xr:uid="{3B60569D-C067-429B-A2FE-5E3B14D2F9AF}"/>
    <dataValidation allowBlank="1" showInputMessage="1" showErrorMessage="1" prompt="Enter a description of the item in this column" sqref="G2:G3" xr:uid="{58F073AD-0D0A-4075-9BB3-059BD7560ED2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80F4-B570-448B-951F-5ED92F22816D}">
  <sheetPr>
    <tabColor rgb="FFD11C7E"/>
    <pageSetUpPr fitToPage="1"/>
  </sheetPr>
  <dimension ref="A1:AD102"/>
  <sheetViews>
    <sheetView showGridLines="0" zoomScale="55" zoomScaleNormal="55" workbookViewId="0"/>
  </sheetViews>
  <sheetFormatPr defaultColWidth="8.625" defaultRowHeight="24" customHeight="1" x14ac:dyDescent="0.25"/>
  <cols>
    <col min="1" max="1" width="8.75" style="553" customWidth="1"/>
    <col min="2" max="2" width="36.5" style="29" bestFit="1" customWidth="1"/>
    <col min="3" max="4" width="14.75" style="29" customWidth="1"/>
    <col min="5" max="5" width="14.75" style="541" customWidth="1"/>
    <col min="6" max="6" width="23.75" style="29" bestFit="1" customWidth="1"/>
    <col min="7" max="7" width="6.375" style="29" customWidth="1"/>
    <col min="8" max="8" width="9.25" style="29" bestFit="1" customWidth="1"/>
    <col min="9" max="9" width="17.125" style="29" bestFit="1" customWidth="1"/>
    <col min="10" max="10" width="8.875" style="29" bestFit="1" customWidth="1"/>
    <col min="11" max="11" width="8.25" style="29" bestFit="1" customWidth="1"/>
    <col min="12" max="12" width="21.5" style="542" bestFit="1" customWidth="1"/>
    <col min="13" max="13" width="28.25" style="543" bestFit="1" customWidth="1"/>
    <col min="14" max="14" width="16.375" style="31" bestFit="1" customWidth="1"/>
    <col min="15" max="15" width="11.25" style="31" bestFit="1" customWidth="1"/>
    <col min="16" max="16" width="11.5" style="32" bestFit="1" customWidth="1"/>
    <col min="17" max="17" width="11.25" style="33" bestFit="1" customWidth="1"/>
    <col min="18" max="19" width="16" style="27" bestFit="1" customWidth="1"/>
    <col min="20" max="21" width="15.5" style="27" customWidth="1"/>
    <col min="22" max="22" width="18.25" style="27" bestFit="1" customWidth="1"/>
    <col min="23" max="23" width="23.125" style="27" bestFit="1" customWidth="1"/>
    <col min="24" max="24" width="9.25" style="27" bestFit="1" customWidth="1"/>
    <col min="25" max="25" width="9.25" style="27" customWidth="1"/>
    <col min="26" max="26" width="16.5" style="27" bestFit="1" customWidth="1"/>
    <col min="27" max="27" width="24.625" style="544" bestFit="1" customWidth="1"/>
    <col min="29" max="29" width="8.625" style="27" customWidth="1"/>
    <col min="30" max="30" width="21.75" style="27" bestFit="1" customWidth="1"/>
    <col min="31" max="31" width="13.25" style="27" bestFit="1" customWidth="1"/>
    <col min="32" max="32" width="11.75" style="27" bestFit="1" customWidth="1"/>
    <col min="33" max="16384" width="8.625" style="27"/>
  </cols>
  <sheetData>
    <row r="1" spans="1:30" s="26" customFormat="1" ht="36.75" x14ac:dyDescent="0.25">
      <c r="A1" s="512" t="s">
        <v>140</v>
      </c>
      <c r="B1" s="513" t="s">
        <v>141</v>
      </c>
      <c r="C1" s="514" t="s">
        <v>17</v>
      </c>
      <c r="D1" s="514">
        <v>326</v>
      </c>
      <c r="E1" s="514"/>
      <c r="F1" s="514"/>
      <c r="G1" s="514"/>
      <c r="H1" s="514"/>
      <c r="I1" s="514"/>
      <c r="J1" s="515"/>
      <c r="K1" s="514" t="s">
        <v>18</v>
      </c>
      <c r="L1" s="516">
        <v>18</v>
      </c>
      <c r="M1" s="517">
        <f>SUM(Inventory_List_Table341115109111317181416192021222324[TOTAL PESOS])</f>
        <v>0</v>
      </c>
      <c r="N1" s="518"/>
      <c r="O1" s="518"/>
      <c r="P1" s="518"/>
      <c r="Q1" s="519"/>
      <c r="R1" s="520"/>
      <c r="S1" s="521"/>
      <c r="T1" s="522"/>
      <c r="U1" s="522"/>
      <c r="V1" s="522"/>
      <c r="W1" s="523">
        <f>SUM(Inventory_List_Table341115109111317181416192021222324[TOTAL USD])</f>
        <v>0</v>
      </c>
      <c r="X1" s="524"/>
      <c r="Y1" s="524"/>
      <c r="Z1" s="524"/>
      <c r="AA1" s="525" t="str">
        <f>IF(G3&gt;0.1, AVERAGE(Inventory_List_Table341115109111317181416192021222324[NOTES]), " ")</f>
        <v xml:space="preserve"> </v>
      </c>
      <c r="AB1" s="520"/>
    </row>
    <row r="2" spans="1:30" s="39" customFormat="1" ht="39" x14ac:dyDescent="0.25">
      <c r="A2" s="526" t="s">
        <v>19</v>
      </c>
      <c r="B2" s="527" t="s">
        <v>56</v>
      </c>
      <c r="C2" s="527" t="s">
        <v>146</v>
      </c>
      <c r="D2" s="527" t="s">
        <v>145</v>
      </c>
      <c r="E2" s="527" t="s">
        <v>55</v>
      </c>
      <c r="F2" s="526" t="s">
        <v>20</v>
      </c>
      <c r="G2" s="526" t="s">
        <v>9</v>
      </c>
      <c r="H2" s="526" t="s">
        <v>10</v>
      </c>
      <c r="I2" s="526" t="s">
        <v>15</v>
      </c>
      <c r="J2" s="526" t="s">
        <v>11</v>
      </c>
      <c r="K2" s="526" t="s">
        <v>12</v>
      </c>
      <c r="L2" s="527" t="s">
        <v>25</v>
      </c>
      <c r="M2" s="528" t="s">
        <v>21</v>
      </c>
      <c r="N2" s="529" t="s">
        <v>13</v>
      </c>
      <c r="O2" s="529" t="s">
        <v>22</v>
      </c>
      <c r="P2" s="529" t="s">
        <v>23</v>
      </c>
      <c r="Q2" s="529" t="s">
        <v>24</v>
      </c>
      <c r="R2" s="530" t="s">
        <v>57</v>
      </c>
      <c r="S2" s="527" t="s">
        <v>58</v>
      </c>
      <c r="T2" s="530" t="s">
        <v>59</v>
      </c>
      <c r="U2" s="530" t="s">
        <v>60</v>
      </c>
      <c r="V2" s="530" t="s">
        <v>61</v>
      </c>
      <c r="W2" s="531" t="s">
        <v>14</v>
      </c>
      <c r="X2" s="531" t="s">
        <v>16</v>
      </c>
      <c r="Y2" s="531" t="s">
        <v>1</v>
      </c>
      <c r="Z2" s="514" t="s">
        <v>62</v>
      </c>
      <c r="AA2" s="516" t="s">
        <v>63</v>
      </c>
      <c r="AB2" s="514" t="s">
        <v>64</v>
      </c>
    </row>
    <row r="3" spans="1:30" s="29" customFormat="1" ht="23.25" x14ac:dyDescent="0.35">
      <c r="A3" s="532">
        <v>1</v>
      </c>
      <c r="B3" s="1"/>
      <c r="C3" s="533"/>
      <c r="D3" s="533"/>
      <c r="E3" s="533"/>
      <c r="F3" s="38" t="str">
        <f>IF(Inventory_List_Table341115109111317181416192021222324[[#This Row],[Q]]&lt;0.1, " ",A1&amp;$D$1&amp;Inventory_List_Table341115109111317181416192021222324[[#This Row],['#]]&amp;Inventory_List_Table341115109111317181416192021222324[[#This Row],[LC]])</f>
        <v xml:space="preserve"> </v>
      </c>
      <c r="G3" s="535"/>
      <c r="H3" s="535"/>
      <c r="I3" s="535"/>
      <c r="J3" s="535"/>
      <c r="K3" s="535"/>
      <c r="L3" s="536"/>
      <c r="M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" s="35" t="str">
        <f>IF(Inventory_List_Table341115109111317181416192021222324[[#This Row],[Q]]&lt;0.1, " ", Inventory_List_Table341115109111317181416192021222324[[#This Row],[KG]]*2.20462)</f>
        <v xml:space="preserve"> </v>
      </c>
      <c r="O3" s="35" t="str">
        <f>IF(Inventory_List_Table341115109111317181416192021222324[[#This Row],[Q]]&lt;0.1, " ",Inventory_List_Table341115109111317181416192021222324[[#This Row],[H CM]]/2.54)</f>
        <v xml:space="preserve"> </v>
      </c>
      <c r="P3" s="35" t="str">
        <f>IF(Inventory_List_Table341115109111317181416192021222324[[#This Row],[Q]]&lt;0.1, " ",Inventory_List_Table341115109111317181416192021222324[[#This Row],[W CM]]/2.54)</f>
        <v xml:space="preserve"> </v>
      </c>
      <c r="Q3" s="35" t="str">
        <f>IF(Inventory_List_Table341115109111317181416192021222324[[#This Row],[Q]]&lt;0.1, " ",Inventory_List_Table341115109111317181416192021222324[[#This Row],[D CM ]]/2.54)</f>
        <v xml:space="preserve"> </v>
      </c>
      <c r="R3" s="30" t="str">
        <f>IF(Inventory_List_Table341115109111317181416192021222324[[#This Row],[Q]]&lt;0.1, " ",Inventory_List_Table341115109111317181416192021222324[[#This Row],[PRICE]]/$L$1)</f>
        <v xml:space="preserve"> </v>
      </c>
      <c r="S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" s="30" t="str">
        <f>IF(Inventory_List_Table341115109111317181416192021222324[[#This Row],[Q]]&lt;0.1, " ",Inventory_List_Table341115109111317181416192021222324[[#This Row],[AQ RND USD]]*1.4)</f>
        <v xml:space="preserve"> </v>
      </c>
      <c r="U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" s="30" t="str">
        <f>IF(Inventory_List_Table341115109111317181416192021222324[[#This Row],[Q]]&lt;0.1, " ",Inventory_List_Table341115109111317181416192021222324[[#This Row],[LND RND USD]]*12)</f>
        <v xml:space="preserve"> </v>
      </c>
      <c r="W3" s="30" t="str">
        <f>IF(Inventory_List_Table341115109111317181416192021222324[[#This Row],[Q]]&lt;0.1, " ",Inventory_List_Table341115109111317181416192021222324[[#This Row],[AQ USD]])</f>
        <v xml:space="preserve"> </v>
      </c>
      <c r="X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" s="36" t="str">
        <f>IF(Inventory_List_Table341115109111317181416192021222324[[#This Row],[Q]]&lt;0.1, " ",Inventory_List_Table341115109111317181416192021222324[[#This Row],[PRICE]]/Z3*10000)</f>
        <v xml:space="preserve"> </v>
      </c>
      <c r="AB3" s="534"/>
      <c r="AC3" s="27"/>
      <c r="AD3" s="28"/>
    </row>
    <row r="4" spans="1:30" ht="21" x14ac:dyDescent="0.3">
      <c r="A4" s="532">
        <v>2</v>
      </c>
      <c r="B4" s="1"/>
      <c r="C4" s="533"/>
      <c r="D4" s="533"/>
      <c r="E4" s="533"/>
      <c r="F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" s="535"/>
      <c r="H4" s="535"/>
      <c r="I4" s="535"/>
      <c r="J4" s="535"/>
      <c r="K4" s="535"/>
      <c r="L4" s="537"/>
      <c r="M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" s="35" t="str">
        <f>IF(Inventory_List_Table341115109111317181416192021222324[[#This Row],[Q]]&lt;0.1, " ", Inventory_List_Table341115109111317181416192021222324[[#This Row],[KG]]*2.20462)</f>
        <v xml:space="preserve"> </v>
      </c>
      <c r="O4" s="35" t="str">
        <f>IF(Inventory_List_Table341115109111317181416192021222324[[#This Row],[Q]]&lt;0.1, " ",Inventory_List_Table341115109111317181416192021222324[[#This Row],[H CM]]/2.54)</f>
        <v xml:space="preserve"> </v>
      </c>
      <c r="P4" s="35" t="str">
        <f>IF(Inventory_List_Table341115109111317181416192021222324[[#This Row],[Q]]&lt;0.1, " ",Inventory_List_Table341115109111317181416192021222324[[#This Row],[W CM]]/2.54)</f>
        <v xml:space="preserve"> </v>
      </c>
      <c r="Q4" s="35" t="str">
        <f>IF(Inventory_List_Table341115109111317181416192021222324[[#This Row],[Q]]&lt;0.1, " ",Inventory_List_Table341115109111317181416192021222324[[#This Row],[D CM ]]/2.54)</f>
        <v xml:space="preserve"> </v>
      </c>
      <c r="R4" s="30" t="str">
        <f>IF(Inventory_List_Table341115109111317181416192021222324[[#This Row],[Q]]&lt;0.1, " ",Inventory_List_Table341115109111317181416192021222324[[#This Row],[PRICE]]/$L$1)</f>
        <v xml:space="preserve"> </v>
      </c>
      <c r="S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" s="30" t="str">
        <f>IF(Inventory_List_Table341115109111317181416192021222324[[#This Row],[Q]]&lt;0.1, " ",Inventory_List_Table341115109111317181416192021222324[[#This Row],[AQ RND USD]]*1.4)</f>
        <v xml:space="preserve"> </v>
      </c>
      <c r="U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" s="30" t="str">
        <f>IF(Inventory_List_Table341115109111317181416192021222324[[#This Row],[Q]]&lt;0.1, " ",Inventory_List_Table341115109111317181416192021222324[[#This Row],[LND RND USD]]*12)</f>
        <v xml:space="preserve"> </v>
      </c>
      <c r="W4" s="30" t="str">
        <f>IF(Inventory_List_Table341115109111317181416192021222324[[#This Row],[Q]]&lt;0.1, " ",Inventory_List_Table341115109111317181416192021222324[[#This Row],[AQ USD]])</f>
        <v xml:space="preserve"> </v>
      </c>
      <c r="X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" s="30" t="str">
        <f>IF(Inventory_List_Table341115109111317181416192021222324[[#This Row],[Q]]&lt;0.1, " ",Inventory_List_Table341115109111317181416192021222324[[#This Row],[PRICE]]/Z4*10000)</f>
        <v xml:space="preserve"> </v>
      </c>
      <c r="AB4" s="538"/>
      <c r="AC4" s="1"/>
      <c r="AD4" s="1"/>
    </row>
    <row r="5" spans="1:30" ht="24" customHeight="1" x14ac:dyDescent="0.3">
      <c r="A5" s="532">
        <v>3</v>
      </c>
      <c r="B5" s="1"/>
      <c r="C5" s="533"/>
      <c r="D5" s="533"/>
      <c r="E5" s="533"/>
      <c r="F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" s="535"/>
      <c r="H5" s="535"/>
      <c r="I5" s="535"/>
      <c r="J5" s="535"/>
      <c r="K5" s="535"/>
      <c r="L5" s="537"/>
      <c r="M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" s="35" t="str">
        <f>IF(Inventory_List_Table341115109111317181416192021222324[[#This Row],[Q]]&lt;0.1, " ", Inventory_List_Table341115109111317181416192021222324[[#This Row],[KG]]*2.20462)</f>
        <v xml:space="preserve"> </v>
      </c>
      <c r="O5" s="35" t="str">
        <f>IF(Inventory_List_Table341115109111317181416192021222324[[#This Row],[Q]]&lt;0.1, " ",Inventory_List_Table341115109111317181416192021222324[[#This Row],[H CM]]/2.54)</f>
        <v xml:space="preserve"> </v>
      </c>
      <c r="P5" s="35" t="str">
        <f>IF(Inventory_List_Table341115109111317181416192021222324[[#This Row],[Q]]&lt;0.1, " ",Inventory_List_Table341115109111317181416192021222324[[#This Row],[W CM]]/2.54)</f>
        <v xml:space="preserve"> </v>
      </c>
      <c r="Q5" s="35" t="str">
        <f>IF(Inventory_List_Table341115109111317181416192021222324[[#This Row],[Q]]&lt;0.1, " ",Inventory_List_Table341115109111317181416192021222324[[#This Row],[D CM ]]/2.54)</f>
        <v xml:space="preserve"> </v>
      </c>
      <c r="R5" s="30" t="str">
        <f>IF(Inventory_List_Table341115109111317181416192021222324[[#This Row],[Q]]&lt;0.1, " ",Inventory_List_Table341115109111317181416192021222324[[#This Row],[PRICE]]/$L$1)</f>
        <v xml:space="preserve"> </v>
      </c>
      <c r="S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" s="30" t="str">
        <f>IF(Inventory_List_Table341115109111317181416192021222324[[#This Row],[Q]]&lt;0.1, " ",Inventory_List_Table341115109111317181416192021222324[[#This Row],[AQ RND USD]]*1.4)</f>
        <v xml:space="preserve"> </v>
      </c>
      <c r="U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" s="30" t="str">
        <f>IF(Inventory_List_Table341115109111317181416192021222324[[#This Row],[Q]]&lt;0.1, " ",Inventory_List_Table341115109111317181416192021222324[[#This Row],[LND RND USD]]*12)</f>
        <v xml:space="preserve"> </v>
      </c>
      <c r="W5" s="30" t="str">
        <f>IF(Inventory_List_Table341115109111317181416192021222324[[#This Row],[Q]]&lt;0.1, " ",Inventory_List_Table341115109111317181416192021222324[[#This Row],[AQ USD]])</f>
        <v xml:space="preserve"> </v>
      </c>
      <c r="X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" s="30" t="str">
        <f>IF(Inventory_List_Table341115109111317181416192021222324[[#This Row],[Q]]&lt;0.1, " ",Inventory_List_Table341115109111317181416192021222324[[#This Row],[PRICE]]/Z5*10000)</f>
        <v xml:space="preserve"> </v>
      </c>
      <c r="AB5" s="538"/>
      <c r="AC5" s="1"/>
      <c r="AD5" s="1"/>
    </row>
    <row r="6" spans="1:30" ht="24" customHeight="1" x14ac:dyDescent="0.3">
      <c r="A6" s="532">
        <v>4</v>
      </c>
      <c r="B6" s="1"/>
      <c r="C6" s="533"/>
      <c r="D6" s="533"/>
      <c r="E6" s="533"/>
      <c r="F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" s="535"/>
      <c r="H6" s="535"/>
      <c r="I6" s="535"/>
      <c r="J6" s="535"/>
      <c r="K6" s="535"/>
      <c r="L6" s="537"/>
      <c r="M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" s="35" t="str">
        <f>IF(Inventory_List_Table341115109111317181416192021222324[[#This Row],[Q]]&lt;0.1, " ", Inventory_List_Table341115109111317181416192021222324[[#This Row],[KG]]*2.20462)</f>
        <v xml:space="preserve"> </v>
      </c>
      <c r="O6" s="35" t="str">
        <f>IF(Inventory_List_Table341115109111317181416192021222324[[#This Row],[Q]]&lt;0.1, " ",Inventory_List_Table341115109111317181416192021222324[[#This Row],[H CM]]/2.54)</f>
        <v xml:space="preserve"> </v>
      </c>
      <c r="P6" s="35" t="str">
        <f>IF(Inventory_List_Table341115109111317181416192021222324[[#This Row],[Q]]&lt;0.1, " ",Inventory_List_Table341115109111317181416192021222324[[#This Row],[W CM]]/2.54)</f>
        <v xml:space="preserve"> </v>
      </c>
      <c r="Q6" s="35" t="str">
        <f>IF(Inventory_List_Table341115109111317181416192021222324[[#This Row],[Q]]&lt;0.1, " ",Inventory_List_Table341115109111317181416192021222324[[#This Row],[D CM ]]/2.54)</f>
        <v xml:space="preserve"> </v>
      </c>
      <c r="R6" s="30" t="str">
        <f>IF(Inventory_List_Table341115109111317181416192021222324[[#This Row],[Q]]&lt;0.1, " ",Inventory_List_Table341115109111317181416192021222324[[#This Row],[PRICE]]/$L$1)</f>
        <v xml:space="preserve"> </v>
      </c>
      <c r="S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" s="30" t="str">
        <f>IF(Inventory_List_Table341115109111317181416192021222324[[#This Row],[Q]]&lt;0.1, " ",Inventory_List_Table341115109111317181416192021222324[[#This Row],[AQ RND USD]]*1.4)</f>
        <v xml:space="preserve"> </v>
      </c>
      <c r="U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" s="30" t="str">
        <f>IF(Inventory_List_Table341115109111317181416192021222324[[#This Row],[Q]]&lt;0.1, " ",Inventory_List_Table341115109111317181416192021222324[[#This Row],[LND RND USD]]*12)</f>
        <v xml:space="preserve"> </v>
      </c>
      <c r="W6" s="30" t="str">
        <f>IF(Inventory_List_Table341115109111317181416192021222324[[#This Row],[Q]]&lt;0.1, " ",Inventory_List_Table341115109111317181416192021222324[[#This Row],[AQ USD]])</f>
        <v xml:space="preserve"> </v>
      </c>
      <c r="X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" s="30" t="str">
        <f>IF(Inventory_List_Table341115109111317181416192021222324[[#This Row],[Q]]&lt;0.1, " ",Inventory_List_Table341115109111317181416192021222324[[#This Row],[PRICE]]/Z6*10000)</f>
        <v xml:space="preserve"> </v>
      </c>
      <c r="AB6" s="538"/>
      <c r="AC6" s="1"/>
      <c r="AD6" s="1"/>
    </row>
    <row r="7" spans="1:30" ht="24" customHeight="1" x14ac:dyDescent="0.3">
      <c r="A7" s="532">
        <v>5</v>
      </c>
      <c r="B7" s="1"/>
      <c r="C7" s="533"/>
      <c r="D7" s="533"/>
      <c r="E7" s="533"/>
      <c r="F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" s="535"/>
      <c r="H7" s="535"/>
      <c r="I7" s="535"/>
      <c r="J7" s="535"/>
      <c r="K7" s="535"/>
      <c r="L7" s="537"/>
      <c r="M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" s="35" t="str">
        <f>IF(Inventory_List_Table341115109111317181416192021222324[[#This Row],[Q]]&lt;0.1, " ", Inventory_List_Table341115109111317181416192021222324[[#This Row],[KG]]*2.20462)</f>
        <v xml:space="preserve"> </v>
      </c>
      <c r="O7" s="35" t="str">
        <f>IF(Inventory_List_Table341115109111317181416192021222324[[#This Row],[Q]]&lt;0.1, " ",Inventory_List_Table341115109111317181416192021222324[[#This Row],[H CM]]/2.54)</f>
        <v xml:space="preserve"> </v>
      </c>
      <c r="P7" s="35" t="str">
        <f>IF(Inventory_List_Table341115109111317181416192021222324[[#This Row],[Q]]&lt;0.1, " ",Inventory_List_Table341115109111317181416192021222324[[#This Row],[W CM]]/2.54)</f>
        <v xml:space="preserve"> </v>
      </c>
      <c r="Q7" s="35" t="str">
        <f>IF(Inventory_List_Table341115109111317181416192021222324[[#This Row],[Q]]&lt;0.1, " ",Inventory_List_Table341115109111317181416192021222324[[#This Row],[D CM ]]/2.54)</f>
        <v xml:space="preserve"> </v>
      </c>
      <c r="R7" s="30" t="str">
        <f>IF(Inventory_List_Table341115109111317181416192021222324[[#This Row],[Q]]&lt;0.1, " ",Inventory_List_Table341115109111317181416192021222324[[#This Row],[PRICE]]/$L$1)</f>
        <v xml:space="preserve"> </v>
      </c>
      <c r="S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" s="30" t="str">
        <f>IF(Inventory_List_Table341115109111317181416192021222324[[#This Row],[Q]]&lt;0.1, " ",Inventory_List_Table341115109111317181416192021222324[[#This Row],[AQ RND USD]]*1.4)</f>
        <v xml:space="preserve"> </v>
      </c>
      <c r="U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" s="30" t="str">
        <f>IF(Inventory_List_Table341115109111317181416192021222324[[#This Row],[Q]]&lt;0.1, " ",Inventory_List_Table341115109111317181416192021222324[[#This Row],[LND RND USD]]*12)</f>
        <v xml:space="preserve"> </v>
      </c>
      <c r="W7" s="30" t="str">
        <f>IF(Inventory_List_Table341115109111317181416192021222324[[#This Row],[Q]]&lt;0.1, " ",Inventory_List_Table341115109111317181416192021222324[[#This Row],[AQ USD]])</f>
        <v xml:space="preserve"> </v>
      </c>
      <c r="X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" s="30" t="str">
        <f>IF(Inventory_List_Table341115109111317181416192021222324[[#This Row],[Q]]&lt;0.1, " ",Inventory_List_Table341115109111317181416192021222324[[#This Row],[PRICE]]/Z7*10000)</f>
        <v xml:space="preserve"> </v>
      </c>
      <c r="AB7" s="538"/>
      <c r="AC7" s="1"/>
      <c r="AD7" s="1"/>
    </row>
    <row r="8" spans="1:30" ht="24" customHeight="1" x14ac:dyDescent="0.3">
      <c r="A8" s="532">
        <v>6</v>
      </c>
      <c r="B8" s="1"/>
      <c r="C8" s="533"/>
      <c r="D8" s="533"/>
      <c r="E8" s="533"/>
      <c r="F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" s="535"/>
      <c r="H8" s="535"/>
      <c r="I8" s="535"/>
      <c r="J8" s="535"/>
      <c r="K8" s="535"/>
      <c r="L8" s="537"/>
      <c r="M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" s="35" t="str">
        <f>IF(Inventory_List_Table341115109111317181416192021222324[[#This Row],[Q]]&lt;0.1, " ", Inventory_List_Table341115109111317181416192021222324[[#This Row],[KG]]*2.20462)</f>
        <v xml:space="preserve"> </v>
      </c>
      <c r="O8" s="35" t="str">
        <f>IF(Inventory_List_Table341115109111317181416192021222324[[#This Row],[Q]]&lt;0.1, " ",Inventory_List_Table341115109111317181416192021222324[[#This Row],[H CM]]/2.54)</f>
        <v xml:space="preserve"> </v>
      </c>
      <c r="P8" s="35" t="str">
        <f>IF(Inventory_List_Table341115109111317181416192021222324[[#This Row],[Q]]&lt;0.1, " ",Inventory_List_Table341115109111317181416192021222324[[#This Row],[W CM]]/2.54)</f>
        <v xml:space="preserve"> </v>
      </c>
      <c r="Q8" s="35" t="str">
        <f>IF(Inventory_List_Table341115109111317181416192021222324[[#This Row],[Q]]&lt;0.1, " ",Inventory_List_Table341115109111317181416192021222324[[#This Row],[D CM ]]/2.54)</f>
        <v xml:space="preserve"> </v>
      </c>
      <c r="R8" s="30" t="str">
        <f>IF(Inventory_List_Table341115109111317181416192021222324[[#This Row],[Q]]&lt;0.1, " ",Inventory_List_Table341115109111317181416192021222324[[#This Row],[PRICE]]/$L$1)</f>
        <v xml:space="preserve"> </v>
      </c>
      <c r="S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" s="30" t="str">
        <f>IF(Inventory_List_Table341115109111317181416192021222324[[#This Row],[Q]]&lt;0.1, " ",Inventory_List_Table341115109111317181416192021222324[[#This Row],[AQ RND USD]]*1.4)</f>
        <v xml:space="preserve"> </v>
      </c>
      <c r="U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" s="30" t="str">
        <f>IF(Inventory_List_Table341115109111317181416192021222324[[#This Row],[Q]]&lt;0.1, " ",Inventory_List_Table341115109111317181416192021222324[[#This Row],[LND RND USD]]*12)</f>
        <v xml:space="preserve"> </v>
      </c>
      <c r="W8" s="30" t="str">
        <f>IF(Inventory_List_Table341115109111317181416192021222324[[#This Row],[Q]]&lt;0.1, " ",Inventory_List_Table341115109111317181416192021222324[[#This Row],[AQ USD]])</f>
        <v xml:space="preserve"> </v>
      </c>
      <c r="X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" s="30" t="str">
        <f>IF(Inventory_List_Table341115109111317181416192021222324[[#This Row],[Q]]&lt;0.1, " ",Inventory_List_Table341115109111317181416192021222324[[#This Row],[PRICE]]/Z8*10000)</f>
        <v xml:space="preserve"> </v>
      </c>
      <c r="AB8" s="538"/>
      <c r="AC8" s="1"/>
      <c r="AD8" s="1"/>
    </row>
    <row r="9" spans="1:30" ht="24" customHeight="1" x14ac:dyDescent="0.3">
      <c r="A9" s="532">
        <v>7</v>
      </c>
      <c r="B9" s="1"/>
      <c r="C9" s="533"/>
      <c r="D9" s="533"/>
      <c r="E9" s="533"/>
      <c r="F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" s="535"/>
      <c r="H9" s="535"/>
      <c r="I9" s="535"/>
      <c r="J9" s="535"/>
      <c r="K9" s="535"/>
      <c r="L9" s="537"/>
      <c r="M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" s="35" t="str">
        <f>IF(Inventory_List_Table341115109111317181416192021222324[[#This Row],[Q]]&lt;0.1, " ", Inventory_List_Table341115109111317181416192021222324[[#This Row],[KG]]*2.20462)</f>
        <v xml:space="preserve"> </v>
      </c>
      <c r="O9" s="35" t="str">
        <f>IF(Inventory_List_Table341115109111317181416192021222324[[#This Row],[Q]]&lt;0.1, " ",Inventory_List_Table341115109111317181416192021222324[[#This Row],[H CM]]/2.54)</f>
        <v xml:space="preserve"> </v>
      </c>
      <c r="P9" s="35" t="str">
        <f>IF(Inventory_List_Table341115109111317181416192021222324[[#This Row],[Q]]&lt;0.1, " ",Inventory_List_Table341115109111317181416192021222324[[#This Row],[W CM]]/2.54)</f>
        <v xml:space="preserve"> </v>
      </c>
      <c r="Q9" s="35" t="str">
        <f>IF(Inventory_List_Table341115109111317181416192021222324[[#This Row],[Q]]&lt;0.1, " ",Inventory_List_Table341115109111317181416192021222324[[#This Row],[D CM ]]/2.54)</f>
        <v xml:space="preserve"> </v>
      </c>
      <c r="R9" s="30" t="str">
        <f>IF(Inventory_List_Table341115109111317181416192021222324[[#This Row],[Q]]&lt;0.1, " ",Inventory_List_Table341115109111317181416192021222324[[#This Row],[PRICE]]/$L$1)</f>
        <v xml:space="preserve"> </v>
      </c>
      <c r="S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" s="30" t="str">
        <f>IF(Inventory_List_Table341115109111317181416192021222324[[#This Row],[Q]]&lt;0.1, " ",Inventory_List_Table341115109111317181416192021222324[[#This Row],[AQ RND USD]]*1.4)</f>
        <v xml:space="preserve"> </v>
      </c>
      <c r="U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" s="30" t="str">
        <f>IF(Inventory_List_Table341115109111317181416192021222324[[#This Row],[Q]]&lt;0.1, " ",Inventory_List_Table341115109111317181416192021222324[[#This Row],[LND RND USD]]*12)</f>
        <v xml:space="preserve"> </v>
      </c>
      <c r="W9" s="30" t="str">
        <f>IF(Inventory_List_Table341115109111317181416192021222324[[#This Row],[Q]]&lt;0.1, " ",Inventory_List_Table341115109111317181416192021222324[[#This Row],[AQ USD]])</f>
        <v xml:space="preserve"> </v>
      </c>
      <c r="X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" s="30" t="str">
        <f>IF(Inventory_List_Table341115109111317181416192021222324[[#This Row],[Q]]&lt;0.1, " ",Inventory_List_Table341115109111317181416192021222324[[#This Row],[PRICE]]/Z9*10000)</f>
        <v xml:space="preserve"> </v>
      </c>
      <c r="AB9" s="538"/>
      <c r="AC9" s="1"/>
      <c r="AD9" s="1"/>
    </row>
    <row r="10" spans="1:30" ht="24" customHeight="1" x14ac:dyDescent="0.3">
      <c r="A10" s="532">
        <v>8</v>
      </c>
      <c r="B10" s="1"/>
      <c r="C10" s="533"/>
      <c r="D10" s="533"/>
      <c r="E10" s="533"/>
      <c r="F1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0" s="535"/>
      <c r="H10" s="535"/>
      <c r="I10" s="535"/>
      <c r="J10" s="535"/>
      <c r="K10" s="535"/>
      <c r="L10" s="537"/>
      <c r="M1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0" s="35" t="str">
        <f>IF(Inventory_List_Table341115109111317181416192021222324[[#This Row],[Q]]&lt;0.1, " ", Inventory_List_Table341115109111317181416192021222324[[#This Row],[KG]]*2.20462)</f>
        <v xml:space="preserve"> </v>
      </c>
      <c r="O10" s="35" t="str">
        <f>IF(Inventory_List_Table341115109111317181416192021222324[[#This Row],[Q]]&lt;0.1, " ",Inventory_List_Table341115109111317181416192021222324[[#This Row],[H CM]]/2.54)</f>
        <v xml:space="preserve"> </v>
      </c>
      <c r="P10" s="35" t="str">
        <f>IF(Inventory_List_Table341115109111317181416192021222324[[#This Row],[Q]]&lt;0.1, " ",Inventory_List_Table341115109111317181416192021222324[[#This Row],[W CM]]/2.54)</f>
        <v xml:space="preserve"> </v>
      </c>
      <c r="Q10" s="35" t="str">
        <f>IF(Inventory_List_Table341115109111317181416192021222324[[#This Row],[Q]]&lt;0.1, " ",Inventory_List_Table341115109111317181416192021222324[[#This Row],[D CM ]]/2.54)</f>
        <v xml:space="preserve"> </v>
      </c>
      <c r="R10" s="30" t="str">
        <f>IF(Inventory_List_Table341115109111317181416192021222324[[#This Row],[Q]]&lt;0.1, " ",Inventory_List_Table341115109111317181416192021222324[[#This Row],[PRICE]]/$L$1)</f>
        <v xml:space="preserve"> </v>
      </c>
      <c r="S1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0" s="30" t="str">
        <f>IF(Inventory_List_Table341115109111317181416192021222324[[#This Row],[Q]]&lt;0.1, " ",Inventory_List_Table341115109111317181416192021222324[[#This Row],[AQ RND USD]]*1.4)</f>
        <v xml:space="preserve"> </v>
      </c>
      <c r="U1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0" s="30" t="str">
        <f>IF(Inventory_List_Table341115109111317181416192021222324[[#This Row],[Q]]&lt;0.1, " ",Inventory_List_Table341115109111317181416192021222324[[#This Row],[LND RND USD]]*12)</f>
        <v xml:space="preserve"> </v>
      </c>
      <c r="W10" s="30" t="str">
        <f>IF(Inventory_List_Table341115109111317181416192021222324[[#This Row],[Q]]&lt;0.1, " ",Inventory_List_Table341115109111317181416192021222324[[#This Row],[AQ USD]])</f>
        <v xml:space="preserve"> </v>
      </c>
      <c r="X1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0" s="30" t="str">
        <f>IF(Inventory_List_Table341115109111317181416192021222324[[#This Row],[Q]]&lt;0.1, " ",Inventory_List_Table341115109111317181416192021222324[[#This Row],[PRICE]]/Z10*10000)</f>
        <v xml:space="preserve"> </v>
      </c>
      <c r="AB10" s="538"/>
      <c r="AC10" s="1"/>
      <c r="AD10" s="1"/>
    </row>
    <row r="11" spans="1:30" ht="24" customHeight="1" x14ac:dyDescent="0.3">
      <c r="A11" s="532">
        <v>9</v>
      </c>
      <c r="B11" s="1"/>
      <c r="C11" s="533"/>
      <c r="D11" s="533"/>
      <c r="E11" s="533"/>
      <c r="F1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1" s="535"/>
      <c r="H11" s="535"/>
      <c r="I11" s="535"/>
      <c r="J11" s="535"/>
      <c r="K11" s="535"/>
      <c r="L11" s="537"/>
      <c r="M1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1" s="35" t="str">
        <f>IF(Inventory_List_Table341115109111317181416192021222324[[#This Row],[Q]]&lt;0.1, " ", Inventory_List_Table341115109111317181416192021222324[[#This Row],[KG]]*2.20462)</f>
        <v xml:space="preserve"> </v>
      </c>
      <c r="O11" s="35" t="str">
        <f>IF(Inventory_List_Table341115109111317181416192021222324[[#This Row],[Q]]&lt;0.1, " ",Inventory_List_Table341115109111317181416192021222324[[#This Row],[H CM]]/2.54)</f>
        <v xml:space="preserve"> </v>
      </c>
      <c r="P11" s="35" t="str">
        <f>IF(Inventory_List_Table341115109111317181416192021222324[[#This Row],[Q]]&lt;0.1, " ",Inventory_List_Table341115109111317181416192021222324[[#This Row],[W CM]]/2.54)</f>
        <v xml:space="preserve"> </v>
      </c>
      <c r="Q11" s="35" t="str">
        <f>IF(Inventory_List_Table341115109111317181416192021222324[[#This Row],[Q]]&lt;0.1, " ",Inventory_List_Table341115109111317181416192021222324[[#This Row],[D CM ]]/2.54)</f>
        <v xml:space="preserve"> </v>
      </c>
      <c r="R11" s="30" t="str">
        <f>IF(Inventory_List_Table341115109111317181416192021222324[[#This Row],[Q]]&lt;0.1, " ",Inventory_List_Table341115109111317181416192021222324[[#This Row],[PRICE]]/$L$1)</f>
        <v xml:space="preserve"> </v>
      </c>
      <c r="S1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1" s="30" t="str">
        <f>IF(Inventory_List_Table341115109111317181416192021222324[[#This Row],[Q]]&lt;0.1, " ",Inventory_List_Table341115109111317181416192021222324[[#This Row],[AQ RND USD]]*1.4)</f>
        <v xml:space="preserve"> </v>
      </c>
      <c r="U1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1" s="30" t="str">
        <f>IF(Inventory_List_Table341115109111317181416192021222324[[#This Row],[Q]]&lt;0.1, " ",Inventory_List_Table341115109111317181416192021222324[[#This Row],[LND RND USD]]*12)</f>
        <v xml:space="preserve"> </v>
      </c>
      <c r="W11" s="30" t="str">
        <f>IF(Inventory_List_Table341115109111317181416192021222324[[#This Row],[Q]]&lt;0.1, " ",Inventory_List_Table341115109111317181416192021222324[[#This Row],[AQ USD]])</f>
        <v xml:space="preserve"> </v>
      </c>
      <c r="X1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1" s="30" t="str">
        <f>IF(Inventory_List_Table341115109111317181416192021222324[[#This Row],[Q]]&lt;0.1, " ",Inventory_List_Table341115109111317181416192021222324[[#This Row],[PRICE]]/Z11*10000)</f>
        <v xml:space="preserve"> </v>
      </c>
      <c r="AB11" s="538"/>
      <c r="AC11" s="1"/>
      <c r="AD11" s="1"/>
    </row>
    <row r="12" spans="1:30" ht="24" customHeight="1" x14ac:dyDescent="0.3">
      <c r="A12" s="532">
        <v>10</v>
      </c>
      <c r="B12" s="1"/>
      <c r="C12" s="533"/>
      <c r="D12" s="533"/>
      <c r="E12" s="533"/>
      <c r="F1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2" s="535"/>
      <c r="H12" s="535"/>
      <c r="I12" s="535"/>
      <c r="J12" s="535"/>
      <c r="K12" s="535"/>
      <c r="L12" s="537"/>
      <c r="M1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2" s="35" t="str">
        <f>IF(Inventory_List_Table341115109111317181416192021222324[[#This Row],[Q]]&lt;0.1, " ", Inventory_List_Table341115109111317181416192021222324[[#This Row],[KG]]*2.20462)</f>
        <v xml:space="preserve"> </v>
      </c>
      <c r="O12" s="35" t="str">
        <f>IF(Inventory_List_Table341115109111317181416192021222324[[#This Row],[Q]]&lt;0.1, " ",Inventory_List_Table341115109111317181416192021222324[[#This Row],[H CM]]/2.54)</f>
        <v xml:space="preserve"> </v>
      </c>
      <c r="P12" s="35" t="str">
        <f>IF(Inventory_List_Table341115109111317181416192021222324[[#This Row],[Q]]&lt;0.1, " ",Inventory_List_Table341115109111317181416192021222324[[#This Row],[W CM]]/2.54)</f>
        <v xml:space="preserve"> </v>
      </c>
      <c r="Q12" s="35" t="str">
        <f>IF(Inventory_List_Table341115109111317181416192021222324[[#This Row],[Q]]&lt;0.1, " ",Inventory_List_Table341115109111317181416192021222324[[#This Row],[D CM ]]/2.54)</f>
        <v xml:space="preserve"> </v>
      </c>
      <c r="R12" s="30" t="str">
        <f>IF(Inventory_List_Table341115109111317181416192021222324[[#This Row],[Q]]&lt;0.1, " ",Inventory_List_Table341115109111317181416192021222324[[#This Row],[PRICE]]/$L$1)</f>
        <v xml:space="preserve"> </v>
      </c>
      <c r="S1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2" s="30" t="str">
        <f>IF(Inventory_List_Table341115109111317181416192021222324[[#This Row],[Q]]&lt;0.1, " ",Inventory_List_Table341115109111317181416192021222324[[#This Row],[AQ RND USD]]*1.4)</f>
        <v xml:space="preserve"> </v>
      </c>
      <c r="U1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2" s="30" t="str">
        <f>IF(Inventory_List_Table341115109111317181416192021222324[[#This Row],[Q]]&lt;0.1, " ",Inventory_List_Table341115109111317181416192021222324[[#This Row],[LND RND USD]]*12)</f>
        <v xml:space="preserve"> </v>
      </c>
      <c r="W12" s="30" t="str">
        <f>IF(Inventory_List_Table341115109111317181416192021222324[[#This Row],[Q]]&lt;0.1, " ",Inventory_List_Table341115109111317181416192021222324[[#This Row],[AQ USD]])</f>
        <v xml:space="preserve"> </v>
      </c>
      <c r="X1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2" s="30" t="str">
        <f>IF(Inventory_List_Table341115109111317181416192021222324[[#This Row],[Q]]&lt;0.1, " ",Inventory_List_Table341115109111317181416192021222324[[#This Row],[PRICE]]/Z12*10000)</f>
        <v xml:space="preserve"> </v>
      </c>
      <c r="AB12" s="538"/>
      <c r="AC12" s="1"/>
      <c r="AD12" s="1"/>
    </row>
    <row r="13" spans="1:30" ht="24" customHeight="1" x14ac:dyDescent="0.3">
      <c r="A13" s="532">
        <v>11</v>
      </c>
      <c r="B13" s="1"/>
      <c r="C13" s="533"/>
      <c r="D13" s="533"/>
      <c r="E13" s="533"/>
      <c r="F1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3" s="535"/>
      <c r="H13" s="535"/>
      <c r="I13" s="535"/>
      <c r="J13" s="535"/>
      <c r="K13" s="535"/>
      <c r="L13" s="537"/>
      <c r="M1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3" s="35" t="str">
        <f>IF(Inventory_List_Table341115109111317181416192021222324[[#This Row],[Q]]&lt;0.1, " ", Inventory_List_Table341115109111317181416192021222324[[#This Row],[KG]]*2.20462)</f>
        <v xml:space="preserve"> </v>
      </c>
      <c r="O13" s="35" t="str">
        <f>IF(Inventory_List_Table341115109111317181416192021222324[[#This Row],[Q]]&lt;0.1, " ",Inventory_List_Table341115109111317181416192021222324[[#This Row],[H CM]]/2.54)</f>
        <v xml:space="preserve"> </v>
      </c>
      <c r="P13" s="35" t="str">
        <f>IF(Inventory_List_Table341115109111317181416192021222324[[#This Row],[Q]]&lt;0.1, " ",Inventory_List_Table341115109111317181416192021222324[[#This Row],[W CM]]/2.54)</f>
        <v xml:space="preserve"> </v>
      </c>
      <c r="Q13" s="35" t="str">
        <f>IF(Inventory_List_Table341115109111317181416192021222324[[#This Row],[Q]]&lt;0.1, " ",Inventory_List_Table341115109111317181416192021222324[[#This Row],[D CM ]]/2.54)</f>
        <v xml:space="preserve"> </v>
      </c>
      <c r="R13" s="30" t="str">
        <f>IF(Inventory_List_Table341115109111317181416192021222324[[#This Row],[Q]]&lt;0.1, " ",Inventory_List_Table341115109111317181416192021222324[[#This Row],[PRICE]]/$L$1)</f>
        <v xml:space="preserve"> </v>
      </c>
      <c r="S1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3" s="30" t="str">
        <f>IF(Inventory_List_Table341115109111317181416192021222324[[#This Row],[Q]]&lt;0.1, " ",Inventory_List_Table341115109111317181416192021222324[[#This Row],[AQ RND USD]]*1.4)</f>
        <v xml:space="preserve"> </v>
      </c>
      <c r="U1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3" s="30" t="str">
        <f>IF(Inventory_List_Table341115109111317181416192021222324[[#This Row],[Q]]&lt;0.1, " ",Inventory_List_Table341115109111317181416192021222324[[#This Row],[LND RND USD]]*12)</f>
        <v xml:space="preserve"> </v>
      </c>
      <c r="W13" s="30" t="str">
        <f>IF(Inventory_List_Table341115109111317181416192021222324[[#This Row],[Q]]&lt;0.1, " ",Inventory_List_Table341115109111317181416192021222324[[#This Row],[AQ USD]])</f>
        <v xml:space="preserve"> </v>
      </c>
      <c r="X1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3" s="30" t="str">
        <f>IF(Inventory_List_Table341115109111317181416192021222324[[#This Row],[Q]]&lt;0.1, " ",Inventory_List_Table341115109111317181416192021222324[[#This Row],[PRICE]]/Z13*10000)</f>
        <v xml:space="preserve"> </v>
      </c>
      <c r="AB13" s="538"/>
      <c r="AC13" s="1"/>
      <c r="AD13" s="1"/>
    </row>
    <row r="14" spans="1:30" ht="24" customHeight="1" x14ac:dyDescent="0.3">
      <c r="A14" s="532">
        <v>12</v>
      </c>
      <c r="B14" s="1"/>
      <c r="C14" s="533"/>
      <c r="D14" s="533"/>
      <c r="E14" s="533"/>
      <c r="F1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4" s="535"/>
      <c r="H14" s="535"/>
      <c r="I14" s="535"/>
      <c r="J14" s="535"/>
      <c r="K14" s="535"/>
      <c r="L14" s="537"/>
      <c r="M1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4" s="35" t="str">
        <f>IF(Inventory_List_Table341115109111317181416192021222324[[#This Row],[Q]]&lt;0.1, " ", Inventory_List_Table341115109111317181416192021222324[[#This Row],[KG]]*2.20462)</f>
        <v xml:space="preserve"> </v>
      </c>
      <c r="O14" s="35" t="str">
        <f>IF(Inventory_List_Table341115109111317181416192021222324[[#This Row],[Q]]&lt;0.1, " ",Inventory_List_Table341115109111317181416192021222324[[#This Row],[H CM]]/2.54)</f>
        <v xml:space="preserve"> </v>
      </c>
      <c r="P14" s="35" t="str">
        <f>IF(Inventory_List_Table341115109111317181416192021222324[[#This Row],[Q]]&lt;0.1, " ",Inventory_List_Table341115109111317181416192021222324[[#This Row],[W CM]]/2.54)</f>
        <v xml:space="preserve"> </v>
      </c>
      <c r="Q14" s="35" t="str">
        <f>IF(Inventory_List_Table341115109111317181416192021222324[[#This Row],[Q]]&lt;0.1, " ",Inventory_List_Table341115109111317181416192021222324[[#This Row],[D CM ]]/2.54)</f>
        <v xml:space="preserve"> </v>
      </c>
      <c r="R14" s="30" t="str">
        <f>IF(Inventory_List_Table341115109111317181416192021222324[[#This Row],[Q]]&lt;0.1, " ",Inventory_List_Table341115109111317181416192021222324[[#This Row],[PRICE]]/$L$1)</f>
        <v xml:space="preserve"> </v>
      </c>
      <c r="S1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4" s="30" t="str">
        <f>IF(Inventory_List_Table341115109111317181416192021222324[[#This Row],[Q]]&lt;0.1, " ",Inventory_List_Table341115109111317181416192021222324[[#This Row],[AQ RND USD]]*1.4)</f>
        <v xml:space="preserve"> </v>
      </c>
      <c r="U1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4" s="30" t="str">
        <f>IF(Inventory_List_Table341115109111317181416192021222324[[#This Row],[Q]]&lt;0.1, " ",Inventory_List_Table341115109111317181416192021222324[[#This Row],[LND RND USD]]*12)</f>
        <v xml:space="preserve"> </v>
      </c>
      <c r="W14" s="30" t="str">
        <f>IF(Inventory_List_Table341115109111317181416192021222324[[#This Row],[Q]]&lt;0.1, " ",Inventory_List_Table341115109111317181416192021222324[[#This Row],[AQ USD]])</f>
        <v xml:space="preserve"> </v>
      </c>
      <c r="X1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4" s="30" t="str">
        <f>IF(Inventory_List_Table341115109111317181416192021222324[[#This Row],[Q]]&lt;0.1, " ",Inventory_List_Table341115109111317181416192021222324[[#This Row],[PRICE]]/Z14*10000)</f>
        <v xml:space="preserve"> </v>
      </c>
      <c r="AB14" s="538"/>
      <c r="AC14" s="1"/>
      <c r="AD14" s="1"/>
    </row>
    <row r="15" spans="1:30" ht="24" customHeight="1" x14ac:dyDescent="0.3">
      <c r="A15" s="532">
        <v>13</v>
      </c>
      <c r="B15" s="1"/>
      <c r="C15" s="533"/>
      <c r="D15" s="533"/>
      <c r="E15" s="533"/>
      <c r="F1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5" s="535"/>
      <c r="H15" s="535"/>
      <c r="I15" s="535"/>
      <c r="J15" s="535"/>
      <c r="K15" s="535"/>
      <c r="L15" s="537"/>
      <c r="M1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5" s="35" t="str">
        <f>IF(Inventory_List_Table341115109111317181416192021222324[[#This Row],[Q]]&lt;0.1, " ", Inventory_List_Table341115109111317181416192021222324[[#This Row],[KG]]*2.20462)</f>
        <v xml:space="preserve"> </v>
      </c>
      <c r="O15" s="35" t="str">
        <f>IF(Inventory_List_Table341115109111317181416192021222324[[#This Row],[Q]]&lt;0.1, " ",Inventory_List_Table341115109111317181416192021222324[[#This Row],[H CM]]/2.54)</f>
        <v xml:space="preserve"> </v>
      </c>
      <c r="P15" s="35" t="str">
        <f>IF(Inventory_List_Table341115109111317181416192021222324[[#This Row],[Q]]&lt;0.1, " ",Inventory_List_Table341115109111317181416192021222324[[#This Row],[W CM]]/2.54)</f>
        <v xml:space="preserve"> </v>
      </c>
      <c r="Q15" s="35" t="str">
        <f>IF(Inventory_List_Table341115109111317181416192021222324[[#This Row],[Q]]&lt;0.1, " ",Inventory_List_Table341115109111317181416192021222324[[#This Row],[D CM ]]/2.54)</f>
        <v xml:space="preserve"> </v>
      </c>
      <c r="R15" s="30" t="str">
        <f>IF(Inventory_List_Table341115109111317181416192021222324[[#This Row],[Q]]&lt;0.1, " ",Inventory_List_Table341115109111317181416192021222324[[#This Row],[PRICE]]/$L$1)</f>
        <v xml:space="preserve"> </v>
      </c>
      <c r="S1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5" s="30" t="str">
        <f>IF(Inventory_List_Table341115109111317181416192021222324[[#This Row],[Q]]&lt;0.1, " ",Inventory_List_Table341115109111317181416192021222324[[#This Row],[AQ RND USD]]*1.4)</f>
        <v xml:space="preserve"> </v>
      </c>
      <c r="U1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5" s="30" t="str">
        <f>IF(Inventory_List_Table341115109111317181416192021222324[[#This Row],[Q]]&lt;0.1, " ",Inventory_List_Table341115109111317181416192021222324[[#This Row],[LND RND USD]]*12)</f>
        <v xml:space="preserve"> </v>
      </c>
      <c r="W15" s="30" t="str">
        <f>IF(Inventory_List_Table341115109111317181416192021222324[[#This Row],[Q]]&lt;0.1, " ",Inventory_List_Table341115109111317181416192021222324[[#This Row],[AQ USD]])</f>
        <v xml:space="preserve"> </v>
      </c>
      <c r="X1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5" s="30" t="str">
        <f>IF(Inventory_List_Table341115109111317181416192021222324[[#This Row],[Q]]&lt;0.1, " ",Inventory_List_Table341115109111317181416192021222324[[#This Row],[PRICE]]/Z15*10000)</f>
        <v xml:space="preserve"> </v>
      </c>
      <c r="AB15" s="538"/>
      <c r="AC15" s="1"/>
      <c r="AD15" s="1"/>
    </row>
    <row r="16" spans="1:30" ht="24" customHeight="1" x14ac:dyDescent="0.3">
      <c r="A16" s="532">
        <v>14</v>
      </c>
      <c r="B16" s="1"/>
      <c r="C16" s="533"/>
      <c r="D16" s="533"/>
      <c r="E16" s="533"/>
      <c r="F1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6" s="535"/>
      <c r="H16" s="535"/>
      <c r="I16" s="535"/>
      <c r="J16" s="535"/>
      <c r="K16" s="535"/>
      <c r="L16" s="537"/>
      <c r="M1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6" s="35" t="str">
        <f>IF(Inventory_List_Table341115109111317181416192021222324[[#This Row],[Q]]&lt;0.1, " ", Inventory_List_Table341115109111317181416192021222324[[#This Row],[KG]]*2.20462)</f>
        <v xml:space="preserve"> </v>
      </c>
      <c r="O16" s="35" t="str">
        <f>IF(Inventory_List_Table341115109111317181416192021222324[[#This Row],[Q]]&lt;0.1, " ",Inventory_List_Table341115109111317181416192021222324[[#This Row],[H CM]]/2.54)</f>
        <v xml:space="preserve"> </v>
      </c>
      <c r="P16" s="35" t="str">
        <f>IF(Inventory_List_Table341115109111317181416192021222324[[#This Row],[Q]]&lt;0.1, " ",Inventory_List_Table341115109111317181416192021222324[[#This Row],[W CM]]/2.54)</f>
        <v xml:space="preserve"> </v>
      </c>
      <c r="Q16" s="35" t="str">
        <f>IF(Inventory_List_Table341115109111317181416192021222324[[#This Row],[Q]]&lt;0.1, " ",Inventory_List_Table341115109111317181416192021222324[[#This Row],[D CM ]]/2.54)</f>
        <v xml:space="preserve"> </v>
      </c>
      <c r="R16" s="30" t="str">
        <f>IF(Inventory_List_Table341115109111317181416192021222324[[#This Row],[Q]]&lt;0.1, " ",Inventory_List_Table341115109111317181416192021222324[[#This Row],[PRICE]]/$L$1)</f>
        <v xml:space="preserve"> </v>
      </c>
      <c r="S1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6" s="30" t="str">
        <f>IF(Inventory_List_Table341115109111317181416192021222324[[#This Row],[Q]]&lt;0.1, " ",Inventory_List_Table341115109111317181416192021222324[[#This Row],[AQ RND USD]]*1.4)</f>
        <v xml:space="preserve"> </v>
      </c>
      <c r="U1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6" s="30" t="str">
        <f>IF(Inventory_List_Table341115109111317181416192021222324[[#This Row],[Q]]&lt;0.1, " ",Inventory_List_Table341115109111317181416192021222324[[#This Row],[LND RND USD]]*12)</f>
        <v xml:space="preserve"> </v>
      </c>
      <c r="W16" s="30" t="str">
        <f>IF(Inventory_List_Table341115109111317181416192021222324[[#This Row],[Q]]&lt;0.1, " ",Inventory_List_Table341115109111317181416192021222324[[#This Row],[AQ USD]])</f>
        <v xml:space="preserve"> </v>
      </c>
      <c r="X1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6" s="30" t="str">
        <f>IF(Inventory_List_Table341115109111317181416192021222324[[#This Row],[Q]]&lt;0.1, " ",Inventory_List_Table341115109111317181416192021222324[[#This Row],[PRICE]]/Z16*10000)</f>
        <v xml:space="preserve"> </v>
      </c>
      <c r="AB16" s="538"/>
      <c r="AC16" s="1"/>
      <c r="AD16" s="1"/>
    </row>
    <row r="17" spans="1:30" ht="24" customHeight="1" x14ac:dyDescent="0.3">
      <c r="A17" s="532">
        <v>15</v>
      </c>
      <c r="B17" s="1"/>
      <c r="C17" s="533"/>
      <c r="D17" s="533"/>
      <c r="E17" s="533"/>
      <c r="F1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7" s="535"/>
      <c r="H17" s="535"/>
      <c r="I17" s="535"/>
      <c r="J17" s="535"/>
      <c r="K17" s="535"/>
      <c r="L17" s="537"/>
      <c r="M1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7" s="35" t="str">
        <f>IF(Inventory_List_Table341115109111317181416192021222324[[#This Row],[Q]]&lt;0.1, " ", Inventory_List_Table341115109111317181416192021222324[[#This Row],[KG]]*2.20462)</f>
        <v xml:space="preserve"> </v>
      </c>
      <c r="O17" s="35" t="str">
        <f>IF(Inventory_List_Table341115109111317181416192021222324[[#This Row],[Q]]&lt;0.1, " ",Inventory_List_Table341115109111317181416192021222324[[#This Row],[H CM]]/2.54)</f>
        <v xml:space="preserve"> </v>
      </c>
      <c r="P17" s="35" t="str">
        <f>IF(Inventory_List_Table341115109111317181416192021222324[[#This Row],[Q]]&lt;0.1, " ",Inventory_List_Table341115109111317181416192021222324[[#This Row],[W CM]]/2.54)</f>
        <v xml:space="preserve"> </v>
      </c>
      <c r="Q17" s="35" t="str">
        <f>IF(Inventory_List_Table341115109111317181416192021222324[[#This Row],[Q]]&lt;0.1, " ",Inventory_List_Table341115109111317181416192021222324[[#This Row],[D CM ]]/2.54)</f>
        <v xml:space="preserve"> </v>
      </c>
      <c r="R17" s="30" t="str">
        <f>IF(Inventory_List_Table341115109111317181416192021222324[[#This Row],[Q]]&lt;0.1, " ",Inventory_List_Table341115109111317181416192021222324[[#This Row],[PRICE]]/$L$1)</f>
        <v xml:space="preserve"> </v>
      </c>
      <c r="S1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7" s="30" t="str">
        <f>IF(Inventory_List_Table341115109111317181416192021222324[[#This Row],[Q]]&lt;0.1, " ",Inventory_List_Table341115109111317181416192021222324[[#This Row],[AQ RND USD]]*1.4)</f>
        <v xml:space="preserve"> </v>
      </c>
      <c r="U1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7" s="30" t="str">
        <f>IF(Inventory_List_Table341115109111317181416192021222324[[#This Row],[Q]]&lt;0.1, " ",Inventory_List_Table341115109111317181416192021222324[[#This Row],[LND RND USD]]*12)</f>
        <v xml:space="preserve"> </v>
      </c>
      <c r="W17" s="30" t="str">
        <f>IF(Inventory_List_Table341115109111317181416192021222324[[#This Row],[Q]]&lt;0.1, " ",Inventory_List_Table341115109111317181416192021222324[[#This Row],[AQ USD]])</f>
        <v xml:space="preserve"> </v>
      </c>
      <c r="X1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7" s="30" t="str">
        <f>IF(Inventory_List_Table341115109111317181416192021222324[[#This Row],[Q]]&lt;0.1, " ",Inventory_List_Table341115109111317181416192021222324[[#This Row],[PRICE]]/Z17*10000)</f>
        <v xml:space="preserve"> </v>
      </c>
      <c r="AB17" s="538"/>
      <c r="AC17" s="1"/>
      <c r="AD17" s="1"/>
    </row>
    <row r="18" spans="1:30" ht="24" customHeight="1" x14ac:dyDescent="0.3">
      <c r="A18" s="532">
        <v>16</v>
      </c>
      <c r="B18" s="1"/>
      <c r="C18" s="533"/>
      <c r="D18" s="533"/>
      <c r="E18" s="533"/>
      <c r="F1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8" s="535"/>
      <c r="H18" s="535"/>
      <c r="I18" s="535"/>
      <c r="J18" s="535"/>
      <c r="K18" s="535"/>
      <c r="L18" s="537"/>
      <c r="M1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8" s="35" t="str">
        <f>IF(Inventory_List_Table341115109111317181416192021222324[[#This Row],[Q]]&lt;0.1, " ", Inventory_List_Table341115109111317181416192021222324[[#This Row],[KG]]*2.20462)</f>
        <v xml:space="preserve"> </v>
      </c>
      <c r="O18" s="35" t="str">
        <f>IF(Inventory_List_Table341115109111317181416192021222324[[#This Row],[Q]]&lt;0.1, " ",Inventory_List_Table341115109111317181416192021222324[[#This Row],[H CM]]/2.54)</f>
        <v xml:space="preserve"> </v>
      </c>
      <c r="P18" s="35" t="str">
        <f>IF(Inventory_List_Table341115109111317181416192021222324[[#This Row],[Q]]&lt;0.1, " ",Inventory_List_Table341115109111317181416192021222324[[#This Row],[W CM]]/2.54)</f>
        <v xml:space="preserve"> </v>
      </c>
      <c r="Q18" s="35" t="str">
        <f>IF(Inventory_List_Table341115109111317181416192021222324[[#This Row],[Q]]&lt;0.1, " ",Inventory_List_Table341115109111317181416192021222324[[#This Row],[D CM ]]/2.54)</f>
        <v xml:space="preserve"> </v>
      </c>
      <c r="R18" s="30" t="str">
        <f>IF(Inventory_List_Table341115109111317181416192021222324[[#This Row],[Q]]&lt;0.1, " ",Inventory_List_Table341115109111317181416192021222324[[#This Row],[PRICE]]/$L$1)</f>
        <v xml:space="preserve"> </v>
      </c>
      <c r="S1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8" s="30" t="str">
        <f>IF(Inventory_List_Table341115109111317181416192021222324[[#This Row],[Q]]&lt;0.1, " ",Inventory_List_Table341115109111317181416192021222324[[#This Row],[AQ RND USD]]*1.4)</f>
        <v xml:space="preserve"> </v>
      </c>
      <c r="U1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8" s="30" t="str">
        <f>IF(Inventory_List_Table341115109111317181416192021222324[[#This Row],[Q]]&lt;0.1, " ",Inventory_List_Table341115109111317181416192021222324[[#This Row],[LND RND USD]]*12)</f>
        <v xml:space="preserve"> </v>
      </c>
      <c r="W18" s="30" t="str">
        <f>IF(Inventory_List_Table341115109111317181416192021222324[[#This Row],[Q]]&lt;0.1, " ",Inventory_List_Table341115109111317181416192021222324[[#This Row],[AQ USD]])</f>
        <v xml:space="preserve"> </v>
      </c>
      <c r="X1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8" s="30" t="str">
        <f>IF(Inventory_List_Table341115109111317181416192021222324[[#This Row],[Q]]&lt;0.1, " ",Inventory_List_Table341115109111317181416192021222324[[#This Row],[PRICE]]/Z18*10000)</f>
        <v xml:space="preserve"> </v>
      </c>
      <c r="AB18" s="538"/>
      <c r="AC18" s="1"/>
      <c r="AD18" s="1"/>
    </row>
    <row r="19" spans="1:30" ht="24" customHeight="1" x14ac:dyDescent="0.3">
      <c r="A19" s="532">
        <v>17</v>
      </c>
      <c r="B19" s="1"/>
      <c r="C19" s="533"/>
      <c r="D19" s="533"/>
      <c r="E19" s="533"/>
      <c r="F1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9" s="535"/>
      <c r="H19" s="535"/>
      <c r="I19" s="535"/>
      <c r="J19" s="535"/>
      <c r="K19" s="535"/>
      <c r="L19" s="537"/>
      <c r="M1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9" s="35" t="str">
        <f>IF(Inventory_List_Table341115109111317181416192021222324[[#This Row],[Q]]&lt;0.1, " ", Inventory_List_Table341115109111317181416192021222324[[#This Row],[KG]]*2.20462)</f>
        <v xml:space="preserve"> </v>
      </c>
      <c r="O19" s="35" t="str">
        <f>IF(Inventory_List_Table341115109111317181416192021222324[[#This Row],[Q]]&lt;0.1, " ",Inventory_List_Table341115109111317181416192021222324[[#This Row],[H CM]]/2.54)</f>
        <v xml:space="preserve"> </v>
      </c>
      <c r="P19" s="35" t="str">
        <f>IF(Inventory_List_Table341115109111317181416192021222324[[#This Row],[Q]]&lt;0.1, " ",Inventory_List_Table341115109111317181416192021222324[[#This Row],[W CM]]/2.54)</f>
        <v xml:space="preserve"> </v>
      </c>
      <c r="Q19" s="35" t="str">
        <f>IF(Inventory_List_Table341115109111317181416192021222324[[#This Row],[Q]]&lt;0.1, " ",Inventory_List_Table341115109111317181416192021222324[[#This Row],[D CM ]]/2.54)</f>
        <v xml:space="preserve"> </v>
      </c>
      <c r="R19" s="30" t="str">
        <f>IF(Inventory_List_Table341115109111317181416192021222324[[#This Row],[Q]]&lt;0.1, " ",Inventory_List_Table341115109111317181416192021222324[[#This Row],[PRICE]]/$L$1)</f>
        <v xml:space="preserve"> </v>
      </c>
      <c r="S1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9" s="30" t="str">
        <f>IF(Inventory_List_Table341115109111317181416192021222324[[#This Row],[Q]]&lt;0.1, " ",Inventory_List_Table341115109111317181416192021222324[[#This Row],[AQ RND USD]]*1.4)</f>
        <v xml:space="preserve"> </v>
      </c>
      <c r="U1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9" s="30" t="str">
        <f>IF(Inventory_List_Table341115109111317181416192021222324[[#This Row],[Q]]&lt;0.1, " ",Inventory_List_Table341115109111317181416192021222324[[#This Row],[LND RND USD]]*12)</f>
        <v xml:space="preserve"> </v>
      </c>
      <c r="W19" s="30" t="str">
        <f>IF(Inventory_List_Table341115109111317181416192021222324[[#This Row],[Q]]&lt;0.1, " ",Inventory_List_Table341115109111317181416192021222324[[#This Row],[AQ USD]])</f>
        <v xml:space="preserve"> </v>
      </c>
      <c r="X1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9" s="30" t="str">
        <f>IF(Inventory_List_Table341115109111317181416192021222324[[#This Row],[Q]]&lt;0.1, " ",Inventory_List_Table341115109111317181416192021222324[[#This Row],[PRICE]]/Z19*10000)</f>
        <v xml:space="preserve"> </v>
      </c>
      <c r="AB19" s="538"/>
      <c r="AC19" s="1"/>
      <c r="AD19" s="1"/>
    </row>
    <row r="20" spans="1:30" ht="24" customHeight="1" x14ac:dyDescent="0.3">
      <c r="A20" s="532">
        <v>18</v>
      </c>
      <c r="B20" s="1"/>
      <c r="C20" s="533"/>
      <c r="D20" s="533"/>
      <c r="E20" s="533"/>
      <c r="F2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0" s="535"/>
      <c r="H20" s="535"/>
      <c r="I20" s="535"/>
      <c r="J20" s="535"/>
      <c r="K20" s="535"/>
      <c r="L20" s="537"/>
      <c r="M2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0" s="35" t="str">
        <f>IF(Inventory_List_Table341115109111317181416192021222324[[#This Row],[Q]]&lt;0.1, " ", Inventory_List_Table341115109111317181416192021222324[[#This Row],[KG]]*2.20462)</f>
        <v xml:space="preserve"> </v>
      </c>
      <c r="O20" s="35" t="str">
        <f>IF(Inventory_List_Table341115109111317181416192021222324[[#This Row],[Q]]&lt;0.1, " ",Inventory_List_Table341115109111317181416192021222324[[#This Row],[H CM]]/2.54)</f>
        <v xml:space="preserve"> </v>
      </c>
      <c r="P20" s="35" t="str">
        <f>IF(Inventory_List_Table341115109111317181416192021222324[[#This Row],[Q]]&lt;0.1, " ",Inventory_List_Table341115109111317181416192021222324[[#This Row],[W CM]]/2.54)</f>
        <v xml:space="preserve"> </v>
      </c>
      <c r="Q20" s="35" t="str">
        <f>IF(Inventory_List_Table341115109111317181416192021222324[[#This Row],[Q]]&lt;0.1, " ",Inventory_List_Table341115109111317181416192021222324[[#This Row],[D CM ]]/2.54)</f>
        <v xml:space="preserve"> </v>
      </c>
      <c r="R20" s="30" t="str">
        <f>IF(Inventory_List_Table341115109111317181416192021222324[[#This Row],[Q]]&lt;0.1, " ",Inventory_List_Table341115109111317181416192021222324[[#This Row],[PRICE]]/$L$1)</f>
        <v xml:space="preserve"> </v>
      </c>
      <c r="S2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0" s="30" t="str">
        <f>IF(Inventory_List_Table341115109111317181416192021222324[[#This Row],[Q]]&lt;0.1, " ",Inventory_List_Table341115109111317181416192021222324[[#This Row],[AQ RND USD]]*1.4)</f>
        <v xml:space="preserve"> </v>
      </c>
      <c r="U2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0" s="30" t="str">
        <f>IF(Inventory_List_Table341115109111317181416192021222324[[#This Row],[Q]]&lt;0.1, " ",Inventory_List_Table341115109111317181416192021222324[[#This Row],[LND RND USD]]*12)</f>
        <v xml:space="preserve"> </v>
      </c>
      <c r="W20" s="30" t="str">
        <f>IF(Inventory_List_Table341115109111317181416192021222324[[#This Row],[Q]]&lt;0.1, " ",Inventory_List_Table341115109111317181416192021222324[[#This Row],[AQ USD]])</f>
        <v xml:space="preserve"> </v>
      </c>
      <c r="X2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0" s="30" t="str">
        <f>IF(Inventory_List_Table341115109111317181416192021222324[[#This Row],[Q]]&lt;0.1, " ",Inventory_List_Table341115109111317181416192021222324[[#This Row],[PRICE]]/Z20*10000)</f>
        <v xml:space="preserve"> </v>
      </c>
      <c r="AB20" s="538"/>
      <c r="AC20" s="1"/>
      <c r="AD20" s="1"/>
    </row>
    <row r="21" spans="1:30" ht="24" customHeight="1" x14ac:dyDescent="0.3">
      <c r="A21" s="532">
        <v>19</v>
      </c>
      <c r="B21" s="1"/>
      <c r="C21" s="533"/>
      <c r="D21" s="533"/>
      <c r="E21" s="533"/>
      <c r="F2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1" s="535"/>
      <c r="H21" s="535"/>
      <c r="I21" s="535"/>
      <c r="J21" s="535"/>
      <c r="K21" s="535"/>
      <c r="L21" s="537"/>
      <c r="M2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1" s="35" t="str">
        <f>IF(Inventory_List_Table341115109111317181416192021222324[[#This Row],[Q]]&lt;0.1, " ", Inventory_List_Table341115109111317181416192021222324[[#This Row],[KG]]*2.20462)</f>
        <v xml:space="preserve"> </v>
      </c>
      <c r="O21" s="35" t="str">
        <f>IF(Inventory_List_Table341115109111317181416192021222324[[#This Row],[Q]]&lt;0.1, " ",Inventory_List_Table341115109111317181416192021222324[[#This Row],[H CM]]/2.54)</f>
        <v xml:space="preserve"> </v>
      </c>
      <c r="P21" s="35" t="str">
        <f>IF(Inventory_List_Table341115109111317181416192021222324[[#This Row],[Q]]&lt;0.1, " ",Inventory_List_Table341115109111317181416192021222324[[#This Row],[W CM]]/2.54)</f>
        <v xml:space="preserve"> </v>
      </c>
      <c r="Q21" s="35" t="str">
        <f>IF(Inventory_List_Table341115109111317181416192021222324[[#This Row],[Q]]&lt;0.1, " ",Inventory_List_Table341115109111317181416192021222324[[#This Row],[D CM ]]/2.54)</f>
        <v xml:space="preserve"> </v>
      </c>
      <c r="R21" s="30" t="str">
        <f>IF(Inventory_List_Table341115109111317181416192021222324[[#This Row],[Q]]&lt;0.1, " ",Inventory_List_Table341115109111317181416192021222324[[#This Row],[PRICE]]/$L$1)</f>
        <v xml:space="preserve"> </v>
      </c>
      <c r="S2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1" s="30" t="str">
        <f>IF(Inventory_List_Table341115109111317181416192021222324[[#This Row],[Q]]&lt;0.1, " ",Inventory_List_Table341115109111317181416192021222324[[#This Row],[AQ RND USD]]*1.4)</f>
        <v xml:space="preserve"> </v>
      </c>
      <c r="U2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1" s="30" t="str">
        <f>IF(Inventory_List_Table341115109111317181416192021222324[[#This Row],[Q]]&lt;0.1, " ",Inventory_List_Table341115109111317181416192021222324[[#This Row],[LND RND USD]]*12)</f>
        <v xml:space="preserve"> </v>
      </c>
      <c r="W21" s="30" t="str">
        <f>IF(Inventory_List_Table341115109111317181416192021222324[[#This Row],[Q]]&lt;0.1, " ",Inventory_List_Table341115109111317181416192021222324[[#This Row],[AQ USD]])</f>
        <v xml:space="preserve"> </v>
      </c>
      <c r="X2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1" s="30" t="str">
        <f>IF(Inventory_List_Table341115109111317181416192021222324[[#This Row],[Q]]&lt;0.1, " ",Inventory_List_Table341115109111317181416192021222324[[#This Row],[PRICE]]/Z21*10000)</f>
        <v xml:space="preserve"> </v>
      </c>
      <c r="AB21" s="538"/>
      <c r="AC21" s="1"/>
      <c r="AD21" s="1"/>
    </row>
    <row r="22" spans="1:30" ht="24" customHeight="1" x14ac:dyDescent="0.3">
      <c r="A22" s="532">
        <v>20</v>
      </c>
      <c r="B22" s="1"/>
      <c r="C22" s="533"/>
      <c r="D22" s="533"/>
      <c r="E22" s="533"/>
      <c r="F2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2" s="535"/>
      <c r="H22" s="535"/>
      <c r="I22" s="535"/>
      <c r="J22" s="535"/>
      <c r="K22" s="535"/>
      <c r="L22" s="537"/>
      <c r="M2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2" s="35" t="str">
        <f>IF(Inventory_List_Table341115109111317181416192021222324[[#This Row],[Q]]&lt;0.1, " ", Inventory_List_Table341115109111317181416192021222324[[#This Row],[KG]]*2.20462)</f>
        <v xml:space="preserve"> </v>
      </c>
      <c r="O22" s="35" t="str">
        <f>IF(Inventory_List_Table341115109111317181416192021222324[[#This Row],[Q]]&lt;0.1, " ",Inventory_List_Table341115109111317181416192021222324[[#This Row],[H CM]]/2.54)</f>
        <v xml:space="preserve"> </v>
      </c>
      <c r="P22" s="35" t="str">
        <f>IF(Inventory_List_Table341115109111317181416192021222324[[#This Row],[Q]]&lt;0.1, " ",Inventory_List_Table341115109111317181416192021222324[[#This Row],[W CM]]/2.54)</f>
        <v xml:space="preserve"> </v>
      </c>
      <c r="Q22" s="35" t="str">
        <f>IF(Inventory_List_Table341115109111317181416192021222324[[#This Row],[Q]]&lt;0.1, " ",Inventory_List_Table341115109111317181416192021222324[[#This Row],[D CM ]]/2.54)</f>
        <v xml:space="preserve"> </v>
      </c>
      <c r="R22" s="30" t="str">
        <f>IF(Inventory_List_Table341115109111317181416192021222324[[#This Row],[Q]]&lt;0.1, " ",Inventory_List_Table341115109111317181416192021222324[[#This Row],[PRICE]]/$L$1)</f>
        <v xml:space="preserve"> </v>
      </c>
      <c r="S2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2" s="30" t="str">
        <f>IF(Inventory_List_Table341115109111317181416192021222324[[#This Row],[Q]]&lt;0.1, " ",Inventory_List_Table341115109111317181416192021222324[[#This Row],[AQ RND USD]]*1.4)</f>
        <v xml:space="preserve"> </v>
      </c>
      <c r="U2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2" s="30" t="str">
        <f>IF(Inventory_List_Table341115109111317181416192021222324[[#This Row],[Q]]&lt;0.1, " ",Inventory_List_Table341115109111317181416192021222324[[#This Row],[LND RND USD]]*12)</f>
        <v xml:space="preserve"> </v>
      </c>
      <c r="W22" s="30" t="str">
        <f>IF(Inventory_List_Table341115109111317181416192021222324[[#This Row],[Q]]&lt;0.1, " ",Inventory_List_Table341115109111317181416192021222324[[#This Row],[AQ USD]])</f>
        <v xml:space="preserve"> </v>
      </c>
      <c r="X2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2" s="30" t="str">
        <f>IF(Inventory_List_Table341115109111317181416192021222324[[#This Row],[Q]]&lt;0.1, " ",Inventory_List_Table341115109111317181416192021222324[[#This Row],[PRICE]]/Z22*10000)</f>
        <v xml:space="preserve"> </v>
      </c>
      <c r="AB22" s="538"/>
      <c r="AC22" s="1"/>
      <c r="AD22" s="1"/>
    </row>
    <row r="23" spans="1:30" ht="24" customHeight="1" x14ac:dyDescent="0.3">
      <c r="A23" s="532">
        <v>21</v>
      </c>
      <c r="B23" s="1"/>
      <c r="C23" s="533"/>
      <c r="D23" s="533"/>
      <c r="E23" s="533"/>
      <c r="F2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3" s="535"/>
      <c r="H23" s="535"/>
      <c r="I23" s="535"/>
      <c r="J23" s="535"/>
      <c r="K23" s="535"/>
      <c r="L23" s="537"/>
      <c r="M2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3" s="35" t="str">
        <f>IF(Inventory_List_Table341115109111317181416192021222324[[#This Row],[Q]]&lt;0.1, " ", Inventory_List_Table341115109111317181416192021222324[[#This Row],[KG]]*2.20462)</f>
        <v xml:space="preserve"> </v>
      </c>
      <c r="O23" s="35" t="str">
        <f>IF(Inventory_List_Table341115109111317181416192021222324[[#This Row],[Q]]&lt;0.1, " ",Inventory_List_Table341115109111317181416192021222324[[#This Row],[H CM]]/2.54)</f>
        <v xml:space="preserve"> </v>
      </c>
      <c r="P23" s="35" t="str">
        <f>IF(Inventory_List_Table341115109111317181416192021222324[[#This Row],[Q]]&lt;0.1, " ",Inventory_List_Table341115109111317181416192021222324[[#This Row],[W CM]]/2.54)</f>
        <v xml:space="preserve"> </v>
      </c>
      <c r="Q23" s="35" t="str">
        <f>IF(Inventory_List_Table341115109111317181416192021222324[[#This Row],[Q]]&lt;0.1, " ",Inventory_List_Table341115109111317181416192021222324[[#This Row],[D CM ]]/2.54)</f>
        <v xml:space="preserve"> </v>
      </c>
      <c r="R23" s="30" t="str">
        <f>IF(Inventory_List_Table341115109111317181416192021222324[[#This Row],[Q]]&lt;0.1, " ",Inventory_List_Table341115109111317181416192021222324[[#This Row],[PRICE]]/$L$1)</f>
        <v xml:space="preserve"> </v>
      </c>
      <c r="S2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3" s="30" t="str">
        <f>IF(Inventory_List_Table341115109111317181416192021222324[[#This Row],[Q]]&lt;0.1, " ",Inventory_List_Table341115109111317181416192021222324[[#This Row],[AQ RND USD]]*1.4)</f>
        <v xml:space="preserve"> </v>
      </c>
      <c r="U2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3" s="30" t="str">
        <f>IF(Inventory_List_Table341115109111317181416192021222324[[#This Row],[Q]]&lt;0.1, " ",Inventory_List_Table341115109111317181416192021222324[[#This Row],[LND RND USD]]*12)</f>
        <v xml:space="preserve"> </v>
      </c>
      <c r="W23" s="30" t="str">
        <f>IF(Inventory_List_Table341115109111317181416192021222324[[#This Row],[Q]]&lt;0.1, " ",Inventory_List_Table341115109111317181416192021222324[[#This Row],[AQ USD]])</f>
        <v xml:space="preserve"> </v>
      </c>
      <c r="X2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3" s="30" t="str">
        <f>IF(Inventory_List_Table341115109111317181416192021222324[[#This Row],[Q]]&lt;0.1, " ",Inventory_List_Table341115109111317181416192021222324[[#This Row],[PRICE]]/Z23*10000)</f>
        <v xml:space="preserve"> </v>
      </c>
      <c r="AB23" s="538"/>
      <c r="AC23" s="1"/>
      <c r="AD23" s="1"/>
    </row>
    <row r="24" spans="1:30" ht="24" customHeight="1" x14ac:dyDescent="0.3">
      <c r="A24" s="532">
        <v>22</v>
      </c>
      <c r="B24" s="1"/>
      <c r="C24" s="533"/>
      <c r="D24" s="533"/>
      <c r="E24" s="533"/>
      <c r="F2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4" s="535"/>
      <c r="H24" s="535"/>
      <c r="I24" s="535"/>
      <c r="J24" s="535"/>
      <c r="K24" s="535"/>
      <c r="L24" s="537"/>
      <c r="M2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4" s="35" t="str">
        <f>IF(Inventory_List_Table341115109111317181416192021222324[[#This Row],[Q]]&lt;0.1, " ", Inventory_List_Table341115109111317181416192021222324[[#This Row],[KG]]*2.20462)</f>
        <v xml:space="preserve"> </v>
      </c>
      <c r="O24" s="35" t="str">
        <f>IF(Inventory_List_Table341115109111317181416192021222324[[#This Row],[Q]]&lt;0.1, " ",Inventory_List_Table341115109111317181416192021222324[[#This Row],[H CM]]/2.54)</f>
        <v xml:space="preserve"> </v>
      </c>
      <c r="P24" s="35" t="str">
        <f>IF(Inventory_List_Table341115109111317181416192021222324[[#This Row],[Q]]&lt;0.1, " ",Inventory_List_Table341115109111317181416192021222324[[#This Row],[W CM]]/2.54)</f>
        <v xml:space="preserve"> </v>
      </c>
      <c r="Q24" s="35" t="str">
        <f>IF(Inventory_List_Table341115109111317181416192021222324[[#This Row],[Q]]&lt;0.1, " ",Inventory_List_Table341115109111317181416192021222324[[#This Row],[D CM ]]/2.54)</f>
        <v xml:space="preserve"> </v>
      </c>
      <c r="R24" s="30" t="str">
        <f>IF(Inventory_List_Table341115109111317181416192021222324[[#This Row],[Q]]&lt;0.1, " ",Inventory_List_Table341115109111317181416192021222324[[#This Row],[PRICE]]/$L$1)</f>
        <v xml:space="preserve"> </v>
      </c>
      <c r="S2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4" s="30" t="str">
        <f>IF(Inventory_List_Table341115109111317181416192021222324[[#This Row],[Q]]&lt;0.1, " ",Inventory_List_Table341115109111317181416192021222324[[#This Row],[AQ RND USD]]*1.4)</f>
        <v xml:space="preserve"> </v>
      </c>
      <c r="U2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4" s="30" t="str">
        <f>IF(Inventory_List_Table341115109111317181416192021222324[[#This Row],[Q]]&lt;0.1, " ",Inventory_List_Table341115109111317181416192021222324[[#This Row],[LND RND USD]]*12)</f>
        <v xml:space="preserve"> </v>
      </c>
      <c r="W24" s="30" t="str">
        <f>IF(Inventory_List_Table341115109111317181416192021222324[[#This Row],[Q]]&lt;0.1, " ",Inventory_List_Table341115109111317181416192021222324[[#This Row],[AQ USD]])</f>
        <v xml:space="preserve"> </v>
      </c>
      <c r="X2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4" s="30" t="str">
        <f>IF(Inventory_List_Table341115109111317181416192021222324[[#This Row],[Q]]&lt;0.1, " ",Inventory_List_Table341115109111317181416192021222324[[#This Row],[PRICE]]/Z24*10000)</f>
        <v xml:space="preserve"> </v>
      </c>
      <c r="AB24" s="538"/>
      <c r="AC24" s="1"/>
      <c r="AD24" s="1"/>
    </row>
    <row r="25" spans="1:30" ht="24" customHeight="1" x14ac:dyDescent="0.3">
      <c r="A25" s="532">
        <v>23</v>
      </c>
      <c r="B25" s="1"/>
      <c r="C25" s="533"/>
      <c r="D25" s="533"/>
      <c r="E25" s="533"/>
      <c r="F2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5" s="535"/>
      <c r="H25" s="535"/>
      <c r="I25" s="535"/>
      <c r="J25" s="535"/>
      <c r="K25" s="535"/>
      <c r="L25" s="537"/>
      <c r="M2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5" s="35" t="str">
        <f>IF(Inventory_List_Table341115109111317181416192021222324[[#This Row],[Q]]&lt;0.1, " ", Inventory_List_Table341115109111317181416192021222324[[#This Row],[KG]]*2.20462)</f>
        <v xml:space="preserve"> </v>
      </c>
      <c r="O25" s="35" t="str">
        <f>IF(Inventory_List_Table341115109111317181416192021222324[[#This Row],[Q]]&lt;0.1, " ",Inventory_List_Table341115109111317181416192021222324[[#This Row],[H CM]]/2.54)</f>
        <v xml:space="preserve"> </v>
      </c>
      <c r="P25" s="35" t="str">
        <f>IF(Inventory_List_Table341115109111317181416192021222324[[#This Row],[Q]]&lt;0.1, " ",Inventory_List_Table341115109111317181416192021222324[[#This Row],[W CM]]/2.54)</f>
        <v xml:space="preserve"> </v>
      </c>
      <c r="Q25" s="35" t="str">
        <f>IF(Inventory_List_Table341115109111317181416192021222324[[#This Row],[Q]]&lt;0.1, " ",Inventory_List_Table341115109111317181416192021222324[[#This Row],[D CM ]]/2.54)</f>
        <v xml:space="preserve"> </v>
      </c>
      <c r="R25" s="30" t="str">
        <f>IF(Inventory_List_Table341115109111317181416192021222324[[#This Row],[Q]]&lt;0.1, " ",Inventory_List_Table341115109111317181416192021222324[[#This Row],[PRICE]]/$L$1)</f>
        <v xml:space="preserve"> </v>
      </c>
      <c r="S2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5" s="30" t="str">
        <f>IF(Inventory_List_Table341115109111317181416192021222324[[#This Row],[Q]]&lt;0.1, " ",Inventory_List_Table341115109111317181416192021222324[[#This Row],[AQ RND USD]]*1.4)</f>
        <v xml:space="preserve"> </v>
      </c>
      <c r="U2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5" s="30" t="str">
        <f>IF(Inventory_List_Table341115109111317181416192021222324[[#This Row],[Q]]&lt;0.1, " ",Inventory_List_Table341115109111317181416192021222324[[#This Row],[LND RND USD]]*12)</f>
        <v xml:space="preserve"> </v>
      </c>
      <c r="W25" s="30" t="str">
        <f>IF(Inventory_List_Table341115109111317181416192021222324[[#This Row],[Q]]&lt;0.1, " ",Inventory_List_Table341115109111317181416192021222324[[#This Row],[AQ USD]])</f>
        <v xml:space="preserve"> </v>
      </c>
      <c r="X2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5" s="30" t="str">
        <f>IF(Inventory_List_Table341115109111317181416192021222324[[#This Row],[Q]]&lt;0.1, " ",Inventory_List_Table341115109111317181416192021222324[[#This Row],[PRICE]]/Z25*10000)</f>
        <v xml:space="preserve"> </v>
      </c>
      <c r="AB25" s="538"/>
      <c r="AC25" s="1"/>
      <c r="AD25" s="1"/>
    </row>
    <row r="26" spans="1:30" ht="24" customHeight="1" x14ac:dyDescent="0.3">
      <c r="A26" s="532">
        <v>24</v>
      </c>
      <c r="B26" s="1"/>
      <c r="C26" s="533"/>
      <c r="D26" s="533"/>
      <c r="E26" s="533"/>
      <c r="F2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6" s="535"/>
      <c r="H26" s="535"/>
      <c r="I26" s="535"/>
      <c r="J26" s="535"/>
      <c r="K26" s="535"/>
      <c r="L26" s="537"/>
      <c r="M2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6" s="35" t="str">
        <f>IF(Inventory_List_Table341115109111317181416192021222324[[#This Row],[Q]]&lt;0.1, " ", Inventory_List_Table341115109111317181416192021222324[[#This Row],[KG]]*2.20462)</f>
        <v xml:space="preserve"> </v>
      </c>
      <c r="O26" s="35" t="str">
        <f>IF(Inventory_List_Table341115109111317181416192021222324[[#This Row],[Q]]&lt;0.1, " ",Inventory_List_Table341115109111317181416192021222324[[#This Row],[H CM]]/2.54)</f>
        <v xml:space="preserve"> </v>
      </c>
      <c r="P26" s="35" t="str">
        <f>IF(Inventory_List_Table341115109111317181416192021222324[[#This Row],[Q]]&lt;0.1, " ",Inventory_List_Table341115109111317181416192021222324[[#This Row],[W CM]]/2.54)</f>
        <v xml:space="preserve"> </v>
      </c>
      <c r="Q26" s="35" t="str">
        <f>IF(Inventory_List_Table341115109111317181416192021222324[[#This Row],[Q]]&lt;0.1, " ",Inventory_List_Table341115109111317181416192021222324[[#This Row],[D CM ]]/2.54)</f>
        <v xml:space="preserve"> </v>
      </c>
      <c r="R26" s="30" t="str">
        <f>IF(Inventory_List_Table341115109111317181416192021222324[[#This Row],[Q]]&lt;0.1, " ",Inventory_List_Table341115109111317181416192021222324[[#This Row],[PRICE]]/$L$1)</f>
        <v xml:space="preserve"> </v>
      </c>
      <c r="S2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6" s="30" t="str">
        <f>IF(Inventory_List_Table341115109111317181416192021222324[[#This Row],[Q]]&lt;0.1, " ",Inventory_List_Table341115109111317181416192021222324[[#This Row],[AQ RND USD]]*1.4)</f>
        <v xml:space="preserve"> </v>
      </c>
      <c r="U2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6" s="30" t="str">
        <f>IF(Inventory_List_Table341115109111317181416192021222324[[#This Row],[Q]]&lt;0.1, " ",Inventory_List_Table341115109111317181416192021222324[[#This Row],[LND RND USD]]*12)</f>
        <v xml:space="preserve"> </v>
      </c>
      <c r="W26" s="30" t="str">
        <f>IF(Inventory_List_Table341115109111317181416192021222324[[#This Row],[Q]]&lt;0.1, " ",Inventory_List_Table341115109111317181416192021222324[[#This Row],[AQ USD]])</f>
        <v xml:space="preserve"> </v>
      </c>
      <c r="X2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6" s="30" t="str">
        <f>IF(Inventory_List_Table341115109111317181416192021222324[[#This Row],[Q]]&lt;0.1, " ",Inventory_List_Table341115109111317181416192021222324[[#This Row],[PRICE]]/Z26*10000)</f>
        <v xml:space="preserve"> </v>
      </c>
      <c r="AB26" s="538"/>
      <c r="AC26" s="1"/>
      <c r="AD26" s="1"/>
    </row>
    <row r="27" spans="1:30" ht="24" customHeight="1" x14ac:dyDescent="0.3">
      <c r="A27" s="532">
        <v>25</v>
      </c>
      <c r="B27" s="1"/>
      <c r="C27" s="533"/>
      <c r="D27" s="533"/>
      <c r="E27" s="533"/>
      <c r="F2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7" s="535"/>
      <c r="H27" s="535"/>
      <c r="I27" s="535"/>
      <c r="J27" s="535"/>
      <c r="K27" s="535"/>
      <c r="L27" s="537"/>
      <c r="M2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7" s="35" t="str">
        <f>IF(Inventory_List_Table341115109111317181416192021222324[[#This Row],[Q]]&lt;0.1, " ", Inventory_List_Table341115109111317181416192021222324[[#This Row],[KG]]*2.20462)</f>
        <v xml:space="preserve"> </v>
      </c>
      <c r="O27" s="35" t="str">
        <f>IF(Inventory_List_Table341115109111317181416192021222324[[#This Row],[Q]]&lt;0.1, " ",Inventory_List_Table341115109111317181416192021222324[[#This Row],[H CM]]/2.54)</f>
        <v xml:space="preserve"> </v>
      </c>
      <c r="P27" s="35" t="str">
        <f>IF(Inventory_List_Table341115109111317181416192021222324[[#This Row],[Q]]&lt;0.1, " ",Inventory_List_Table341115109111317181416192021222324[[#This Row],[W CM]]/2.54)</f>
        <v xml:space="preserve"> </v>
      </c>
      <c r="Q27" s="35" t="str">
        <f>IF(Inventory_List_Table341115109111317181416192021222324[[#This Row],[Q]]&lt;0.1, " ",Inventory_List_Table341115109111317181416192021222324[[#This Row],[D CM ]]/2.54)</f>
        <v xml:space="preserve"> </v>
      </c>
      <c r="R27" s="30" t="str">
        <f>IF(Inventory_List_Table341115109111317181416192021222324[[#This Row],[Q]]&lt;0.1, " ",Inventory_List_Table341115109111317181416192021222324[[#This Row],[PRICE]]/$L$1)</f>
        <v xml:space="preserve"> </v>
      </c>
      <c r="S2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7" s="30" t="str">
        <f>IF(Inventory_List_Table341115109111317181416192021222324[[#This Row],[Q]]&lt;0.1, " ",Inventory_List_Table341115109111317181416192021222324[[#This Row],[AQ RND USD]]*1.4)</f>
        <v xml:space="preserve"> </v>
      </c>
      <c r="U2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7" s="30" t="str">
        <f>IF(Inventory_List_Table341115109111317181416192021222324[[#This Row],[Q]]&lt;0.1, " ",Inventory_List_Table341115109111317181416192021222324[[#This Row],[LND RND USD]]*12)</f>
        <v xml:space="preserve"> </v>
      </c>
      <c r="W27" s="30" t="str">
        <f>IF(Inventory_List_Table341115109111317181416192021222324[[#This Row],[Q]]&lt;0.1, " ",Inventory_List_Table341115109111317181416192021222324[[#This Row],[AQ USD]])</f>
        <v xml:space="preserve"> </v>
      </c>
      <c r="X2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7" s="30" t="str">
        <f>IF(Inventory_List_Table341115109111317181416192021222324[[#This Row],[Q]]&lt;0.1, " ",Inventory_List_Table341115109111317181416192021222324[[#This Row],[PRICE]]/Z27*10000)</f>
        <v xml:space="preserve"> </v>
      </c>
      <c r="AB27" s="538"/>
      <c r="AC27" s="1"/>
      <c r="AD27" s="1"/>
    </row>
    <row r="28" spans="1:30" ht="24" customHeight="1" x14ac:dyDescent="0.3">
      <c r="A28" s="532">
        <v>26</v>
      </c>
      <c r="B28" s="1"/>
      <c r="C28" s="533"/>
      <c r="D28" s="533"/>
      <c r="E28" s="533"/>
      <c r="F2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8" s="535"/>
      <c r="H28" s="535"/>
      <c r="I28" s="535"/>
      <c r="J28" s="535"/>
      <c r="K28" s="535"/>
      <c r="L28" s="537"/>
      <c r="M2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8" s="35" t="str">
        <f>IF(Inventory_List_Table341115109111317181416192021222324[[#This Row],[Q]]&lt;0.1, " ", Inventory_List_Table341115109111317181416192021222324[[#This Row],[KG]]*2.20462)</f>
        <v xml:space="preserve"> </v>
      </c>
      <c r="O28" s="35" t="str">
        <f>IF(Inventory_List_Table341115109111317181416192021222324[[#This Row],[Q]]&lt;0.1, " ",Inventory_List_Table341115109111317181416192021222324[[#This Row],[H CM]]/2.54)</f>
        <v xml:space="preserve"> </v>
      </c>
      <c r="P28" s="35" t="str">
        <f>IF(Inventory_List_Table341115109111317181416192021222324[[#This Row],[Q]]&lt;0.1, " ",Inventory_List_Table341115109111317181416192021222324[[#This Row],[W CM]]/2.54)</f>
        <v xml:space="preserve"> </v>
      </c>
      <c r="Q28" s="35" t="str">
        <f>IF(Inventory_List_Table341115109111317181416192021222324[[#This Row],[Q]]&lt;0.1, " ",Inventory_List_Table341115109111317181416192021222324[[#This Row],[D CM ]]/2.54)</f>
        <v xml:space="preserve"> </v>
      </c>
      <c r="R28" s="30" t="str">
        <f>IF(Inventory_List_Table341115109111317181416192021222324[[#This Row],[Q]]&lt;0.1, " ",Inventory_List_Table341115109111317181416192021222324[[#This Row],[PRICE]]/$L$1)</f>
        <v xml:space="preserve"> </v>
      </c>
      <c r="S2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8" s="30" t="str">
        <f>IF(Inventory_List_Table341115109111317181416192021222324[[#This Row],[Q]]&lt;0.1, " ",Inventory_List_Table341115109111317181416192021222324[[#This Row],[AQ RND USD]]*1.4)</f>
        <v xml:space="preserve"> </v>
      </c>
      <c r="U2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8" s="30" t="str">
        <f>IF(Inventory_List_Table341115109111317181416192021222324[[#This Row],[Q]]&lt;0.1, " ",Inventory_List_Table341115109111317181416192021222324[[#This Row],[LND RND USD]]*12)</f>
        <v xml:space="preserve"> </v>
      </c>
      <c r="W28" s="30" t="str">
        <f>IF(Inventory_List_Table341115109111317181416192021222324[[#This Row],[Q]]&lt;0.1, " ",Inventory_List_Table341115109111317181416192021222324[[#This Row],[AQ USD]])</f>
        <v xml:space="preserve"> </v>
      </c>
      <c r="X2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8" s="30" t="str">
        <f>IF(Inventory_List_Table341115109111317181416192021222324[[#This Row],[Q]]&lt;0.1, " ",Inventory_List_Table341115109111317181416192021222324[[#This Row],[PRICE]]/Z28*10000)</f>
        <v xml:space="preserve"> </v>
      </c>
      <c r="AB28" s="538"/>
      <c r="AC28" s="1"/>
      <c r="AD28" s="1"/>
    </row>
    <row r="29" spans="1:30" ht="24" customHeight="1" x14ac:dyDescent="0.3">
      <c r="A29" s="532">
        <v>27</v>
      </c>
      <c r="B29" s="1"/>
      <c r="C29" s="533"/>
      <c r="D29" s="533"/>
      <c r="E29" s="533"/>
      <c r="F2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29" s="535"/>
      <c r="H29" s="535"/>
      <c r="I29" s="535"/>
      <c r="J29" s="535"/>
      <c r="K29" s="535"/>
      <c r="L29" s="537"/>
      <c r="M2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29" s="35" t="str">
        <f>IF(Inventory_List_Table341115109111317181416192021222324[[#This Row],[Q]]&lt;0.1, " ", Inventory_List_Table341115109111317181416192021222324[[#This Row],[KG]]*2.20462)</f>
        <v xml:space="preserve"> </v>
      </c>
      <c r="O29" s="35" t="str">
        <f>IF(Inventory_List_Table341115109111317181416192021222324[[#This Row],[Q]]&lt;0.1, " ",Inventory_List_Table341115109111317181416192021222324[[#This Row],[H CM]]/2.54)</f>
        <v xml:space="preserve"> </v>
      </c>
      <c r="P29" s="35" t="str">
        <f>IF(Inventory_List_Table341115109111317181416192021222324[[#This Row],[Q]]&lt;0.1, " ",Inventory_List_Table341115109111317181416192021222324[[#This Row],[W CM]]/2.54)</f>
        <v xml:space="preserve"> </v>
      </c>
      <c r="Q29" s="35" t="str">
        <f>IF(Inventory_List_Table341115109111317181416192021222324[[#This Row],[Q]]&lt;0.1, " ",Inventory_List_Table341115109111317181416192021222324[[#This Row],[D CM ]]/2.54)</f>
        <v xml:space="preserve"> </v>
      </c>
      <c r="R29" s="30" t="str">
        <f>IF(Inventory_List_Table341115109111317181416192021222324[[#This Row],[Q]]&lt;0.1, " ",Inventory_List_Table341115109111317181416192021222324[[#This Row],[PRICE]]/$L$1)</f>
        <v xml:space="preserve"> </v>
      </c>
      <c r="S2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29" s="30" t="str">
        <f>IF(Inventory_List_Table341115109111317181416192021222324[[#This Row],[Q]]&lt;0.1, " ",Inventory_List_Table341115109111317181416192021222324[[#This Row],[AQ RND USD]]*1.4)</f>
        <v xml:space="preserve"> </v>
      </c>
      <c r="U2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29" s="30" t="str">
        <f>IF(Inventory_List_Table341115109111317181416192021222324[[#This Row],[Q]]&lt;0.1, " ",Inventory_List_Table341115109111317181416192021222324[[#This Row],[LND RND USD]]*12)</f>
        <v xml:space="preserve"> </v>
      </c>
      <c r="W29" s="30" t="str">
        <f>IF(Inventory_List_Table341115109111317181416192021222324[[#This Row],[Q]]&lt;0.1, " ",Inventory_List_Table341115109111317181416192021222324[[#This Row],[AQ USD]])</f>
        <v xml:space="preserve"> </v>
      </c>
      <c r="X2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2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2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29" s="30" t="str">
        <f>IF(Inventory_List_Table341115109111317181416192021222324[[#This Row],[Q]]&lt;0.1, " ",Inventory_List_Table341115109111317181416192021222324[[#This Row],[PRICE]]/Z29*10000)</f>
        <v xml:space="preserve"> </v>
      </c>
      <c r="AB29" s="538"/>
      <c r="AC29" s="1"/>
      <c r="AD29" s="1"/>
    </row>
    <row r="30" spans="1:30" ht="24" customHeight="1" x14ac:dyDescent="0.3">
      <c r="A30" s="532">
        <v>28</v>
      </c>
      <c r="B30" s="1"/>
      <c r="C30" s="533"/>
      <c r="D30" s="533"/>
      <c r="E30" s="533"/>
      <c r="F3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0" s="535"/>
      <c r="H30" s="535"/>
      <c r="I30" s="535"/>
      <c r="J30" s="535"/>
      <c r="K30" s="535"/>
      <c r="L30" s="537"/>
      <c r="M3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0" s="35" t="str">
        <f>IF(Inventory_List_Table341115109111317181416192021222324[[#This Row],[Q]]&lt;0.1, " ", Inventory_List_Table341115109111317181416192021222324[[#This Row],[KG]]*2.20462)</f>
        <v xml:space="preserve"> </v>
      </c>
      <c r="O30" s="35" t="str">
        <f>IF(Inventory_List_Table341115109111317181416192021222324[[#This Row],[Q]]&lt;0.1, " ",Inventory_List_Table341115109111317181416192021222324[[#This Row],[H CM]]/2.54)</f>
        <v xml:space="preserve"> </v>
      </c>
      <c r="P30" s="35" t="str">
        <f>IF(Inventory_List_Table341115109111317181416192021222324[[#This Row],[Q]]&lt;0.1, " ",Inventory_List_Table341115109111317181416192021222324[[#This Row],[W CM]]/2.54)</f>
        <v xml:space="preserve"> </v>
      </c>
      <c r="Q30" s="35" t="str">
        <f>IF(Inventory_List_Table341115109111317181416192021222324[[#This Row],[Q]]&lt;0.1, " ",Inventory_List_Table341115109111317181416192021222324[[#This Row],[D CM ]]/2.54)</f>
        <v xml:space="preserve"> </v>
      </c>
      <c r="R30" s="30" t="str">
        <f>IF(Inventory_List_Table341115109111317181416192021222324[[#This Row],[Q]]&lt;0.1, " ",Inventory_List_Table341115109111317181416192021222324[[#This Row],[PRICE]]/$L$1)</f>
        <v xml:space="preserve"> </v>
      </c>
      <c r="S3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0" s="30" t="str">
        <f>IF(Inventory_List_Table341115109111317181416192021222324[[#This Row],[Q]]&lt;0.1, " ",Inventory_List_Table341115109111317181416192021222324[[#This Row],[AQ RND USD]]*1.4)</f>
        <v xml:space="preserve"> </v>
      </c>
      <c r="U3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0" s="30" t="str">
        <f>IF(Inventory_List_Table341115109111317181416192021222324[[#This Row],[Q]]&lt;0.1, " ",Inventory_List_Table341115109111317181416192021222324[[#This Row],[LND RND USD]]*12)</f>
        <v xml:space="preserve"> </v>
      </c>
      <c r="W30" s="30" t="str">
        <f>IF(Inventory_List_Table341115109111317181416192021222324[[#This Row],[Q]]&lt;0.1, " ",Inventory_List_Table341115109111317181416192021222324[[#This Row],[AQ USD]])</f>
        <v xml:space="preserve"> </v>
      </c>
      <c r="X3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0" s="30" t="str">
        <f>IF(Inventory_List_Table341115109111317181416192021222324[[#This Row],[Q]]&lt;0.1, " ",Inventory_List_Table341115109111317181416192021222324[[#This Row],[PRICE]]/Z30*10000)</f>
        <v xml:space="preserve"> </v>
      </c>
      <c r="AB30" s="538"/>
      <c r="AC30" s="1"/>
      <c r="AD30" s="1"/>
    </row>
    <row r="31" spans="1:30" ht="24" customHeight="1" x14ac:dyDescent="0.3">
      <c r="A31" s="532">
        <v>29</v>
      </c>
      <c r="B31" s="1"/>
      <c r="C31" s="533"/>
      <c r="D31" s="533"/>
      <c r="E31" s="533"/>
      <c r="F3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1" s="535"/>
      <c r="H31" s="535"/>
      <c r="I31" s="535"/>
      <c r="J31" s="535"/>
      <c r="K31" s="535"/>
      <c r="L31" s="537"/>
      <c r="M3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1" s="35" t="str">
        <f>IF(Inventory_List_Table341115109111317181416192021222324[[#This Row],[Q]]&lt;0.1, " ", Inventory_List_Table341115109111317181416192021222324[[#This Row],[KG]]*2.20462)</f>
        <v xml:space="preserve"> </v>
      </c>
      <c r="O31" s="35" t="str">
        <f>IF(Inventory_List_Table341115109111317181416192021222324[[#This Row],[Q]]&lt;0.1, " ",Inventory_List_Table341115109111317181416192021222324[[#This Row],[H CM]]/2.54)</f>
        <v xml:space="preserve"> </v>
      </c>
      <c r="P31" s="35" t="str">
        <f>IF(Inventory_List_Table341115109111317181416192021222324[[#This Row],[Q]]&lt;0.1, " ",Inventory_List_Table341115109111317181416192021222324[[#This Row],[W CM]]/2.54)</f>
        <v xml:space="preserve"> </v>
      </c>
      <c r="Q31" s="35" t="str">
        <f>IF(Inventory_List_Table341115109111317181416192021222324[[#This Row],[Q]]&lt;0.1, " ",Inventory_List_Table341115109111317181416192021222324[[#This Row],[D CM ]]/2.54)</f>
        <v xml:space="preserve"> </v>
      </c>
      <c r="R31" s="30" t="str">
        <f>IF(Inventory_List_Table341115109111317181416192021222324[[#This Row],[Q]]&lt;0.1, " ",Inventory_List_Table341115109111317181416192021222324[[#This Row],[PRICE]]/$L$1)</f>
        <v xml:space="preserve"> </v>
      </c>
      <c r="S3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1" s="30" t="str">
        <f>IF(Inventory_List_Table341115109111317181416192021222324[[#This Row],[Q]]&lt;0.1, " ",Inventory_List_Table341115109111317181416192021222324[[#This Row],[AQ RND USD]]*1.4)</f>
        <v xml:space="preserve"> </v>
      </c>
      <c r="U3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1" s="30" t="str">
        <f>IF(Inventory_List_Table341115109111317181416192021222324[[#This Row],[Q]]&lt;0.1, " ",Inventory_List_Table341115109111317181416192021222324[[#This Row],[LND RND USD]]*12)</f>
        <v xml:space="preserve"> </v>
      </c>
      <c r="W31" s="30" t="str">
        <f>IF(Inventory_List_Table341115109111317181416192021222324[[#This Row],[Q]]&lt;0.1, " ",Inventory_List_Table341115109111317181416192021222324[[#This Row],[AQ USD]])</f>
        <v xml:space="preserve"> </v>
      </c>
      <c r="X3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1" s="30" t="str">
        <f>IF(Inventory_List_Table341115109111317181416192021222324[[#This Row],[Q]]&lt;0.1, " ",Inventory_List_Table341115109111317181416192021222324[[#This Row],[PRICE]]/Z31*10000)</f>
        <v xml:space="preserve"> </v>
      </c>
      <c r="AB31" s="538"/>
      <c r="AC31" s="1"/>
      <c r="AD31" s="1"/>
    </row>
    <row r="32" spans="1:30" ht="24" customHeight="1" x14ac:dyDescent="0.3">
      <c r="A32" s="532">
        <v>30</v>
      </c>
      <c r="B32" s="1"/>
      <c r="C32" s="533"/>
      <c r="D32" s="533"/>
      <c r="E32" s="533"/>
      <c r="F3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2" s="535"/>
      <c r="H32" s="535"/>
      <c r="I32" s="535"/>
      <c r="J32" s="535"/>
      <c r="K32" s="535"/>
      <c r="L32" s="537"/>
      <c r="M3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2" s="35" t="str">
        <f>IF(Inventory_List_Table341115109111317181416192021222324[[#This Row],[Q]]&lt;0.1, " ", Inventory_List_Table341115109111317181416192021222324[[#This Row],[KG]]*2.20462)</f>
        <v xml:space="preserve"> </v>
      </c>
      <c r="O32" s="35" t="str">
        <f>IF(Inventory_List_Table341115109111317181416192021222324[[#This Row],[Q]]&lt;0.1, " ",Inventory_List_Table341115109111317181416192021222324[[#This Row],[H CM]]/2.54)</f>
        <v xml:space="preserve"> </v>
      </c>
      <c r="P32" s="35" t="str">
        <f>IF(Inventory_List_Table341115109111317181416192021222324[[#This Row],[Q]]&lt;0.1, " ",Inventory_List_Table341115109111317181416192021222324[[#This Row],[W CM]]/2.54)</f>
        <v xml:space="preserve"> </v>
      </c>
      <c r="Q32" s="35" t="str">
        <f>IF(Inventory_List_Table341115109111317181416192021222324[[#This Row],[Q]]&lt;0.1, " ",Inventory_List_Table341115109111317181416192021222324[[#This Row],[D CM ]]/2.54)</f>
        <v xml:space="preserve"> </v>
      </c>
      <c r="R32" s="30" t="str">
        <f>IF(Inventory_List_Table341115109111317181416192021222324[[#This Row],[Q]]&lt;0.1, " ",Inventory_List_Table341115109111317181416192021222324[[#This Row],[PRICE]]/$L$1)</f>
        <v xml:space="preserve"> </v>
      </c>
      <c r="S3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2" s="30" t="str">
        <f>IF(Inventory_List_Table341115109111317181416192021222324[[#This Row],[Q]]&lt;0.1, " ",Inventory_List_Table341115109111317181416192021222324[[#This Row],[AQ RND USD]]*1.4)</f>
        <v xml:space="preserve"> </v>
      </c>
      <c r="U3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2" s="30" t="str">
        <f>IF(Inventory_List_Table341115109111317181416192021222324[[#This Row],[Q]]&lt;0.1, " ",Inventory_List_Table341115109111317181416192021222324[[#This Row],[LND RND USD]]*12)</f>
        <v xml:space="preserve"> </v>
      </c>
      <c r="W32" s="30" t="str">
        <f>IF(Inventory_List_Table341115109111317181416192021222324[[#This Row],[Q]]&lt;0.1, " ",Inventory_List_Table341115109111317181416192021222324[[#This Row],[AQ USD]])</f>
        <v xml:space="preserve"> </v>
      </c>
      <c r="X3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2" s="30" t="str">
        <f>IF(Inventory_List_Table341115109111317181416192021222324[[#This Row],[Q]]&lt;0.1, " ",Inventory_List_Table341115109111317181416192021222324[[#This Row],[PRICE]]/Z32*10000)</f>
        <v xml:space="preserve"> </v>
      </c>
      <c r="AB32" s="538"/>
      <c r="AC32" s="1"/>
      <c r="AD32" s="1"/>
    </row>
    <row r="33" spans="1:30" ht="24" customHeight="1" x14ac:dyDescent="0.3">
      <c r="A33" s="532">
        <v>31</v>
      </c>
      <c r="B33" s="1"/>
      <c r="C33" s="533"/>
      <c r="D33" s="533"/>
      <c r="E33" s="533"/>
      <c r="F3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3" s="535"/>
      <c r="H33" s="535"/>
      <c r="I33" s="535"/>
      <c r="J33" s="535"/>
      <c r="K33" s="535"/>
      <c r="L33" s="537"/>
      <c r="M3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3" s="35" t="str">
        <f>IF(Inventory_List_Table341115109111317181416192021222324[[#This Row],[Q]]&lt;0.1, " ", Inventory_List_Table341115109111317181416192021222324[[#This Row],[KG]]*2.20462)</f>
        <v xml:space="preserve"> </v>
      </c>
      <c r="O33" s="35" t="str">
        <f>IF(Inventory_List_Table341115109111317181416192021222324[[#This Row],[Q]]&lt;0.1, " ",Inventory_List_Table341115109111317181416192021222324[[#This Row],[H CM]]/2.54)</f>
        <v xml:space="preserve"> </v>
      </c>
      <c r="P33" s="35" t="str">
        <f>IF(Inventory_List_Table341115109111317181416192021222324[[#This Row],[Q]]&lt;0.1, " ",Inventory_List_Table341115109111317181416192021222324[[#This Row],[W CM]]/2.54)</f>
        <v xml:space="preserve"> </v>
      </c>
      <c r="Q33" s="35" t="str">
        <f>IF(Inventory_List_Table341115109111317181416192021222324[[#This Row],[Q]]&lt;0.1, " ",Inventory_List_Table341115109111317181416192021222324[[#This Row],[D CM ]]/2.54)</f>
        <v xml:space="preserve"> </v>
      </c>
      <c r="R33" s="30" t="str">
        <f>IF(Inventory_List_Table341115109111317181416192021222324[[#This Row],[Q]]&lt;0.1, " ",Inventory_List_Table341115109111317181416192021222324[[#This Row],[PRICE]]/$L$1)</f>
        <v xml:space="preserve"> </v>
      </c>
      <c r="S3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3" s="30" t="str">
        <f>IF(Inventory_List_Table341115109111317181416192021222324[[#This Row],[Q]]&lt;0.1, " ",Inventory_List_Table341115109111317181416192021222324[[#This Row],[AQ RND USD]]*1.4)</f>
        <v xml:space="preserve"> </v>
      </c>
      <c r="U3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3" s="30" t="str">
        <f>IF(Inventory_List_Table341115109111317181416192021222324[[#This Row],[Q]]&lt;0.1, " ",Inventory_List_Table341115109111317181416192021222324[[#This Row],[LND RND USD]]*12)</f>
        <v xml:space="preserve"> </v>
      </c>
      <c r="W33" s="30" t="str">
        <f>IF(Inventory_List_Table341115109111317181416192021222324[[#This Row],[Q]]&lt;0.1, " ",Inventory_List_Table341115109111317181416192021222324[[#This Row],[AQ USD]])</f>
        <v xml:space="preserve"> </v>
      </c>
      <c r="X3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3" s="30" t="str">
        <f>IF(Inventory_List_Table341115109111317181416192021222324[[#This Row],[Q]]&lt;0.1, " ",Inventory_List_Table341115109111317181416192021222324[[#This Row],[PRICE]]/Z33*10000)</f>
        <v xml:space="preserve"> </v>
      </c>
      <c r="AB33" s="538"/>
      <c r="AC33" s="1"/>
      <c r="AD33" s="1"/>
    </row>
    <row r="34" spans="1:30" ht="24" customHeight="1" x14ac:dyDescent="0.3">
      <c r="A34" s="532">
        <v>32</v>
      </c>
      <c r="B34" s="1"/>
      <c r="C34" s="533"/>
      <c r="D34" s="533"/>
      <c r="E34" s="533"/>
      <c r="F3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4" s="535"/>
      <c r="H34" s="535"/>
      <c r="I34" s="535"/>
      <c r="J34" s="535"/>
      <c r="K34" s="535"/>
      <c r="L34" s="537"/>
      <c r="M3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4" s="35" t="str">
        <f>IF(Inventory_List_Table341115109111317181416192021222324[[#This Row],[Q]]&lt;0.1, " ", Inventory_List_Table341115109111317181416192021222324[[#This Row],[KG]]*2.20462)</f>
        <v xml:space="preserve"> </v>
      </c>
      <c r="O34" s="35" t="str">
        <f>IF(Inventory_List_Table341115109111317181416192021222324[[#This Row],[Q]]&lt;0.1, " ",Inventory_List_Table341115109111317181416192021222324[[#This Row],[H CM]]/2.54)</f>
        <v xml:space="preserve"> </v>
      </c>
      <c r="P34" s="35" t="str">
        <f>IF(Inventory_List_Table341115109111317181416192021222324[[#This Row],[Q]]&lt;0.1, " ",Inventory_List_Table341115109111317181416192021222324[[#This Row],[W CM]]/2.54)</f>
        <v xml:space="preserve"> </v>
      </c>
      <c r="Q34" s="35" t="str">
        <f>IF(Inventory_List_Table341115109111317181416192021222324[[#This Row],[Q]]&lt;0.1, " ",Inventory_List_Table341115109111317181416192021222324[[#This Row],[D CM ]]/2.54)</f>
        <v xml:space="preserve"> </v>
      </c>
      <c r="R34" s="30" t="str">
        <f>IF(Inventory_List_Table341115109111317181416192021222324[[#This Row],[Q]]&lt;0.1, " ",Inventory_List_Table341115109111317181416192021222324[[#This Row],[PRICE]]/$L$1)</f>
        <v xml:space="preserve"> </v>
      </c>
      <c r="S3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4" s="30" t="str">
        <f>IF(Inventory_List_Table341115109111317181416192021222324[[#This Row],[Q]]&lt;0.1, " ",Inventory_List_Table341115109111317181416192021222324[[#This Row],[AQ RND USD]]*1.4)</f>
        <v xml:space="preserve"> </v>
      </c>
      <c r="U3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4" s="30" t="str">
        <f>IF(Inventory_List_Table341115109111317181416192021222324[[#This Row],[Q]]&lt;0.1, " ",Inventory_List_Table341115109111317181416192021222324[[#This Row],[LND RND USD]]*12)</f>
        <v xml:space="preserve"> </v>
      </c>
      <c r="W34" s="30" t="str">
        <f>IF(Inventory_List_Table341115109111317181416192021222324[[#This Row],[Q]]&lt;0.1, " ",Inventory_List_Table341115109111317181416192021222324[[#This Row],[AQ USD]])</f>
        <v xml:space="preserve"> </v>
      </c>
      <c r="X3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4" s="30" t="str">
        <f>IF(Inventory_List_Table341115109111317181416192021222324[[#This Row],[Q]]&lt;0.1, " ",Inventory_List_Table341115109111317181416192021222324[[#This Row],[PRICE]]/Z34*10000)</f>
        <v xml:space="preserve"> </v>
      </c>
      <c r="AB34" s="538"/>
      <c r="AC34" s="1"/>
      <c r="AD34" s="1"/>
    </row>
    <row r="35" spans="1:30" ht="24" customHeight="1" x14ac:dyDescent="0.3">
      <c r="A35" s="532">
        <v>33</v>
      </c>
      <c r="B35" s="1"/>
      <c r="C35" s="533"/>
      <c r="D35" s="533"/>
      <c r="E35" s="533"/>
      <c r="F3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5" s="535"/>
      <c r="H35" s="535"/>
      <c r="I35" s="535"/>
      <c r="J35" s="535"/>
      <c r="K35" s="535"/>
      <c r="L35" s="537"/>
      <c r="M3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5" s="35" t="str">
        <f>IF(Inventory_List_Table341115109111317181416192021222324[[#This Row],[Q]]&lt;0.1, " ", Inventory_List_Table341115109111317181416192021222324[[#This Row],[KG]]*2.20462)</f>
        <v xml:space="preserve"> </v>
      </c>
      <c r="O35" s="35" t="str">
        <f>IF(Inventory_List_Table341115109111317181416192021222324[[#This Row],[Q]]&lt;0.1, " ",Inventory_List_Table341115109111317181416192021222324[[#This Row],[H CM]]/2.54)</f>
        <v xml:space="preserve"> </v>
      </c>
      <c r="P35" s="35" t="str">
        <f>IF(Inventory_List_Table341115109111317181416192021222324[[#This Row],[Q]]&lt;0.1, " ",Inventory_List_Table341115109111317181416192021222324[[#This Row],[W CM]]/2.54)</f>
        <v xml:space="preserve"> </v>
      </c>
      <c r="Q35" s="35" t="str">
        <f>IF(Inventory_List_Table341115109111317181416192021222324[[#This Row],[Q]]&lt;0.1, " ",Inventory_List_Table341115109111317181416192021222324[[#This Row],[D CM ]]/2.54)</f>
        <v xml:space="preserve"> </v>
      </c>
      <c r="R35" s="30" t="str">
        <f>IF(Inventory_List_Table341115109111317181416192021222324[[#This Row],[Q]]&lt;0.1, " ",Inventory_List_Table341115109111317181416192021222324[[#This Row],[PRICE]]/$L$1)</f>
        <v xml:space="preserve"> </v>
      </c>
      <c r="S3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5" s="30" t="str">
        <f>IF(Inventory_List_Table341115109111317181416192021222324[[#This Row],[Q]]&lt;0.1, " ",Inventory_List_Table341115109111317181416192021222324[[#This Row],[AQ RND USD]]*1.4)</f>
        <v xml:space="preserve"> </v>
      </c>
      <c r="U3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5" s="30" t="str">
        <f>IF(Inventory_List_Table341115109111317181416192021222324[[#This Row],[Q]]&lt;0.1, " ",Inventory_List_Table341115109111317181416192021222324[[#This Row],[LND RND USD]]*12)</f>
        <v xml:space="preserve"> </v>
      </c>
      <c r="W35" s="30" t="str">
        <f>IF(Inventory_List_Table341115109111317181416192021222324[[#This Row],[Q]]&lt;0.1, " ",Inventory_List_Table341115109111317181416192021222324[[#This Row],[AQ USD]])</f>
        <v xml:space="preserve"> </v>
      </c>
      <c r="X3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5" s="30" t="str">
        <f>IF(Inventory_List_Table341115109111317181416192021222324[[#This Row],[Q]]&lt;0.1, " ",Inventory_List_Table341115109111317181416192021222324[[#This Row],[PRICE]]/Z35*10000)</f>
        <v xml:space="preserve"> </v>
      </c>
      <c r="AB35" s="538"/>
      <c r="AC35" s="1"/>
      <c r="AD35" s="1"/>
    </row>
    <row r="36" spans="1:30" ht="24" customHeight="1" x14ac:dyDescent="0.3">
      <c r="A36" s="532">
        <v>34</v>
      </c>
      <c r="B36" s="1"/>
      <c r="C36" s="533"/>
      <c r="D36" s="533"/>
      <c r="E36" s="533"/>
      <c r="F3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6" s="535"/>
      <c r="H36" s="535"/>
      <c r="I36" s="535"/>
      <c r="J36" s="535"/>
      <c r="K36" s="535"/>
      <c r="L36" s="537"/>
      <c r="M3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6" s="35" t="str">
        <f>IF(Inventory_List_Table341115109111317181416192021222324[[#This Row],[Q]]&lt;0.1, " ", Inventory_List_Table341115109111317181416192021222324[[#This Row],[KG]]*2.20462)</f>
        <v xml:space="preserve"> </v>
      </c>
      <c r="O36" s="35" t="str">
        <f>IF(Inventory_List_Table341115109111317181416192021222324[[#This Row],[Q]]&lt;0.1, " ",Inventory_List_Table341115109111317181416192021222324[[#This Row],[H CM]]/2.54)</f>
        <v xml:space="preserve"> </v>
      </c>
      <c r="P36" s="35" t="str">
        <f>IF(Inventory_List_Table341115109111317181416192021222324[[#This Row],[Q]]&lt;0.1, " ",Inventory_List_Table341115109111317181416192021222324[[#This Row],[W CM]]/2.54)</f>
        <v xml:space="preserve"> </v>
      </c>
      <c r="Q36" s="35" t="str">
        <f>IF(Inventory_List_Table341115109111317181416192021222324[[#This Row],[Q]]&lt;0.1, " ",Inventory_List_Table341115109111317181416192021222324[[#This Row],[D CM ]]/2.54)</f>
        <v xml:space="preserve"> </v>
      </c>
      <c r="R36" s="30" t="str">
        <f>IF(Inventory_List_Table341115109111317181416192021222324[[#This Row],[Q]]&lt;0.1, " ",Inventory_List_Table341115109111317181416192021222324[[#This Row],[PRICE]]/$L$1)</f>
        <v xml:space="preserve"> </v>
      </c>
      <c r="S3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6" s="30" t="str">
        <f>IF(Inventory_List_Table341115109111317181416192021222324[[#This Row],[Q]]&lt;0.1, " ",Inventory_List_Table341115109111317181416192021222324[[#This Row],[AQ RND USD]]*1.4)</f>
        <v xml:space="preserve"> </v>
      </c>
      <c r="U3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6" s="30" t="str">
        <f>IF(Inventory_List_Table341115109111317181416192021222324[[#This Row],[Q]]&lt;0.1, " ",Inventory_List_Table341115109111317181416192021222324[[#This Row],[LND RND USD]]*12)</f>
        <v xml:space="preserve"> </v>
      </c>
      <c r="W36" s="30" t="str">
        <f>IF(Inventory_List_Table341115109111317181416192021222324[[#This Row],[Q]]&lt;0.1, " ",Inventory_List_Table341115109111317181416192021222324[[#This Row],[AQ USD]])</f>
        <v xml:space="preserve"> </v>
      </c>
      <c r="X3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6" s="30" t="str">
        <f>IF(Inventory_List_Table341115109111317181416192021222324[[#This Row],[Q]]&lt;0.1, " ",Inventory_List_Table341115109111317181416192021222324[[#This Row],[PRICE]]/Z36*10000)</f>
        <v xml:space="preserve"> </v>
      </c>
      <c r="AB36" s="538"/>
      <c r="AC36" s="1"/>
      <c r="AD36" s="1"/>
    </row>
    <row r="37" spans="1:30" ht="24" customHeight="1" x14ac:dyDescent="0.3">
      <c r="A37" s="532">
        <v>35</v>
      </c>
      <c r="B37" s="1"/>
      <c r="C37" s="533"/>
      <c r="D37" s="533"/>
      <c r="E37" s="533"/>
      <c r="F3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7" s="535"/>
      <c r="H37" s="535"/>
      <c r="I37" s="535"/>
      <c r="J37" s="535"/>
      <c r="K37" s="535"/>
      <c r="L37" s="537"/>
      <c r="M3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7" s="35" t="str">
        <f>IF(Inventory_List_Table341115109111317181416192021222324[[#This Row],[Q]]&lt;0.1, " ", Inventory_List_Table341115109111317181416192021222324[[#This Row],[KG]]*2.20462)</f>
        <v xml:space="preserve"> </v>
      </c>
      <c r="O37" s="35" t="str">
        <f>IF(Inventory_List_Table341115109111317181416192021222324[[#This Row],[Q]]&lt;0.1, " ",Inventory_List_Table341115109111317181416192021222324[[#This Row],[H CM]]/2.54)</f>
        <v xml:space="preserve"> </v>
      </c>
      <c r="P37" s="35" t="str">
        <f>IF(Inventory_List_Table341115109111317181416192021222324[[#This Row],[Q]]&lt;0.1, " ",Inventory_List_Table341115109111317181416192021222324[[#This Row],[W CM]]/2.54)</f>
        <v xml:space="preserve"> </v>
      </c>
      <c r="Q37" s="35" t="str">
        <f>IF(Inventory_List_Table341115109111317181416192021222324[[#This Row],[Q]]&lt;0.1, " ",Inventory_List_Table341115109111317181416192021222324[[#This Row],[D CM ]]/2.54)</f>
        <v xml:space="preserve"> </v>
      </c>
      <c r="R37" s="30" t="str">
        <f>IF(Inventory_List_Table341115109111317181416192021222324[[#This Row],[Q]]&lt;0.1, " ",Inventory_List_Table341115109111317181416192021222324[[#This Row],[PRICE]]/$L$1)</f>
        <v xml:space="preserve"> </v>
      </c>
      <c r="S3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7" s="30" t="str">
        <f>IF(Inventory_List_Table341115109111317181416192021222324[[#This Row],[Q]]&lt;0.1, " ",Inventory_List_Table341115109111317181416192021222324[[#This Row],[AQ RND USD]]*1.4)</f>
        <v xml:space="preserve"> </v>
      </c>
      <c r="U3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7" s="30" t="str">
        <f>IF(Inventory_List_Table341115109111317181416192021222324[[#This Row],[Q]]&lt;0.1, " ",Inventory_List_Table341115109111317181416192021222324[[#This Row],[LND RND USD]]*12)</f>
        <v xml:space="preserve"> </v>
      </c>
      <c r="W37" s="30" t="str">
        <f>IF(Inventory_List_Table341115109111317181416192021222324[[#This Row],[Q]]&lt;0.1, " ",Inventory_List_Table341115109111317181416192021222324[[#This Row],[AQ USD]])</f>
        <v xml:space="preserve"> </v>
      </c>
      <c r="X3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7" s="30" t="str">
        <f>IF(Inventory_List_Table341115109111317181416192021222324[[#This Row],[Q]]&lt;0.1, " ",Inventory_List_Table341115109111317181416192021222324[[#This Row],[PRICE]]/Z37*10000)</f>
        <v xml:space="preserve"> </v>
      </c>
      <c r="AB37" s="538"/>
      <c r="AC37" s="1"/>
      <c r="AD37" s="1"/>
    </row>
    <row r="38" spans="1:30" ht="24" customHeight="1" x14ac:dyDescent="0.3">
      <c r="A38" s="532">
        <v>36</v>
      </c>
      <c r="B38" s="1"/>
      <c r="C38" s="533"/>
      <c r="D38" s="533"/>
      <c r="E38" s="533"/>
      <c r="F3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8" s="535"/>
      <c r="H38" s="535"/>
      <c r="I38" s="535"/>
      <c r="J38" s="535"/>
      <c r="K38" s="535"/>
      <c r="L38" s="537"/>
      <c r="M3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8" s="35" t="str">
        <f>IF(Inventory_List_Table341115109111317181416192021222324[[#This Row],[Q]]&lt;0.1, " ", Inventory_List_Table341115109111317181416192021222324[[#This Row],[KG]]*2.20462)</f>
        <v xml:space="preserve"> </v>
      </c>
      <c r="O38" s="35" t="str">
        <f>IF(Inventory_List_Table341115109111317181416192021222324[[#This Row],[Q]]&lt;0.1, " ",Inventory_List_Table341115109111317181416192021222324[[#This Row],[H CM]]/2.54)</f>
        <v xml:space="preserve"> </v>
      </c>
      <c r="P38" s="35" t="str">
        <f>IF(Inventory_List_Table341115109111317181416192021222324[[#This Row],[Q]]&lt;0.1, " ",Inventory_List_Table341115109111317181416192021222324[[#This Row],[W CM]]/2.54)</f>
        <v xml:space="preserve"> </v>
      </c>
      <c r="Q38" s="35" t="str">
        <f>IF(Inventory_List_Table341115109111317181416192021222324[[#This Row],[Q]]&lt;0.1, " ",Inventory_List_Table341115109111317181416192021222324[[#This Row],[D CM ]]/2.54)</f>
        <v xml:space="preserve"> </v>
      </c>
      <c r="R38" s="30" t="str">
        <f>IF(Inventory_List_Table341115109111317181416192021222324[[#This Row],[Q]]&lt;0.1, " ",Inventory_List_Table341115109111317181416192021222324[[#This Row],[PRICE]]/$L$1)</f>
        <v xml:space="preserve"> </v>
      </c>
      <c r="S3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8" s="30" t="str">
        <f>IF(Inventory_List_Table341115109111317181416192021222324[[#This Row],[Q]]&lt;0.1, " ",Inventory_List_Table341115109111317181416192021222324[[#This Row],[AQ RND USD]]*1.4)</f>
        <v xml:space="preserve"> </v>
      </c>
      <c r="U3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8" s="30" t="str">
        <f>IF(Inventory_List_Table341115109111317181416192021222324[[#This Row],[Q]]&lt;0.1, " ",Inventory_List_Table341115109111317181416192021222324[[#This Row],[LND RND USD]]*12)</f>
        <v xml:space="preserve"> </v>
      </c>
      <c r="W38" s="30" t="str">
        <f>IF(Inventory_List_Table341115109111317181416192021222324[[#This Row],[Q]]&lt;0.1, " ",Inventory_List_Table341115109111317181416192021222324[[#This Row],[AQ USD]])</f>
        <v xml:space="preserve"> </v>
      </c>
      <c r="X3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8" s="30" t="str">
        <f>IF(Inventory_List_Table341115109111317181416192021222324[[#This Row],[Q]]&lt;0.1, " ",Inventory_List_Table341115109111317181416192021222324[[#This Row],[PRICE]]/Z38*10000)</f>
        <v xml:space="preserve"> </v>
      </c>
      <c r="AB38" s="538"/>
      <c r="AC38" s="1"/>
      <c r="AD38" s="1"/>
    </row>
    <row r="39" spans="1:30" ht="24" customHeight="1" x14ac:dyDescent="0.3">
      <c r="A39" s="532">
        <v>37</v>
      </c>
      <c r="B39" s="1"/>
      <c r="C39" s="533"/>
      <c r="D39" s="533"/>
      <c r="E39" s="533"/>
      <c r="F3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39" s="535"/>
      <c r="H39" s="535"/>
      <c r="I39" s="535"/>
      <c r="J39" s="535"/>
      <c r="K39" s="535"/>
      <c r="L39" s="537"/>
      <c r="M3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39" s="35" t="str">
        <f>IF(Inventory_List_Table341115109111317181416192021222324[[#This Row],[Q]]&lt;0.1, " ", Inventory_List_Table341115109111317181416192021222324[[#This Row],[KG]]*2.20462)</f>
        <v xml:space="preserve"> </v>
      </c>
      <c r="O39" s="35" t="str">
        <f>IF(Inventory_List_Table341115109111317181416192021222324[[#This Row],[Q]]&lt;0.1, " ",Inventory_List_Table341115109111317181416192021222324[[#This Row],[H CM]]/2.54)</f>
        <v xml:space="preserve"> </v>
      </c>
      <c r="P39" s="35" t="str">
        <f>IF(Inventory_List_Table341115109111317181416192021222324[[#This Row],[Q]]&lt;0.1, " ",Inventory_List_Table341115109111317181416192021222324[[#This Row],[W CM]]/2.54)</f>
        <v xml:space="preserve"> </v>
      </c>
      <c r="Q39" s="35" t="str">
        <f>IF(Inventory_List_Table341115109111317181416192021222324[[#This Row],[Q]]&lt;0.1, " ",Inventory_List_Table341115109111317181416192021222324[[#This Row],[D CM ]]/2.54)</f>
        <v xml:space="preserve"> </v>
      </c>
      <c r="R39" s="30" t="str">
        <f>IF(Inventory_List_Table341115109111317181416192021222324[[#This Row],[Q]]&lt;0.1, " ",Inventory_List_Table341115109111317181416192021222324[[#This Row],[PRICE]]/$L$1)</f>
        <v xml:space="preserve"> </v>
      </c>
      <c r="S3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39" s="30" t="str">
        <f>IF(Inventory_List_Table341115109111317181416192021222324[[#This Row],[Q]]&lt;0.1, " ",Inventory_List_Table341115109111317181416192021222324[[#This Row],[AQ RND USD]]*1.4)</f>
        <v xml:space="preserve"> </v>
      </c>
      <c r="U3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39" s="30" t="str">
        <f>IF(Inventory_List_Table341115109111317181416192021222324[[#This Row],[Q]]&lt;0.1, " ",Inventory_List_Table341115109111317181416192021222324[[#This Row],[LND RND USD]]*12)</f>
        <v xml:space="preserve"> </v>
      </c>
      <c r="W39" s="30" t="str">
        <f>IF(Inventory_List_Table341115109111317181416192021222324[[#This Row],[Q]]&lt;0.1, " ",Inventory_List_Table341115109111317181416192021222324[[#This Row],[AQ USD]])</f>
        <v xml:space="preserve"> </v>
      </c>
      <c r="X3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3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3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39" s="30" t="str">
        <f>IF(Inventory_List_Table341115109111317181416192021222324[[#This Row],[Q]]&lt;0.1, " ",Inventory_List_Table341115109111317181416192021222324[[#This Row],[PRICE]]/Z39*10000)</f>
        <v xml:space="preserve"> </v>
      </c>
      <c r="AB39" s="538"/>
      <c r="AC39" s="1"/>
      <c r="AD39" s="1"/>
    </row>
    <row r="40" spans="1:30" ht="24" customHeight="1" x14ac:dyDescent="0.3">
      <c r="A40" s="532">
        <v>38</v>
      </c>
      <c r="B40" s="1"/>
      <c r="C40" s="533"/>
      <c r="D40" s="533"/>
      <c r="E40" s="533"/>
      <c r="F4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0" s="535"/>
      <c r="H40" s="535"/>
      <c r="I40" s="535"/>
      <c r="J40" s="535"/>
      <c r="K40" s="535"/>
      <c r="L40" s="537"/>
      <c r="M4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0" s="35" t="str">
        <f>IF(Inventory_List_Table341115109111317181416192021222324[[#This Row],[Q]]&lt;0.1, " ", Inventory_List_Table341115109111317181416192021222324[[#This Row],[KG]]*2.20462)</f>
        <v xml:space="preserve"> </v>
      </c>
      <c r="O40" s="35" t="str">
        <f>IF(Inventory_List_Table341115109111317181416192021222324[[#This Row],[Q]]&lt;0.1, " ",Inventory_List_Table341115109111317181416192021222324[[#This Row],[H CM]]/2.54)</f>
        <v xml:space="preserve"> </v>
      </c>
      <c r="P40" s="35" t="str">
        <f>IF(Inventory_List_Table341115109111317181416192021222324[[#This Row],[Q]]&lt;0.1, " ",Inventory_List_Table341115109111317181416192021222324[[#This Row],[W CM]]/2.54)</f>
        <v xml:space="preserve"> </v>
      </c>
      <c r="Q40" s="35" t="str">
        <f>IF(Inventory_List_Table341115109111317181416192021222324[[#This Row],[Q]]&lt;0.1, " ",Inventory_List_Table341115109111317181416192021222324[[#This Row],[D CM ]]/2.54)</f>
        <v xml:space="preserve"> </v>
      </c>
      <c r="R40" s="30" t="str">
        <f>IF(Inventory_List_Table341115109111317181416192021222324[[#This Row],[Q]]&lt;0.1, " ",Inventory_List_Table341115109111317181416192021222324[[#This Row],[PRICE]]/$L$1)</f>
        <v xml:space="preserve"> </v>
      </c>
      <c r="S4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0" s="30" t="str">
        <f>IF(Inventory_List_Table341115109111317181416192021222324[[#This Row],[Q]]&lt;0.1, " ",Inventory_List_Table341115109111317181416192021222324[[#This Row],[AQ RND USD]]*1.4)</f>
        <v xml:space="preserve"> </v>
      </c>
      <c r="U4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0" s="30" t="str">
        <f>IF(Inventory_List_Table341115109111317181416192021222324[[#This Row],[Q]]&lt;0.1, " ",Inventory_List_Table341115109111317181416192021222324[[#This Row],[LND RND USD]]*12)</f>
        <v xml:space="preserve"> </v>
      </c>
      <c r="W40" s="30" t="str">
        <f>IF(Inventory_List_Table341115109111317181416192021222324[[#This Row],[Q]]&lt;0.1, " ",Inventory_List_Table341115109111317181416192021222324[[#This Row],[AQ USD]])</f>
        <v xml:space="preserve"> </v>
      </c>
      <c r="X4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0" s="30" t="str">
        <f>IF(Inventory_List_Table341115109111317181416192021222324[[#This Row],[Q]]&lt;0.1, " ",Inventory_List_Table341115109111317181416192021222324[[#This Row],[PRICE]]/Z40*10000)</f>
        <v xml:space="preserve"> </v>
      </c>
      <c r="AB40" s="538"/>
      <c r="AC40" s="1"/>
      <c r="AD40" s="1"/>
    </row>
    <row r="41" spans="1:30" ht="24" customHeight="1" x14ac:dyDescent="0.3">
      <c r="A41" s="532">
        <v>39</v>
      </c>
      <c r="B41" s="1"/>
      <c r="C41" s="533"/>
      <c r="D41" s="533"/>
      <c r="E41" s="533"/>
      <c r="F4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1" s="535"/>
      <c r="H41" s="535"/>
      <c r="I41" s="535"/>
      <c r="J41" s="535"/>
      <c r="K41" s="535"/>
      <c r="L41" s="537"/>
      <c r="M4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1" s="35" t="str">
        <f>IF(Inventory_List_Table341115109111317181416192021222324[[#This Row],[Q]]&lt;0.1, " ", Inventory_List_Table341115109111317181416192021222324[[#This Row],[KG]]*2.20462)</f>
        <v xml:space="preserve"> </v>
      </c>
      <c r="O41" s="35" t="str">
        <f>IF(Inventory_List_Table341115109111317181416192021222324[[#This Row],[Q]]&lt;0.1, " ",Inventory_List_Table341115109111317181416192021222324[[#This Row],[H CM]]/2.54)</f>
        <v xml:space="preserve"> </v>
      </c>
      <c r="P41" s="35" t="str">
        <f>IF(Inventory_List_Table341115109111317181416192021222324[[#This Row],[Q]]&lt;0.1, " ",Inventory_List_Table341115109111317181416192021222324[[#This Row],[W CM]]/2.54)</f>
        <v xml:space="preserve"> </v>
      </c>
      <c r="Q41" s="35" t="str">
        <f>IF(Inventory_List_Table341115109111317181416192021222324[[#This Row],[Q]]&lt;0.1, " ",Inventory_List_Table341115109111317181416192021222324[[#This Row],[D CM ]]/2.54)</f>
        <v xml:space="preserve"> </v>
      </c>
      <c r="R41" s="30" t="str">
        <f>IF(Inventory_List_Table341115109111317181416192021222324[[#This Row],[Q]]&lt;0.1, " ",Inventory_List_Table341115109111317181416192021222324[[#This Row],[PRICE]]/$L$1)</f>
        <v xml:space="preserve"> </v>
      </c>
      <c r="S4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1" s="30" t="str">
        <f>IF(Inventory_List_Table341115109111317181416192021222324[[#This Row],[Q]]&lt;0.1, " ",Inventory_List_Table341115109111317181416192021222324[[#This Row],[AQ RND USD]]*1.4)</f>
        <v xml:space="preserve"> </v>
      </c>
      <c r="U4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1" s="30" t="str">
        <f>IF(Inventory_List_Table341115109111317181416192021222324[[#This Row],[Q]]&lt;0.1, " ",Inventory_List_Table341115109111317181416192021222324[[#This Row],[LND RND USD]]*12)</f>
        <v xml:space="preserve"> </v>
      </c>
      <c r="W41" s="30" t="str">
        <f>IF(Inventory_List_Table341115109111317181416192021222324[[#This Row],[Q]]&lt;0.1, " ",Inventory_List_Table341115109111317181416192021222324[[#This Row],[AQ USD]])</f>
        <v xml:space="preserve"> </v>
      </c>
      <c r="X4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1" s="30" t="str">
        <f>IF(Inventory_List_Table341115109111317181416192021222324[[#This Row],[Q]]&lt;0.1, " ",Inventory_List_Table341115109111317181416192021222324[[#This Row],[PRICE]]/Z41*10000)</f>
        <v xml:space="preserve"> </v>
      </c>
      <c r="AB41" s="538"/>
      <c r="AC41" s="1"/>
      <c r="AD41" s="1"/>
    </row>
    <row r="42" spans="1:30" ht="24" customHeight="1" x14ac:dyDescent="0.3">
      <c r="A42" s="532">
        <v>40</v>
      </c>
      <c r="B42" s="1"/>
      <c r="C42" s="533"/>
      <c r="D42" s="533"/>
      <c r="E42" s="533"/>
      <c r="F4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2" s="535"/>
      <c r="H42" s="535"/>
      <c r="I42" s="535"/>
      <c r="J42" s="535"/>
      <c r="K42" s="535"/>
      <c r="L42" s="537"/>
      <c r="M4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2" s="35" t="str">
        <f>IF(Inventory_List_Table341115109111317181416192021222324[[#This Row],[Q]]&lt;0.1, " ", Inventory_List_Table341115109111317181416192021222324[[#This Row],[KG]]*2.20462)</f>
        <v xml:space="preserve"> </v>
      </c>
      <c r="O42" s="35" t="str">
        <f>IF(Inventory_List_Table341115109111317181416192021222324[[#This Row],[Q]]&lt;0.1, " ",Inventory_List_Table341115109111317181416192021222324[[#This Row],[H CM]]/2.54)</f>
        <v xml:space="preserve"> </v>
      </c>
      <c r="P42" s="35" t="str">
        <f>IF(Inventory_List_Table341115109111317181416192021222324[[#This Row],[Q]]&lt;0.1, " ",Inventory_List_Table341115109111317181416192021222324[[#This Row],[W CM]]/2.54)</f>
        <v xml:space="preserve"> </v>
      </c>
      <c r="Q42" s="35" t="str">
        <f>IF(Inventory_List_Table341115109111317181416192021222324[[#This Row],[Q]]&lt;0.1, " ",Inventory_List_Table341115109111317181416192021222324[[#This Row],[D CM ]]/2.54)</f>
        <v xml:space="preserve"> </v>
      </c>
      <c r="R42" s="30" t="str">
        <f>IF(Inventory_List_Table341115109111317181416192021222324[[#This Row],[Q]]&lt;0.1, " ",Inventory_List_Table341115109111317181416192021222324[[#This Row],[PRICE]]/$L$1)</f>
        <v xml:space="preserve"> </v>
      </c>
      <c r="S4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2" s="30" t="str">
        <f>IF(Inventory_List_Table341115109111317181416192021222324[[#This Row],[Q]]&lt;0.1, " ",Inventory_List_Table341115109111317181416192021222324[[#This Row],[AQ RND USD]]*1.4)</f>
        <v xml:space="preserve"> </v>
      </c>
      <c r="U4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2" s="30" t="str">
        <f>IF(Inventory_List_Table341115109111317181416192021222324[[#This Row],[Q]]&lt;0.1, " ",Inventory_List_Table341115109111317181416192021222324[[#This Row],[LND RND USD]]*12)</f>
        <v xml:space="preserve"> </v>
      </c>
      <c r="W42" s="30" t="str">
        <f>IF(Inventory_List_Table341115109111317181416192021222324[[#This Row],[Q]]&lt;0.1, " ",Inventory_List_Table341115109111317181416192021222324[[#This Row],[AQ USD]])</f>
        <v xml:space="preserve"> </v>
      </c>
      <c r="X4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2" s="30" t="str">
        <f>IF(Inventory_List_Table341115109111317181416192021222324[[#This Row],[Q]]&lt;0.1, " ",Inventory_List_Table341115109111317181416192021222324[[#This Row],[PRICE]]/Z42*10000)</f>
        <v xml:space="preserve"> </v>
      </c>
      <c r="AB42" s="538"/>
      <c r="AC42" s="1"/>
      <c r="AD42" s="1"/>
    </row>
    <row r="43" spans="1:30" ht="24" customHeight="1" x14ac:dyDescent="0.3">
      <c r="A43" s="532">
        <v>41</v>
      </c>
      <c r="B43" s="1"/>
      <c r="C43" s="533"/>
      <c r="D43" s="533"/>
      <c r="E43" s="533"/>
      <c r="F4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3" s="535"/>
      <c r="H43" s="535"/>
      <c r="I43" s="535"/>
      <c r="J43" s="535"/>
      <c r="K43" s="535"/>
      <c r="L43" s="537"/>
      <c r="M4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3" s="35" t="str">
        <f>IF(Inventory_List_Table341115109111317181416192021222324[[#This Row],[Q]]&lt;0.1, " ", Inventory_List_Table341115109111317181416192021222324[[#This Row],[KG]]*2.20462)</f>
        <v xml:space="preserve"> </v>
      </c>
      <c r="O43" s="35" t="str">
        <f>IF(Inventory_List_Table341115109111317181416192021222324[[#This Row],[Q]]&lt;0.1, " ",Inventory_List_Table341115109111317181416192021222324[[#This Row],[H CM]]/2.54)</f>
        <v xml:space="preserve"> </v>
      </c>
      <c r="P43" s="35" t="str">
        <f>IF(Inventory_List_Table341115109111317181416192021222324[[#This Row],[Q]]&lt;0.1, " ",Inventory_List_Table341115109111317181416192021222324[[#This Row],[W CM]]/2.54)</f>
        <v xml:space="preserve"> </v>
      </c>
      <c r="Q43" s="35" t="str">
        <f>IF(Inventory_List_Table341115109111317181416192021222324[[#This Row],[Q]]&lt;0.1, " ",Inventory_List_Table341115109111317181416192021222324[[#This Row],[D CM ]]/2.54)</f>
        <v xml:space="preserve"> </v>
      </c>
      <c r="R43" s="30" t="str">
        <f>IF(Inventory_List_Table341115109111317181416192021222324[[#This Row],[Q]]&lt;0.1, " ",Inventory_List_Table341115109111317181416192021222324[[#This Row],[PRICE]]/$L$1)</f>
        <v xml:space="preserve"> </v>
      </c>
      <c r="S4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3" s="30" t="str">
        <f>IF(Inventory_List_Table341115109111317181416192021222324[[#This Row],[Q]]&lt;0.1, " ",Inventory_List_Table341115109111317181416192021222324[[#This Row],[AQ RND USD]]*1.4)</f>
        <v xml:space="preserve"> </v>
      </c>
      <c r="U4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3" s="30" t="str">
        <f>IF(Inventory_List_Table341115109111317181416192021222324[[#This Row],[Q]]&lt;0.1, " ",Inventory_List_Table341115109111317181416192021222324[[#This Row],[LND RND USD]]*12)</f>
        <v xml:space="preserve"> </v>
      </c>
      <c r="W43" s="30" t="str">
        <f>IF(Inventory_List_Table341115109111317181416192021222324[[#This Row],[Q]]&lt;0.1, " ",Inventory_List_Table341115109111317181416192021222324[[#This Row],[AQ USD]])</f>
        <v xml:space="preserve"> </v>
      </c>
      <c r="X4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3" s="30" t="str">
        <f>IF(Inventory_List_Table341115109111317181416192021222324[[#This Row],[Q]]&lt;0.1, " ",Inventory_List_Table341115109111317181416192021222324[[#This Row],[PRICE]]/Z43*10000)</f>
        <v xml:space="preserve"> </v>
      </c>
      <c r="AB43" s="538"/>
      <c r="AC43" s="1"/>
      <c r="AD43" s="1"/>
    </row>
    <row r="44" spans="1:30" ht="24" customHeight="1" x14ac:dyDescent="0.3">
      <c r="A44" s="532">
        <v>42</v>
      </c>
      <c r="B44" s="1"/>
      <c r="C44" s="533"/>
      <c r="D44" s="533"/>
      <c r="E44" s="533"/>
      <c r="F4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4" s="535"/>
      <c r="H44" s="535"/>
      <c r="I44" s="535"/>
      <c r="J44" s="535"/>
      <c r="K44" s="535"/>
      <c r="L44" s="537"/>
      <c r="M4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4" s="35" t="str">
        <f>IF(Inventory_List_Table341115109111317181416192021222324[[#This Row],[Q]]&lt;0.1, " ", Inventory_List_Table341115109111317181416192021222324[[#This Row],[KG]]*2.20462)</f>
        <v xml:space="preserve"> </v>
      </c>
      <c r="O44" s="35" t="str">
        <f>IF(Inventory_List_Table341115109111317181416192021222324[[#This Row],[Q]]&lt;0.1, " ",Inventory_List_Table341115109111317181416192021222324[[#This Row],[H CM]]/2.54)</f>
        <v xml:space="preserve"> </v>
      </c>
      <c r="P44" s="35" t="str">
        <f>IF(Inventory_List_Table341115109111317181416192021222324[[#This Row],[Q]]&lt;0.1, " ",Inventory_List_Table341115109111317181416192021222324[[#This Row],[W CM]]/2.54)</f>
        <v xml:space="preserve"> </v>
      </c>
      <c r="Q44" s="35" t="str">
        <f>IF(Inventory_List_Table341115109111317181416192021222324[[#This Row],[Q]]&lt;0.1, " ",Inventory_List_Table341115109111317181416192021222324[[#This Row],[D CM ]]/2.54)</f>
        <v xml:space="preserve"> </v>
      </c>
      <c r="R44" s="30" t="str">
        <f>IF(Inventory_List_Table341115109111317181416192021222324[[#This Row],[Q]]&lt;0.1, " ",Inventory_List_Table341115109111317181416192021222324[[#This Row],[PRICE]]/$L$1)</f>
        <v xml:space="preserve"> </v>
      </c>
      <c r="S4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4" s="30" t="str">
        <f>IF(Inventory_List_Table341115109111317181416192021222324[[#This Row],[Q]]&lt;0.1, " ",Inventory_List_Table341115109111317181416192021222324[[#This Row],[AQ RND USD]]*1.4)</f>
        <v xml:space="preserve"> </v>
      </c>
      <c r="U4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4" s="30" t="str">
        <f>IF(Inventory_List_Table341115109111317181416192021222324[[#This Row],[Q]]&lt;0.1, " ",Inventory_List_Table341115109111317181416192021222324[[#This Row],[LND RND USD]]*12)</f>
        <v xml:space="preserve"> </v>
      </c>
      <c r="W44" s="30" t="str">
        <f>IF(Inventory_List_Table341115109111317181416192021222324[[#This Row],[Q]]&lt;0.1, " ",Inventory_List_Table341115109111317181416192021222324[[#This Row],[AQ USD]])</f>
        <v xml:space="preserve"> </v>
      </c>
      <c r="X4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4" s="30" t="str">
        <f>IF(Inventory_List_Table341115109111317181416192021222324[[#This Row],[Q]]&lt;0.1, " ",Inventory_List_Table341115109111317181416192021222324[[#This Row],[PRICE]]/Z44*10000)</f>
        <v xml:space="preserve"> </v>
      </c>
      <c r="AB44" s="538"/>
      <c r="AC44" s="1"/>
      <c r="AD44" s="1"/>
    </row>
    <row r="45" spans="1:30" ht="24" customHeight="1" x14ac:dyDescent="0.3">
      <c r="A45" s="532">
        <v>43</v>
      </c>
      <c r="B45" s="1"/>
      <c r="C45" s="533"/>
      <c r="D45" s="533"/>
      <c r="E45" s="533"/>
      <c r="F4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5" s="535"/>
      <c r="H45" s="535"/>
      <c r="I45" s="535"/>
      <c r="J45" s="535"/>
      <c r="K45" s="535"/>
      <c r="L45" s="537"/>
      <c r="M4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5" s="35" t="str">
        <f>IF(Inventory_List_Table341115109111317181416192021222324[[#This Row],[Q]]&lt;0.1, " ", Inventory_List_Table341115109111317181416192021222324[[#This Row],[KG]]*2.20462)</f>
        <v xml:space="preserve"> </v>
      </c>
      <c r="O45" s="35" t="str">
        <f>IF(Inventory_List_Table341115109111317181416192021222324[[#This Row],[Q]]&lt;0.1, " ",Inventory_List_Table341115109111317181416192021222324[[#This Row],[H CM]]/2.54)</f>
        <v xml:space="preserve"> </v>
      </c>
      <c r="P45" s="35" t="str">
        <f>IF(Inventory_List_Table341115109111317181416192021222324[[#This Row],[Q]]&lt;0.1, " ",Inventory_List_Table341115109111317181416192021222324[[#This Row],[W CM]]/2.54)</f>
        <v xml:space="preserve"> </v>
      </c>
      <c r="Q45" s="35" t="str">
        <f>IF(Inventory_List_Table341115109111317181416192021222324[[#This Row],[Q]]&lt;0.1, " ",Inventory_List_Table341115109111317181416192021222324[[#This Row],[D CM ]]/2.54)</f>
        <v xml:space="preserve"> </v>
      </c>
      <c r="R45" s="30" t="str">
        <f>IF(Inventory_List_Table341115109111317181416192021222324[[#This Row],[Q]]&lt;0.1, " ",Inventory_List_Table341115109111317181416192021222324[[#This Row],[PRICE]]/$L$1)</f>
        <v xml:space="preserve"> </v>
      </c>
      <c r="S4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5" s="30" t="str">
        <f>IF(Inventory_List_Table341115109111317181416192021222324[[#This Row],[Q]]&lt;0.1, " ",Inventory_List_Table341115109111317181416192021222324[[#This Row],[AQ RND USD]]*1.4)</f>
        <v xml:space="preserve"> </v>
      </c>
      <c r="U4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5" s="30" t="str">
        <f>IF(Inventory_List_Table341115109111317181416192021222324[[#This Row],[Q]]&lt;0.1, " ",Inventory_List_Table341115109111317181416192021222324[[#This Row],[LND RND USD]]*12)</f>
        <v xml:space="preserve"> </v>
      </c>
      <c r="W45" s="30" t="str">
        <f>IF(Inventory_List_Table341115109111317181416192021222324[[#This Row],[Q]]&lt;0.1, " ",Inventory_List_Table341115109111317181416192021222324[[#This Row],[AQ USD]])</f>
        <v xml:space="preserve"> </v>
      </c>
      <c r="X4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5" s="30" t="str">
        <f>IF(Inventory_List_Table341115109111317181416192021222324[[#This Row],[Q]]&lt;0.1, " ",Inventory_List_Table341115109111317181416192021222324[[#This Row],[PRICE]]/Z45*10000)</f>
        <v xml:space="preserve"> </v>
      </c>
      <c r="AB45" s="538"/>
      <c r="AC45" s="1"/>
      <c r="AD45" s="1"/>
    </row>
    <row r="46" spans="1:30" ht="24" customHeight="1" x14ac:dyDescent="0.3">
      <c r="A46" s="532">
        <v>44</v>
      </c>
      <c r="B46" s="1"/>
      <c r="C46" s="533"/>
      <c r="D46" s="533"/>
      <c r="E46" s="533"/>
      <c r="F4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6" s="535"/>
      <c r="H46" s="535"/>
      <c r="I46" s="535"/>
      <c r="J46" s="535"/>
      <c r="K46" s="535"/>
      <c r="L46" s="537"/>
      <c r="M4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6" s="35" t="str">
        <f>IF(Inventory_List_Table341115109111317181416192021222324[[#This Row],[Q]]&lt;0.1, " ", Inventory_List_Table341115109111317181416192021222324[[#This Row],[KG]]*2.20462)</f>
        <v xml:space="preserve"> </v>
      </c>
      <c r="O46" s="35" t="str">
        <f>IF(Inventory_List_Table341115109111317181416192021222324[[#This Row],[Q]]&lt;0.1, " ",Inventory_List_Table341115109111317181416192021222324[[#This Row],[H CM]]/2.54)</f>
        <v xml:space="preserve"> </v>
      </c>
      <c r="P46" s="35" t="str">
        <f>IF(Inventory_List_Table341115109111317181416192021222324[[#This Row],[Q]]&lt;0.1, " ",Inventory_List_Table341115109111317181416192021222324[[#This Row],[W CM]]/2.54)</f>
        <v xml:space="preserve"> </v>
      </c>
      <c r="Q46" s="35" t="str">
        <f>IF(Inventory_List_Table341115109111317181416192021222324[[#This Row],[Q]]&lt;0.1, " ",Inventory_List_Table341115109111317181416192021222324[[#This Row],[D CM ]]/2.54)</f>
        <v xml:space="preserve"> </v>
      </c>
      <c r="R46" s="30" t="str">
        <f>IF(Inventory_List_Table341115109111317181416192021222324[[#This Row],[Q]]&lt;0.1, " ",Inventory_List_Table341115109111317181416192021222324[[#This Row],[PRICE]]/$L$1)</f>
        <v xml:space="preserve"> </v>
      </c>
      <c r="S4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6" s="30" t="str">
        <f>IF(Inventory_List_Table341115109111317181416192021222324[[#This Row],[Q]]&lt;0.1, " ",Inventory_List_Table341115109111317181416192021222324[[#This Row],[AQ RND USD]]*1.4)</f>
        <v xml:space="preserve"> </v>
      </c>
      <c r="U4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6" s="30" t="str">
        <f>IF(Inventory_List_Table341115109111317181416192021222324[[#This Row],[Q]]&lt;0.1, " ",Inventory_List_Table341115109111317181416192021222324[[#This Row],[LND RND USD]]*12)</f>
        <v xml:space="preserve"> </v>
      </c>
      <c r="W46" s="30" t="str">
        <f>IF(Inventory_List_Table341115109111317181416192021222324[[#This Row],[Q]]&lt;0.1, " ",Inventory_List_Table341115109111317181416192021222324[[#This Row],[AQ USD]])</f>
        <v xml:space="preserve"> </v>
      </c>
      <c r="X4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6" s="30" t="str">
        <f>IF(Inventory_List_Table341115109111317181416192021222324[[#This Row],[Q]]&lt;0.1, " ",Inventory_List_Table341115109111317181416192021222324[[#This Row],[PRICE]]/Z46*10000)</f>
        <v xml:space="preserve"> </v>
      </c>
      <c r="AB46" s="538"/>
      <c r="AC46" s="1"/>
      <c r="AD46" s="1"/>
    </row>
    <row r="47" spans="1:30" ht="24" customHeight="1" x14ac:dyDescent="0.3">
      <c r="A47" s="532">
        <v>45</v>
      </c>
      <c r="B47" s="1"/>
      <c r="C47" s="533"/>
      <c r="D47" s="533"/>
      <c r="E47" s="533"/>
      <c r="F4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7" s="535"/>
      <c r="H47" s="535"/>
      <c r="I47" s="535"/>
      <c r="J47" s="535"/>
      <c r="K47" s="535"/>
      <c r="L47" s="537"/>
      <c r="M4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7" s="35" t="str">
        <f>IF(Inventory_List_Table341115109111317181416192021222324[[#This Row],[Q]]&lt;0.1, " ", Inventory_List_Table341115109111317181416192021222324[[#This Row],[KG]]*2.20462)</f>
        <v xml:space="preserve"> </v>
      </c>
      <c r="O47" s="35" t="str">
        <f>IF(Inventory_List_Table341115109111317181416192021222324[[#This Row],[Q]]&lt;0.1, " ",Inventory_List_Table341115109111317181416192021222324[[#This Row],[H CM]]/2.54)</f>
        <v xml:space="preserve"> </v>
      </c>
      <c r="P47" s="35" t="str">
        <f>IF(Inventory_List_Table341115109111317181416192021222324[[#This Row],[Q]]&lt;0.1, " ",Inventory_List_Table341115109111317181416192021222324[[#This Row],[W CM]]/2.54)</f>
        <v xml:space="preserve"> </v>
      </c>
      <c r="Q47" s="35" t="str">
        <f>IF(Inventory_List_Table341115109111317181416192021222324[[#This Row],[Q]]&lt;0.1, " ",Inventory_List_Table341115109111317181416192021222324[[#This Row],[D CM ]]/2.54)</f>
        <v xml:space="preserve"> </v>
      </c>
      <c r="R47" s="30" t="str">
        <f>IF(Inventory_List_Table341115109111317181416192021222324[[#This Row],[Q]]&lt;0.1, " ",Inventory_List_Table341115109111317181416192021222324[[#This Row],[PRICE]]/$L$1)</f>
        <v xml:space="preserve"> </v>
      </c>
      <c r="S4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7" s="30" t="str">
        <f>IF(Inventory_List_Table341115109111317181416192021222324[[#This Row],[Q]]&lt;0.1, " ",Inventory_List_Table341115109111317181416192021222324[[#This Row],[AQ RND USD]]*1.4)</f>
        <v xml:space="preserve"> </v>
      </c>
      <c r="U4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7" s="30" t="str">
        <f>IF(Inventory_List_Table341115109111317181416192021222324[[#This Row],[Q]]&lt;0.1, " ",Inventory_List_Table341115109111317181416192021222324[[#This Row],[LND RND USD]]*12)</f>
        <v xml:space="preserve"> </v>
      </c>
      <c r="W47" s="30" t="str">
        <f>IF(Inventory_List_Table341115109111317181416192021222324[[#This Row],[Q]]&lt;0.1, " ",Inventory_List_Table341115109111317181416192021222324[[#This Row],[AQ USD]])</f>
        <v xml:space="preserve"> </v>
      </c>
      <c r="X4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7" s="30" t="str">
        <f>IF(Inventory_List_Table341115109111317181416192021222324[[#This Row],[Q]]&lt;0.1, " ",Inventory_List_Table341115109111317181416192021222324[[#This Row],[PRICE]]/Z47*10000)</f>
        <v xml:space="preserve"> </v>
      </c>
      <c r="AB47" s="538"/>
      <c r="AC47" s="1"/>
      <c r="AD47" s="1"/>
    </row>
    <row r="48" spans="1:30" ht="24" customHeight="1" x14ac:dyDescent="0.3">
      <c r="A48" s="532">
        <v>46</v>
      </c>
      <c r="B48" s="1"/>
      <c r="C48" s="533"/>
      <c r="D48" s="533"/>
      <c r="E48" s="533"/>
      <c r="F4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8" s="535"/>
      <c r="H48" s="535"/>
      <c r="I48" s="535"/>
      <c r="J48" s="535"/>
      <c r="K48" s="535"/>
      <c r="L48" s="537"/>
      <c r="M4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8" s="35" t="str">
        <f>IF(Inventory_List_Table341115109111317181416192021222324[[#This Row],[Q]]&lt;0.1, " ", Inventory_List_Table341115109111317181416192021222324[[#This Row],[KG]]*2.20462)</f>
        <v xml:space="preserve"> </v>
      </c>
      <c r="O48" s="35" t="str">
        <f>IF(Inventory_List_Table341115109111317181416192021222324[[#This Row],[Q]]&lt;0.1, " ",Inventory_List_Table341115109111317181416192021222324[[#This Row],[H CM]]/2.54)</f>
        <v xml:space="preserve"> </v>
      </c>
      <c r="P48" s="35" t="str">
        <f>IF(Inventory_List_Table341115109111317181416192021222324[[#This Row],[Q]]&lt;0.1, " ",Inventory_List_Table341115109111317181416192021222324[[#This Row],[W CM]]/2.54)</f>
        <v xml:space="preserve"> </v>
      </c>
      <c r="Q48" s="35" t="str">
        <f>IF(Inventory_List_Table341115109111317181416192021222324[[#This Row],[Q]]&lt;0.1, " ",Inventory_List_Table341115109111317181416192021222324[[#This Row],[D CM ]]/2.54)</f>
        <v xml:space="preserve"> </v>
      </c>
      <c r="R48" s="30" t="str">
        <f>IF(Inventory_List_Table341115109111317181416192021222324[[#This Row],[Q]]&lt;0.1, " ",Inventory_List_Table341115109111317181416192021222324[[#This Row],[PRICE]]/$L$1)</f>
        <v xml:space="preserve"> </v>
      </c>
      <c r="S4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8" s="30" t="str">
        <f>IF(Inventory_List_Table341115109111317181416192021222324[[#This Row],[Q]]&lt;0.1, " ",Inventory_List_Table341115109111317181416192021222324[[#This Row],[AQ RND USD]]*1.4)</f>
        <v xml:space="preserve"> </v>
      </c>
      <c r="U4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8" s="30" t="str">
        <f>IF(Inventory_List_Table341115109111317181416192021222324[[#This Row],[Q]]&lt;0.1, " ",Inventory_List_Table341115109111317181416192021222324[[#This Row],[LND RND USD]]*12)</f>
        <v xml:space="preserve"> </v>
      </c>
      <c r="W48" s="30" t="str">
        <f>IF(Inventory_List_Table341115109111317181416192021222324[[#This Row],[Q]]&lt;0.1, " ",Inventory_List_Table341115109111317181416192021222324[[#This Row],[AQ USD]])</f>
        <v xml:space="preserve"> </v>
      </c>
      <c r="X4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8" s="30" t="str">
        <f>IF(Inventory_List_Table341115109111317181416192021222324[[#This Row],[Q]]&lt;0.1, " ",Inventory_List_Table341115109111317181416192021222324[[#This Row],[PRICE]]/Z48*10000)</f>
        <v xml:space="preserve"> </v>
      </c>
      <c r="AB48" s="538"/>
      <c r="AC48" s="1"/>
      <c r="AD48" s="1"/>
    </row>
    <row r="49" spans="1:30" ht="24" customHeight="1" x14ac:dyDescent="0.3">
      <c r="A49" s="532">
        <v>47</v>
      </c>
      <c r="B49" s="1"/>
      <c r="C49" s="533"/>
      <c r="D49" s="533"/>
      <c r="E49" s="533"/>
      <c r="F4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49" s="535"/>
      <c r="H49" s="535"/>
      <c r="I49" s="535"/>
      <c r="J49" s="535"/>
      <c r="K49" s="535"/>
      <c r="L49" s="537"/>
      <c r="M4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49" s="35" t="str">
        <f>IF(Inventory_List_Table341115109111317181416192021222324[[#This Row],[Q]]&lt;0.1, " ", Inventory_List_Table341115109111317181416192021222324[[#This Row],[KG]]*2.20462)</f>
        <v xml:space="preserve"> </v>
      </c>
      <c r="O49" s="35" t="str">
        <f>IF(Inventory_List_Table341115109111317181416192021222324[[#This Row],[Q]]&lt;0.1, " ",Inventory_List_Table341115109111317181416192021222324[[#This Row],[H CM]]/2.54)</f>
        <v xml:space="preserve"> </v>
      </c>
      <c r="P49" s="35" t="str">
        <f>IF(Inventory_List_Table341115109111317181416192021222324[[#This Row],[Q]]&lt;0.1, " ",Inventory_List_Table341115109111317181416192021222324[[#This Row],[W CM]]/2.54)</f>
        <v xml:space="preserve"> </v>
      </c>
      <c r="Q49" s="35" t="str">
        <f>IF(Inventory_List_Table341115109111317181416192021222324[[#This Row],[Q]]&lt;0.1, " ",Inventory_List_Table341115109111317181416192021222324[[#This Row],[D CM ]]/2.54)</f>
        <v xml:space="preserve"> </v>
      </c>
      <c r="R49" s="30" t="str">
        <f>IF(Inventory_List_Table341115109111317181416192021222324[[#This Row],[Q]]&lt;0.1, " ",Inventory_List_Table341115109111317181416192021222324[[#This Row],[PRICE]]/$L$1)</f>
        <v xml:space="preserve"> </v>
      </c>
      <c r="S4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49" s="30" t="str">
        <f>IF(Inventory_List_Table341115109111317181416192021222324[[#This Row],[Q]]&lt;0.1, " ",Inventory_List_Table341115109111317181416192021222324[[#This Row],[AQ RND USD]]*1.4)</f>
        <v xml:space="preserve"> </v>
      </c>
      <c r="U4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49" s="30" t="str">
        <f>IF(Inventory_List_Table341115109111317181416192021222324[[#This Row],[Q]]&lt;0.1, " ",Inventory_List_Table341115109111317181416192021222324[[#This Row],[LND RND USD]]*12)</f>
        <v xml:space="preserve"> </v>
      </c>
      <c r="W49" s="30" t="str">
        <f>IF(Inventory_List_Table341115109111317181416192021222324[[#This Row],[Q]]&lt;0.1, " ",Inventory_List_Table341115109111317181416192021222324[[#This Row],[AQ USD]])</f>
        <v xml:space="preserve"> </v>
      </c>
      <c r="X4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4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4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49" s="30" t="str">
        <f>IF(Inventory_List_Table341115109111317181416192021222324[[#This Row],[Q]]&lt;0.1, " ",Inventory_List_Table341115109111317181416192021222324[[#This Row],[PRICE]]/Z49*10000)</f>
        <v xml:space="preserve"> </v>
      </c>
      <c r="AB49" s="538"/>
      <c r="AC49" s="1"/>
      <c r="AD49" s="1"/>
    </row>
    <row r="50" spans="1:30" ht="24" customHeight="1" x14ac:dyDescent="0.3">
      <c r="A50" s="532">
        <v>48</v>
      </c>
      <c r="B50" s="1"/>
      <c r="C50" s="533"/>
      <c r="D50" s="533"/>
      <c r="E50" s="533"/>
      <c r="F5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0" s="535"/>
      <c r="H50" s="535"/>
      <c r="I50" s="535"/>
      <c r="J50" s="535"/>
      <c r="K50" s="535"/>
      <c r="L50" s="537"/>
      <c r="M5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0" s="35" t="str">
        <f>IF(Inventory_List_Table341115109111317181416192021222324[[#This Row],[Q]]&lt;0.1, " ", Inventory_List_Table341115109111317181416192021222324[[#This Row],[KG]]*2.20462)</f>
        <v xml:space="preserve"> </v>
      </c>
      <c r="O50" s="35" t="str">
        <f>IF(Inventory_List_Table341115109111317181416192021222324[[#This Row],[Q]]&lt;0.1, " ",Inventory_List_Table341115109111317181416192021222324[[#This Row],[H CM]]/2.54)</f>
        <v xml:space="preserve"> </v>
      </c>
      <c r="P50" s="35" t="str">
        <f>IF(Inventory_List_Table341115109111317181416192021222324[[#This Row],[Q]]&lt;0.1, " ",Inventory_List_Table341115109111317181416192021222324[[#This Row],[W CM]]/2.54)</f>
        <v xml:space="preserve"> </v>
      </c>
      <c r="Q50" s="35" t="str">
        <f>IF(Inventory_List_Table341115109111317181416192021222324[[#This Row],[Q]]&lt;0.1, " ",Inventory_List_Table341115109111317181416192021222324[[#This Row],[D CM ]]/2.54)</f>
        <v xml:space="preserve"> </v>
      </c>
      <c r="R50" s="30" t="str">
        <f>IF(Inventory_List_Table341115109111317181416192021222324[[#This Row],[Q]]&lt;0.1, " ",Inventory_List_Table341115109111317181416192021222324[[#This Row],[PRICE]]/$L$1)</f>
        <v xml:space="preserve"> </v>
      </c>
      <c r="S5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0" s="30" t="str">
        <f>IF(Inventory_List_Table341115109111317181416192021222324[[#This Row],[Q]]&lt;0.1, " ",Inventory_List_Table341115109111317181416192021222324[[#This Row],[AQ RND USD]]*1.4)</f>
        <v xml:space="preserve"> </v>
      </c>
      <c r="U5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0" s="30" t="str">
        <f>IF(Inventory_List_Table341115109111317181416192021222324[[#This Row],[Q]]&lt;0.1, " ",Inventory_List_Table341115109111317181416192021222324[[#This Row],[LND RND USD]]*12)</f>
        <v xml:space="preserve"> </v>
      </c>
      <c r="W50" s="30" t="str">
        <f>IF(Inventory_List_Table341115109111317181416192021222324[[#This Row],[Q]]&lt;0.1, " ",Inventory_List_Table341115109111317181416192021222324[[#This Row],[AQ USD]])</f>
        <v xml:space="preserve"> </v>
      </c>
      <c r="X5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0" s="30" t="str">
        <f>IF(Inventory_List_Table341115109111317181416192021222324[[#This Row],[Q]]&lt;0.1, " ",Inventory_List_Table341115109111317181416192021222324[[#This Row],[PRICE]]/Z50*10000)</f>
        <v xml:space="preserve"> </v>
      </c>
      <c r="AB50" s="538"/>
      <c r="AC50" s="1"/>
      <c r="AD50" s="1"/>
    </row>
    <row r="51" spans="1:30" ht="24" customHeight="1" x14ac:dyDescent="0.3">
      <c r="A51" s="532">
        <v>49</v>
      </c>
      <c r="B51" s="1"/>
      <c r="C51" s="533"/>
      <c r="D51" s="533"/>
      <c r="E51" s="533"/>
      <c r="F5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1" s="535"/>
      <c r="H51" s="535"/>
      <c r="I51" s="535"/>
      <c r="J51" s="535"/>
      <c r="K51" s="535"/>
      <c r="L51" s="537"/>
      <c r="M5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1" s="35" t="str">
        <f>IF(Inventory_List_Table341115109111317181416192021222324[[#This Row],[Q]]&lt;0.1, " ", Inventory_List_Table341115109111317181416192021222324[[#This Row],[KG]]*2.20462)</f>
        <v xml:space="preserve"> </v>
      </c>
      <c r="O51" s="35" t="str">
        <f>IF(Inventory_List_Table341115109111317181416192021222324[[#This Row],[Q]]&lt;0.1, " ",Inventory_List_Table341115109111317181416192021222324[[#This Row],[H CM]]/2.54)</f>
        <v xml:space="preserve"> </v>
      </c>
      <c r="P51" s="35" t="str">
        <f>IF(Inventory_List_Table341115109111317181416192021222324[[#This Row],[Q]]&lt;0.1, " ",Inventory_List_Table341115109111317181416192021222324[[#This Row],[W CM]]/2.54)</f>
        <v xml:space="preserve"> </v>
      </c>
      <c r="Q51" s="35" t="str">
        <f>IF(Inventory_List_Table341115109111317181416192021222324[[#This Row],[Q]]&lt;0.1, " ",Inventory_List_Table341115109111317181416192021222324[[#This Row],[D CM ]]/2.54)</f>
        <v xml:space="preserve"> </v>
      </c>
      <c r="R51" s="30" t="str">
        <f>IF(Inventory_List_Table341115109111317181416192021222324[[#This Row],[Q]]&lt;0.1, " ",Inventory_List_Table341115109111317181416192021222324[[#This Row],[PRICE]]/$L$1)</f>
        <v xml:space="preserve"> </v>
      </c>
      <c r="S5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1" s="30" t="str">
        <f>IF(Inventory_List_Table341115109111317181416192021222324[[#This Row],[Q]]&lt;0.1, " ",Inventory_List_Table341115109111317181416192021222324[[#This Row],[AQ RND USD]]*1.4)</f>
        <v xml:space="preserve"> </v>
      </c>
      <c r="U5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1" s="30" t="str">
        <f>IF(Inventory_List_Table341115109111317181416192021222324[[#This Row],[Q]]&lt;0.1, " ",Inventory_List_Table341115109111317181416192021222324[[#This Row],[LND RND USD]]*12)</f>
        <v xml:space="preserve"> </v>
      </c>
      <c r="W51" s="30" t="str">
        <f>IF(Inventory_List_Table341115109111317181416192021222324[[#This Row],[Q]]&lt;0.1, " ",Inventory_List_Table341115109111317181416192021222324[[#This Row],[AQ USD]])</f>
        <v xml:space="preserve"> </v>
      </c>
      <c r="X5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1" s="30" t="str">
        <f>IF(Inventory_List_Table341115109111317181416192021222324[[#This Row],[Q]]&lt;0.1, " ",Inventory_List_Table341115109111317181416192021222324[[#This Row],[PRICE]]/Z51*10000)</f>
        <v xml:space="preserve"> </v>
      </c>
      <c r="AB51" s="538"/>
      <c r="AC51" s="1"/>
      <c r="AD51" s="1"/>
    </row>
    <row r="52" spans="1:30" ht="24" customHeight="1" x14ac:dyDescent="0.3">
      <c r="A52" s="532">
        <v>50</v>
      </c>
      <c r="B52" s="1"/>
      <c r="C52" s="533"/>
      <c r="D52" s="533"/>
      <c r="E52" s="533"/>
      <c r="F5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2" s="535"/>
      <c r="H52" s="535"/>
      <c r="I52" s="535"/>
      <c r="J52" s="535"/>
      <c r="K52" s="535"/>
      <c r="L52" s="537"/>
      <c r="M5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2" s="35" t="str">
        <f>IF(Inventory_List_Table341115109111317181416192021222324[[#This Row],[Q]]&lt;0.1, " ", Inventory_List_Table341115109111317181416192021222324[[#This Row],[KG]]*2.20462)</f>
        <v xml:space="preserve"> </v>
      </c>
      <c r="O52" s="35" t="str">
        <f>IF(Inventory_List_Table341115109111317181416192021222324[[#This Row],[Q]]&lt;0.1, " ",Inventory_List_Table341115109111317181416192021222324[[#This Row],[H CM]]/2.54)</f>
        <v xml:space="preserve"> </v>
      </c>
      <c r="P52" s="35" t="str">
        <f>IF(Inventory_List_Table341115109111317181416192021222324[[#This Row],[Q]]&lt;0.1, " ",Inventory_List_Table341115109111317181416192021222324[[#This Row],[W CM]]/2.54)</f>
        <v xml:space="preserve"> </v>
      </c>
      <c r="Q52" s="35" t="str">
        <f>IF(Inventory_List_Table341115109111317181416192021222324[[#This Row],[Q]]&lt;0.1, " ",Inventory_List_Table341115109111317181416192021222324[[#This Row],[D CM ]]/2.54)</f>
        <v xml:space="preserve"> </v>
      </c>
      <c r="R52" s="30" t="str">
        <f>IF(Inventory_List_Table341115109111317181416192021222324[[#This Row],[Q]]&lt;0.1, " ",Inventory_List_Table341115109111317181416192021222324[[#This Row],[PRICE]]/$L$1)</f>
        <v xml:space="preserve"> </v>
      </c>
      <c r="S5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2" s="30" t="str">
        <f>IF(Inventory_List_Table341115109111317181416192021222324[[#This Row],[Q]]&lt;0.1, " ",Inventory_List_Table341115109111317181416192021222324[[#This Row],[AQ RND USD]]*1.4)</f>
        <v xml:space="preserve"> </v>
      </c>
      <c r="U5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2" s="30" t="str">
        <f>IF(Inventory_List_Table341115109111317181416192021222324[[#This Row],[Q]]&lt;0.1, " ",Inventory_List_Table341115109111317181416192021222324[[#This Row],[LND RND USD]]*12)</f>
        <v xml:space="preserve"> </v>
      </c>
      <c r="W52" s="30" t="str">
        <f>IF(Inventory_List_Table341115109111317181416192021222324[[#This Row],[Q]]&lt;0.1, " ",Inventory_List_Table341115109111317181416192021222324[[#This Row],[AQ USD]])</f>
        <v xml:space="preserve"> </v>
      </c>
      <c r="X5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2" s="30" t="str">
        <f>IF(Inventory_List_Table341115109111317181416192021222324[[#This Row],[Q]]&lt;0.1, " ",Inventory_List_Table341115109111317181416192021222324[[#This Row],[PRICE]]/Z52*10000)</f>
        <v xml:space="preserve"> </v>
      </c>
      <c r="AB52" s="538"/>
      <c r="AC52" s="1"/>
      <c r="AD52" s="1"/>
    </row>
    <row r="53" spans="1:30" ht="24" customHeight="1" x14ac:dyDescent="0.3">
      <c r="A53" s="532">
        <v>51</v>
      </c>
      <c r="B53" s="1"/>
      <c r="C53" s="533"/>
      <c r="D53" s="533"/>
      <c r="E53" s="533"/>
      <c r="F5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3" s="535"/>
      <c r="H53" s="535"/>
      <c r="I53" s="535"/>
      <c r="J53" s="535"/>
      <c r="K53" s="535"/>
      <c r="L53" s="537"/>
      <c r="M5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3" s="35" t="str">
        <f>IF(Inventory_List_Table341115109111317181416192021222324[[#This Row],[Q]]&lt;0.1, " ", Inventory_List_Table341115109111317181416192021222324[[#This Row],[KG]]*2.20462)</f>
        <v xml:space="preserve"> </v>
      </c>
      <c r="O53" s="35" t="str">
        <f>IF(Inventory_List_Table341115109111317181416192021222324[[#This Row],[Q]]&lt;0.1, " ",Inventory_List_Table341115109111317181416192021222324[[#This Row],[H CM]]/2.54)</f>
        <v xml:space="preserve"> </v>
      </c>
      <c r="P53" s="35" t="str">
        <f>IF(Inventory_List_Table341115109111317181416192021222324[[#This Row],[Q]]&lt;0.1, " ",Inventory_List_Table341115109111317181416192021222324[[#This Row],[W CM]]/2.54)</f>
        <v xml:space="preserve"> </v>
      </c>
      <c r="Q53" s="35" t="str">
        <f>IF(Inventory_List_Table341115109111317181416192021222324[[#This Row],[Q]]&lt;0.1, " ",Inventory_List_Table341115109111317181416192021222324[[#This Row],[D CM ]]/2.54)</f>
        <v xml:space="preserve"> </v>
      </c>
      <c r="R53" s="30" t="str">
        <f>IF(Inventory_List_Table341115109111317181416192021222324[[#This Row],[Q]]&lt;0.1, " ",Inventory_List_Table341115109111317181416192021222324[[#This Row],[PRICE]]/$L$1)</f>
        <v xml:space="preserve"> </v>
      </c>
      <c r="S5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3" s="30" t="str">
        <f>IF(Inventory_List_Table341115109111317181416192021222324[[#This Row],[Q]]&lt;0.1, " ",Inventory_List_Table341115109111317181416192021222324[[#This Row],[AQ RND USD]]*1.4)</f>
        <v xml:space="preserve"> </v>
      </c>
      <c r="U5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3" s="30" t="str">
        <f>IF(Inventory_List_Table341115109111317181416192021222324[[#This Row],[Q]]&lt;0.1, " ",Inventory_List_Table341115109111317181416192021222324[[#This Row],[LND RND USD]]*12)</f>
        <v xml:space="preserve"> </v>
      </c>
      <c r="W53" s="30" t="str">
        <f>IF(Inventory_List_Table341115109111317181416192021222324[[#This Row],[Q]]&lt;0.1, " ",Inventory_List_Table341115109111317181416192021222324[[#This Row],[AQ USD]])</f>
        <v xml:space="preserve"> </v>
      </c>
      <c r="X5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3" s="30" t="str">
        <f>IF(Inventory_List_Table341115109111317181416192021222324[[#This Row],[Q]]&lt;0.1, " ",Inventory_List_Table341115109111317181416192021222324[[#This Row],[PRICE]]/Z53*10000)</f>
        <v xml:space="preserve"> </v>
      </c>
      <c r="AB53" s="538"/>
      <c r="AC53" s="1"/>
      <c r="AD53" s="1"/>
    </row>
    <row r="54" spans="1:30" ht="24" customHeight="1" x14ac:dyDescent="0.3">
      <c r="A54" s="532">
        <v>52</v>
      </c>
      <c r="B54" s="1"/>
      <c r="C54" s="533"/>
      <c r="D54" s="533"/>
      <c r="E54" s="533"/>
      <c r="F5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4" s="535"/>
      <c r="H54" s="535"/>
      <c r="I54" s="535"/>
      <c r="J54" s="535"/>
      <c r="K54" s="535"/>
      <c r="L54" s="537"/>
      <c r="M5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4" s="35" t="str">
        <f>IF(Inventory_List_Table341115109111317181416192021222324[[#This Row],[Q]]&lt;0.1, " ", Inventory_List_Table341115109111317181416192021222324[[#This Row],[KG]]*2.20462)</f>
        <v xml:space="preserve"> </v>
      </c>
      <c r="O54" s="35" t="str">
        <f>IF(Inventory_List_Table341115109111317181416192021222324[[#This Row],[Q]]&lt;0.1, " ",Inventory_List_Table341115109111317181416192021222324[[#This Row],[H CM]]/2.54)</f>
        <v xml:space="preserve"> </v>
      </c>
      <c r="P54" s="35" t="str">
        <f>IF(Inventory_List_Table341115109111317181416192021222324[[#This Row],[Q]]&lt;0.1, " ",Inventory_List_Table341115109111317181416192021222324[[#This Row],[W CM]]/2.54)</f>
        <v xml:space="preserve"> </v>
      </c>
      <c r="Q54" s="35" t="str">
        <f>IF(Inventory_List_Table341115109111317181416192021222324[[#This Row],[Q]]&lt;0.1, " ",Inventory_List_Table341115109111317181416192021222324[[#This Row],[D CM ]]/2.54)</f>
        <v xml:space="preserve"> </v>
      </c>
      <c r="R54" s="30" t="str">
        <f>IF(Inventory_List_Table341115109111317181416192021222324[[#This Row],[Q]]&lt;0.1, " ",Inventory_List_Table341115109111317181416192021222324[[#This Row],[PRICE]]/$L$1)</f>
        <v xml:space="preserve"> </v>
      </c>
      <c r="S5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4" s="30" t="str">
        <f>IF(Inventory_List_Table341115109111317181416192021222324[[#This Row],[Q]]&lt;0.1, " ",Inventory_List_Table341115109111317181416192021222324[[#This Row],[AQ RND USD]]*1.4)</f>
        <v xml:space="preserve"> </v>
      </c>
      <c r="U5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4" s="30" t="str">
        <f>IF(Inventory_List_Table341115109111317181416192021222324[[#This Row],[Q]]&lt;0.1, " ",Inventory_List_Table341115109111317181416192021222324[[#This Row],[LND RND USD]]*12)</f>
        <v xml:space="preserve"> </v>
      </c>
      <c r="W54" s="30" t="str">
        <f>IF(Inventory_List_Table341115109111317181416192021222324[[#This Row],[Q]]&lt;0.1, " ",Inventory_List_Table341115109111317181416192021222324[[#This Row],[AQ USD]])</f>
        <v xml:space="preserve"> </v>
      </c>
      <c r="X5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4" s="30" t="str">
        <f>IF(Inventory_List_Table341115109111317181416192021222324[[#This Row],[Q]]&lt;0.1, " ",Inventory_List_Table341115109111317181416192021222324[[#This Row],[PRICE]]/Z54*10000)</f>
        <v xml:space="preserve"> </v>
      </c>
      <c r="AB54" s="538"/>
      <c r="AC54" s="1"/>
      <c r="AD54" s="1"/>
    </row>
    <row r="55" spans="1:30" ht="24" customHeight="1" x14ac:dyDescent="0.3">
      <c r="A55" s="532">
        <v>53</v>
      </c>
      <c r="B55" s="1"/>
      <c r="C55" s="533"/>
      <c r="D55" s="533"/>
      <c r="E55" s="533"/>
      <c r="F5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5" s="535"/>
      <c r="H55" s="535"/>
      <c r="I55" s="535"/>
      <c r="J55" s="535"/>
      <c r="K55" s="535"/>
      <c r="L55" s="537"/>
      <c r="M5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5" s="35" t="str">
        <f>IF(Inventory_List_Table341115109111317181416192021222324[[#This Row],[Q]]&lt;0.1, " ", Inventory_List_Table341115109111317181416192021222324[[#This Row],[KG]]*2.20462)</f>
        <v xml:space="preserve"> </v>
      </c>
      <c r="O55" s="35" t="str">
        <f>IF(Inventory_List_Table341115109111317181416192021222324[[#This Row],[Q]]&lt;0.1, " ",Inventory_List_Table341115109111317181416192021222324[[#This Row],[H CM]]/2.54)</f>
        <v xml:space="preserve"> </v>
      </c>
      <c r="P55" s="35" t="str">
        <f>IF(Inventory_List_Table341115109111317181416192021222324[[#This Row],[Q]]&lt;0.1, " ",Inventory_List_Table341115109111317181416192021222324[[#This Row],[W CM]]/2.54)</f>
        <v xml:space="preserve"> </v>
      </c>
      <c r="Q55" s="35" t="str">
        <f>IF(Inventory_List_Table341115109111317181416192021222324[[#This Row],[Q]]&lt;0.1, " ",Inventory_List_Table341115109111317181416192021222324[[#This Row],[D CM ]]/2.54)</f>
        <v xml:space="preserve"> </v>
      </c>
      <c r="R55" s="30" t="str">
        <f>IF(Inventory_List_Table341115109111317181416192021222324[[#This Row],[Q]]&lt;0.1, " ",Inventory_List_Table341115109111317181416192021222324[[#This Row],[PRICE]]/$L$1)</f>
        <v xml:space="preserve"> </v>
      </c>
      <c r="S5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5" s="30" t="str">
        <f>IF(Inventory_List_Table341115109111317181416192021222324[[#This Row],[Q]]&lt;0.1, " ",Inventory_List_Table341115109111317181416192021222324[[#This Row],[AQ RND USD]]*1.4)</f>
        <v xml:space="preserve"> </v>
      </c>
      <c r="U5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5" s="30" t="str">
        <f>IF(Inventory_List_Table341115109111317181416192021222324[[#This Row],[Q]]&lt;0.1, " ",Inventory_List_Table341115109111317181416192021222324[[#This Row],[LND RND USD]]*12)</f>
        <v xml:space="preserve"> </v>
      </c>
      <c r="W55" s="30" t="str">
        <f>IF(Inventory_List_Table341115109111317181416192021222324[[#This Row],[Q]]&lt;0.1, " ",Inventory_List_Table341115109111317181416192021222324[[#This Row],[AQ USD]])</f>
        <v xml:space="preserve"> </v>
      </c>
      <c r="X5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5" s="30" t="str">
        <f>IF(Inventory_List_Table341115109111317181416192021222324[[#This Row],[Q]]&lt;0.1, " ",Inventory_List_Table341115109111317181416192021222324[[#This Row],[PRICE]]/Z55*10000)</f>
        <v xml:space="preserve"> </v>
      </c>
      <c r="AB55" s="538"/>
      <c r="AC55" s="1"/>
      <c r="AD55" s="1"/>
    </row>
    <row r="56" spans="1:30" ht="24" customHeight="1" x14ac:dyDescent="0.3">
      <c r="A56" s="532">
        <v>54</v>
      </c>
      <c r="B56" s="1"/>
      <c r="C56" s="533"/>
      <c r="D56" s="533"/>
      <c r="E56" s="533"/>
      <c r="F5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6" s="535"/>
      <c r="H56" s="535"/>
      <c r="I56" s="535"/>
      <c r="J56" s="535"/>
      <c r="K56" s="535"/>
      <c r="L56" s="537"/>
      <c r="M5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6" s="35" t="str">
        <f>IF(Inventory_List_Table341115109111317181416192021222324[[#This Row],[Q]]&lt;0.1, " ", Inventory_List_Table341115109111317181416192021222324[[#This Row],[KG]]*2.20462)</f>
        <v xml:space="preserve"> </v>
      </c>
      <c r="O56" s="35" t="str">
        <f>IF(Inventory_List_Table341115109111317181416192021222324[[#This Row],[Q]]&lt;0.1, " ",Inventory_List_Table341115109111317181416192021222324[[#This Row],[H CM]]/2.54)</f>
        <v xml:space="preserve"> </v>
      </c>
      <c r="P56" s="35" t="str">
        <f>IF(Inventory_List_Table341115109111317181416192021222324[[#This Row],[Q]]&lt;0.1, " ",Inventory_List_Table341115109111317181416192021222324[[#This Row],[W CM]]/2.54)</f>
        <v xml:space="preserve"> </v>
      </c>
      <c r="Q56" s="35" t="str">
        <f>IF(Inventory_List_Table341115109111317181416192021222324[[#This Row],[Q]]&lt;0.1, " ",Inventory_List_Table341115109111317181416192021222324[[#This Row],[D CM ]]/2.54)</f>
        <v xml:space="preserve"> </v>
      </c>
      <c r="R56" s="30" t="str">
        <f>IF(Inventory_List_Table341115109111317181416192021222324[[#This Row],[Q]]&lt;0.1, " ",Inventory_List_Table341115109111317181416192021222324[[#This Row],[PRICE]]/$L$1)</f>
        <v xml:space="preserve"> </v>
      </c>
      <c r="S5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6" s="30" t="str">
        <f>IF(Inventory_List_Table341115109111317181416192021222324[[#This Row],[Q]]&lt;0.1, " ",Inventory_List_Table341115109111317181416192021222324[[#This Row],[AQ RND USD]]*1.4)</f>
        <v xml:space="preserve"> </v>
      </c>
      <c r="U5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6" s="30" t="str">
        <f>IF(Inventory_List_Table341115109111317181416192021222324[[#This Row],[Q]]&lt;0.1, " ",Inventory_List_Table341115109111317181416192021222324[[#This Row],[LND RND USD]]*12)</f>
        <v xml:space="preserve"> </v>
      </c>
      <c r="W56" s="30" t="str">
        <f>IF(Inventory_List_Table341115109111317181416192021222324[[#This Row],[Q]]&lt;0.1, " ",Inventory_List_Table341115109111317181416192021222324[[#This Row],[AQ USD]])</f>
        <v xml:space="preserve"> </v>
      </c>
      <c r="X5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6" s="30" t="str">
        <f>IF(Inventory_List_Table341115109111317181416192021222324[[#This Row],[Q]]&lt;0.1, " ",Inventory_List_Table341115109111317181416192021222324[[#This Row],[PRICE]]/Z56*10000)</f>
        <v xml:space="preserve"> </v>
      </c>
      <c r="AB56" s="538"/>
      <c r="AC56" s="1"/>
      <c r="AD56" s="1"/>
    </row>
    <row r="57" spans="1:30" ht="24" customHeight="1" x14ac:dyDescent="0.3">
      <c r="A57" s="532">
        <v>55</v>
      </c>
      <c r="B57" s="1"/>
      <c r="C57" s="533"/>
      <c r="D57" s="533"/>
      <c r="E57" s="533"/>
      <c r="F5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7" s="535"/>
      <c r="H57" s="535"/>
      <c r="I57" s="535"/>
      <c r="J57" s="535"/>
      <c r="K57" s="535"/>
      <c r="L57" s="537"/>
      <c r="M5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7" s="35" t="str">
        <f>IF(Inventory_List_Table341115109111317181416192021222324[[#This Row],[Q]]&lt;0.1, " ", Inventory_List_Table341115109111317181416192021222324[[#This Row],[KG]]*2.20462)</f>
        <v xml:space="preserve"> </v>
      </c>
      <c r="O57" s="35" t="str">
        <f>IF(Inventory_List_Table341115109111317181416192021222324[[#This Row],[Q]]&lt;0.1, " ",Inventory_List_Table341115109111317181416192021222324[[#This Row],[H CM]]/2.54)</f>
        <v xml:space="preserve"> </v>
      </c>
      <c r="P57" s="35" t="str">
        <f>IF(Inventory_List_Table341115109111317181416192021222324[[#This Row],[Q]]&lt;0.1, " ",Inventory_List_Table341115109111317181416192021222324[[#This Row],[W CM]]/2.54)</f>
        <v xml:space="preserve"> </v>
      </c>
      <c r="Q57" s="35" t="str">
        <f>IF(Inventory_List_Table341115109111317181416192021222324[[#This Row],[Q]]&lt;0.1, " ",Inventory_List_Table341115109111317181416192021222324[[#This Row],[D CM ]]/2.54)</f>
        <v xml:space="preserve"> </v>
      </c>
      <c r="R57" s="30" t="str">
        <f>IF(Inventory_List_Table341115109111317181416192021222324[[#This Row],[Q]]&lt;0.1, " ",Inventory_List_Table341115109111317181416192021222324[[#This Row],[PRICE]]/$L$1)</f>
        <v xml:space="preserve"> </v>
      </c>
      <c r="S5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7" s="30" t="str">
        <f>IF(Inventory_List_Table341115109111317181416192021222324[[#This Row],[Q]]&lt;0.1, " ",Inventory_List_Table341115109111317181416192021222324[[#This Row],[AQ RND USD]]*1.4)</f>
        <v xml:space="preserve"> </v>
      </c>
      <c r="U5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7" s="30" t="str">
        <f>IF(Inventory_List_Table341115109111317181416192021222324[[#This Row],[Q]]&lt;0.1, " ",Inventory_List_Table341115109111317181416192021222324[[#This Row],[LND RND USD]]*12)</f>
        <v xml:space="preserve"> </v>
      </c>
      <c r="W57" s="30" t="str">
        <f>IF(Inventory_List_Table341115109111317181416192021222324[[#This Row],[Q]]&lt;0.1, " ",Inventory_List_Table341115109111317181416192021222324[[#This Row],[AQ USD]])</f>
        <v xml:space="preserve"> </v>
      </c>
      <c r="X5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7" s="30" t="str">
        <f>IF(Inventory_List_Table341115109111317181416192021222324[[#This Row],[Q]]&lt;0.1, " ",Inventory_List_Table341115109111317181416192021222324[[#This Row],[PRICE]]/Z57*10000)</f>
        <v xml:space="preserve"> </v>
      </c>
      <c r="AB57" s="538"/>
      <c r="AC57" s="1"/>
      <c r="AD57" s="1"/>
    </row>
    <row r="58" spans="1:30" ht="24" customHeight="1" x14ac:dyDescent="0.3">
      <c r="A58" s="532">
        <v>56</v>
      </c>
      <c r="B58" s="1"/>
      <c r="C58" s="533"/>
      <c r="D58" s="533"/>
      <c r="E58" s="533"/>
      <c r="F5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8" s="535"/>
      <c r="H58" s="535"/>
      <c r="I58" s="535"/>
      <c r="J58" s="535"/>
      <c r="K58" s="535"/>
      <c r="L58" s="537"/>
      <c r="M5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8" s="35" t="str">
        <f>IF(Inventory_List_Table341115109111317181416192021222324[[#This Row],[Q]]&lt;0.1, " ", Inventory_List_Table341115109111317181416192021222324[[#This Row],[KG]]*2.20462)</f>
        <v xml:space="preserve"> </v>
      </c>
      <c r="O58" s="35" t="str">
        <f>IF(Inventory_List_Table341115109111317181416192021222324[[#This Row],[Q]]&lt;0.1, " ",Inventory_List_Table341115109111317181416192021222324[[#This Row],[H CM]]/2.54)</f>
        <v xml:space="preserve"> </v>
      </c>
      <c r="P58" s="35" t="str">
        <f>IF(Inventory_List_Table341115109111317181416192021222324[[#This Row],[Q]]&lt;0.1, " ",Inventory_List_Table341115109111317181416192021222324[[#This Row],[W CM]]/2.54)</f>
        <v xml:space="preserve"> </v>
      </c>
      <c r="Q58" s="35" t="str">
        <f>IF(Inventory_List_Table341115109111317181416192021222324[[#This Row],[Q]]&lt;0.1, " ",Inventory_List_Table341115109111317181416192021222324[[#This Row],[D CM ]]/2.54)</f>
        <v xml:space="preserve"> </v>
      </c>
      <c r="R58" s="30" t="str">
        <f>IF(Inventory_List_Table341115109111317181416192021222324[[#This Row],[Q]]&lt;0.1, " ",Inventory_List_Table341115109111317181416192021222324[[#This Row],[PRICE]]/$L$1)</f>
        <v xml:space="preserve"> </v>
      </c>
      <c r="S5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8" s="30" t="str">
        <f>IF(Inventory_List_Table341115109111317181416192021222324[[#This Row],[Q]]&lt;0.1, " ",Inventory_List_Table341115109111317181416192021222324[[#This Row],[AQ RND USD]]*1.4)</f>
        <v xml:space="preserve"> </v>
      </c>
      <c r="U5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8" s="30" t="str">
        <f>IF(Inventory_List_Table341115109111317181416192021222324[[#This Row],[Q]]&lt;0.1, " ",Inventory_List_Table341115109111317181416192021222324[[#This Row],[LND RND USD]]*12)</f>
        <v xml:space="preserve"> </v>
      </c>
      <c r="W58" s="30" t="str">
        <f>IF(Inventory_List_Table341115109111317181416192021222324[[#This Row],[Q]]&lt;0.1, " ",Inventory_List_Table341115109111317181416192021222324[[#This Row],[AQ USD]])</f>
        <v xml:space="preserve"> </v>
      </c>
      <c r="X5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8" s="30" t="str">
        <f>IF(Inventory_List_Table341115109111317181416192021222324[[#This Row],[Q]]&lt;0.1, " ",Inventory_List_Table341115109111317181416192021222324[[#This Row],[PRICE]]/Z58*10000)</f>
        <v xml:space="preserve"> </v>
      </c>
      <c r="AB58" s="538"/>
      <c r="AC58" s="1"/>
      <c r="AD58" s="1"/>
    </row>
    <row r="59" spans="1:30" ht="24" customHeight="1" x14ac:dyDescent="0.3">
      <c r="A59" s="532">
        <v>57</v>
      </c>
      <c r="B59" s="1"/>
      <c r="C59" s="533"/>
      <c r="D59" s="533"/>
      <c r="E59" s="533"/>
      <c r="F5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59" s="535"/>
      <c r="H59" s="535"/>
      <c r="I59" s="535"/>
      <c r="J59" s="535"/>
      <c r="K59" s="535"/>
      <c r="L59" s="537"/>
      <c r="M5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59" s="35" t="str">
        <f>IF(Inventory_List_Table341115109111317181416192021222324[[#This Row],[Q]]&lt;0.1, " ", Inventory_List_Table341115109111317181416192021222324[[#This Row],[KG]]*2.20462)</f>
        <v xml:space="preserve"> </v>
      </c>
      <c r="O59" s="35" t="str">
        <f>IF(Inventory_List_Table341115109111317181416192021222324[[#This Row],[Q]]&lt;0.1, " ",Inventory_List_Table341115109111317181416192021222324[[#This Row],[H CM]]/2.54)</f>
        <v xml:space="preserve"> </v>
      </c>
      <c r="P59" s="35" t="str">
        <f>IF(Inventory_List_Table341115109111317181416192021222324[[#This Row],[Q]]&lt;0.1, " ",Inventory_List_Table341115109111317181416192021222324[[#This Row],[W CM]]/2.54)</f>
        <v xml:space="preserve"> </v>
      </c>
      <c r="Q59" s="35" t="str">
        <f>IF(Inventory_List_Table341115109111317181416192021222324[[#This Row],[Q]]&lt;0.1, " ",Inventory_List_Table341115109111317181416192021222324[[#This Row],[D CM ]]/2.54)</f>
        <v xml:space="preserve"> </v>
      </c>
      <c r="R59" s="30" t="str">
        <f>IF(Inventory_List_Table341115109111317181416192021222324[[#This Row],[Q]]&lt;0.1, " ",Inventory_List_Table341115109111317181416192021222324[[#This Row],[PRICE]]/$L$1)</f>
        <v xml:space="preserve"> </v>
      </c>
      <c r="S5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59" s="30" t="str">
        <f>IF(Inventory_List_Table341115109111317181416192021222324[[#This Row],[Q]]&lt;0.1, " ",Inventory_List_Table341115109111317181416192021222324[[#This Row],[AQ RND USD]]*1.4)</f>
        <v xml:space="preserve"> </v>
      </c>
      <c r="U5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59" s="30" t="str">
        <f>IF(Inventory_List_Table341115109111317181416192021222324[[#This Row],[Q]]&lt;0.1, " ",Inventory_List_Table341115109111317181416192021222324[[#This Row],[LND RND USD]]*12)</f>
        <v xml:space="preserve"> </v>
      </c>
      <c r="W59" s="30" t="str">
        <f>IF(Inventory_List_Table341115109111317181416192021222324[[#This Row],[Q]]&lt;0.1, " ",Inventory_List_Table341115109111317181416192021222324[[#This Row],[AQ USD]])</f>
        <v xml:space="preserve"> </v>
      </c>
      <c r="X5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5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5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59" s="30" t="str">
        <f>IF(Inventory_List_Table341115109111317181416192021222324[[#This Row],[Q]]&lt;0.1, " ",Inventory_List_Table341115109111317181416192021222324[[#This Row],[PRICE]]/Z59*10000)</f>
        <v xml:space="preserve"> </v>
      </c>
      <c r="AB59" s="538"/>
      <c r="AC59" s="1"/>
      <c r="AD59" s="1"/>
    </row>
    <row r="60" spans="1:30" ht="24" customHeight="1" x14ac:dyDescent="0.3">
      <c r="A60" s="532">
        <v>58</v>
      </c>
      <c r="B60" s="1"/>
      <c r="C60" s="533"/>
      <c r="D60" s="533"/>
      <c r="E60" s="533"/>
      <c r="F6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0" s="535"/>
      <c r="H60" s="535"/>
      <c r="I60" s="535"/>
      <c r="J60" s="535"/>
      <c r="K60" s="535"/>
      <c r="L60" s="537"/>
      <c r="M6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0" s="35" t="str">
        <f>IF(Inventory_List_Table341115109111317181416192021222324[[#This Row],[Q]]&lt;0.1, " ", Inventory_List_Table341115109111317181416192021222324[[#This Row],[KG]]*2.20462)</f>
        <v xml:space="preserve"> </v>
      </c>
      <c r="O60" s="35" t="str">
        <f>IF(Inventory_List_Table341115109111317181416192021222324[[#This Row],[Q]]&lt;0.1, " ",Inventory_List_Table341115109111317181416192021222324[[#This Row],[H CM]]/2.54)</f>
        <v xml:space="preserve"> </v>
      </c>
      <c r="P60" s="35" t="str">
        <f>IF(Inventory_List_Table341115109111317181416192021222324[[#This Row],[Q]]&lt;0.1, " ",Inventory_List_Table341115109111317181416192021222324[[#This Row],[W CM]]/2.54)</f>
        <v xml:space="preserve"> </v>
      </c>
      <c r="Q60" s="35" t="str">
        <f>IF(Inventory_List_Table341115109111317181416192021222324[[#This Row],[Q]]&lt;0.1, " ",Inventory_List_Table341115109111317181416192021222324[[#This Row],[D CM ]]/2.54)</f>
        <v xml:space="preserve"> </v>
      </c>
      <c r="R60" s="30" t="str">
        <f>IF(Inventory_List_Table341115109111317181416192021222324[[#This Row],[Q]]&lt;0.1, " ",Inventory_List_Table341115109111317181416192021222324[[#This Row],[PRICE]]/$L$1)</f>
        <v xml:space="preserve"> </v>
      </c>
      <c r="S6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0" s="30" t="str">
        <f>IF(Inventory_List_Table341115109111317181416192021222324[[#This Row],[Q]]&lt;0.1, " ",Inventory_List_Table341115109111317181416192021222324[[#This Row],[AQ RND USD]]*1.4)</f>
        <v xml:space="preserve"> </v>
      </c>
      <c r="U6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0" s="30" t="str">
        <f>IF(Inventory_List_Table341115109111317181416192021222324[[#This Row],[Q]]&lt;0.1, " ",Inventory_List_Table341115109111317181416192021222324[[#This Row],[LND RND USD]]*12)</f>
        <v xml:space="preserve"> </v>
      </c>
      <c r="W60" s="30" t="str">
        <f>IF(Inventory_List_Table341115109111317181416192021222324[[#This Row],[Q]]&lt;0.1, " ",Inventory_List_Table341115109111317181416192021222324[[#This Row],[AQ USD]])</f>
        <v xml:space="preserve"> </v>
      </c>
      <c r="X6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0" s="30" t="str">
        <f>IF(Inventory_List_Table341115109111317181416192021222324[[#This Row],[Q]]&lt;0.1, " ",Inventory_List_Table341115109111317181416192021222324[[#This Row],[PRICE]]/Z60*10000)</f>
        <v xml:space="preserve"> </v>
      </c>
      <c r="AB60" s="538"/>
      <c r="AC60" s="1"/>
      <c r="AD60" s="1"/>
    </row>
    <row r="61" spans="1:30" ht="24" customHeight="1" x14ac:dyDescent="0.3">
      <c r="A61" s="532">
        <v>59</v>
      </c>
      <c r="B61" s="1"/>
      <c r="C61" s="533"/>
      <c r="D61" s="533"/>
      <c r="E61" s="533"/>
      <c r="F6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1" s="535"/>
      <c r="H61" s="535"/>
      <c r="I61" s="535"/>
      <c r="J61" s="535"/>
      <c r="K61" s="535"/>
      <c r="L61" s="537"/>
      <c r="M6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1" s="35" t="str">
        <f>IF(Inventory_List_Table341115109111317181416192021222324[[#This Row],[Q]]&lt;0.1, " ", Inventory_List_Table341115109111317181416192021222324[[#This Row],[KG]]*2.20462)</f>
        <v xml:space="preserve"> </v>
      </c>
      <c r="O61" s="35" t="str">
        <f>IF(Inventory_List_Table341115109111317181416192021222324[[#This Row],[Q]]&lt;0.1, " ",Inventory_List_Table341115109111317181416192021222324[[#This Row],[H CM]]/2.54)</f>
        <v xml:space="preserve"> </v>
      </c>
      <c r="P61" s="35" t="str">
        <f>IF(Inventory_List_Table341115109111317181416192021222324[[#This Row],[Q]]&lt;0.1, " ",Inventory_List_Table341115109111317181416192021222324[[#This Row],[W CM]]/2.54)</f>
        <v xml:space="preserve"> </v>
      </c>
      <c r="Q61" s="35" t="str">
        <f>IF(Inventory_List_Table341115109111317181416192021222324[[#This Row],[Q]]&lt;0.1, " ",Inventory_List_Table341115109111317181416192021222324[[#This Row],[D CM ]]/2.54)</f>
        <v xml:space="preserve"> </v>
      </c>
      <c r="R61" s="30" t="str">
        <f>IF(Inventory_List_Table341115109111317181416192021222324[[#This Row],[Q]]&lt;0.1, " ",Inventory_List_Table341115109111317181416192021222324[[#This Row],[PRICE]]/$L$1)</f>
        <v xml:space="preserve"> </v>
      </c>
      <c r="S6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1" s="30" t="str">
        <f>IF(Inventory_List_Table341115109111317181416192021222324[[#This Row],[Q]]&lt;0.1, " ",Inventory_List_Table341115109111317181416192021222324[[#This Row],[AQ RND USD]]*1.4)</f>
        <v xml:space="preserve"> </v>
      </c>
      <c r="U6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1" s="30" t="str">
        <f>IF(Inventory_List_Table341115109111317181416192021222324[[#This Row],[Q]]&lt;0.1, " ",Inventory_List_Table341115109111317181416192021222324[[#This Row],[LND RND USD]]*12)</f>
        <v xml:space="preserve"> </v>
      </c>
      <c r="W61" s="30" t="str">
        <f>IF(Inventory_List_Table341115109111317181416192021222324[[#This Row],[Q]]&lt;0.1, " ",Inventory_List_Table341115109111317181416192021222324[[#This Row],[AQ USD]])</f>
        <v xml:space="preserve"> </v>
      </c>
      <c r="X6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1" s="30" t="str">
        <f>IF(Inventory_List_Table341115109111317181416192021222324[[#This Row],[Q]]&lt;0.1, " ",Inventory_List_Table341115109111317181416192021222324[[#This Row],[PRICE]]/Z61*10000)</f>
        <v xml:space="preserve"> </v>
      </c>
      <c r="AB61" s="538"/>
      <c r="AC61" s="1"/>
      <c r="AD61" s="1"/>
    </row>
    <row r="62" spans="1:30" ht="24" customHeight="1" x14ac:dyDescent="0.3">
      <c r="A62" s="532">
        <v>60</v>
      </c>
      <c r="B62" s="1"/>
      <c r="C62" s="533"/>
      <c r="D62" s="533"/>
      <c r="E62" s="533"/>
      <c r="F6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2" s="535"/>
      <c r="H62" s="535"/>
      <c r="I62" s="535"/>
      <c r="J62" s="535"/>
      <c r="K62" s="535"/>
      <c r="L62" s="537"/>
      <c r="M6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2" s="35" t="str">
        <f>IF(Inventory_List_Table341115109111317181416192021222324[[#This Row],[Q]]&lt;0.1, " ", Inventory_List_Table341115109111317181416192021222324[[#This Row],[KG]]*2.20462)</f>
        <v xml:space="preserve"> </v>
      </c>
      <c r="O62" s="35" t="str">
        <f>IF(Inventory_List_Table341115109111317181416192021222324[[#This Row],[Q]]&lt;0.1, " ",Inventory_List_Table341115109111317181416192021222324[[#This Row],[H CM]]/2.54)</f>
        <v xml:space="preserve"> </v>
      </c>
      <c r="P62" s="35" t="str">
        <f>IF(Inventory_List_Table341115109111317181416192021222324[[#This Row],[Q]]&lt;0.1, " ",Inventory_List_Table341115109111317181416192021222324[[#This Row],[W CM]]/2.54)</f>
        <v xml:space="preserve"> </v>
      </c>
      <c r="Q62" s="35" t="str">
        <f>IF(Inventory_List_Table341115109111317181416192021222324[[#This Row],[Q]]&lt;0.1, " ",Inventory_List_Table341115109111317181416192021222324[[#This Row],[D CM ]]/2.54)</f>
        <v xml:space="preserve"> </v>
      </c>
      <c r="R62" s="30" t="str">
        <f>IF(Inventory_List_Table341115109111317181416192021222324[[#This Row],[Q]]&lt;0.1, " ",Inventory_List_Table341115109111317181416192021222324[[#This Row],[PRICE]]/$L$1)</f>
        <v xml:space="preserve"> </v>
      </c>
      <c r="S6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2" s="30" t="str">
        <f>IF(Inventory_List_Table341115109111317181416192021222324[[#This Row],[Q]]&lt;0.1, " ",Inventory_List_Table341115109111317181416192021222324[[#This Row],[AQ RND USD]]*1.4)</f>
        <v xml:space="preserve"> </v>
      </c>
      <c r="U6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2" s="30" t="str">
        <f>IF(Inventory_List_Table341115109111317181416192021222324[[#This Row],[Q]]&lt;0.1, " ",Inventory_List_Table341115109111317181416192021222324[[#This Row],[LND RND USD]]*12)</f>
        <v xml:space="preserve"> </v>
      </c>
      <c r="W62" s="30" t="str">
        <f>IF(Inventory_List_Table341115109111317181416192021222324[[#This Row],[Q]]&lt;0.1, " ",Inventory_List_Table341115109111317181416192021222324[[#This Row],[AQ USD]])</f>
        <v xml:space="preserve"> </v>
      </c>
      <c r="X6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2" s="30" t="str">
        <f>IF(Inventory_List_Table341115109111317181416192021222324[[#This Row],[Q]]&lt;0.1, " ",Inventory_List_Table341115109111317181416192021222324[[#This Row],[PRICE]]/Z62*10000)</f>
        <v xml:space="preserve"> </v>
      </c>
      <c r="AB62" s="538"/>
      <c r="AC62" s="1"/>
      <c r="AD62" s="1"/>
    </row>
    <row r="63" spans="1:30" ht="24" customHeight="1" x14ac:dyDescent="0.3">
      <c r="A63" s="532">
        <v>61</v>
      </c>
      <c r="B63" s="1"/>
      <c r="C63" s="533"/>
      <c r="D63" s="533"/>
      <c r="E63" s="533"/>
      <c r="F6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3" s="535"/>
      <c r="H63" s="535"/>
      <c r="I63" s="535"/>
      <c r="J63" s="535"/>
      <c r="K63" s="535"/>
      <c r="L63" s="537"/>
      <c r="M6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3" s="35" t="str">
        <f>IF(Inventory_List_Table341115109111317181416192021222324[[#This Row],[Q]]&lt;0.1, " ", Inventory_List_Table341115109111317181416192021222324[[#This Row],[KG]]*2.20462)</f>
        <v xml:space="preserve"> </v>
      </c>
      <c r="O63" s="35" t="str">
        <f>IF(Inventory_List_Table341115109111317181416192021222324[[#This Row],[Q]]&lt;0.1, " ",Inventory_List_Table341115109111317181416192021222324[[#This Row],[H CM]]/2.54)</f>
        <v xml:space="preserve"> </v>
      </c>
      <c r="P63" s="35" t="str">
        <f>IF(Inventory_List_Table341115109111317181416192021222324[[#This Row],[Q]]&lt;0.1, " ",Inventory_List_Table341115109111317181416192021222324[[#This Row],[W CM]]/2.54)</f>
        <v xml:space="preserve"> </v>
      </c>
      <c r="Q63" s="35" t="str">
        <f>IF(Inventory_List_Table341115109111317181416192021222324[[#This Row],[Q]]&lt;0.1, " ",Inventory_List_Table341115109111317181416192021222324[[#This Row],[D CM ]]/2.54)</f>
        <v xml:space="preserve"> </v>
      </c>
      <c r="R63" s="30" t="str">
        <f>IF(Inventory_List_Table341115109111317181416192021222324[[#This Row],[Q]]&lt;0.1, " ",Inventory_List_Table341115109111317181416192021222324[[#This Row],[PRICE]]/$L$1)</f>
        <v xml:space="preserve"> </v>
      </c>
      <c r="S6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3" s="30" t="str">
        <f>IF(Inventory_List_Table341115109111317181416192021222324[[#This Row],[Q]]&lt;0.1, " ",Inventory_List_Table341115109111317181416192021222324[[#This Row],[AQ RND USD]]*1.4)</f>
        <v xml:space="preserve"> </v>
      </c>
      <c r="U6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3" s="30" t="str">
        <f>IF(Inventory_List_Table341115109111317181416192021222324[[#This Row],[Q]]&lt;0.1, " ",Inventory_List_Table341115109111317181416192021222324[[#This Row],[LND RND USD]]*12)</f>
        <v xml:space="preserve"> </v>
      </c>
      <c r="W63" s="30" t="str">
        <f>IF(Inventory_List_Table341115109111317181416192021222324[[#This Row],[Q]]&lt;0.1, " ",Inventory_List_Table341115109111317181416192021222324[[#This Row],[AQ USD]])</f>
        <v xml:space="preserve"> </v>
      </c>
      <c r="X6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3" s="30" t="str">
        <f>IF(Inventory_List_Table341115109111317181416192021222324[[#This Row],[Q]]&lt;0.1, " ",Inventory_List_Table341115109111317181416192021222324[[#This Row],[PRICE]]/Z63*10000)</f>
        <v xml:space="preserve"> </v>
      </c>
      <c r="AB63" s="538"/>
      <c r="AC63" s="1"/>
      <c r="AD63" s="1"/>
    </row>
    <row r="64" spans="1:30" ht="24" customHeight="1" x14ac:dyDescent="0.3">
      <c r="A64" s="532">
        <v>62</v>
      </c>
      <c r="B64" s="1"/>
      <c r="C64" s="533"/>
      <c r="D64" s="533"/>
      <c r="E64" s="533"/>
      <c r="F6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4" s="535"/>
      <c r="H64" s="535"/>
      <c r="I64" s="535"/>
      <c r="J64" s="535"/>
      <c r="K64" s="535"/>
      <c r="L64" s="537"/>
      <c r="M6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4" s="35" t="str">
        <f>IF(Inventory_List_Table341115109111317181416192021222324[[#This Row],[Q]]&lt;0.1, " ", Inventory_List_Table341115109111317181416192021222324[[#This Row],[KG]]*2.20462)</f>
        <v xml:space="preserve"> </v>
      </c>
      <c r="O64" s="35" t="str">
        <f>IF(Inventory_List_Table341115109111317181416192021222324[[#This Row],[Q]]&lt;0.1, " ",Inventory_List_Table341115109111317181416192021222324[[#This Row],[H CM]]/2.54)</f>
        <v xml:space="preserve"> </v>
      </c>
      <c r="P64" s="35" t="str">
        <f>IF(Inventory_List_Table341115109111317181416192021222324[[#This Row],[Q]]&lt;0.1, " ",Inventory_List_Table341115109111317181416192021222324[[#This Row],[W CM]]/2.54)</f>
        <v xml:space="preserve"> </v>
      </c>
      <c r="Q64" s="35" t="str">
        <f>IF(Inventory_List_Table341115109111317181416192021222324[[#This Row],[Q]]&lt;0.1, " ",Inventory_List_Table341115109111317181416192021222324[[#This Row],[D CM ]]/2.54)</f>
        <v xml:space="preserve"> </v>
      </c>
      <c r="R64" s="30" t="str">
        <f>IF(Inventory_List_Table341115109111317181416192021222324[[#This Row],[Q]]&lt;0.1, " ",Inventory_List_Table341115109111317181416192021222324[[#This Row],[PRICE]]/$L$1)</f>
        <v xml:space="preserve"> </v>
      </c>
      <c r="S6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4" s="30" t="str">
        <f>IF(Inventory_List_Table341115109111317181416192021222324[[#This Row],[Q]]&lt;0.1, " ",Inventory_List_Table341115109111317181416192021222324[[#This Row],[AQ RND USD]]*1.4)</f>
        <v xml:space="preserve"> </v>
      </c>
      <c r="U6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4" s="30" t="str">
        <f>IF(Inventory_List_Table341115109111317181416192021222324[[#This Row],[Q]]&lt;0.1, " ",Inventory_List_Table341115109111317181416192021222324[[#This Row],[LND RND USD]]*12)</f>
        <v xml:space="preserve"> </v>
      </c>
      <c r="W64" s="30" t="str">
        <f>IF(Inventory_List_Table341115109111317181416192021222324[[#This Row],[Q]]&lt;0.1, " ",Inventory_List_Table341115109111317181416192021222324[[#This Row],[AQ USD]])</f>
        <v xml:space="preserve"> </v>
      </c>
      <c r="X6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4" s="30" t="str">
        <f>IF(Inventory_List_Table341115109111317181416192021222324[[#This Row],[Q]]&lt;0.1, " ",Inventory_List_Table341115109111317181416192021222324[[#This Row],[PRICE]]/Z64*10000)</f>
        <v xml:space="preserve"> </v>
      </c>
      <c r="AB64" s="538"/>
      <c r="AC64" s="1"/>
      <c r="AD64" s="1"/>
    </row>
    <row r="65" spans="1:30" ht="24" customHeight="1" x14ac:dyDescent="0.3">
      <c r="A65" s="532">
        <v>63</v>
      </c>
      <c r="B65" s="1"/>
      <c r="C65" s="533"/>
      <c r="D65" s="533"/>
      <c r="E65" s="533"/>
      <c r="F6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5" s="535"/>
      <c r="H65" s="535"/>
      <c r="I65" s="535"/>
      <c r="J65" s="535"/>
      <c r="K65" s="535"/>
      <c r="L65" s="537"/>
      <c r="M6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5" s="35" t="str">
        <f>IF(Inventory_List_Table341115109111317181416192021222324[[#This Row],[Q]]&lt;0.1, " ", Inventory_List_Table341115109111317181416192021222324[[#This Row],[KG]]*2.20462)</f>
        <v xml:space="preserve"> </v>
      </c>
      <c r="O65" s="35" t="str">
        <f>IF(Inventory_List_Table341115109111317181416192021222324[[#This Row],[Q]]&lt;0.1, " ",Inventory_List_Table341115109111317181416192021222324[[#This Row],[H CM]]/2.54)</f>
        <v xml:space="preserve"> </v>
      </c>
      <c r="P65" s="35" t="str">
        <f>IF(Inventory_List_Table341115109111317181416192021222324[[#This Row],[Q]]&lt;0.1, " ",Inventory_List_Table341115109111317181416192021222324[[#This Row],[W CM]]/2.54)</f>
        <v xml:space="preserve"> </v>
      </c>
      <c r="Q65" s="35" t="str">
        <f>IF(Inventory_List_Table341115109111317181416192021222324[[#This Row],[Q]]&lt;0.1, " ",Inventory_List_Table341115109111317181416192021222324[[#This Row],[D CM ]]/2.54)</f>
        <v xml:space="preserve"> </v>
      </c>
      <c r="R65" s="30" t="str">
        <f>IF(Inventory_List_Table341115109111317181416192021222324[[#This Row],[Q]]&lt;0.1, " ",Inventory_List_Table341115109111317181416192021222324[[#This Row],[PRICE]]/$L$1)</f>
        <v xml:space="preserve"> </v>
      </c>
      <c r="S6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5" s="30" t="str">
        <f>IF(Inventory_List_Table341115109111317181416192021222324[[#This Row],[Q]]&lt;0.1, " ",Inventory_List_Table341115109111317181416192021222324[[#This Row],[AQ RND USD]]*1.4)</f>
        <v xml:space="preserve"> </v>
      </c>
      <c r="U6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5" s="30" t="str">
        <f>IF(Inventory_List_Table341115109111317181416192021222324[[#This Row],[Q]]&lt;0.1, " ",Inventory_List_Table341115109111317181416192021222324[[#This Row],[LND RND USD]]*12)</f>
        <v xml:space="preserve"> </v>
      </c>
      <c r="W65" s="30" t="str">
        <f>IF(Inventory_List_Table341115109111317181416192021222324[[#This Row],[Q]]&lt;0.1, " ",Inventory_List_Table341115109111317181416192021222324[[#This Row],[AQ USD]])</f>
        <v xml:space="preserve"> </v>
      </c>
      <c r="X6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5" s="30" t="str">
        <f>IF(Inventory_List_Table341115109111317181416192021222324[[#This Row],[Q]]&lt;0.1, " ",Inventory_List_Table341115109111317181416192021222324[[#This Row],[PRICE]]/Z65*10000)</f>
        <v xml:space="preserve"> </v>
      </c>
      <c r="AB65" s="538"/>
      <c r="AC65" s="1"/>
      <c r="AD65" s="1"/>
    </row>
    <row r="66" spans="1:30" ht="24" customHeight="1" x14ac:dyDescent="0.3">
      <c r="A66" s="532">
        <v>64</v>
      </c>
      <c r="B66" s="1"/>
      <c r="C66" s="533"/>
      <c r="D66" s="533"/>
      <c r="E66" s="533"/>
      <c r="F6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6" s="535"/>
      <c r="H66" s="535"/>
      <c r="I66" s="535"/>
      <c r="J66" s="535"/>
      <c r="K66" s="535"/>
      <c r="L66" s="537"/>
      <c r="M6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6" s="35" t="str">
        <f>IF(Inventory_List_Table341115109111317181416192021222324[[#This Row],[Q]]&lt;0.1, " ", Inventory_List_Table341115109111317181416192021222324[[#This Row],[KG]]*2.20462)</f>
        <v xml:space="preserve"> </v>
      </c>
      <c r="O66" s="35" t="str">
        <f>IF(Inventory_List_Table341115109111317181416192021222324[[#This Row],[Q]]&lt;0.1, " ",Inventory_List_Table341115109111317181416192021222324[[#This Row],[H CM]]/2.54)</f>
        <v xml:space="preserve"> </v>
      </c>
      <c r="P66" s="35" t="str">
        <f>IF(Inventory_List_Table341115109111317181416192021222324[[#This Row],[Q]]&lt;0.1, " ",Inventory_List_Table341115109111317181416192021222324[[#This Row],[W CM]]/2.54)</f>
        <v xml:space="preserve"> </v>
      </c>
      <c r="Q66" s="35" t="str">
        <f>IF(Inventory_List_Table341115109111317181416192021222324[[#This Row],[Q]]&lt;0.1, " ",Inventory_List_Table341115109111317181416192021222324[[#This Row],[D CM ]]/2.54)</f>
        <v xml:space="preserve"> </v>
      </c>
      <c r="R66" s="30" t="str">
        <f>IF(Inventory_List_Table341115109111317181416192021222324[[#This Row],[Q]]&lt;0.1, " ",Inventory_List_Table341115109111317181416192021222324[[#This Row],[PRICE]]/$L$1)</f>
        <v xml:space="preserve"> </v>
      </c>
      <c r="S6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6" s="30" t="str">
        <f>IF(Inventory_List_Table341115109111317181416192021222324[[#This Row],[Q]]&lt;0.1, " ",Inventory_List_Table341115109111317181416192021222324[[#This Row],[AQ RND USD]]*1.4)</f>
        <v xml:space="preserve"> </v>
      </c>
      <c r="U6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6" s="30" t="str">
        <f>IF(Inventory_List_Table341115109111317181416192021222324[[#This Row],[Q]]&lt;0.1, " ",Inventory_List_Table341115109111317181416192021222324[[#This Row],[LND RND USD]]*12)</f>
        <v xml:space="preserve"> </v>
      </c>
      <c r="W66" s="30" t="str">
        <f>IF(Inventory_List_Table341115109111317181416192021222324[[#This Row],[Q]]&lt;0.1, " ",Inventory_List_Table341115109111317181416192021222324[[#This Row],[AQ USD]])</f>
        <v xml:space="preserve"> </v>
      </c>
      <c r="X6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6" s="30" t="str">
        <f>IF(Inventory_List_Table341115109111317181416192021222324[[#This Row],[Q]]&lt;0.1, " ",Inventory_List_Table341115109111317181416192021222324[[#This Row],[PRICE]]/Z66*10000)</f>
        <v xml:space="preserve"> </v>
      </c>
      <c r="AB66" s="538"/>
      <c r="AC66" s="1"/>
      <c r="AD66" s="1"/>
    </row>
    <row r="67" spans="1:30" ht="24" customHeight="1" x14ac:dyDescent="0.3">
      <c r="A67" s="532">
        <v>65</v>
      </c>
      <c r="B67" s="1"/>
      <c r="C67" s="533"/>
      <c r="D67" s="533"/>
      <c r="E67" s="533"/>
      <c r="F6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7" s="535"/>
      <c r="H67" s="535"/>
      <c r="I67" s="535"/>
      <c r="J67" s="535"/>
      <c r="K67" s="535"/>
      <c r="L67" s="537"/>
      <c r="M6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7" s="35" t="str">
        <f>IF(Inventory_List_Table341115109111317181416192021222324[[#This Row],[Q]]&lt;0.1, " ", Inventory_List_Table341115109111317181416192021222324[[#This Row],[KG]]*2.20462)</f>
        <v xml:space="preserve"> </v>
      </c>
      <c r="O67" s="35" t="str">
        <f>IF(Inventory_List_Table341115109111317181416192021222324[[#This Row],[Q]]&lt;0.1, " ",Inventory_List_Table341115109111317181416192021222324[[#This Row],[H CM]]/2.54)</f>
        <v xml:space="preserve"> </v>
      </c>
      <c r="P67" s="35" t="str">
        <f>IF(Inventory_List_Table341115109111317181416192021222324[[#This Row],[Q]]&lt;0.1, " ",Inventory_List_Table341115109111317181416192021222324[[#This Row],[W CM]]/2.54)</f>
        <v xml:space="preserve"> </v>
      </c>
      <c r="Q67" s="35" t="str">
        <f>IF(Inventory_List_Table341115109111317181416192021222324[[#This Row],[Q]]&lt;0.1, " ",Inventory_List_Table341115109111317181416192021222324[[#This Row],[D CM ]]/2.54)</f>
        <v xml:space="preserve"> </v>
      </c>
      <c r="R67" s="30" t="str">
        <f>IF(Inventory_List_Table341115109111317181416192021222324[[#This Row],[Q]]&lt;0.1, " ",Inventory_List_Table341115109111317181416192021222324[[#This Row],[PRICE]]/$L$1)</f>
        <v xml:space="preserve"> </v>
      </c>
      <c r="S6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7" s="30" t="str">
        <f>IF(Inventory_List_Table341115109111317181416192021222324[[#This Row],[Q]]&lt;0.1, " ",Inventory_List_Table341115109111317181416192021222324[[#This Row],[AQ RND USD]]*1.4)</f>
        <v xml:space="preserve"> </v>
      </c>
      <c r="U6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7" s="30" t="str">
        <f>IF(Inventory_List_Table341115109111317181416192021222324[[#This Row],[Q]]&lt;0.1, " ",Inventory_List_Table341115109111317181416192021222324[[#This Row],[LND RND USD]]*12)</f>
        <v xml:space="preserve"> </v>
      </c>
      <c r="W67" s="30" t="str">
        <f>IF(Inventory_List_Table341115109111317181416192021222324[[#This Row],[Q]]&lt;0.1, " ",Inventory_List_Table341115109111317181416192021222324[[#This Row],[AQ USD]])</f>
        <v xml:space="preserve"> </v>
      </c>
      <c r="X6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7" s="30" t="str">
        <f>IF(Inventory_List_Table341115109111317181416192021222324[[#This Row],[Q]]&lt;0.1, " ",Inventory_List_Table341115109111317181416192021222324[[#This Row],[PRICE]]/Z67*10000)</f>
        <v xml:space="preserve"> </v>
      </c>
      <c r="AB67" s="538"/>
      <c r="AC67" s="1"/>
      <c r="AD67" s="1"/>
    </row>
    <row r="68" spans="1:30" ht="24" customHeight="1" x14ac:dyDescent="0.3">
      <c r="A68" s="532">
        <v>66</v>
      </c>
      <c r="B68" s="1"/>
      <c r="C68" s="533"/>
      <c r="D68" s="533"/>
      <c r="E68" s="533"/>
      <c r="F6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8" s="535"/>
      <c r="H68" s="535"/>
      <c r="I68" s="535"/>
      <c r="J68" s="535"/>
      <c r="K68" s="535"/>
      <c r="L68" s="537"/>
      <c r="M6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8" s="35" t="str">
        <f>IF(Inventory_List_Table341115109111317181416192021222324[[#This Row],[Q]]&lt;0.1, " ", Inventory_List_Table341115109111317181416192021222324[[#This Row],[KG]]*2.20462)</f>
        <v xml:space="preserve"> </v>
      </c>
      <c r="O68" s="35" t="str">
        <f>IF(Inventory_List_Table341115109111317181416192021222324[[#This Row],[Q]]&lt;0.1, " ",Inventory_List_Table341115109111317181416192021222324[[#This Row],[H CM]]/2.54)</f>
        <v xml:space="preserve"> </v>
      </c>
      <c r="P68" s="35" t="str">
        <f>IF(Inventory_List_Table341115109111317181416192021222324[[#This Row],[Q]]&lt;0.1, " ",Inventory_List_Table341115109111317181416192021222324[[#This Row],[W CM]]/2.54)</f>
        <v xml:space="preserve"> </v>
      </c>
      <c r="Q68" s="35" t="str">
        <f>IF(Inventory_List_Table341115109111317181416192021222324[[#This Row],[Q]]&lt;0.1, " ",Inventory_List_Table341115109111317181416192021222324[[#This Row],[D CM ]]/2.54)</f>
        <v xml:space="preserve"> </v>
      </c>
      <c r="R68" s="30" t="str">
        <f>IF(Inventory_List_Table341115109111317181416192021222324[[#This Row],[Q]]&lt;0.1, " ",Inventory_List_Table341115109111317181416192021222324[[#This Row],[PRICE]]/$L$1)</f>
        <v xml:space="preserve"> </v>
      </c>
      <c r="S6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8" s="30" t="str">
        <f>IF(Inventory_List_Table341115109111317181416192021222324[[#This Row],[Q]]&lt;0.1, " ",Inventory_List_Table341115109111317181416192021222324[[#This Row],[AQ RND USD]]*1.4)</f>
        <v xml:space="preserve"> </v>
      </c>
      <c r="U6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8" s="30" t="str">
        <f>IF(Inventory_List_Table341115109111317181416192021222324[[#This Row],[Q]]&lt;0.1, " ",Inventory_List_Table341115109111317181416192021222324[[#This Row],[LND RND USD]]*12)</f>
        <v xml:space="preserve"> </v>
      </c>
      <c r="W68" s="30" t="str">
        <f>IF(Inventory_List_Table341115109111317181416192021222324[[#This Row],[Q]]&lt;0.1, " ",Inventory_List_Table341115109111317181416192021222324[[#This Row],[AQ USD]])</f>
        <v xml:space="preserve"> </v>
      </c>
      <c r="X6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8" s="30" t="str">
        <f>IF(Inventory_List_Table341115109111317181416192021222324[[#This Row],[Q]]&lt;0.1, " ",Inventory_List_Table341115109111317181416192021222324[[#This Row],[PRICE]]/Z68*10000)</f>
        <v xml:space="preserve"> </v>
      </c>
      <c r="AB68" s="538"/>
      <c r="AC68" s="1"/>
      <c r="AD68" s="1"/>
    </row>
    <row r="69" spans="1:30" ht="24" customHeight="1" x14ac:dyDescent="0.3">
      <c r="A69" s="532">
        <v>67</v>
      </c>
      <c r="B69" s="1"/>
      <c r="C69" s="533"/>
      <c r="D69" s="533"/>
      <c r="E69" s="533"/>
      <c r="F6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69" s="535"/>
      <c r="H69" s="535"/>
      <c r="I69" s="535"/>
      <c r="J69" s="535"/>
      <c r="K69" s="535"/>
      <c r="L69" s="537"/>
      <c r="M6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69" s="35" t="str">
        <f>IF(Inventory_List_Table341115109111317181416192021222324[[#This Row],[Q]]&lt;0.1, " ", Inventory_List_Table341115109111317181416192021222324[[#This Row],[KG]]*2.20462)</f>
        <v xml:space="preserve"> </v>
      </c>
      <c r="O69" s="35" t="str">
        <f>IF(Inventory_List_Table341115109111317181416192021222324[[#This Row],[Q]]&lt;0.1, " ",Inventory_List_Table341115109111317181416192021222324[[#This Row],[H CM]]/2.54)</f>
        <v xml:space="preserve"> </v>
      </c>
      <c r="P69" s="35" t="str">
        <f>IF(Inventory_List_Table341115109111317181416192021222324[[#This Row],[Q]]&lt;0.1, " ",Inventory_List_Table341115109111317181416192021222324[[#This Row],[W CM]]/2.54)</f>
        <v xml:space="preserve"> </v>
      </c>
      <c r="Q69" s="35" t="str">
        <f>IF(Inventory_List_Table341115109111317181416192021222324[[#This Row],[Q]]&lt;0.1, " ",Inventory_List_Table341115109111317181416192021222324[[#This Row],[D CM ]]/2.54)</f>
        <v xml:space="preserve"> </v>
      </c>
      <c r="R69" s="30" t="str">
        <f>IF(Inventory_List_Table341115109111317181416192021222324[[#This Row],[Q]]&lt;0.1, " ",Inventory_List_Table341115109111317181416192021222324[[#This Row],[PRICE]]/$L$1)</f>
        <v xml:space="preserve"> </v>
      </c>
      <c r="S6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69" s="30" t="str">
        <f>IF(Inventory_List_Table341115109111317181416192021222324[[#This Row],[Q]]&lt;0.1, " ",Inventory_List_Table341115109111317181416192021222324[[#This Row],[AQ RND USD]]*1.4)</f>
        <v xml:space="preserve"> </v>
      </c>
      <c r="U6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69" s="30" t="str">
        <f>IF(Inventory_List_Table341115109111317181416192021222324[[#This Row],[Q]]&lt;0.1, " ",Inventory_List_Table341115109111317181416192021222324[[#This Row],[LND RND USD]]*12)</f>
        <v xml:space="preserve"> </v>
      </c>
      <c r="W69" s="30" t="str">
        <f>IF(Inventory_List_Table341115109111317181416192021222324[[#This Row],[Q]]&lt;0.1, " ",Inventory_List_Table341115109111317181416192021222324[[#This Row],[AQ USD]])</f>
        <v xml:space="preserve"> </v>
      </c>
      <c r="X6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6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6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69" s="30" t="str">
        <f>IF(Inventory_List_Table341115109111317181416192021222324[[#This Row],[Q]]&lt;0.1, " ",Inventory_List_Table341115109111317181416192021222324[[#This Row],[PRICE]]/Z69*10000)</f>
        <v xml:space="preserve"> </v>
      </c>
      <c r="AB69" s="538"/>
      <c r="AC69" s="1"/>
      <c r="AD69" s="1"/>
    </row>
    <row r="70" spans="1:30" ht="24" customHeight="1" x14ac:dyDescent="0.3">
      <c r="A70" s="532">
        <v>68</v>
      </c>
      <c r="B70" s="1"/>
      <c r="C70" s="533"/>
      <c r="D70" s="533"/>
      <c r="E70" s="533"/>
      <c r="F7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0" s="535"/>
      <c r="H70" s="535"/>
      <c r="I70" s="535"/>
      <c r="J70" s="535"/>
      <c r="K70" s="535"/>
      <c r="L70" s="537"/>
      <c r="M7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0" s="35" t="str">
        <f>IF(Inventory_List_Table341115109111317181416192021222324[[#This Row],[Q]]&lt;0.1, " ", Inventory_List_Table341115109111317181416192021222324[[#This Row],[KG]]*2.20462)</f>
        <v xml:space="preserve"> </v>
      </c>
      <c r="O70" s="35" t="str">
        <f>IF(Inventory_List_Table341115109111317181416192021222324[[#This Row],[Q]]&lt;0.1, " ",Inventory_List_Table341115109111317181416192021222324[[#This Row],[H CM]]/2.54)</f>
        <v xml:space="preserve"> </v>
      </c>
      <c r="P70" s="35" t="str">
        <f>IF(Inventory_List_Table341115109111317181416192021222324[[#This Row],[Q]]&lt;0.1, " ",Inventory_List_Table341115109111317181416192021222324[[#This Row],[W CM]]/2.54)</f>
        <v xml:space="preserve"> </v>
      </c>
      <c r="Q70" s="35" t="str">
        <f>IF(Inventory_List_Table341115109111317181416192021222324[[#This Row],[Q]]&lt;0.1, " ",Inventory_List_Table341115109111317181416192021222324[[#This Row],[D CM ]]/2.54)</f>
        <v xml:space="preserve"> </v>
      </c>
      <c r="R70" s="30" t="str">
        <f>IF(Inventory_List_Table341115109111317181416192021222324[[#This Row],[Q]]&lt;0.1, " ",Inventory_List_Table341115109111317181416192021222324[[#This Row],[PRICE]]/$L$1)</f>
        <v xml:space="preserve"> </v>
      </c>
      <c r="S7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0" s="30" t="str">
        <f>IF(Inventory_List_Table341115109111317181416192021222324[[#This Row],[Q]]&lt;0.1, " ",Inventory_List_Table341115109111317181416192021222324[[#This Row],[AQ RND USD]]*1.4)</f>
        <v xml:space="preserve"> </v>
      </c>
      <c r="U7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0" s="30" t="str">
        <f>IF(Inventory_List_Table341115109111317181416192021222324[[#This Row],[Q]]&lt;0.1, " ",Inventory_List_Table341115109111317181416192021222324[[#This Row],[LND RND USD]]*12)</f>
        <v xml:space="preserve"> </v>
      </c>
      <c r="W70" s="30" t="str">
        <f>IF(Inventory_List_Table341115109111317181416192021222324[[#This Row],[Q]]&lt;0.1, " ",Inventory_List_Table341115109111317181416192021222324[[#This Row],[AQ USD]])</f>
        <v xml:space="preserve"> </v>
      </c>
      <c r="X7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0" s="30" t="str">
        <f>IF(Inventory_List_Table341115109111317181416192021222324[[#This Row],[Q]]&lt;0.1, " ",Inventory_List_Table341115109111317181416192021222324[[#This Row],[PRICE]]/Z70*10000)</f>
        <v xml:space="preserve"> </v>
      </c>
      <c r="AB70" s="538"/>
      <c r="AC70" s="1"/>
      <c r="AD70" s="1"/>
    </row>
    <row r="71" spans="1:30" ht="24" customHeight="1" x14ac:dyDescent="0.3">
      <c r="A71" s="532">
        <v>69</v>
      </c>
      <c r="B71" s="1"/>
      <c r="C71" s="533"/>
      <c r="D71" s="533"/>
      <c r="E71" s="533"/>
      <c r="F7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1" s="535"/>
      <c r="H71" s="535"/>
      <c r="I71" s="535"/>
      <c r="J71" s="535"/>
      <c r="K71" s="535"/>
      <c r="L71" s="537"/>
      <c r="M7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1" s="35" t="str">
        <f>IF(Inventory_List_Table341115109111317181416192021222324[[#This Row],[Q]]&lt;0.1, " ", Inventory_List_Table341115109111317181416192021222324[[#This Row],[KG]]*2.20462)</f>
        <v xml:space="preserve"> </v>
      </c>
      <c r="O71" s="35" t="str">
        <f>IF(Inventory_List_Table341115109111317181416192021222324[[#This Row],[Q]]&lt;0.1, " ",Inventory_List_Table341115109111317181416192021222324[[#This Row],[H CM]]/2.54)</f>
        <v xml:space="preserve"> </v>
      </c>
      <c r="P71" s="35" t="str">
        <f>IF(Inventory_List_Table341115109111317181416192021222324[[#This Row],[Q]]&lt;0.1, " ",Inventory_List_Table341115109111317181416192021222324[[#This Row],[W CM]]/2.54)</f>
        <v xml:space="preserve"> </v>
      </c>
      <c r="Q71" s="35" t="str">
        <f>IF(Inventory_List_Table341115109111317181416192021222324[[#This Row],[Q]]&lt;0.1, " ",Inventory_List_Table341115109111317181416192021222324[[#This Row],[D CM ]]/2.54)</f>
        <v xml:space="preserve"> </v>
      </c>
      <c r="R71" s="30" t="str">
        <f>IF(Inventory_List_Table341115109111317181416192021222324[[#This Row],[Q]]&lt;0.1, " ",Inventory_List_Table341115109111317181416192021222324[[#This Row],[PRICE]]/$L$1)</f>
        <v xml:space="preserve"> </v>
      </c>
      <c r="S7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1" s="30" t="str">
        <f>IF(Inventory_List_Table341115109111317181416192021222324[[#This Row],[Q]]&lt;0.1, " ",Inventory_List_Table341115109111317181416192021222324[[#This Row],[AQ RND USD]]*1.4)</f>
        <v xml:space="preserve"> </v>
      </c>
      <c r="U7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1" s="30" t="str">
        <f>IF(Inventory_List_Table341115109111317181416192021222324[[#This Row],[Q]]&lt;0.1, " ",Inventory_List_Table341115109111317181416192021222324[[#This Row],[LND RND USD]]*12)</f>
        <v xml:space="preserve"> </v>
      </c>
      <c r="W71" s="30" t="str">
        <f>IF(Inventory_List_Table341115109111317181416192021222324[[#This Row],[Q]]&lt;0.1, " ",Inventory_List_Table341115109111317181416192021222324[[#This Row],[AQ USD]])</f>
        <v xml:space="preserve"> </v>
      </c>
      <c r="X7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1" s="30" t="str">
        <f>IF(Inventory_List_Table341115109111317181416192021222324[[#This Row],[Q]]&lt;0.1, " ",Inventory_List_Table341115109111317181416192021222324[[#This Row],[PRICE]]/Z71*10000)</f>
        <v xml:space="preserve"> </v>
      </c>
      <c r="AB71" s="538"/>
      <c r="AC71" s="1"/>
      <c r="AD71" s="1"/>
    </row>
    <row r="72" spans="1:30" ht="24" customHeight="1" x14ac:dyDescent="0.3">
      <c r="A72" s="532">
        <v>70</v>
      </c>
      <c r="B72" s="1"/>
      <c r="C72" s="533"/>
      <c r="D72" s="533"/>
      <c r="E72" s="533"/>
      <c r="F7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2" s="535"/>
      <c r="H72" s="535"/>
      <c r="I72" s="535"/>
      <c r="J72" s="535"/>
      <c r="K72" s="535"/>
      <c r="L72" s="537"/>
      <c r="M7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2" s="35" t="str">
        <f>IF(Inventory_List_Table341115109111317181416192021222324[[#This Row],[Q]]&lt;0.1, " ", Inventory_List_Table341115109111317181416192021222324[[#This Row],[KG]]*2.20462)</f>
        <v xml:space="preserve"> </v>
      </c>
      <c r="O72" s="35" t="str">
        <f>IF(Inventory_List_Table341115109111317181416192021222324[[#This Row],[Q]]&lt;0.1, " ",Inventory_List_Table341115109111317181416192021222324[[#This Row],[H CM]]/2.54)</f>
        <v xml:space="preserve"> </v>
      </c>
      <c r="P72" s="35" t="str">
        <f>IF(Inventory_List_Table341115109111317181416192021222324[[#This Row],[Q]]&lt;0.1, " ",Inventory_List_Table341115109111317181416192021222324[[#This Row],[W CM]]/2.54)</f>
        <v xml:space="preserve"> </v>
      </c>
      <c r="Q72" s="35" t="str">
        <f>IF(Inventory_List_Table341115109111317181416192021222324[[#This Row],[Q]]&lt;0.1, " ",Inventory_List_Table341115109111317181416192021222324[[#This Row],[D CM ]]/2.54)</f>
        <v xml:space="preserve"> </v>
      </c>
      <c r="R72" s="30" t="str">
        <f>IF(Inventory_List_Table341115109111317181416192021222324[[#This Row],[Q]]&lt;0.1, " ",Inventory_List_Table341115109111317181416192021222324[[#This Row],[PRICE]]/$L$1)</f>
        <v xml:space="preserve"> </v>
      </c>
      <c r="S7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2" s="30" t="str">
        <f>IF(Inventory_List_Table341115109111317181416192021222324[[#This Row],[Q]]&lt;0.1, " ",Inventory_List_Table341115109111317181416192021222324[[#This Row],[AQ RND USD]]*1.4)</f>
        <v xml:space="preserve"> </v>
      </c>
      <c r="U7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2" s="30" t="str">
        <f>IF(Inventory_List_Table341115109111317181416192021222324[[#This Row],[Q]]&lt;0.1, " ",Inventory_List_Table341115109111317181416192021222324[[#This Row],[LND RND USD]]*12)</f>
        <v xml:space="preserve"> </v>
      </c>
      <c r="W72" s="30" t="str">
        <f>IF(Inventory_List_Table341115109111317181416192021222324[[#This Row],[Q]]&lt;0.1, " ",Inventory_List_Table341115109111317181416192021222324[[#This Row],[AQ USD]])</f>
        <v xml:space="preserve"> </v>
      </c>
      <c r="X7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2" s="30" t="str">
        <f>IF(Inventory_List_Table341115109111317181416192021222324[[#This Row],[Q]]&lt;0.1, " ",Inventory_List_Table341115109111317181416192021222324[[#This Row],[PRICE]]/Z72*10000)</f>
        <v xml:space="preserve"> </v>
      </c>
      <c r="AB72" s="538"/>
      <c r="AC72" s="1"/>
      <c r="AD72" s="1"/>
    </row>
    <row r="73" spans="1:30" ht="24" customHeight="1" x14ac:dyDescent="0.3">
      <c r="A73" s="532">
        <v>71</v>
      </c>
      <c r="B73" s="1"/>
      <c r="C73" s="533"/>
      <c r="D73" s="533"/>
      <c r="E73" s="533"/>
      <c r="F7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3" s="535"/>
      <c r="H73" s="535"/>
      <c r="I73" s="535"/>
      <c r="J73" s="535"/>
      <c r="K73" s="535"/>
      <c r="L73" s="537"/>
      <c r="M7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3" s="35" t="str">
        <f>IF(Inventory_List_Table341115109111317181416192021222324[[#This Row],[Q]]&lt;0.1, " ", Inventory_List_Table341115109111317181416192021222324[[#This Row],[KG]]*2.20462)</f>
        <v xml:space="preserve"> </v>
      </c>
      <c r="O73" s="35" t="str">
        <f>IF(Inventory_List_Table341115109111317181416192021222324[[#This Row],[Q]]&lt;0.1, " ",Inventory_List_Table341115109111317181416192021222324[[#This Row],[H CM]]/2.54)</f>
        <v xml:space="preserve"> </v>
      </c>
      <c r="P73" s="35" t="str">
        <f>IF(Inventory_List_Table341115109111317181416192021222324[[#This Row],[Q]]&lt;0.1, " ",Inventory_List_Table341115109111317181416192021222324[[#This Row],[W CM]]/2.54)</f>
        <v xml:space="preserve"> </v>
      </c>
      <c r="Q73" s="35" t="str">
        <f>IF(Inventory_List_Table341115109111317181416192021222324[[#This Row],[Q]]&lt;0.1, " ",Inventory_List_Table341115109111317181416192021222324[[#This Row],[D CM ]]/2.54)</f>
        <v xml:space="preserve"> </v>
      </c>
      <c r="R73" s="30" t="str">
        <f>IF(Inventory_List_Table341115109111317181416192021222324[[#This Row],[Q]]&lt;0.1, " ",Inventory_List_Table341115109111317181416192021222324[[#This Row],[PRICE]]/$L$1)</f>
        <v xml:space="preserve"> </v>
      </c>
      <c r="S7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3" s="30" t="str">
        <f>IF(Inventory_List_Table341115109111317181416192021222324[[#This Row],[Q]]&lt;0.1, " ",Inventory_List_Table341115109111317181416192021222324[[#This Row],[AQ RND USD]]*1.4)</f>
        <v xml:space="preserve"> </v>
      </c>
      <c r="U7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3" s="30" t="str">
        <f>IF(Inventory_List_Table341115109111317181416192021222324[[#This Row],[Q]]&lt;0.1, " ",Inventory_List_Table341115109111317181416192021222324[[#This Row],[LND RND USD]]*12)</f>
        <v xml:space="preserve"> </v>
      </c>
      <c r="W73" s="30" t="str">
        <f>IF(Inventory_List_Table341115109111317181416192021222324[[#This Row],[Q]]&lt;0.1, " ",Inventory_List_Table341115109111317181416192021222324[[#This Row],[AQ USD]])</f>
        <v xml:space="preserve"> </v>
      </c>
      <c r="X7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3" s="30" t="str">
        <f>IF(Inventory_List_Table341115109111317181416192021222324[[#This Row],[Q]]&lt;0.1, " ",Inventory_List_Table341115109111317181416192021222324[[#This Row],[PRICE]]/Z73*10000)</f>
        <v xml:space="preserve"> </v>
      </c>
      <c r="AB73" s="538"/>
      <c r="AC73" s="1"/>
      <c r="AD73" s="1"/>
    </row>
    <row r="74" spans="1:30" ht="24" customHeight="1" x14ac:dyDescent="0.3">
      <c r="A74" s="532">
        <v>72</v>
      </c>
      <c r="B74" s="1"/>
      <c r="C74" s="533"/>
      <c r="D74" s="533"/>
      <c r="E74" s="533"/>
      <c r="F7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4" s="535"/>
      <c r="H74" s="535"/>
      <c r="I74" s="535"/>
      <c r="J74" s="535"/>
      <c r="K74" s="535"/>
      <c r="L74" s="537"/>
      <c r="M7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4" s="35" t="str">
        <f>IF(Inventory_List_Table341115109111317181416192021222324[[#This Row],[Q]]&lt;0.1, " ", Inventory_List_Table341115109111317181416192021222324[[#This Row],[KG]]*2.20462)</f>
        <v xml:space="preserve"> </v>
      </c>
      <c r="O74" s="35" t="str">
        <f>IF(Inventory_List_Table341115109111317181416192021222324[[#This Row],[Q]]&lt;0.1, " ",Inventory_List_Table341115109111317181416192021222324[[#This Row],[H CM]]/2.54)</f>
        <v xml:space="preserve"> </v>
      </c>
      <c r="P74" s="35" t="str">
        <f>IF(Inventory_List_Table341115109111317181416192021222324[[#This Row],[Q]]&lt;0.1, " ",Inventory_List_Table341115109111317181416192021222324[[#This Row],[W CM]]/2.54)</f>
        <v xml:space="preserve"> </v>
      </c>
      <c r="Q74" s="35" t="str">
        <f>IF(Inventory_List_Table341115109111317181416192021222324[[#This Row],[Q]]&lt;0.1, " ",Inventory_List_Table341115109111317181416192021222324[[#This Row],[D CM ]]/2.54)</f>
        <v xml:space="preserve"> </v>
      </c>
      <c r="R74" s="30" t="str">
        <f>IF(Inventory_List_Table341115109111317181416192021222324[[#This Row],[Q]]&lt;0.1, " ",Inventory_List_Table341115109111317181416192021222324[[#This Row],[PRICE]]/$L$1)</f>
        <v xml:space="preserve"> </v>
      </c>
      <c r="S7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4" s="30" t="str">
        <f>IF(Inventory_List_Table341115109111317181416192021222324[[#This Row],[Q]]&lt;0.1, " ",Inventory_List_Table341115109111317181416192021222324[[#This Row],[AQ RND USD]]*1.4)</f>
        <v xml:space="preserve"> </v>
      </c>
      <c r="U7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4" s="30" t="str">
        <f>IF(Inventory_List_Table341115109111317181416192021222324[[#This Row],[Q]]&lt;0.1, " ",Inventory_List_Table341115109111317181416192021222324[[#This Row],[LND RND USD]]*12)</f>
        <v xml:space="preserve"> </v>
      </c>
      <c r="W74" s="30" t="str">
        <f>IF(Inventory_List_Table341115109111317181416192021222324[[#This Row],[Q]]&lt;0.1, " ",Inventory_List_Table341115109111317181416192021222324[[#This Row],[AQ USD]])</f>
        <v xml:space="preserve"> </v>
      </c>
      <c r="X7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4" s="30" t="str">
        <f>IF(Inventory_List_Table341115109111317181416192021222324[[#This Row],[Q]]&lt;0.1, " ",Inventory_List_Table341115109111317181416192021222324[[#This Row],[PRICE]]/Z74*10000)</f>
        <v xml:space="preserve"> </v>
      </c>
      <c r="AB74" s="538"/>
      <c r="AC74" s="1"/>
      <c r="AD74" s="1"/>
    </row>
    <row r="75" spans="1:30" ht="24" customHeight="1" x14ac:dyDescent="0.3">
      <c r="A75" s="532">
        <v>73</v>
      </c>
      <c r="B75" s="1"/>
      <c r="C75" s="533"/>
      <c r="D75" s="533"/>
      <c r="E75" s="533"/>
      <c r="F7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5" s="535"/>
      <c r="H75" s="535"/>
      <c r="I75" s="535"/>
      <c r="J75" s="535"/>
      <c r="K75" s="535"/>
      <c r="L75" s="537"/>
      <c r="M7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5" s="35" t="str">
        <f>IF(Inventory_List_Table341115109111317181416192021222324[[#This Row],[Q]]&lt;0.1, " ", Inventory_List_Table341115109111317181416192021222324[[#This Row],[KG]]*2.20462)</f>
        <v xml:space="preserve"> </v>
      </c>
      <c r="O75" s="35" t="str">
        <f>IF(Inventory_List_Table341115109111317181416192021222324[[#This Row],[Q]]&lt;0.1, " ",Inventory_List_Table341115109111317181416192021222324[[#This Row],[H CM]]/2.54)</f>
        <v xml:space="preserve"> </v>
      </c>
      <c r="P75" s="35" t="str">
        <f>IF(Inventory_List_Table341115109111317181416192021222324[[#This Row],[Q]]&lt;0.1, " ",Inventory_List_Table341115109111317181416192021222324[[#This Row],[W CM]]/2.54)</f>
        <v xml:space="preserve"> </v>
      </c>
      <c r="Q75" s="35" t="str">
        <f>IF(Inventory_List_Table341115109111317181416192021222324[[#This Row],[Q]]&lt;0.1, " ",Inventory_List_Table341115109111317181416192021222324[[#This Row],[D CM ]]/2.54)</f>
        <v xml:space="preserve"> </v>
      </c>
      <c r="R75" s="30" t="str">
        <f>IF(Inventory_List_Table341115109111317181416192021222324[[#This Row],[Q]]&lt;0.1, " ",Inventory_List_Table341115109111317181416192021222324[[#This Row],[PRICE]]/$L$1)</f>
        <v xml:space="preserve"> </v>
      </c>
      <c r="S7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5" s="30" t="str">
        <f>IF(Inventory_List_Table341115109111317181416192021222324[[#This Row],[Q]]&lt;0.1, " ",Inventory_List_Table341115109111317181416192021222324[[#This Row],[AQ RND USD]]*1.4)</f>
        <v xml:space="preserve"> </v>
      </c>
      <c r="U7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5" s="30" t="str">
        <f>IF(Inventory_List_Table341115109111317181416192021222324[[#This Row],[Q]]&lt;0.1, " ",Inventory_List_Table341115109111317181416192021222324[[#This Row],[LND RND USD]]*12)</f>
        <v xml:space="preserve"> </v>
      </c>
      <c r="W75" s="30" t="str">
        <f>IF(Inventory_List_Table341115109111317181416192021222324[[#This Row],[Q]]&lt;0.1, " ",Inventory_List_Table341115109111317181416192021222324[[#This Row],[AQ USD]])</f>
        <v xml:space="preserve"> </v>
      </c>
      <c r="X7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5" s="30" t="str">
        <f>IF(Inventory_List_Table341115109111317181416192021222324[[#This Row],[Q]]&lt;0.1, " ",Inventory_List_Table341115109111317181416192021222324[[#This Row],[PRICE]]/Z75*10000)</f>
        <v xml:space="preserve"> </v>
      </c>
      <c r="AB75" s="538"/>
      <c r="AC75" s="1"/>
      <c r="AD75" s="1"/>
    </row>
    <row r="76" spans="1:30" ht="24" customHeight="1" x14ac:dyDescent="0.3">
      <c r="A76" s="532">
        <v>74</v>
      </c>
      <c r="B76" s="1"/>
      <c r="C76" s="533"/>
      <c r="D76" s="533"/>
      <c r="E76" s="533"/>
      <c r="F7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6" s="535"/>
      <c r="H76" s="535"/>
      <c r="I76" s="535"/>
      <c r="J76" s="535"/>
      <c r="K76" s="535"/>
      <c r="L76" s="537"/>
      <c r="M7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6" s="35" t="str">
        <f>IF(Inventory_List_Table341115109111317181416192021222324[[#This Row],[Q]]&lt;0.1, " ", Inventory_List_Table341115109111317181416192021222324[[#This Row],[KG]]*2.20462)</f>
        <v xml:space="preserve"> </v>
      </c>
      <c r="O76" s="35" t="str">
        <f>IF(Inventory_List_Table341115109111317181416192021222324[[#This Row],[Q]]&lt;0.1, " ",Inventory_List_Table341115109111317181416192021222324[[#This Row],[H CM]]/2.54)</f>
        <v xml:space="preserve"> </v>
      </c>
      <c r="P76" s="35" t="str">
        <f>IF(Inventory_List_Table341115109111317181416192021222324[[#This Row],[Q]]&lt;0.1, " ",Inventory_List_Table341115109111317181416192021222324[[#This Row],[W CM]]/2.54)</f>
        <v xml:space="preserve"> </v>
      </c>
      <c r="Q76" s="35" t="str">
        <f>IF(Inventory_List_Table341115109111317181416192021222324[[#This Row],[Q]]&lt;0.1, " ",Inventory_List_Table341115109111317181416192021222324[[#This Row],[D CM ]]/2.54)</f>
        <v xml:space="preserve"> </v>
      </c>
      <c r="R76" s="30" t="str">
        <f>IF(Inventory_List_Table341115109111317181416192021222324[[#This Row],[Q]]&lt;0.1, " ",Inventory_List_Table341115109111317181416192021222324[[#This Row],[PRICE]]/$L$1)</f>
        <v xml:space="preserve"> </v>
      </c>
      <c r="S7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6" s="30" t="str">
        <f>IF(Inventory_List_Table341115109111317181416192021222324[[#This Row],[Q]]&lt;0.1, " ",Inventory_List_Table341115109111317181416192021222324[[#This Row],[AQ RND USD]]*1.4)</f>
        <v xml:space="preserve"> </v>
      </c>
      <c r="U7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6" s="30" t="str">
        <f>IF(Inventory_List_Table341115109111317181416192021222324[[#This Row],[Q]]&lt;0.1, " ",Inventory_List_Table341115109111317181416192021222324[[#This Row],[LND RND USD]]*12)</f>
        <v xml:space="preserve"> </v>
      </c>
      <c r="W76" s="30" t="str">
        <f>IF(Inventory_List_Table341115109111317181416192021222324[[#This Row],[Q]]&lt;0.1, " ",Inventory_List_Table341115109111317181416192021222324[[#This Row],[AQ USD]])</f>
        <v xml:space="preserve"> </v>
      </c>
      <c r="X7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6" s="30" t="str">
        <f>IF(Inventory_List_Table341115109111317181416192021222324[[#This Row],[Q]]&lt;0.1, " ",Inventory_List_Table341115109111317181416192021222324[[#This Row],[PRICE]]/Z76*10000)</f>
        <v xml:space="preserve"> </v>
      </c>
      <c r="AB76" s="538"/>
      <c r="AC76" s="1"/>
      <c r="AD76" s="1"/>
    </row>
    <row r="77" spans="1:30" ht="24" customHeight="1" x14ac:dyDescent="0.3">
      <c r="A77" s="532">
        <v>75</v>
      </c>
      <c r="B77" s="1"/>
      <c r="C77" s="533"/>
      <c r="D77" s="533"/>
      <c r="E77" s="533"/>
      <c r="F7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7" s="535"/>
      <c r="H77" s="535"/>
      <c r="I77" s="535"/>
      <c r="J77" s="535"/>
      <c r="K77" s="535"/>
      <c r="L77" s="537"/>
      <c r="M7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7" s="35" t="str">
        <f>IF(Inventory_List_Table341115109111317181416192021222324[[#This Row],[Q]]&lt;0.1, " ", Inventory_List_Table341115109111317181416192021222324[[#This Row],[KG]]*2.20462)</f>
        <v xml:space="preserve"> </v>
      </c>
      <c r="O77" s="35" t="str">
        <f>IF(Inventory_List_Table341115109111317181416192021222324[[#This Row],[Q]]&lt;0.1, " ",Inventory_List_Table341115109111317181416192021222324[[#This Row],[H CM]]/2.54)</f>
        <v xml:space="preserve"> </v>
      </c>
      <c r="P77" s="35" t="str">
        <f>IF(Inventory_List_Table341115109111317181416192021222324[[#This Row],[Q]]&lt;0.1, " ",Inventory_List_Table341115109111317181416192021222324[[#This Row],[W CM]]/2.54)</f>
        <v xml:space="preserve"> </v>
      </c>
      <c r="Q77" s="35" t="str">
        <f>IF(Inventory_List_Table341115109111317181416192021222324[[#This Row],[Q]]&lt;0.1, " ",Inventory_List_Table341115109111317181416192021222324[[#This Row],[D CM ]]/2.54)</f>
        <v xml:space="preserve"> </v>
      </c>
      <c r="R77" s="30" t="str">
        <f>IF(Inventory_List_Table341115109111317181416192021222324[[#This Row],[Q]]&lt;0.1, " ",Inventory_List_Table341115109111317181416192021222324[[#This Row],[PRICE]]/$L$1)</f>
        <v xml:space="preserve"> </v>
      </c>
      <c r="S7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7" s="30" t="str">
        <f>IF(Inventory_List_Table341115109111317181416192021222324[[#This Row],[Q]]&lt;0.1, " ",Inventory_List_Table341115109111317181416192021222324[[#This Row],[AQ RND USD]]*1.4)</f>
        <v xml:space="preserve"> </v>
      </c>
      <c r="U7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7" s="30" t="str">
        <f>IF(Inventory_List_Table341115109111317181416192021222324[[#This Row],[Q]]&lt;0.1, " ",Inventory_List_Table341115109111317181416192021222324[[#This Row],[LND RND USD]]*12)</f>
        <v xml:space="preserve"> </v>
      </c>
      <c r="W77" s="30" t="str">
        <f>IF(Inventory_List_Table341115109111317181416192021222324[[#This Row],[Q]]&lt;0.1, " ",Inventory_List_Table341115109111317181416192021222324[[#This Row],[AQ USD]])</f>
        <v xml:space="preserve"> </v>
      </c>
      <c r="X7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7" s="30" t="str">
        <f>IF(Inventory_List_Table341115109111317181416192021222324[[#This Row],[Q]]&lt;0.1, " ",Inventory_List_Table341115109111317181416192021222324[[#This Row],[PRICE]]/Z77*10000)</f>
        <v xml:space="preserve"> </v>
      </c>
      <c r="AB77" s="538"/>
      <c r="AC77" s="1"/>
      <c r="AD77" s="1"/>
    </row>
    <row r="78" spans="1:30" ht="24" customHeight="1" x14ac:dyDescent="0.3">
      <c r="A78" s="532">
        <v>76</v>
      </c>
      <c r="B78" s="1"/>
      <c r="C78" s="533"/>
      <c r="D78" s="533"/>
      <c r="E78" s="533"/>
      <c r="F7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8" s="535"/>
      <c r="H78" s="535"/>
      <c r="I78" s="535"/>
      <c r="J78" s="535"/>
      <c r="K78" s="535"/>
      <c r="L78" s="537"/>
      <c r="M7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8" s="35" t="str">
        <f>IF(Inventory_List_Table341115109111317181416192021222324[[#This Row],[Q]]&lt;0.1, " ", Inventory_List_Table341115109111317181416192021222324[[#This Row],[KG]]*2.20462)</f>
        <v xml:space="preserve"> </v>
      </c>
      <c r="O78" s="35" t="str">
        <f>IF(Inventory_List_Table341115109111317181416192021222324[[#This Row],[Q]]&lt;0.1, " ",Inventory_List_Table341115109111317181416192021222324[[#This Row],[H CM]]/2.54)</f>
        <v xml:space="preserve"> </v>
      </c>
      <c r="P78" s="35" t="str">
        <f>IF(Inventory_List_Table341115109111317181416192021222324[[#This Row],[Q]]&lt;0.1, " ",Inventory_List_Table341115109111317181416192021222324[[#This Row],[W CM]]/2.54)</f>
        <v xml:space="preserve"> </v>
      </c>
      <c r="Q78" s="35" t="str">
        <f>IF(Inventory_List_Table341115109111317181416192021222324[[#This Row],[Q]]&lt;0.1, " ",Inventory_List_Table341115109111317181416192021222324[[#This Row],[D CM ]]/2.54)</f>
        <v xml:space="preserve"> </v>
      </c>
      <c r="R78" s="30" t="str">
        <f>IF(Inventory_List_Table341115109111317181416192021222324[[#This Row],[Q]]&lt;0.1, " ",Inventory_List_Table341115109111317181416192021222324[[#This Row],[PRICE]]/$L$1)</f>
        <v xml:space="preserve"> </v>
      </c>
      <c r="S7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8" s="30" t="str">
        <f>IF(Inventory_List_Table341115109111317181416192021222324[[#This Row],[Q]]&lt;0.1, " ",Inventory_List_Table341115109111317181416192021222324[[#This Row],[AQ RND USD]]*1.4)</f>
        <v xml:space="preserve"> </v>
      </c>
      <c r="U7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8" s="30" t="str">
        <f>IF(Inventory_List_Table341115109111317181416192021222324[[#This Row],[Q]]&lt;0.1, " ",Inventory_List_Table341115109111317181416192021222324[[#This Row],[LND RND USD]]*12)</f>
        <v xml:space="preserve"> </v>
      </c>
      <c r="W78" s="30" t="str">
        <f>IF(Inventory_List_Table341115109111317181416192021222324[[#This Row],[Q]]&lt;0.1, " ",Inventory_List_Table341115109111317181416192021222324[[#This Row],[AQ USD]])</f>
        <v xml:space="preserve"> </v>
      </c>
      <c r="X7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8" s="30" t="str">
        <f>IF(Inventory_List_Table341115109111317181416192021222324[[#This Row],[Q]]&lt;0.1, " ",Inventory_List_Table341115109111317181416192021222324[[#This Row],[PRICE]]/Z78*10000)</f>
        <v xml:space="preserve"> </v>
      </c>
      <c r="AB78" s="538"/>
      <c r="AC78" s="1"/>
      <c r="AD78" s="1"/>
    </row>
    <row r="79" spans="1:30" ht="24" customHeight="1" x14ac:dyDescent="0.3">
      <c r="A79" s="532">
        <v>77</v>
      </c>
      <c r="B79" s="1"/>
      <c r="C79" s="533"/>
      <c r="D79" s="533"/>
      <c r="E79" s="533"/>
      <c r="F7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79" s="535"/>
      <c r="H79" s="535"/>
      <c r="I79" s="535"/>
      <c r="J79" s="535"/>
      <c r="K79" s="535"/>
      <c r="L79" s="537"/>
      <c r="M7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79" s="35" t="str">
        <f>IF(Inventory_List_Table341115109111317181416192021222324[[#This Row],[Q]]&lt;0.1, " ", Inventory_List_Table341115109111317181416192021222324[[#This Row],[KG]]*2.20462)</f>
        <v xml:space="preserve"> </v>
      </c>
      <c r="O79" s="35" t="str">
        <f>IF(Inventory_List_Table341115109111317181416192021222324[[#This Row],[Q]]&lt;0.1, " ",Inventory_List_Table341115109111317181416192021222324[[#This Row],[H CM]]/2.54)</f>
        <v xml:space="preserve"> </v>
      </c>
      <c r="P79" s="35" t="str">
        <f>IF(Inventory_List_Table341115109111317181416192021222324[[#This Row],[Q]]&lt;0.1, " ",Inventory_List_Table341115109111317181416192021222324[[#This Row],[W CM]]/2.54)</f>
        <v xml:space="preserve"> </v>
      </c>
      <c r="Q79" s="35" t="str">
        <f>IF(Inventory_List_Table341115109111317181416192021222324[[#This Row],[Q]]&lt;0.1, " ",Inventory_List_Table341115109111317181416192021222324[[#This Row],[D CM ]]/2.54)</f>
        <v xml:space="preserve"> </v>
      </c>
      <c r="R79" s="30" t="str">
        <f>IF(Inventory_List_Table341115109111317181416192021222324[[#This Row],[Q]]&lt;0.1, " ",Inventory_List_Table341115109111317181416192021222324[[#This Row],[PRICE]]/$L$1)</f>
        <v xml:space="preserve"> </v>
      </c>
      <c r="S7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79" s="30" t="str">
        <f>IF(Inventory_List_Table341115109111317181416192021222324[[#This Row],[Q]]&lt;0.1, " ",Inventory_List_Table341115109111317181416192021222324[[#This Row],[AQ RND USD]]*1.4)</f>
        <v xml:space="preserve"> </v>
      </c>
      <c r="U7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79" s="30" t="str">
        <f>IF(Inventory_List_Table341115109111317181416192021222324[[#This Row],[Q]]&lt;0.1, " ",Inventory_List_Table341115109111317181416192021222324[[#This Row],[LND RND USD]]*12)</f>
        <v xml:space="preserve"> </v>
      </c>
      <c r="W79" s="30" t="str">
        <f>IF(Inventory_List_Table341115109111317181416192021222324[[#This Row],[Q]]&lt;0.1, " ",Inventory_List_Table341115109111317181416192021222324[[#This Row],[AQ USD]])</f>
        <v xml:space="preserve"> </v>
      </c>
      <c r="X7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7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7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79" s="30" t="str">
        <f>IF(Inventory_List_Table341115109111317181416192021222324[[#This Row],[Q]]&lt;0.1, " ",Inventory_List_Table341115109111317181416192021222324[[#This Row],[PRICE]]/Z79*10000)</f>
        <v xml:space="preserve"> </v>
      </c>
      <c r="AB79" s="538"/>
      <c r="AC79" s="1"/>
      <c r="AD79" s="1"/>
    </row>
    <row r="80" spans="1:30" ht="24" customHeight="1" x14ac:dyDescent="0.3">
      <c r="A80" s="532">
        <v>78</v>
      </c>
      <c r="B80" s="1"/>
      <c r="C80" s="533"/>
      <c r="D80" s="533"/>
      <c r="E80" s="533"/>
      <c r="F8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0" s="535"/>
      <c r="H80" s="535"/>
      <c r="I80" s="535"/>
      <c r="J80" s="535"/>
      <c r="K80" s="535"/>
      <c r="L80" s="537"/>
      <c r="M8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0" s="35" t="str">
        <f>IF(Inventory_List_Table341115109111317181416192021222324[[#This Row],[Q]]&lt;0.1, " ", Inventory_List_Table341115109111317181416192021222324[[#This Row],[KG]]*2.20462)</f>
        <v xml:space="preserve"> </v>
      </c>
      <c r="O80" s="35" t="str">
        <f>IF(Inventory_List_Table341115109111317181416192021222324[[#This Row],[Q]]&lt;0.1, " ",Inventory_List_Table341115109111317181416192021222324[[#This Row],[H CM]]/2.54)</f>
        <v xml:space="preserve"> </v>
      </c>
      <c r="P80" s="35" t="str">
        <f>IF(Inventory_List_Table341115109111317181416192021222324[[#This Row],[Q]]&lt;0.1, " ",Inventory_List_Table341115109111317181416192021222324[[#This Row],[W CM]]/2.54)</f>
        <v xml:space="preserve"> </v>
      </c>
      <c r="Q80" s="35" t="str">
        <f>IF(Inventory_List_Table341115109111317181416192021222324[[#This Row],[Q]]&lt;0.1, " ",Inventory_List_Table341115109111317181416192021222324[[#This Row],[D CM ]]/2.54)</f>
        <v xml:space="preserve"> </v>
      </c>
      <c r="R80" s="30" t="str">
        <f>IF(Inventory_List_Table341115109111317181416192021222324[[#This Row],[Q]]&lt;0.1, " ",Inventory_List_Table341115109111317181416192021222324[[#This Row],[PRICE]]/$L$1)</f>
        <v xml:space="preserve"> </v>
      </c>
      <c r="S8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0" s="30" t="str">
        <f>IF(Inventory_List_Table341115109111317181416192021222324[[#This Row],[Q]]&lt;0.1, " ",Inventory_List_Table341115109111317181416192021222324[[#This Row],[AQ RND USD]]*1.4)</f>
        <v xml:space="preserve"> </v>
      </c>
      <c r="U8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0" s="30" t="str">
        <f>IF(Inventory_List_Table341115109111317181416192021222324[[#This Row],[Q]]&lt;0.1, " ",Inventory_List_Table341115109111317181416192021222324[[#This Row],[LND RND USD]]*12)</f>
        <v xml:space="preserve"> </v>
      </c>
      <c r="W80" s="30" t="str">
        <f>IF(Inventory_List_Table341115109111317181416192021222324[[#This Row],[Q]]&lt;0.1, " ",Inventory_List_Table341115109111317181416192021222324[[#This Row],[AQ USD]])</f>
        <v xml:space="preserve"> </v>
      </c>
      <c r="X8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0" s="30" t="str">
        <f>IF(Inventory_List_Table341115109111317181416192021222324[[#This Row],[Q]]&lt;0.1, " ",Inventory_List_Table341115109111317181416192021222324[[#This Row],[PRICE]]/Z80*10000)</f>
        <v xml:space="preserve"> </v>
      </c>
      <c r="AB80" s="538"/>
      <c r="AC80" s="1"/>
      <c r="AD80" s="1"/>
    </row>
    <row r="81" spans="1:30" ht="24" customHeight="1" x14ac:dyDescent="0.3">
      <c r="A81" s="532">
        <v>79</v>
      </c>
      <c r="B81" s="1"/>
      <c r="C81" s="533"/>
      <c r="D81" s="533"/>
      <c r="E81" s="533"/>
      <c r="F8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1" s="535"/>
      <c r="H81" s="535"/>
      <c r="I81" s="535"/>
      <c r="J81" s="535"/>
      <c r="K81" s="535"/>
      <c r="L81" s="537"/>
      <c r="M8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1" s="35" t="str">
        <f>IF(Inventory_List_Table341115109111317181416192021222324[[#This Row],[Q]]&lt;0.1, " ", Inventory_List_Table341115109111317181416192021222324[[#This Row],[KG]]*2.20462)</f>
        <v xml:space="preserve"> </v>
      </c>
      <c r="O81" s="35" t="str">
        <f>IF(Inventory_List_Table341115109111317181416192021222324[[#This Row],[Q]]&lt;0.1, " ",Inventory_List_Table341115109111317181416192021222324[[#This Row],[H CM]]/2.54)</f>
        <v xml:space="preserve"> </v>
      </c>
      <c r="P81" s="35" t="str">
        <f>IF(Inventory_List_Table341115109111317181416192021222324[[#This Row],[Q]]&lt;0.1, " ",Inventory_List_Table341115109111317181416192021222324[[#This Row],[W CM]]/2.54)</f>
        <v xml:space="preserve"> </v>
      </c>
      <c r="Q81" s="35" t="str">
        <f>IF(Inventory_List_Table341115109111317181416192021222324[[#This Row],[Q]]&lt;0.1, " ",Inventory_List_Table341115109111317181416192021222324[[#This Row],[D CM ]]/2.54)</f>
        <v xml:space="preserve"> </v>
      </c>
      <c r="R81" s="30" t="str">
        <f>IF(Inventory_List_Table341115109111317181416192021222324[[#This Row],[Q]]&lt;0.1, " ",Inventory_List_Table341115109111317181416192021222324[[#This Row],[PRICE]]/$L$1)</f>
        <v xml:space="preserve"> </v>
      </c>
      <c r="S8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1" s="30" t="str">
        <f>IF(Inventory_List_Table341115109111317181416192021222324[[#This Row],[Q]]&lt;0.1, " ",Inventory_List_Table341115109111317181416192021222324[[#This Row],[AQ RND USD]]*1.4)</f>
        <v xml:space="preserve"> </v>
      </c>
      <c r="U8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1" s="30" t="str">
        <f>IF(Inventory_List_Table341115109111317181416192021222324[[#This Row],[Q]]&lt;0.1, " ",Inventory_List_Table341115109111317181416192021222324[[#This Row],[LND RND USD]]*12)</f>
        <v xml:space="preserve"> </v>
      </c>
      <c r="W81" s="30" t="str">
        <f>IF(Inventory_List_Table341115109111317181416192021222324[[#This Row],[Q]]&lt;0.1, " ",Inventory_List_Table341115109111317181416192021222324[[#This Row],[AQ USD]])</f>
        <v xml:space="preserve"> </v>
      </c>
      <c r="X8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1" s="30" t="str">
        <f>IF(Inventory_List_Table341115109111317181416192021222324[[#This Row],[Q]]&lt;0.1, " ",Inventory_List_Table341115109111317181416192021222324[[#This Row],[PRICE]]/Z81*10000)</f>
        <v xml:space="preserve"> </v>
      </c>
      <c r="AB81" s="538"/>
      <c r="AC81" s="1"/>
      <c r="AD81" s="1"/>
    </row>
    <row r="82" spans="1:30" ht="24" customHeight="1" x14ac:dyDescent="0.3">
      <c r="A82" s="532">
        <v>80</v>
      </c>
      <c r="B82" s="1"/>
      <c r="C82" s="533"/>
      <c r="D82" s="533"/>
      <c r="E82" s="533"/>
      <c r="F8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2" s="535"/>
      <c r="H82" s="535"/>
      <c r="I82" s="535"/>
      <c r="J82" s="535"/>
      <c r="K82" s="535"/>
      <c r="L82" s="537"/>
      <c r="M8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2" s="35" t="str">
        <f>IF(Inventory_List_Table341115109111317181416192021222324[[#This Row],[Q]]&lt;0.1, " ", Inventory_List_Table341115109111317181416192021222324[[#This Row],[KG]]*2.20462)</f>
        <v xml:space="preserve"> </v>
      </c>
      <c r="O82" s="35" t="str">
        <f>IF(Inventory_List_Table341115109111317181416192021222324[[#This Row],[Q]]&lt;0.1, " ",Inventory_List_Table341115109111317181416192021222324[[#This Row],[H CM]]/2.54)</f>
        <v xml:space="preserve"> </v>
      </c>
      <c r="P82" s="35" t="str">
        <f>IF(Inventory_List_Table341115109111317181416192021222324[[#This Row],[Q]]&lt;0.1, " ",Inventory_List_Table341115109111317181416192021222324[[#This Row],[W CM]]/2.54)</f>
        <v xml:space="preserve"> </v>
      </c>
      <c r="Q82" s="35" t="str">
        <f>IF(Inventory_List_Table341115109111317181416192021222324[[#This Row],[Q]]&lt;0.1, " ",Inventory_List_Table341115109111317181416192021222324[[#This Row],[D CM ]]/2.54)</f>
        <v xml:space="preserve"> </v>
      </c>
      <c r="R82" s="30" t="str">
        <f>IF(Inventory_List_Table341115109111317181416192021222324[[#This Row],[Q]]&lt;0.1, " ",Inventory_List_Table341115109111317181416192021222324[[#This Row],[PRICE]]/$L$1)</f>
        <v xml:space="preserve"> </v>
      </c>
      <c r="S8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2" s="30" t="str">
        <f>IF(Inventory_List_Table341115109111317181416192021222324[[#This Row],[Q]]&lt;0.1, " ",Inventory_List_Table341115109111317181416192021222324[[#This Row],[AQ RND USD]]*1.4)</f>
        <v xml:space="preserve"> </v>
      </c>
      <c r="U8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2" s="30" t="str">
        <f>IF(Inventory_List_Table341115109111317181416192021222324[[#This Row],[Q]]&lt;0.1, " ",Inventory_List_Table341115109111317181416192021222324[[#This Row],[LND RND USD]]*12)</f>
        <v xml:space="preserve"> </v>
      </c>
      <c r="W82" s="30" t="str">
        <f>IF(Inventory_List_Table341115109111317181416192021222324[[#This Row],[Q]]&lt;0.1, " ",Inventory_List_Table341115109111317181416192021222324[[#This Row],[AQ USD]])</f>
        <v xml:space="preserve"> </v>
      </c>
      <c r="X8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2" s="30" t="str">
        <f>IF(Inventory_List_Table341115109111317181416192021222324[[#This Row],[Q]]&lt;0.1, " ",Inventory_List_Table341115109111317181416192021222324[[#This Row],[PRICE]]/Z82*10000)</f>
        <v xml:space="preserve"> </v>
      </c>
      <c r="AB82" s="538"/>
      <c r="AC82" s="1"/>
      <c r="AD82" s="1"/>
    </row>
    <row r="83" spans="1:30" ht="24" customHeight="1" x14ac:dyDescent="0.3">
      <c r="A83" s="532">
        <v>81</v>
      </c>
      <c r="B83" s="1"/>
      <c r="C83" s="533"/>
      <c r="D83" s="533"/>
      <c r="E83" s="533"/>
      <c r="F8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3" s="535"/>
      <c r="H83" s="535"/>
      <c r="I83" s="535"/>
      <c r="J83" s="535"/>
      <c r="K83" s="535"/>
      <c r="L83" s="537"/>
      <c r="M8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3" s="35" t="str">
        <f>IF(Inventory_List_Table341115109111317181416192021222324[[#This Row],[Q]]&lt;0.1, " ", Inventory_List_Table341115109111317181416192021222324[[#This Row],[KG]]*2.20462)</f>
        <v xml:space="preserve"> </v>
      </c>
      <c r="O83" s="35" t="str">
        <f>IF(Inventory_List_Table341115109111317181416192021222324[[#This Row],[Q]]&lt;0.1, " ",Inventory_List_Table341115109111317181416192021222324[[#This Row],[H CM]]/2.54)</f>
        <v xml:space="preserve"> </v>
      </c>
      <c r="P83" s="35" t="str">
        <f>IF(Inventory_List_Table341115109111317181416192021222324[[#This Row],[Q]]&lt;0.1, " ",Inventory_List_Table341115109111317181416192021222324[[#This Row],[W CM]]/2.54)</f>
        <v xml:space="preserve"> </v>
      </c>
      <c r="Q83" s="35" t="str">
        <f>IF(Inventory_List_Table341115109111317181416192021222324[[#This Row],[Q]]&lt;0.1, " ",Inventory_List_Table341115109111317181416192021222324[[#This Row],[D CM ]]/2.54)</f>
        <v xml:space="preserve"> </v>
      </c>
      <c r="R83" s="30" t="str">
        <f>IF(Inventory_List_Table341115109111317181416192021222324[[#This Row],[Q]]&lt;0.1, " ",Inventory_List_Table341115109111317181416192021222324[[#This Row],[PRICE]]/$L$1)</f>
        <v xml:space="preserve"> </v>
      </c>
      <c r="S8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3" s="30" t="str">
        <f>IF(Inventory_List_Table341115109111317181416192021222324[[#This Row],[Q]]&lt;0.1, " ",Inventory_List_Table341115109111317181416192021222324[[#This Row],[AQ RND USD]]*1.4)</f>
        <v xml:space="preserve"> </v>
      </c>
      <c r="U8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3" s="30" t="str">
        <f>IF(Inventory_List_Table341115109111317181416192021222324[[#This Row],[Q]]&lt;0.1, " ",Inventory_List_Table341115109111317181416192021222324[[#This Row],[LND RND USD]]*12)</f>
        <v xml:space="preserve"> </v>
      </c>
      <c r="W83" s="30" t="str">
        <f>IF(Inventory_List_Table341115109111317181416192021222324[[#This Row],[Q]]&lt;0.1, " ",Inventory_List_Table341115109111317181416192021222324[[#This Row],[AQ USD]])</f>
        <v xml:space="preserve"> </v>
      </c>
      <c r="X8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3" s="30" t="str">
        <f>IF(Inventory_List_Table341115109111317181416192021222324[[#This Row],[Q]]&lt;0.1, " ",Inventory_List_Table341115109111317181416192021222324[[#This Row],[PRICE]]/Z83*10000)</f>
        <v xml:space="preserve"> </v>
      </c>
      <c r="AB83" s="538"/>
      <c r="AC83" s="1"/>
      <c r="AD83" s="1"/>
    </row>
    <row r="84" spans="1:30" ht="24" customHeight="1" x14ac:dyDescent="0.3">
      <c r="A84" s="532">
        <v>82</v>
      </c>
      <c r="B84" s="1"/>
      <c r="C84" s="533"/>
      <c r="D84" s="533"/>
      <c r="E84" s="533"/>
      <c r="F8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4" s="535"/>
      <c r="H84" s="535"/>
      <c r="I84" s="535"/>
      <c r="J84" s="535"/>
      <c r="K84" s="535"/>
      <c r="L84" s="537"/>
      <c r="M8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4" s="35" t="str">
        <f>IF(Inventory_List_Table341115109111317181416192021222324[[#This Row],[Q]]&lt;0.1, " ", Inventory_List_Table341115109111317181416192021222324[[#This Row],[KG]]*2.20462)</f>
        <v xml:space="preserve"> </v>
      </c>
      <c r="O84" s="35" t="str">
        <f>IF(Inventory_List_Table341115109111317181416192021222324[[#This Row],[Q]]&lt;0.1, " ",Inventory_List_Table341115109111317181416192021222324[[#This Row],[H CM]]/2.54)</f>
        <v xml:space="preserve"> </v>
      </c>
      <c r="P84" s="35" t="str">
        <f>IF(Inventory_List_Table341115109111317181416192021222324[[#This Row],[Q]]&lt;0.1, " ",Inventory_List_Table341115109111317181416192021222324[[#This Row],[W CM]]/2.54)</f>
        <v xml:space="preserve"> </v>
      </c>
      <c r="Q84" s="35" t="str">
        <f>IF(Inventory_List_Table341115109111317181416192021222324[[#This Row],[Q]]&lt;0.1, " ",Inventory_List_Table341115109111317181416192021222324[[#This Row],[D CM ]]/2.54)</f>
        <v xml:space="preserve"> </v>
      </c>
      <c r="R84" s="30" t="str">
        <f>IF(Inventory_List_Table341115109111317181416192021222324[[#This Row],[Q]]&lt;0.1, " ",Inventory_List_Table341115109111317181416192021222324[[#This Row],[PRICE]]/$L$1)</f>
        <v xml:space="preserve"> </v>
      </c>
      <c r="S8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4" s="30" t="str">
        <f>IF(Inventory_List_Table341115109111317181416192021222324[[#This Row],[Q]]&lt;0.1, " ",Inventory_List_Table341115109111317181416192021222324[[#This Row],[AQ RND USD]]*1.4)</f>
        <v xml:space="preserve"> </v>
      </c>
      <c r="U8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4" s="30" t="str">
        <f>IF(Inventory_List_Table341115109111317181416192021222324[[#This Row],[Q]]&lt;0.1, " ",Inventory_List_Table341115109111317181416192021222324[[#This Row],[LND RND USD]]*12)</f>
        <v xml:space="preserve"> </v>
      </c>
      <c r="W84" s="30" t="str">
        <f>IF(Inventory_List_Table341115109111317181416192021222324[[#This Row],[Q]]&lt;0.1, " ",Inventory_List_Table341115109111317181416192021222324[[#This Row],[AQ USD]])</f>
        <v xml:space="preserve"> </v>
      </c>
      <c r="X8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4" s="30" t="str">
        <f>IF(Inventory_List_Table341115109111317181416192021222324[[#This Row],[Q]]&lt;0.1, " ",Inventory_List_Table341115109111317181416192021222324[[#This Row],[PRICE]]/Z84*10000)</f>
        <v xml:space="preserve"> </v>
      </c>
      <c r="AB84" s="538"/>
      <c r="AC84" s="1"/>
      <c r="AD84" s="1"/>
    </row>
    <row r="85" spans="1:30" ht="24" customHeight="1" x14ac:dyDescent="0.3">
      <c r="A85" s="532">
        <v>83</v>
      </c>
      <c r="B85" s="1"/>
      <c r="C85" s="533"/>
      <c r="D85" s="533"/>
      <c r="E85" s="533"/>
      <c r="F8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5" s="535"/>
      <c r="H85" s="535"/>
      <c r="I85" s="535"/>
      <c r="J85" s="535"/>
      <c r="K85" s="535"/>
      <c r="L85" s="537"/>
      <c r="M8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5" s="35" t="str">
        <f>IF(Inventory_List_Table341115109111317181416192021222324[[#This Row],[Q]]&lt;0.1, " ", Inventory_List_Table341115109111317181416192021222324[[#This Row],[KG]]*2.20462)</f>
        <v xml:space="preserve"> </v>
      </c>
      <c r="O85" s="35" t="str">
        <f>IF(Inventory_List_Table341115109111317181416192021222324[[#This Row],[Q]]&lt;0.1, " ",Inventory_List_Table341115109111317181416192021222324[[#This Row],[H CM]]/2.54)</f>
        <v xml:space="preserve"> </v>
      </c>
      <c r="P85" s="35" t="str">
        <f>IF(Inventory_List_Table341115109111317181416192021222324[[#This Row],[Q]]&lt;0.1, " ",Inventory_List_Table341115109111317181416192021222324[[#This Row],[W CM]]/2.54)</f>
        <v xml:space="preserve"> </v>
      </c>
      <c r="Q85" s="35" t="str">
        <f>IF(Inventory_List_Table341115109111317181416192021222324[[#This Row],[Q]]&lt;0.1, " ",Inventory_List_Table341115109111317181416192021222324[[#This Row],[D CM ]]/2.54)</f>
        <v xml:space="preserve"> </v>
      </c>
      <c r="R85" s="30" t="str">
        <f>IF(Inventory_List_Table341115109111317181416192021222324[[#This Row],[Q]]&lt;0.1, " ",Inventory_List_Table341115109111317181416192021222324[[#This Row],[PRICE]]/$L$1)</f>
        <v xml:space="preserve"> </v>
      </c>
      <c r="S8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5" s="30" t="str">
        <f>IF(Inventory_List_Table341115109111317181416192021222324[[#This Row],[Q]]&lt;0.1, " ",Inventory_List_Table341115109111317181416192021222324[[#This Row],[AQ RND USD]]*1.4)</f>
        <v xml:space="preserve"> </v>
      </c>
      <c r="U8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5" s="30" t="str">
        <f>IF(Inventory_List_Table341115109111317181416192021222324[[#This Row],[Q]]&lt;0.1, " ",Inventory_List_Table341115109111317181416192021222324[[#This Row],[LND RND USD]]*12)</f>
        <v xml:space="preserve"> </v>
      </c>
      <c r="W85" s="30" t="str">
        <f>IF(Inventory_List_Table341115109111317181416192021222324[[#This Row],[Q]]&lt;0.1, " ",Inventory_List_Table341115109111317181416192021222324[[#This Row],[AQ USD]])</f>
        <v xml:space="preserve"> </v>
      </c>
      <c r="X8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5" s="30" t="str">
        <f>IF(Inventory_List_Table341115109111317181416192021222324[[#This Row],[Q]]&lt;0.1, " ",Inventory_List_Table341115109111317181416192021222324[[#This Row],[PRICE]]/Z85*10000)</f>
        <v xml:space="preserve"> </v>
      </c>
      <c r="AB85" s="538"/>
      <c r="AC85" s="1"/>
      <c r="AD85" s="1"/>
    </row>
    <row r="86" spans="1:30" ht="24" customHeight="1" x14ac:dyDescent="0.3">
      <c r="A86" s="532">
        <v>84</v>
      </c>
      <c r="B86" s="1"/>
      <c r="C86" s="533"/>
      <c r="D86" s="533"/>
      <c r="E86" s="533"/>
      <c r="F8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6" s="535"/>
      <c r="H86" s="535"/>
      <c r="I86" s="535"/>
      <c r="J86" s="535"/>
      <c r="K86" s="535"/>
      <c r="L86" s="537"/>
      <c r="M8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6" s="35" t="str">
        <f>IF(Inventory_List_Table341115109111317181416192021222324[[#This Row],[Q]]&lt;0.1, " ", Inventory_List_Table341115109111317181416192021222324[[#This Row],[KG]]*2.20462)</f>
        <v xml:space="preserve"> </v>
      </c>
      <c r="O86" s="35" t="str">
        <f>IF(Inventory_List_Table341115109111317181416192021222324[[#This Row],[Q]]&lt;0.1, " ",Inventory_List_Table341115109111317181416192021222324[[#This Row],[H CM]]/2.54)</f>
        <v xml:space="preserve"> </v>
      </c>
      <c r="P86" s="35" t="str">
        <f>IF(Inventory_List_Table341115109111317181416192021222324[[#This Row],[Q]]&lt;0.1, " ",Inventory_List_Table341115109111317181416192021222324[[#This Row],[W CM]]/2.54)</f>
        <v xml:space="preserve"> </v>
      </c>
      <c r="Q86" s="35" t="str">
        <f>IF(Inventory_List_Table341115109111317181416192021222324[[#This Row],[Q]]&lt;0.1, " ",Inventory_List_Table341115109111317181416192021222324[[#This Row],[D CM ]]/2.54)</f>
        <v xml:space="preserve"> </v>
      </c>
      <c r="R86" s="30" t="str">
        <f>IF(Inventory_List_Table341115109111317181416192021222324[[#This Row],[Q]]&lt;0.1, " ",Inventory_List_Table341115109111317181416192021222324[[#This Row],[PRICE]]/$L$1)</f>
        <v xml:space="preserve"> </v>
      </c>
      <c r="S8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6" s="30" t="str">
        <f>IF(Inventory_List_Table341115109111317181416192021222324[[#This Row],[Q]]&lt;0.1, " ",Inventory_List_Table341115109111317181416192021222324[[#This Row],[AQ RND USD]]*1.4)</f>
        <v xml:space="preserve"> </v>
      </c>
      <c r="U8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6" s="30" t="str">
        <f>IF(Inventory_List_Table341115109111317181416192021222324[[#This Row],[Q]]&lt;0.1, " ",Inventory_List_Table341115109111317181416192021222324[[#This Row],[LND RND USD]]*12)</f>
        <v xml:space="preserve"> </v>
      </c>
      <c r="W86" s="30" t="str">
        <f>IF(Inventory_List_Table341115109111317181416192021222324[[#This Row],[Q]]&lt;0.1, " ",Inventory_List_Table341115109111317181416192021222324[[#This Row],[AQ USD]])</f>
        <v xml:space="preserve"> </v>
      </c>
      <c r="X8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6" s="30" t="str">
        <f>IF(Inventory_List_Table341115109111317181416192021222324[[#This Row],[Q]]&lt;0.1, " ",Inventory_List_Table341115109111317181416192021222324[[#This Row],[PRICE]]/Z86*10000)</f>
        <v xml:space="preserve"> </v>
      </c>
      <c r="AB86" s="538"/>
      <c r="AC86" s="1"/>
      <c r="AD86" s="1"/>
    </row>
    <row r="87" spans="1:30" ht="24" customHeight="1" x14ac:dyDescent="0.3">
      <c r="A87" s="532">
        <v>85</v>
      </c>
      <c r="B87" s="1"/>
      <c r="C87" s="533"/>
      <c r="D87" s="533"/>
      <c r="E87" s="533"/>
      <c r="F8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7" s="535"/>
      <c r="H87" s="535"/>
      <c r="I87" s="535"/>
      <c r="J87" s="535"/>
      <c r="K87" s="535"/>
      <c r="L87" s="537"/>
      <c r="M8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7" s="35" t="str">
        <f>IF(Inventory_List_Table341115109111317181416192021222324[[#This Row],[Q]]&lt;0.1, " ", Inventory_List_Table341115109111317181416192021222324[[#This Row],[KG]]*2.20462)</f>
        <v xml:space="preserve"> </v>
      </c>
      <c r="O87" s="35" t="str">
        <f>IF(Inventory_List_Table341115109111317181416192021222324[[#This Row],[Q]]&lt;0.1, " ",Inventory_List_Table341115109111317181416192021222324[[#This Row],[H CM]]/2.54)</f>
        <v xml:space="preserve"> </v>
      </c>
      <c r="P87" s="35" t="str">
        <f>IF(Inventory_List_Table341115109111317181416192021222324[[#This Row],[Q]]&lt;0.1, " ",Inventory_List_Table341115109111317181416192021222324[[#This Row],[W CM]]/2.54)</f>
        <v xml:space="preserve"> </v>
      </c>
      <c r="Q87" s="35" t="str">
        <f>IF(Inventory_List_Table341115109111317181416192021222324[[#This Row],[Q]]&lt;0.1, " ",Inventory_List_Table341115109111317181416192021222324[[#This Row],[D CM ]]/2.54)</f>
        <v xml:space="preserve"> </v>
      </c>
      <c r="R87" s="30" t="str">
        <f>IF(Inventory_List_Table341115109111317181416192021222324[[#This Row],[Q]]&lt;0.1, " ",Inventory_List_Table341115109111317181416192021222324[[#This Row],[PRICE]]/$L$1)</f>
        <v xml:space="preserve"> </v>
      </c>
      <c r="S8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7" s="30" t="str">
        <f>IF(Inventory_List_Table341115109111317181416192021222324[[#This Row],[Q]]&lt;0.1, " ",Inventory_List_Table341115109111317181416192021222324[[#This Row],[AQ RND USD]]*1.4)</f>
        <v xml:space="preserve"> </v>
      </c>
      <c r="U8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7" s="30" t="str">
        <f>IF(Inventory_List_Table341115109111317181416192021222324[[#This Row],[Q]]&lt;0.1, " ",Inventory_List_Table341115109111317181416192021222324[[#This Row],[LND RND USD]]*12)</f>
        <v xml:space="preserve"> </v>
      </c>
      <c r="W87" s="30" t="str">
        <f>IF(Inventory_List_Table341115109111317181416192021222324[[#This Row],[Q]]&lt;0.1, " ",Inventory_List_Table341115109111317181416192021222324[[#This Row],[AQ USD]])</f>
        <v xml:space="preserve"> </v>
      </c>
      <c r="X8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7" s="30" t="str">
        <f>IF(Inventory_List_Table341115109111317181416192021222324[[#This Row],[Q]]&lt;0.1, " ",Inventory_List_Table341115109111317181416192021222324[[#This Row],[PRICE]]/Z87*10000)</f>
        <v xml:space="preserve"> </v>
      </c>
      <c r="AB87" s="538"/>
      <c r="AC87" s="1"/>
      <c r="AD87" s="1"/>
    </row>
    <row r="88" spans="1:30" ht="24" customHeight="1" x14ac:dyDescent="0.3">
      <c r="A88" s="532">
        <v>86</v>
      </c>
      <c r="B88" s="1"/>
      <c r="C88" s="533"/>
      <c r="D88" s="533"/>
      <c r="E88" s="533"/>
      <c r="F8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8" s="535"/>
      <c r="H88" s="535"/>
      <c r="I88" s="535"/>
      <c r="J88" s="535"/>
      <c r="K88" s="535"/>
      <c r="L88" s="537"/>
      <c r="M8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8" s="35" t="str">
        <f>IF(Inventory_List_Table341115109111317181416192021222324[[#This Row],[Q]]&lt;0.1, " ", Inventory_List_Table341115109111317181416192021222324[[#This Row],[KG]]*2.20462)</f>
        <v xml:space="preserve"> </v>
      </c>
      <c r="O88" s="35" t="str">
        <f>IF(Inventory_List_Table341115109111317181416192021222324[[#This Row],[Q]]&lt;0.1, " ",Inventory_List_Table341115109111317181416192021222324[[#This Row],[H CM]]/2.54)</f>
        <v xml:space="preserve"> </v>
      </c>
      <c r="P88" s="35" t="str">
        <f>IF(Inventory_List_Table341115109111317181416192021222324[[#This Row],[Q]]&lt;0.1, " ",Inventory_List_Table341115109111317181416192021222324[[#This Row],[W CM]]/2.54)</f>
        <v xml:space="preserve"> </v>
      </c>
      <c r="Q88" s="35" t="str">
        <f>IF(Inventory_List_Table341115109111317181416192021222324[[#This Row],[Q]]&lt;0.1, " ",Inventory_List_Table341115109111317181416192021222324[[#This Row],[D CM ]]/2.54)</f>
        <v xml:space="preserve"> </v>
      </c>
      <c r="R88" s="30" t="str">
        <f>IF(Inventory_List_Table341115109111317181416192021222324[[#This Row],[Q]]&lt;0.1, " ",Inventory_List_Table341115109111317181416192021222324[[#This Row],[PRICE]]/$L$1)</f>
        <v xml:space="preserve"> </v>
      </c>
      <c r="S8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8" s="30" t="str">
        <f>IF(Inventory_List_Table341115109111317181416192021222324[[#This Row],[Q]]&lt;0.1, " ",Inventory_List_Table341115109111317181416192021222324[[#This Row],[AQ RND USD]]*1.4)</f>
        <v xml:space="preserve"> </v>
      </c>
      <c r="U8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8" s="30" t="str">
        <f>IF(Inventory_List_Table341115109111317181416192021222324[[#This Row],[Q]]&lt;0.1, " ",Inventory_List_Table341115109111317181416192021222324[[#This Row],[LND RND USD]]*12)</f>
        <v xml:space="preserve"> </v>
      </c>
      <c r="W88" s="30" t="str">
        <f>IF(Inventory_List_Table341115109111317181416192021222324[[#This Row],[Q]]&lt;0.1, " ",Inventory_List_Table341115109111317181416192021222324[[#This Row],[AQ USD]])</f>
        <v xml:space="preserve"> </v>
      </c>
      <c r="X8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8" s="30" t="str">
        <f>IF(Inventory_List_Table341115109111317181416192021222324[[#This Row],[Q]]&lt;0.1, " ",Inventory_List_Table341115109111317181416192021222324[[#This Row],[PRICE]]/Z88*10000)</f>
        <v xml:space="preserve"> </v>
      </c>
      <c r="AB88" s="538"/>
      <c r="AC88" s="1"/>
      <c r="AD88" s="1"/>
    </row>
    <row r="89" spans="1:30" ht="24" customHeight="1" x14ac:dyDescent="0.3">
      <c r="A89" s="532">
        <v>87</v>
      </c>
      <c r="B89" s="1"/>
      <c r="C89" s="533"/>
      <c r="D89" s="533"/>
      <c r="E89" s="533"/>
      <c r="F8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89" s="535"/>
      <c r="H89" s="535"/>
      <c r="I89" s="535"/>
      <c r="J89" s="535"/>
      <c r="K89" s="535"/>
      <c r="L89" s="537"/>
      <c r="M8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89" s="35" t="str">
        <f>IF(Inventory_List_Table341115109111317181416192021222324[[#This Row],[Q]]&lt;0.1, " ", Inventory_List_Table341115109111317181416192021222324[[#This Row],[KG]]*2.20462)</f>
        <v xml:space="preserve"> </v>
      </c>
      <c r="O89" s="35" t="str">
        <f>IF(Inventory_List_Table341115109111317181416192021222324[[#This Row],[Q]]&lt;0.1, " ",Inventory_List_Table341115109111317181416192021222324[[#This Row],[H CM]]/2.54)</f>
        <v xml:space="preserve"> </v>
      </c>
      <c r="P89" s="35" t="str">
        <f>IF(Inventory_List_Table341115109111317181416192021222324[[#This Row],[Q]]&lt;0.1, " ",Inventory_List_Table341115109111317181416192021222324[[#This Row],[W CM]]/2.54)</f>
        <v xml:space="preserve"> </v>
      </c>
      <c r="Q89" s="35" t="str">
        <f>IF(Inventory_List_Table341115109111317181416192021222324[[#This Row],[Q]]&lt;0.1, " ",Inventory_List_Table341115109111317181416192021222324[[#This Row],[D CM ]]/2.54)</f>
        <v xml:space="preserve"> </v>
      </c>
      <c r="R89" s="30" t="str">
        <f>IF(Inventory_List_Table341115109111317181416192021222324[[#This Row],[Q]]&lt;0.1, " ",Inventory_List_Table341115109111317181416192021222324[[#This Row],[PRICE]]/$L$1)</f>
        <v xml:space="preserve"> </v>
      </c>
      <c r="S8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89" s="30" t="str">
        <f>IF(Inventory_List_Table341115109111317181416192021222324[[#This Row],[Q]]&lt;0.1, " ",Inventory_List_Table341115109111317181416192021222324[[#This Row],[AQ RND USD]]*1.4)</f>
        <v xml:space="preserve"> </v>
      </c>
      <c r="U8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89" s="30" t="str">
        <f>IF(Inventory_List_Table341115109111317181416192021222324[[#This Row],[Q]]&lt;0.1, " ",Inventory_List_Table341115109111317181416192021222324[[#This Row],[LND RND USD]]*12)</f>
        <v xml:space="preserve"> </v>
      </c>
      <c r="W89" s="30" t="str">
        <f>IF(Inventory_List_Table341115109111317181416192021222324[[#This Row],[Q]]&lt;0.1, " ",Inventory_List_Table341115109111317181416192021222324[[#This Row],[AQ USD]])</f>
        <v xml:space="preserve"> </v>
      </c>
      <c r="X8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8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8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89" s="30" t="str">
        <f>IF(Inventory_List_Table341115109111317181416192021222324[[#This Row],[Q]]&lt;0.1, " ",Inventory_List_Table341115109111317181416192021222324[[#This Row],[PRICE]]/Z89*10000)</f>
        <v xml:space="preserve"> </v>
      </c>
      <c r="AB89" s="538"/>
      <c r="AC89" s="1"/>
      <c r="AD89" s="1"/>
    </row>
    <row r="90" spans="1:30" ht="24" customHeight="1" x14ac:dyDescent="0.3">
      <c r="A90" s="532">
        <v>88</v>
      </c>
      <c r="B90" s="1"/>
      <c r="C90" s="533"/>
      <c r="D90" s="533"/>
      <c r="E90" s="533"/>
      <c r="F9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0" s="535"/>
      <c r="H90" s="535"/>
      <c r="I90" s="535"/>
      <c r="J90" s="535"/>
      <c r="K90" s="535"/>
      <c r="L90" s="537"/>
      <c r="M9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0" s="35" t="str">
        <f>IF(Inventory_List_Table341115109111317181416192021222324[[#This Row],[Q]]&lt;0.1, " ", Inventory_List_Table341115109111317181416192021222324[[#This Row],[KG]]*2.20462)</f>
        <v xml:space="preserve"> </v>
      </c>
      <c r="O90" s="35" t="str">
        <f>IF(Inventory_List_Table341115109111317181416192021222324[[#This Row],[Q]]&lt;0.1, " ",Inventory_List_Table341115109111317181416192021222324[[#This Row],[H CM]]/2.54)</f>
        <v xml:space="preserve"> </v>
      </c>
      <c r="P90" s="35" t="str">
        <f>IF(Inventory_List_Table341115109111317181416192021222324[[#This Row],[Q]]&lt;0.1, " ",Inventory_List_Table341115109111317181416192021222324[[#This Row],[W CM]]/2.54)</f>
        <v xml:space="preserve"> </v>
      </c>
      <c r="Q90" s="35" t="str">
        <f>IF(Inventory_List_Table341115109111317181416192021222324[[#This Row],[Q]]&lt;0.1, " ",Inventory_List_Table341115109111317181416192021222324[[#This Row],[D CM ]]/2.54)</f>
        <v xml:space="preserve"> </v>
      </c>
      <c r="R90" s="30" t="str">
        <f>IF(Inventory_List_Table341115109111317181416192021222324[[#This Row],[Q]]&lt;0.1, " ",Inventory_List_Table341115109111317181416192021222324[[#This Row],[PRICE]]/$L$1)</f>
        <v xml:space="preserve"> </v>
      </c>
      <c r="S9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0" s="30" t="str">
        <f>IF(Inventory_List_Table341115109111317181416192021222324[[#This Row],[Q]]&lt;0.1, " ",Inventory_List_Table341115109111317181416192021222324[[#This Row],[AQ RND USD]]*1.4)</f>
        <v xml:space="preserve"> </v>
      </c>
      <c r="U9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0" s="30" t="str">
        <f>IF(Inventory_List_Table341115109111317181416192021222324[[#This Row],[Q]]&lt;0.1, " ",Inventory_List_Table341115109111317181416192021222324[[#This Row],[LND RND USD]]*12)</f>
        <v xml:space="preserve"> </v>
      </c>
      <c r="W90" s="30" t="str">
        <f>IF(Inventory_List_Table341115109111317181416192021222324[[#This Row],[Q]]&lt;0.1, " ",Inventory_List_Table341115109111317181416192021222324[[#This Row],[AQ USD]])</f>
        <v xml:space="preserve"> </v>
      </c>
      <c r="X9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0" s="30" t="str">
        <f>IF(Inventory_List_Table341115109111317181416192021222324[[#This Row],[Q]]&lt;0.1, " ",Inventory_List_Table341115109111317181416192021222324[[#This Row],[PRICE]]/Z90*10000)</f>
        <v xml:space="preserve"> </v>
      </c>
      <c r="AB90" s="538"/>
      <c r="AC90" s="1"/>
      <c r="AD90" s="1"/>
    </row>
    <row r="91" spans="1:30" ht="24" customHeight="1" x14ac:dyDescent="0.3">
      <c r="A91" s="532">
        <v>89</v>
      </c>
      <c r="B91" s="1"/>
      <c r="C91" s="533"/>
      <c r="D91" s="533"/>
      <c r="E91" s="533"/>
      <c r="F9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1" s="535"/>
      <c r="H91" s="535"/>
      <c r="I91" s="535"/>
      <c r="J91" s="535"/>
      <c r="K91" s="535"/>
      <c r="L91" s="537"/>
      <c r="M9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1" s="35" t="str">
        <f>IF(Inventory_List_Table341115109111317181416192021222324[[#This Row],[Q]]&lt;0.1, " ", Inventory_List_Table341115109111317181416192021222324[[#This Row],[KG]]*2.20462)</f>
        <v xml:space="preserve"> </v>
      </c>
      <c r="O91" s="35" t="str">
        <f>IF(Inventory_List_Table341115109111317181416192021222324[[#This Row],[Q]]&lt;0.1, " ",Inventory_List_Table341115109111317181416192021222324[[#This Row],[H CM]]/2.54)</f>
        <v xml:space="preserve"> </v>
      </c>
      <c r="P91" s="35" t="str">
        <f>IF(Inventory_List_Table341115109111317181416192021222324[[#This Row],[Q]]&lt;0.1, " ",Inventory_List_Table341115109111317181416192021222324[[#This Row],[W CM]]/2.54)</f>
        <v xml:space="preserve"> </v>
      </c>
      <c r="Q91" s="35" t="str">
        <f>IF(Inventory_List_Table341115109111317181416192021222324[[#This Row],[Q]]&lt;0.1, " ",Inventory_List_Table341115109111317181416192021222324[[#This Row],[D CM ]]/2.54)</f>
        <v xml:space="preserve"> </v>
      </c>
      <c r="R91" s="30" t="str">
        <f>IF(Inventory_List_Table341115109111317181416192021222324[[#This Row],[Q]]&lt;0.1, " ",Inventory_List_Table341115109111317181416192021222324[[#This Row],[PRICE]]/$L$1)</f>
        <v xml:space="preserve"> </v>
      </c>
      <c r="S9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1" s="30" t="str">
        <f>IF(Inventory_List_Table341115109111317181416192021222324[[#This Row],[Q]]&lt;0.1, " ",Inventory_List_Table341115109111317181416192021222324[[#This Row],[AQ RND USD]]*1.4)</f>
        <v xml:space="preserve"> </v>
      </c>
      <c r="U9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1" s="30" t="str">
        <f>IF(Inventory_List_Table341115109111317181416192021222324[[#This Row],[Q]]&lt;0.1, " ",Inventory_List_Table341115109111317181416192021222324[[#This Row],[LND RND USD]]*12)</f>
        <v xml:space="preserve"> </v>
      </c>
      <c r="W91" s="30" t="str">
        <f>IF(Inventory_List_Table341115109111317181416192021222324[[#This Row],[Q]]&lt;0.1, " ",Inventory_List_Table341115109111317181416192021222324[[#This Row],[AQ USD]])</f>
        <v xml:space="preserve"> </v>
      </c>
      <c r="X9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1" s="30" t="str">
        <f>IF(Inventory_List_Table341115109111317181416192021222324[[#This Row],[Q]]&lt;0.1, " ",Inventory_List_Table341115109111317181416192021222324[[#This Row],[PRICE]]/Z91*10000)</f>
        <v xml:space="preserve"> </v>
      </c>
      <c r="AB91" s="538"/>
      <c r="AC91" s="1"/>
      <c r="AD91" s="1"/>
    </row>
    <row r="92" spans="1:30" ht="24" customHeight="1" x14ac:dyDescent="0.3">
      <c r="A92" s="532">
        <v>90</v>
      </c>
      <c r="B92" s="1"/>
      <c r="C92" s="533"/>
      <c r="D92" s="533"/>
      <c r="E92" s="533"/>
      <c r="F9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2" s="535"/>
      <c r="H92" s="535"/>
      <c r="I92" s="535"/>
      <c r="J92" s="535"/>
      <c r="K92" s="535"/>
      <c r="L92" s="537"/>
      <c r="M9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2" s="35" t="str">
        <f>IF(Inventory_List_Table341115109111317181416192021222324[[#This Row],[Q]]&lt;0.1, " ", Inventory_List_Table341115109111317181416192021222324[[#This Row],[KG]]*2.20462)</f>
        <v xml:space="preserve"> </v>
      </c>
      <c r="O92" s="35" t="str">
        <f>IF(Inventory_List_Table341115109111317181416192021222324[[#This Row],[Q]]&lt;0.1, " ",Inventory_List_Table341115109111317181416192021222324[[#This Row],[H CM]]/2.54)</f>
        <v xml:space="preserve"> </v>
      </c>
      <c r="P92" s="35" t="str">
        <f>IF(Inventory_List_Table341115109111317181416192021222324[[#This Row],[Q]]&lt;0.1, " ",Inventory_List_Table341115109111317181416192021222324[[#This Row],[W CM]]/2.54)</f>
        <v xml:space="preserve"> </v>
      </c>
      <c r="Q92" s="35" t="str">
        <f>IF(Inventory_List_Table341115109111317181416192021222324[[#This Row],[Q]]&lt;0.1, " ",Inventory_List_Table341115109111317181416192021222324[[#This Row],[D CM ]]/2.54)</f>
        <v xml:space="preserve"> </v>
      </c>
      <c r="R92" s="30" t="str">
        <f>IF(Inventory_List_Table341115109111317181416192021222324[[#This Row],[Q]]&lt;0.1, " ",Inventory_List_Table341115109111317181416192021222324[[#This Row],[PRICE]]/$L$1)</f>
        <v xml:space="preserve"> </v>
      </c>
      <c r="S9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2" s="30" t="str">
        <f>IF(Inventory_List_Table341115109111317181416192021222324[[#This Row],[Q]]&lt;0.1, " ",Inventory_List_Table341115109111317181416192021222324[[#This Row],[AQ RND USD]]*1.4)</f>
        <v xml:space="preserve"> </v>
      </c>
      <c r="U9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2" s="30" t="str">
        <f>IF(Inventory_List_Table341115109111317181416192021222324[[#This Row],[Q]]&lt;0.1, " ",Inventory_List_Table341115109111317181416192021222324[[#This Row],[LND RND USD]]*12)</f>
        <v xml:space="preserve"> </v>
      </c>
      <c r="W92" s="30" t="str">
        <f>IF(Inventory_List_Table341115109111317181416192021222324[[#This Row],[Q]]&lt;0.1, " ",Inventory_List_Table341115109111317181416192021222324[[#This Row],[AQ USD]])</f>
        <v xml:space="preserve"> </v>
      </c>
      <c r="X9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2" s="30" t="str">
        <f>IF(Inventory_List_Table341115109111317181416192021222324[[#This Row],[Q]]&lt;0.1, " ",Inventory_List_Table341115109111317181416192021222324[[#This Row],[PRICE]]/Z92*10000)</f>
        <v xml:space="preserve"> </v>
      </c>
      <c r="AB92" s="538"/>
      <c r="AC92" s="1"/>
      <c r="AD92" s="1"/>
    </row>
    <row r="93" spans="1:30" ht="24" customHeight="1" x14ac:dyDescent="0.3">
      <c r="A93" s="532">
        <v>91</v>
      </c>
      <c r="B93" s="1"/>
      <c r="C93" s="533"/>
      <c r="D93" s="533"/>
      <c r="E93" s="533"/>
      <c r="F93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3" s="535"/>
      <c r="H93" s="535"/>
      <c r="I93" s="535"/>
      <c r="J93" s="535"/>
      <c r="K93" s="535"/>
      <c r="L93" s="537"/>
      <c r="M93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3" s="35" t="str">
        <f>IF(Inventory_List_Table341115109111317181416192021222324[[#This Row],[Q]]&lt;0.1, " ", Inventory_List_Table341115109111317181416192021222324[[#This Row],[KG]]*2.20462)</f>
        <v xml:space="preserve"> </v>
      </c>
      <c r="O93" s="35" t="str">
        <f>IF(Inventory_List_Table341115109111317181416192021222324[[#This Row],[Q]]&lt;0.1, " ",Inventory_List_Table341115109111317181416192021222324[[#This Row],[H CM]]/2.54)</f>
        <v xml:space="preserve"> </v>
      </c>
      <c r="P93" s="35" t="str">
        <f>IF(Inventory_List_Table341115109111317181416192021222324[[#This Row],[Q]]&lt;0.1, " ",Inventory_List_Table341115109111317181416192021222324[[#This Row],[W CM]]/2.54)</f>
        <v xml:space="preserve"> </v>
      </c>
      <c r="Q93" s="35" t="str">
        <f>IF(Inventory_List_Table341115109111317181416192021222324[[#This Row],[Q]]&lt;0.1, " ",Inventory_List_Table341115109111317181416192021222324[[#This Row],[D CM ]]/2.54)</f>
        <v xml:space="preserve"> </v>
      </c>
      <c r="R93" s="30" t="str">
        <f>IF(Inventory_List_Table341115109111317181416192021222324[[#This Row],[Q]]&lt;0.1, " ",Inventory_List_Table341115109111317181416192021222324[[#This Row],[PRICE]]/$L$1)</f>
        <v xml:space="preserve"> </v>
      </c>
      <c r="S93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3" s="30" t="str">
        <f>IF(Inventory_List_Table341115109111317181416192021222324[[#This Row],[Q]]&lt;0.1, " ",Inventory_List_Table341115109111317181416192021222324[[#This Row],[AQ RND USD]]*1.4)</f>
        <v xml:space="preserve"> </v>
      </c>
      <c r="U93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3" s="30" t="str">
        <f>IF(Inventory_List_Table341115109111317181416192021222324[[#This Row],[Q]]&lt;0.1, " ",Inventory_List_Table341115109111317181416192021222324[[#This Row],[LND RND USD]]*12)</f>
        <v xml:space="preserve"> </v>
      </c>
      <c r="W93" s="30" t="str">
        <f>IF(Inventory_List_Table341115109111317181416192021222324[[#This Row],[Q]]&lt;0.1, " ",Inventory_List_Table341115109111317181416192021222324[[#This Row],[AQ USD]])</f>
        <v xml:space="preserve"> </v>
      </c>
      <c r="X9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3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3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3" s="30" t="str">
        <f>IF(Inventory_List_Table341115109111317181416192021222324[[#This Row],[Q]]&lt;0.1, " ",Inventory_List_Table341115109111317181416192021222324[[#This Row],[PRICE]]/Z93*10000)</f>
        <v xml:space="preserve"> </v>
      </c>
      <c r="AB93" s="538"/>
      <c r="AC93" s="1"/>
      <c r="AD93" s="1"/>
    </row>
    <row r="94" spans="1:30" ht="24" customHeight="1" x14ac:dyDescent="0.3">
      <c r="A94" s="532">
        <v>92</v>
      </c>
      <c r="B94" s="1"/>
      <c r="C94" s="533"/>
      <c r="D94" s="533"/>
      <c r="E94" s="533"/>
      <c r="F94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4" s="535"/>
      <c r="H94" s="535"/>
      <c r="I94" s="535"/>
      <c r="J94" s="535"/>
      <c r="K94" s="535"/>
      <c r="L94" s="537"/>
      <c r="M94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4" s="35" t="str">
        <f>IF(Inventory_List_Table341115109111317181416192021222324[[#This Row],[Q]]&lt;0.1, " ", Inventory_List_Table341115109111317181416192021222324[[#This Row],[KG]]*2.20462)</f>
        <v xml:space="preserve"> </v>
      </c>
      <c r="O94" s="35" t="str">
        <f>IF(Inventory_List_Table341115109111317181416192021222324[[#This Row],[Q]]&lt;0.1, " ",Inventory_List_Table341115109111317181416192021222324[[#This Row],[H CM]]/2.54)</f>
        <v xml:space="preserve"> </v>
      </c>
      <c r="P94" s="35" t="str">
        <f>IF(Inventory_List_Table341115109111317181416192021222324[[#This Row],[Q]]&lt;0.1, " ",Inventory_List_Table341115109111317181416192021222324[[#This Row],[W CM]]/2.54)</f>
        <v xml:space="preserve"> </v>
      </c>
      <c r="Q94" s="35" t="str">
        <f>IF(Inventory_List_Table341115109111317181416192021222324[[#This Row],[Q]]&lt;0.1, " ",Inventory_List_Table341115109111317181416192021222324[[#This Row],[D CM ]]/2.54)</f>
        <v xml:space="preserve"> </v>
      </c>
      <c r="R94" s="30" t="str">
        <f>IF(Inventory_List_Table341115109111317181416192021222324[[#This Row],[Q]]&lt;0.1, " ",Inventory_List_Table341115109111317181416192021222324[[#This Row],[PRICE]]/$L$1)</f>
        <v xml:space="preserve"> </v>
      </c>
      <c r="S94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4" s="30" t="str">
        <f>IF(Inventory_List_Table341115109111317181416192021222324[[#This Row],[Q]]&lt;0.1, " ",Inventory_List_Table341115109111317181416192021222324[[#This Row],[AQ RND USD]]*1.4)</f>
        <v xml:space="preserve"> </v>
      </c>
      <c r="U94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4" s="30" t="str">
        <f>IF(Inventory_List_Table341115109111317181416192021222324[[#This Row],[Q]]&lt;0.1, " ",Inventory_List_Table341115109111317181416192021222324[[#This Row],[LND RND USD]]*12)</f>
        <v xml:space="preserve"> </v>
      </c>
      <c r="W94" s="30" t="str">
        <f>IF(Inventory_List_Table341115109111317181416192021222324[[#This Row],[Q]]&lt;0.1, " ",Inventory_List_Table341115109111317181416192021222324[[#This Row],[AQ USD]])</f>
        <v xml:space="preserve"> </v>
      </c>
      <c r="X9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4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4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4" s="30" t="str">
        <f>IF(Inventory_List_Table341115109111317181416192021222324[[#This Row],[Q]]&lt;0.1, " ",Inventory_List_Table341115109111317181416192021222324[[#This Row],[PRICE]]/Z94*10000)</f>
        <v xml:space="preserve"> </v>
      </c>
      <c r="AB94" s="538"/>
      <c r="AC94" s="1"/>
      <c r="AD94" s="1"/>
    </row>
    <row r="95" spans="1:30" ht="24" customHeight="1" x14ac:dyDescent="0.3">
      <c r="A95" s="532">
        <v>93</v>
      </c>
      <c r="B95" s="1"/>
      <c r="C95" s="533"/>
      <c r="D95" s="533"/>
      <c r="E95" s="533"/>
      <c r="F95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5" s="535"/>
      <c r="H95" s="535"/>
      <c r="I95" s="535"/>
      <c r="J95" s="535"/>
      <c r="K95" s="535"/>
      <c r="L95" s="537"/>
      <c r="M95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5" s="35" t="str">
        <f>IF(Inventory_List_Table341115109111317181416192021222324[[#This Row],[Q]]&lt;0.1, " ", Inventory_List_Table341115109111317181416192021222324[[#This Row],[KG]]*2.20462)</f>
        <v xml:space="preserve"> </v>
      </c>
      <c r="O95" s="35" t="str">
        <f>IF(Inventory_List_Table341115109111317181416192021222324[[#This Row],[Q]]&lt;0.1, " ",Inventory_List_Table341115109111317181416192021222324[[#This Row],[H CM]]/2.54)</f>
        <v xml:space="preserve"> </v>
      </c>
      <c r="P95" s="35" t="str">
        <f>IF(Inventory_List_Table341115109111317181416192021222324[[#This Row],[Q]]&lt;0.1, " ",Inventory_List_Table341115109111317181416192021222324[[#This Row],[W CM]]/2.54)</f>
        <v xml:space="preserve"> </v>
      </c>
      <c r="Q95" s="35" t="str">
        <f>IF(Inventory_List_Table341115109111317181416192021222324[[#This Row],[Q]]&lt;0.1, " ",Inventory_List_Table341115109111317181416192021222324[[#This Row],[D CM ]]/2.54)</f>
        <v xml:space="preserve"> </v>
      </c>
      <c r="R95" s="30" t="str">
        <f>IF(Inventory_List_Table341115109111317181416192021222324[[#This Row],[Q]]&lt;0.1, " ",Inventory_List_Table341115109111317181416192021222324[[#This Row],[PRICE]]/$L$1)</f>
        <v xml:space="preserve"> </v>
      </c>
      <c r="S95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5" s="30" t="str">
        <f>IF(Inventory_List_Table341115109111317181416192021222324[[#This Row],[Q]]&lt;0.1, " ",Inventory_List_Table341115109111317181416192021222324[[#This Row],[AQ RND USD]]*1.4)</f>
        <v xml:space="preserve"> </v>
      </c>
      <c r="U95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5" s="30" t="str">
        <f>IF(Inventory_List_Table341115109111317181416192021222324[[#This Row],[Q]]&lt;0.1, " ",Inventory_List_Table341115109111317181416192021222324[[#This Row],[LND RND USD]]*12)</f>
        <v xml:space="preserve"> </v>
      </c>
      <c r="W95" s="30" t="str">
        <f>IF(Inventory_List_Table341115109111317181416192021222324[[#This Row],[Q]]&lt;0.1, " ",Inventory_List_Table341115109111317181416192021222324[[#This Row],[AQ USD]])</f>
        <v xml:space="preserve"> </v>
      </c>
      <c r="X9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5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5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5" s="30" t="str">
        <f>IF(Inventory_List_Table341115109111317181416192021222324[[#This Row],[Q]]&lt;0.1, " ",Inventory_List_Table341115109111317181416192021222324[[#This Row],[PRICE]]/Z95*10000)</f>
        <v xml:space="preserve"> </v>
      </c>
      <c r="AB95" s="538"/>
      <c r="AC95" s="1"/>
      <c r="AD95" s="1"/>
    </row>
    <row r="96" spans="1:30" ht="24" customHeight="1" x14ac:dyDescent="0.3">
      <c r="A96" s="532">
        <v>94</v>
      </c>
      <c r="B96" s="1"/>
      <c r="C96" s="533"/>
      <c r="D96" s="533"/>
      <c r="E96" s="533"/>
      <c r="F96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6" s="535"/>
      <c r="H96" s="535"/>
      <c r="I96" s="535"/>
      <c r="J96" s="535"/>
      <c r="K96" s="535"/>
      <c r="L96" s="537"/>
      <c r="M96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6" s="35" t="str">
        <f>IF(Inventory_List_Table341115109111317181416192021222324[[#This Row],[Q]]&lt;0.1, " ", Inventory_List_Table341115109111317181416192021222324[[#This Row],[KG]]*2.20462)</f>
        <v xml:space="preserve"> </v>
      </c>
      <c r="O96" s="35" t="str">
        <f>IF(Inventory_List_Table341115109111317181416192021222324[[#This Row],[Q]]&lt;0.1, " ",Inventory_List_Table341115109111317181416192021222324[[#This Row],[H CM]]/2.54)</f>
        <v xml:space="preserve"> </v>
      </c>
      <c r="P96" s="35" t="str">
        <f>IF(Inventory_List_Table341115109111317181416192021222324[[#This Row],[Q]]&lt;0.1, " ",Inventory_List_Table341115109111317181416192021222324[[#This Row],[W CM]]/2.54)</f>
        <v xml:space="preserve"> </v>
      </c>
      <c r="Q96" s="35" t="str">
        <f>IF(Inventory_List_Table341115109111317181416192021222324[[#This Row],[Q]]&lt;0.1, " ",Inventory_List_Table341115109111317181416192021222324[[#This Row],[D CM ]]/2.54)</f>
        <v xml:space="preserve"> </v>
      </c>
      <c r="R96" s="30" t="str">
        <f>IF(Inventory_List_Table341115109111317181416192021222324[[#This Row],[Q]]&lt;0.1, " ",Inventory_List_Table341115109111317181416192021222324[[#This Row],[PRICE]]/$L$1)</f>
        <v xml:space="preserve"> </v>
      </c>
      <c r="S96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6" s="30" t="str">
        <f>IF(Inventory_List_Table341115109111317181416192021222324[[#This Row],[Q]]&lt;0.1, " ",Inventory_List_Table341115109111317181416192021222324[[#This Row],[AQ RND USD]]*1.4)</f>
        <v xml:space="preserve"> </v>
      </c>
      <c r="U96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6" s="30" t="str">
        <f>IF(Inventory_List_Table341115109111317181416192021222324[[#This Row],[Q]]&lt;0.1, " ",Inventory_List_Table341115109111317181416192021222324[[#This Row],[LND RND USD]]*12)</f>
        <v xml:space="preserve"> </v>
      </c>
      <c r="W96" s="30" t="str">
        <f>IF(Inventory_List_Table341115109111317181416192021222324[[#This Row],[Q]]&lt;0.1, " ",Inventory_List_Table341115109111317181416192021222324[[#This Row],[AQ USD]])</f>
        <v xml:space="preserve"> </v>
      </c>
      <c r="X9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6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6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6" s="30" t="str">
        <f>IF(Inventory_List_Table341115109111317181416192021222324[[#This Row],[Q]]&lt;0.1, " ",Inventory_List_Table341115109111317181416192021222324[[#This Row],[PRICE]]/Z96*10000)</f>
        <v xml:space="preserve"> </v>
      </c>
      <c r="AB96" s="538"/>
      <c r="AC96" s="1"/>
      <c r="AD96" s="1"/>
    </row>
    <row r="97" spans="1:30" ht="24" customHeight="1" x14ac:dyDescent="0.3">
      <c r="A97" s="532">
        <v>95</v>
      </c>
      <c r="B97" s="1"/>
      <c r="C97" s="533"/>
      <c r="D97" s="533"/>
      <c r="E97" s="533"/>
      <c r="F97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7" s="535"/>
      <c r="H97" s="535"/>
      <c r="I97" s="535"/>
      <c r="J97" s="535"/>
      <c r="K97" s="535"/>
      <c r="L97" s="537"/>
      <c r="M97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7" s="35" t="str">
        <f>IF(Inventory_List_Table341115109111317181416192021222324[[#This Row],[Q]]&lt;0.1, " ", Inventory_List_Table341115109111317181416192021222324[[#This Row],[KG]]*2.20462)</f>
        <v xml:space="preserve"> </v>
      </c>
      <c r="O97" s="35" t="str">
        <f>IF(Inventory_List_Table341115109111317181416192021222324[[#This Row],[Q]]&lt;0.1, " ",Inventory_List_Table341115109111317181416192021222324[[#This Row],[H CM]]/2.54)</f>
        <v xml:space="preserve"> </v>
      </c>
      <c r="P97" s="35" t="str">
        <f>IF(Inventory_List_Table341115109111317181416192021222324[[#This Row],[Q]]&lt;0.1, " ",Inventory_List_Table341115109111317181416192021222324[[#This Row],[W CM]]/2.54)</f>
        <v xml:space="preserve"> </v>
      </c>
      <c r="Q97" s="35" t="str">
        <f>IF(Inventory_List_Table341115109111317181416192021222324[[#This Row],[Q]]&lt;0.1, " ",Inventory_List_Table341115109111317181416192021222324[[#This Row],[D CM ]]/2.54)</f>
        <v xml:space="preserve"> </v>
      </c>
      <c r="R97" s="30" t="str">
        <f>IF(Inventory_List_Table341115109111317181416192021222324[[#This Row],[Q]]&lt;0.1, " ",Inventory_List_Table341115109111317181416192021222324[[#This Row],[PRICE]]/$L$1)</f>
        <v xml:space="preserve"> </v>
      </c>
      <c r="S97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7" s="30" t="str">
        <f>IF(Inventory_List_Table341115109111317181416192021222324[[#This Row],[Q]]&lt;0.1, " ",Inventory_List_Table341115109111317181416192021222324[[#This Row],[AQ RND USD]]*1.4)</f>
        <v xml:space="preserve"> </v>
      </c>
      <c r="U97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7" s="30" t="str">
        <f>IF(Inventory_List_Table341115109111317181416192021222324[[#This Row],[Q]]&lt;0.1, " ",Inventory_List_Table341115109111317181416192021222324[[#This Row],[LND RND USD]]*12)</f>
        <v xml:space="preserve"> </v>
      </c>
      <c r="W97" s="30" t="str">
        <f>IF(Inventory_List_Table341115109111317181416192021222324[[#This Row],[Q]]&lt;0.1, " ",Inventory_List_Table341115109111317181416192021222324[[#This Row],[AQ USD]])</f>
        <v xml:space="preserve"> </v>
      </c>
      <c r="X9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7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7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7" s="30" t="str">
        <f>IF(Inventory_List_Table341115109111317181416192021222324[[#This Row],[Q]]&lt;0.1, " ",Inventory_List_Table341115109111317181416192021222324[[#This Row],[PRICE]]/Z97*10000)</f>
        <v xml:space="preserve"> </v>
      </c>
      <c r="AB97" s="538"/>
      <c r="AC97" s="1"/>
      <c r="AD97" s="1"/>
    </row>
    <row r="98" spans="1:30" ht="24" customHeight="1" x14ac:dyDescent="0.3">
      <c r="A98" s="532">
        <v>96</v>
      </c>
      <c r="B98" s="1"/>
      <c r="C98" s="533"/>
      <c r="D98" s="533"/>
      <c r="E98" s="533"/>
      <c r="F98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8" s="535"/>
      <c r="H98" s="535"/>
      <c r="I98" s="535"/>
      <c r="J98" s="535"/>
      <c r="K98" s="535"/>
      <c r="L98" s="537"/>
      <c r="M98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8" s="35" t="str">
        <f>IF(Inventory_List_Table341115109111317181416192021222324[[#This Row],[Q]]&lt;0.1, " ", Inventory_List_Table341115109111317181416192021222324[[#This Row],[KG]]*2.20462)</f>
        <v xml:space="preserve"> </v>
      </c>
      <c r="O98" s="35" t="str">
        <f>IF(Inventory_List_Table341115109111317181416192021222324[[#This Row],[Q]]&lt;0.1, " ",Inventory_List_Table341115109111317181416192021222324[[#This Row],[H CM]]/2.54)</f>
        <v xml:space="preserve"> </v>
      </c>
      <c r="P98" s="35" t="str">
        <f>IF(Inventory_List_Table341115109111317181416192021222324[[#This Row],[Q]]&lt;0.1, " ",Inventory_List_Table341115109111317181416192021222324[[#This Row],[W CM]]/2.54)</f>
        <v xml:space="preserve"> </v>
      </c>
      <c r="Q98" s="35" t="str">
        <f>IF(Inventory_List_Table341115109111317181416192021222324[[#This Row],[Q]]&lt;0.1, " ",Inventory_List_Table341115109111317181416192021222324[[#This Row],[D CM ]]/2.54)</f>
        <v xml:space="preserve"> </v>
      </c>
      <c r="R98" s="30" t="str">
        <f>IF(Inventory_List_Table341115109111317181416192021222324[[#This Row],[Q]]&lt;0.1, " ",Inventory_List_Table341115109111317181416192021222324[[#This Row],[PRICE]]/$L$1)</f>
        <v xml:space="preserve"> </v>
      </c>
      <c r="S98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8" s="30" t="str">
        <f>IF(Inventory_List_Table341115109111317181416192021222324[[#This Row],[Q]]&lt;0.1, " ",Inventory_List_Table341115109111317181416192021222324[[#This Row],[AQ RND USD]]*1.4)</f>
        <v xml:space="preserve"> </v>
      </c>
      <c r="U98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8" s="30" t="str">
        <f>IF(Inventory_List_Table341115109111317181416192021222324[[#This Row],[Q]]&lt;0.1, " ",Inventory_List_Table341115109111317181416192021222324[[#This Row],[LND RND USD]]*12)</f>
        <v xml:space="preserve"> </v>
      </c>
      <c r="W98" s="30" t="str">
        <f>IF(Inventory_List_Table341115109111317181416192021222324[[#This Row],[Q]]&lt;0.1, " ",Inventory_List_Table341115109111317181416192021222324[[#This Row],[AQ USD]])</f>
        <v xml:space="preserve"> </v>
      </c>
      <c r="X9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8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8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8" s="30" t="str">
        <f>IF(Inventory_List_Table341115109111317181416192021222324[[#This Row],[Q]]&lt;0.1, " ",Inventory_List_Table341115109111317181416192021222324[[#This Row],[PRICE]]/Z98*10000)</f>
        <v xml:space="preserve"> </v>
      </c>
      <c r="AB98" s="538"/>
      <c r="AC98" s="1"/>
      <c r="AD98" s="1"/>
    </row>
    <row r="99" spans="1:30" ht="24" customHeight="1" x14ac:dyDescent="0.3">
      <c r="A99" s="532">
        <v>97</v>
      </c>
      <c r="B99" s="1"/>
      <c r="C99" s="533"/>
      <c r="D99" s="533"/>
      <c r="E99" s="533"/>
      <c r="F99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99" s="535"/>
      <c r="H99" s="535"/>
      <c r="I99" s="535"/>
      <c r="J99" s="535"/>
      <c r="K99" s="535"/>
      <c r="L99" s="537"/>
      <c r="M99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99" s="35" t="str">
        <f>IF(Inventory_List_Table341115109111317181416192021222324[[#This Row],[Q]]&lt;0.1, " ", Inventory_List_Table341115109111317181416192021222324[[#This Row],[KG]]*2.20462)</f>
        <v xml:space="preserve"> </v>
      </c>
      <c r="O99" s="35" t="str">
        <f>IF(Inventory_List_Table341115109111317181416192021222324[[#This Row],[Q]]&lt;0.1, " ",Inventory_List_Table341115109111317181416192021222324[[#This Row],[H CM]]/2.54)</f>
        <v xml:space="preserve"> </v>
      </c>
      <c r="P99" s="35" t="str">
        <f>IF(Inventory_List_Table341115109111317181416192021222324[[#This Row],[Q]]&lt;0.1, " ",Inventory_List_Table341115109111317181416192021222324[[#This Row],[W CM]]/2.54)</f>
        <v xml:space="preserve"> </v>
      </c>
      <c r="Q99" s="35" t="str">
        <f>IF(Inventory_List_Table341115109111317181416192021222324[[#This Row],[Q]]&lt;0.1, " ",Inventory_List_Table341115109111317181416192021222324[[#This Row],[D CM ]]/2.54)</f>
        <v xml:space="preserve"> </v>
      </c>
      <c r="R99" s="30" t="str">
        <f>IF(Inventory_List_Table341115109111317181416192021222324[[#This Row],[Q]]&lt;0.1, " ",Inventory_List_Table341115109111317181416192021222324[[#This Row],[PRICE]]/$L$1)</f>
        <v xml:space="preserve"> </v>
      </c>
      <c r="S99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99" s="30" t="str">
        <f>IF(Inventory_List_Table341115109111317181416192021222324[[#This Row],[Q]]&lt;0.1, " ",Inventory_List_Table341115109111317181416192021222324[[#This Row],[AQ RND USD]]*1.4)</f>
        <v xml:space="preserve"> </v>
      </c>
      <c r="U99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99" s="30" t="str">
        <f>IF(Inventory_List_Table341115109111317181416192021222324[[#This Row],[Q]]&lt;0.1, " ",Inventory_List_Table341115109111317181416192021222324[[#This Row],[LND RND USD]]*12)</f>
        <v xml:space="preserve"> </v>
      </c>
      <c r="W99" s="30" t="str">
        <f>IF(Inventory_List_Table341115109111317181416192021222324[[#This Row],[Q]]&lt;0.1, " ",Inventory_List_Table341115109111317181416192021222324[[#This Row],[AQ USD]])</f>
        <v xml:space="preserve"> </v>
      </c>
      <c r="X9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99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99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99" s="30" t="str">
        <f>IF(Inventory_List_Table341115109111317181416192021222324[[#This Row],[Q]]&lt;0.1, " ",Inventory_List_Table341115109111317181416192021222324[[#This Row],[PRICE]]/Z99*10000)</f>
        <v xml:space="preserve"> </v>
      </c>
      <c r="AB99" s="538"/>
      <c r="AC99" s="1"/>
      <c r="AD99" s="1"/>
    </row>
    <row r="100" spans="1:30" ht="24" customHeight="1" x14ac:dyDescent="0.3">
      <c r="A100" s="532">
        <v>98</v>
      </c>
      <c r="B100" s="1"/>
      <c r="C100" s="533"/>
      <c r="D100" s="533"/>
      <c r="E100" s="533"/>
      <c r="F100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00" s="535"/>
      <c r="H100" s="535"/>
      <c r="I100" s="535"/>
      <c r="J100" s="535"/>
      <c r="K100" s="535"/>
      <c r="L100" s="537"/>
      <c r="M100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00" s="35" t="str">
        <f>IF(Inventory_List_Table341115109111317181416192021222324[[#This Row],[Q]]&lt;0.1, " ", Inventory_List_Table341115109111317181416192021222324[[#This Row],[KG]]*2.20462)</f>
        <v xml:space="preserve"> </v>
      </c>
      <c r="O100" s="35" t="str">
        <f>IF(Inventory_List_Table341115109111317181416192021222324[[#This Row],[Q]]&lt;0.1, " ",Inventory_List_Table341115109111317181416192021222324[[#This Row],[H CM]]/2.54)</f>
        <v xml:space="preserve"> </v>
      </c>
      <c r="P100" s="35" t="str">
        <f>IF(Inventory_List_Table341115109111317181416192021222324[[#This Row],[Q]]&lt;0.1, " ",Inventory_List_Table341115109111317181416192021222324[[#This Row],[W CM]]/2.54)</f>
        <v xml:space="preserve"> </v>
      </c>
      <c r="Q100" s="35" t="str">
        <f>IF(Inventory_List_Table341115109111317181416192021222324[[#This Row],[Q]]&lt;0.1, " ",Inventory_List_Table341115109111317181416192021222324[[#This Row],[D CM ]]/2.54)</f>
        <v xml:space="preserve"> </v>
      </c>
      <c r="R100" s="30" t="str">
        <f>IF(Inventory_List_Table341115109111317181416192021222324[[#This Row],[Q]]&lt;0.1, " ",Inventory_List_Table341115109111317181416192021222324[[#This Row],[PRICE]]/$L$1)</f>
        <v xml:space="preserve"> </v>
      </c>
      <c r="S100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00" s="30" t="str">
        <f>IF(Inventory_List_Table341115109111317181416192021222324[[#This Row],[Q]]&lt;0.1, " ",Inventory_List_Table341115109111317181416192021222324[[#This Row],[AQ RND USD]]*1.4)</f>
        <v xml:space="preserve"> </v>
      </c>
      <c r="U100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00" s="30" t="str">
        <f>IF(Inventory_List_Table341115109111317181416192021222324[[#This Row],[Q]]&lt;0.1, " ",Inventory_List_Table341115109111317181416192021222324[[#This Row],[LND RND USD]]*12)</f>
        <v xml:space="preserve"> </v>
      </c>
      <c r="W100" s="30" t="str">
        <f>IF(Inventory_List_Table341115109111317181416192021222324[[#This Row],[Q]]&lt;0.1, " ",Inventory_List_Table341115109111317181416192021222324[[#This Row],[AQ USD]])</f>
        <v xml:space="preserve"> </v>
      </c>
      <c r="X10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00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00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00" s="30" t="str">
        <f>IF(Inventory_List_Table341115109111317181416192021222324[[#This Row],[Q]]&lt;0.1, " ",Inventory_List_Table341115109111317181416192021222324[[#This Row],[PRICE]]/Z100*10000)</f>
        <v xml:space="preserve"> </v>
      </c>
      <c r="AB100" s="538"/>
      <c r="AC100" s="1"/>
      <c r="AD100" s="1"/>
    </row>
    <row r="101" spans="1:30" ht="24" customHeight="1" x14ac:dyDescent="0.3">
      <c r="A101" s="532">
        <v>99</v>
      </c>
      <c r="B101" s="1"/>
      <c r="C101" s="533"/>
      <c r="D101" s="533"/>
      <c r="E101" s="533"/>
      <c r="F101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01" s="535"/>
      <c r="H101" s="535"/>
      <c r="I101" s="535"/>
      <c r="J101" s="535"/>
      <c r="K101" s="535"/>
      <c r="L101" s="537"/>
      <c r="M101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01" s="35" t="str">
        <f>IF(Inventory_List_Table341115109111317181416192021222324[[#This Row],[Q]]&lt;0.1, " ", Inventory_List_Table341115109111317181416192021222324[[#This Row],[KG]]*2.20462)</f>
        <v xml:space="preserve"> </v>
      </c>
      <c r="O101" s="35" t="str">
        <f>IF(Inventory_List_Table341115109111317181416192021222324[[#This Row],[Q]]&lt;0.1, " ",Inventory_List_Table341115109111317181416192021222324[[#This Row],[H CM]]/2.54)</f>
        <v xml:space="preserve"> </v>
      </c>
      <c r="P101" s="35" t="str">
        <f>IF(Inventory_List_Table341115109111317181416192021222324[[#This Row],[Q]]&lt;0.1, " ",Inventory_List_Table341115109111317181416192021222324[[#This Row],[W CM]]/2.54)</f>
        <v xml:space="preserve"> </v>
      </c>
      <c r="Q101" s="35" t="str">
        <f>IF(Inventory_List_Table341115109111317181416192021222324[[#This Row],[Q]]&lt;0.1, " ",Inventory_List_Table341115109111317181416192021222324[[#This Row],[D CM ]]/2.54)</f>
        <v xml:space="preserve"> </v>
      </c>
      <c r="R101" s="30" t="str">
        <f>IF(Inventory_List_Table341115109111317181416192021222324[[#This Row],[Q]]&lt;0.1, " ",Inventory_List_Table341115109111317181416192021222324[[#This Row],[PRICE]]/$L$1)</f>
        <v xml:space="preserve"> </v>
      </c>
      <c r="S101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01" s="30" t="str">
        <f>IF(Inventory_List_Table341115109111317181416192021222324[[#This Row],[Q]]&lt;0.1, " ",Inventory_List_Table341115109111317181416192021222324[[#This Row],[AQ RND USD]]*1.4)</f>
        <v xml:space="preserve"> </v>
      </c>
      <c r="U101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01" s="30" t="str">
        <f>IF(Inventory_List_Table341115109111317181416192021222324[[#This Row],[Q]]&lt;0.1, " ",Inventory_List_Table341115109111317181416192021222324[[#This Row],[LND RND USD]]*12)</f>
        <v xml:space="preserve"> </v>
      </c>
      <c r="W101" s="30" t="str">
        <f>IF(Inventory_List_Table341115109111317181416192021222324[[#This Row],[Q]]&lt;0.1, " ",Inventory_List_Table341115109111317181416192021222324[[#This Row],[AQ USD]])</f>
        <v xml:space="preserve"> </v>
      </c>
      <c r="X10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01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01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01" s="30" t="str">
        <f>IF(Inventory_List_Table341115109111317181416192021222324[[#This Row],[Q]]&lt;0.1, " ",Inventory_List_Table341115109111317181416192021222324[[#This Row],[PRICE]]/Z101*10000)</f>
        <v xml:space="preserve"> </v>
      </c>
      <c r="AB101" s="538"/>
      <c r="AC101" s="1"/>
      <c r="AD101" s="1"/>
    </row>
    <row r="102" spans="1:30" ht="24" customHeight="1" x14ac:dyDescent="0.3">
      <c r="A102" s="532">
        <v>100</v>
      </c>
      <c r="B102" s="1"/>
      <c r="C102" s="533"/>
      <c r="D102" s="533"/>
      <c r="E102" s="533"/>
      <c r="F102" s="38" t="str">
        <f>IF(Inventory_List_Table341115109111317181416192021222324[[#This Row],[Q]]&lt;0.1, " ",#REF!&amp;$D$1&amp;#REF!&amp;Inventory_List_Table341115109111317181416192021222324[[#This Row],[NOTES]])</f>
        <v xml:space="preserve"> </v>
      </c>
      <c r="G102" s="535"/>
      <c r="H102" s="535"/>
      <c r="I102" s="535"/>
      <c r="J102" s="535"/>
      <c r="K102" s="535"/>
      <c r="L102" s="537"/>
      <c r="M102" s="30" t="str">
        <f>IF(Inventory_List_Table341115109111317181416192021222324[[#This Row],[Q]]&lt;0.1, " ", Inventory_List_Table341115109111317181416192021222324[[#This Row],[Q]]*Inventory_List_Table341115109111317181416192021222324[[#This Row],[PRICE]])</f>
        <v xml:space="preserve"> </v>
      </c>
      <c r="N102" s="35" t="str">
        <f>IF(Inventory_List_Table341115109111317181416192021222324[[#This Row],[Q]]&lt;0.1, " ", Inventory_List_Table341115109111317181416192021222324[[#This Row],[KG]]*2.20462)</f>
        <v xml:space="preserve"> </v>
      </c>
      <c r="O102" s="35" t="str">
        <f>IF(Inventory_List_Table341115109111317181416192021222324[[#This Row],[Q]]&lt;0.1, " ",Inventory_List_Table341115109111317181416192021222324[[#This Row],[H CM]]/2.54)</f>
        <v xml:space="preserve"> </v>
      </c>
      <c r="P102" s="35" t="str">
        <f>IF(Inventory_List_Table341115109111317181416192021222324[[#This Row],[Q]]&lt;0.1, " ",Inventory_List_Table341115109111317181416192021222324[[#This Row],[W CM]]/2.54)</f>
        <v xml:space="preserve"> </v>
      </c>
      <c r="Q102" s="35" t="str">
        <f>IF(Inventory_List_Table341115109111317181416192021222324[[#This Row],[Q]]&lt;0.1, " ",Inventory_List_Table341115109111317181416192021222324[[#This Row],[D CM ]]/2.54)</f>
        <v xml:space="preserve"> </v>
      </c>
      <c r="R102" s="30" t="str">
        <f>IF(Inventory_List_Table341115109111317181416192021222324[[#This Row],[Q]]&lt;0.1, " ",Inventory_List_Table341115109111317181416192021222324[[#This Row],[PRICE]]/$L$1)</f>
        <v xml:space="preserve"> </v>
      </c>
      <c r="S102" s="30" t="str">
        <f>IF(Inventory_List_Table341115109111317181416192021222324[[#This Row],[Q]]&lt;0.1, " ",IF(MOD(Inventory_List_Table341115109111317181416192021222324[[#This Row],[AQ USD]],1)&gt;0.4,ROUNDUP(Inventory_List_Table341115109111317181416192021222324[[#This Row],[AQ USD]],0),ROUNDDOWN(Inventory_List_Table341115109111317181416192021222324[[#This Row],[AQ USD]],0)))</f>
        <v xml:space="preserve"> </v>
      </c>
      <c r="T102" s="30" t="str">
        <f>IF(Inventory_List_Table341115109111317181416192021222324[[#This Row],[Q]]&lt;0.1, " ",Inventory_List_Table341115109111317181416192021222324[[#This Row],[AQ RND USD]]*1.4)</f>
        <v xml:space="preserve"> </v>
      </c>
      <c r="U102" s="30" t="str">
        <f>IF(Inventory_List_Table341115109111317181416192021222324[[#This Row],[Q]]&lt;0.1, " ",IF(MOD(Inventory_List_Table341115109111317181416192021222324[[#This Row],[LND USD]],1)&gt;0.4,ROUNDUP(Inventory_List_Table341115109111317181416192021222324[[#This Row],[LND USD]],0),ROUNDDOWN(Inventory_List_Table341115109111317181416192021222324[[#This Row],[LND USD]],0)))</f>
        <v xml:space="preserve"> </v>
      </c>
      <c r="V102" s="30" t="str">
        <f>IF(Inventory_List_Table341115109111317181416192021222324[[#This Row],[Q]]&lt;0.1, " ",Inventory_List_Table341115109111317181416192021222324[[#This Row],[LND RND USD]]*12)</f>
        <v xml:space="preserve"> </v>
      </c>
      <c r="W102" s="30" t="str">
        <f>IF(Inventory_List_Table341115109111317181416192021222324[[#This Row],[Q]]&lt;0.1, " ",Inventory_List_Table341115109111317181416192021222324[[#This Row],[AQ USD]])</f>
        <v xml:space="preserve"> </v>
      </c>
      <c r="X10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Row],[AQ RND USD]], "1", "M"), "2", "O"), "3", "X"), "4", "H"), "5", "E"), "6", "L"), "7", "F"), "8", "A"), "9", "N"), "0", "D"))</f>
        <v xml:space="preserve"> </v>
      </c>
      <c r="Y102" s="1" t="str">
        <f>IF(Inventory_List_Table341115109111317181416192021222324[[#This Row],[Q]]&lt;0.1, " ",SUBSTITUTE(SUBSTITUTE(SUBSTITUTE(SUBSTITUTE(SUBSTITUTE(SUBSTITUTE(SUBSTITUTE(SUBSTITUTE(SUBSTITUTE(SUBSTITUTE(Inventory_List_Table341115109111317181416192021222324[[#This Row],[LND RND USD]], "1", "M"), "2", "O"), "3", "X"), "4", "H"), "5", "E"), "6", "L"), "7", "F"), "8", "A"), "9", "N"), "0", "D"))</f>
        <v xml:space="preserve"> </v>
      </c>
      <c r="Z102" s="1" t="str">
        <f>IF(Inventory_List_Table341115109111317181416192021222324[[#This Row],[Q]]&lt;0.1, " ",Inventory_List_Table341115109111317181416192021222324[[#This Row],[H CM]]*Inventory_List_Table341115109111317181416192021222324[[#This Row],[D CM ]]*4+Inventory_List_Table341115109111317181416192021222324[[#This Row],[W CM]]*Inventory_List_Table341115109111317181416192021222324[[#This Row],[D CM ]]/10000)</f>
        <v xml:space="preserve"> </v>
      </c>
      <c r="AA102" s="30" t="str">
        <f>IF(Inventory_List_Table341115109111317181416192021222324[[#This Row],[Q]]&lt;0.1, " ",Inventory_List_Table341115109111317181416192021222324[[#This Row],[PRICE]]/Z102*10000)</f>
        <v xml:space="preserve"> </v>
      </c>
      <c r="AB102" s="538"/>
      <c r="AC102" s="1"/>
      <c r="AD102" s="1"/>
    </row>
  </sheetData>
  <dataValidations count="12">
    <dataValidation allowBlank="1" showInputMessage="1" showErrorMessage="1" prompt="Enter a description of the item in this column" sqref="G2:G3" xr:uid="{3E32CC4F-3C0F-4F54-8814-E75FE2635E7C}"/>
    <dataValidation allowBlank="1" showInputMessage="1" showErrorMessage="1" prompt="Enter the unit price of each item in this column" sqref="H2:H3" xr:uid="{172EE2A0-5582-4DAE-BCA4-832D80EF2216}"/>
    <dataValidation allowBlank="1" showInputMessage="1" showErrorMessage="1" prompt="Enter the quantity in stock for each item in this column" sqref="I2:I3" xr:uid="{DBF285E7-38DB-4862-9A2F-5E94C2600D3B}"/>
    <dataValidation allowBlank="1" showInputMessage="1" showErrorMessage="1" prompt="This is an automated column._x000a__x000a_The inventory value for each item is automatically calculated in this column." sqref="J2:J3" xr:uid="{7EE0FD91-8411-4118-AA16-34DFFF02C6B9}"/>
    <dataValidation allowBlank="1" showInputMessage="1" showErrorMessage="1" prompt="Enter the reorder level for each item in this column" sqref="K2:K3" xr:uid="{BD7A92A4-4F1B-4259-8C8C-B24908DBE14D}"/>
    <dataValidation allowBlank="1" showInputMessage="1" showErrorMessage="1" prompt="Enter the number of days it takes to reorder each item in this column" sqref="L2:N3" xr:uid="{65564000-E7D7-413F-BA79-BA9AAE30F21F}"/>
    <dataValidation allowBlank="1" showInputMessage="1" showErrorMessage="1" prompt="Enter the quantity in reorder for each item in this column" sqref="O2:O3" xr:uid="{D615DDFC-4307-47A0-A9BC-EBA6F6BBCF89}"/>
    <dataValidation allowBlank="1" showInputMessage="1" showErrorMessage="1" prompt="Enter yes if the item has been discontinued. When a yes is entered, the corresponding row is highlighted a light grey and the font style changed to strikethrough" sqref="P2:P3" xr:uid="{79157D07-88DB-4FFA-88C1-51A2288FE823}"/>
    <dataValidation allowBlank="1" showInputMessage="1" showErrorMessage="1" prompt="Enter the name of the item in this column" sqref="F2:F3" xr:uid="{12EF66BB-A94A-41AA-A29D-13EC579A911B}"/>
    <dataValidation allowBlank="1" showInputMessage="1" showErrorMessage="1" prompt="Enter the item inventory ID in this column" sqref="E2:E3" xr:uid="{C36BCC0B-11D1-46E2-9056-FB6A352CED0D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A2:D3 A7 A11 A15 A19 A23 A27 A31 A35 A39 A43 A47 A51 A55 A59 A63 A67 A71 A75 A79 A83 A87 A91 A95 A99" xr:uid="{18A6E20D-C33B-403A-8031-7CD16604FF2C}"/>
    <dataValidation allowBlank="1" showInputMessage="1" showErrorMessage="1" prompt="Enter company name in this cell" sqref="B1" xr:uid="{92939841-5DA1-4FD4-8430-C43E2A75E278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651663D-B88E-4AD7-9DE9-C58C987430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0D0138EE-2E2E-4C4B-9EFC-B08AA63A1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D1F540-32A9-4ED6-9336-A9BD181B30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E39826-E5C2-4497-9DAB-26E51B5E5AD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15</vt:i4>
      </vt:variant>
    </vt:vector>
  </HeadingPairs>
  <TitlesOfParts>
    <vt:vector size="35" baseType="lpstr">
      <vt:lpstr>-Log</vt:lpstr>
      <vt:lpstr>-Production</vt:lpstr>
      <vt:lpstr>-Supplies</vt:lpstr>
      <vt:lpstr>-Crates</vt:lpstr>
      <vt:lpstr>-PayLog</vt:lpstr>
      <vt:lpstr>JM</vt:lpstr>
      <vt:lpstr>EM</vt:lpstr>
      <vt:lpstr>CA</vt:lpstr>
      <vt:lpstr>AN</vt:lpstr>
      <vt:lpstr>SU</vt:lpstr>
      <vt:lpstr>TE</vt:lpstr>
      <vt:lpstr>DH</vt:lpstr>
      <vt:lpstr>ML</vt:lpstr>
      <vt:lpstr>GE</vt:lpstr>
      <vt:lpstr>FR</vt:lpstr>
      <vt:lpstr>ET</vt:lpstr>
      <vt:lpstr>AM</vt:lpstr>
      <vt:lpstr>RF </vt:lpstr>
      <vt:lpstr>GS</vt:lpstr>
      <vt:lpstr>CP</vt:lpstr>
      <vt:lpstr>AM!Print_Titles</vt:lpstr>
      <vt:lpstr>AN!Print_Titles</vt:lpstr>
      <vt:lpstr>CA!Print_Titles</vt:lpstr>
      <vt:lpstr>CP!Print_Titles</vt:lpstr>
      <vt:lpstr>DH!Print_Titles</vt:lpstr>
      <vt:lpstr>EM!Print_Titles</vt:lpstr>
      <vt:lpstr>ET!Print_Titles</vt:lpstr>
      <vt:lpstr>FR!Print_Titles</vt:lpstr>
      <vt:lpstr>GE!Print_Titles</vt:lpstr>
      <vt:lpstr>GS!Print_Titles</vt:lpstr>
      <vt:lpstr>JM!Print_Titles</vt:lpstr>
      <vt:lpstr>ML!Print_Titles</vt:lpstr>
      <vt:lpstr>'RF '!Print_Titles</vt:lpstr>
      <vt:lpstr>SU!Print_Titles</vt:lpstr>
      <vt:lpstr>TE!Print_Titles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Jouhayeerk</dc:creator>
  <cp:keywords/>
  <dc:description/>
  <cp:lastModifiedBy>Ramses L. Jouhayerk</cp:lastModifiedBy>
  <cp:revision/>
  <dcterms:created xsi:type="dcterms:W3CDTF">2023-10-19T18:19:29Z</dcterms:created>
  <dcterms:modified xsi:type="dcterms:W3CDTF">2026-02-23T20:53:22Z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