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Jouhayerk\git\app\public\"/>
    </mc:Choice>
  </mc:AlternateContent>
  <xr:revisionPtr revIDLastSave="0" documentId="8_{B79858FF-F801-427F-862B-0581964C5E01}" xr6:coauthVersionLast="47" xr6:coauthVersionMax="47" xr10:uidLastSave="{00000000-0000-0000-0000-000000000000}"/>
  <bookViews>
    <workbookView xWindow="-120" yWindow="-120" windowWidth="29040" windowHeight="16440" xr2:uid="{1EDCE968-2F4A-421E-BEC6-A24977572870}"/>
  </bookViews>
  <sheets>
    <sheet name="TELLEZ TALL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7" i="1" l="1"/>
  <c r="S37" i="1" s="1"/>
  <c r="S39" i="1" s="1"/>
  <c r="S40" i="1" s="1"/>
  <c r="S34" i="1"/>
  <c r="Q34" i="1"/>
  <c r="G34" i="1"/>
  <c r="Q39" i="1" l="1"/>
  <c r="Q40" i="1" s="1"/>
</calcChain>
</file>

<file path=xl/sharedStrings.xml><?xml version="1.0" encoding="utf-8"?>
<sst xmlns="http://schemas.openxmlformats.org/spreadsheetml/2006/main" count="417" uniqueCount="185">
  <si>
    <t>TELLEZ TALLER</t>
  </si>
  <si>
    <t>TE</t>
  </si>
  <si>
    <t>Date</t>
  </si>
  <si>
    <t>Shape</t>
  </si>
  <si>
    <t>Type</t>
  </si>
  <si>
    <t>Color</t>
  </si>
  <si>
    <t>Material</t>
  </si>
  <si>
    <t>Tag - ID with LC</t>
  </si>
  <si>
    <t>Quantity</t>
  </si>
  <si>
    <t>Weight</t>
  </si>
  <si>
    <t>L Cm</t>
  </si>
  <si>
    <t>W cm</t>
  </si>
  <si>
    <t>D cm</t>
  </si>
  <si>
    <t>Pounds</t>
  </si>
  <si>
    <t>L inch</t>
  </si>
  <si>
    <t>W Inch</t>
  </si>
  <si>
    <t>D Inch</t>
  </si>
  <si>
    <t>Per Piece Pesos</t>
  </si>
  <si>
    <t>Total in Pesos</t>
  </si>
  <si>
    <t>Per Piece US$</t>
  </si>
  <si>
    <t>Total in US$ Dollars</t>
  </si>
  <si>
    <t>ACQ Code</t>
  </si>
  <si>
    <t>LND Code</t>
  </si>
  <si>
    <t>7/8/2026</t>
  </si>
  <si>
    <t>3 Fountain Set</t>
  </si>
  <si>
    <t>Rock</t>
  </si>
  <si>
    <t>green talan/black</t>
  </si>
  <si>
    <t>Onyx</t>
  </si>
  <si>
    <t>TE82525HMA</t>
  </si>
  <si>
    <t/>
  </si>
  <si>
    <t>776.03</t>
  </si>
  <si>
    <t>31.50</t>
  </si>
  <si>
    <t>39.37</t>
  </si>
  <si>
    <t>ONA</t>
  </si>
  <si>
    <t>HMA</t>
  </si>
  <si>
    <t>Fountain</t>
  </si>
  <si>
    <t>Green Talan</t>
  </si>
  <si>
    <t>TE82524XXM</t>
  </si>
  <si>
    <t>518.09</t>
  </si>
  <si>
    <t>19.69</t>
  </si>
  <si>
    <t>23.62</t>
  </si>
  <si>
    <t>OXL</t>
  </si>
  <si>
    <t>XXM</t>
  </si>
  <si>
    <t>TE82520OFL</t>
  </si>
  <si>
    <t>736.34</t>
  </si>
  <si>
    <t>MNF</t>
  </si>
  <si>
    <t>OFL</t>
  </si>
  <si>
    <t>TE82519HDE</t>
  </si>
  <si>
    <t>2045.89</t>
  </si>
  <si>
    <t>30.31</t>
  </si>
  <si>
    <t>34.65</t>
  </si>
  <si>
    <t>OND</t>
  </si>
  <si>
    <t>HDE</t>
  </si>
  <si>
    <t>TE82516LXM</t>
  </si>
  <si>
    <t>1587.33</t>
  </si>
  <si>
    <t>47.24</t>
  </si>
  <si>
    <t>HEM</t>
  </si>
  <si>
    <t>LXM</t>
  </si>
  <si>
    <t>Tehuacan Ambar</t>
  </si>
  <si>
    <t>TE82514OOF</t>
  </si>
  <si>
    <t>584.22</t>
  </si>
  <si>
    <t>27.95</t>
  </si>
  <si>
    <t>34.25</t>
  </si>
  <si>
    <t>MLO</t>
  </si>
  <si>
    <t>OOF</t>
  </si>
  <si>
    <t>Italian Chess</t>
  </si>
  <si>
    <t>Table Set</t>
  </si>
  <si>
    <t>Orange</t>
  </si>
  <si>
    <t>TE32623ODEM</t>
  </si>
  <si>
    <t>35.43</t>
  </si>
  <si>
    <t>MHLE</t>
  </si>
  <si>
    <t>ODEM</t>
  </si>
  <si>
    <t>Irregular Border</t>
  </si>
  <si>
    <t>Wall Panel Pair</t>
  </si>
  <si>
    <t>Zebra</t>
  </si>
  <si>
    <t>TE32622MXOF</t>
  </si>
  <si>
    <t>59.06</t>
  </si>
  <si>
    <t>NHA</t>
  </si>
  <si>
    <t>MXOF</t>
  </si>
  <si>
    <t>Irregular border</t>
  </si>
  <si>
    <t>Tehuacan w Green</t>
  </si>
  <si>
    <t>TE32621MMDH</t>
  </si>
  <si>
    <t>55.12</t>
  </si>
  <si>
    <t>FAN</t>
  </si>
  <si>
    <t>MMDH</t>
  </si>
  <si>
    <t>TE32620MLDM</t>
  </si>
  <si>
    <t>68.90</t>
  </si>
  <si>
    <t>24.80</t>
  </si>
  <si>
    <t>MMHH</t>
  </si>
  <si>
    <t>MLDM</t>
  </si>
  <si>
    <t>Squared</t>
  </si>
  <si>
    <t>Floor Lamp</t>
  </si>
  <si>
    <t>Pink</t>
  </si>
  <si>
    <t>TE32619EEX</t>
  </si>
  <si>
    <t>51.18</t>
  </si>
  <si>
    <t>11.81</t>
  </si>
  <si>
    <t>XNE</t>
  </si>
  <si>
    <t>EEX</t>
  </si>
  <si>
    <t>FLoor Lamp</t>
  </si>
  <si>
    <t>TE32618LME</t>
  </si>
  <si>
    <t>57.09</t>
  </si>
  <si>
    <t>HHD</t>
  </si>
  <si>
    <t>LME</t>
  </si>
  <si>
    <t xml:space="preserve">Pink </t>
  </si>
  <si>
    <t>TE32617LFL</t>
  </si>
  <si>
    <t>62.99</t>
  </si>
  <si>
    <t>HAX</t>
  </si>
  <si>
    <t>LFL</t>
  </si>
  <si>
    <t>Rectangular</t>
  </si>
  <si>
    <t>Amber</t>
  </si>
  <si>
    <t>TE32616MXML</t>
  </si>
  <si>
    <t>99.21</t>
  </si>
  <si>
    <t>70.87</t>
  </si>
  <si>
    <t>NHD</t>
  </si>
  <si>
    <t>MXML</t>
  </si>
  <si>
    <t>TE32615MDHX</t>
  </si>
  <si>
    <t>88.18</t>
  </si>
  <si>
    <t>53.15</t>
  </si>
  <si>
    <t>25.59</t>
  </si>
  <si>
    <t>FHE</t>
  </si>
  <si>
    <t>MDHX</t>
  </si>
  <si>
    <t>Panel Pair</t>
  </si>
  <si>
    <t>Aquua</t>
  </si>
  <si>
    <t>TE32614MXLE</t>
  </si>
  <si>
    <t>61.02</t>
  </si>
  <si>
    <t>NFE</t>
  </si>
  <si>
    <t>MXLE</t>
  </si>
  <si>
    <t>4/17/2026</t>
  </si>
  <si>
    <t>Cylinder</t>
  </si>
  <si>
    <t>Pendant</t>
  </si>
  <si>
    <t>pink serpentine</t>
  </si>
  <si>
    <t>TE32612EE</t>
  </si>
  <si>
    <t>6.61</t>
  </si>
  <si>
    <t>13.78</t>
  </si>
  <si>
    <t>4.72</t>
  </si>
  <si>
    <t>XN</t>
  </si>
  <si>
    <t>EE</t>
  </si>
  <si>
    <t>Red Pyramid jasped</t>
  </si>
  <si>
    <t>TE32611EE</t>
  </si>
  <si>
    <t>Multicolor Orange</t>
  </si>
  <si>
    <t>TE32610EE</t>
  </si>
  <si>
    <t>Multicolor white</t>
  </si>
  <si>
    <t>TE3269EE</t>
  </si>
  <si>
    <t>TE3268EE</t>
  </si>
  <si>
    <t>Tehuacan White</t>
  </si>
  <si>
    <t>TE3267EE</t>
  </si>
  <si>
    <t>Tehuacan large Gray Rim</t>
  </si>
  <si>
    <t>TE3266EE</t>
  </si>
  <si>
    <t>Tehuacan small Gray Rim</t>
  </si>
  <si>
    <t>TE3265EE</t>
  </si>
  <si>
    <t>Table Lamp</t>
  </si>
  <si>
    <t>TE3264LN</t>
  </si>
  <si>
    <t>15.75</t>
  </si>
  <si>
    <t>5.91</t>
  </si>
  <si>
    <t>ED</t>
  </si>
  <si>
    <t>LN</t>
  </si>
  <si>
    <t>wall panel</t>
  </si>
  <si>
    <t>multicolor</t>
  </si>
  <si>
    <t>TE3263XDNF</t>
  </si>
  <si>
    <t>98.43</t>
  </si>
  <si>
    <t>OOMO</t>
  </si>
  <si>
    <t>XDNF</t>
  </si>
  <si>
    <t>flame</t>
  </si>
  <si>
    <t>sculpture</t>
  </si>
  <si>
    <t>TE3262MDXD</t>
  </si>
  <si>
    <t>43.31</t>
  </si>
  <si>
    <t>FXL</t>
  </si>
  <si>
    <t>MDXD</t>
  </si>
  <si>
    <t>TE3261MOEX</t>
  </si>
  <si>
    <t>ANE</t>
  </si>
  <si>
    <t>MOEX</t>
  </si>
  <si>
    <t>Sub-Total</t>
  </si>
  <si>
    <t>PAY DATE</t>
  </si>
  <si>
    <t>CATEGORY</t>
  </si>
  <si>
    <t>CURRENCY</t>
  </si>
  <si>
    <t>DESCRIPTION</t>
  </si>
  <si>
    <t>AMOUNT MXN</t>
  </si>
  <si>
    <t>AMOUNT USD</t>
  </si>
  <si>
    <t>Prod</t>
  </si>
  <si>
    <t>MXN</t>
  </si>
  <si>
    <t>50% Advance for 250 cylinders production</t>
  </si>
  <si>
    <t>ITEMS 825 PAID</t>
  </si>
  <si>
    <t>Total Charges</t>
  </si>
  <si>
    <t>Total Payments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</si>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</sst>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CB05"/>
      </patternFill>
    </fill>
    <fill>
      <patternFill patternType="solid">
        <fgColor rgb="FFA6A6A6"/>
      </patternFill>
    </fill>
    <fill>
      <patternFill patternType="solid">
        <fgColor rgb="FFF3F4F6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164" fontId="0" fillId="3" borderId="0" xfId="1" applyNumberFormat="1" applyFont="1" applyFill="1" applyAlignment="1">
      <alignment horizontal="right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164" fontId="2" fillId="2" borderId="1" xfId="1" applyNumberFormat="1" applyFont="1" applyFill="1" applyBorder="1" applyAlignment="1">
      <alignment horizontal="right" vertical="center"/>
    </xf>
    <xf numFmtId="0" fontId="0" fillId="4" borderId="0" xfId="0" applyFill="1"/>
    <xf numFmtId="0" fontId="0" fillId="4" borderId="0" xfId="0" applyFill="1" applyAlignment="1">
      <alignment horizontal="right"/>
    </xf>
    <xf numFmtId="164" fontId="0" fillId="4" borderId="0" xfId="1" applyNumberFormat="1" applyFont="1" applyFill="1" applyAlignment="1">
      <alignment horizontal="right" vertical="center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0" fillId="0" borderId="0" xfId="0" applyAlignment="1">
      <alignment horizontal="right"/>
    </xf>
    <xf numFmtId="164" fontId="0" fillId="0" borderId="0" xfId="1" applyNumberFormat="1" applyFont="1" applyAlignment="1">
      <alignment horizontal="right" vertical="center"/>
    </xf>
    <xf numFmtId="164" fontId="2" fillId="4" borderId="0" xfId="1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164" fontId="2" fillId="2" borderId="0" xfId="1" applyNumberFormat="1" applyFont="1" applyFill="1" applyBorder="1" applyAlignment="1">
      <alignment horizontal="right" vertical="center"/>
    </xf>
    <xf numFmtId="0" fontId="0" fillId="5" borderId="0" xfId="0" applyFill="1"/>
    <xf numFmtId="0" fontId="0" fillId="5" borderId="0" xfId="0" applyFill="1" applyAlignment="1">
      <alignment horizontal="right"/>
    </xf>
    <xf numFmtId="164" fontId="0" fillId="5" borderId="0" xfId="1" applyNumberFormat="1" applyFont="1" applyFill="1" applyAlignment="1">
      <alignment horizontal="righ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1FB7-9F8C-47B2-AB5D-6232748D0612}">
  <sheetPr>
    <tabColor rgb="FFFFCB05"/>
  </sheetPr>
  <dimension ref="A1:U40"/>
  <sheetViews>
    <sheetView tabSelected="1" zoomScale="90" zoomScaleNormal="90" workbookViewId="0">
      <selection activeCell="R44" sqref="R44"/>
    </sheetView>
  </sheetViews>
  <sheetFormatPr defaultRowHeight="15" x14ac:dyDescent="0.25"/>
  <cols>
    <col min="1" max="1" width="12" customWidth="1"/>
    <col min="2" max="2" width="17.5703125" customWidth="1"/>
    <col min="3" max="3" width="16.140625" customWidth="1"/>
    <col min="4" max="4" width="18.7109375" customWidth="1"/>
    <col min="5" max="5" width="12.7109375" customWidth="1"/>
    <col min="6" max="6" width="15.140625" customWidth="1"/>
    <col min="7" max="8" width="10" style="14" customWidth="1"/>
    <col min="9" max="11" width="12" style="14" customWidth="1"/>
    <col min="12" max="12" width="10" style="14" customWidth="1"/>
    <col min="13" max="15" width="12" style="14" customWidth="1"/>
    <col min="16" max="18" width="18" style="15" customWidth="1"/>
    <col min="19" max="19" width="20" style="15" customWidth="1"/>
    <col min="20" max="21" width="12" style="14" customWidth="1"/>
  </cols>
  <sheetData>
    <row r="1" spans="1:21" x14ac:dyDescent="0.25">
      <c r="A1" s="1" t="s">
        <v>0</v>
      </c>
      <c r="B1" s="2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4"/>
      <c r="U1" s="4"/>
    </row>
    <row r="2" spans="1:21" x14ac:dyDescent="0.25">
      <c r="A2" s="1" t="s">
        <v>1</v>
      </c>
      <c r="B2" s="2"/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4"/>
      <c r="U2" s="4"/>
    </row>
    <row r="3" spans="1:21" x14ac:dyDescent="0.25">
      <c r="A3" s="3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5"/>
      <c r="Q3" s="5"/>
      <c r="R3" s="5"/>
      <c r="S3" s="5"/>
      <c r="T3" s="4"/>
      <c r="U3" s="4"/>
    </row>
    <row r="4" spans="1:21" x14ac:dyDescent="0.25">
      <c r="A4" s="3"/>
      <c r="B4" s="3"/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5"/>
      <c r="Q4" s="5"/>
      <c r="R4" s="5"/>
      <c r="S4" s="5"/>
      <c r="T4" s="4"/>
      <c r="U4" s="4"/>
    </row>
    <row r="5" spans="1:21" x14ac:dyDescent="0.25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  <c r="L5" s="7" t="s">
        <v>13</v>
      </c>
      <c r="M5" s="7" t="s">
        <v>14</v>
      </c>
      <c r="N5" s="7" t="s">
        <v>15</v>
      </c>
      <c r="O5" s="7" t="s">
        <v>16</v>
      </c>
      <c r="P5" s="8" t="s">
        <v>17</v>
      </c>
      <c r="Q5" s="8" t="s">
        <v>18</v>
      </c>
      <c r="R5" s="8" t="s">
        <v>19</v>
      </c>
      <c r="S5" s="8" t="s">
        <v>20</v>
      </c>
      <c r="T5" s="7" t="s">
        <v>21</v>
      </c>
      <c r="U5" s="7" t="s">
        <v>22</v>
      </c>
    </row>
    <row r="6" spans="1:21" x14ac:dyDescent="0.25">
      <c r="A6" s="9" t="s">
        <v>23</v>
      </c>
      <c r="B6" s="9" t="s">
        <v>24</v>
      </c>
      <c r="C6" s="9" t="s">
        <v>25</v>
      </c>
      <c r="D6" s="9" t="s">
        <v>26</v>
      </c>
      <c r="E6" s="9" t="s">
        <v>27</v>
      </c>
      <c r="F6" s="9" t="s">
        <v>28</v>
      </c>
      <c r="G6" s="10">
        <v>1</v>
      </c>
      <c r="H6" s="10">
        <v>352</v>
      </c>
      <c r="I6" s="10">
        <v>80</v>
      </c>
      <c r="J6" s="10">
        <v>100</v>
      </c>
      <c r="K6" s="10" t="s">
        <v>29</v>
      </c>
      <c r="L6" s="10" t="s">
        <v>30</v>
      </c>
      <c r="M6" s="10" t="s">
        <v>31</v>
      </c>
      <c r="N6" s="10" t="s">
        <v>32</v>
      </c>
      <c r="O6" s="10" t="s">
        <v>29</v>
      </c>
      <c r="P6" s="11">
        <v>5070</v>
      </c>
      <c r="Q6" s="11">
        <v>5070</v>
      </c>
      <c r="R6" s="11">
        <v>298.23529411764707</v>
      </c>
      <c r="S6" s="11">
        <v>298.23529411764707</v>
      </c>
      <c r="T6" s="10" t="s">
        <v>33</v>
      </c>
      <c r="U6" s="10" t="s">
        <v>34</v>
      </c>
    </row>
    <row r="7" spans="1:21" x14ac:dyDescent="0.25">
      <c r="A7" s="9" t="s">
        <v>23</v>
      </c>
      <c r="B7" s="9" t="s">
        <v>35</v>
      </c>
      <c r="C7" s="9" t="s">
        <v>25</v>
      </c>
      <c r="D7" s="9" t="s">
        <v>36</v>
      </c>
      <c r="E7" s="9" t="s">
        <v>27</v>
      </c>
      <c r="F7" s="9" t="s">
        <v>37</v>
      </c>
      <c r="G7" s="10">
        <v>1</v>
      </c>
      <c r="H7" s="10">
        <v>235</v>
      </c>
      <c r="I7" s="10">
        <v>50</v>
      </c>
      <c r="J7" s="10">
        <v>60</v>
      </c>
      <c r="K7" s="10" t="s">
        <v>29</v>
      </c>
      <c r="L7" s="10" t="s">
        <v>38</v>
      </c>
      <c r="M7" s="10" t="s">
        <v>39</v>
      </c>
      <c r="N7" s="10" t="s">
        <v>40</v>
      </c>
      <c r="O7" s="10" t="s">
        <v>29</v>
      </c>
      <c r="P7" s="11">
        <v>4017</v>
      </c>
      <c r="Q7" s="11">
        <v>4017</v>
      </c>
      <c r="R7" s="11">
        <v>236.29411764705881</v>
      </c>
      <c r="S7" s="11">
        <v>236.29411764705881</v>
      </c>
      <c r="T7" s="10" t="s">
        <v>41</v>
      </c>
      <c r="U7" s="10" t="s">
        <v>42</v>
      </c>
    </row>
    <row r="8" spans="1:21" x14ac:dyDescent="0.25">
      <c r="A8" s="9" t="s">
        <v>23</v>
      </c>
      <c r="B8" s="9" t="s">
        <v>35</v>
      </c>
      <c r="C8" s="9" t="s">
        <v>25</v>
      </c>
      <c r="D8" s="9" t="s">
        <v>36</v>
      </c>
      <c r="E8" s="9" t="s">
        <v>27</v>
      </c>
      <c r="F8" s="9" t="s">
        <v>43</v>
      </c>
      <c r="G8" s="10">
        <v>1</v>
      </c>
      <c r="H8" s="10">
        <v>334</v>
      </c>
      <c r="I8" s="10">
        <v>80</v>
      </c>
      <c r="J8" s="10">
        <v>100</v>
      </c>
      <c r="K8" s="10" t="s">
        <v>29</v>
      </c>
      <c r="L8" s="10" t="s">
        <v>44</v>
      </c>
      <c r="M8" s="10" t="s">
        <v>31</v>
      </c>
      <c r="N8" s="10" t="s">
        <v>32</v>
      </c>
      <c r="O8" s="10" t="s">
        <v>29</v>
      </c>
      <c r="P8" s="11">
        <v>3354</v>
      </c>
      <c r="Q8" s="11">
        <v>3354</v>
      </c>
      <c r="R8" s="11">
        <v>197.29411764705881</v>
      </c>
      <c r="S8" s="11">
        <v>197.29411764705881</v>
      </c>
      <c r="T8" s="10" t="s">
        <v>45</v>
      </c>
      <c r="U8" s="10" t="s">
        <v>46</v>
      </c>
    </row>
    <row r="9" spans="1:21" x14ac:dyDescent="0.25">
      <c r="A9" s="9" t="s">
        <v>23</v>
      </c>
      <c r="B9" s="9" t="s">
        <v>35</v>
      </c>
      <c r="C9" s="9" t="s">
        <v>25</v>
      </c>
      <c r="D9" s="9" t="s">
        <v>26</v>
      </c>
      <c r="E9" s="9" t="s">
        <v>27</v>
      </c>
      <c r="F9" s="9" t="s">
        <v>47</v>
      </c>
      <c r="G9" s="10">
        <v>1</v>
      </c>
      <c r="H9" s="10">
        <v>928</v>
      </c>
      <c r="I9" s="10">
        <v>77</v>
      </c>
      <c r="J9" s="10">
        <v>88</v>
      </c>
      <c r="K9" s="10" t="s">
        <v>29</v>
      </c>
      <c r="L9" s="10" t="s">
        <v>48</v>
      </c>
      <c r="M9" s="10" t="s">
        <v>49</v>
      </c>
      <c r="N9" s="10" t="s">
        <v>50</v>
      </c>
      <c r="O9" s="10" t="s">
        <v>29</v>
      </c>
      <c r="P9" s="11">
        <v>4921</v>
      </c>
      <c r="Q9" s="11">
        <v>4921</v>
      </c>
      <c r="R9" s="11">
        <v>289.47058823529414</v>
      </c>
      <c r="S9" s="11">
        <v>289.47058823529414</v>
      </c>
      <c r="T9" s="10" t="s">
        <v>51</v>
      </c>
      <c r="U9" s="10" t="s">
        <v>52</v>
      </c>
    </row>
    <row r="10" spans="1:21" x14ac:dyDescent="0.25">
      <c r="A10" s="9" t="s">
        <v>23</v>
      </c>
      <c r="B10" s="9" t="s">
        <v>35</v>
      </c>
      <c r="C10" s="9" t="s">
        <v>25</v>
      </c>
      <c r="D10" s="9" t="s">
        <v>36</v>
      </c>
      <c r="E10" s="9" t="s">
        <v>27</v>
      </c>
      <c r="F10" s="9" t="s">
        <v>53</v>
      </c>
      <c r="G10" s="10">
        <v>1</v>
      </c>
      <c r="H10" s="10">
        <v>720</v>
      </c>
      <c r="I10" s="10">
        <v>120</v>
      </c>
      <c r="J10" s="10">
        <v>60</v>
      </c>
      <c r="K10" s="10" t="s">
        <v>29</v>
      </c>
      <c r="L10" s="10" t="s">
        <v>54</v>
      </c>
      <c r="M10" s="10" t="s">
        <v>55</v>
      </c>
      <c r="N10" s="10" t="s">
        <v>40</v>
      </c>
      <c r="O10" s="10" t="s">
        <v>29</v>
      </c>
      <c r="P10" s="11">
        <v>7658</v>
      </c>
      <c r="Q10" s="11">
        <v>7658</v>
      </c>
      <c r="R10" s="11">
        <v>450.47058823529414</v>
      </c>
      <c r="S10" s="11">
        <v>450.47058823529414</v>
      </c>
      <c r="T10" s="10" t="s">
        <v>56</v>
      </c>
      <c r="U10" s="10" t="s">
        <v>57</v>
      </c>
    </row>
    <row r="11" spans="1:21" x14ac:dyDescent="0.25">
      <c r="A11" s="9" t="s">
        <v>23</v>
      </c>
      <c r="B11" s="9" t="s">
        <v>35</v>
      </c>
      <c r="C11" s="9" t="s">
        <v>25</v>
      </c>
      <c r="D11" s="9" t="s">
        <v>58</v>
      </c>
      <c r="E11" s="9" t="s">
        <v>27</v>
      </c>
      <c r="F11" s="9" t="s">
        <v>59</v>
      </c>
      <c r="G11" s="10">
        <v>1</v>
      </c>
      <c r="H11" s="10">
        <v>265</v>
      </c>
      <c r="I11" s="10">
        <v>71</v>
      </c>
      <c r="J11" s="10">
        <v>87</v>
      </c>
      <c r="K11" s="10" t="s">
        <v>29</v>
      </c>
      <c r="L11" s="10" t="s">
        <v>60</v>
      </c>
      <c r="M11" s="10" t="s">
        <v>61</v>
      </c>
      <c r="N11" s="10" t="s">
        <v>62</v>
      </c>
      <c r="O11" s="10" t="s">
        <v>29</v>
      </c>
      <c r="P11" s="11">
        <v>2758</v>
      </c>
      <c r="Q11" s="11">
        <v>2758</v>
      </c>
      <c r="R11" s="11">
        <v>162.23529411764707</v>
      </c>
      <c r="S11" s="11">
        <v>162.23529411764707</v>
      </c>
      <c r="T11" s="10" t="s">
        <v>63</v>
      </c>
      <c r="U11" s="10" t="s">
        <v>64</v>
      </c>
    </row>
    <row r="12" spans="1:21" x14ac:dyDescent="0.25">
      <c r="A12" s="9" t="s">
        <v>23</v>
      </c>
      <c r="B12" s="9" t="s">
        <v>65</v>
      </c>
      <c r="C12" s="9" t="s">
        <v>66</v>
      </c>
      <c r="D12" s="9" t="s">
        <v>67</v>
      </c>
      <c r="E12" s="9" t="s">
        <v>27</v>
      </c>
      <c r="F12" s="9" t="s">
        <v>68</v>
      </c>
      <c r="G12" s="10">
        <v>1</v>
      </c>
      <c r="H12" s="10" t="s">
        <v>29</v>
      </c>
      <c r="I12" s="10">
        <v>80</v>
      </c>
      <c r="J12" s="10">
        <v>90</v>
      </c>
      <c r="K12" s="10" t="s">
        <v>29</v>
      </c>
      <c r="L12" s="10" t="s">
        <v>29</v>
      </c>
      <c r="M12" s="10" t="s">
        <v>31</v>
      </c>
      <c r="N12" s="10" t="s">
        <v>69</v>
      </c>
      <c r="O12" s="10" t="s">
        <v>29</v>
      </c>
      <c r="P12" s="11">
        <v>24900</v>
      </c>
      <c r="Q12" s="11">
        <v>24900</v>
      </c>
      <c r="R12" s="11">
        <v>1464.7058823529412</v>
      </c>
      <c r="S12" s="11">
        <v>1464.7058823529412</v>
      </c>
      <c r="T12" s="10" t="s">
        <v>70</v>
      </c>
      <c r="U12" s="10" t="s">
        <v>71</v>
      </c>
    </row>
    <row r="13" spans="1:21" x14ac:dyDescent="0.25">
      <c r="A13" s="9" t="s">
        <v>23</v>
      </c>
      <c r="B13" s="9" t="s">
        <v>72</v>
      </c>
      <c r="C13" s="9" t="s">
        <v>73</v>
      </c>
      <c r="D13" s="9" t="s">
        <v>74</v>
      </c>
      <c r="E13" s="9" t="s">
        <v>27</v>
      </c>
      <c r="F13" s="9" t="s">
        <v>75</v>
      </c>
      <c r="G13" s="10">
        <v>1</v>
      </c>
      <c r="H13" s="10" t="s">
        <v>29</v>
      </c>
      <c r="I13" s="10">
        <v>150</v>
      </c>
      <c r="J13" s="10">
        <v>60</v>
      </c>
      <c r="K13" s="10" t="s">
        <v>29</v>
      </c>
      <c r="L13" s="10" t="s">
        <v>29</v>
      </c>
      <c r="M13" s="10" t="s">
        <v>76</v>
      </c>
      <c r="N13" s="10" t="s">
        <v>40</v>
      </c>
      <c r="O13" s="10" t="s">
        <v>29</v>
      </c>
      <c r="P13" s="11">
        <v>16110</v>
      </c>
      <c r="Q13" s="11">
        <v>16110</v>
      </c>
      <c r="R13" s="11">
        <v>947.64705882352939</v>
      </c>
      <c r="S13" s="11">
        <v>947.64705882352939</v>
      </c>
      <c r="T13" s="10" t="s">
        <v>77</v>
      </c>
      <c r="U13" s="10" t="s">
        <v>78</v>
      </c>
    </row>
    <row r="14" spans="1:21" x14ac:dyDescent="0.25">
      <c r="A14" s="9" t="s">
        <v>23</v>
      </c>
      <c r="B14" s="9" t="s">
        <v>79</v>
      </c>
      <c r="C14" s="9" t="s">
        <v>73</v>
      </c>
      <c r="D14" s="9" t="s">
        <v>80</v>
      </c>
      <c r="E14" s="9" t="s">
        <v>27</v>
      </c>
      <c r="F14" s="9" t="s">
        <v>81</v>
      </c>
      <c r="G14" s="10">
        <v>1</v>
      </c>
      <c r="H14" s="10" t="s">
        <v>29</v>
      </c>
      <c r="I14" s="10">
        <v>140</v>
      </c>
      <c r="J14" s="10">
        <v>60</v>
      </c>
      <c r="K14" s="10" t="s">
        <v>29</v>
      </c>
      <c r="L14" s="10" t="s">
        <v>29</v>
      </c>
      <c r="M14" s="10" t="s">
        <v>82</v>
      </c>
      <c r="N14" s="10" t="s">
        <v>40</v>
      </c>
      <c r="O14" s="10" t="s">
        <v>29</v>
      </c>
      <c r="P14" s="11">
        <v>13410</v>
      </c>
      <c r="Q14" s="11">
        <v>13410</v>
      </c>
      <c r="R14" s="11">
        <v>788.82352941176475</v>
      </c>
      <c r="S14" s="11">
        <v>788.82352941176475</v>
      </c>
      <c r="T14" s="10" t="s">
        <v>83</v>
      </c>
      <c r="U14" s="10" t="s">
        <v>84</v>
      </c>
    </row>
    <row r="15" spans="1:21" x14ac:dyDescent="0.25">
      <c r="A15" s="9" t="s">
        <v>23</v>
      </c>
      <c r="B15" s="9" t="s">
        <v>79</v>
      </c>
      <c r="C15" s="9" t="s">
        <v>73</v>
      </c>
      <c r="D15" s="9" t="s">
        <v>74</v>
      </c>
      <c r="E15" s="9" t="s">
        <v>27</v>
      </c>
      <c r="F15" s="9" t="s">
        <v>85</v>
      </c>
      <c r="G15" s="10">
        <v>1</v>
      </c>
      <c r="H15" s="10" t="s">
        <v>29</v>
      </c>
      <c r="I15" s="10">
        <v>175</v>
      </c>
      <c r="J15" s="10">
        <v>63</v>
      </c>
      <c r="K15" s="10" t="s">
        <v>29</v>
      </c>
      <c r="L15" s="10" t="s">
        <v>29</v>
      </c>
      <c r="M15" s="10" t="s">
        <v>86</v>
      </c>
      <c r="N15" s="10" t="s">
        <v>87</v>
      </c>
      <c r="O15" s="10" t="s">
        <v>29</v>
      </c>
      <c r="P15" s="11">
        <v>19440</v>
      </c>
      <c r="Q15" s="11">
        <v>19440</v>
      </c>
      <c r="R15" s="11">
        <v>1143.5294117647059</v>
      </c>
      <c r="S15" s="11">
        <v>1143.5294117647059</v>
      </c>
      <c r="T15" s="10" t="s">
        <v>88</v>
      </c>
      <c r="U15" s="10" t="s">
        <v>89</v>
      </c>
    </row>
    <row r="16" spans="1:21" x14ac:dyDescent="0.25">
      <c r="A16" s="9" t="s">
        <v>23</v>
      </c>
      <c r="B16" s="9" t="s">
        <v>90</v>
      </c>
      <c r="C16" s="9" t="s">
        <v>91</v>
      </c>
      <c r="D16" s="9" t="s">
        <v>92</v>
      </c>
      <c r="E16" s="9" t="s">
        <v>27</v>
      </c>
      <c r="F16" s="9" t="s">
        <v>93</v>
      </c>
      <c r="G16" s="10">
        <v>1</v>
      </c>
      <c r="H16" s="10" t="s">
        <v>29</v>
      </c>
      <c r="I16" s="10">
        <v>130</v>
      </c>
      <c r="J16" s="10">
        <v>30</v>
      </c>
      <c r="K16" s="10" t="s">
        <v>29</v>
      </c>
      <c r="L16" s="10" t="s">
        <v>29</v>
      </c>
      <c r="M16" s="10" t="s">
        <v>94</v>
      </c>
      <c r="N16" s="10" t="s">
        <v>95</v>
      </c>
      <c r="O16" s="10" t="s">
        <v>29</v>
      </c>
      <c r="P16" s="11">
        <v>6715</v>
      </c>
      <c r="Q16" s="11">
        <v>6715</v>
      </c>
      <c r="R16" s="11">
        <v>395</v>
      </c>
      <c r="S16" s="11">
        <v>395</v>
      </c>
      <c r="T16" s="10" t="s">
        <v>96</v>
      </c>
      <c r="U16" s="10" t="s">
        <v>97</v>
      </c>
    </row>
    <row r="17" spans="1:21" x14ac:dyDescent="0.25">
      <c r="A17" s="9" t="s">
        <v>23</v>
      </c>
      <c r="B17" s="9" t="s">
        <v>90</v>
      </c>
      <c r="C17" s="9" t="s">
        <v>98</v>
      </c>
      <c r="D17" s="9" t="s">
        <v>92</v>
      </c>
      <c r="E17" s="9" t="s">
        <v>27</v>
      </c>
      <c r="F17" s="9" t="s">
        <v>99</v>
      </c>
      <c r="G17" s="10">
        <v>1</v>
      </c>
      <c r="H17" s="10" t="s">
        <v>29</v>
      </c>
      <c r="I17" s="10">
        <v>145</v>
      </c>
      <c r="J17" s="10">
        <v>30</v>
      </c>
      <c r="K17" s="10" t="s">
        <v>29</v>
      </c>
      <c r="L17" s="10" t="s">
        <v>29</v>
      </c>
      <c r="M17" s="10" t="s">
        <v>100</v>
      </c>
      <c r="N17" s="10" t="s">
        <v>95</v>
      </c>
      <c r="O17" s="10" t="s">
        <v>29</v>
      </c>
      <c r="P17" s="11">
        <v>7471</v>
      </c>
      <c r="Q17" s="11">
        <v>7471</v>
      </c>
      <c r="R17" s="11">
        <v>439.47058823529414</v>
      </c>
      <c r="S17" s="11">
        <v>439.47058823529414</v>
      </c>
      <c r="T17" s="10" t="s">
        <v>101</v>
      </c>
      <c r="U17" s="10" t="s">
        <v>102</v>
      </c>
    </row>
    <row r="18" spans="1:21" x14ac:dyDescent="0.25">
      <c r="A18" s="9" t="s">
        <v>23</v>
      </c>
      <c r="B18" s="9" t="s">
        <v>90</v>
      </c>
      <c r="C18" s="9" t="s">
        <v>91</v>
      </c>
      <c r="D18" s="9" t="s">
        <v>103</v>
      </c>
      <c r="E18" s="9" t="s">
        <v>27</v>
      </c>
      <c r="F18" s="9" t="s">
        <v>104</v>
      </c>
      <c r="G18" s="10">
        <v>1</v>
      </c>
      <c r="H18" s="10" t="s">
        <v>29</v>
      </c>
      <c r="I18" s="10">
        <v>160</v>
      </c>
      <c r="J18" s="10">
        <v>30</v>
      </c>
      <c r="K18" s="10" t="s">
        <v>29</v>
      </c>
      <c r="L18" s="10" t="s">
        <v>29</v>
      </c>
      <c r="M18" s="10" t="s">
        <v>105</v>
      </c>
      <c r="N18" s="10" t="s">
        <v>95</v>
      </c>
      <c r="O18" s="10" t="s">
        <v>29</v>
      </c>
      <c r="P18" s="11">
        <v>8202</v>
      </c>
      <c r="Q18" s="11">
        <v>8202</v>
      </c>
      <c r="R18" s="11">
        <v>482.47058823529414</v>
      </c>
      <c r="S18" s="11">
        <v>482.47058823529414</v>
      </c>
      <c r="T18" s="10" t="s">
        <v>106</v>
      </c>
      <c r="U18" s="10" t="s">
        <v>107</v>
      </c>
    </row>
    <row r="19" spans="1:21" x14ac:dyDescent="0.25">
      <c r="A19" s="9" t="s">
        <v>23</v>
      </c>
      <c r="B19" s="9" t="s">
        <v>108</v>
      </c>
      <c r="C19" s="9" t="s">
        <v>73</v>
      </c>
      <c r="D19" s="9" t="s">
        <v>109</v>
      </c>
      <c r="E19" s="9" t="s">
        <v>27</v>
      </c>
      <c r="F19" s="9" t="s">
        <v>110</v>
      </c>
      <c r="G19" s="10">
        <v>2</v>
      </c>
      <c r="H19" s="10">
        <v>45</v>
      </c>
      <c r="I19" s="10">
        <v>180</v>
      </c>
      <c r="J19" s="10">
        <v>60</v>
      </c>
      <c r="K19" s="10" t="s">
        <v>29</v>
      </c>
      <c r="L19" s="10" t="s">
        <v>111</v>
      </c>
      <c r="M19" s="10" t="s">
        <v>112</v>
      </c>
      <c r="N19" s="10" t="s">
        <v>40</v>
      </c>
      <c r="O19" s="10" t="s">
        <v>29</v>
      </c>
      <c r="P19" s="11">
        <v>15980</v>
      </c>
      <c r="Q19" s="11">
        <v>31960</v>
      </c>
      <c r="R19" s="11">
        <v>940</v>
      </c>
      <c r="S19" s="11">
        <v>1880</v>
      </c>
      <c r="T19" s="10" t="s">
        <v>113</v>
      </c>
      <c r="U19" s="10" t="s">
        <v>114</v>
      </c>
    </row>
    <row r="20" spans="1:21" x14ac:dyDescent="0.25">
      <c r="A20" s="9" t="s">
        <v>23</v>
      </c>
      <c r="B20" s="9" t="s">
        <v>108</v>
      </c>
      <c r="C20" s="9" t="s">
        <v>73</v>
      </c>
      <c r="D20" s="9" t="s">
        <v>80</v>
      </c>
      <c r="E20" s="9" t="s">
        <v>27</v>
      </c>
      <c r="F20" s="9" t="s">
        <v>115</v>
      </c>
      <c r="G20" s="10">
        <v>1</v>
      </c>
      <c r="H20" s="10">
        <v>40</v>
      </c>
      <c r="I20" s="10">
        <v>135</v>
      </c>
      <c r="J20" s="10">
        <v>65</v>
      </c>
      <c r="K20" s="10" t="s">
        <v>29</v>
      </c>
      <c r="L20" s="10" t="s">
        <v>116</v>
      </c>
      <c r="M20" s="10" t="s">
        <v>117</v>
      </c>
      <c r="N20" s="10" t="s">
        <v>118</v>
      </c>
      <c r="O20" s="10" t="s">
        <v>29</v>
      </c>
      <c r="P20" s="11">
        <v>12665</v>
      </c>
      <c r="Q20" s="11">
        <v>12665</v>
      </c>
      <c r="R20" s="11">
        <v>745</v>
      </c>
      <c r="S20" s="11">
        <v>745</v>
      </c>
      <c r="T20" s="10" t="s">
        <v>119</v>
      </c>
      <c r="U20" s="10" t="s">
        <v>120</v>
      </c>
    </row>
    <row r="21" spans="1:21" x14ac:dyDescent="0.25">
      <c r="A21" s="9" t="s">
        <v>23</v>
      </c>
      <c r="B21" s="9" t="s">
        <v>108</v>
      </c>
      <c r="C21" s="9" t="s">
        <v>121</v>
      </c>
      <c r="D21" s="9" t="s">
        <v>122</v>
      </c>
      <c r="E21" s="9" t="s">
        <v>27</v>
      </c>
      <c r="F21" s="9" t="s">
        <v>123</v>
      </c>
      <c r="G21" s="10">
        <v>2</v>
      </c>
      <c r="H21" s="10" t="s">
        <v>29</v>
      </c>
      <c r="I21" s="10">
        <v>155</v>
      </c>
      <c r="J21" s="10">
        <v>60</v>
      </c>
      <c r="K21" s="10" t="s">
        <v>29</v>
      </c>
      <c r="L21" s="10" t="s">
        <v>29</v>
      </c>
      <c r="M21" s="10" t="s">
        <v>124</v>
      </c>
      <c r="N21" s="10" t="s">
        <v>40</v>
      </c>
      <c r="O21" s="10" t="s">
        <v>29</v>
      </c>
      <c r="P21" s="11">
        <v>16575</v>
      </c>
      <c r="Q21" s="11">
        <v>33150</v>
      </c>
      <c r="R21" s="11">
        <v>975</v>
      </c>
      <c r="S21" s="11">
        <v>1950</v>
      </c>
      <c r="T21" s="10" t="s">
        <v>125</v>
      </c>
      <c r="U21" s="10" t="s">
        <v>126</v>
      </c>
    </row>
    <row r="22" spans="1:21" x14ac:dyDescent="0.25">
      <c r="A22" s="9" t="s">
        <v>127</v>
      </c>
      <c r="B22" s="9" t="s">
        <v>128</v>
      </c>
      <c r="C22" s="9" t="s">
        <v>129</v>
      </c>
      <c r="D22" s="9" t="s">
        <v>130</v>
      </c>
      <c r="E22" s="9" t="s">
        <v>27</v>
      </c>
      <c r="F22" s="9" t="s">
        <v>131</v>
      </c>
      <c r="G22" s="10">
        <v>32</v>
      </c>
      <c r="H22" s="10">
        <v>3</v>
      </c>
      <c r="I22" s="10">
        <v>35</v>
      </c>
      <c r="J22" s="10">
        <v>12</v>
      </c>
      <c r="K22" s="10" t="s">
        <v>29</v>
      </c>
      <c r="L22" s="10" t="s">
        <v>132</v>
      </c>
      <c r="M22" s="10" t="s">
        <v>133</v>
      </c>
      <c r="N22" s="10" t="s">
        <v>134</v>
      </c>
      <c r="O22" s="10" t="s">
        <v>29</v>
      </c>
      <c r="P22" s="11">
        <v>666.4</v>
      </c>
      <c r="Q22" s="11">
        <v>21325</v>
      </c>
      <c r="R22" s="11">
        <v>39.199999999999996</v>
      </c>
      <c r="S22" s="11">
        <v>1254.4117647058824</v>
      </c>
      <c r="T22" s="10" t="s">
        <v>135</v>
      </c>
      <c r="U22" s="10" t="s">
        <v>136</v>
      </c>
    </row>
    <row r="23" spans="1:21" x14ac:dyDescent="0.25">
      <c r="A23" s="9" t="s">
        <v>127</v>
      </c>
      <c r="B23" s="9" t="s">
        <v>128</v>
      </c>
      <c r="C23" s="9" t="s">
        <v>129</v>
      </c>
      <c r="D23" s="9" t="s">
        <v>137</v>
      </c>
      <c r="E23" s="9" t="s">
        <v>27</v>
      </c>
      <c r="F23" s="9" t="s">
        <v>138</v>
      </c>
      <c r="G23" s="10">
        <v>20</v>
      </c>
      <c r="H23" s="10" t="s">
        <v>29</v>
      </c>
      <c r="I23" s="10">
        <v>35</v>
      </c>
      <c r="J23" s="10">
        <v>12</v>
      </c>
      <c r="K23" s="10" t="s">
        <v>29</v>
      </c>
      <c r="L23" s="10" t="s">
        <v>29</v>
      </c>
      <c r="M23" s="10" t="s">
        <v>133</v>
      </c>
      <c r="N23" s="10" t="s">
        <v>134</v>
      </c>
      <c r="O23" s="10" t="s">
        <v>29</v>
      </c>
      <c r="P23" s="11">
        <v>666.4</v>
      </c>
      <c r="Q23" s="11">
        <v>13328</v>
      </c>
      <c r="R23" s="11">
        <v>39.199999999999996</v>
      </c>
      <c r="S23" s="11">
        <v>784</v>
      </c>
      <c r="T23" s="10" t="s">
        <v>135</v>
      </c>
      <c r="U23" s="10" t="s">
        <v>136</v>
      </c>
    </row>
    <row r="24" spans="1:21" x14ac:dyDescent="0.25">
      <c r="A24" s="9" t="s">
        <v>127</v>
      </c>
      <c r="B24" s="9" t="s">
        <v>128</v>
      </c>
      <c r="C24" s="9" t="s">
        <v>129</v>
      </c>
      <c r="D24" s="9" t="s">
        <v>139</v>
      </c>
      <c r="E24" s="9" t="s">
        <v>27</v>
      </c>
      <c r="F24" s="9" t="s">
        <v>140</v>
      </c>
      <c r="G24" s="10">
        <v>11</v>
      </c>
      <c r="H24" s="10" t="s">
        <v>29</v>
      </c>
      <c r="I24" s="10">
        <v>35</v>
      </c>
      <c r="J24" s="10">
        <v>12</v>
      </c>
      <c r="K24" s="10" t="s">
        <v>29</v>
      </c>
      <c r="L24" s="10" t="s">
        <v>29</v>
      </c>
      <c r="M24" s="10" t="s">
        <v>133</v>
      </c>
      <c r="N24" s="10" t="s">
        <v>134</v>
      </c>
      <c r="O24" s="10" t="s">
        <v>29</v>
      </c>
      <c r="P24" s="11">
        <v>666.4</v>
      </c>
      <c r="Q24" s="11">
        <v>7330</v>
      </c>
      <c r="R24" s="11">
        <v>39.199999999999996</v>
      </c>
      <c r="S24" s="11">
        <v>431.1764705882353</v>
      </c>
      <c r="T24" s="10" t="s">
        <v>135</v>
      </c>
      <c r="U24" s="10" t="s">
        <v>136</v>
      </c>
    </row>
    <row r="25" spans="1:21" x14ac:dyDescent="0.25">
      <c r="A25" s="9" t="s">
        <v>127</v>
      </c>
      <c r="B25" s="9" t="s">
        <v>128</v>
      </c>
      <c r="C25" s="9" t="s">
        <v>129</v>
      </c>
      <c r="D25" s="9" t="s">
        <v>141</v>
      </c>
      <c r="E25" s="9" t="s">
        <v>27</v>
      </c>
      <c r="F25" s="9" t="s">
        <v>142</v>
      </c>
      <c r="G25" s="10">
        <v>32</v>
      </c>
      <c r="H25" s="10">
        <v>3</v>
      </c>
      <c r="I25" s="10">
        <v>35</v>
      </c>
      <c r="J25" s="10">
        <v>12</v>
      </c>
      <c r="K25" s="10" t="s">
        <v>29</v>
      </c>
      <c r="L25" s="10" t="s">
        <v>132</v>
      </c>
      <c r="M25" s="10" t="s">
        <v>133</v>
      </c>
      <c r="N25" s="10" t="s">
        <v>134</v>
      </c>
      <c r="O25" s="10" t="s">
        <v>29</v>
      </c>
      <c r="P25" s="11">
        <v>666.4</v>
      </c>
      <c r="Q25" s="11">
        <v>21325</v>
      </c>
      <c r="R25" s="11">
        <v>39.199999999999996</v>
      </c>
      <c r="S25" s="11">
        <v>1254.4117647058824</v>
      </c>
      <c r="T25" s="10" t="s">
        <v>135</v>
      </c>
      <c r="U25" s="10" t="s">
        <v>136</v>
      </c>
    </row>
    <row r="26" spans="1:21" x14ac:dyDescent="0.25">
      <c r="A26" s="9" t="s">
        <v>127</v>
      </c>
      <c r="B26" s="9" t="s">
        <v>128</v>
      </c>
      <c r="C26" s="9" t="s">
        <v>129</v>
      </c>
      <c r="D26" s="9" t="s">
        <v>58</v>
      </c>
      <c r="E26" s="9" t="s">
        <v>27</v>
      </c>
      <c r="F26" s="9" t="s">
        <v>143</v>
      </c>
      <c r="G26" s="10">
        <v>30</v>
      </c>
      <c r="H26" s="10">
        <v>3</v>
      </c>
      <c r="I26" s="10">
        <v>35</v>
      </c>
      <c r="J26" s="10">
        <v>12</v>
      </c>
      <c r="K26" s="10" t="s">
        <v>29</v>
      </c>
      <c r="L26" s="10" t="s">
        <v>132</v>
      </c>
      <c r="M26" s="10" t="s">
        <v>133</v>
      </c>
      <c r="N26" s="10" t="s">
        <v>134</v>
      </c>
      <c r="O26" s="10" t="s">
        <v>29</v>
      </c>
      <c r="P26" s="11">
        <v>666.4</v>
      </c>
      <c r="Q26" s="11">
        <v>19992</v>
      </c>
      <c r="R26" s="11">
        <v>39.199999999999996</v>
      </c>
      <c r="S26" s="11">
        <v>1176</v>
      </c>
      <c r="T26" s="10" t="s">
        <v>135</v>
      </c>
      <c r="U26" s="10" t="s">
        <v>136</v>
      </c>
    </row>
    <row r="27" spans="1:21" x14ac:dyDescent="0.25">
      <c r="A27" s="9" t="s">
        <v>127</v>
      </c>
      <c r="B27" s="9" t="s">
        <v>128</v>
      </c>
      <c r="C27" s="9" t="s">
        <v>129</v>
      </c>
      <c r="D27" s="9" t="s">
        <v>144</v>
      </c>
      <c r="E27" s="9" t="s">
        <v>27</v>
      </c>
      <c r="F27" s="9" t="s">
        <v>145</v>
      </c>
      <c r="G27" s="10">
        <v>30</v>
      </c>
      <c r="H27" s="10" t="s">
        <v>29</v>
      </c>
      <c r="I27" s="10">
        <v>35</v>
      </c>
      <c r="J27" s="10">
        <v>12</v>
      </c>
      <c r="K27" s="10" t="s">
        <v>29</v>
      </c>
      <c r="L27" s="10" t="s">
        <v>29</v>
      </c>
      <c r="M27" s="10" t="s">
        <v>133</v>
      </c>
      <c r="N27" s="10" t="s">
        <v>134</v>
      </c>
      <c r="O27" s="10" t="s">
        <v>29</v>
      </c>
      <c r="P27" s="11">
        <v>666.4</v>
      </c>
      <c r="Q27" s="11">
        <v>19992</v>
      </c>
      <c r="R27" s="11">
        <v>39.199999999999996</v>
      </c>
      <c r="S27" s="11">
        <v>1176</v>
      </c>
      <c r="T27" s="10" t="s">
        <v>135</v>
      </c>
      <c r="U27" s="10" t="s">
        <v>136</v>
      </c>
    </row>
    <row r="28" spans="1:21" x14ac:dyDescent="0.25">
      <c r="A28" s="9" t="s">
        <v>127</v>
      </c>
      <c r="B28" s="9" t="s">
        <v>128</v>
      </c>
      <c r="C28" s="9" t="s">
        <v>129</v>
      </c>
      <c r="D28" s="9" t="s">
        <v>146</v>
      </c>
      <c r="E28" s="9" t="s">
        <v>27</v>
      </c>
      <c r="F28" s="9" t="s">
        <v>147</v>
      </c>
      <c r="G28" s="10">
        <v>45</v>
      </c>
      <c r="H28" s="10">
        <v>3</v>
      </c>
      <c r="I28" s="10">
        <v>35</v>
      </c>
      <c r="J28" s="10">
        <v>12</v>
      </c>
      <c r="K28" s="10" t="s">
        <v>29</v>
      </c>
      <c r="L28" s="10" t="s">
        <v>132</v>
      </c>
      <c r="M28" s="10" t="s">
        <v>133</v>
      </c>
      <c r="N28" s="10" t="s">
        <v>134</v>
      </c>
      <c r="O28" s="10" t="s">
        <v>29</v>
      </c>
      <c r="P28" s="11">
        <v>666.4</v>
      </c>
      <c r="Q28" s="11">
        <v>29988</v>
      </c>
      <c r="R28" s="11">
        <v>39.199999999999996</v>
      </c>
      <c r="S28" s="11">
        <v>1764</v>
      </c>
      <c r="T28" s="10" t="s">
        <v>135</v>
      </c>
      <c r="U28" s="10" t="s">
        <v>136</v>
      </c>
    </row>
    <row r="29" spans="1:21" x14ac:dyDescent="0.25">
      <c r="A29" s="9" t="s">
        <v>127</v>
      </c>
      <c r="B29" s="9" t="s">
        <v>128</v>
      </c>
      <c r="C29" s="9" t="s">
        <v>129</v>
      </c>
      <c r="D29" s="9" t="s">
        <v>148</v>
      </c>
      <c r="E29" s="9" t="s">
        <v>27</v>
      </c>
      <c r="F29" s="9" t="s">
        <v>149</v>
      </c>
      <c r="G29" s="10">
        <v>34</v>
      </c>
      <c r="H29" s="10">
        <v>3</v>
      </c>
      <c r="I29" s="10">
        <v>35</v>
      </c>
      <c r="J29" s="10">
        <v>12</v>
      </c>
      <c r="K29" s="10" t="s">
        <v>29</v>
      </c>
      <c r="L29" s="10" t="s">
        <v>132</v>
      </c>
      <c r="M29" s="10" t="s">
        <v>133</v>
      </c>
      <c r="N29" s="10" t="s">
        <v>134</v>
      </c>
      <c r="O29" s="10" t="s">
        <v>29</v>
      </c>
      <c r="P29" s="11">
        <v>666.4</v>
      </c>
      <c r="Q29" s="11">
        <v>22658</v>
      </c>
      <c r="R29" s="11">
        <v>39.199999999999996</v>
      </c>
      <c r="S29" s="11">
        <v>1332.8235294117646</v>
      </c>
      <c r="T29" s="10" t="s">
        <v>135</v>
      </c>
      <c r="U29" s="10" t="s">
        <v>136</v>
      </c>
    </row>
    <row r="30" spans="1:21" x14ac:dyDescent="0.25">
      <c r="A30" s="9" t="s">
        <v>23</v>
      </c>
      <c r="B30" s="9" t="s">
        <v>108</v>
      </c>
      <c r="C30" s="9" t="s">
        <v>150</v>
      </c>
      <c r="D30" s="9" t="s">
        <v>130</v>
      </c>
      <c r="E30" s="9" t="s">
        <v>27</v>
      </c>
      <c r="F30" s="9" t="s">
        <v>151</v>
      </c>
      <c r="G30" s="10">
        <v>10</v>
      </c>
      <c r="H30" s="10" t="s">
        <v>29</v>
      </c>
      <c r="I30" s="10">
        <v>40</v>
      </c>
      <c r="J30" s="10">
        <v>15</v>
      </c>
      <c r="K30" s="10" t="s">
        <v>29</v>
      </c>
      <c r="L30" s="10" t="s">
        <v>29</v>
      </c>
      <c r="M30" s="10" t="s">
        <v>152</v>
      </c>
      <c r="N30" s="10" t="s">
        <v>153</v>
      </c>
      <c r="O30" s="10" t="s">
        <v>29</v>
      </c>
      <c r="P30" s="11">
        <v>841.5</v>
      </c>
      <c r="Q30" s="11">
        <v>8415</v>
      </c>
      <c r="R30" s="11">
        <v>49.5</v>
      </c>
      <c r="S30" s="11">
        <v>495</v>
      </c>
      <c r="T30" s="10" t="s">
        <v>154</v>
      </c>
      <c r="U30" s="10" t="s">
        <v>155</v>
      </c>
    </row>
    <row r="31" spans="1:21" x14ac:dyDescent="0.25">
      <c r="A31" s="9" t="s">
        <v>23</v>
      </c>
      <c r="B31" s="9" t="s">
        <v>108</v>
      </c>
      <c r="C31" s="9" t="s">
        <v>156</v>
      </c>
      <c r="D31" s="9" t="s">
        <v>157</v>
      </c>
      <c r="E31" s="9" t="s">
        <v>27</v>
      </c>
      <c r="F31" s="9" t="s">
        <v>158</v>
      </c>
      <c r="G31" s="10">
        <v>1</v>
      </c>
      <c r="H31" s="10" t="s">
        <v>29</v>
      </c>
      <c r="I31" s="10">
        <v>250</v>
      </c>
      <c r="J31" s="10">
        <v>140</v>
      </c>
      <c r="K31" s="10" t="s">
        <v>29</v>
      </c>
      <c r="L31" s="10" t="s">
        <v>29</v>
      </c>
      <c r="M31" s="10" t="s">
        <v>159</v>
      </c>
      <c r="N31" s="10" t="s">
        <v>82</v>
      </c>
      <c r="O31" s="10" t="s">
        <v>29</v>
      </c>
      <c r="P31" s="11">
        <v>37610</v>
      </c>
      <c r="Q31" s="11">
        <v>37610</v>
      </c>
      <c r="R31" s="11">
        <v>2212.3529411764707</v>
      </c>
      <c r="S31" s="11">
        <v>2212.3529411764707</v>
      </c>
      <c r="T31" s="10" t="s">
        <v>160</v>
      </c>
      <c r="U31" s="10" t="s">
        <v>161</v>
      </c>
    </row>
    <row r="32" spans="1:21" x14ac:dyDescent="0.25">
      <c r="A32" s="9" t="s">
        <v>23</v>
      </c>
      <c r="B32" s="9" t="s">
        <v>162</v>
      </c>
      <c r="C32" s="9" t="s">
        <v>163</v>
      </c>
      <c r="D32" s="9" t="s">
        <v>36</v>
      </c>
      <c r="E32" s="9" t="s">
        <v>27</v>
      </c>
      <c r="F32" s="9" t="s">
        <v>164</v>
      </c>
      <c r="G32" s="10">
        <v>1</v>
      </c>
      <c r="H32" s="10" t="s">
        <v>29</v>
      </c>
      <c r="I32" s="10">
        <v>110</v>
      </c>
      <c r="J32" s="10" t="s">
        <v>29</v>
      </c>
      <c r="K32" s="10" t="s">
        <v>29</v>
      </c>
      <c r="L32" s="10" t="s">
        <v>29</v>
      </c>
      <c r="M32" s="10" t="s">
        <v>165</v>
      </c>
      <c r="N32" s="10" t="s">
        <v>29</v>
      </c>
      <c r="O32" s="10" t="s">
        <v>29</v>
      </c>
      <c r="P32" s="11">
        <v>12510</v>
      </c>
      <c r="Q32" s="11">
        <v>12510</v>
      </c>
      <c r="R32" s="11">
        <v>735.88235294117646</v>
      </c>
      <c r="S32" s="11">
        <v>735.88235294117646</v>
      </c>
      <c r="T32" s="10" t="s">
        <v>166</v>
      </c>
      <c r="U32" s="10" t="s">
        <v>167</v>
      </c>
    </row>
    <row r="33" spans="1:21" x14ac:dyDescent="0.25">
      <c r="A33" s="9" t="s">
        <v>23</v>
      </c>
      <c r="B33" s="9" t="s">
        <v>108</v>
      </c>
      <c r="C33" s="9" t="s">
        <v>121</v>
      </c>
      <c r="D33" s="9" t="s">
        <v>58</v>
      </c>
      <c r="E33" s="9" t="s">
        <v>27</v>
      </c>
      <c r="F33" s="9" t="s">
        <v>168</v>
      </c>
      <c r="G33" s="10">
        <v>1</v>
      </c>
      <c r="H33" s="10">
        <v>40</v>
      </c>
      <c r="I33" s="10">
        <v>160</v>
      </c>
      <c r="J33" s="10">
        <v>60</v>
      </c>
      <c r="K33" s="10" t="s">
        <v>29</v>
      </c>
      <c r="L33" s="10" t="s">
        <v>116</v>
      </c>
      <c r="M33" s="10" t="s">
        <v>105</v>
      </c>
      <c r="N33" s="10" t="s">
        <v>40</v>
      </c>
      <c r="O33" s="10" t="s">
        <v>29</v>
      </c>
      <c r="P33" s="11">
        <v>15215</v>
      </c>
      <c r="Q33" s="11">
        <v>15215</v>
      </c>
      <c r="R33" s="11">
        <v>895</v>
      </c>
      <c r="S33" s="11">
        <v>895</v>
      </c>
      <c r="T33" s="10" t="s">
        <v>169</v>
      </c>
      <c r="U33" s="10" t="s">
        <v>170</v>
      </c>
    </row>
    <row r="34" spans="1:21" x14ac:dyDescent="0.25">
      <c r="F34" s="12" t="s">
        <v>171</v>
      </c>
      <c r="G34" s="13">
        <f>SUM(G6:G33)</f>
        <v>265</v>
      </c>
      <c r="Q34" s="16">
        <f>SUM(Q6:Q33)</f>
        <v>431489</v>
      </c>
      <c r="S34" s="16">
        <f>SUM(S6:S33)</f>
        <v>25381.705882352944</v>
      </c>
    </row>
    <row r="35" spans="1:21" x14ac:dyDescent="0.25">
      <c r="A35" s="17" t="s">
        <v>172</v>
      </c>
      <c r="B35" s="17"/>
      <c r="C35" s="17" t="s">
        <v>173</v>
      </c>
      <c r="D35" s="17"/>
      <c r="E35" s="17" t="s">
        <v>174</v>
      </c>
      <c r="F35" s="17" t="s">
        <v>175</v>
      </c>
      <c r="G35" s="18"/>
      <c r="H35" s="18"/>
      <c r="I35" s="18"/>
      <c r="J35" s="18"/>
      <c r="K35" s="18"/>
      <c r="L35" s="18"/>
      <c r="M35" s="18"/>
      <c r="N35" s="18"/>
      <c r="O35" s="18"/>
      <c r="P35" s="19"/>
      <c r="Q35" s="19" t="s">
        <v>176</v>
      </c>
      <c r="R35" s="19"/>
      <c r="S35" s="19" t="s">
        <v>177</v>
      </c>
      <c r="T35" s="18"/>
      <c r="U35" s="18"/>
    </row>
    <row r="36" spans="1:21" x14ac:dyDescent="0.25">
      <c r="A36" s="20" t="s">
        <v>127</v>
      </c>
      <c r="B36" s="20"/>
      <c r="C36" s="20" t="s">
        <v>178</v>
      </c>
      <c r="D36" s="20"/>
      <c r="E36" s="20" t="s">
        <v>179</v>
      </c>
      <c r="F36" s="20" t="s">
        <v>180</v>
      </c>
      <c r="G36" s="21"/>
      <c r="H36" s="21"/>
      <c r="I36" s="21"/>
      <c r="J36" s="21"/>
      <c r="K36" s="21"/>
      <c r="L36" s="21"/>
      <c r="M36" s="21"/>
      <c r="N36" s="21"/>
      <c r="O36" s="21"/>
      <c r="P36" s="22"/>
      <c r="Q36" s="22">
        <v>83300</v>
      </c>
      <c r="R36" s="22"/>
      <c r="S36" s="22">
        <v>4900</v>
      </c>
      <c r="T36" s="21"/>
      <c r="U36" s="21"/>
    </row>
    <row r="37" spans="1:21" x14ac:dyDescent="0.25">
      <c r="A37" s="20"/>
      <c r="B37" s="20"/>
      <c r="C37" s="20"/>
      <c r="D37" s="20"/>
      <c r="E37" s="20"/>
      <c r="F37" s="20" t="s">
        <v>181</v>
      </c>
      <c r="G37" s="21"/>
      <c r="H37" s="21"/>
      <c r="I37" s="21"/>
      <c r="J37" s="21"/>
      <c r="K37" s="21"/>
      <c r="L37" s="21"/>
      <c r="M37" s="21"/>
      <c r="N37" s="21"/>
      <c r="O37" s="21"/>
      <c r="P37" s="22"/>
      <c r="Q37" s="22">
        <f>SUM(Q6:Q11)</f>
        <v>27778</v>
      </c>
      <c r="R37" s="22"/>
      <c r="S37" s="22">
        <f>Q37/17</f>
        <v>1634</v>
      </c>
      <c r="T37" s="21"/>
      <c r="U37" s="21"/>
    </row>
    <row r="38" spans="1:21" x14ac:dyDescent="0.25">
      <c r="A38" s="20"/>
      <c r="B38" s="20"/>
      <c r="C38" s="20"/>
      <c r="D38" s="20"/>
      <c r="E38" s="20"/>
      <c r="F38" s="20"/>
      <c r="G38" s="21"/>
      <c r="H38" s="21"/>
      <c r="I38" s="21"/>
      <c r="J38" s="21"/>
      <c r="K38" s="21"/>
      <c r="L38" s="21"/>
      <c r="M38" s="21"/>
      <c r="N38" s="21"/>
      <c r="O38" s="21"/>
      <c r="P38" s="22" t="s">
        <v>182</v>
      </c>
      <c r="Q38" s="22"/>
      <c r="R38" s="22"/>
      <c r="S38" s="22"/>
      <c r="T38" s="21"/>
      <c r="U38" s="21"/>
    </row>
    <row r="39" spans="1:21" x14ac:dyDescent="0.25">
      <c r="A39" s="20"/>
      <c r="B39" s="20"/>
      <c r="C39" s="20"/>
      <c r="D39" s="20"/>
      <c r="E39" s="20"/>
      <c r="F39" s="20"/>
      <c r="G39" s="21"/>
      <c r="H39" s="21"/>
      <c r="I39" s="21"/>
      <c r="J39" s="21"/>
      <c r="K39" s="21"/>
      <c r="L39" s="21"/>
      <c r="M39" s="21"/>
      <c r="N39" s="21"/>
      <c r="O39" s="21"/>
      <c r="P39" s="22" t="s">
        <v>183</v>
      </c>
      <c r="Q39" s="22">
        <f>Q37+Q36</f>
        <v>111078</v>
      </c>
      <c r="R39" s="22"/>
      <c r="S39" s="22">
        <f>S36+S37</f>
        <v>6534</v>
      </c>
      <c r="T39" s="21"/>
      <c r="U39" s="21"/>
    </row>
    <row r="40" spans="1:21" x14ac:dyDescent="0.25">
      <c r="A40" s="20"/>
      <c r="B40" s="20"/>
      <c r="C40" s="20"/>
      <c r="D40" s="20"/>
      <c r="E40" s="20"/>
      <c r="F40" s="20"/>
      <c r="G40" s="21"/>
      <c r="H40" s="21"/>
      <c r="I40" s="21"/>
      <c r="J40" s="21"/>
      <c r="K40" s="21"/>
      <c r="L40" s="21"/>
      <c r="M40" s="21"/>
      <c r="N40" s="21"/>
      <c r="O40" s="21"/>
      <c r="P40" s="22" t="s">
        <v>184</v>
      </c>
      <c r="Q40" s="22">
        <f>Q34-Q39</f>
        <v>320411</v>
      </c>
      <c r="R40" s="22"/>
      <c r="S40" s="22">
        <f>S34-S39</f>
        <v>18847.705882352944</v>
      </c>
      <c r="T40" s="21"/>
      <c r="U40" s="21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TELLEZ TALLER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Ramses L. Jouhayerk</dc:creator>
  <cp:lastModifiedBy>Ramses L. Jouhayerk</cp:lastModifiedBy>
  <dcterms:created xsi:type="dcterms:W3CDTF">2026-07-09T00:47:36Z</dcterms:created>
  <dcterms:modified xsi:type="dcterms:W3CDTF">2026-07-09T00:47:57Z</dcterms:modified>
</cp:coreProperties>
</file>