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Jouhayerk\git\app\public\"/>
    </mc:Choice>
  </mc:AlternateContent>
  <xr:revisionPtr revIDLastSave="0" documentId="13_ncr:1_{DA435798-40A3-47C0-B7BC-5EAA95A6704D}" xr6:coauthVersionLast="47" xr6:coauthVersionMax="47" xr10:uidLastSave="{00000000-0000-0000-0000-000000000000}"/>
  <bookViews>
    <workbookView xWindow="360" yWindow="675" windowWidth="28440" windowHeight="12990" tabRatio="846" xr2:uid="{00000000-000D-0000-FFFF-FFFF00000000}"/>
  </bookViews>
  <sheets>
    <sheet name="EM" sheetId="3" r:id="rId1"/>
    <sheet name="JM" sheetId="35" r:id="rId2"/>
    <sheet name="TE" sheetId="8" r:id="rId3"/>
    <sheet name="DH" sheetId="7" r:id="rId4"/>
    <sheet name="ML" sheetId="36" r:id="rId5"/>
    <sheet name="GE" sheetId="34" r:id="rId6"/>
    <sheet name="FR" sheetId="30" r:id="rId7"/>
    <sheet name="ET" sheetId="44" r:id="rId8"/>
    <sheet name="AM" sheetId="41" r:id="rId9"/>
    <sheet name="BT" sheetId="33" r:id="rId10"/>
    <sheet name="RF" sheetId="43" r:id="rId11"/>
    <sheet name="GS" sheetId="6" r:id="rId12"/>
    <sheet name="CP" sheetId="40" r:id="rId13"/>
    <sheet name="AN" sheetId="39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8" hidden="1">AM!#REF!</definedName>
    <definedName name="_xlnm._FilterDatabase" localSheetId="13" hidden="1">AN!#REF!</definedName>
    <definedName name="_xlnm._FilterDatabase" localSheetId="9" hidden="1">BT!#REF!</definedName>
    <definedName name="_xlnm._FilterDatabase" localSheetId="12" hidden="1">CP!#REF!</definedName>
    <definedName name="_xlnm._FilterDatabase" localSheetId="3" hidden="1">DH!#REF!</definedName>
    <definedName name="_xlnm._FilterDatabase" localSheetId="0" hidden="1">EM!#REF!</definedName>
    <definedName name="_xlnm._FilterDatabase" localSheetId="7" hidden="1">ET!#REF!</definedName>
    <definedName name="_xlnm._FilterDatabase" localSheetId="6" hidden="1">FR!#REF!</definedName>
    <definedName name="_xlnm._FilterDatabase" localSheetId="5" hidden="1">GE!#REF!</definedName>
    <definedName name="_xlnm._FilterDatabase" localSheetId="11" hidden="1">GS!#REF!</definedName>
    <definedName name="_xlnm._FilterDatabase" localSheetId="1" hidden="1">JM!#REF!</definedName>
    <definedName name="_xlnm._FilterDatabase" localSheetId="4" hidden="1">ML!#REF!</definedName>
    <definedName name="_xlnm._FilterDatabase" localSheetId="10" hidden="1">RF!#REF!</definedName>
    <definedName name="_xlnm._FilterDatabase" localSheetId="2" hidden="1">TE!#REF!</definedName>
    <definedName name="Categories" localSheetId="13">OFFSET('[1]Admin &amp; Settings'!$C$10,1,,COUNTA('[1]Admin &amp; Settings'!$C$10:$C$33)-1,1)</definedName>
    <definedName name="Categories" localSheetId="12">OFFSET('[1]Admin &amp; Settings'!$C$10,1,,COUNTA('[1]Admin &amp; Settings'!$C$10:$C$33)-1,1)</definedName>
    <definedName name="Categories" localSheetId="1">OFFSET('[1]Admin &amp; Settings'!$C$10,1,,COUNTA('[1]Admin &amp; Settings'!$C$10:$C$33)-1,1)</definedName>
    <definedName name="Categories" localSheetId="4">OFFSET('[1]Admin &amp; Settings'!$C$10,1,,COUNTA('[1]Admin &amp; Settings'!$C$10:$C$33)-1,1)</definedName>
    <definedName name="Categories">OFFSET('[2]Admin &amp; Settings'!$C$10,1,,COUNTA('[2]Admin &amp; Settings'!$C$10:$C$33)-1,1)</definedName>
    <definedName name="Months">[3]Expenses!#REF!</definedName>
    <definedName name="_xlnm.Print_Titles" localSheetId="8">AM!$1:$1</definedName>
    <definedName name="_xlnm.Print_Titles" localSheetId="13">AN!$1:$1</definedName>
    <definedName name="_xlnm.Print_Titles" localSheetId="9">BT!$1:$1</definedName>
    <definedName name="_xlnm.Print_Titles" localSheetId="12">CP!$1:$1</definedName>
    <definedName name="_xlnm.Print_Titles" localSheetId="3">DH!$1:$1</definedName>
    <definedName name="_xlnm.Print_Titles" localSheetId="0">EM!$1:$1</definedName>
    <definedName name="_xlnm.Print_Titles" localSheetId="7">ET!$1:$1</definedName>
    <definedName name="_xlnm.Print_Titles" localSheetId="6">FR!$1:$1</definedName>
    <definedName name="_xlnm.Print_Titles" localSheetId="5">GE!$1:$1</definedName>
    <definedName name="_xlnm.Print_Titles" localSheetId="11">GS!$1:$1</definedName>
    <definedName name="_xlnm.Print_Titles" localSheetId="1">JM!$1:$1</definedName>
    <definedName name="_xlnm.Print_Titles" localSheetId="4">ML!$1:$1</definedName>
    <definedName name="_xlnm.Print_Titles" localSheetId="10">RF!$1:$1</definedName>
    <definedName name="_xlnm.Print_Titles" localSheetId="2">TE!$1:$1</definedName>
    <definedName name="Status" localSheetId="13">[4]TE!$AB$4:$AB$6</definedName>
    <definedName name="Status" localSheetId="12">[4]TE!$AB$4:$AB$6</definedName>
    <definedName name="Status" localSheetId="1">[4]TE!$AB$4:$AB$6</definedName>
    <definedName name="Status" localSheetId="4">[4]TE!$AB$4:$AB$6</definedName>
    <definedName name="Status">TE!#REF!</definedName>
    <definedName name="valHighlight" localSheetId="8">IFERROR(IF(AM!#REF!="Yes", TRUE, FALSE),FALSE)</definedName>
    <definedName name="valHighlight" localSheetId="13">IFERROR(IF(AN!#REF!="Yes", TRUE, FALSE),FALSE)</definedName>
    <definedName name="valHighlight" localSheetId="9">IFERROR(IF(BT!#REF!="Yes", TRUE, FALSE),FALSE)</definedName>
    <definedName name="valHighlight" localSheetId="12">IFERROR(IF(CP!#REF!="Yes", TRUE, FALSE),FALSE)</definedName>
    <definedName name="valHighlight" localSheetId="3">IFERROR(IF(DH!#REF!="Yes", TRUE, FALSE),FALSE)</definedName>
    <definedName name="valHighlight" localSheetId="0">IFERROR(IF(EM!#REF!="Yes", TRUE, FALSE),FALSE)</definedName>
    <definedName name="valHighlight" localSheetId="7">IFERROR(IF(ET!#REF!="Yes", TRUE, FALSE),FALSE)</definedName>
    <definedName name="valHighlight" localSheetId="6">IFERROR(IF(FR!#REF!="Yes", TRUE, FALSE),FALSE)</definedName>
    <definedName name="valHighlight" localSheetId="5">IFERROR(IF(GE!#REF!="Yes", TRUE, FALSE),FALSE)</definedName>
    <definedName name="valHighlight" localSheetId="11">IFERROR(IF(GS!#REF!="Yes", TRUE, FALSE),FALSE)</definedName>
    <definedName name="valHighlight" localSheetId="1">IFERROR(IF(JM!#REF!="Yes", TRUE, FALSE),FALSE)</definedName>
    <definedName name="valHighlight" localSheetId="4">IFERROR(IF(ML!#REF!="Yes", TRUE, FALSE),FALSE)</definedName>
    <definedName name="valHighlight" localSheetId="10">IFERROR(IF(RF!#REF!="Yes", TRUE, FALSE),FALSE)</definedName>
    <definedName name="valHighlight" localSheetId="2">IFERROR(IF(TE!#REF!="Yes", TRUE, FALSE),FALSE)</definedName>
    <definedName name="valHighlight">IFERROR(IF(#REF!="Yes",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4_dd2a1f7b-2283-4274-aa1e-b59c19bdd2d0" name="Page004" connection="Query - Page004"/>
          <x15:modelTable id="Table001  Page 1_afc22110-aa6e-4a56-b41a-7e0c7b9cbeef" name="Table001  Page 1" connection="Query - Table001 (Page 1)"/>
          <x15:modelTable id="Table002  Page 2_d58b31cc-4048-4d36-a39c-5360eabff941" name="Table002  Page 2" connection="Query - Table002 (Page 2)"/>
          <x15:modelTable id="Page001_abcd4fa0-4f33-4cdb-b9cd-7e683c203e3d" name="Page001" connection="Query - Page001"/>
          <x15:modelTable id="Page003_f071ef70-4739-43eb-b4e6-7e7f3d419e03" name="Page003" connection="Query - Page003"/>
          <x15:modelTable id="Page002_c0f01627-1c58-446f-b8d0-dfb3d9add719" name="Page002" connection="Query - Page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35" l="1"/>
  <c r="K30" i="35"/>
  <c r="B30" i="35"/>
  <c r="K29" i="35"/>
  <c r="J31" i="35" l="1"/>
  <c r="K46" i="36" l="1"/>
  <c r="K47" i="36"/>
  <c r="K45" i="36"/>
  <c r="K53" i="44"/>
  <c r="K51" i="44"/>
  <c r="K49" i="44"/>
  <c r="K47" i="44"/>
  <c r="K45" i="44"/>
  <c r="K42" i="44"/>
  <c r="K40" i="44"/>
  <c r="K38" i="44"/>
  <c r="K30" i="44"/>
  <c r="K28" i="44"/>
  <c r="K26" i="44"/>
  <c r="K25" i="44"/>
  <c r="K24" i="44"/>
  <c r="K23" i="44"/>
  <c r="K22" i="44"/>
  <c r="K21" i="44"/>
  <c r="K20" i="44"/>
  <c r="K19" i="44"/>
  <c r="K18" i="44"/>
  <c r="K17" i="44"/>
  <c r="K16" i="44"/>
  <c r="K15" i="44"/>
  <c r="K14" i="44"/>
  <c r="K13" i="44"/>
  <c r="K12" i="44"/>
  <c r="K11" i="44"/>
  <c r="K10" i="44"/>
  <c r="K9" i="44"/>
  <c r="K8" i="44"/>
  <c r="K7" i="44"/>
  <c r="K6" i="44"/>
  <c r="K5" i="44"/>
  <c r="K4" i="44"/>
  <c r="K3" i="44"/>
  <c r="K2" i="44"/>
  <c r="K33" i="44" l="1"/>
  <c r="K29" i="44"/>
  <c r="K48" i="36" l="1"/>
  <c r="K52" i="44"/>
  <c r="K50" i="44"/>
  <c r="K48" i="44"/>
  <c r="K43" i="44"/>
  <c r="K41" i="44"/>
  <c r="K31" i="44"/>
  <c r="K36" i="44" l="1"/>
  <c r="K32" i="44"/>
  <c r="K27" i="44"/>
  <c r="K49" i="36" l="1"/>
  <c r="K46" i="44"/>
  <c r="K44" i="44"/>
  <c r="K34" i="44"/>
  <c r="K39" i="44" l="1"/>
  <c r="K35" i="44"/>
  <c r="K37" i="44" l="1"/>
  <c r="K32" i="36" l="1"/>
  <c r="K10" i="43"/>
  <c r="K9" i="43"/>
  <c r="K8" i="43"/>
  <c r="K7" i="43"/>
  <c r="K6" i="43"/>
  <c r="K5" i="43"/>
  <c r="K4" i="43"/>
  <c r="K3" i="43"/>
  <c r="K2" i="43"/>
  <c r="J39" i="8"/>
  <c r="J38" i="8"/>
  <c r="J37" i="8"/>
  <c r="J36" i="8"/>
  <c r="J35" i="8"/>
  <c r="J34" i="8"/>
  <c r="J33" i="8"/>
  <c r="J32" i="8"/>
  <c r="J29" i="8"/>
  <c r="O13" i="41"/>
  <c r="N13" i="41"/>
  <c r="M13" i="41"/>
  <c r="L13" i="41"/>
  <c r="K13" i="41"/>
  <c r="O12" i="41"/>
  <c r="N12" i="41"/>
  <c r="M12" i="41"/>
  <c r="L12" i="41"/>
  <c r="K12" i="41"/>
  <c r="O11" i="41"/>
  <c r="N11" i="41"/>
  <c r="M11" i="41"/>
  <c r="L11" i="41"/>
  <c r="K11" i="41"/>
  <c r="O10" i="41"/>
  <c r="N10" i="41"/>
  <c r="M10" i="41"/>
  <c r="L10" i="41"/>
  <c r="K10" i="41"/>
  <c r="O9" i="41"/>
  <c r="N9" i="41"/>
  <c r="M9" i="41"/>
  <c r="L9" i="41"/>
  <c r="K9" i="41"/>
  <c r="O8" i="41"/>
  <c r="N8" i="41"/>
  <c r="M8" i="41"/>
  <c r="L8" i="41"/>
  <c r="K8" i="41"/>
  <c r="O7" i="41"/>
  <c r="N7" i="41"/>
  <c r="M7" i="41"/>
  <c r="L7" i="41"/>
  <c r="K7" i="41"/>
  <c r="O6" i="41"/>
  <c r="N6" i="41"/>
  <c r="M6" i="41"/>
  <c r="L6" i="41"/>
  <c r="K6" i="41"/>
  <c r="O5" i="41"/>
  <c r="N5" i="41"/>
  <c r="M5" i="41"/>
  <c r="L5" i="41"/>
  <c r="K5" i="41"/>
  <c r="O4" i="41"/>
  <c r="N4" i="41"/>
  <c r="M4" i="41"/>
  <c r="L4" i="41"/>
  <c r="K4" i="41"/>
  <c r="O3" i="41"/>
  <c r="N3" i="41"/>
  <c r="M3" i="41"/>
  <c r="L3" i="41"/>
  <c r="K3" i="41"/>
  <c r="O2" i="41"/>
  <c r="N2" i="41"/>
  <c r="M2" i="41"/>
  <c r="L2" i="41"/>
  <c r="K2" i="41"/>
  <c r="I24" i="8"/>
  <c r="I25" i="8"/>
  <c r="I26" i="8"/>
  <c r="K19" i="8"/>
  <c r="J31" i="8"/>
  <c r="J30" i="8"/>
  <c r="J28" i="8"/>
  <c r="J4" i="8"/>
  <c r="K40" i="34" l="1"/>
  <c r="K34" i="34"/>
  <c r="K35" i="34"/>
  <c r="K36" i="34"/>
  <c r="K37" i="34"/>
  <c r="K38" i="34"/>
  <c r="K39" i="34"/>
  <c r="K28" i="34"/>
  <c r="K29" i="34"/>
  <c r="K30" i="34"/>
  <c r="K31" i="34"/>
  <c r="K32" i="34"/>
  <c r="K33" i="34"/>
  <c r="J9" i="30"/>
  <c r="J10" i="30"/>
  <c r="J11" i="30"/>
  <c r="K9" i="30" l="1"/>
  <c r="K11" i="30"/>
  <c r="K10" i="30"/>
  <c r="K2" i="40"/>
  <c r="K2" i="39" l="1"/>
  <c r="K14" i="33" l="1"/>
  <c r="K13" i="33"/>
  <c r="K12" i="33"/>
  <c r="K11" i="33"/>
  <c r="K10" i="33"/>
  <c r="K9" i="33"/>
  <c r="K8" i="33"/>
  <c r="K7" i="33"/>
  <c r="K6" i="33"/>
  <c r="K5" i="33"/>
  <c r="K4" i="33"/>
  <c r="K3" i="33"/>
  <c r="K2" i="33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27" i="34"/>
  <c r="K26" i="34"/>
  <c r="K25" i="34"/>
  <c r="K24" i="34"/>
  <c r="K23" i="34"/>
  <c r="K22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7" i="34"/>
  <c r="K6" i="34"/>
  <c r="K5" i="34"/>
  <c r="K4" i="34"/>
  <c r="K3" i="34"/>
  <c r="K2" i="34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8" i="8"/>
  <c r="K17" i="8"/>
  <c r="K16" i="8"/>
  <c r="K15" i="8"/>
  <c r="K13" i="8"/>
  <c r="J12" i="8"/>
  <c r="J14" i="8" s="1"/>
  <c r="K14" i="8" s="1"/>
  <c r="J11" i="8"/>
  <c r="K11" i="8" s="1"/>
  <c r="J10" i="8"/>
  <c r="K10" i="8" s="1"/>
  <c r="J9" i="8"/>
  <c r="K9" i="8" s="1"/>
  <c r="J8" i="8"/>
  <c r="K8" i="8" s="1"/>
  <c r="J7" i="8"/>
  <c r="K7" i="8" s="1"/>
  <c r="J6" i="8"/>
  <c r="K6" i="8" s="1"/>
  <c r="J5" i="8"/>
  <c r="K5" i="8" s="1"/>
  <c r="K4" i="8"/>
  <c r="J3" i="8"/>
  <c r="K3" i="8" s="1"/>
  <c r="J2" i="8"/>
  <c r="K2" i="8" s="1"/>
  <c r="J20" i="30"/>
  <c r="J19" i="30"/>
  <c r="J18" i="30"/>
  <c r="J17" i="30"/>
  <c r="J16" i="30"/>
  <c r="J15" i="30"/>
  <c r="J14" i="30"/>
  <c r="J13" i="30"/>
  <c r="J12" i="30"/>
  <c r="J8" i="30"/>
  <c r="J7" i="30"/>
  <c r="J6" i="30"/>
  <c r="J5" i="30"/>
  <c r="J4" i="30"/>
  <c r="J3" i="30"/>
  <c r="J2" i="30"/>
  <c r="J45" i="7"/>
  <c r="K45" i="7" s="1"/>
  <c r="J44" i="7"/>
  <c r="K44" i="7" s="1"/>
  <c r="J43" i="7"/>
  <c r="J42" i="7"/>
  <c r="J41" i="7"/>
  <c r="K41" i="7" s="1"/>
  <c r="J40" i="7"/>
  <c r="K40" i="7" s="1"/>
  <c r="J39" i="7"/>
  <c r="K39" i="7" s="1"/>
  <c r="J38" i="7"/>
  <c r="K38" i="7" s="1"/>
  <c r="J37" i="7"/>
  <c r="K37" i="7" s="1"/>
  <c r="J36" i="7"/>
  <c r="K36" i="7" s="1"/>
  <c r="J35" i="7"/>
  <c r="J34" i="7"/>
  <c r="J33" i="7"/>
  <c r="K33" i="7" s="1"/>
  <c r="J32" i="7"/>
  <c r="K32" i="7" s="1"/>
  <c r="J31" i="7"/>
  <c r="K31" i="7" s="1"/>
  <c r="J30" i="7"/>
  <c r="K30" i="7" s="1"/>
  <c r="J29" i="7"/>
  <c r="K29" i="7" s="1"/>
  <c r="J28" i="7"/>
  <c r="K28" i="7" s="1"/>
  <c r="J27" i="7"/>
  <c r="K27" i="7" s="1"/>
  <c r="J26" i="7"/>
  <c r="K26" i="7" s="1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J17" i="7"/>
  <c r="K17" i="7" s="1"/>
  <c r="J16" i="7"/>
  <c r="K16" i="7" s="1"/>
  <c r="J15" i="7"/>
  <c r="K15" i="7" s="1"/>
  <c r="J14" i="7"/>
  <c r="K14" i="7" s="1"/>
  <c r="J13" i="7"/>
  <c r="K13" i="7" s="1"/>
  <c r="K12" i="7"/>
  <c r="J12" i="7"/>
  <c r="J11" i="7"/>
  <c r="K11" i="7" s="1"/>
  <c r="J10" i="7"/>
  <c r="K10" i="7" s="1"/>
  <c r="J9" i="7"/>
  <c r="K9" i="7" s="1"/>
  <c r="J8" i="7"/>
  <c r="K8" i="7" s="1"/>
  <c r="J7" i="7"/>
  <c r="K7" i="7" s="1"/>
  <c r="J6" i="7"/>
  <c r="K6" i="7" s="1"/>
  <c r="J5" i="7"/>
  <c r="K5" i="7" s="1"/>
  <c r="J4" i="7"/>
  <c r="K4" i="7" s="1"/>
  <c r="J3" i="7"/>
  <c r="K3" i="7" s="1"/>
  <c r="J2" i="7"/>
  <c r="K2" i="7" s="1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26" i="36"/>
  <c r="K25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K7" i="36"/>
  <c r="K6" i="36"/>
  <c r="K5" i="36"/>
  <c r="K4" i="36"/>
  <c r="K3" i="36"/>
  <c r="K2" i="36"/>
  <c r="K20" i="30" l="1"/>
  <c r="K2" i="30"/>
  <c r="K15" i="30"/>
  <c r="K18" i="30"/>
  <c r="K5" i="30"/>
  <c r="K12" i="30"/>
  <c r="K14" i="30"/>
  <c r="K8" i="30"/>
  <c r="K6" i="30"/>
  <c r="K7" i="30"/>
  <c r="K3" i="30"/>
  <c r="K13" i="30"/>
  <c r="K16" i="30"/>
  <c r="K19" i="30"/>
  <c r="K4" i="30"/>
  <c r="K17" i="30"/>
  <c r="K2" i="35"/>
  <c r="K6" i="35"/>
  <c r="K7" i="35"/>
  <c r="K10" i="35"/>
  <c r="K13" i="35"/>
  <c r="K4" i="35"/>
  <c r="K3" i="35"/>
  <c r="K9" i="35"/>
  <c r="K12" i="35"/>
  <c r="K15" i="35"/>
  <c r="K5" i="35"/>
  <c r="K16" i="35"/>
  <c r="K8" i="35"/>
  <c r="K11" i="35"/>
  <c r="K14" i="35"/>
  <c r="K12" i="8"/>
  <c r="K43" i="7"/>
  <c r="K42" i="7"/>
  <c r="K35" i="7"/>
  <c r="K34" i="7"/>
  <c r="K21" i="34" l="1"/>
  <c r="K15" i="33" l="1"/>
  <c r="K27" i="36"/>
  <c r="K28" i="36"/>
  <c r="K51" i="36" l="1"/>
  <c r="K50" i="36"/>
  <c r="K52" i="36"/>
  <c r="K29" i="36"/>
  <c r="K30" i="36" l="1"/>
  <c r="K31" i="36"/>
  <c r="K54" i="36" l="1"/>
  <c r="K53" i="36"/>
  <c r="K55" i="36"/>
  <c r="K34" i="36" l="1"/>
  <c r="K33" i="36"/>
  <c r="K56" i="36" l="1"/>
  <c r="K35" i="36"/>
  <c r="K37" i="36" l="1"/>
  <c r="K36" i="36"/>
  <c r="K38" i="36" l="1"/>
  <c r="K40" i="36" l="1"/>
  <c r="K39" i="36"/>
  <c r="K41" i="36" l="1"/>
  <c r="K43" i="36" l="1"/>
  <c r="K42" i="36"/>
  <c r="K44" i="3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fe04366c-e7bb-4cac-9672-0b7472df1c11"/>
      </ext>
    </extLst>
  </connection>
  <connection id="2" xr16:uid="{00000000-0015-0000-FFFF-FFFF01000000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124feea7-8aa0-43c7-8f6d-db8f69e56e22"/>
      </ext>
    </extLst>
  </connection>
  <connection id="3" xr16:uid="{00000000-0015-0000-FFFF-FFFF02000000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9b475f85-4dc2-4fe8-834e-4a75dba88afd"/>
      </ext>
    </extLst>
  </connection>
  <connection id="4" xr16:uid="{00000000-0015-0000-FFFF-FFFF03000000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e964e576-5e34-475c-89d8-1104b8fe94e7"/>
      </ext>
    </extLst>
  </connection>
  <connection id="5" xr16:uid="{00000000-0015-0000-FFFF-FFFF04000000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aaf1d27b-3560-4781-9e43-e8f35df2c73f"/>
      </ext>
    </extLst>
  </connection>
  <connection id="6" xr16:uid="{00000000-0015-0000-FFFF-FFFF05000000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218afbf8-b6ac-4e13-831d-2fb8f964041b"/>
      </ext>
    </extLst>
  </connection>
  <connection id="7" xr16:uid="{00000000-0015-0000-FFFF-FFFF06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<sst xmlns="http://schemas.openxmlformats.org/spreadsheetml/2006/main" count="2278" uniqueCount="1062">
  <si>
    <t>LC</t>
  </si>
  <si>
    <t>GREY RUSTIC ROCK FTN</t>
  </si>
  <si>
    <t>EM325055OHL</t>
  </si>
  <si>
    <t>EM325056OFF</t>
  </si>
  <si>
    <t>EM325057OHO</t>
  </si>
  <si>
    <t>OMA</t>
  </si>
  <si>
    <t>EM325058MXL</t>
  </si>
  <si>
    <t>EM325060OXH</t>
  </si>
  <si>
    <t>EM325061NN</t>
  </si>
  <si>
    <t>LH</t>
  </si>
  <si>
    <t>SERPENTINE RUSTIC ROCK FTN</t>
  </si>
  <si>
    <t>EM325062OAD</t>
  </si>
  <si>
    <t>EM325063OXH</t>
  </si>
  <si>
    <t>EM325064MLO</t>
  </si>
  <si>
    <t>EM325065OHA</t>
  </si>
  <si>
    <t>PINK  SERP RUSTIC ROCK FTN</t>
  </si>
  <si>
    <t>EM325066HHN</t>
  </si>
  <si>
    <t>EM325067AA</t>
  </si>
  <si>
    <t>EM325068OFF</t>
  </si>
  <si>
    <t>EM325071MAL</t>
  </si>
  <si>
    <t>EM325072MOL</t>
  </si>
  <si>
    <t>AM</t>
  </si>
  <si>
    <t>EM325073NO</t>
  </si>
  <si>
    <t>EM325074AA</t>
  </si>
  <si>
    <t>GRAY REC  MIRROR</t>
  </si>
  <si>
    <t>GRAY REC MIRROR</t>
  </si>
  <si>
    <t>AMBER REC MIRROR</t>
  </si>
  <si>
    <t>CRYSTALLINE REC MIRROR</t>
  </si>
  <si>
    <t>CRYS  REC MIRROR</t>
  </si>
  <si>
    <t>CRYS REC MIRROR</t>
  </si>
  <si>
    <t>CRIS VEIN SQ MIRROR</t>
  </si>
  <si>
    <t>AMBER SQ MIRROR</t>
  </si>
  <si>
    <t>GREY SQ MIRROR</t>
  </si>
  <si>
    <t>CRIS VEIN REC MIRROR</t>
  </si>
  <si>
    <t>OLE</t>
  </si>
  <si>
    <t>CRIS COL</t>
  </si>
  <si>
    <t>CRIS VEIN POL</t>
  </si>
  <si>
    <t>CRIS POL</t>
  </si>
  <si>
    <t>CRIS AMBER POL</t>
  </si>
  <si>
    <t>CRIS AMBER /GREY POL</t>
  </si>
  <si>
    <t>CRIS VEINS POL</t>
  </si>
  <si>
    <t>CRIS AMBER/GREY POL</t>
  </si>
  <si>
    <t>GREY POL</t>
  </si>
  <si>
    <t>CRIS AMBER SOL</t>
  </si>
  <si>
    <t>CRIS GREY REC MIRROR</t>
  </si>
  <si>
    <t>CRIS GREY SQ MIRROR</t>
  </si>
  <si>
    <t>CRIS AMBER REC MIRROR</t>
  </si>
  <si>
    <t>CRIS GREY COL</t>
  </si>
  <si>
    <t>CRIS GREY POL</t>
  </si>
  <si>
    <t>CRIS GREY RD MIRROR</t>
  </si>
  <si>
    <t>TEHUA/GREY DIAMOND TABLE</t>
  </si>
  <si>
    <t>ZEBRA PANEL SET</t>
  </si>
  <si>
    <t>BEIGE MARBLE AMORE SCULPTURE</t>
  </si>
  <si>
    <t>GREEN TALAN PANEL SET</t>
  </si>
  <si>
    <t>BLUE ONIX SOL</t>
  </si>
  <si>
    <t>RED MARBLE AMORE SCULPTURE</t>
  </si>
  <si>
    <t>PINK SER SOL</t>
  </si>
  <si>
    <t>WALL PANEL TOTAL</t>
  </si>
  <si>
    <t>TEHUA GREEN/ORANGE SOL</t>
  </si>
  <si>
    <t>TEHUA GREEN/ORANGE CT SOL</t>
  </si>
  <si>
    <t>TEHUA GREEN/ORANGE OT SOL</t>
  </si>
  <si>
    <t>RED ONIX SOL</t>
  </si>
  <si>
    <t>SMALL MUSHROOM PINK</t>
  </si>
  <si>
    <t>LH35001L</t>
  </si>
  <si>
    <t>SMALL MUSHROOM ORANGE</t>
  </si>
  <si>
    <t>LH35002L</t>
  </si>
  <si>
    <t>SMALL MUSHROOM YELOW</t>
  </si>
  <si>
    <t>LH35003L</t>
  </si>
  <si>
    <t>DOUBLE MUSHROOM DIF COLR</t>
  </si>
  <si>
    <t>LH35004OO</t>
  </si>
  <si>
    <t>XLARGE MUSHROOM GREEN</t>
  </si>
  <si>
    <t>LH35005XH</t>
  </si>
  <si>
    <t>XLARGE MUSHROOM PURPLE</t>
  </si>
  <si>
    <t>LH35006XH</t>
  </si>
  <si>
    <t>XLARGE MUSHROOM BLUE</t>
  </si>
  <si>
    <t>LH35007XH</t>
  </si>
  <si>
    <t>XLARGE MUSHROOM PINK</t>
  </si>
  <si>
    <t>LH35008XH</t>
  </si>
  <si>
    <t>XLARGE MUSHROOM NATURAL</t>
  </si>
  <si>
    <t>LH35009XH</t>
  </si>
  <si>
    <t>PINK WHITE ENGLISH CHESS</t>
  </si>
  <si>
    <t>JV82501XX</t>
  </si>
  <si>
    <t>PINK GREY ENGLISH CHESS</t>
  </si>
  <si>
    <t>JV82502MA</t>
  </si>
  <si>
    <t>MM</t>
  </si>
  <si>
    <t>GREY BLACK ITALIAN CHESS</t>
  </si>
  <si>
    <t>JV82503HF</t>
  </si>
  <si>
    <t>PINK BLACK ITALIAN HESS</t>
  </si>
  <si>
    <t>JV82504OX</t>
  </si>
  <si>
    <t>PINK WHITE ITALIAN CHESS</t>
  </si>
  <si>
    <t>JV82505OX</t>
  </si>
  <si>
    <t>PINK GREY ITALIAN CHESS</t>
  </si>
  <si>
    <t>JV82506OX</t>
  </si>
  <si>
    <t>PINK MAR RD COASTER SET</t>
  </si>
  <si>
    <t>MOKA MAR RD COSTER SET</t>
  </si>
  <si>
    <t>MOKA MAR SQ COSTER SET 8</t>
  </si>
  <si>
    <t>PINK MAR SQ COASTER SET</t>
  </si>
  <si>
    <t>AMBER ONIX SCONCE</t>
  </si>
  <si>
    <t>ONIX HR SCONCE</t>
  </si>
  <si>
    <t>ONIX SQ SCONCE</t>
  </si>
  <si>
    <t>SELENITE MIRROR</t>
  </si>
  <si>
    <t>ML</t>
  </si>
  <si>
    <t>Date</t>
  </si>
  <si>
    <t>Q</t>
  </si>
  <si>
    <t>KG</t>
  </si>
  <si>
    <t>W CM</t>
  </si>
  <si>
    <t xml:space="preserve">D CM </t>
  </si>
  <si>
    <t>POUNDS</t>
  </si>
  <si>
    <t>#ID</t>
  </si>
  <si>
    <t>H CM</t>
  </si>
  <si>
    <t>AQC</t>
  </si>
  <si>
    <t>#</t>
  </si>
  <si>
    <t>Description                                                 Color - Object Type</t>
  </si>
  <si>
    <t>TAG-ID</t>
  </si>
  <si>
    <t>Per piece MXN$</t>
  </si>
  <si>
    <t>TOTAL PESOS</t>
  </si>
  <si>
    <t>H Inches</t>
  </si>
  <si>
    <t>W Inches</t>
  </si>
  <si>
    <t>D Incbes</t>
  </si>
  <si>
    <t>LND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</si>
  <si>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</si>
  <si>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</si>
  <si>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</si>
  <si>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</si>
  <si>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</si>
  <si>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</si>
  <si>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</si>
  <si>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</si>
  <si>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</si>
  <si>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</si>
  <si>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</si>
  <si>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</si>
  <si>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</si>
  <si>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</si>
  <si>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</si>
  <si>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</si>
  <si>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</si>
  <si>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</si>
  <si>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</si>
  <si>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</si>
  <si>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</si>
  <si>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</si>
  <si>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</si>
  <si>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</si>
  <si>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</si>
  <si>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ZEBRA RUSTIC FOUNTAIN</t>
  </si>
  <si>
    <t>WHITE SL. RUSTIC FOUNTAIN</t>
  </si>
  <si>
    <t>RUSTIC TOWER</t>
  </si>
  <si>
    <t>DH325030LLH</t>
  </si>
  <si>
    <t>DH325031ENA</t>
  </si>
  <si>
    <t>DH325032FDL</t>
  </si>
  <si>
    <t>DH325033AHX</t>
  </si>
  <si>
    <t>DH325034MDOO</t>
  </si>
  <si>
    <t>DH325035NEM</t>
  </si>
  <si>
    <t>RUSTIC TOWER SET (3)</t>
  </si>
  <si>
    <t>DH325036EAH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</si>
  <si>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</si>
  <si>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</si>
  <si>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</si>
  <si>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</si>
  <si>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</si>
  <si>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</si>
  <si>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</si>
  <si>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</si>
  <si>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</si>
  <si>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</si>
  <si>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</si>
  <si>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</si>
  <si>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</si>
  <si>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</si>
  <si>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</si>
  <si>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</si>
  <si>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</si>
  <si>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</si>
  <si>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</si>
  <si>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</si>
  <si>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</si>
  <si>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</si>
  <si>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</si>
  <si>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</si>
  <si>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</si>
  <si>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</si>
  <si>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</si>
  <si>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</si>
  <si>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</si>
  <si>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</si>
  <si>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</si>
  <si>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</si>
  <si>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</si>
  <si>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</si>
  <si>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</si>
  <si>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</si>
  <si>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</si>
  <si>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</si>
  <si>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</si>
  <si>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</si>
  <si>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</si>
  <si>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</si>
  <si>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</si>
  <si>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</si>
  <si>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</si>
  <si>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</si>
  <si>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</si>
  <si>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</si>
  <si>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</si>
  <si>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</si>
  <si>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</si>
  <si>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</si>
  <si>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</si>
  <si>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</si>
  <si>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</si>
  <si>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</si>
  <si>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</si>
  <si>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</si>
  <si>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</si>
  <si>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</si>
  <si>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</si>
  <si>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</si>
  <si>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</si>
  <si>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</si>
  <si>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</si>
  <si>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</si>
  <si>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</si>
  <si>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</si>
  <si>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</si>
  <si>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</si>
  <si>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</si>
  <si>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</si>
  <si>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</si>
  <si>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</si>
  <si>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</si>
  <si>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</si>
  <si>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</si>
  <si>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</si>
  <si>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</si>
  <si>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</si>
  <si>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</si>
  <si>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</si>
  <si>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WALL PANEL</t>
  </si>
  <si>
    <t>WALL PANEL FAB</t>
  </si>
  <si>
    <t xml:space="preserve">HONEY ONIX RUSTIC </t>
  </si>
  <si>
    <t>GREEN TALAN RUSTIC ROCK</t>
  </si>
  <si>
    <t>WHITE ONIX RUSTIC ROCK</t>
  </si>
  <si>
    <t>GREEN TALAN RUSTIC ROCK SET</t>
  </si>
  <si>
    <t>BULBS</t>
  </si>
  <si>
    <t>SELENITE PENDANT CILINDER</t>
  </si>
  <si>
    <t>BT325003MDH</t>
  </si>
  <si>
    <t>SELENITE LAMPS</t>
  </si>
  <si>
    <t>BT325004XE</t>
  </si>
  <si>
    <t>PINK SER RUSTIC FTN</t>
  </si>
  <si>
    <t>BLACK ZEBRA FTN</t>
  </si>
  <si>
    <t>BROWN ONIX FTN</t>
  </si>
  <si>
    <t>AQUA SER FTN</t>
  </si>
  <si>
    <t>TEHUA FTN</t>
  </si>
  <si>
    <t>BLACK MAR RD COASTER SET</t>
  </si>
  <si>
    <t>PINK MAR RD COASTER PIECES</t>
  </si>
  <si>
    <t>WHITE MAR RD COASTE PIECES</t>
  </si>
  <si>
    <t>WHITE MAR RD COASTE SET</t>
  </si>
  <si>
    <t>RED TRAV RD COASTER SET</t>
  </si>
  <si>
    <t>GREY MAR RD COASTER SET</t>
  </si>
  <si>
    <t>AQUA SERP REC  MIRROR</t>
  </si>
  <si>
    <t>TEHUA GREY REC MIRROR</t>
  </si>
  <si>
    <t>CRISTALINO REC MIRROR</t>
  </si>
  <si>
    <t>CRISTALINO CANOE</t>
  </si>
  <si>
    <t>CRISTALINO AMBER CANOE</t>
  </si>
  <si>
    <t>CRISTALINO GREEN CANOE</t>
  </si>
  <si>
    <t>CRISTALINO COL</t>
  </si>
  <si>
    <t>CRISTALINO POL</t>
  </si>
  <si>
    <t>CRIS AMBAR POL</t>
  </si>
  <si>
    <t>210/26/2025</t>
  </si>
  <si>
    <t>EAGLE SCULPTURE</t>
  </si>
  <si>
    <t>GS82525M</t>
  </si>
  <si>
    <t>GS82526M</t>
  </si>
  <si>
    <t>GS82527F</t>
  </si>
  <si>
    <t>GS82528F</t>
  </si>
  <si>
    <t>GS82529F</t>
  </si>
  <si>
    <t>TE825ODNX</t>
  </si>
  <si>
    <t>ORANGE FOUNTAIN ROCK</t>
  </si>
  <si>
    <t>220*50</t>
  </si>
  <si>
    <t>220*80</t>
  </si>
  <si>
    <t>180*60</t>
  </si>
  <si>
    <t>200*60</t>
  </si>
  <si>
    <t>180*68</t>
  </si>
  <si>
    <t>180*76</t>
  </si>
  <si>
    <t>150*60</t>
  </si>
  <si>
    <t>140*70</t>
  </si>
  <si>
    <t>CANOE</t>
  </si>
  <si>
    <t>PLATE</t>
  </si>
  <si>
    <t>COL ONYX ICE</t>
  </si>
  <si>
    <t>MNE</t>
  </si>
  <si>
    <t>OFX</t>
  </si>
  <si>
    <t>TEHUACAN FOUNTAIN ROCK</t>
  </si>
  <si>
    <t>PINK SERP REC MIRROR</t>
  </si>
  <si>
    <t>AQUA SERP RECT MIRROR</t>
  </si>
  <si>
    <t>CRIS GREY AMBAR REC MIRROR</t>
  </si>
  <si>
    <t>CRIS AMBER RECT MIRROR</t>
  </si>
  <si>
    <t>CRIS REC MIRROR</t>
  </si>
  <si>
    <t>PINK SERP RD MIRROR</t>
  </si>
  <si>
    <t>AQUA SERP RD MIRROR</t>
  </si>
  <si>
    <t>CRISS DIAMOND TABLE</t>
  </si>
  <si>
    <t>CALCITE WALL PANEL</t>
  </si>
  <si>
    <t>GREEN CRIS CANOE</t>
  </si>
  <si>
    <t>AN</t>
  </si>
  <si>
    <t xml:space="preserve">SPHERE FOUNTAIN </t>
  </si>
  <si>
    <t>CACTUS SET (4) PCS</t>
  </si>
  <si>
    <t>GREEN TALAN FTR</t>
  </si>
  <si>
    <t>XDE</t>
  </si>
  <si>
    <t>TEHUA GREEN/ORANGE SOL C/T</t>
  </si>
  <si>
    <t>TEHUA GRREN ORANGE SOL O/T</t>
  </si>
  <si>
    <t>TEHUA GREEN ORANGE SOL O/T</t>
  </si>
  <si>
    <t xml:space="preserve">TEHUA GREEN ORANGE SOL </t>
  </si>
  <si>
    <t>TEHUA GREEN ORANGE SOL</t>
  </si>
  <si>
    <t>AMBER SOL</t>
  </si>
  <si>
    <t>ICE COL</t>
  </si>
  <si>
    <t>BLUE CALCITE MIRROR</t>
  </si>
  <si>
    <t>TALAN SOL</t>
  </si>
  <si>
    <t>GOLD ONYX SOL</t>
  </si>
  <si>
    <t>PYRAMID RED SOL</t>
  </si>
  <si>
    <t>FLORITE PANEL 2 PCS SET</t>
  </si>
  <si>
    <t>ZEBRA TABLE</t>
  </si>
  <si>
    <t xml:space="preserve">error en </t>
  </si>
  <si>
    <t>truck 3</t>
  </si>
  <si>
    <t>CRISTALINO GREY SOL</t>
  </si>
  <si>
    <t>AQUA SERP COL</t>
  </si>
  <si>
    <t>AQUA SERP POL</t>
  </si>
  <si>
    <t>GREEN CRIS POL</t>
  </si>
  <si>
    <t>CRISTALINO RD MIRROR</t>
  </si>
  <si>
    <t>CRIS VEIN PANEL</t>
  </si>
  <si>
    <t>GREEN TALAN RUSTIC ROCK (5)</t>
  </si>
  <si>
    <t>GREEN TALAN RUSTIC ROCK (4)</t>
  </si>
  <si>
    <t>FLORITE BUTERFLY PANEL 2 PCS SET</t>
  </si>
  <si>
    <t>GREEN TALAN TORSO SCULPURE</t>
  </si>
  <si>
    <t>HONEY ONIX TORSO SCULPTURE</t>
  </si>
  <si>
    <t>WHITE ONIX TORSO SCULPTURE</t>
  </si>
  <si>
    <t>GREEN TALAN W/BLACK BASE SCULPTURE</t>
  </si>
  <si>
    <t>TEHUA BUTERLY PANEL 2 PCS SET</t>
  </si>
  <si>
    <t>AQUA SERP. BUTERFLY PANEL 2 PCS SET</t>
  </si>
  <si>
    <t>HORSES PANEL</t>
  </si>
  <si>
    <t>ELK PANEL</t>
  </si>
  <si>
    <t>MOUNTANIEER PANEL</t>
  </si>
  <si>
    <t>FLORITE SOL C/T</t>
  </si>
  <si>
    <t>FLORITE CUBE</t>
  </si>
  <si>
    <t>ORANGE ONIX SOL</t>
  </si>
  <si>
    <t>PINK SERP SOL</t>
  </si>
  <si>
    <t>green talan rustick fountain</t>
  </si>
  <si>
    <t>NUBE COL</t>
  </si>
  <si>
    <t>GREEN TALAN COL</t>
  </si>
  <si>
    <t>PINK COL</t>
  </si>
  <si>
    <t>ICE POL</t>
  </si>
  <si>
    <t>ACQUA POL</t>
  </si>
  <si>
    <t>PINK POL</t>
  </si>
  <si>
    <t>AQUA POL</t>
  </si>
  <si>
    <t>AQUA CUBE POL</t>
  </si>
  <si>
    <t>AQUA COL</t>
  </si>
  <si>
    <t>tehuacan sol</t>
  </si>
  <si>
    <t>honey onix sol</t>
  </si>
  <si>
    <t>cloud onix  sol</t>
  </si>
  <si>
    <t>cloud onix sol</t>
  </si>
  <si>
    <t>serpentine onix sol</t>
  </si>
  <si>
    <t>white san luis sol</t>
  </si>
  <si>
    <t>blue onix sol</t>
  </si>
  <si>
    <t>red onix sol</t>
  </si>
  <si>
    <t>black/white onix sol</t>
  </si>
  <si>
    <t>grey onix sol</t>
  </si>
  <si>
    <t>white san luis col</t>
  </si>
  <si>
    <t>red onix col</t>
  </si>
  <si>
    <t>serpentine onix col</t>
  </si>
  <si>
    <t>amber onx col</t>
  </si>
  <si>
    <t>white san luis cube w/base</t>
  </si>
  <si>
    <t>cloud onix sol c/top</t>
  </si>
  <si>
    <t>red onix sol c/top</t>
  </si>
  <si>
    <t>tehuacan sol c/top</t>
  </si>
  <si>
    <t>black/white onix sol c/top</t>
  </si>
  <si>
    <t>black/white onix sol w/top</t>
  </si>
  <si>
    <t>pink serpentine sol c/top</t>
  </si>
  <si>
    <t>honey onix sol c/top</t>
  </si>
  <si>
    <t>multicolor onix sol c/top</t>
  </si>
  <si>
    <t>black white onix sol c/top</t>
  </si>
  <si>
    <t>TEHUACAN GREY COL</t>
  </si>
  <si>
    <t>TEHUACAN GREY POL</t>
  </si>
  <si>
    <t>SELENITE CILINDERS</t>
  </si>
  <si>
    <t>PEARL ONIX CANOE</t>
  </si>
  <si>
    <t>MFM</t>
  </si>
  <si>
    <t>OXN</t>
  </si>
  <si>
    <t xml:space="preserve">PEARL ONIX PANEL </t>
  </si>
  <si>
    <t>NXX</t>
  </si>
  <si>
    <t>MXDL</t>
  </si>
  <si>
    <t>XFM</t>
  </si>
  <si>
    <t>MHA</t>
  </si>
  <si>
    <t>ODF</t>
  </si>
  <si>
    <t>PEARL ONIX BOWL</t>
  </si>
  <si>
    <t>FXN</t>
  </si>
  <si>
    <t>MDXE</t>
  </si>
  <si>
    <t>HHX</t>
  </si>
  <si>
    <t>LOD</t>
  </si>
  <si>
    <t>MNAX</t>
  </si>
  <si>
    <t>OFFL</t>
  </si>
  <si>
    <t>MEEL</t>
  </si>
  <si>
    <t>OMFA</t>
  </si>
  <si>
    <t>LAMP</t>
  </si>
  <si>
    <t>ACQUA</t>
  </si>
  <si>
    <t>HIELO GRIS</t>
  </si>
  <si>
    <t>VERDE TALAN</t>
  </si>
  <si>
    <t>number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</si>
  <si>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</si>
  <si>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</si>
  <si>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</si>
  <si>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</si>
  <si>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</si>
  <si>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</si>
  <si>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</si>
  <si>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</si>
  <si>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</si>
  <si>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</si>
  <si>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POL ONYX ICE</t>
  </si>
  <si>
    <t>AM82501LLE</t>
  </si>
  <si>
    <t>LLE</t>
  </si>
  <si>
    <t>HFE</t>
  </si>
  <si>
    <t>AM82502FEX</t>
  </si>
  <si>
    <t>FEX</t>
  </si>
  <si>
    <t>EXA</t>
  </si>
  <si>
    <t>AM82503FOD</t>
  </si>
  <si>
    <t>FOD</t>
  </si>
  <si>
    <t>EMH</t>
  </si>
  <si>
    <t>AM82504FLL</t>
  </si>
  <si>
    <t>FLL</t>
  </si>
  <si>
    <t>EHF</t>
  </si>
  <si>
    <t>AM82505FLO</t>
  </si>
  <si>
    <t>FLO</t>
  </si>
  <si>
    <t>EHH</t>
  </si>
  <si>
    <t>AM82506FAH</t>
  </si>
  <si>
    <t>FAH</t>
  </si>
  <si>
    <t>ELD</t>
  </si>
  <si>
    <t>AM82507LEA</t>
  </si>
  <si>
    <t>LEA</t>
  </si>
  <si>
    <t>HFD</t>
  </si>
  <si>
    <t>AM82508FOH</t>
  </si>
  <si>
    <t>FOH</t>
  </si>
  <si>
    <t>EMF</t>
  </si>
  <si>
    <t>AM82509FAH</t>
  </si>
  <si>
    <t>AM82510FAH</t>
  </si>
  <si>
    <t>AM82511FHN</t>
  </si>
  <si>
    <t>FHN</t>
  </si>
  <si>
    <t>EXE</t>
  </si>
  <si>
    <t>AM82512FHM</t>
  </si>
  <si>
    <t>FHM</t>
  </si>
  <si>
    <t>EON</t>
  </si>
  <si>
    <t>RF82501MEE</t>
  </si>
  <si>
    <t>MEE</t>
  </si>
  <si>
    <t>MMM</t>
  </si>
  <si>
    <t>RF82502ODD</t>
  </si>
  <si>
    <t>ODD</t>
  </si>
  <si>
    <t>MHX</t>
  </si>
  <si>
    <t>RF82503ODH</t>
  </si>
  <si>
    <t>ODH</t>
  </si>
  <si>
    <t>MHL</t>
  </si>
  <si>
    <t>RF82504XLD</t>
  </si>
  <si>
    <t>XLD</t>
  </si>
  <si>
    <t>OEF</t>
  </si>
  <si>
    <t>RF82505XAH</t>
  </si>
  <si>
    <t>XAH</t>
  </si>
  <si>
    <t>OFH</t>
  </si>
  <si>
    <t>RF82506HDL</t>
  </si>
  <si>
    <t>HDL</t>
  </si>
  <si>
    <t>OND</t>
  </si>
  <si>
    <t>RF82507XMH</t>
  </si>
  <si>
    <t>XMH</t>
  </si>
  <si>
    <t>OOH</t>
  </si>
  <si>
    <t>RF82508XDH</t>
  </si>
  <si>
    <t>XDH</t>
  </si>
  <si>
    <t>OMF</t>
  </si>
  <si>
    <t>RF82509OFH</t>
  </si>
  <si>
    <t>MNL</t>
  </si>
  <si>
    <t>EM82592XNL</t>
  </si>
  <si>
    <t>XNL</t>
  </si>
  <si>
    <t>OAX</t>
  </si>
  <si>
    <t>EM82593XNL</t>
  </si>
  <si>
    <t>EM82594XOL</t>
  </si>
  <si>
    <t>XOL</t>
  </si>
  <si>
    <t>OXX</t>
  </si>
  <si>
    <t>EM82595OLE</t>
  </si>
  <si>
    <t>MAN</t>
  </si>
  <si>
    <t>EM82596OMA</t>
  </si>
  <si>
    <t>MEL</t>
  </si>
  <si>
    <t>EM82597HND</t>
  </si>
  <si>
    <t>HND</t>
  </si>
  <si>
    <t>XED</t>
  </si>
  <si>
    <t>EM82598HMX</t>
  </si>
  <si>
    <t>HMX</t>
  </si>
  <si>
    <t>ONE</t>
  </si>
  <si>
    <t>EM82599XOL</t>
  </si>
  <si>
    <t>EM825100LOX</t>
  </si>
  <si>
    <t>LOX</t>
  </si>
  <si>
    <t>HHE</t>
  </si>
  <si>
    <t>EM825101EHE</t>
  </si>
  <si>
    <t>EHE</t>
  </si>
  <si>
    <t>XAN</t>
  </si>
  <si>
    <t>EM825102XED</t>
  </si>
  <si>
    <t>OED</t>
  </si>
  <si>
    <t>EM825103MEA</t>
  </si>
  <si>
    <t>MEA</t>
  </si>
  <si>
    <t>MMX</t>
  </si>
  <si>
    <t>EM825104ELD</t>
  </si>
  <si>
    <t>HDD</t>
  </si>
  <si>
    <t>EM825105HHH</t>
  </si>
  <si>
    <t>HHH</t>
  </si>
  <si>
    <t>XMF</t>
  </si>
  <si>
    <t>EM825106HMN</t>
  </si>
  <si>
    <t>HMN</t>
  </si>
  <si>
    <t>ONN</t>
  </si>
  <si>
    <t>EM825107HDE</t>
  </si>
  <si>
    <t>HDE</t>
  </si>
  <si>
    <t>OAN</t>
  </si>
  <si>
    <t>EM825108XNO</t>
  </si>
  <si>
    <t>XNO</t>
  </si>
  <si>
    <t>OAD</t>
  </si>
  <si>
    <t>EM825109XEX</t>
  </si>
  <si>
    <t>XEX</t>
  </si>
  <si>
    <t>OEO</t>
  </si>
  <si>
    <t>EM825110XHD</t>
  </si>
  <si>
    <t>XHD</t>
  </si>
  <si>
    <t>OHX</t>
  </si>
  <si>
    <t>EM825111XMH</t>
  </si>
  <si>
    <t>EM825112EN</t>
  </si>
  <si>
    <t>EN</t>
  </si>
  <si>
    <t>HO</t>
  </si>
  <si>
    <t>EM825113XO</t>
  </si>
  <si>
    <t>XO</t>
  </si>
  <si>
    <t>OX</t>
  </si>
  <si>
    <t>EM825114XH</t>
  </si>
  <si>
    <t>XH</t>
  </si>
  <si>
    <t>OH</t>
  </si>
  <si>
    <t>EM825115XNL</t>
  </si>
  <si>
    <t>EM825116XOL</t>
  </si>
  <si>
    <t>EM825117HXD</t>
  </si>
  <si>
    <t>HXD</t>
  </si>
  <si>
    <t>XDF</t>
  </si>
  <si>
    <t>JM825101OFX</t>
  </si>
  <si>
    <t>JM825102OXN</t>
  </si>
  <si>
    <t>JM825103XDE</t>
  </si>
  <si>
    <t>JM825104OXN</t>
  </si>
  <si>
    <t>JM825105MXDL</t>
  </si>
  <si>
    <t>JM825106XFM</t>
  </si>
  <si>
    <t>JM825107ODF</t>
  </si>
  <si>
    <t>JM825108MDXE</t>
  </si>
  <si>
    <t>JM825109LOD</t>
  </si>
  <si>
    <t>JM825110OFFL</t>
  </si>
  <si>
    <t>JM825111OMFA</t>
  </si>
  <si>
    <t>JM825112OMFA</t>
  </si>
  <si>
    <t>ML82508XN</t>
  </si>
  <si>
    <t>XN</t>
  </si>
  <si>
    <t>OA</t>
  </si>
  <si>
    <t>ML82509EN</t>
  </si>
  <si>
    <t>ML82510XL</t>
  </si>
  <si>
    <t>XL</t>
  </si>
  <si>
    <t>OL</t>
  </si>
  <si>
    <t>ML82511XL</t>
  </si>
  <si>
    <t>ML82512OO</t>
  </si>
  <si>
    <t>OO</t>
  </si>
  <si>
    <t>ML82513AH</t>
  </si>
  <si>
    <t>AH</t>
  </si>
  <si>
    <t>LD</t>
  </si>
  <si>
    <t>ML82514LO</t>
  </si>
  <si>
    <t>LO</t>
  </si>
  <si>
    <t>HH</t>
  </si>
  <si>
    <t>ML82515FA</t>
  </si>
  <si>
    <t>FA</t>
  </si>
  <si>
    <t>EL</t>
  </si>
  <si>
    <t>ML82516MDM</t>
  </si>
  <si>
    <t>MDM</t>
  </si>
  <si>
    <t>FO</t>
  </si>
  <si>
    <t>ML82517AH</t>
  </si>
  <si>
    <t>ML82518EN</t>
  </si>
  <si>
    <t>ML82519LO</t>
  </si>
  <si>
    <t>ML82520XN</t>
  </si>
  <si>
    <t>ML82521ED</t>
  </si>
  <si>
    <t>ED</t>
  </si>
  <si>
    <t>ML82522EN</t>
  </si>
  <si>
    <t>ML82523EF</t>
  </si>
  <si>
    <t>EF</t>
  </si>
  <si>
    <t>HM</t>
  </si>
  <si>
    <t>ML82524HX</t>
  </si>
  <si>
    <t>HX</t>
  </si>
  <si>
    <t>XM</t>
  </si>
  <si>
    <t>ML82525EN</t>
  </si>
  <si>
    <t>ML82526XN</t>
  </si>
  <si>
    <t>ML82527XN</t>
  </si>
  <si>
    <t>ML82528ME</t>
  </si>
  <si>
    <t>ME</t>
  </si>
  <si>
    <t>ML82529MH</t>
  </si>
  <si>
    <t>MH</t>
  </si>
  <si>
    <t>MD</t>
  </si>
  <si>
    <t>ML82530MH</t>
  </si>
  <si>
    <t>ML82531XM</t>
  </si>
  <si>
    <t>ML82532OH</t>
  </si>
  <si>
    <t>MF</t>
  </si>
  <si>
    <t>ML82533OM</t>
  </si>
  <si>
    <t>OM</t>
  </si>
  <si>
    <t>ML82534MF</t>
  </si>
  <si>
    <t>MO</t>
  </si>
  <si>
    <t>ML82535OE</t>
  </si>
  <si>
    <t>OE</t>
  </si>
  <si>
    <t>MA</t>
  </si>
  <si>
    <t>ML82536XL</t>
  </si>
  <si>
    <t>ML82537XO</t>
  </si>
  <si>
    <t>ML82538ME</t>
  </si>
  <si>
    <t>ML82539MF</t>
  </si>
  <si>
    <t>ML82540MF</t>
  </si>
  <si>
    <t>ML82541LF</t>
  </si>
  <si>
    <t>LF</t>
  </si>
  <si>
    <t>HA</t>
  </si>
  <si>
    <t>ML82542NM</t>
  </si>
  <si>
    <t>NM</t>
  </si>
  <si>
    <t>LE</t>
  </si>
  <si>
    <t>ML82543LO</t>
  </si>
  <si>
    <t>ML82544HN</t>
  </si>
  <si>
    <t>HN</t>
  </si>
  <si>
    <t>XE</t>
  </si>
  <si>
    <t>ML82545XN</t>
  </si>
  <si>
    <t>ML82546XN</t>
  </si>
  <si>
    <t>ML82547EN</t>
  </si>
  <si>
    <t>ML82548ME</t>
  </si>
  <si>
    <t>ML82549OH</t>
  </si>
  <si>
    <t>ML82550OM</t>
  </si>
  <si>
    <t>ML82551OD</t>
  </si>
  <si>
    <t>OD</t>
  </si>
  <si>
    <t>ML82552OO</t>
  </si>
  <si>
    <t>ML82553MH</t>
  </si>
  <si>
    <t>ML82554OO</t>
  </si>
  <si>
    <t>ML82555OD</t>
  </si>
  <si>
    <t>TE82527MMXF</t>
  </si>
  <si>
    <t>TE82528OHAL</t>
  </si>
  <si>
    <t>TE82529HEL</t>
  </si>
  <si>
    <t>TE82530OMDN</t>
  </si>
  <si>
    <t>TE82531MNO</t>
  </si>
  <si>
    <t>TE82532MNO</t>
  </si>
  <si>
    <t>TE82533MHL</t>
  </si>
  <si>
    <t>TE82534MHL</t>
  </si>
  <si>
    <t>TE82535NF</t>
  </si>
  <si>
    <t>LN</t>
  </si>
  <si>
    <t>TE82536LEE</t>
  </si>
  <si>
    <t>TE82537MXML</t>
  </si>
  <si>
    <t>TE82538OLXO</t>
  </si>
  <si>
    <t>GE82515ED</t>
  </si>
  <si>
    <t>GE82516HM</t>
  </si>
  <si>
    <t>ON</t>
  </si>
  <si>
    <t>GE82517HO</t>
  </si>
  <si>
    <t>XD</t>
  </si>
  <si>
    <t>GE82518XA</t>
  </si>
  <si>
    <t>XA</t>
  </si>
  <si>
    <t>OF</t>
  </si>
  <si>
    <t>GE82519XO</t>
  </si>
  <si>
    <t>GE82520OA</t>
  </si>
  <si>
    <t>GE82521MDL</t>
  </si>
  <si>
    <t>MDL</t>
  </si>
  <si>
    <t>FL</t>
  </si>
  <si>
    <t>GE82522NH</t>
  </si>
  <si>
    <t>NH</t>
  </si>
  <si>
    <t>GE82523LN</t>
  </si>
  <si>
    <t>GE82524OXA</t>
  </si>
  <si>
    <t>OXA</t>
  </si>
  <si>
    <t>MFD</t>
  </si>
  <si>
    <t>GE82525MEH</t>
  </si>
  <si>
    <t>MEH</t>
  </si>
  <si>
    <t>MMD</t>
  </si>
  <si>
    <t>GE82526MLE</t>
  </si>
  <si>
    <t>MLE</t>
  </si>
  <si>
    <t>MMA</t>
  </si>
  <si>
    <t>GE82527LL</t>
  </si>
  <si>
    <t>LL</t>
  </si>
  <si>
    <t>HF</t>
  </si>
  <si>
    <t>GE82528LX</t>
  </si>
  <si>
    <t>LX</t>
  </si>
  <si>
    <t>HE</t>
  </si>
  <si>
    <t>GE82529ED</t>
  </si>
  <si>
    <t>GE82530LD</t>
  </si>
  <si>
    <t>GE82531ED</t>
  </si>
  <si>
    <t>GE82532HM</t>
  </si>
  <si>
    <t>GE82533XO</t>
  </si>
  <si>
    <t>GE82534HM</t>
  </si>
  <si>
    <t>GE82535XO</t>
  </si>
  <si>
    <t>GE82536ED</t>
  </si>
  <si>
    <t>GE82537HM</t>
  </si>
  <si>
    <t>GE82538XO</t>
  </si>
  <si>
    <t>ET82501XN</t>
  </si>
  <si>
    <t>ET82502HE</t>
  </si>
  <si>
    <t>ET82503ED</t>
  </si>
  <si>
    <t>ET82504ED</t>
  </si>
  <si>
    <t>ET82505EL</t>
  </si>
  <si>
    <t>HD</t>
  </si>
  <si>
    <t>ET82506ED</t>
  </si>
  <si>
    <t>ET82507ED</t>
  </si>
  <si>
    <t>ET82508EN</t>
  </si>
  <si>
    <t>ET82509XN</t>
  </si>
  <si>
    <t>ET82510XN</t>
  </si>
  <si>
    <t>ET82511EN</t>
  </si>
  <si>
    <t>ET82512EL</t>
  </si>
  <si>
    <t>ET82513EL</t>
  </si>
  <si>
    <t>ET82514HE</t>
  </si>
  <si>
    <t>ET82515HE</t>
  </si>
  <si>
    <t>ET82516XN</t>
  </si>
  <si>
    <t>ET82517EL</t>
  </si>
  <si>
    <t>ET82518EN</t>
  </si>
  <si>
    <t>ET82519LN</t>
  </si>
  <si>
    <t>ET82520FH</t>
  </si>
  <si>
    <t>FH</t>
  </si>
  <si>
    <t>EX</t>
  </si>
  <si>
    <t>ET82521AD</t>
  </si>
  <si>
    <t>AD</t>
  </si>
  <si>
    <t>ET82522EN</t>
  </si>
  <si>
    <t>ET82523FH</t>
  </si>
  <si>
    <t>ET82524FH</t>
  </si>
  <si>
    <t>ET82525AD</t>
  </si>
  <si>
    <t>ET82526LN</t>
  </si>
  <si>
    <t>ET82527EN</t>
  </si>
  <si>
    <t>ET82528EN</t>
  </si>
  <si>
    <t>ET82529ED</t>
  </si>
  <si>
    <t>ET82530XN</t>
  </si>
  <si>
    <t>ET82531XN</t>
  </si>
  <si>
    <t>ET82532XN</t>
  </si>
  <si>
    <t>ET82533XN</t>
  </si>
  <si>
    <t>ET82534XN</t>
  </si>
  <si>
    <t>ET82535AE</t>
  </si>
  <si>
    <t>AE</t>
  </si>
  <si>
    <t>LM</t>
  </si>
  <si>
    <t>ET82536EL</t>
  </si>
  <si>
    <t>ET82537XN</t>
  </si>
  <si>
    <t>ET82538HE</t>
  </si>
  <si>
    <t>ET82539EL</t>
  </si>
  <si>
    <t>ET82540EN</t>
  </si>
  <si>
    <t>ET82541LN</t>
  </si>
  <si>
    <t>ET82542FH</t>
  </si>
  <si>
    <t>ET82543EN</t>
  </si>
  <si>
    <t>ET82544EN</t>
  </si>
  <si>
    <t>ET82545MHD</t>
  </si>
  <si>
    <t>MHD</t>
  </si>
  <si>
    <t>MDD</t>
  </si>
  <si>
    <t>ET82546MHA</t>
  </si>
  <si>
    <t>ET82547MOE</t>
  </si>
  <si>
    <t>MOE</t>
  </si>
  <si>
    <t>ET82548FD</t>
  </si>
  <si>
    <t>FD</t>
  </si>
  <si>
    <t>ET82549MOE</t>
  </si>
  <si>
    <t>ET82550MML</t>
  </si>
  <si>
    <t>MML</t>
  </si>
  <si>
    <t>AX</t>
  </si>
  <si>
    <t>ET82551MDM</t>
  </si>
  <si>
    <t>ET82552AE</t>
  </si>
  <si>
    <t>JM8255074OFX</t>
  </si>
  <si>
    <t>JM8255072OXN</t>
  </si>
  <si>
    <t>JM8255205XDE</t>
  </si>
  <si>
    <t>BT82513AE</t>
  </si>
  <si>
    <t>OOM</t>
  </si>
  <si>
    <t>OEM</t>
  </si>
  <si>
    <t>MFN</t>
  </si>
  <si>
    <t>MOX</t>
  </si>
  <si>
    <t>AA</t>
  </si>
  <si>
    <t>OMD</t>
  </si>
  <si>
    <t>MED</t>
  </si>
  <si>
    <t>ND</t>
  </si>
  <si>
    <t>OEX</t>
  </si>
  <si>
    <t>MAM</t>
  </si>
  <si>
    <t>MHF</t>
  </si>
  <si>
    <t>MDE</t>
  </si>
  <si>
    <t>MLD</t>
  </si>
  <si>
    <t>MLA</t>
  </si>
  <si>
    <t>MOD</t>
  </si>
  <si>
    <t>EM82520XNL</t>
  </si>
  <si>
    <t>EM82521XNL</t>
  </si>
  <si>
    <t>EM82522XNL</t>
  </si>
  <si>
    <t>EM82523XNL</t>
  </si>
  <si>
    <t>EM82524XNL</t>
  </si>
  <si>
    <t>EM82525XNL</t>
  </si>
  <si>
    <t>EM82526XNL</t>
  </si>
  <si>
    <t>EM82527XNL</t>
  </si>
  <si>
    <t>EM82528XNL</t>
  </si>
  <si>
    <t>EM82529XNL</t>
  </si>
  <si>
    <t>EM82530XNL</t>
  </si>
  <si>
    <t>EM82531XNL</t>
  </si>
  <si>
    <t>EM82532XOL</t>
  </si>
  <si>
    <t>EM82533XOL</t>
  </si>
  <si>
    <t>EM82534XOL</t>
  </si>
  <si>
    <t>EM82535XOL</t>
  </si>
  <si>
    <t>EM82536XOL</t>
  </si>
  <si>
    <t>EM82537XOL</t>
  </si>
  <si>
    <t>EM82538OLE</t>
  </si>
  <si>
    <t>EM82539OLE</t>
  </si>
  <si>
    <t>EM82540OLE</t>
  </si>
  <si>
    <t>EM82541OLE</t>
  </si>
  <si>
    <t>EM82542OLE</t>
  </si>
  <si>
    <t>EM82543EN</t>
  </si>
  <si>
    <t>EM82544ED</t>
  </si>
  <si>
    <t>EM82545HE</t>
  </si>
  <si>
    <t>EM82546XE</t>
  </si>
  <si>
    <t>EM82547ON</t>
  </si>
  <si>
    <t>EM82548XN</t>
  </si>
  <si>
    <t>EM82549XH</t>
  </si>
  <si>
    <t>EM82550XH</t>
  </si>
  <si>
    <t>EM82551XH</t>
  </si>
  <si>
    <t>EM82552XH</t>
  </si>
  <si>
    <t>EM82553ON</t>
  </si>
  <si>
    <t>EM82554ON</t>
  </si>
  <si>
    <t>EM82555ON</t>
  </si>
  <si>
    <t>EM82556OE</t>
  </si>
  <si>
    <t>EM82557OE</t>
  </si>
  <si>
    <t>EM82558OE</t>
  </si>
  <si>
    <t>EM82559XO</t>
  </si>
  <si>
    <t>EM82560XNL</t>
  </si>
  <si>
    <t>EM82561XNL</t>
  </si>
  <si>
    <t>EM82562XOL</t>
  </si>
  <si>
    <t>EM82563OLE</t>
  </si>
  <si>
    <t>EM82564OLE</t>
  </si>
  <si>
    <t>EM82565OLE</t>
  </si>
  <si>
    <t>EM82566OLE</t>
  </si>
  <si>
    <t>EM82567OLE</t>
  </si>
  <si>
    <t>EM82568EN</t>
  </si>
  <si>
    <t>EM82569XN</t>
  </si>
  <si>
    <t>EM82570XE</t>
  </si>
  <si>
    <t>EM82571ON</t>
  </si>
  <si>
    <t>EM82572XNL</t>
  </si>
  <si>
    <t>EM82573XOL</t>
  </si>
  <si>
    <t>EM82574OLE</t>
  </si>
  <si>
    <t>EM82575LOX</t>
  </si>
  <si>
    <t>TE82501MFMO</t>
  </si>
  <si>
    <t>TE82502MNMM</t>
  </si>
  <si>
    <t>TE82503MEED</t>
  </si>
  <si>
    <t>TE82504MFXD</t>
  </si>
  <si>
    <t>TE82505MEFM</t>
  </si>
  <si>
    <t>TE82506MHMA</t>
  </si>
  <si>
    <t>TE82507LFN</t>
  </si>
  <si>
    <t>TE82508MEE</t>
  </si>
  <si>
    <t>TE82509MDE</t>
  </si>
  <si>
    <t>TE82510LN</t>
  </si>
  <si>
    <t>TE82513OAOA</t>
  </si>
  <si>
    <t>MNF</t>
  </si>
  <si>
    <t>MFA</t>
  </si>
  <si>
    <t>MDF</t>
  </si>
  <si>
    <t>NL</t>
  </si>
  <si>
    <t>EE</t>
  </si>
  <si>
    <t>XX</t>
  </si>
  <si>
    <t>E</t>
  </si>
  <si>
    <t>X</t>
  </si>
  <si>
    <t>A</t>
  </si>
  <si>
    <t>L</t>
  </si>
  <si>
    <t>EEL</t>
  </si>
  <si>
    <t>ML82501XO</t>
  </si>
  <si>
    <t>ML82502HA</t>
  </si>
  <si>
    <t>ML82503XO</t>
  </si>
  <si>
    <t>ML82504OA</t>
  </si>
  <si>
    <t>ML82505XL</t>
  </si>
  <si>
    <t>ML82506MH</t>
  </si>
  <si>
    <t>EM82576XNL</t>
  </si>
  <si>
    <t>EM82577XNL</t>
  </si>
  <si>
    <t>EM82578ENM</t>
  </si>
  <si>
    <t>HOO</t>
  </si>
  <si>
    <t>ENM</t>
  </si>
  <si>
    <t>EM82579XOL</t>
  </si>
  <si>
    <t>EM82580OLE</t>
  </si>
  <si>
    <t>EM82581OFO</t>
  </si>
  <si>
    <t>MNH</t>
  </si>
  <si>
    <t>OFO</t>
  </si>
  <si>
    <t>EM82582OLD</t>
  </si>
  <si>
    <t>MAL</t>
  </si>
  <si>
    <t>OLD</t>
  </si>
  <si>
    <t>EM82583OHN</t>
  </si>
  <si>
    <t>OHN</t>
  </si>
  <si>
    <t>EM82584OOE</t>
  </si>
  <si>
    <t>MLM</t>
  </si>
  <si>
    <t>OOE</t>
  </si>
  <si>
    <t>EM82585MEA</t>
  </si>
  <si>
    <t>EM82586EN</t>
  </si>
  <si>
    <t>EM82587XN</t>
  </si>
  <si>
    <t>EM82588ON</t>
  </si>
  <si>
    <t>EM82589ON</t>
  </si>
  <si>
    <t>EM82590ON</t>
  </si>
  <si>
    <t>EM82591XE</t>
  </si>
  <si>
    <t>JM8254491HDX</t>
  </si>
  <si>
    <t>OAA</t>
  </si>
  <si>
    <t>HDX</t>
  </si>
  <si>
    <t>JM8254546EOO</t>
  </si>
  <si>
    <t>XFX</t>
  </si>
  <si>
    <t>EOO</t>
  </si>
  <si>
    <t>JM8254574FF</t>
  </si>
  <si>
    <t>FF</t>
  </si>
  <si>
    <t>JM8254418EOO</t>
  </si>
  <si>
    <t>JM8254494HEA</t>
  </si>
  <si>
    <t>XOF</t>
  </si>
  <si>
    <t>HEA</t>
  </si>
  <si>
    <t>JM8254542OFX</t>
  </si>
  <si>
    <t>JM8253649EHE</t>
  </si>
  <si>
    <t>JM8254932HDX</t>
  </si>
  <si>
    <t>JM8254933HEA</t>
  </si>
  <si>
    <t>JM8254970HDX</t>
  </si>
  <si>
    <t>JM8254972HDX</t>
  </si>
  <si>
    <t>JM8255114MXLM</t>
  </si>
  <si>
    <t>NFO</t>
  </si>
  <si>
    <t>MXLM</t>
  </si>
  <si>
    <t>DH82501HAF</t>
  </si>
  <si>
    <t>DH82502MDHD</t>
  </si>
  <si>
    <t>DH82503MDFD</t>
  </si>
  <si>
    <t>DH82504EEF</t>
  </si>
  <si>
    <t>DH82505EMA</t>
  </si>
  <si>
    <t>DH82506AEH</t>
  </si>
  <si>
    <t>DH82507ENN</t>
  </si>
  <si>
    <t>DH82508LFM</t>
  </si>
  <si>
    <t>DH82509EFA</t>
  </si>
  <si>
    <t>DH82523HLL</t>
  </si>
  <si>
    <t>DH82524HEO</t>
  </si>
  <si>
    <t>XOX</t>
  </si>
  <si>
    <t>HEO</t>
  </si>
  <si>
    <t>DH82525HNL</t>
  </si>
  <si>
    <t>DH82526HXM</t>
  </si>
  <si>
    <t>DH82527HHH</t>
  </si>
  <si>
    <t>DH82528EOO</t>
  </si>
  <si>
    <t>FR82501XMA</t>
  </si>
  <si>
    <t>OOF</t>
  </si>
  <si>
    <t>XMA</t>
  </si>
  <si>
    <t>FR82502FMA</t>
  </si>
  <si>
    <t>EMX</t>
  </si>
  <si>
    <t>FMA</t>
  </si>
  <si>
    <t>FR82506ANE</t>
  </si>
  <si>
    <t>LXN</t>
  </si>
  <si>
    <t>ANE</t>
  </si>
  <si>
    <t>FR82507HEO</t>
  </si>
  <si>
    <t>FR82509NMH</t>
  </si>
  <si>
    <t>LEX</t>
  </si>
  <si>
    <t>NMH</t>
  </si>
  <si>
    <t>FR82510MDOE</t>
  </si>
  <si>
    <t>FXO</t>
  </si>
  <si>
    <t>MDOE</t>
  </si>
  <si>
    <t>M</t>
  </si>
  <si>
    <t>F</t>
  </si>
  <si>
    <t>AN82501NXH</t>
  </si>
  <si>
    <t>LLF</t>
  </si>
  <si>
    <t>NXH</t>
  </si>
  <si>
    <t>ML82507HA</t>
  </si>
  <si>
    <t>CP82501MMLL</t>
  </si>
  <si>
    <t>AXX</t>
  </si>
  <si>
    <t>MMLL</t>
  </si>
  <si>
    <t>DH82529LAF</t>
  </si>
  <si>
    <t>DH82530ELX</t>
  </si>
  <si>
    <t>DH82531FHM</t>
  </si>
  <si>
    <t>DH82534AMM</t>
  </si>
  <si>
    <t>DH82535EON</t>
  </si>
  <si>
    <t>DH82538FEF</t>
  </si>
  <si>
    <t>DH82539FDL</t>
  </si>
  <si>
    <t>DH82540AHD</t>
  </si>
  <si>
    <t>DH82541LML</t>
  </si>
  <si>
    <t>DH82542HFX</t>
  </si>
  <si>
    <t>DH82543EHE</t>
  </si>
  <si>
    <t>FR82503LND</t>
  </si>
  <si>
    <t>HNX</t>
  </si>
  <si>
    <t>FR82504AML</t>
  </si>
  <si>
    <t>EAX</t>
  </si>
  <si>
    <t>AML</t>
  </si>
  <si>
    <t>FR82505MMHF</t>
  </si>
  <si>
    <t>AMN</t>
  </si>
  <si>
    <t>MMHF</t>
  </si>
  <si>
    <t>FR82508FFX</t>
  </si>
  <si>
    <t>EEO</t>
  </si>
  <si>
    <t>FFX</t>
  </si>
  <si>
    <t>FR82511AXO</t>
  </si>
  <si>
    <t>ENH</t>
  </si>
  <si>
    <t>AXO</t>
  </si>
  <si>
    <t>TE82516ENL</t>
  </si>
  <si>
    <t>TE82522HML</t>
  </si>
  <si>
    <t>BT82504HHM</t>
  </si>
  <si>
    <t>XME</t>
  </si>
  <si>
    <t>HHM</t>
  </si>
  <si>
    <t>BT82505OAF</t>
  </si>
  <si>
    <t>ODE</t>
  </si>
  <si>
    <t>OAF</t>
  </si>
  <si>
    <t>BT82506MFO</t>
  </si>
  <si>
    <t>MFO</t>
  </si>
  <si>
    <t>BT82507OLL</t>
  </si>
  <si>
    <t>MND</t>
  </si>
  <si>
    <t>OLL</t>
  </si>
  <si>
    <t>BT82508MAE</t>
  </si>
  <si>
    <t>MXO</t>
  </si>
  <si>
    <t>MAE</t>
  </si>
  <si>
    <t>BT82509OXM</t>
  </si>
  <si>
    <t>OXM</t>
  </si>
  <si>
    <t>BT82510OXF</t>
  </si>
  <si>
    <t>MLN</t>
  </si>
  <si>
    <t>OXF</t>
  </si>
  <si>
    <t>BT82511XDD</t>
  </si>
  <si>
    <t>OMH</t>
  </si>
  <si>
    <t>XDD</t>
  </si>
  <si>
    <t>BT82512XDD</t>
  </si>
  <si>
    <t>OFL</t>
  </si>
  <si>
    <t>black stone bag</t>
  </si>
  <si>
    <t>TE82514OMH</t>
  </si>
  <si>
    <t>TE82515OXD</t>
  </si>
  <si>
    <t>TE82517XAO</t>
  </si>
  <si>
    <t>TE82518XAO</t>
  </si>
  <si>
    <t>TE82519FAE</t>
  </si>
  <si>
    <t>TE82520OAL</t>
  </si>
  <si>
    <t>TE82521XLD</t>
  </si>
  <si>
    <t>TE82523XHF</t>
  </si>
  <si>
    <t>TE82524XMO</t>
  </si>
  <si>
    <t>TE82525XNE</t>
  </si>
  <si>
    <t>DH82510OEE</t>
  </si>
  <si>
    <t>DH82511OEE</t>
  </si>
  <si>
    <t>DH82512ONF</t>
  </si>
  <si>
    <t>DH82513MFO</t>
  </si>
  <si>
    <t>DH82514MXN</t>
  </si>
  <si>
    <t>DH82515MLF</t>
  </si>
  <si>
    <t>DH82532HMH</t>
  </si>
  <si>
    <t>DH82533OHM</t>
  </si>
  <si>
    <t>DH82536EHE</t>
  </si>
  <si>
    <t>DH82537HFX</t>
  </si>
  <si>
    <t>DH82544OHDO</t>
  </si>
  <si>
    <t>GE82501MLE</t>
  </si>
  <si>
    <t>GE82502MED</t>
  </si>
  <si>
    <t>GE82503MXH</t>
  </si>
  <si>
    <t>GE82504MMN</t>
  </si>
  <si>
    <t>GE82505NH</t>
  </si>
  <si>
    <t>GE82506ED</t>
  </si>
  <si>
    <t>GE82507HM</t>
  </si>
  <si>
    <t>GE82508XO</t>
  </si>
  <si>
    <t>GE82509HL</t>
  </si>
  <si>
    <t>GE82510XA</t>
  </si>
  <si>
    <t>GE82511OFL</t>
  </si>
  <si>
    <t>GE82512XO</t>
  </si>
  <si>
    <t>GE82513OA</t>
  </si>
  <si>
    <t>GE82514M</t>
  </si>
  <si>
    <t>GE82530ODX</t>
  </si>
  <si>
    <t>FR82512XEF</t>
  </si>
  <si>
    <t>FR82513XHL</t>
  </si>
  <si>
    <t>FR82514XDN</t>
  </si>
  <si>
    <t>FR82515MFL</t>
  </si>
  <si>
    <t>FR82516XDM</t>
  </si>
  <si>
    <t>FR82517MHF</t>
  </si>
  <si>
    <t>FR82518LX</t>
  </si>
  <si>
    <t>FR82519OFL</t>
  </si>
  <si>
    <t>BT82503FFA</t>
  </si>
  <si>
    <t>BT825A</t>
  </si>
  <si>
    <t>GS82516F</t>
  </si>
  <si>
    <t>GS82517F</t>
  </si>
  <si>
    <t>GS82518F</t>
  </si>
  <si>
    <t>GS82519A</t>
  </si>
  <si>
    <t>GS82520A</t>
  </si>
  <si>
    <t>MM82521OH</t>
  </si>
  <si>
    <t>MM82522OA</t>
  </si>
  <si>
    <t>MM82523XM</t>
  </si>
  <si>
    <t>MM82524OA</t>
  </si>
  <si>
    <t>OEE</t>
  </si>
  <si>
    <t>MMN</t>
  </si>
  <si>
    <t>MXH</t>
  </si>
  <si>
    <t>HL</t>
  </si>
  <si>
    <t>MHE</t>
  </si>
  <si>
    <t>ODX</t>
  </si>
  <si>
    <t>XEF</t>
  </si>
  <si>
    <t>OHF</t>
  </si>
  <si>
    <t>XHL</t>
  </si>
  <si>
    <t>XDN</t>
  </si>
  <si>
    <t>MOL</t>
  </si>
  <si>
    <t>MFL</t>
  </si>
  <si>
    <t>OME</t>
  </si>
  <si>
    <t>XDM</t>
  </si>
  <si>
    <t>FFA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</si>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</sst>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32" x14ac:knownFonts="1">
    <font>
      <sz val="11"/>
      <color theme="1"/>
      <name val="Univers"/>
      <family val="2"/>
      <scheme val="minor"/>
    </font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Atkinson Hyperlegible"/>
    </font>
    <font>
      <sz val="14"/>
      <color theme="1"/>
      <name val="Atkinson Hyperlegible"/>
    </font>
    <font>
      <sz val="14"/>
      <color theme="2" tint="-0.89999084444715716"/>
      <name val="Atkinson Hyperlegible"/>
    </font>
    <font>
      <sz val="12"/>
      <color theme="2" tint="-0.89999084444715716"/>
      <name val="Atkinson Hyperlegible"/>
    </font>
    <font>
      <sz val="10"/>
      <color theme="2" tint="-0.89999084444715716"/>
      <name val="Atkinson Hyperlegible"/>
    </font>
    <font>
      <sz val="10"/>
      <color theme="1"/>
      <name val="Atkinson Hyperlegible"/>
    </font>
    <font>
      <sz val="14"/>
      <color rgb="FF77520F"/>
      <name val="Atkinson Hyperlegible"/>
    </font>
    <font>
      <sz val="12"/>
      <color rgb="FF77520F"/>
      <name val="Atkinson Hyperlegible"/>
    </font>
    <font>
      <sz val="12"/>
      <color rgb="FF035103"/>
      <name val="Atkinson Hyperlegible"/>
    </font>
    <font>
      <sz val="16"/>
      <color rgb="FF035103"/>
      <name val="Atkinson Hyperlegible"/>
    </font>
    <font>
      <sz val="10"/>
      <color rgb="FF035103"/>
      <name val="Atkinson Hyperlegible"/>
    </font>
    <font>
      <sz val="14"/>
      <color rgb="FF035103"/>
      <name val="Atkinson Hyperlegible"/>
    </font>
    <font>
      <sz val="12"/>
      <color rgb="FF005C5A"/>
      <name val="Atkinson Hyperlegible"/>
    </font>
    <font>
      <sz val="14"/>
      <color rgb="FF005C5A"/>
      <name val="Atkinson Hyperlegible"/>
    </font>
    <font>
      <sz val="10"/>
      <color rgb="FF005C5A"/>
      <name val="Atkinson Hyperlegible"/>
    </font>
    <font>
      <sz val="16"/>
      <color rgb="FF005C5A"/>
      <name val="Atkinson Hyperlegible"/>
    </font>
    <font>
      <sz val="10"/>
      <color rgb="FF77520F"/>
      <name val="Atkinson Hyperlegible"/>
    </font>
    <font>
      <b/>
      <sz val="14"/>
      <color theme="2" tint="-0.89999084444715716"/>
      <name val="Atkinson Hyperlegible"/>
    </font>
    <font>
      <sz val="9"/>
      <color theme="1"/>
      <name val="Arial"/>
      <family val="2"/>
    </font>
    <font>
      <sz val="14"/>
      <name val="Atkinson Hyperlegible"/>
    </font>
    <font>
      <sz val="16"/>
      <color theme="1"/>
      <name val="Atkinson Hyperlegible"/>
    </font>
    <font>
      <sz val="12"/>
      <color rgb="FFF2F2F2"/>
      <name val="Atkinson Hyperlegible"/>
    </font>
    <font>
      <sz val="16"/>
      <color rgb="FFF2F2F2"/>
      <name val="Atkinson Hyperlegible"/>
    </font>
    <font>
      <sz val="10"/>
      <color rgb="FFF2F2F2"/>
      <name val="Atkinson Hyperlegible"/>
    </font>
    <font>
      <sz val="14"/>
      <color rgb="FFF2F2F2"/>
      <name val="Atkinson Hyperlegible"/>
    </font>
    <font>
      <sz val="14"/>
      <color rgb="FFFF0000"/>
      <name val="Atkinson Hyperlegible"/>
    </font>
    <font>
      <sz val="14"/>
      <color theme="1"/>
      <name val="Arial"/>
      <family val="2"/>
    </font>
    <font>
      <sz val="16"/>
      <name val="Atkinson Hyperlegible"/>
    </font>
    <font>
      <sz val="16"/>
      <color theme="2" tint="-0.89999084444715716"/>
      <name val="Atkinson Hyperlegible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F0E68C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BBCD9"/>
        <bgColor indexed="64"/>
      </patternFill>
    </fill>
    <fill>
      <patternFill patternType="solid">
        <fgColor theme="9" tint="0.499984740745262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rgb="FFE5D43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0CEB2"/>
        <bgColor indexed="64"/>
      </patternFill>
    </fill>
    <fill>
      <patternFill patternType="solid">
        <fgColor rgb="FFEAA7CA"/>
        <bgColor indexed="64"/>
      </patternFill>
    </fill>
    <fill>
      <patternFill patternType="solid">
        <fgColor rgb="FF00913E"/>
        <bgColor indexed="64"/>
      </patternFill>
    </fill>
    <fill>
      <patternFill patternType="solid">
        <fgColor rgb="FF00AB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4">
    <xf numFmtId="0" fontId="0" fillId="0" borderId="0" xfId="0"/>
    <xf numFmtId="44" fontId="5" fillId="0" borderId="0" xfId="1" applyFont="1" applyFill="1" applyBorder="1" applyAlignment="1">
      <alignment horizontal="left" vertical="center" indent="2"/>
    </xf>
    <xf numFmtId="2" fontId="5" fillId="0" borderId="0" xfId="2" applyNumberFormat="1" applyFont="1" applyBorder="1" applyAlignment="1">
      <alignment horizontal="left" vertical="center" indent="2"/>
    </xf>
    <xf numFmtId="44" fontId="16" fillId="0" borderId="0" xfId="1" applyFont="1" applyFill="1" applyBorder="1" applyAlignment="1">
      <alignment horizontal="left" vertical="center" indent="2"/>
    </xf>
    <xf numFmtId="44" fontId="9" fillId="0" borderId="0" xfId="1" applyFont="1" applyFill="1" applyBorder="1" applyAlignment="1">
      <alignment horizontal="left" vertical="center" indent="2"/>
    </xf>
    <xf numFmtId="44" fontId="4" fillId="18" borderId="0" xfId="1" applyFont="1" applyFill="1" applyBorder="1" applyAlignment="1">
      <alignment horizontal="left" vertical="center" indent="2"/>
    </xf>
    <xf numFmtId="44" fontId="9" fillId="18" borderId="0" xfId="1" applyFont="1" applyFill="1" applyBorder="1" applyAlignment="1">
      <alignment horizontal="left" vertical="center" indent="2"/>
    </xf>
    <xf numFmtId="0" fontId="6" fillId="0" borderId="0" xfId="0" applyFont="1" applyAlignment="1">
      <alignment vertical="center"/>
    </xf>
    <xf numFmtId="1" fontId="7" fillId="8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 indent="1"/>
    </xf>
    <xf numFmtId="0" fontId="7" fillId="2" borderId="0" xfId="0" applyFont="1" applyFill="1" applyAlignment="1" applyProtection="1">
      <alignment horizontal="left" vertical="center" wrapText="1" indent="1"/>
      <protection locked="0"/>
    </xf>
    <xf numFmtId="1" fontId="7" fillId="2" borderId="0" xfId="0" applyNumberFormat="1" applyFont="1" applyFill="1" applyAlignment="1" applyProtection="1">
      <alignment horizontal="left" vertical="center" wrapText="1" indent="1"/>
      <protection locked="0"/>
    </xf>
    <xf numFmtId="0" fontId="7" fillId="0" borderId="0" xfId="0" applyFont="1" applyAlignment="1">
      <alignment horizontal="center" vertical="center"/>
    </xf>
    <xf numFmtId="1" fontId="5" fillId="8" borderId="0" xfId="0" quotePrefix="1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2"/>
    </xf>
    <xf numFmtId="0" fontId="5" fillId="8" borderId="0" xfId="0" applyFont="1" applyFill="1" applyAlignment="1">
      <alignment horizontal="left" vertical="center" indent="2"/>
    </xf>
    <xf numFmtId="1" fontId="5" fillId="8" borderId="0" xfId="0" applyNumberFormat="1" applyFont="1" applyFill="1" applyAlignment="1">
      <alignment horizontal="left" vertical="center" indent="2"/>
    </xf>
    <xf numFmtId="44" fontId="5" fillId="8" borderId="0" xfId="1" applyFont="1" applyFill="1" applyBorder="1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1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right" vertical="center" indent="1"/>
    </xf>
    <xf numFmtId="0" fontId="15" fillId="0" borderId="0" xfId="0" applyFont="1" applyAlignment="1">
      <alignment vertical="center"/>
    </xf>
    <xf numFmtId="1" fontId="8" fillId="18" borderId="0" xfId="0" applyNumberFormat="1" applyFont="1" applyFill="1" applyAlignment="1">
      <alignment horizontal="center" vertical="center"/>
    </xf>
    <xf numFmtId="0" fontId="8" fillId="18" borderId="0" xfId="0" applyFont="1" applyFill="1" applyAlignment="1">
      <alignment horizontal="left" vertical="center" wrapText="1" indent="1"/>
    </xf>
    <xf numFmtId="0" fontId="8" fillId="18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left" vertical="center" wrapText="1" indent="1"/>
    </xf>
    <xf numFmtId="0" fontId="8" fillId="18" borderId="0" xfId="0" applyFont="1" applyFill="1" applyAlignment="1" applyProtection="1">
      <alignment horizontal="left" vertical="center" wrapText="1" indent="1"/>
      <protection locked="0"/>
    </xf>
    <xf numFmtId="1" fontId="8" fillId="18" borderId="0" xfId="0" applyNumberFormat="1" applyFont="1" applyFill="1" applyAlignment="1" applyProtection="1">
      <alignment horizontal="left" vertical="center" wrapText="1" indent="1"/>
      <protection locked="0"/>
    </xf>
    <xf numFmtId="0" fontId="17" fillId="0" borderId="0" xfId="0" applyFont="1" applyAlignment="1">
      <alignment horizontal="center" vertical="center"/>
    </xf>
    <xf numFmtId="1" fontId="4" fillId="18" borderId="0" xfId="0" quotePrefix="1" applyNumberFormat="1" applyFont="1" applyFill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 applyProtection="1">
      <alignment horizontal="center"/>
      <protection locked="0"/>
    </xf>
    <xf numFmtId="0" fontId="4" fillId="18" borderId="0" xfId="0" applyFont="1" applyFill="1" applyAlignment="1">
      <alignment horizontal="left" vertical="center" indent="2"/>
    </xf>
    <xf numFmtId="1" fontId="4" fillId="18" borderId="0" xfId="0" applyNumberFormat="1" applyFont="1" applyFill="1" applyAlignment="1">
      <alignment horizontal="center" vertical="center"/>
    </xf>
    <xf numFmtId="1" fontId="4" fillId="18" borderId="0" xfId="0" applyNumberFormat="1" applyFont="1" applyFill="1" applyAlignment="1">
      <alignment horizontal="left" vertical="center" indent="2"/>
    </xf>
    <xf numFmtId="0" fontId="16" fillId="0" borderId="0" xfId="0" applyFont="1" applyAlignment="1">
      <alignment horizontal="left" vertical="center" indent="1"/>
    </xf>
    <xf numFmtId="1" fontId="3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15" fillId="0" borderId="0" xfId="0" applyFont="1" applyAlignment="1">
      <alignment horizontal="right" vertical="center" indent="1"/>
    </xf>
    <xf numFmtId="0" fontId="18" fillId="23" borderId="0" xfId="0" applyFont="1" applyFill="1" applyAlignment="1">
      <alignment horizontal="left" vertical="center" indent="2"/>
    </xf>
    <xf numFmtId="0" fontId="5" fillId="23" borderId="0" xfId="0" applyFont="1" applyFill="1" applyAlignment="1">
      <alignment horizontal="left" vertical="center" indent="2"/>
    </xf>
    <xf numFmtId="1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 indent="1"/>
    </xf>
    <xf numFmtId="0" fontId="7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 indent="1"/>
    </xf>
    <xf numFmtId="0" fontId="7" fillId="4" borderId="0" xfId="0" applyFont="1" applyFill="1" applyAlignment="1" applyProtection="1">
      <alignment horizontal="left" vertical="center" wrapText="1" indent="1"/>
      <protection locked="0"/>
    </xf>
    <xf numFmtId="1" fontId="7" fillId="4" borderId="0" xfId="0" applyNumberFormat="1" applyFont="1" applyFill="1" applyAlignment="1" applyProtection="1">
      <alignment horizontal="left" vertical="center" wrapText="1" indent="1"/>
      <protection locked="0"/>
    </xf>
    <xf numFmtId="1" fontId="5" fillId="4" borderId="0" xfId="0" quotePrefix="1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indent="2"/>
    </xf>
    <xf numFmtId="1" fontId="5" fillId="4" borderId="0" xfId="0" applyNumberFormat="1" applyFont="1" applyFill="1" applyAlignment="1">
      <alignment horizontal="left" vertical="center" indent="2"/>
    </xf>
    <xf numFmtId="44" fontId="5" fillId="4" borderId="0" xfId="1" applyFont="1" applyFill="1" applyBorder="1" applyAlignment="1">
      <alignment horizontal="left" vertical="center" indent="2"/>
    </xf>
    <xf numFmtId="44" fontId="5" fillId="4" borderId="0" xfId="0" applyNumberFormat="1" applyFont="1" applyFill="1" applyAlignment="1">
      <alignment horizontal="left" vertical="center" indent="2"/>
    </xf>
    <xf numFmtId="1" fontId="7" fillId="12" borderId="0" xfId="0" applyNumberFormat="1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 wrapText="1" indent="1"/>
    </xf>
    <xf numFmtId="0" fontId="7" fillId="12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left" vertical="center" wrapText="1" indent="1"/>
    </xf>
    <xf numFmtId="0" fontId="7" fillId="12" borderId="0" xfId="0" applyFont="1" applyFill="1" applyAlignment="1" applyProtection="1">
      <alignment horizontal="left" vertical="center" wrapText="1" indent="1"/>
      <protection locked="0"/>
    </xf>
    <xf numFmtId="1" fontId="7" fillId="12" borderId="0" xfId="0" applyNumberFormat="1" applyFont="1" applyFill="1" applyAlignment="1" applyProtection="1">
      <alignment horizontal="left" vertical="center" wrapText="1" indent="1"/>
      <protection locked="0"/>
    </xf>
    <xf numFmtId="1" fontId="5" fillId="12" borderId="0" xfId="0" quotePrefix="1" applyNumberFormat="1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 indent="2"/>
    </xf>
    <xf numFmtId="1" fontId="5" fillId="12" borderId="0" xfId="0" applyNumberFormat="1" applyFont="1" applyFill="1" applyAlignment="1">
      <alignment horizontal="left" vertical="center" indent="2"/>
    </xf>
    <xf numFmtId="44" fontId="5" fillId="12" borderId="0" xfId="1" applyFont="1" applyFill="1" applyBorder="1" applyAlignment="1">
      <alignment horizontal="left" vertical="center" indent="2"/>
    </xf>
    <xf numFmtId="1" fontId="5" fillId="10" borderId="0" xfId="0" quotePrefix="1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5" fillId="10" borderId="0" xfId="0" applyFont="1" applyFill="1" applyAlignment="1">
      <alignment horizontal="left" vertical="center" indent="2"/>
    </xf>
    <xf numFmtId="1" fontId="5" fillId="10" borderId="0" xfId="0" applyNumberFormat="1" applyFont="1" applyFill="1" applyAlignment="1">
      <alignment horizontal="left" vertical="center" indent="2"/>
    </xf>
    <xf numFmtId="44" fontId="5" fillId="10" borderId="0" xfId="0" applyNumberFormat="1" applyFont="1" applyFill="1" applyAlignment="1">
      <alignment horizontal="left" vertical="center" indent="2"/>
    </xf>
    <xf numFmtId="44" fontId="5" fillId="0" borderId="0" xfId="0" applyNumberFormat="1" applyFont="1" applyAlignment="1">
      <alignment horizontal="left" vertical="center" indent="2"/>
    </xf>
    <xf numFmtId="2" fontId="6" fillId="0" borderId="0" xfId="0" applyNumberFormat="1" applyFont="1" applyAlignment="1">
      <alignment horizontal="right" vertical="center" indent="1"/>
    </xf>
    <xf numFmtId="0" fontId="5" fillId="0" borderId="0" xfId="0" applyFont="1" applyAlignment="1">
      <alignment vertical="center"/>
    </xf>
    <xf numFmtId="1" fontId="7" fillId="13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 wrapText="1" indent="1"/>
    </xf>
    <xf numFmtId="0" fontId="7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 indent="1"/>
    </xf>
    <xf numFmtId="0" fontId="7" fillId="6" borderId="0" xfId="0" applyFont="1" applyFill="1" applyAlignment="1" applyProtection="1">
      <alignment horizontal="left" vertical="center" wrapText="1" indent="1"/>
      <protection locked="0"/>
    </xf>
    <xf numFmtId="1" fontId="7" fillId="6" borderId="0" xfId="0" applyNumberFormat="1" applyFont="1" applyFill="1" applyAlignment="1" applyProtection="1">
      <alignment horizontal="left" vertical="center" wrapText="1" indent="1"/>
      <protection locked="0"/>
    </xf>
    <xf numFmtId="1" fontId="5" fillId="6" borderId="0" xfId="0" quotePrefix="1" applyNumberFormat="1" applyFont="1" applyFill="1" applyAlignment="1">
      <alignment horizontal="center" vertical="center"/>
    </xf>
    <xf numFmtId="0" fontId="21" fillId="14" borderId="0" xfId="0" applyFont="1" applyFill="1" applyProtection="1">
      <protection locked="0"/>
    </xf>
    <xf numFmtId="1" fontId="5" fillId="6" borderId="0" xfId="0" applyNumberFormat="1" applyFont="1" applyFill="1" applyAlignment="1">
      <alignment horizontal="left" vertical="center" indent="2"/>
    </xf>
    <xf numFmtId="44" fontId="5" fillId="6" borderId="0" xfId="1" applyFont="1" applyFill="1" applyBorder="1" applyAlignment="1">
      <alignment horizontal="left" vertical="center" indent="2"/>
    </xf>
    <xf numFmtId="0" fontId="5" fillId="18" borderId="0" xfId="0" applyFont="1" applyFill="1" applyAlignment="1">
      <alignment horizontal="left" vertical="center" indent="2"/>
    </xf>
    <xf numFmtId="1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 wrapText="1" indent="1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 indent="1"/>
    </xf>
    <xf numFmtId="0" fontId="7" fillId="5" borderId="0" xfId="0" applyFont="1" applyFill="1" applyAlignment="1" applyProtection="1">
      <alignment horizontal="left" vertical="center" wrapText="1" indent="1"/>
      <protection locked="0"/>
    </xf>
    <xf numFmtId="1" fontId="7" fillId="5" borderId="0" xfId="0" applyNumberFormat="1" applyFont="1" applyFill="1" applyAlignment="1" applyProtection="1">
      <alignment horizontal="left" vertical="center" wrapText="1" indent="1"/>
      <protection locked="0"/>
    </xf>
    <xf numFmtId="1" fontId="5" fillId="5" borderId="0" xfId="0" quotePrefix="1" applyNumberFormat="1" applyFont="1" applyFill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1" fontId="5" fillId="5" borderId="0" xfId="0" applyNumberFormat="1" applyFont="1" applyFill="1" applyAlignment="1">
      <alignment horizontal="left" vertical="center" indent="2"/>
    </xf>
    <xf numFmtId="164" fontId="4" fillId="5" borderId="0" xfId="0" applyNumberFormat="1" applyFont="1" applyFill="1" applyAlignment="1" applyProtection="1">
      <alignment horizontal="center"/>
      <protection locked="0"/>
    </xf>
    <xf numFmtId="0" fontId="5" fillId="5" borderId="0" xfId="0" applyFont="1" applyFill="1" applyAlignment="1">
      <alignment horizontal="left" vertical="center" indent="2"/>
    </xf>
    <xf numFmtId="44" fontId="5" fillId="5" borderId="0" xfId="1" applyFont="1" applyFill="1" applyBorder="1" applyAlignment="1">
      <alignment horizontal="left" vertical="center" indent="2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" fontId="19" fillId="7" borderId="0" xfId="0" applyNumberFormat="1" applyFont="1" applyFill="1" applyAlignment="1">
      <alignment horizontal="center" vertical="center"/>
    </xf>
    <xf numFmtId="0" fontId="19" fillId="7" borderId="0" xfId="0" applyFont="1" applyFill="1" applyAlignment="1">
      <alignment horizontal="left" vertical="center" wrapText="1" indent="1"/>
    </xf>
    <xf numFmtId="0" fontId="19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left" vertical="center" wrapText="1" indent="1"/>
    </xf>
    <xf numFmtId="0" fontId="19" fillId="0" borderId="0" xfId="0" applyFont="1" applyAlignment="1">
      <alignment horizontal="center" vertical="center"/>
    </xf>
    <xf numFmtId="1" fontId="9" fillId="7" borderId="0" xfId="0" quotePrefix="1" applyNumberFormat="1" applyFont="1" applyFill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2"/>
    </xf>
    <xf numFmtId="0" fontId="9" fillId="7" borderId="0" xfId="0" applyFont="1" applyFill="1" applyAlignment="1">
      <alignment horizontal="left" vertical="center" indent="2"/>
    </xf>
    <xf numFmtId="1" fontId="9" fillId="7" borderId="0" xfId="0" applyNumberFormat="1" applyFont="1" applyFill="1" applyAlignment="1">
      <alignment horizontal="left" vertical="center" indent="2"/>
    </xf>
    <xf numFmtId="44" fontId="9" fillId="0" borderId="0" xfId="0" applyNumberFormat="1" applyFont="1" applyAlignment="1">
      <alignment horizontal="center" vertical="center"/>
    </xf>
    <xf numFmtId="0" fontId="9" fillId="20" borderId="0" xfId="0" applyFont="1" applyFill="1" applyAlignment="1">
      <alignment horizontal="left" vertical="center" indent="2"/>
    </xf>
    <xf numFmtId="0" fontId="9" fillId="22" borderId="0" xfId="0" applyFont="1" applyFill="1" applyAlignment="1">
      <alignment horizontal="left" vertical="center" indent="2"/>
    </xf>
    <xf numFmtId="1" fontId="9" fillId="18" borderId="0" xfId="0" quotePrefix="1" applyNumberFormat="1" applyFont="1" applyFill="1" applyAlignment="1">
      <alignment horizontal="center" vertical="center"/>
    </xf>
    <xf numFmtId="44" fontId="9" fillId="18" borderId="0" xfId="0" applyNumberFormat="1" applyFont="1" applyFill="1" applyAlignment="1">
      <alignment horizontal="center" vertical="center"/>
    </xf>
    <xf numFmtId="0" fontId="28" fillId="20" borderId="0" xfId="0" applyFont="1" applyFill="1" applyAlignment="1">
      <alignment horizontal="left" vertical="center" indent="2"/>
    </xf>
    <xf numFmtId="0" fontId="28" fillId="22" borderId="0" xfId="0" applyFont="1" applyFill="1" applyAlignment="1">
      <alignment horizontal="left" vertical="center" indent="2"/>
    </xf>
    <xf numFmtId="0" fontId="28" fillId="10" borderId="0" xfId="0" applyFont="1" applyFill="1" applyAlignment="1">
      <alignment horizontal="left" vertical="center" indent="2"/>
    </xf>
    <xf numFmtId="1" fontId="9" fillId="18" borderId="0" xfId="0" applyNumberFormat="1" applyFont="1" applyFill="1" applyAlignment="1">
      <alignment horizontal="left" vertical="center" indent="2"/>
    </xf>
    <xf numFmtId="0" fontId="10" fillId="18" borderId="0" xfId="0" applyFont="1" applyFill="1" applyAlignment="1">
      <alignment vertical="center"/>
    </xf>
    <xf numFmtId="0" fontId="9" fillId="18" borderId="0" xfId="0" applyFont="1" applyFill="1" applyAlignment="1">
      <alignment horizontal="left" vertical="center" indent="2"/>
    </xf>
    <xf numFmtId="44" fontId="28" fillId="0" borderId="0" xfId="0" applyNumberFormat="1" applyFont="1" applyAlignment="1">
      <alignment horizontal="center" vertical="center"/>
    </xf>
    <xf numFmtId="1" fontId="28" fillId="7" borderId="0" xfId="0" applyNumberFormat="1" applyFont="1" applyFill="1" applyAlignment="1">
      <alignment horizontal="left" vertical="center" indent="2"/>
    </xf>
    <xf numFmtId="44" fontId="9" fillId="7" borderId="0" xfId="1" applyFont="1" applyFill="1" applyBorder="1" applyAlignment="1">
      <alignment horizontal="left" vertical="center" indent="2"/>
    </xf>
    <xf numFmtId="0" fontId="9" fillId="23" borderId="0" xfId="0" applyFont="1" applyFill="1" applyAlignment="1">
      <alignment horizontal="left" vertical="center" indent="2"/>
    </xf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 indent="1"/>
    </xf>
    <xf numFmtId="1" fontId="7" fillId="11" borderId="0" xfId="0" applyNumberFormat="1" applyFont="1" applyFill="1" applyAlignment="1">
      <alignment horizontal="center" vertical="center"/>
    </xf>
    <xf numFmtId="44" fontId="5" fillId="10" borderId="0" xfId="1" applyFont="1" applyFill="1" applyBorder="1" applyAlignment="1">
      <alignment horizontal="left" vertical="center" indent="2"/>
    </xf>
    <xf numFmtId="0" fontId="5" fillId="9" borderId="0" xfId="0" applyFont="1" applyFill="1" applyAlignment="1">
      <alignment horizontal="left" vertical="center" indent="2"/>
    </xf>
    <xf numFmtId="1" fontId="5" fillId="19" borderId="0" xfId="0" quotePrefix="1" applyNumberFormat="1" applyFont="1" applyFill="1" applyAlignment="1">
      <alignment horizontal="center" vertical="center"/>
    </xf>
    <xf numFmtId="14" fontId="5" fillId="19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horizontal="left" vertical="center" indent="2"/>
    </xf>
    <xf numFmtId="0" fontId="5" fillId="22" borderId="0" xfId="0" applyFont="1" applyFill="1" applyAlignment="1">
      <alignment horizontal="left" vertical="center" indent="2"/>
    </xf>
    <xf numFmtId="0" fontId="5" fillId="19" borderId="0" xfId="0" applyFont="1" applyFill="1" applyAlignment="1">
      <alignment horizontal="left" vertical="center" indent="1"/>
    </xf>
    <xf numFmtId="0" fontId="6" fillId="19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1" fontId="26" fillId="17" borderId="0" xfId="0" applyNumberFormat="1" applyFont="1" applyFill="1" applyAlignment="1">
      <alignment horizontal="center" vertical="center"/>
    </xf>
    <xf numFmtId="0" fontId="26" fillId="17" borderId="0" xfId="0" applyFont="1" applyFill="1" applyAlignment="1">
      <alignment horizontal="left" vertical="center" wrapText="1" indent="1"/>
    </xf>
    <xf numFmtId="0" fontId="26" fillId="17" borderId="0" xfId="0" applyFont="1" applyFill="1" applyAlignment="1">
      <alignment horizontal="center" vertical="center" wrapText="1"/>
    </xf>
    <xf numFmtId="0" fontId="24" fillId="17" borderId="0" xfId="0" applyFont="1" applyFill="1" applyAlignment="1">
      <alignment horizontal="center" vertical="center" wrapText="1"/>
    </xf>
    <xf numFmtId="0" fontId="24" fillId="17" borderId="0" xfId="0" applyFont="1" applyFill="1" applyAlignment="1">
      <alignment horizontal="left" vertical="center" wrapText="1" indent="1"/>
    </xf>
    <xf numFmtId="0" fontId="13" fillId="0" borderId="0" xfId="0" applyFont="1" applyAlignment="1">
      <alignment horizontal="center" vertical="center"/>
    </xf>
    <xf numFmtId="1" fontId="14" fillId="17" borderId="0" xfId="0" quotePrefix="1" applyNumberFormat="1" applyFont="1" applyFill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left" vertical="center" indent="2"/>
    </xf>
    <xf numFmtId="1" fontId="27" fillId="17" borderId="0" xfId="0" applyNumberFormat="1" applyFont="1" applyFill="1" applyAlignment="1">
      <alignment horizontal="left" vertical="center" indent="2"/>
    </xf>
    <xf numFmtId="44" fontId="14" fillId="0" borderId="0" xfId="1" applyFont="1" applyFill="1" applyBorder="1" applyAlignment="1">
      <alignment horizontal="left" vertical="center" indent="2"/>
    </xf>
    <xf numFmtId="0" fontId="12" fillId="22" borderId="0" xfId="0" applyFont="1" applyFill="1" applyAlignment="1">
      <alignment horizontal="left" vertical="center" indent="2"/>
    </xf>
    <xf numFmtId="14" fontId="14" fillId="10" borderId="0" xfId="0" applyNumberFormat="1" applyFont="1" applyFill="1" applyAlignment="1">
      <alignment horizontal="center" vertical="center"/>
    </xf>
    <xf numFmtId="0" fontId="12" fillId="18" borderId="0" xfId="0" applyFont="1" applyFill="1" applyAlignment="1">
      <alignment horizontal="left" vertical="center" indent="2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 indent="1"/>
    </xf>
    <xf numFmtId="1" fontId="7" fillId="16" borderId="0" xfId="0" applyNumberFormat="1" applyFont="1" applyFill="1" applyAlignment="1">
      <alignment horizontal="center" vertical="center"/>
    </xf>
    <xf numFmtId="0" fontId="7" fillId="16" borderId="0" xfId="0" applyFont="1" applyFill="1" applyAlignment="1">
      <alignment horizontal="left" vertical="center" wrapText="1" indent="1"/>
    </xf>
    <xf numFmtId="0" fontId="7" fillId="16" borderId="0" xfId="0" applyFont="1" applyFill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6" borderId="0" xfId="0" applyFont="1" applyFill="1" applyAlignment="1">
      <alignment horizontal="left" vertical="center" wrapText="1" indent="1"/>
    </xf>
    <xf numFmtId="0" fontId="7" fillId="16" borderId="0" xfId="0" applyFont="1" applyFill="1" applyAlignment="1" applyProtection="1">
      <alignment horizontal="left" vertical="center" wrapText="1" indent="1"/>
      <protection locked="0"/>
    </xf>
    <xf numFmtId="1" fontId="7" fillId="16" borderId="0" xfId="0" applyNumberFormat="1" applyFont="1" applyFill="1" applyAlignment="1" applyProtection="1">
      <alignment horizontal="left" vertical="center" wrapText="1" indent="1"/>
      <protection locked="0"/>
    </xf>
    <xf numFmtId="1" fontId="5" fillId="16" borderId="0" xfId="0" quotePrefix="1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left" vertical="center" indent="2"/>
    </xf>
    <xf numFmtId="0" fontId="20" fillId="16" borderId="0" xfId="0" applyFont="1" applyFill="1" applyAlignment="1">
      <alignment horizontal="left" vertical="center" indent="2"/>
    </xf>
    <xf numFmtId="1" fontId="5" fillId="16" borderId="0" xfId="0" applyNumberFormat="1" applyFont="1" applyFill="1" applyAlignment="1">
      <alignment horizontal="left" vertical="center" indent="2"/>
    </xf>
    <xf numFmtId="44" fontId="5" fillId="16" borderId="0" xfId="1" applyFont="1" applyFill="1" applyBorder="1" applyAlignment="1">
      <alignment horizontal="left" vertical="center" indent="2"/>
    </xf>
    <xf numFmtId="1" fontId="6" fillId="16" borderId="0" xfId="0" applyNumberFormat="1" applyFont="1" applyFill="1" applyAlignment="1">
      <alignment horizontal="right" vertical="center" indent="1"/>
    </xf>
    <xf numFmtId="1" fontId="7" fillId="7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 wrapText="1" indent="1"/>
    </xf>
    <xf numFmtId="0" fontId="7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left" vertical="center" wrapText="1" indent="1"/>
    </xf>
    <xf numFmtId="0" fontId="7" fillId="7" borderId="0" xfId="0" applyFont="1" applyFill="1" applyAlignment="1" applyProtection="1">
      <alignment horizontal="left" vertical="center" wrapText="1" indent="1"/>
      <protection locked="0"/>
    </xf>
    <xf numFmtId="1" fontId="7" fillId="7" borderId="0" xfId="0" applyNumberFormat="1" applyFont="1" applyFill="1" applyAlignment="1" applyProtection="1">
      <alignment horizontal="left" vertical="center" wrapText="1" indent="1"/>
      <protection locked="0"/>
    </xf>
    <xf numFmtId="1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 indent="1"/>
    </xf>
    <xf numFmtId="0" fontId="7" fillId="3" borderId="0" xfId="0" applyFont="1" applyFill="1" applyAlignment="1" applyProtection="1">
      <alignment horizontal="left" vertical="center" wrapText="1" indent="1"/>
      <protection locked="0"/>
    </xf>
    <xf numFmtId="1" fontId="7" fillId="3" borderId="0" xfId="0" applyNumberFormat="1" applyFont="1" applyFill="1" applyAlignment="1" applyProtection="1">
      <alignment horizontal="left" vertical="center" wrapText="1" indent="1"/>
      <protection locked="0"/>
    </xf>
    <xf numFmtId="1" fontId="7" fillId="15" borderId="0" xfId="0" applyNumberFormat="1" applyFont="1" applyFill="1" applyAlignment="1">
      <alignment horizontal="center" vertical="center"/>
    </xf>
    <xf numFmtId="0" fontId="7" fillId="15" borderId="0" xfId="0" applyFont="1" applyFill="1" applyAlignment="1">
      <alignment horizontal="left" vertical="center" wrapText="1" indent="1"/>
    </xf>
    <xf numFmtId="0" fontId="7" fillId="15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left" vertical="center" wrapText="1" indent="1"/>
    </xf>
    <xf numFmtId="0" fontId="7" fillId="15" borderId="0" xfId="0" applyFont="1" applyFill="1" applyAlignment="1" applyProtection="1">
      <alignment horizontal="left" vertical="center" wrapText="1" indent="1"/>
      <protection locked="0"/>
    </xf>
    <xf numFmtId="1" fontId="7" fillId="15" borderId="0" xfId="0" applyNumberFormat="1" applyFont="1" applyFill="1" applyAlignment="1" applyProtection="1">
      <alignment horizontal="left" vertical="center" wrapText="1" indent="1"/>
      <protection locked="0"/>
    </xf>
    <xf numFmtId="1" fontId="5" fillId="15" borderId="0" xfId="0" quotePrefix="1" applyNumberFormat="1" applyFont="1" applyFill="1" applyAlignment="1">
      <alignment horizontal="center" vertical="center"/>
    </xf>
    <xf numFmtId="0" fontId="5" fillId="15" borderId="0" xfId="0" applyFont="1" applyFill="1" applyAlignment="1">
      <alignment horizontal="left" vertical="center" indent="2"/>
    </xf>
    <xf numFmtId="0" fontId="20" fillId="15" borderId="0" xfId="0" applyFont="1" applyFill="1" applyAlignment="1">
      <alignment horizontal="left" vertical="center" indent="2"/>
    </xf>
    <xf numFmtId="1" fontId="5" fillId="15" borderId="0" xfId="0" applyNumberFormat="1" applyFont="1" applyFill="1" applyAlignment="1">
      <alignment horizontal="left" vertical="center" indent="2"/>
    </xf>
    <xf numFmtId="44" fontId="5" fillId="15" borderId="0" xfId="1" applyFont="1" applyFill="1" applyBorder="1" applyAlignment="1">
      <alignment horizontal="left" vertical="center" indent="2"/>
    </xf>
    <xf numFmtId="44" fontId="5" fillId="15" borderId="0" xfId="0" applyNumberFormat="1" applyFont="1" applyFill="1" applyAlignment="1">
      <alignment horizontal="left" vertical="center" indent="2"/>
    </xf>
    <xf numFmtId="1" fontId="7" fillId="21" borderId="0" xfId="0" applyNumberFormat="1" applyFont="1" applyFill="1" applyAlignment="1">
      <alignment horizontal="center" vertical="center"/>
    </xf>
    <xf numFmtId="0" fontId="7" fillId="21" borderId="0" xfId="0" applyFont="1" applyFill="1" applyAlignment="1">
      <alignment horizontal="left" vertical="center" wrapText="1" indent="1"/>
    </xf>
    <xf numFmtId="0" fontId="7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left" vertical="center" wrapText="1" indent="1"/>
    </xf>
    <xf numFmtId="0" fontId="7" fillId="21" borderId="0" xfId="0" applyFont="1" applyFill="1" applyAlignment="1" applyProtection="1">
      <alignment horizontal="left" vertical="center" wrapText="1" indent="1"/>
      <protection locked="0"/>
    </xf>
    <xf numFmtId="1" fontId="7" fillId="21" borderId="0" xfId="0" applyNumberFormat="1" applyFont="1" applyFill="1" applyAlignment="1" applyProtection="1">
      <alignment horizontal="left" vertical="center" wrapText="1" indent="1"/>
      <protection locked="0"/>
    </xf>
    <xf numFmtId="44" fontId="6" fillId="0" borderId="0" xfId="1" applyFont="1" applyAlignment="1">
      <alignment vertical="center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44" fontId="5" fillId="16" borderId="0" xfId="1" applyFont="1" applyFill="1" applyAlignment="1">
      <alignment horizontal="left" vertical="center" indent="2"/>
    </xf>
    <xf numFmtId="0" fontId="4" fillId="0" borderId="0" xfId="0" applyFont="1" applyAlignment="1">
      <alignment horizontal="center" vertical="center"/>
    </xf>
    <xf numFmtId="44" fontId="4" fillId="0" borderId="0" xfId="1" applyFont="1" applyFill="1" applyBorder="1" applyAlignment="1">
      <alignment horizontal="left" vertical="center" indent="2"/>
    </xf>
    <xf numFmtId="44" fontId="16" fillId="18" borderId="0" xfId="1" applyFont="1" applyFill="1" applyBorder="1" applyAlignment="1">
      <alignment horizontal="left" vertical="center" indent="2"/>
    </xf>
    <xf numFmtId="0" fontId="16" fillId="18" borderId="0" xfId="0" applyFont="1" applyFill="1" applyAlignment="1">
      <alignment horizontal="left" vertical="center" indent="2"/>
    </xf>
    <xf numFmtId="1" fontId="16" fillId="18" borderId="0" xfId="0" applyNumberFormat="1" applyFont="1" applyFill="1" applyAlignment="1">
      <alignment horizontal="center" vertical="center"/>
    </xf>
    <xf numFmtId="1" fontId="16" fillId="18" borderId="0" xfId="0" applyNumberFormat="1" applyFont="1" applyFill="1" applyAlignment="1">
      <alignment horizontal="left" vertical="center" indent="2"/>
    </xf>
    <xf numFmtId="1" fontId="14" fillId="0" borderId="0" xfId="0" quotePrefix="1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indent="2"/>
    </xf>
    <xf numFmtId="1" fontId="5" fillId="0" borderId="0" xfId="0" quotePrefix="1" applyNumberFormat="1" applyFont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left" vertical="center" wrapText="1" indent="1"/>
    </xf>
    <xf numFmtId="0" fontId="29" fillId="6" borderId="0" xfId="0" applyFont="1" applyFill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indent="2"/>
    </xf>
    <xf numFmtId="1" fontId="5" fillId="3" borderId="0" xfId="0" applyNumberFormat="1" applyFont="1" applyFill="1" applyAlignment="1">
      <alignment horizontal="left" vertical="center" indent="2"/>
    </xf>
    <xf numFmtId="44" fontId="5" fillId="3" borderId="0" xfId="1" applyFont="1" applyFill="1" applyBorder="1" applyAlignment="1">
      <alignment horizontal="left" vertical="center" indent="2"/>
    </xf>
    <xf numFmtId="0" fontId="20" fillId="7" borderId="0" xfId="0" applyFont="1" applyFill="1" applyAlignment="1">
      <alignment horizontal="left" vertical="center" indent="2"/>
    </xf>
    <xf numFmtId="1" fontId="5" fillId="7" borderId="0" xfId="0" applyNumberFormat="1" applyFont="1" applyFill="1" applyAlignment="1">
      <alignment horizontal="left" vertical="center" indent="2"/>
    </xf>
    <xf numFmtId="44" fontId="5" fillId="7" borderId="0" xfId="1" applyFont="1" applyFill="1" applyBorder="1" applyAlignment="1">
      <alignment horizontal="left" vertical="center" indent="2"/>
    </xf>
    <xf numFmtId="1" fontId="5" fillId="7" borderId="0" xfId="0" quotePrefix="1" applyNumberFormat="1" applyFont="1" applyFill="1" applyAlignment="1">
      <alignment horizontal="center" vertical="center"/>
    </xf>
    <xf numFmtId="0" fontId="23" fillId="9" borderId="0" xfId="0" applyFont="1" applyFill="1" applyAlignment="1">
      <alignment horizontal="left" vertical="center" indent="2"/>
    </xf>
    <xf numFmtId="0" fontId="18" fillId="24" borderId="0" xfId="0" applyFont="1" applyFill="1" applyAlignment="1">
      <alignment horizontal="left" vertical="center" indent="2"/>
    </xf>
    <xf numFmtId="0" fontId="9" fillId="9" borderId="0" xfId="0" applyFont="1" applyFill="1" applyAlignment="1">
      <alignment horizontal="left" vertical="center" indent="2"/>
    </xf>
    <xf numFmtId="0" fontId="9" fillId="24" borderId="0" xfId="0" applyFont="1" applyFill="1" applyAlignment="1">
      <alignment horizontal="left" vertical="center" indent="2"/>
    </xf>
    <xf numFmtId="0" fontId="25" fillId="25" borderId="0" xfId="0" applyFont="1" applyFill="1" applyAlignment="1">
      <alignment horizontal="left" vertical="center" indent="2"/>
    </xf>
    <xf numFmtId="0" fontId="12" fillId="9" borderId="0" xfId="0" applyFont="1" applyFill="1" applyAlignment="1">
      <alignment horizontal="left" vertical="center" indent="2"/>
    </xf>
    <xf numFmtId="0" fontId="30" fillId="24" borderId="0" xfId="0" applyFont="1" applyFill="1" applyAlignment="1">
      <alignment horizontal="left" vertical="center" indent="2"/>
    </xf>
    <xf numFmtId="0" fontId="5" fillId="24" borderId="0" xfId="0" applyFont="1" applyFill="1" applyAlignment="1">
      <alignment horizontal="left" vertical="center" indent="2"/>
    </xf>
    <xf numFmtId="0" fontId="22" fillId="25" borderId="0" xfId="0" applyFont="1" applyFill="1" applyAlignment="1" applyProtection="1">
      <alignment horizontal="center"/>
      <protection locked="0"/>
    </xf>
    <xf numFmtId="0" fontId="22" fillId="24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44" fontId="5" fillId="6" borderId="0" xfId="0" applyNumberFormat="1" applyFont="1" applyFill="1" applyAlignment="1">
      <alignment horizontal="left" vertical="center" indent="2"/>
    </xf>
    <xf numFmtId="44" fontId="31" fillId="0" borderId="0" xfId="1" applyFont="1" applyAlignment="1">
      <alignment horizontal="right" vertical="center" indent="1"/>
    </xf>
  </cellXfs>
  <cellStyles count="3">
    <cellStyle name="Currency" xfId="1" builtinId="4"/>
    <cellStyle name="Normal" xfId="0" builtinId="0"/>
    <cellStyle name="Percent" xfId="2" builtinId="5"/>
  </cellStyles>
  <dxfs count="263"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F08080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B0E0E6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98FB9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>
          <fgColor indexed="64"/>
          <bgColor theme="0" tint="-0.249977111117893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F0E68C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F0E68C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98FB9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theme="8" tint="0.3999755851924192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98FB9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theme="9" tint="0.74999237037263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theme="9" tint="0.74999237037263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FFE4E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EAA7CA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B6FCB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numFmt numFmtId="1" formatCode="0"/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numFmt numFmtId="1" formatCode="0"/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numFmt numFmtId="1" formatCode="0"/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numFmt numFmtId="1" formatCode="0"/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rgb="FF035103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2F2F2"/>
        <name val="Atkinson Hyperlegible"/>
        <scheme val="none"/>
      </font>
      <fill>
        <patternFill patternType="solid">
          <fgColor indexed="64"/>
          <bgColor rgb="FF00913E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7520F"/>
        <name val="Atkinson Hyperlegible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A0CEB2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" formatCode="0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1" formatCode="0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" formatCode="0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1" formatCode="0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" formatCode="0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1" formatCode="0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" formatCode="0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1" formatCode="0"/>
      <fill>
        <patternFill patternType="solid">
          <fgColor indexed="64"/>
          <bgColor rgb="FF00ABD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5C5A"/>
        <name val="Verdana"/>
        <family val="2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rgb="FF005C5A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9" formatCode="m/d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tkinson Hyperlegible"/>
        <scheme val="none"/>
      </font>
      <fill>
        <patternFill patternType="solid">
          <fgColor indexed="64"/>
          <bgColor rgb="FF00ABD7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3" defaultTableStyle="TableStyleMedium2" defaultPivotStyle="PivotStyleLight16">
    <tableStyle name="Business Table" pivot="0" count="3" xr9:uid="{00000000-0011-0000-FFFF-FFFF00000000}">
      <tableStyleElement type="wholeTable" dxfId="262"/>
      <tableStyleElement type="headerRow" dxfId="261"/>
      <tableStyleElement type="secondRowStripe" dxfId="260"/>
    </tableStyle>
    <tableStyle name="PivotTable Style 1" table="0" count="0" xr9:uid="{827F062D-5781-4167-A023-DF752A1F12FF}"/>
    <tableStyle name="TableStyleDark9 2" pivot="0" count="7" xr9:uid="{DF16DB29-08EA-4889-A384-C667C818FC56}">
      <tableStyleElement type="wholeTable" dxfId="259"/>
      <tableStyleElement type="headerRow" dxfId="258"/>
      <tableStyleElement type="totalRow" dxfId="257"/>
      <tableStyleElement type="firstColumn" dxfId="256"/>
      <tableStyleElement type="lastColumn" dxfId="255"/>
      <tableStyleElement type="firstRowStripe" dxfId="254"/>
      <tableStyleElement type="firstColumnStripe" dxfId="253"/>
    </tableStyle>
  </tableStyles>
  <colors>
    <mruColors>
      <color rgb="FFA0CEB2"/>
      <color rgb="FFF5DEB3"/>
      <color rgb="FFF08080"/>
      <color rgb="FFEAA7CA"/>
      <color rgb="FFF0E68C"/>
      <color rgb="FF00ABD7"/>
      <color rgb="FFFFE4E1"/>
      <color rgb="FF00B0F0"/>
      <color rgb="FFB0E0E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ne\Dropbox\Marketing\Workbook%20Start%20Page%20Template%20(NO%20FFF).xlsm" TargetMode="External"/><Relationship Id="rId1" Type="http://schemas.openxmlformats.org/officeDocument/2006/relationships/externalLinkPath" Target="https://d.docs.live.net/Users/shane/Dropbox/Marketing/Workbook%20Start%20Page%20Template%20(NO%20FFF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ne\Dropbox\Marketing\Workbook%20Start%20Page%20Template%20(NO%20FFF).xlsm" TargetMode="External"/><Relationship Id="rId1" Type="http://schemas.openxmlformats.org/officeDocument/2006/relationships/externalLinkPath" Target="/Users/shane/Dropbox/Marketing/Workbook%20Start%20Page%20Template%20(NO%20FFF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347281db9cfc48e/Desktop/Linked%20Folder/Money_Tracker.xlsm" TargetMode="External"/><Relationship Id="rId1" Type="http://schemas.openxmlformats.org/officeDocument/2006/relationships/externalLinkPath" Target="https://d.docs.live.net/C347281DB9CFC48E/Desktop/Linked%20Folder/Money_Tracker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c1b522dd5954744/Documents/Book825-Martha.xlsm" TargetMode="External"/><Relationship Id="rId1" Type="http://schemas.openxmlformats.org/officeDocument/2006/relationships/externalLinkPath" Target="https://d.docs.live.net/ec1b522dd5954744/Documents/Book825-Marth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Admin &amp; Settings"/>
      <sheetName val="Video Summarizer"/>
      <sheetName val="Video List"/>
      <sheetName val="Chat Histor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Admin &amp; Settings"/>
      <sheetName val="Video Summarizer"/>
      <sheetName val="Video List"/>
      <sheetName val="Chat History"/>
    </sheetNames>
    <sheetDataSet>
      <sheetData sheetId="0"/>
      <sheetData sheetId="1">
        <row r="10">
          <cell r="C10" t="str">
            <v>Categories</v>
          </cell>
        </row>
        <row r="11">
          <cell r="C11" t="str">
            <v>Excel</v>
          </cell>
        </row>
        <row r="12">
          <cell r="C12" t="str">
            <v>Marketing</v>
          </cell>
        </row>
        <row r="13">
          <cell r="C13" t="str">
            <v>Cooking</v>
          </cell>
        </row>
        <row r="14">
          <cell r="C14" t="str">
            <v>Python Learning</v>
          </cell>
        </row>
        <row r="15">
          <cell r="C15" t="str">
            <v>Investing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nses"/>
    </sheetNames>
    <sheetDataSet>
      <sheetData sheetId="0">
        <row r="2">
          <cell r="K2" t="str">
            <v>C:\Users\marth\OneDrive\Desktop\Linked Folder\IMG\*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K1"/>
      <sheetName val="BALANCE"/>
      <sheetName val="SUPPLIES"/>
      <sheetName val="IDLE VENDORS"/>
      <sheetName val="TRK2"/>
      <sheetName val="TRK3"/>
      <sheetName val="DH"/>
      <sheetName val="EM"/>
      <sheetName val="FR"/>
      <sheetName val="TE"/>
      <sheetName val="GE"/>
      <sheetName val="GS"/>
      <sheetName val="JM"/>
      <sheetName val="BT"/>
      <sheetName val="CTRL"/>
      <sheetName val="--STKR"/>
    </sheetNames>
    <sheetDataSet>
      <sheetData sheetId="0"/>
      <sheetData sheetId="1">
        <row r="1">
          <cell r="A1">
            <v>825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B4" t="str">
            <v>O</v>
          </cell>
        </row>
        <row r="5">
          <cell r="AB5" t="str">
            <v>P</v>
          </cell>
        </row>
        <row r="6">
          <cell r="AB6" t="str">
            <v>R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E3F1CF-FE51-4B4E-B414-3FE41BD58409}" name="Inventory_List_Table3" displayName="Inventory_List_Table3" ref="B1:M116" totalsRowShown="0" headerRowDxfId="252" dataDxfId="250" headerRowBorderDxfId="251">
  <autoFilter ref="B1:M11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70FB3A1-5C26-4109-A451-0310A590ED0C}" name="Date" dataDxfId="249" totalsRowDxfId="248">
      <calculatedColumnFormula>IFERROR((Inventory_List_Table3[[#This Row],[H CM]]&lt;=Inventory_List_Table3[[#This Row],[D CM ]])*(#REF!="")*valHighlight,0)</calculatedColumnFormula>
    </tableColumn>
    <tableColumn id="2" xr3:uid="{65C6C323-2210-4C19-A187-D9F1B9F749CA}" name="Description                                                 Color - Object Type" dataDxfId="247" totalsRowDxfId="246"/>
    <tableColumn id="3" xr3:uid="{4F82CCF6-89FA-4D78-8C92-59ABAA37CEFE}" name="TAG-ID" dataDxfId="245" totalsRowDxfId="244"/>
    <tableColumn id="4" xr3:uid="{D163564D-789F-4767-96BE-89C196923E8A}" name="Q" dataDxfId="243" totalsRowDxfId="242"/>
    <tableColumn id="5" xr3:uid="{F19A9A4A-BCCA-42A2-A746-8025BC83243A}" name="KG" dataDxfId="241" totalsRowDxfId="240"/>
    <tableColumn id="6" xr3:uid="{5076EFD3-5DDB-42BB-8367-4FB3C1218C11}" name="H CM" dataDxfId="239" totalsRowDxfId="238"/>
    <tableColumn id="7" xr3:uid="{91EDA902-E712-41C5-B724-174512D07B8D}" name="W CM" dataDxfId="237" totalsRowDxfId="236"/>
    <tableColumn id="8" xr3:uid="{86557C07-4DE2-46F4-81B5-F83C919FB023}" name="D CM " dataDxfId="235" totalsRowDxfId="234"/>
    <tableColumn id="9" xr3:uid="{52281953-D590-4310-8E8E-0B2B7F2A9E0E}" name="Per piece MXN$" dataDxfId="233" totalsRowDxfId="232">
      <calculatedColumnFormula>500*#REF!</calculatedColumnFormula>
    </tableColumn>
    <tableColumn id="23" xr3:uid="{B2BDF5D6-4023-4981-BEC3-803EBD34D530}" name="TOTAL PESOS" dataDxfId="231" totalsRowDxfId="230">
      <calculatedColumnFormula>Inventory_List_Table3[[#This Row],[Q]]*Inventory_List_Table3[[#This Row],[Per piece MXN$]]</calculatedColumnFormula>
    </tableColumn>
    <tableColumn id="18" xr3:uid="{1589BCFC-AA9D-4C24-99D8-DAE0FD3967F2}" name="AQC" dataDxfId="229" totalsRowDxfId="228"/>
    <tableColumn id="19" xr3:uid="{25683618-9443-4BBE-A9F8-71721F03A9D7}" name="LC" dataDxfId="227" totalsRowDxfId="2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82E7793-45E6-4310-82AB-65B3AD4DF50E}" name="Inventory_List_Table341115" displayName="Inventory_List_Table341115" ref="B1:M30" totalsRowShown="0" headerRowDxfId="225" dataDxfId="223" headerRowBorderDxfId="224">
  <autoFilter ref="B1:M3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8B4AF99-746D-4254-B4F0-97AE0397E6B7}" name="Date" dataDxfId="222">
      <calculatedColumnFormula>IFERROR((Inventory_List_Table341115[[#This Row],[H CM]]&lt;=Inventory_List_Table341115[[#This Row],[D CM ]])*(#REF!="")*valHighlight,0)</calculatedColumnFormula>
    </tableColumn>
    <tableColumn id="2" xr3:uid="{72C82CA6-0A5A-4CA8-83C9-6760441CBDB2}" name="Description                                                 Color - Object Type" dataDxfId="221"/>
    <tableColumn id="3" xr3:uid="{CBD5BAF9-B24B-44B5-8710-82BCE86CB53A}" name="TAG-ID" dataDxfId="220"/>
    <tableColumn id="4" xr3:uid="{CEB21101-CA36-453C-A0D3-06FEB306E3E6}" name="Q" dataDxfId="219"/>
    <tableColumn id="5" xr3:uid="{31A3CE1A-5C30-4ECC-AB85-9627666C6F9D}" name="KG" dataDxfId="218"/>
    <tableColumn id="6" xr3:uid="{51DBF355-E544-414B-A0E9-3123B9CADD83}" name="H CM" dataDxfId="217"/>
    <tableColumn id="7" xr3:uid="{9D352F8D-818E-4E7D-9484-34160A341709}" name="W CM" dataDxfId="216"/>
    <tableColumn id="8" xr3:uid="{1D864356-B6ED-40D2-A4CF-1A23AABEBA25}" name="D CM " dataDxfId="215"/>
    <tableColumn id="9" xr3:uid="{594860B2-F6AF-44F3-A57F-B85C84277E6B}" name="Per piece MXN$" dataDxfId="214"/>
    <tableColumn id="23" xr3:uid="{FD63B275-FBBF-4F68-B4B0-AFC5497CDE5B}" name="TOTAL PESOS" dataDxfId="213">
      <calculatedColumnFormula>Inventory_List_Table341115[[#This Row],[Q]]*Inventory_List_Table341115[[#This Row],[Per piece MXN$]]</calculatedColumnFormula>
    </tableColumn>
    <tableColumn id="18" xr3:uid="{94A5F5C2-98CF-4870-9150-BF15106CFDE5}" name="AQC" dataDxfId="212"/>
    <tableColumn id="19" xr3:uid="{65251BD0-D05F-4A83-AE6A-BC4BBE4FC7C4}" name="LC" dataDxfId="2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A9020B-899F-46CD-A131-13100C5A2B0C}" name="Inventory_List_Table346" displayName="Inventory_List_Table346" ref="B1:K39" totalsRowShown="0" headerRowDxfId="210" dataDxfId="208" headerRowBorderDxfId="209">
  <autoFilter ref="B1:K3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DE2FC0-4745-4052-A47D-EA1E402C09B2}" name="Date" dataDxfId="207">
      <calculatedColumnFormula>IFERROR((Inventory_List_Table346[[#This Row],[H CM]]&lt;=Inventory_List_Table346[[#This Row],[D CM ]])*(#REF!="")*valHighlight,0)</calculatedColumnFormula>
    </tableColumn>
    <tableColumn id="2" xr3:uid="{B025FEDD-8D10-41CF-8007-A68C7CF154A5}" name="Description                                                 Color - Object Type" dataDxfId="206" totalsRowDxfId="205"/>
    <tableColumn id="3" xr3:uid="{300C6B8F-1101-4D4A-BA57-4D6BEA7EA958}" name="TAG-ID" dataDxfId="204"/>
    <tableColumn id="4" xr3:uid="{54E09D4A-C9ED-4580-9F06-518F829BD604}" name="Q" dataDxfId="203" totalsRowDxfId="202"/>
    <tableColumn id="5" xr3:uid="{3CA133BE-B92A-488A-9E7D-FDE19963315E}" name="KG" dataDxfId="201" totalsRowDxfId="200"/>
    <tableColumn id="6" xr3:uid="{ABE09392-5C6C-4F14-8E46-0D195EBFE150}" name="H CM" dataDxfId="199" totalsRowDxfId="198"/>
    <tableColumn id="7" xr3:uid="{B56DCC2E-9637-4133-838D-8BFA4966890D}" name="W CM" dataDxfId="197" totalsRowDxfId="196"/>
    <tableColumn id="8" xr3:uid="{A70257C0-6877-421E-827E-59AC1A7625C0}" name="D CM " dataDxfId="195" totalsRowDxfId="194"/>
    <tableColumn id="9" xr3:uid="{A30A5395-AAB7-438A-866D-5A65D0042753}" name="Per piece MXN$" dataDxfId="193" totalsRowDxfId="192">
      <calculatedColumnFormula>500*#REF!</calculatedColumnFormula>
    </tableColumn>
    <tableColumn id="23" xr3:uid="{B521DE4D-90F1-462E-8FD0-7005D3DBE4EA}" name="TOTAL PESOS" dataDxfId="191" totalsRowDxfId="190">
      <calculatedColumnFormula>Inventory_List_Table346[[#This Row],[Q]]*Inventory_List_Table346[[#This Row],[Per piece MXN$]]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6B51C2-8A81-49AA-9CA9-3A898BA99320}" name="Inventory_List_Table345" displayName="Inventory_List_Table345" ref="B1:K45" totalsRowShown="0" headerRowDxfId="189" dataDxfId="187" headerRowBorderDxfId="188">
  <autoFilter ref="B1:K4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DC0D776-CBDB-4DB7-9727-51390C69806D}" name="Date" dataDxfId="186">
      <calculatedColumnFormula>IFERROR((Inventory_List_Table345[[#This Row],[H CM]]&lt;=Inventory_List_Table345[[#This Row],[D CM ]])*(#REF!="")*valHighlight,0)</calculatedColumnFormula>
    </tableColumn>
    <tableColumn id="2" xr3:uid="{08631695-41C2-40DA-8975-ECDB72ABB215}" name="Description                                                 Color - Object Type" dataDxfId="185"/>
    <tableColumn id="3" xr3:uid="{5EAFFDFA-EE66-44B4-9AB6-BF28973C8476}" name="TAG-ID" dataDxfId="184"/>
    <tableColumn id="4" xr3:uid="{FCCE17B2-0261-4EEF-8D1C-845F49030523}" name="Q" dataDxfId="183"/>
    <tableColumn id="5" xr3:uid="{6B09FC25-913E-450F-A71D-A9B978ACA9AD}" name="KG" dataDxfId="182"/>
    <tableColumn id="6" xr3:uid="{A31A558E-FAAD-4060-92CA-58ABD251F162}" name="H CM" dataDxfId="181"/>
    <tableColumn id="7" xr3:uid="{18DA77F6-2593-41F9-BF59-1BE8F6E0FA06}" name="W CM" dataDxfId="180"/>
    <tableColumn id="8" xr3:uid="{37F5A32A-5D15-4200-8938-0CE97AF5B120}" name="D CM " dataDxfId="179"/>
    <tableColumn id="9" xr3:uid="{AA606653-27EB-4D2F-BB60-632DC6782D86}" name="Per piece MXN$" dataDxfId="178">
      <calculatedColumnFormula>Inventory_List_Table345[[#This Row],[KG]]*12.5</calculatedColumnFormula>
    </tableColumn>
    <tableColumn id="23" xr3:uid="{4CFC7429-F10B-4799-BEB1-C1C662BBD39C}" name="TOTAL PESOS" dataDxfId="177">
      <calculatedColumnFormula>Inventory_List_Table345[[#This Row],[Q]]*Inventory_List_Table345[[#This Row],[Per piece MXN$]]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1F8437-7D38-4F1A-A221-371BC52B3937}" name="Inventory_List_Table341116" displayName="Inventory_List_Table341116" ref="B1:M56" totalsRowShown="0" headerRowDxfId="176" dataDxfId="174" headerRowBorderDxfId="175">
  <autoFilter ref="B1:M5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B1BFC22-5389-401C-BAD6-4630C3566AD0}" name="Date" dataDxfId="173" totalsRowDxfId="172">
      <calculatedColumnFormula>IFERROR((Inventory_List_Table341116[[#This Row],[H CM]]&lt;=Inventory_List_Table341116[[#This Row],[D CM ]])*(#REF!="")*valHighlight,0)</calculatedColumnFormula>
    </tableColumn>
    <tableColumn id="2" xr3:uid="{BCEB44B6-4820-4D4F-844F-09B4EF843E21}" name="Description                                                 Color - Object Type" dataDxfId="171" totalsRowDxfId="170"/>
    <tableColumn id="3" xr3:uid="{527DCA27-1C70-481E-8500-2F7315BAF8AD}" name="TAG-ID" dataDxfId="169" totalsRowDxfId="168"/>
    <tableColumn id="4" xr3:uid="{BE5FC204-534D-4F75-947A-CDD1F80C6D91}" name="Q" dataDxfId="167" totalsRowDxfId="166"/>
    <tableColumn id="5" xr3:uid="{8B46BF66-AB94-4295-9943-DDBB0B7190C6}" name="KG" dataDxfId="165" totalsRowDxfId="164"/>
    <tableColumn id="6" xr3:uid="{8B2A7CA9-ADB0-4837-BFCD-CE036D6B3006}" name="H CM" dataDxfId="163" totalsRowDxfId="162"/>
    <tableColumn id="7" xr3:uid="{63E9A030-F288-4C24-91CB-BB4390B504E0}" name="W CM" dataDxfId="161" totalsRowDxfId="160"/>
    <tableColumn id="8" xr3:uid="{91EBBC1B-A65C-429F-BC48-623683686462}" name="D CM " dataDxfId="159" totalsRowDxfId="158"/>
    <tableColumn id="9" xr3:uid="{EAF366D8-ED36-43BB-9D36-04AFB109D260}" name="Per piece MXN$" dataDxfId="157" totalsRowDxfId="156" dataCellStyle="Currency">
      <calculatedColumnFormula>500*#REF!</calculatedColumnFormula>
    </tableColumn>
    <tableColumn id="23" xr3:uid="{E259DD53-7636-4000-8E0A-54FAD657351D}" name="TOTAL PESOS" dataDxfId="155" totalsRowDxfId="154">
      <calculatedColumnFormula>Inventory_List_Table341116[[#This Row],[Q]]*Inventory_List_Table341116[[#This Row],[Per piece MXN$]]</calculatedColumnFormula>
    </tableColumn>
    <tableColumn id="18" xr3:uid="{5654CCEF-AC91-49B4-97E1-AFCAE6569F05}" name="AQC" dataDxfId="153" totalsRowDxfId="152"/>
    <tableColumn id="19" xr3:uid="{4E473843-AC75-41B1-BF0B-F899CEBA9D84}" name="LC" dataDxfId="151" totalsRowDxfId="15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EED9C5-103B-47C1-8921-245DCCFA1C73}" name="Inventory_List_Table34112" displayName="Inventory_List_Table34112" ref="B1:M40" totalsRowShown="0" headerRowDxfId="149" dataDxfId="147" headerRowBorderDxfId="148">
  <autoFilter ref="B1:M4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F608114-68F3-47DC-A37D-57D438EB1378}" name="Date" dataDxfId="146" totalsRowDxfId="145">
      <calculatedColumnFormula>IFERROR((Inventory_List_Table34112[[#This Row],[H CM]]&lt;=Inventory_List_Table34112[[#This Row],[D CM ]])*(#REF!="")*valHighlight,0)</calculatedColumnFormula>
    </tableColumn>
    <tableColumn id="2" xr3:uid="{02A5481B-BD1A-4483-A5F3-06DB348BA0FB}" name="Description                                                 Color - Object Type" dataDxfId="144" totalsRowDxfId="143"/>
    <tableColumn id="3" xr3:uid="{A60497C5-BF3F-4D0E-A938-11192901AFFB}" name="TAG-ID" dataDxfId="142" totalsRowDxfId="141"/>
    <tableColumn id="4" xr3:uid="{C7561856-A4C1-464C-9D7A-F867023FC686}" name="Q" dataDxfId="140" totalsRowDxfId="139"/>
    <tableColumn id="5" xr3:uid="{9ABB01C4-464E-4FB0-AA8E-A261D6B9D42E}" name="KG" dataDxfId="138" totalsRowDxfId="137"/>
    <tableColumn id="6" xr3:uid="{E682675C-E5D2-44FD-926A-85DA4A6F20C1}" name="H CM" dataDxfId="136" totalsRowDxfId="135"/>
    <tableColumn id="7" xr3:uid="{B85936E2-BD2C-42CA-B8C2-BEA6BCCB35C4}" name="W CM" dataDxfId="134" totalsRowDxfId="133"/>
    <tableColumn id="8" xr3:uid="{BF3FB43B-B081-44E1-817F-3ADB21C88D12}" name="D CM " dataDxfId="132" totalsRowDxfId="131"/>
    <tableColumn id="9" xr3:uid="{E27BE7AB-B362-4F95-A2CD-9E52E257536A}" name="Per piece MXN$" dataDxfId="130" totalsRowDxfId="129">
      <calculatedColumnFormula>500*#REF!</calculatedColumnFormula>
    </tableColumn>
    <tableColumn id="23" xr3:uid="{29A43EB0-10BB-4392-B18A-0A93A6EDDC12}" name="TOTAL PESOS" dataDxfId="128" totalsRowDxfId="127">
      <calculatedColumnFormula>Inventory_List_Table34112[[#This Row],[Q]]*Inventory_List_Table34112[[#This Row],[Per piece MXN$]]</calculatedColumnFormula>
    </tableColumn>
    <tableColumn id="18" xr3:uid="{20565E3C-DD7B-429E-9530-C2C5B5DA4639}" name="AQC" dataDxfId="126" totalsRowDxfId="125"/>
    <tableColumn id="19" xr3:uid="{0CF6E9B0-A949-426E-9588-CE8727039AE9}" name="LC" dataDxfId="124" totalsRowDxfId="12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927042-7D5A-4CF5-A015-B831529FA8FA}" name="Inventory_List_Table341112" displayName="Inventory_List_Table341112" ref="B1:M20" totalsRowShown="0" headerRowDxfId="122" dataDxfId="120" headerRowBorderDxfId="121">
  <autoFilter ref="B1:M2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C8B84F2-3113-429C-870A-0F974C82E983}" name="Date" dataDxfId="119">
      <calculatedColumnFormula>IFERROR((Inventory_List_Table341112[[#This Row],[H CM]]&lt;=Inventory_List_Table341112[[#This Row],[D CM ]])*(#REF!="")*valHighlight,0)</calculatedColumnFormula>
    </tableColumn>
    <tableColumn id="2" xr3:uid="{505A5D23-7BA4-429C-A234-01F5649F7232}" name="Description                                                 Color - Object Type" dataDxfId="118"/>
    <tableColumn id="3" xr3:uid="{E0847358-C032-40D6-B498-682BD43807EB}" name="TAG-ID" dataDxfId="117"/>
    <tableColumn id="4" xr3:uid="{1449E576-3D09-432E-B9F1-96289534D22C}" name="Q" dataDxfId="116"/>
    <tableColumn id="5" xr3:uid="{C34EEDCD-A16A-40C0-B3A5-56012A4BFB8E}" name="KG" dataDxfId="115"/>
    <tableColumn id="6" xr3:uid="{F850D847-5E65-49ED-BA4E-F9BA6FE86E4E}" name="H CM" dataDxfId="114"/>
    <tableColumn id="7" xr3:uid="{27B219E6-6220-43A1-ACEC-39C0C9B4EFAE}" name="W CM" dataDxfId="113"/>
    <tableColumn id="8" xr3:uid="{11B8A9D9-3A3E-475F-B34C-0E7F3408BA41}" name="D CM " dataDxfId="112"/>
    <tableColumn id="9" xr3:uid="{AD47CC3F-B245-43BE-A352-B8411958B375}" name="Per piece MXN$" dataDxfId="111">
      <calculatedColumnFormula>Inventory_List_Table341112[[#This Row],[KG]]*12</calculatedColumnFormula>
    </tableColumn>
    <tableColumn id="23" xr3:uid="{4C686C21-221D-4BB2-B260-A3EFA58752E5}" name="TOTAL PESOS" dataDxfId="110">
      <calculatedColumnFormula>Inventory_List_Table341112[[#This Row],[Q]]*Inventory_List_Table341112[[#This Row],[Per piece MXN$]]</calculatedColumnFormula>
    </tableColumn>
    <tableColumn id="18" xr3:uid="{01225624-0004-46E8-AC76-1FF2584D029A}" name="AQC" dataDxfId="109"/>
    <tableColumn id="19" xr3:uid="{BC9FC797-B9A3-4545-8E6C-335E416C74E4}" name="LC" dataDxfId="10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BC20517-2772-48D5-B915-CF0166A81A3E}" name="Inventory_List_Table34112022" displayName="Inventory_List_Table34112022" ref="B1:M53" totalsRowShown="0" headerRowDxfId="107" dataDxfId="105" headerRowBorderDxfId="106">
  <autoFilter ref="B1:M5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4C3FA5B-0496-42BD-8620-4178C8A4C85C}" name="Date" dataDxfId="104">
      <calculatedColumnFormula>IFERROR((Inventory_List_Table34112022[[#This Row],[H CM]]&lt;=Inventory_List_Table34112022[[#This Row],[D CM ]])*(#REF!="")*valHighlight,0)</calculatedColumnFormula>
    </tableColumn>
    <tableColumn id="2" xr3:uid="{140B71B7-E864-499D-B0A4-8D09141066BC}" name="Description                                                 Color - Object Type" dataDxfId="103"/>
    <tableColumn id="3" xr3:uid="{765D2302-86B3-47DF-B52F-542C61E637CA}" name="TAG-ID" dataDxfId="102"/>
    <tableColumn id="4" xr3:uid="{91E2FEB9-06CB-44F2-AE43-1D2402F9F6F2}" name="Q" dataDxfId="101"/>
    <tableColumn id="5" xr3:uid="{B36599C6-146A-4629-830E-0A90C25492C6}" name="KG" dataDxfId="100"/>
    <tableColumn id="6" xr3:uid="{780D08D6-2ED6-4640-9EDE-4D5C3CAC3A42}" name="H CM" dataDxfId="99"/>
    <tableColumn id="7" xr3:uid="{CF7068A3-AA7D-40A8-A2C3-2B0B1F4DD717}" name="W CM" dataDxfId="98"/>
    <tableColumn id="8" xr3:uid="{71F64CF4-E95A-4BE1-8452-0B89D0F92149}" name="D CM " dataDxfId="97"/>
    <tableColumn id="9" xr3:uid="{E1532DBE-CC84-4CE6-8A13-F1659C9A5EE0}" name="Per piece MXN$" dataDxfId="96">
      <calculatedColumnFormula>500*#REF!</calculatedColumnFormula>
    </tableColumn>
    <tableColumn id="23" xr3:uid="{D6270197-8FC1-4912-BAA8-EAAA02281767}" name="TOTAL PESOS" dataDxfId="95">
      <calculatedColumnFormula>Inventory_List_Table34112022[[#This Row],[Q]]*Inventory_List_Table34112022[[#This Row],[Per piece MXN$]]</calculatedColumnFormula>
    </tableColumn>
    <tableColumn id="18" xr3:uid="{5C5E7C74-CDBB-4175-B8A1-A4B039960EB2}" name="AQC" dataDxfId="94"/>
    <tableColumn id="19" xr3:uid="{43CE5C87-8506-4AF2-B8FA-08DCBADEE318}" name="LC" dataDxfId="9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17A317A-6E67-4EBA-A35A-3C509909A787}" name="Inventory_List_Table341120" displayName="Inventory_List_Table341120" ref="B1:Q13" totalsRowShown="0" headerRowDxfId="92" dataDxfId="90" headerRowBorderDxfId="91">
  <autoFilter ref="B1:Q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6BC7BAF9-4169-4722-A308-E68D337A194D}" name="Date" dataDxfId="89">
      <calculatedColumnFormula>IFERROR((Inventory_List_Table341120[[#This Row],[H CM]]&lt;=Inventory_List_Table341120[[#This Row],[D CM ]])*(Inventory_List_Table341120[[#This Row],[W Inches]]="")*valHighlight,0)</calculatedColumnFormula>
    </tableColumn>
    <tableColumn id="2" xr3:uid="{7B89AEE9-DD7F-471A-8A7E-54881D399D03}" name="Description                                                 Color - Object Type" dataDxfId="88"/>
    <tableColumn id="3" xr3:uid="{259B9159-6E4A-46AE-A588-02EA87F7793E}" name="TAG-ID" dataDxfId="87"/>
    <tableColumn id="4" xr3:uid="{D150D38F-1BDA-4B46-A178-64B11A58C5F2}" name="Q" dataDxfId="86"/>
    <tableColumn id="5" xr3:uid="{80AA45A8-C0CA-4668-A1F2-AF24EE694293}" name="KG" dataDxfId="85"/>
    <tableColumn id="6" xr3:uid="{C5153934-8DD7-446A-9BF6-62DE80CA7397}" name="H CM" dataDxfId="84"/>
    <tableColumn id="7" xr3:uid="{7E9FE1E8-1DC3-429F-9EE1-84A313552DF8}" name="W CM" dataDxfId="83"/>
    <tableColumn id="8" xr3:uid="{E916EB1E-6879-46FF-99AD-66A10300225E}" name="D CM " dataDxfId="82"/>
    <tableColumn id="9" xr3:uid="{877BCCFD-1F31-4831-B158-475CDBAE5AF9}" name="Per piece MXN$" dataDxfId="81">
      <calculatedColumnFormula>500*#REF!</calculatedColumnFormula>
    </tableColumn>
    <tableColumn id="23" xr3:uid="{96AE7FA6-DA15-4384-9814-DF4E5ED0E98A}" name="TOTAL PESOS" dataDxfId="80">
      <calculatedColumnFormula>Inventory_List_Table341120[[#This Row],[Q]]*Inventory_List_Table341120[[#This Row],[Per piece MXN$]]</calculatedColumnFormula>
    </tableColumn>
    <tableColumn id="13" xr3:uid="{84210B13-F16F-409A-91E0-44174C3A3B51}" name="POUNDS" dataDxfId="79">
      <calculatedColumnFormula>Inventory_List_Table341120[[#This Row],[KG]]*2.20462</calculatedColumnFormula>
    </tableColumn>
    <tableColumn id="10" xr3:uid="{D47B3D50-F080-4F95-B45C-62695483D42A}" name="H Inches" dataDxfId="78">
      <calculatedColumnFormula>Inventory_List_Table341120[[#This Row],[H CM]]/2.54</calculatedColumnFormula>
    </tableColumn>
    <tableColumn id="11" xr3:uid="{940464DD-6D4E-40D1-96C4-4EFBD155D472}" name="W Inches" dataDxfId="77">
      <calculatedColumnFormula>Inventory_List_Table341120[[#This Row],[W CM]]/2.54</calculatedColumnFormula>
    </tableColumn>
    <tableColumn id="12" xr3:uid="{A14CE3F5-8F0A-4705-8D3F-2082C8AF7D68}" name="D Incbes" dataDxfId="76">
      <calculatedColumnFormula>Inventory_List_Table341120[[#This Row],[D CM ]]/2.54</calculatedColumnFormula>
    </tableColumn>
    <tableColumn id="18" xr3:uid="{3ACDE253-FE3B-4F3F-B04A-BC4413E849E7}" name="AQC" dataDxfId="75"/>
    <tableColumn id="19" xr3:uid="{A244F532-C9A0-4094-85EF-9F329CD60BA5}" name="LC" dataDxfId="7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002B2B-E429-4F51-8ABF-9ACB85851D98}" name="Inventory_List_Table341114" displayName="Inventory_List_Table341114" ref="B1:M15" totalsRowShown="0" headerRowDxfId="73" dataDxfId="71" headerRowBorderDxfId="72">
  <autoFilter ref="B1:M1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5202DAA-741A-4D05-9B00-3263865D303B}" name="Date" dataDxfId="70">
      <calculatedColumnFormula>IFERROR((Inventory_List_Table341114[[#This Row],[H CM]]&lt;=Inventory_List_Table341114[[#This Row],[D CM ]])*(#REF!="")*valHighlight,0)</calculatedColumnFormula>
    </tableColumn>
    <tableColumn id="2" xr3:uid="{77C213C9-AECC-461E-A6DE-C5FD58CB4DA2}" name="Description                                                 Color - Object Type" dataDxfId="69"/>
    <tableColumn id="3" xr3:uid="{623749BC-3DCB-4174-BF28-781147BC295C}" name="TAG-ID" dataDxfId="68"/>
    <tableColumn id="4" xr3:uid="{30226309-21A8-469D-BCF3-556DF2F0CBFB}" name="Q" dataDxfId="67"/>
    <tableColumn id="5" xr3:uid="{4734F195-F3A0-4334-B477-C0FE9FBF1076}" name="KG" dataDxfId="66"/>
    <tableColumn id="6" xr3:uid="{76E289F4-387F-4540-8B19-5AE66AC302CD}" name="H CM" dataDxfId="65"/>
    <tableColumn id="7" xr3:uid="{AD8DE027-50C3-4728-AC79-9FAD739EF1DE}" name="W CM" dataDxfId="64"/>
    <tableColumn id="8" xr3:uid="{B6248F43-C53F-49F7-9F23-BF3F86F6739F}" name="D CM " dataDxfId="63"/>
    <tableColumn id="9" xr3:uid="{072FD86C-50E0-40A2-802D-862083EC4B03}" name="Per piece MXN$" dataDxfId="62">
      <calculatedColumnFormula>500*#REF!</calculatedColumnFormula>
    </tableColumn>
    <tableColumn id="23" xr3:uid="{830EEFD7-1C7E-40F8-A0C7-4990C6C2AC98}" name="TOTAL PESOS" dataDxfId="61">
      <calculatedColumnFormula>Inventory_List_Table341114[[#This Row],[Q]]*Inventory_List_Table341114[[#This Row],[Per piece MXN$]]</calculatedColumnFormula>
    </tableColumn>
    <tableColumn id="18" xr3:uid="{FDDEE640-87DE-4B4E-98E8-8F598C930B85}" name="AQC" dataDxfId="60"/>
    <tableColumn id="19" xr3:uid="{0ABFF6D9-76DA-4A13-A983-71F2E919F75E}" name="LC" dataDxfId="59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6B76659-CA70-460E-B482-1CD1910B3853}" name="Inventory_List_Table341121" displayName="Inventory_List_Table341121" ref="B1:M10" totalsRowShown="0" headerRowDxfId="58" dataDxfId="57">
  <autoFilter ref="B1:M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472C711F-D6D0-4E77-9841-CE17F3AC74C5}" name="Date" dataDxfId="56">
      <calculatedColumnFormula>IFERROR((Inventory_List_Table341121[[#This Row],[H CM]]&lt;=Inventory_List_Table341121[[#This Row],[D CM ]])*(#REF!="")*valHighlight,0)</calculatedColumnFormula>
    </tableColumn>
    <tableColumn id="2" xr3:uid="{1B064468-58EE-459A-882C-9F798F5E4703}" name="Description                                                 Color - Object Type" dataDxfId="55"/>
    <tableColumn id="3" xr3:uid="{1DC826FD-B54A-4326-BBA0-F3A54888CF9F}" name="TAG-ID" dataDxfId="54"/>
    <tableColumn id="4" xr3:uid="{CF26322F-4669-4514-A299-FE8E7BE2AD68}" name="Q" dataDxfId="53"/>
    <tableColumn id="5" xr3:uid="{B5977C46-F42F-4B93-AD20-59CE55208C3F}" name="KG" dataDxfId="52"/>
    <tableColumn id="6" xr3:uid="{D6BCBFDB-5AF6-4D00-BF08-9C56DD6B8F77}" name="H CM" dataDxfId="51"/>
    <tableColumn id="7" xr3:uid="{4159BD86-C9BD-4B5D-912D-5B860E2F9A69}" name="W CM" dataDxfId="50"/>
    <tableColumn id="8" xr3:uid="{1E509C0A-BF19-4638-9A5D-01DA6E0F0DD7}" name="D CM " dataDxfId="49"/>
    <tableColumn id="9" xr3:uid="{2C169031-8F14-4D53-BB8C-2310B215D30A}" name="Per piece MXN$" dataDxfId="48">
      <calculatedColumnFormula>500*#REF!</calculatedColumnFormula>
    </tableColumn>
    <tableColumn id="23" xr3:uid="{4B2AA55F-7AE5-450B-8BAB-EA39E54AA87D}" name="TOTAL PESOS" dataDxfId="47">
      <calculatedColumnFormula>Inventory_List_Table341121[[#This Row],[Q]]*Inventory_List_Table341121[[#This Row],[Per piece MXN$]]</calculatedColumnFormula>
    </tableColumn>
    <tableColumn id="18" xr3:uid="{6CED982B-F31F-4F03-9A17-313375C94537}" name="AQC" dataDxfId="46"/>
    <tableColumn id="19" xr3:uid="{89F276D0-EDE6-407F-83A2-2A93EE5810EF}" name="LC" dataDxfId="45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26115-4FC3-4239-95F4-A77893661350}" name="Inventory_List_Table34" displayName="Inventory_List_Table34" ref="B1:M30" totalsRowShown="0" headerRowDxfId="44" dataDxfId="42" headerRowBorderDxfId="43">
  <autoFilter ref="B1:M3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0EE8B21-A5F8-4884-8D9E-E77640F6D686}" name="Date" dataDxfId="41">
      <calculatedColumnFormula>IFERROR((Inventory_List_Table34[[#This Row],[H CM]]&lt;=Inventory_List_Table34[[#This Row],[D CM ]])*(#REF!="")*valHighlight,0)</calculatedColumnFormula>
    </tableColumn>
    <tableColumn id="2" xr3:uid="{CF8B65C9-6C8F-4EC2-85B7-53123FB0EC5B}" name="Description                                                 Color - Object Type" dataDxfId="40"/>
    <tableColumn id="3" xr3:uid="{74D0852F-0529-48BE-A005-AD29C9295A9B}" name="TAG-ID" dataDxfId="39"/>
    <tableColumn id="4" xr3:uid="{E578AD83-217C-4F4C-B360-5D5C8F33B0A4}" name="Q" dataDxfId="38"/>
    <tableColumn id="5" xr3:uid="{5176B49B-2292-4140-AE6A-0144D2A6714A}" name="KG" dataDxfId="37"/>
    <tableColumn id="6" xr3:uid="{746013AD-FD52-4137-BBF1-584B0163C110}" name="H CM" dataDxfId="36"/>
    <tableColumn id="7" xr3:uid="{C2226C5F-1AB7-4A51-95B0-2E8DCF1E14C0}" name="W CM" dataDxfId="35"/>
    <tableColumn id="8" xr3:uid="{C12B1C13-10C5-400A-8EA5-57EF57CBEA25}" name="D CM " dataDxfId="34"/>
    <tableColumn id="9" xr3:uid="{64C7CB33-C4A8-43AC-811A-A8E6C61AB5D8}" name="Per piece MXN$" dataDxfId="33">
      <calculatedColumnFormula>500*#REF!</calculatedColumnFormula>
    </tableColumn>
    <tableColumn id="23" xr3:uid="{5D579637-8A83-46E1-9B9E-9EF92BF11450}" name="TOTAL PESOS" dataDxfId="32">
      <calculatedColumnFormula>Inventory_List_Table34[[#This Row],[Q]]*Inventory_List_Table34[[#This Row],[Per piece MXN$]]</calculatedColumnFormula>
    </tableColumn>
    <tableColumn id="18" xr3:uid="{306B140D-087C-401B-8F17-178618A76AC9}" name="AQC" dataDxfId="31"/>
    <tableColumn id="19" xr3:uid="{FAD0C704-87CF-4AF6-A8DD-2E95CC942F38}" name="LC" dataDxfId="30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801A0DE-3EA7-43F8-94A1-F4173BBA0D1D}" name="Inventory_List_Table3411161819" displayName="Inventory_List_Table3411161819" ref="B1:M2" totalsRowShown="0" headerRowDxfId="29" dataDxfId="27" headerRowBorderDxfId="28">
  <autoFilter ref="B1:M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8925710-ABE1-4FD8-92FE-6F67C11D08AB}" name="Date" dataDxfId="26">
      <calculatedColumnFormula>IFERROR((Inventory_List_Table3411161819[[#This Row],[H CM]]&lt;=Inventory_List_Table3411161819[[#This Row],[D CM ]])*(#REF!="")*valHighlight,0)</calculatedColumnFormula>
    </tableColumn>
    <tableColumn id="2" xr3:uid="{79ACA93E-43C6-4EC9-9DF3-45898DEEBDEB}" name="Description                                                 Color - Object Type" dataDxfId="25"/>
    <tableColumn id="3" xr3:uid="{196AEAC1-4C16-4D31-AF00-3DF77BFEF03F}" name="TAG-ID" dataDxfId="24"/>
    <tableColumn id="4" xr3:uid="{4DAA319A-5376-4DC5-9939-5C85196C199C}" name="Q" dataDxfId="23"/>
    <tableColumn id="5" xr3:uid="{A4A2F413-591B-4088-AB4A-C4F9E9D88E1A}" name="KG" dataDxfId="22"/>
    <tableColumn id="6" xr3:uid="{C01987F3-45E6-4318-B4AE-9F99281E9AAF}" name="H CM" dataDxfId="21"/>
    <tableColumn id="7" xr3:uid="{E5B0F1A3-5A8F-46D8-8A87-66425232BF3D}" name="W CM" dataDxfId="20"/>
    <tableColumn id="8" xr3:uid="{9AF2FAA9-69FE-4D1A-9FF8-F3BBD3031A9A}" name="D CM " dataDxfId="19"/>
    <tableColumn id="9" xr3:uid="{C9C1C73E-4451-4CBC-8B57-4F0275EC209E}" name="Per piece MXN$" dataDxfId="18">
      <calculatedColumnFormula>500*#REF!</calculatedColumnFormula>
    </tableColumn>
    <tableColumn id="23" xr3:uid="{7C2A5E3F-7179-4630-ACBA-783F30EFBCB3}" name="TOTAL PESOS" dataDxfId="17">
      <calculatedColumnFormula>Inventory_List_Table3411161819[[#This Row],[Q]]*Inventory_List_Table3411161819[[#This Row],[Per piece MXN$]]</calculatedColumnFormula>
    </tableColumn>
    <tableColumn id="18" xr3:uid="{83D2A93F-B65D-476F-A976-251BBA238AE2}" name="AQC" dataDxfId="16"/>
    <tableColumn id="19" xr3:uid="{8C330B7A-C288-4ABB-8621-A2B3CFD29CC1}" name="LC" dataDxfId="15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CAEAA6B-6C54-4A5F-8EF4-E7A8ED7DC528}" name="Inventory_List_Table34111618" displayName="Inventory_List_Table34111618" ref="B1:M2" totalsRowShown="0" headerRowDxfId="14" dataDxfId="12" headerRowBorderDxfId="13">
  <autoFilter ref="B1:M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6431555-2F4D-4AF7-BCDA-34B9AA7F6065}" name="Date" dataDxfId="11">
      <calculatedColumnFormula>IFERROR((Inventory_List_Table34111618[[#This Row],[H CM]]&lt;=Inventory_List_Table34111618[[#This Row],[D CM ]])*(#REF!="")*valHighlight,0)</calculatedColumnFormula>
    </tableColumn>
    <tableColumn id="2" xr3:uid="{161DAE6D-4845-48B6-BF0C-B003EB5B339D}" name="Description                                                 Color - Object Type" dataDxfId="10"/>
    <tableColumn id="3" xr3:uid="{85B4A490-829F-46F6-B614-E40D2B9237F1}" name="TAG-ID" dataDxfId="9"/>
    <tableColumn id="4" xr3:uid="{B4C82EDD-E6D0-481E-9E32-BBE1DDC6488C}" name="Q" dataDxfId="8"/>
    <tableColumn id="5" xr3:uid="{06A4B37A-B3E6-4B4A-BD5B-2870C6C30052}" name="KG" dataDxfId="7"/>
    <tableColumn id="6" xr3:uid="{8EA96B04-E659-4023-85D0-3F2BF5E8840E}" name="H CM" dataDxfId="6"/>
    <tableColumn id="7" xr3:uid="{911EBE32-FA17-487A-8148-2B2F4C76C8A7}" name="W CM" dataDxfId="5"/>
    <tableColumn id="8" xr3:uid="{8001979B-3A52-4FFD-A829-0A1781125456}" name="D CM " dataDxfId="4"/>
    <tableColumn id="9" xr3:uid="{26CE778C-34FE-4B5B-ADC9-27EE93856E21}" name="Per piece MXN$" dataDxfId="3">
      <calculatedColumnFormula>500*#REF!</calculatedColumnFormula>
    </tableColumn>
    <tableColumn id="23" xr3:uid="{9A208441-BA13-4A65-9DAA-7F9A8377D2D2}" name="TOTAL PESOS" dataDxfId="2">
      <calculatedColumnFormula>Inventory_List_Table34111618[[#This Row],[Q]]*Inventory_List_Table34111618[[#This Row],[Per piece MXN$]]</calculatedColumnFormula>
    </tableColumn>
    <tableColumn id="18" xr3:uid="{E6DA1540-A73B-4C80-B9DD-92B44C6BD8C5}" name="AQC" dataDxfId="1"/>
    <tableColumn id="19" xr3:uid="{95B3F8FA-9D8A-46EA-B0DD-13C66563A3CA}" name="LC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E0B4169-EDA1-40DF-9737-90B08A329297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6tfWuQk8wNywxLO8lQCW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11A3746-B4E2-4971-9BB6-763C320A269D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15EB89ED-0A0B-4913-B8A2-66A86A514203}">
  <we:reference id="wa103992993" version="1.2.0.0" store="en-US" storeType="OMEX"/>
  <we:alternateReferences>
    <we:reference id="wa103992993" version="1.2.0.0" store="wa10399299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8501-DA53-447F-9E89-660FCE60A632}">
  <sheetPr codeName="Sheet2">
    <tabColor rgb="FF00ABD7"/>
    <pageSetUpPr fitToPage="1"/>
  </sheetPr>
  <dimension ref="A1:M116"/>
  <sheetViews>
    <sheetView showGridLines="0" tabSelected="1" topLeftCell="D1" zoomScale="70" zoomScaleNormal="70" workbookViewId="0">
      <selection activeCell="N1" sqref="N1:O1048576"/>
    </sheetView>
  </sheetViews>
  <sheetFormatPr defaultColWidth="8.625" defaultRowHeight="16.5" x14ac:dyDescent="0.25"/>
  <cols>
    <col min="1" max="1" width="8.5" style="43" customWidth="1"/>
    <col min="2" max="2" width="14.375" style="44" bestFit="1" customWidth="1"/>
    <col min="3" max="3" width="42.5" style="44" customWidth="1"/>
    <col min="4" max="4" width="23" style="45" bestFit="1" customWidth="1"/>
    <col min="5" max="5" width="7.5" style="46" bestFit="1" customWidth="1"/>
    <col min="6" max="6" width="5.5" style="47" bestFit="1" customWidth="1"/>
    <col min="7" max="8" width="8.375" style="48" bestFit="1" customWidth="1"/>
    <col min="9" max="9" width="7.75" style="48" bestFit="1" customWidth="1"/>
    <col min="10" max="10" width="17.75" style="49" bestFit="1" customWidth="1"/>
    <col min="11" max="11" width="27.125" style="49" bestFit="1" customWidth="1"/>
    <col min="12" max="12" width="7.875" style="27" bestFit="1" customWidth="1"/>
    <col min="13" max="13" width="8.125" style="27" bestFit="1" customWidth="1"/>
    <col min="14" max="16384" width="8.625" style="27"/>
  </cols>
  <sheetData>
    <row r="1" spans="1:13" s="35" customFormat="1" ht="33" x14ac:dyDescent="0.25">
      <c r="A1" s="28" t="s">
        <v>111</v>
      </c>
      <c r="B1" s="29" t="s">
        <v>102</v>
      </c>
      <c r="C1" s="30" t="s">
        <v>112</v>
      </c>
      <c r="D1" s="30" t="s">
        <v>113</v>
      </c>
      <c r="E1" s="31" t="s">
        <v>103</v>
      </c>
      <c r="F1" s="31" t="s">
        <v>104</v>
      </c>
      <c r="G1" s="32" t="s">
        <v>109</v>
      </c>
      <c r="H1" s="32" t="s">
        <v>105</v>
      </c>
      <c r="I1" s="32" t="s">
        <v>106</v>
      </c>
      <c r="J1" s="32" t="s">
        <v>114</v>
      </c>
      <c r="K1" s="29" t="s">
        <v>115</v>
      </c>
      <c r="L1" s="33" t="s">
        <v>110</v>
      </c>
      <c r="M1" s="34" t="s">
        <v>0</v>
      </c>
    </row>
    <row r="2" spans="1:13" ht="19.5" x14ac:dyDescent="0.35">
      <c r="A2" s="36" t="s">
        <v>120</v>
      </c>
      <c r="B2" s="37"/>
      <c r="C2" s="217" t="s">
        <v>1</v>
      </c>
      <c r="D2" s="38" t="s">
        <v>2</v>
      </c>
      <c r="E2" s="39">
        <v>1</v>
      </c>
      <c r="F2" s="40">
        <v>228</v>
      </c>
      <c r="G2" s="41">
        <v>129</v>
      </c>
      <c r="H2" s="41">
        <v>42</v>
      </c>
      <c r="I2" s="41">
        <v>21</v>
      </c>
      <c r="J2" s="222">
        <v>2850</v>
      </c>
      <c r="K2" s="3">
        <f>Inventory_List_Table3[[#This Row],[Q]]*Inventory_List_Table3[[#This Row],[Per piece MXN$]]</f>
        <v>2850</v>
      </c>
      <c r="L2" s="42" t="s">
        <v>500</v>
      </c>
      <c r="M2" s="42" t="s">
        <v>752</v>
      </c>
    </row>
    <row r="3" spans="1:13" ht="19.5" x14ac:dyDescent="0.35">
      <c r="A3" s="36" t="s">
        <v>121</v>
      </c>
      <c r="B3" s="37"/>
      <c r="C3" s="217" t="s">
        <v>1</v>
      </c>
      <c r="D3" s="38" t="s">
        <v>3</v>
      </c>
      <c r="E3" s="39">
        <v>1</v>
      </c>
      <c r="F3" s="40">
        <v>257</v>
      </c>
      <c r="G3" s="41">
        <v>95</v>
      </c>
      <c r="H3" s="41">
        <v>45</v>
      </c>
      <c r="I3" s="41">
        <v>27</v>
      </c>
      <c r="J3" s="222">
        <v>3212.5</v>
      </c>
      <c r="K3" s="3">
        <f>Inventory_List_Table3[[#This Row],[Q]]*Inventory_List_Table3[[#This Row],[Per piece MXN$]]</f>
        <v>3212.5</v>
      </c>
      <c r="L3" s="42" t="s">
        <v>754</v>
      </c>
      <c r="M3" s="42" t="s">
        <v>753</v>
      </c>
    </row>
    <row r="4" spans="1:13" ht="19.5" x14ac:dyDescent="0.35">
      <c r="A4" s="36" t="s">
        <v>122</v>
      </c>
      <c r="B4" s="37"/>
      <c r="C4" s="217" t="s">
        <v>1</v>
      </c>
      <c r="D4" s="38" t="s">
        <v>4</v>
      </c>
      <c r="E4" s="39">
        <v>1</v>
      </c>
      <c r="F4" s="40">
        <v>224</v>
      </c>
      <c r="G4" s="41">
        <v>95</v>
      </c>
      <c r="H4" s="41">
        <v>45</v>
      </c>
      <c r="I4" s="41">
        <v>23</v>
      </c>
      <c r="J4" s="222">
        <v>2800</v>
      </c>
      <c r="K4" s="3">
        <f>Inventory_List_Table3[[#This Row],[Q]]*Inventory_List_Table3[[#This Row],[Per piece MXN$]]</f>
        <v>2800</v>
      </c>
      <c r="L4" s="42" t="s">
        <v>483</v>
      </c>
      <c r="M4" s="42" t="s">
        <v>5</v>
      </c>
    </row>
    <row r="5" spans="1:13" ht="19.5" x14ac:dyDescent="0.35">
      <c r="A5" s="36" t="s">
        <v>123</v>
      </c>
      <c r="B5" s="37"/>
      <c r="C5" s="217" t="s">
        <v>1</v>
      </c>
      <c r="D5" s="38" t="s">
        <v>6</v>
      </c>
      <c r="E5" s="39">
        <v>1</v>
      </c>
      <c r="F5" s="40">
        <v>126</v>
      </c>
      <c r="G5" s="41">
        <v>100</v>
      </c>
      <c r="H5" s="41">
        <v>40</v>
      </c>
      <c r="I5" s="41">
        <v>23</v>
      </c>
      <c r="J5" s="222">
        <v>1575</v>
      </c>
      <c r="K5" s="3">
        <f>Inventory_List_Table3[[#This Row],[Q]]*Inventory_List_Table3[[#This Row],[Per piece MXN$]]</f>
        <v>1575</v>
      </c>
      <c r="L5" s="42" t="s">
        <v>756</v>
      </c>
      <c r="M5" s="42" t="s">
        <v>755</v>
      </c>
    </row>
    <row r="6" spans="1:13" ht="19.5" x14ac:dyDescent="0.35">
      <c r="A6" s="36" t="s">
        <v>124</v>
      </c>
      <c r="B6" s="37"/>
      <c r="C6" s="217" t="s">
        <v>1</v>
      </c>
      <c r="D6" s="38" t="s">
        <v>7</v>
      </c>
      <c r="E6" s="39">
        <v>1</v>
      </c>
      <c r="F6" s="40">
        <v>216</v>
      </c>
      <c r="G6" s="41">
        <v>100</v>
      </c>
      <c r="H6" s="41">
        <v>45</v>
      </c>
      <c r="I6" s="41">
        <v>29</v>
      </c>
      <c r="J6" s="222">
        <v>2700</v>
      </c>
      <c r="K6" s="3">
        <f>Inventory_List_Table3[[#This Row],[Q]]*Inventory_List_Table3[[#This Row],[Per piece MXN$]]</f>
        <v>2700</v>
      </c>
      <c r="L6" s="42" t="s">
        <v>758</v>
      </c>
      <c r="M6" s="42" t="s">
        <v>757</v>
      </c>
    </row>
    <row r="7" spans="1:13" ht="19.5" x14ac:dyDescent="0.35">
      <c r="A7" s="36" t="s">
        <v>125</v>
      </c>
      <c r="B7" s="37"/>
      <c r="C7" s="217" t="s">
        <v>1</v>
      </c>
      <c r="D7" s="38" t="s">
        <v>8</v>
      </c>
      <c r="E7" s="39">
        <v>1</v>
      </c>
      <c r="F7" s="40">
        <v>92</v>
      </c>
      <c r="G7" s="41">
        <v>68</v>
      </c>
      <c r="H7" s="41">
        <v>33</v>
      </c>
      <c r="I7" s="41">
        <v>23</v>
      </c>
      <c r="J7" s="222">
        <v>1150</v>
      </c>
      <c r="K7" s="3">
        <f>Inventory_List_Table3[[#This Row],[Q]]*Inventory_List_Table3[[#This Row],[Per piece MXN$]]</f>
        <v>1150</v>
      </c>
      <c r="L7" s="42" t="s">
        <v>9</v>
      </c>
      <c r="M7" s="42" t="s">
        <v>759</v>
      </c>
    </row>
    <row r="8" spans="1:13" ht="19.5" x14ac:dyDescent="0.35">
      <c r="A8" s="36" t="s">
        <v>126</v>
      </c>
      <c r="B8" s="37"/>
      <c r="C8" s="217" t="s">
        <v>10</v>
      </c>
      <c r="D8" s="38" t="s">
        <v>11</v>
      </c>
      <c r="E8" s="39">
        <v>1</v>
      </c>
      <c r="F8" s="40">
        <v>260</v>
      </c>
      <c r="G8" s="41">
        <v>93</v>
      </c>
      <c r="H8" s="41">
        <v>37</v>
      </c>
      <c r="I8" s="41">
        <v>40</v>
      </c>
      <c r="J8" s="222">
        <v>3250</v>
      </c>
      <c r="K8" s="3">
        <f>Inventory_List_Table3[[#This Row],[Q]]*Inventory_List_Table3[[#This Row],[Per piece MXN$]]</f>
        <v>3250</v>
      </c>
      <c r="L8" s="42" t="s">
        <v>761</v>
      </c>
      <c r="M8" s="42" t="s">
        <v>760</v>
      </c>
    </row>
    <row r="9" spans="1:13" ht="19.5" x14ac:dyDescent="0.35">
      <c r="A9" s="36" t="s">
        <v>127</v>
      </c>
      <c r="B9" s="37"/>
      <c r="C9" s="217" t="s">
        <v>10</v>
      </c>
      <c r="D9" s="38" t="s">
        <v>12</v>
      </c>
      <c r="E9" s="39">
        <v>1</v>
      </c>
      <c r="F9" s="40">
        <v>216</v>
      </c>
      <c r="G9" s="41">
        <v>91</v>
      </c>
      <c r="H9" s="41">
        <v>42</v>
      </c>
      <c r="I9" s="41">
        <v>32</v>
      </c>
      <c r="J9" s="222">
        <v>2700</v>
      </c>
      <c r="K9" s="3">
        <f>Inventory_List_Table3[[#This Row],[Q]]*Inventory_List_Table3[[#This Row],[Per piece MXN$]]</f>
        <v>2700</v>
      </c>
      <c r="L9" s="42" t="s">
        <v>758</v>
      </c>
      <c r="M9" s="42" t="s">
        <v>757</v>
      </c>
    </row>
    <row r="10" spans="1:13" ht="19.5" x14ac:dyDescent="0.35">
      <c r="A10" s="36" t="s">
        <v>128</v>
      </c>
      <c r="B10" s="37"/>
      <c r="C10" s="217" t="s">
        <v>10</v>
      </c>
      <c r="D10" s="38" t="s">
        <v>13</v>
      </c>
      <c r="E10" s="39">
        <v>1</v>
      </c>
      <c r="F10" s="40">
        <v>151</v>
      </c>
      <c r="G10" s="41">
        <v>88</v>
      </c>
      <c r="H10" s="41">
        <v>49</v>
      </c>
      <c r="I10" s="41">
        <v>25</v>
      </c>
      <c r="J10" s="222">
        <v>1887.5</v>
      </c>
      <c r="K10" s="3">
        <f>Inventory_List_Table3[[#This Row],[Q]]*Inventory_List_Table3[[#This Row],[Per piece MXN$]]</f>
        <v>1887.5</v>
      </c>
      <c r="L10" s="42" t="s">
        <v>763</v>
      </c>
      <c r="M10" s="42" t="s">
        <v>762</v>
      </c>
    </row>
    <row r="11" spans="1:13" ht="19.5" x14ac:dyDescent="0.35">
      <c r="A11" s="36" t="s">
        <v>129</v>
      </c>
      <c r="B11" s="37"/>
      <c r="C11" s="217" t="s">
        <v>10</v>
      </c>
      <c r="D11" s="38" t="s">
        <v>14</v>
      </c>
      <c r="E11" s="39">
        <v>1</v>
      </c>
      <c r="F11" s="40">
        <v>230</v>
      </c>
      <c r="G11" s="41">
        <v>85</v>
      </c>
      <c r="H11" s="41">
        <v>40</v>
      </c>
      <c r="I11" s="41">
        <v>34</v>
      </c>
      <c r="J11" s="222">
        <v>2875</v>
      </c>
      <c r="K11" s="3">
        <f>Inventory_List_Table3[[#This Row],[Q]]*Inventory_List_Table3[[#This Row],[Per piece MXN$]]</f>
        <v>2875</v>
      </c>
      <c r="L11" s="42" t="s">
        <v>764</v>
      </c>
      <c r="M11" s="42" t="s">
        <v>467</v>
      </c>
    </row>
    <row r="12" spans="1:13" ht="19.5" x14ac:dyDescent="0.35">
      <c r="A12" s="36" t="s">
        <v>130</v>
      </c>
      <c r="B12" s="37"/>
      <c r="C12" s="217" t="s">
        <v>15</v>
      </c>
      <c r="D12" s="38" t="s">
        <v>16</v>
      </c>
      <c r="E12" s="39">
        <v>1</v>
      </c>
      <c r="F12" s="40">
        <v>417</v>
      </c>
      <c r="G12" s="41">
        <v>68</v>
      </c>
      <c r="H12" s="41">
        <v>99</v>
      </c>
      <c r="I12" s="41">
        <v>42</v>
      </c>
      <c r="J12" s="222">
        <v>5212.5</v>
      </c>
      <c r="K12" s="3">
        <f>Inventory_List_Table3[[#This Row],[Q]]*Inventory_List_Table3[[#This Row],[Per piece MXN$]]</f>
        <v>5212.5</v>
      </c>
      <c r="L12" s="42" t="s">
        <v>464</v>
      </c>
      <c r="M12" s="42" t="s">
        <v>463</v>
      </c>
    </row>
    <row r="13" spans="1:13" ht="19.5" x14ac:dyDescent="0.35">
      <c r="A13" s="36" t="s">
        <v>131</v>
      </c>
      <c r="B13" s="37"/>
      <c r="C13" s="217" t="s">
        <v>15</v>
      </c>
      <c r="D13" s="38" t="s">
        <v>17</v>
      </c>
      <c r="E13" s="39">
        <v>1</v>
      </c>
      <c r="F13" s="40">
        <v>82</v>
      </c>
      <c r="G13" s="41">
        <v>80</v>
      </c>
      <c r="H13" s="41">
        <v>31</v>
      </c>
      <c r="I13" s="41">
        <v>18</v>
      </c>
      <c r="J13" s="222">
        <v>1025</v>
      </c>
      <c r="K13" s="3">
        <f>Inventory_List_Table3[[#This Row],[Q]]*Inventory_List_Table3[[#This Row],[Per piece MXN$]]</f>
        <v>1025</v>
      </c>
      <c r="L13" s="42" t="s">
        <v>579</v>
      </c>
      <c r="M13" s="42" t="s">
        <v>708</v>
      </c>
    </row>
    <row r="14" spans="1:13" ht="19.5" x14ac:dyDescent="0.35">
      <c r="A14" s="36" t="s">
        <v>132</v>
      </c>
      <c r="B14" s="37"/>
      <c r="C14" s="217" t="s">
        <v>15</v>
      </c>
      <c r="D14" s="38" t="s">
        <v>18</v>
      </c>
      <c r="E14" s="39">
        <v>1</v>
      </c>
      <c r="F14" s="40">
        <v>257</v>
      </c>
      <c r="G14" s="41">
        <v>121</v>
      </c>
      <c r="H14" s="41">
        <v>60</v>
      </c>
      <c r="I14" s="41">
        <v>27</v>
      </c>
      <c r="J14" s="222">
        <v>3212.5</v>
      </c>
      <c r="K14" s="3">
        <f>Inventory_List_Table3[[#This Row],[Q]]*Inventory_List_Table3[[#This Row],[Per piece MXN$]]</f>
        <v>3212.5</v>
      </c>
      <c r="L14" s="42" t="s">
        <v>754</v>
      </c>
      <c r="M14" s="42" t="s">
        <v>753</v>
      </c>
    </row>
    <row r="15" spans="1:13" ht="19.5" x14ac:dyDescent="0.35">
      <c r="A15" s="36" t="s">
        <v>133</v>
      </c>
      <c r="B15" s="37"/>
      <c r="C15" s="217" t="s">
        <v>1</v>
      </c>
      <c r="D15" s="38" t="s">
        <v>19</v>
      </c>
      <c r="E15" s="39">
        <v>1</v>
      </c>
      <c r="F15" s="40">
        <v>172</v>
      </c>
      <c r="G15" s="41">
        <v>121</v>
      </c>
      <c r="H15" s="41">
        <v>35</v>
      </c>
      <c r="I15" s="41">
        <v>19</v>
      </c>
      <c r="J15" s="222">
        <v>2150</v>
      </c>
      <c r="K15" s="3">
        <f>Inventory_List_Table3[[#This Row],[Q]]*Inventory_List_Table3[[#This Row],[Per piece MXN$]]</f>
        <v>2150</v>
      </c>
      <c r="L15" s="42" t="s">
        <v>766</v>
      </c>
      <c r="M15" s="42" t="s">
        <v>765</v>
      </c>
    </row>
    <row r="16" spans="1:13" ht="19.5" x14ac:dyDescent="0.35">
      <c r="A16" s="36" t="s">
        <v>134</v>
      </c>
      <c r="B16" s="37"/>
      <c r="C16" s="217" t="s">
        <v>1</v>
      </c>
      <c r="D16" s="38" t="s">
        <v>20</v>
      </c>
      <c r="E16" s="39">
        <v>1</v>
      </c>
      <c r="F16" s="40">
        <v>117</v>
      </c>
      <c r="G16" s="41">
        <v>106</v>
      </c>
      <c r="H16" s="41">
        <v>35</v>
      </c>
      <c r="I16" s="41">
        <v>23</v>
      </c>
      <c r="J16" s="222">
        <v>1462.5</v>
      </c>
      <c r="K16" s="3">
        <f>Inventory_List_Table3[[#This Row],[Q]]*Inventory_List_Table3[[#This Row],[Per piece MXN$]]</f>
        <v>1462.5</v>
      </c>
      <c r="L16" s="42" t="s">
        <v>21</v>
      </c>
      <c r="M16" s="42" t="s">
        <v>501</v>
      </c>
    </row>
    <row r="17" spans="1:13" ht="19.5" x14ac:dyDescent="0.35">
      <c r="A17" s="36" t="s">
        <v>135</v>
      </c>
      <c r="B17" s="37"/>
      <c r="C17" s="217" t="s">
        <v>1</v>
      </c>
      <c r="D17" s="38" t="s">
        <v>22</v>
      </c>
      <c r="E17" s="39">
        <v>1</v>
      </c>
      <c r="F17" s="40">
        <v>86</v>
      </c>
      <c r="G17" s="41">
        <v>87</v>
      </c>
      <c r="H17" s="41">
        <v>29</v>
      </c>
      <c r="I17" s="41">
        <v>32</v>
      </c>
      <c r="J17" s="222">
        <v>1075</v>
      </c>
      <c r="K17" s="3">
        <f>Inventory_List_Table3[[#This Row],[Q]]*Inventory_List_Table3[[#This Row],[Per piece MXN$]]</f>
        <v>1075</v>
      </c>
      <c r="L17" s="42" t="s">
        <v>561</v>
      </c>
      <c r="M17" s="42" t="s">
        <v>560</v>
      </c>
    </row>
    <row r="18" spans="1:13" ht="19.5" x14ac:dyDescent="0.35">
      <c r="A18" s="36" t="s">
        <v>136</v>
      </c>
      <c r="B18" s="37"/>
      <c r="C18" s="217" t="s">
        <v>1</v>
      </c>
      <c r="D18" s="38" t="s">
        <v>23</v>
      </c>
      <c r="E18" s="39">
        <v>1</v>
      </c>
      <c r="F18" s="40">
        <v>82</v>
      </c>
      <c r="G18" s="41">
        <v>70</v>
      </c>
      <c r="H18" s="41">
        <v>34</v>
      </c>
      <c r="I18" s="41">
        <v>18</v>
      </c>
      <c r="J18" s="222">
        <v>1025</v>
      </c>
      <c r="K18" s="3">
        <f>Inventory_List_Table3[[#This Row],[Q]]*Inventory_List_Table3[[#This Row],[Per piece MXN$]]</f>
        <v>1025</v>
      </c>
      <c r="L18" s="42" t="s">
        <v>579</v>
      </c>
      <c r="M18" s="42" t="s">
        <v>708</v>
      </c>
    </row>
    <row r="19" spans="1:13" ht="21" x14ac:dyDescent="0.25">
      <c r="A19" s="36" t="s">
        <v>139</v>
      </c>
      <c r="B19" s="37"/>
      <c r="C19" s="218" t="s">
        <v>24</v>
      </c>
      <c r="D19" s="242" t="s">
        <v>767</v>
      </c>
      <c r="E19" s="39">
        <v>1</v>
      </c>
      <c r="F19" s="40">
        <v>30</v>
      </c>
      <c r="G19" s="41">
        <v>150</v>
      </c>
      <c r="H19" s="41">
        <v>80</v>
      </c>
      <c r="I19" s="41">
        <v>10</v>
      </c>
      <c r="J19" s="222">
        <v>5100</v>
      </c>
      <c r="K19" s="3">
        <f>Inventory_List_Table3[[#This Row],[Q]]*Inventory_List_Table3[[#This Row],[Per piece MXN$]]</f>
        <v>5100</v>
      </c>
      <c r="L19" s="42" t="s">
        <v>475</v>
      </c>
      <c r="M19" s="42" t="s">
        <v>474</v>
      </c>
    </row>
    <row r="20" spans="1:13" ht="21" x14ac:dyDescent="0.25">
      <c r="A20" s="36" t="s">
        <v>140</v>
      </c>
      <c r="B20" s="37"/>
      <c r="C20" s="218" t="s">
        <v>25</v>
      </c>
      <c r="D20" s="242" t="s">
        <v>768</v>
      </c>
      <c r="E20" s="39">
        <v>1</v>
      </c>
      <c r="F20" s="40">
        <v>30</v>
      </c>
      <c r="G20" s="41">
        <v>150</v>
      </c>
      <c r="H20" s="41">
        <v>80</v>
      </c>
      <c r="I20" s="41">
        <v>10</v>
      </c>
      <c r="J20" s="222">
        <v>5100</v>
      </c>
      <c r="K20" s="3">
        <f>Inventory_List_Table3[[#This Row],[Q]]*Inventory_List_Table3[[#This Row],[Per piece MXN$]]</f>
        <v>5100</v>
      </c>
      <c r="L20" s="42" t="s">
        <v>475</v>
      </c>
      <c r="M20" s="42" t="s">
        <v>474</v>
      </c>
    </row>
    <row r="21" spans="1:13" ht="21" x14ac:dyDescent="0.25">
      <c r="A21" s="36" t="s">
        <v>141</v>
      </c>
      <c r="B21" s="37"/>
      <c r="C21" s="218" t="s">
        <v>26</v>
      </c>
      <c r="D21" s="242" t="s">
        <v>769</v>
      </c>
      <c r="E21" s="39">
        <v>1</v>
      </c>
      <c r="F21" s="40">
        <v>30</v>
      </c>
      <c r="G21" s="41">
        <v>150</v>
      </c>
      <c r="H21" s="41">
        <v>80</v>
      </c>
      <c r="I21" s="41">
        <v>10</v>
      </c>
      <c r="J21" s="222">
        <v>5100</v>
      </c>
      <c r="K21" s="3">
        <f>Inventory_List_Table3[[#This Row],[Q]]*Inventory_List_Table3[[#This Row],[Per piece MXN$]]</f>
        <v>5100</v>
      </c>
      <c r="L21" s="42" t="s">
        <v>475</v>
      </c>
      <c r="M21" s="42" t="s">
        <v>474</v>
      </c>
    </row>
    <row r="22" spans="1:13" ht="21" x14ac:dyDescent="0.25">
      <c r="A22" s="36" t="s">
        <v>142</v>
      </c>
      <c r="B22" s="37"/>
      <c r="C22" s="218" t="s">
        <v>26</v>
      </c>
      <c r="D22" s="242" t="s">
        <v>770</v>
      </c>
      <c r="E22" s="39">
        <v>1</v>
      </c>
      <c r="F22" s="40">
        <v>30</v>
      </c>
      <c r="G22" s="41">
        <v>150</v>
      </c>
      <c r="H22" s="41">
        <v>80</v>
      </c>
      <c r="I22" s="41">
        <v>10</v>
      </c>
      <c r="J22" s="222">
        <v>5100</v>
      </c>
      <c r="K22" s="3">
        <f>Inventory_List_Table3[[#This Row],[Q]]*Inventory_List_Table3[[#This Row],[Per piece MXN$]]</f>
        <v>5100</v>
      </c>
      <c r="L22" s="42" t="s">
        <v>475</v>
      </c>
      <c r="M22" s="42" t="s">
        <v>474</v>
      </c>
    </row>
    <row r="23" spans="1:13" ht="21" x14ac:dyDescent="0.25">
      <c r="A23" s="36" t="s">
        <v>143</v>
      </c>
      <c r="B23" s="37"/>
      <c r="C23" s="218" t="s">
        <v>27</v>
      </c>
      <c r="D23" s="242" t="s">
        <v>771</v>
      </c>
      <c r="E23" s="39">
        <v>1</v>
      </c>
      <c r="F23" s="40">
        <v>30</v>
      </c>
      <c r="G23" s="41">
        <v>150</v>
      </c>
      <c r="H23" s="41">
        <v>80</v>
      </c>
      <c r="I23" s="41">
        <v>10</v>
      </c>
      <c r="J23" s="222">
        <v>5100</v>
      </c>
      <c r="K23" s="3">
        <f>Inventory_List_Table3[[#This Row],[Q]]*Inventory_List_Table3[[#This Row],[Per piece MXN$]]</f>
        <v>5100</v>
      </c>
      <c r="L23" s="42" t="s">
        <v>475</v>
      </c>
      <c r="M23" s="42" t="s">
        <v>474</v>
      </c>
    </row>
    <row r="24" spans="1:13" ht="21" x14ac:dyDescent="0.25">
      <c r="A24" s="36" t="s">
        <v>144</v>
      </c>
      <c r="B24" s="37"/>
      <c r="C24" s="218" t="s">
        <v>28</v>
      </c>
      <c r="D24" s="242" t="s">
        <v>772</v>
      </c>
      <c r="E24" s="39">
        <v>1</v>
      </c>
      <c r="F24" s="40">
        <v>30</v>
      </c>
      <c r="G24" s="41">
        <v>150</v>
      </c>
      <c r="H24" s="41">
        <v>80</v>
      </c>
      <c r="I24" s="41">
        <v>10</v>
      </c>
      <c r="J24" s="222">
        <v>5100</v>
      </c>
      <c r="K24" s="3">
        <f>Inventory_List_Table3[[#This Row],[Q]]*Inventory_List_Table3[[#This Row],[Per piece MXN$]]</f>
        <v>5100</v>
      </c>
      <c r="L24" s="42" t="s">
        <v>475</v>
      </c>
      <c r="M24" s="42" t="s">
        <v>474</v>
      </c>
    </row>
    <row r="25" spans="1:13" ht="21" x14ac:dyDescent="0.25">
      <c r="A25" s="36" t="s">
        <v>156</v>
      </c>
      <c r="B25" s="37"/>
      <c r="C25" s="218" t="s">
        <v>29</v>
      </c>
      <c r="D25" s="242" t="s">
        <v>773</v>
      </c>
      <c r="E25" s="39">
        <v>1</v>
      </c>
      <c r="F25" s="40">
        <v>30</v>
      </c>
      <c r="G25" s="41">
        <v>150</v>
      </c>
      <c r="H25" s="41">
        <v>80</v>
      </c>
      <c r="I25" s="41">
        <v>10</v>
      </c>
      <c r="J25" s="222">
        <v>5100</v>
      </c>
      <c r="K25" s="3">
        <f>Inventory_List_Table3[[#This Row],[Q]]*Inventory_List_Table3[[#This Row],[Per piece MXN$]]</f>
        <v>5100</v>
      </c>
      <c r="L25" s="42" t="s">
        <v>475</v>
      </c>
      <c r="M25" s="42" t="s">
        <v>474</v>
      </c>
    </row>
    <row r="26" spans="1:13" ht="21" x14ac:dyDescent="0.25">
      <c r="A26" s="36" t="s">
        <v>157</v>
      </c>
      <c r="B26" s="37"/>
      <c r="C26" s="218" t="s">
        <v>29</v>
      </c>
      <c r="D26" s="242" t="s">
        <v>774</v>
      </c>
      <c r="E26" s="39">
        <v>1</v>
      </c>
      <c r="F26" s="40">
        <v>30</v>
      </c>
      <c r="G26" s="41">
        <v>150</v>
      </c>
      <c r="H26" s="41">
        <v>80</v>
      </c>
      <c r="I26" s="41">
        <v>10</v>
      </c>
      <c r="J26" s="222">
        <v>5100</v>
      </c>
      <c r="K26" s="3">
        <f>Inventory_List_Table3[[#This Row],[Q]]*Inventory_List_Table3[[#This Row],[Per piece MXN$]]</f>
        <v>5100</v>
      </c>
      <c r="L26" s="42" t="s">
        <v>475</v>
      </c>
      <c r="M26" s="42" t="s">
        <v>474</v>
      </c>
    </row>
    <row r="27" spans="1:13" ht="21" x14ac:dyDescent="0.25">
      <c r="A27" s="36" t="s">
        <v>158</v>
      </c>
      <c r="B27" s="37"/>
      <c r="C27" s="218" t="s">
        <v>29</v>
      </c>
      <c r="D27" s="242" t="s">
        <v>775</v>
      </c>
      <c r="E27" s="39">
        <v>1</v>
      </c>
      <c r="F27" s="40">
        <v>30</v>
      </c>
      <c r="G27" s="41">
        <v>150</v>
      </c>
      <c r="H27" s="41">
        <v>80</v>
      </c>
      <c r="I27" s="41">
        <v>10</v>
      </c>
      <c r="J27" s="222">
        <v>5100</v>
      </c>
      <c r="K27" s="3">
        <f>Inventory_List_Table3[[#This Row],[Q]]*Inventory_List_Table3[[#This Row],[Per piece MXN$]]</f>
        <v>5100</v>
      </c>
      <c r="L27" s="42" t="s">
        <v>475</v>
      </c>
      <c r="M27" s="42" t="s">
        <v>474</v>
      </c>
    </row>
    <row r="28" spans="1:13" ht="21" x14ac:dyDescent="0.25">
      <c r="A28" s="36" t="s">
        <v>159</v>
      </c>
      <c r="B28" s="37"/>
      <c r="C28" s="218" t="s">
        <v>29</v>
      </c>
      <c r="D28" s="242" t="s">
        <v>776</v>
      </c>
      <c r="E28" s="39">
        <v>1</v>
      </c>
      <c r="F28" s="40">
        <v>30</v>
      </c>
      <c r="G28" s="41">
        <v>150</v>
      </c>
      <c r="H28" s="41">
        <v>80</v>
      </c>
      <c r="I28" s="41">
        <v>10</v>
      </c>
      <c r="J28" s="222">
        <v>5100</v>
      </c>
      <c r="K28" s="3">
        <f>Inventory_List_Table3[[#This Row],[Q]]*Inventory_List_Table3[[#This Row],[Per piece MXN$]]</f>
        <v>5100</v>
      </c>
      <c r="L28" s="42" t="s">
        <v>475</v>
      </c>
      <c r="M28" s="42" t="s">
        <v>474</v>
      </c>
    </row>
    <row r="29" spans="1:13" ht="21" x14ac:dyDescent="0.25">
      <c r="A29" s="36" t="s">
        <v>160</v>
      </c>
      <c r="B29" s="37"/>
      <c r="C29" s="218" t="s">
        <v>29</v>
      </c>
      <c r="D29" s="242" t="s">
        <v>777</v>
      </c>
      <c r="E29" s="39">
        <v>1</v>
      </c>
      <c r="F29" s="40">
        <v>30</v>
      </c>
      <c r="G29" s="41">
        <v>150</v>
      </c>
      <c r="H29" s="41">
        <v>80</v>
      </c>
      <c r="I29" s="41">
        <v>10</v>
      </c>
      <c r="J29" s="222">
        <v>5100</v>
      </c>
      <c r="K29" s="3">
        <f>Inventory_List_Table3[[#This Row],[Q]]*Inventory_List_Table3[[#This Row],[Per piece MXN$]]</f>
        <v>5100</v>
      </c>
      <c r="L29" s="42" t="s">
        <v>475</v>
      </c>
      <c r="M29" s="42" t="s">
        <v>474</v>
      </c>
    </row>
    <row r="30" spans="1:13" ht="21" x14ac:dyDescent="0.25">
      <c r="A30" s="36" t="s">
        <v>161</v>
      </c>
      <c r="B30" s="37"/>
      <c r="C30" s="218" t="s">
        <v>29</v>
      </c>
      <c r="D30" s="242" t="s">
        <v>778</v>
      </c>
      <c r="E30" s="39">
        <v>1</v>
      </c>
      <c r="F30" s="40">
        <v>30</v>
      </c>
      <c r="G30" s="41">
        <v>150</v>
      </c>
      <c r="H30" s="41">
        <v>80</v>
      </c>
      <c r="I30" s="41">
        <v>10</v>
      </c>
      <c r="J30" s="222">
        <v>5100</v>
      </c>
      <c r="K30" s="3">
        <f>Inventory_List_Table3[[#This Row],[Q]]*Inventory_List_Table3[[#This Row],[Per piece MXN$]]</f>
        <v>5100</v>
      </c>
      <c r="L30" s="42" t="s">
        <v>475</v>
      </c>
      <c r="M30" s="42" t="s">
        <v>474</v>
      </c>
    </row>
    <row r="31" spans="1:13" ht="21" x14ac:dyDescent="0.25">
      <c r="A31" s="36" t="s">
        <v>162</v>
      </c>
      <c r="B31" s="37"/>
      <c r="C31" s="218" t="s">
        <v>30</v>
      </c>
      <c r="D31" s="242" t="s">
        <v>779</v>
      </c>
      <c r="E31" s="39">
        <v>1</v>
      </c>
      <c r="F31" s="40">
        <v>27</v>
      </c>
      <c r="G31" s="41">
        <v>100</v>
      </c>
      <c r="H31" s="41">
        <v>100</v>
      </c>
      <c r="I31" s="41">
        <v>10</v>
      </c>
      <c r="J31" s="222">
        <v>4200</v>
      </c>
      <c r="K31" s="3">
        <f>Inventory_List_Table3[[#This Row],[Q]]*Inventory_List_Table3[[#This Row],[Per piece MXN$]]</f>
        <v>4200</v>
      </c>
      <c r="L31" s="42" t="s">
        <v>479</v>
      </c>
      <c r="M31" s="42" t="s">
        <v>478</v>
      </c>
    </row>
    <row r="32" spans="1:13" ht="21" x14ac:dyDescent="0.25">
      <c r="A32" s="36" t="s">
        <v>163</v>
      </c>
      <c r="B32" s="37"/>
      <c r="C32" s="218" t="s">
        <v>31</v>
      </c>
      <c r="D32" s="242" t="s">
        <v>780</v>
      </c>
      <c r="E32" s="39">
        <v>1</v>
      </c>
      <c r="F32" s="40">
        <v>27</v>
      </c>
      <c r="G32" s="41">
        <v>100</v>
      </c>
      <c r="H32" s="41">
        <v>100</v>
      </c>
      <c r="I32" s="41">
        <v>10</v>
      </c>
      <c r="J32" s="222">
        <v>4200</v>
      </c>
      <c r="K32" s="3">
        <f>Inventory_List_Table3[[#This Row],[Q]]*Inventory_List_Table3[[#This Row],[Per piece MXN$]]</f>
        <v>4200</v>
      </c>
      <c r="L32" s="42" t="s">
        <v>479</v>
      </c>
      <c r="M32" s="42" t="s">
        <v>478</v>
      </c>
    </row>
    <row r="33" spans="1:13" ht="21" x14ac:dyDescent="0.25">
      <c r="A33" s="36" t="s">
        <v>164</v>
      </c>
      <c r="B33" s="37"/>
      <c r="C33" s="218" t="s">
        <v>31</v>
      </c>
      <c r="D33" s="242" t="s">
        <v>781</v>
      </c>
      <c r="E33" s="39">
        <v>1</v>
      </c>
      <c r="F33" s="40">
        <v>27</v>
      </c>
      <c r="G33" s="41">
        <v>100</v>
      </c>
      <c r="H33" s="41">
        <v>100</v>
      </c>
      <c r="I33" s="41">
        <v>10</v>
      </c>
      <c r="J33" s="222">
        <v>4200</v>
      </c>
      <c r="K33" s="3">
        <f>Inventory_List_Table3[[#This Row],[Q]]*Inventory_List_Table3[[#This Row],[Per piece MXN$]]</f>
        <v>4200</v>
      </c>
      <c r="L33" s="42" t="s">
        <v>479</v>
      </c>
      <c r="M33" s="42" t="s">
        <v>478</v>
      </c>
    </row>
    <row r="34" spans="1:13" ht="21" x14ac:dyDescent="0.25">
      <c r="A34" s="36" t="s">
        <v>165</v>
      </c>
      <c r="B34" s="37"/>
      <c r="C34" s="218" t="s">
        <v>31</v>
      </c>
      <c r="D34" s="242" t="s">
        <v>782</v>
      </c>
      <c r="E34" s="39">
        <v>1</v>
      </c>
      <c r="F34" s="40">
        <v>27</v>
      </c>
      <c r="G34" s="41">
        <v>100</v>
      </c>
      <c r="H34" s="41">
        <v>100</v>
      </c>
      <c r="I34" s="41">
        <v>10</v>
      </c>
      <c r="J34" s="222">
        <v>4200</v>
      </c>
      <c r="K34" s="3">
        <f>Inventory_List_Table3[[#This Row],[Q]]*Inventory_List_Table3[[#This Row],[Per piece MXN$]]</f>
        <v>4200</v>
      </c>
      <c r="L34" s="42" t="s">
        <v>479</v>
      </c>
      <c r="M34" s="42" t="s">
        <v>478</v>
      </c>
    </row>
    <row r="35" spans="1:13" ht="21" x14ac:dyDescent="0.25">
      <c r="A35" s="36" t="s">
        <v>166</v>
      </c>
      <c r="B35" s="37"/>
      <c r="C35" s="218" t="s">
        <v>32</v>
      </c>
      <c r="D35" s="242" t="s">
        <v>783</v>
      </c>
      <c r="E35" s="39">
        <v>1</v>
      </c>
      <c r="F35" s="40">
        <v>27</v>
      </c>
      <c r="G35" s="41">
        <v>100</v>
      </c>
      <c r="H35" s="41">
        <v>100</v>
      </c>
      <c r="I35" s="41">
        <v>10</v>
      </c>
      <c r="J35" s="222">
        <v>4200</v>
      </c>
      <c r="K35" s="3">
        <f>Inventory_List_Table3[[#This Row],[Q]]*Inventory_List_Table3[[#This Row],[Per piece MXN$]]</f>
        <v>4200</v>
      </c>
      <c r="L35" s="42" t="s">
        <v>479</v>
      </c>
      <c r="M35" s="42" t="s">
        <v>478</v>
      </c>
    </row>
    <row r="36" spans="1:13" ht="21" x14ac:dyDescent="0.25">
      <c r="A36" s="36" t="s">
        <v>167</v>
      </c>
      <c r="B36" s="37"/>
      <c r="C36" s="218" t="s">
        <v>32</v>
      </c>
      <c r="D36" s="242" t="s">
        <v>784</v>
      </c>
      <c r="E36" s="39">
        <v>1</v>
      </c>
      <c r="F36" s="40">
        <v>27</v>
      </c>
      <c r="G36" s="41">
        <v>100</v>
      </c>
      <c r="H36" s="41">
        <v>100</v>
      </c>
      <c r="I36" s="41">
        <v>10</v>
      </c>
      <c r="J36" s="222">
        <v>4200</v>
      </c>
      <c r="K36" s="3">
        <f>Inventory_List_Table3[[#This Row],[Q]]*Inventory_List_Table3[[#This Row],[Per piece MXN$]]</f>
        <v>4200</v>
      </c>
      <c r="L36" s="42" t="s">
        <v>479</v>
      </c>
      <c r="M36" s="42" t="s">
        <v>478</v>
      </c>
    </row>
    <row r="37" spans="1:13" ht="21" x14ac:dyDescent="0.25">
      <c r="A37" s="36" t="s">
        <v>168</v>
      </c>
      <c r="B37" s="37"/>
      <c r="C37" s="218" t="s">
        <v>33</v>
      </c>
      <c r="D37" s="242" t="s">
        <v>785</v>
      </c>
      <c r="E37" s="39">
        <v>1</v>
      </c>
      <c r="F37" s="40">
        <v>19</v>
      </c>
      <c r="G37" s="41">
        <v>110</v>
      </c>
      <c r="H37" s="41">
        <v>60</v>
      </c>
      <c r="I37" s="41">
        <v>10</v>
      </c>
      <c r="J37" s="222">
        <v>3400</v>
      </c>
      <c r="K37" s="3">
        <f>Inventory_List_Table3[[#This Row],[Q]]*Inventory_List_Table3[[#This Row],[Per piece MXN$]]</f>
        <v>3400</v>
      </c>
      <c r="L37" s="42" t="s">
        <v>481</v>
      </c>
      <c r="M37" s="42" t="s">
        <v>34</v>
      </c>
    </row>
    <row r="38" spans="1:13" ht="21" x14ac:dyDescent="0.25">
      <c r="A38" s="36" t="s">
        <v>169</v>
      </c>
      <c r="B38" s="37"/>
      <c r="C38" s="218" t="s">
        <v>33</v>
      </c>
      <c r="D38" s="242" t="s">
        <v>786</v>
      </c>
      <c r="E38" s="39">
        <v>1</v>
      </c>
      <c r="F38" s="40">
        <v>19</v>
      </c>
      <c r="G38" s="41">
        <v>110</v>
      </c>
      <c r="H38" s="41">
        <v>60</v>
      </c>
      <c r="I38" s="41">
        <v>10</v>
      </c>
      <c r="J38" s="222">
        <v>3400</v>
      </c>
      <c r="K38" s="3">
        <f>Inventory_List_Table3[[#This Row],[Q]]*Inventory_List_Table3[[#This Row],[Per piece MXN$]]</f>
        <v>3400</v>
      </c>
      <c r="L38" s="42" t="s">
        <v>481</v>
      </c>
      <c r="M38" s="42" t="s">
        <v>34</v>
      </c>
    </row>
    <row r="39" spans="1:13" ht="21" x14ac:dyDescent="0.25">
      <c r="A39" s="36" t="s">
        <v>170</v>
      </c>
      <c r="B39" s="37"/>
      <c r="C39" s="218" t="s">
        <v>33</v>
      </c>
      <c r="D39" s="242" t="s">
        <v>787</v>
      </c>
      <c r="E39" s="39">
        <v>1</v>
      </c>
      <c r="F39" s="40">
        <v>19</v>
      </c>
      <c r="G39" s="41">
        <v>110</v>
      </c>
      <c r="H39" s="41">
        <v>60</v>
      </c>
      <c r="I39" s="41">
        <v>10</v>
      </c>
      <c r="J39" s="222">
        <v>3400</v>
      </c>
      <c r="K39" s="3">
        <f>Inventory_List_Table3[[#This Row],[Q]]*Inventory_List_Table3[[#This Row],[Per piece MXN$]]</f>
        <v>3400</v>
      </c>
      <c r="L39" s="42" t="s">
        <v>481</v>
      </c>
      <c r="M39" s="42" t="s">
        <v>34</v>
      </c>
    </row>
    <row r="40" spans="1:13" ht="21" x14ac:dyDescent="0.25">
      <c r="A40" s="36" t="s">
        <v>171</v>
      </c>
      <c r="B40" s="37"/>
      <c r="C40" s="218" t="s">
        <v>33</v>
      </c>
      <c r="D40" s="242" t="s">
        <v>788</v>
      </c>
      <c r="E40" s="39">
        <v>1</v>
      </c>
      <c r="F40" s="40">
        <v>19</v>
      </c>
      <c r="G40" s="41">
        <v>110</v>
      </c>
      <c r="H40" s="41">
        <v>60</v>
      </c>
      <c r="I40" s="41">
        <v>10</v>
      </c>
      <c r="J40" s="222">
        <v>3400</v>
      </c>
      <c r="K40" s="3">
        <f>Inventory_List_Table3[[#This Row],[Q]]*Inventory_List_Table3[[#This Row],[Per piece MXN$]]</f>
        <v>3400</v>
      </c>
      <c r="L40" s="42" t="s">
        <v>481</v>
      </c>
      <c r="M40" s="42" t="s">
        <v>34</v>
      </c>
    </row>
    <row r="41" spans="1:13" ht="21" x14ac:dyDescent="0.25">
      <c r="A41" s="36" t="s">
        <v>172</v>
      </c>
      <c r="B41" s="37"/>
      <c r="C41" s="218" t="s">
        <v>33</v>
      </c>
      <c r="D41" s="242" t="s">
        <v>789</v>
      </c>
      <c r="E41" s="39">
        <v>1</v>
      </c>
      <c r="F41" s="40">
        <v>19</v>
      </c>
      <c r="G41" s="41">
        <v>110</v>
      </c>
      <c r="H41" s="41">
        <v>60</v>
      </c>
      <c r="I41" s="41">
        <v>10</v>
      </c>
      <c r="J41" s="222">
        <v>3400</v>
      </c>
      <c r="K41" s="3">
        <f>Inventory_List_Table3[[#This Row],[Q]]*Inventory_List_Table3[[#This Row],[Per piece MXN$]]</f>
        <v>3400</v>
      </c>
      <c r="L41" s="42" t="s">
        <v>481</v>
      </c>
      <c r="M41" s="42" t="s">
        <v>34</v>
      </c>
    </row>
    <row r="42" spans="1:13" ht="21" x14ac:dyDescent="0.25">
      <c r="A42" s="36" t="s">
        <v>173</v>
      </c>
      <c r="B42" s="37"/>
      <c r="C42" s="218" t="s">
        <v>35</v>
      </c>
      <c r="D42" s="242" t="s">
        <v>790</v>
      </c>
      <c r="E42" s="39">
        <v>25</v>
      </c>
      <c r="F42" s="40">
        <v>6.8</v>
      </c>
      <c r="G42" s="41">
        <v>45</v>
      </c>
      <c r="H42" s="41">
        <v>15</v>
      </c>
      <c r="I42" s="41">
        <v>15</v>
      </c>
      <c r="J42" s="222">
        <v>750</v>
      </c>
      <c r="K42" s="3">
        <f>Inventory_List_Table3[[#This Row],[Q]]*Inventory_List_Table3[[#This Row],[Per piece MXN$]]</f>
        <v>18750</v>
      </c>
      <c r="L42" s="42" t="s">
        <v>525</v>
      </c>
      <c r="M42" s="42" t="s">
        <v>524</v>
      </c>
    </row>
    <row r="43" spans="1:13" ht="21" x14ac:dyDescent="0.25">
      <c r="A43" s="36" t="s">
        <v>174</v>
      </c>
      <c r="B43" s="37"/>
      <c r="C43" s="218" t="s">
        <v>35</v>
      </c>
      <c r="D43" s="242" t="s">
        <v>791</v>
      </c>
      <c r="E43" s="39">
        <v>9</v>
      </c>
      <c r="F43" s="40">
        <v>5.2</v>
      </c>
      <c r="G43" s="41">
        <v>40</v>
      </c>
      <c r="H43" s="41">
        <v>15</v>
      </c>
      <c r="I43" s="41">
        <v>15</v>
      </c>
      <c r="J43" s="222">
        <v>648</v>
      </c>
      <c r="K43" s="3">
        <f>Inventory_List_Table3[[#This Row],[Q]]*Inventory_List_Table3[[#This Row],[Per piece MXN$]]</f>
        <v>5832</v>
      </c>
      <c r="L43" s="42" t="s">
        <v>554</v>
      </c>
      <c r="M43" s="42" t="s">
        <v>576</v>
      </c>
    </row>
    <row r="44" spans="1:13" ht="21" x14ac:dyDescent="0.25">
      <c r="A44" s="36" t="s">
        <v>175</v>
      </c>
      <c r="B44" s="37"/>
      <c r="C44" s="218" t="s">
        <v>35</v>
      </c>
      <c r="D44" s="242" t="s">
        <v>792</v>
      </c>
      <c r="E44" s="39">
        <v>2</v>
      </c>
      <c r="F44" s="40">
        <v>5</v>
      </c>
      <c r="G44" s="41">
        <v>35</v>
      </c>
      <c r="H44" s="41">
        <v>15</v>
      </c>
      <c r="I44" s="41">
        <v>15</v>
      </c>
      <c r="J44" s="222">
        <v>567</v>
      </c>
      <c r="K44" s="3">
        <f>Inventory_List_Table3[[#This Row],[Q]]*Inventory_List_Table3[[#This Row],[Per piece MXN$]]</f>
        <v>1134</v>
      </c>
      <c r="L44" s="42" t="s">
        <v>527</v>
      </c>
      <c r="M44" s="42" t="s">
        <v>673</v>
      </c>
    </row>
    <row r="45" spans="1:13" ht="21" x14ac:dyDescent="0.25">
      <c r="A45" s="36" t="s">
        <v>176</v>
      </c>
      <c r="B45" s="37"/>
      <c r="C45" s="218" t="s">
        <v>36</v>
      </c>
      <c r="D45" s="242" t="s">
        <v>793</v>
      </c>
      <c r="E45" s="39">
        <v>16</v>
      </c>
      <c r="F45" s="40">
        <v>3.2</v>
      </c>
      <c r="G45" s="41">
        <v>35</v>
      </c>
      <c r="H45" s="41">
        <v>12</v>
      </c>
      <c r="I45" s="41">
        <v>12</v>
      </c>
      <c r="J45" s="222">
        <v>440</v>
      </c>
      <c r="K45" s="3">
        <f>Inventory_List_Table3[[#This Row],[Q]]*Inventory_List_Table3[[#This Row],[Per piece MXN$]]</f>
        <v>7040</v>
      </c>
      <c r="L45" s="42" t="s">
        <v>601</v>
      </c>
      <c r="M45" s="42" t="s">
        <v>617</v>
      </c>
    </row>
    <row r="46" spans="1:13" ht="21" x14ac:dyDescent="0.25">
      <c r="A46" s="36" t="s">
        <v>177</v>
      </c>
      <c r="B46" s="37"/>
      <c r="C46" s="218" t="s">
        <v>36</v>
      </c>
      <c r="D46" s="242" t="s">
        <v>794</v>
      </c>
      <c r="E46" s="39">
        <v>21</v>
      </c>
      <c r="F46" s="40">
        <v>2.8</v>
      </c>
      <c r="G46" s="41">
        <v>30</v>
      </c>
      <c r="H46" s="41">
        <v>12</v>
      </c>
      <c r="I46" s="41">
        <v>12</v>
      </c>
      <c r="J46" s="222">
        <v>380</v>
      </c>
      <c r="K46" s="3">
        <f>Inventory_List_Table3[[#This Row],[Q]]*Inventory_List_Table3[[#This Row],[Per piece MXN$]]</f>
        <v>7980</v>
      </c>
      <c r="L46" s="42" t="s">
        <v>597</v>
      </c>
      <c r="M46" s="42" t="s">
        <v>645</v>
      </c>
    </row>
    <row r="47" spans="1:13" ht="21" x14ac:dyDescent="0.25">
      <c r="A47" s="36" t="s">
        <v>178</v>
      </c>
      <c r="B47" s="37"/>
      <c r="C47" s="218" t="s">
        <v>37</v>
      </c>
      <c r="D47" s="242" t="s">
        <v>795</v>
      </c>
      <c r="E47" s="39">
        <v>19</v>
      </c>
      <c r="F47" s="40">
        <v>4</v>
      </c>
      <c r="G47" s="41">
        <v>40</v>
      </c>
      <c r="H47" s="41">
        <v>12</v>
      </c>
      <c r="I47" s="41">
        <v>12</v>
      </c>
      <c r="J47" s="222">
        <v>500</v>
      </c>
      <c r="K47" s="3">
        <f>Inventory_List_Table3[[#This Row],[Q]]*Inventory_List_Table3[[#This Row],[Per piece MXN$]]</f>
        <v>9500</v>
      </c>
      <c r="L47" s="42" t="s">
        <v>551</v>
      </c>
      <c r="M47" s="42" t="s">
        <v>550</v>
      </c>
    </row>
    <row r="48" spans="1:13" ht="21" x14ac:dyDescent="0.25">
      <c r="A48" s="36" t="s">
        <v>179</v>
      </c>
      <c r="B48" s="37"/>
      <c r="C48" s="218" t="s">
        <v>36</v>
      </c>
      <c r="D48" s="242" t="s">
        <v>796</v>
      </c>
      <c r="E48" s="39">
        <v>7</v>
      </c>
      <c r="F48" s="40">
        <v>3.4</v>
      </c>
      <c r="G48" s="41">
        <v>40</v>
      </c>
      <c r="H48" s="41">
        <v>10</v>
      </c>
      <c r="I48" s="41">
        <v>10</v>
      </c>
      <c r="J48" s="222">
        <v>430</v>
      </c>
      <c r="K48" s="3">
        <f>Inventory_List_Table3[[#This Row],[Q]]*Inventory_List_Table3[[#This Row],[Per piece MXN$]]</f>
        <v>3010</v>
      </c>
      <c r="L48" s="42" t="s">
        <v>531</v>
      </c>
      <c r="M48" s="42" t="s">
        <v>530</v>
      </c>
    </row>
    <row r="49" spans="1:13" ht="21" x14ac:dyDescent="0.25">
      <c r="A49" s="36" t="s">
        <v>180</v>
      </c>
      <c r="B49" s="37"/>
      <c r="C49" s="218" t="s">
        <v>38</v>
      </c>
      <c r="D49" s="242" t="s">
        <v>797</v>
      </c>
      <c r="E49" s="39">
        <v>11</v>
      </c>
      <c r="F49" s="40">
        <v>3.4</v>
      </c>
      <c r="G49" s="41">
        <v>40</v>
      </c>
      <c r="H49" s="41">
        <v>10</v>
      </c>
      <c r="I49" s="41">
        <v>10</v>
      </c>
      <c r="J49" s="222">
        <v>430</v>
      </c>
      <c r="K49" s="3">
        <f>Inventory_List_Table3[[#This Row],[Q]]*Inventory_List_Table3[[#This Row],[Per piece MXN$]]</f>
        <v>4730</v>
      </c>
      <c r="L49" s="42" t="s">
        <v>531</v>
      </c>
      <c r="M49" s="42" t="s">
        <v>530</v>
      </c>
    </row>
    <row r="50" spans="1:13" ht="21" x14ac:dyDescent="0.25">
      <c r="A50" s="36" t="s">
        <v>181</v>
      </c>
      <c r="B50" s="37"/>
      <c r="C50" s="218" t="s">
        <v>39</v>
      </c>
      <c r="D50" s="242" t="s">
        <v>798</v>
      </c>
      <c r="E50" s="39">
        <v>4</v>
      </c>
      <c r="F50" s="40">
        <v>3.4</v>
      </c>
      <c r="G50" s="41">
        <v>40</v>
      </c>
      <c r="H50" s="41">
        <v>10</v>
      </c>
      <c r="I50" s="41">
        <v>10</v>
      </c>
      <c r="J50" s="222">
        <v>430</v>
      </c>
      <c r="K50" s="3">
        <f>Inventory_List_Table3[[#This Row],[Q]]*Inventory_List_Table3[[#This Row],[Per piece MXN$]]</f>
        <v>1720</v>
      </c>
      <c r="L50" s="42" t="s">
        <v>531</v>
      </c>
      <c r="M50" s="42" t="s">
        <v>530</v>
      </c>
    </row>
    <row r="51" spans="1:13" ht="21" x14ac:dyDescent="0.25">
      <c r="A51" s="36" t="s">
        <v>182</v>
      </c>
      <c r="B51" s="37"/>
      <c r="C51" s="218" t="s">
        <v>37</v>
      </c>
      <c r="D51" s="242" t="s">
        <v>799</v>
      </c>
      <c r="E51" s="39">
        <v>11</v>
      </c>
      <c r="F51" s="40">
        <v>3.4</v>
      </c>
      <c r="G51" s="41">
        <v>40</v>
      </c>
      <c r="H51" s="41">
        <v>10</v>
      </c>
      <c r="I51" s="41">
        <v>10</v>
      </c>
      <c r="J51" s="222">
        <v>430</v>
      </c>
      <c r="K51" s="3">
        <f>Inventory_List_Table3[[#This Row],[Q]]*Inventory_List_Table3[[#This Row],[Per piece MXN$]]</f>
        <v>4730</v>
      </c>
      <c r="L51" s="42" t="s">
        <v>531</v>
      </c>
      <c r="M51" s="42" t="s">
        <v>530</v>
      </c>
    </row>
    <row r="52" spans="1:13" ht="21" x14ac:dyDescent="0.25">
      <c r="A52" s="36" t="s">
        <v>183</v>
      </c>
      <c r="B52" s="37"/>
      <c r="C52" s="218" t="s">
        <v>40</v>
      </c>
      <c r="D52" s="242" t="s">
        <v>800</v>
      </c>
      <c r="E52" s="39">
        <v>9</v>
      </c>
      <c r="F52" s="40">
        <v>3</v>
      </c>
      <c r="G52" s="41">
        <v>35</v>
      </c>
      <c r="H52" s="41">
        <v>10</v>
      </c>
      <c r="I52" s="41">
        <v>10</v>
      </c>
      <c r="J52" s="222">
        <v>380</v>
      </c>
      <c r="K52" s="3">
        <f>Inventory_List_Table3[[#This Row],[Q]]*Inventory_List_Table3[[#This Row],[Per piece MXN$]]</f>
        <v>3420</v>
      </c>
      <c r="L52" s="42" t="s">
        <v>597</v>
      </c>
      <c r="M52" s="42" t="s">
        <v>645</v>
      </c>
    </row>
    <row r="53" spans="1:13" ht="21" x14ac:dyDescent="0.25">
      <c r="A53" s="36" t="s">
        <v>184</v>
      </c>
      <c r="B53" s="37"/>
      <c r="C53" s="218" t="s">
        <v>37</v>
      </c>
      <c r="D53" s="242" t="s">
        <v>801</v>
      </c>
      <c r="E53" s="39">
        <v>2</v>
      </c>
      <c r="F53" s="40">
        <v>3</v>
      </c>
      <c r="G53" s="41">
        <v>35</v>
      </c>
      <c r="H53" s="41">
        <v>10</v>
      </c>
      <c r="I53" s="41">
        <v>10</v>
      </c>
      <c r="J53" s="222">
        <v>380</v>
      </c>
      <c r="K53" s="3">
        <f>Inventory_List_Table3[[#This Row],[Q]]*Inventory_List_Table3[[#This Row],[Per piece MXN$]]</f>
        <v>760</v>
      </c>
      <c r="L53" s="42" t="s">
        <v>597</v>
      </c>
      <c r="M53" s="42" t="s">
        <v>645</v>
      </c>
    </row>
    <row r="54" spans="1:13" ht="21" x14ac:dyDescent="0.25">
      <c r="A54" s="36" t="s">
        <v>185</v>
      </c>
      <c r="B54" s="37"/>
      <c r="C54" s="218" t="s">
        <v>41</v>
      </c>
      <c r="D54" s="242" t="s">
        <v>802</v>
      </c>
      <c r="E54" s="39">
        <v>2</v>
      </c>
      <c r="F54" s="40">
        <v>3</v>
      </c>
      <c r="G54" s="41">
        <v>35</v>
      </c>
      <c r="H54" s="41">
        <v>10</v>
      </c>
      <c r="I54" s="41">
        <v>10</v>
      </c>
      <c r="J54" s="222">
        <v>380</v>
      </c>
      <c r="K54" s="3">
        <f>Inventory_List_Table3[[#This Row],[Q]]*Inventory_List_Table3[[#This Row],[Per piece MXN$]]</f>
        <v>760</v>
      </c>
      <c r="L54" s="42" t="s">
        <v>597</v>
      </c>
      <c r="M54" s="42" t="s">
        <v>645</v>
      </c>
    </row>
    <row r="55" spans="1:13" ht="21" x14ac:dyDescent="0.25">
      <c r="A55" s="36" t="s">
        <v>186</v>
      </c>
      <c r="B55" s="37"/>
      <c r="C55" s="218" t="s">
        <v>42</v>
      </c>
      <c r="D55" s="242" t="s">
        <v>803</v>
      </c>
      <c r="E55" s="39">
        <v>4</v>
      </c>
      <c r="F55" s="40">
        <v>2.4</v>
      </c>
      <c r="G55" s="41">
        <v>30</v>
      </c>
      <c r="H55" s="41">
        <v>10</v>
      </c>
      <c r="I55" s="41">
        <v>10</v>
      </c>
      <c r="J55" s="222">
        <v>330</v>
      </c>
      <c r="K55" s="3">
        <f>Inventory_List_Table3[[#This Row],[Q]]*Inventory_List_Table3[[#This Row],[Per piece MXN$]]</f>
        <v>1320</v>
      </c>
      <c r="L55" s="42" t="s">
        <v>602</v>
      </c>
      <c r="M55" s="42" t="s">
        <v>601</v>
      </c>
    </row>
    <row r="56" spans="1:13" ht="21" x14ac:dyDescent="0.25">
      <c r="A56" s="36" t="s">
        <v>187</v>
      </c>
      <c r="B56" s="37"/>
      <c r="C56" s="218" t="s">
        <v>37</v>
      </c>
      <c r="D56" s="242" t="s">
        <v>804</v>
      </c>
      <c r="E56" s="39">
        <v>8</v>
      </c>
      <c r="F56" s="40">
        <v>2.4</v>
      </c>
      <c r="G56" s="41">
        <v>30</v>
      </c>
      <c r="H56" s="41">
        <v>10</v>
      </c>
      <c r="I56" s="41">
        <v>10</v>
      </c>
      <c r="J56" s="222">
        <v>330</v>
      </c>
      <c r="K56" s="3">
        <f>Inventory_List_Table3[[#This Row],[Q]]*Inventory_List_Table3[[#This Row],[Per piece MXN$]]</f>
        <v>2640</v>
      </c>
      <c r="L56" s="42" t="s">
        <v>602</v>
      </c>
      <c r="M56" s="42" t="s">
        <v>601</v>
      </c>
    </row>
    <row r="57" spans="1:13" ht="21" x14ac:dyDescent="0.25">
      <c r="A57" s="36" t="s">
        <v>188</v>
      </c>
      <c r="B57" s="37"/>
      <c r="C57" s="218" t="s">
        <v>40</v>
      </c>
      <c r="D57" s="242" t="s">
        <v>805</v>
      </c>
      <c r="E57" s="39">
        <v>2</v>
      </c>
      <c r="F57" s="40">
        <v>2.4</v>
      </c>
      <c r="G57" s="41">
        <v>30</v>
      </c>
      <c r="H57" s="41">
        <v>10</v>
      </c>
      <c r="I57" s="41">
        <v>10</v>
      </c>
      <c r="J57" s="222">
        <v>330</v>
      </c>
      <c r="K57" s="3">
        <f>Inventory_List_Table3[[#This Row],[Q]]*Inventory_List_Table3[[#This Row],[Per piece MXN$]]</f>
        <v>660</v>
      </c>
      <c r="L57" s="42" t="s">
        <v>602</v>
      </c>
      <c r="M57" s="42" t="s">
        <v>601</v>
      </c>
    </row>
    <row r="58" spans="1:13" ht="21" x14ac:dyDescent="0.25">
      <c r="A58" s="36" t="s">
        <v>189</v>
      </c>
      <c r="B58" s="37"/>
      <c r="C58" s="218" t="s">
        <v>43</v>
      </c>
      <c r="D58" s="242" t="s">
        <v>806</v>
      </c>
      <c r="E58" s="39">
        <v>14</v>
      </c>
      <c r="F58" s="40">
        <v>5.2</v>
      </c>
      <c r="G58" s="41">
        <v>35</v>
      </c>
      <c r="H58" s="41">
        <v>15</v>
      </c>
      <c r="I58" s="41">
        <v>15</v>
      </c>
      <c r="J58" s="222">
        <v>420</v>
      </c>
      <c r="K58" s="3">
        <f>Inventory_List_Table3[[#This Row],[Q]]*Inventory_List_Table3[[#This Row],[Per piece MXN$]]</f>
        <v>5880</v>
      </c>
      <c r="L58" s="42" t="s">
        <v>528</v>
      </c>
      <c r="M58" s="42" t="s">
        <v>527</v>
      </c>
    </row>
    <row r="59" spans="1:13" ht="21" x14ac:dyDescent="0.25">
      <c r="A59" s="36" t="s">
        <v>190</v>
      </c>
      <c r="B59" s="37"/>
      <c r="C59" s="218" t="s">
        <v>44</v>
      </c>
      <c r="D59" s="242" t="s">
        <v>807</v>
      </c>
      <c r="E59" s="39">
        <v>1</v>
      </c>
      <c r="F59" s="40">
        <v>30</v>
      </c>
      <c r="G59" s="41">
        <v>150</v>
      </c>
      <c r="H59" s="41">
        <v>80</v>
      </c>
      <c r="I59" s="41">
        <v>10</v>
      </c>
      <c r="J59" s="222">
        <v>5100</v>
      </c>
      <c r="K59" s="3">
        <f>Inventory_List_Table3[[#This Row],[Q]]*Inventory_List_Table3[[#This Row],[Per piece MXN$]]</f>
        <v>5100</v>
      </c>
      <c r="L59" s="42" t="s">
        <v>475</v>
      </c>
      <c r="M59" s="42" t="s">
        <v>474</v>
      </c>
    </row>
    <row r="60" spans="1:13" ht="21" x14ac:dyDescent="0.25">
      <c r="A60" s="36" t="s">
        <v>191</v>
      </c>
      <c r="B60" s="37"/>
      <c r="C60" s="218" t="s">
        <v>44</v>
      </c>
      <c r="D60" s="242" t="s">
        <v>808</v>
      </c>
      <c r="E60" s="39">
        <v>1</v>
      </c>
      <c r="F60" s="40">
        <v>30</v>
      </c>
      <c r="G60" s="41">
        <v>150</v>
      </c>
      <c r="H60" s="41">
        <v>80</v>
      </c>
      <c r="I60" s="41">
        <v>10</v>
      </c>
      <c r="J60" s="222">
        <v>5100</v>
      </c>
      <c r="K60" s="3">
        <f>Inventory_List_Table3[[#This Row],[Q]]*Inventory_List_Table3[[#This Row],[Per piece MXN$]]</f>
        <v>5100</v>
      </c>
      <c r="L60" s="42" t="s">
        <v>475</v>
      </c>
      <c r="M60" s="42" t="s">
        <v>474</v>
      </c>
    </row>
    <row r="61" spans="1:13" ht="21" x14ac:dyDescent="0.25">
      <c r="A61" s="36" t="s">
        <v>192</v>
      </c>
      <c r="B61" s="37"/>
      <c r="C61" s="218" t="s">
        <v>45</v>
      </c>
      <c r="D61" s="242" t="s">
        <v>809</v>
      </c>
      <c r="E61" s="39">
        <v>1</v>
      </c>
      <c r="F61" s="40">
        <v>27</v>
      </c>
      <c r="G61" s="41">
        <v>100</v>
      </c>
      <c r="H61" s="41">
        <v>100</v>
      </c>
      <c r="I61" s="41">
        <v>10</v>
      </c>
      <c r="J61" s="222">
        <v>4200</v>
      </c>
      <c r="K61" s="3">
        <f>Inventory_List_Table3[[#This Row],[Q]]*Inventory_List_Table3[[#This Row],[Per piece MXN$]]</f>
        <v>4200</v>
      </c>
      <c r="L61" s="42" t="s">
        <v>479</v>
      </c>
      <c r="M61" s="42" t="s">
        <v>478</v>
      </c>
    </row>
    <row r="62" spans="1:13" ht="21" x14ac:dyDescent="0.25">
      <c r="A62" s="36" t="s">
        <v>193</v>
      </c>
      <c r="B62" s="37"/>
      <c r="C62" s="218" t="s">
        <v>46</v>
      </c>
      <c r="D62" s="242" t="s">
        <v>810</v>
      </c>
      <c r="E62" s="39">
        <v>1</v>
      </c>
      <c r="F62" s="40">
        <v>19</v>
      </c>
      <c r="G62" s="41">
        <v>110</v>
      </c>
      <c r="H62" s="41">
        <v>60</v>
      </c>
      <c r="I62" s="41">
        <v>10</v>
      </c>
      <c r="J62" s="222">
        <v>3400</v>
      </c>
      <c r="K62" s="3">
        <f>Inventory_List_Table3[[#This Row],[Q]]*Inventory_List_Table3[[#This Row],[Per piece MXN$]]</f>
        <v>3400</v>
      </c>
      <c r="L62" s="42" t="s">
        <v>481</v>
      </c>
      <c r="M62" s="42" t="s">
        <v>34</v>
      </c>
    </row>
    <row r="63" spans="1:13" ht="21" x14ac:dyDescent="0.25">
      <c r="A63" s="36" t="s">
        <v>194</v>
      </c>
      <c r="B63" s="37"/>
      <c r="C63" s="218" t="s">
        <v>46</v>
      </c>
      <c r="D63" s="242" t="s">
        <v>811</v>
      </c>
      <c r="E63" s="39">
        <v>1</v>
      </c>
      <c r="F63" s="40">
        <v>19</v>
      </c>
      <c r="G63" s="41">
        <v>110</v>
      </c>
      <c r="H63" s="41">
        <v>60</v>
      </c>
      <c r="I63" s="41">
        <v>10</v>
      </c>
      <c r="J63" s="222">
        <v>3400</v>
      </c>
      <c r="K63" s="3">
        <f>Inventory_List_Table3[[#This Row],[Q]]*Inventory_List_Table3[[#This Row],[Per piece MXN$]]</f>
        <v>3400</v>
      </c>
      <c r="L63" s="42" t="s">
        <v>481</v>
      </c>
      <c r="M63" s="42" t="s">
        <v>34</v>
      </c>
    </row>
    <row r="64" spans="1:13" ht="21" x14ac:dyDescent="0.25">
      <c r="A64" s="36" t="s">
        <v>195</v>
      </c>
      <c r="B64" s="37"/>
      <c r="C64" s="218" t="s">
        <v>46</v>
      </c>
      <c r="D64" s="242" t="s">
        <v>812</v>
      </c>
      <c r="E64" s="39">
        <v>1</v>
      </c>
      <c r="F64" s="40">
        <v>19</v>
      </c>
      <c r="G64" s="41">
        <v>110</v>
      </c>
      <c r="H64" s="41">
        <v>60</v>
      </c>
      <c r="I64" s="41">
        <v>10</v>
      </c>
      <c r="J64" s="222">
        <v>3400</v>
      </c>
      <c r="K64" s="3">
        <f>Inventory_List_Table3[[#This Row],[Q]]*Inventory_List_Table3[[#This Row],[Per piece MXN$]]</f>
        <v>3400</v>
      </c>
      <c r="L64" s="42" t="s">
        <v>481</v>
      </c>
      <c r="M64" s="42" t="s">
        <v>34</v>
      </c>
    </row>
    <row r="65" spans="1:13" ht="21" x14ac:dyDescent="0.25">
      <c r="A65" s="36" t="s">
        <v>196</v>
      </c>
      <c r="B65" s="37"/>
      <c r="C65" s="218" t="s">
        <v>46</v>
      </c>
      <c r="D65" s="242" t="s">
        <v>813</v>
      </c>
      <c r="E65" s="39">
        <v>1</v>
      </c>
      <c r="F65" s="40">
        <v>19</v>
      </c>
      <c r="G65" s="41">
        <v>110</v>
      </c>
      <c r="H65" s="41">
        <v>60</v>
      </c>
      <c r="I65" s="41">
        <v>10</v>
      </c>
      <c r="J65" s="222">
        <v>3400</v>
      </c>
      <c r="K65" s="3">
        <f>Inventory_List_Table3[[#This Row],[Q]]*Inventory_List_Table3[[#This Row],[Per piece MXN$]]</f>
        <v>3400</v>
      </c>
      <c r="L65" s="42" t="s">
        <v>481</v>
      </c>
      <c r="M65" s="42" t="s">
        <v>34</v>
      </c>
    </row>
    <row r="66" spans="1:13" ht="21" x14ac:dyDescent="0.25">
      <c r="A66" s="36" t="s">
        <v>197</v>
      </c>
      <c r="B66" s="37"/>
      <c r="C66" s="218" t="s">
        <v>44</v>
      </c>
      <c r="D66" s="242" t="s">
        <v>814</v>
      </c>
      <c r="E66" s="39">
        <v>1</v>
      </c>
      <c r="F66" s="40">
        <v>19</v>
      </c>
      <c r="G66" s="41">
        <v>110</v>
      </c>
      <c r="H66" s="41">
        <v>60</v>
      </c>
      <c r="I66" s="41">
        <v>10</v>
      </c>
      <c r="J66" s="222">
        <v>3400</v>
      </c>
      <c r="K66" s="3">
        <f>Inventory_List_Table3[[#This Row],[Q]]*Inventory_List_Table3[[#This Row],[Per piece MXN$]]</f>
        <v>3400</v>
      </c>
      <c r="L66" s="42" t="s">
        <v>481</v>
      </c>
      <c r="M66" s="42" t="s">
        <v>34</v>
      </c>
    </row>
    <row r="67" spans="1:13" ht="21" x14ac:dyDescent="0.25">
      <c r="A67" s="36" t="s">
        <v>198</v>
      </c>
      <c r="B67" s="37"/>
      <c r="C67" s="218" t="s">
        <v>47</v>
      </c>
      <c r="D67" s="242" t="s">
        <v>815</v>
      </c>
      <c r="E67" s="39">
        <v>13</v>
      </c>
      <c r="F67" s="40">
        <v>7</v>
      </c>
      <c r="G67" s="41">
        <v>45</v>
      </c>
      <c r="H67" s="41">
        <v>15</v>
      </c>
      <c r="I67" s="41">
        <v>15</v>
      </c>
      <c r="J67" s="222">
        <v>750</v>
      </c>
      <c r="K67" s="3">
        <f>Inventory_List_Table3[[#This Row],[Q]]*Inventory_List_Table3[[#This Row],[Per piece MXN$]]</f>
        <v>9750</v>
      </c>
      <c r="L67" s="42" t="s">
        <v>525</v>
      </c>
      <c r="M67" s="42" t="s">
        <v>524</v>
      </c>
    </row>
    <row r="68" spans="1:13" ht="21" x14ac:dyDescent="0.25">
      <c r="A68" s="36" t="s">
        <v>199</v>
      </c>
      <c r="B68" s="37"/>
      <c r="C68" s="218" t="s">
        <v>47</v>
      </c>
      <c r="D68" s="242" t="s">
        <v>816</v>
      </c>
      <c r="E68" s="39">
        <v>4</v>
      </c>
      <c r="F68" s="40">
        <v>4</v>
      </c>
      <c r="G68" s="41">
        <v>40</v>
      </c>
      <c r="H68" s="41">
        <v>12</v>
      </c>
      <c r="I68" s="41">
        <v>12</v>
      </c>
      <c r="J68" s="222">
        <v>500</v>
      </c>
      <c r="K68" s="3">
        <f>Inventory_List_Table3[[#This Row],[Q]]*Inventory_List_Table3[[#This Row],[Per piece MXN$]]</f>
        <v>2000</v>
      </c>
      <c r="L68" s="42" t="s">
        <v>551</v>
      </c>
      <c r="M68" s="42" t="s">
        <v>550</v>
      </c>
    </row>
    <row r="69" spans="1:13" ht="21" x14ac:dyDescent="0.25">
      <c r="A69" s="36" t="s">
        <v>200</v>
      </c>
      <c r="B69" s="37"/>
      <c r="C69" s="218" t="s">
        <v>48</v>
      </c>
      <c r="D69" s="242" t="s">
        <v>817</v>
      </c>
      <c r="E69" s="39">
        <v>1</v>
      </c>
      <c r="F69" s="40">
        <v>3</v>
      </c>
      <c r="G69" s="41">
        <v>35</v>
      </c>
      <c r="H69" s="41">
        <v>12</v>
      </c>
      <c r="I69" s="41">
        <v>12</v>
      </c>
      <c r="J69" s="222">
        <v>440</v>
      </c>
      <c r="K69" s="3">
        <f>Inventory_List_Table3[[#This Row],[Q]]*Inventory_List_Table3[[#This Row],[Per piece MXN$]]</f>
        <v>440</v>
      </c>
      <c r="L69" s="42" t="s">
        <v>601</v>
      </c>
      <c r="M69" s="42" t="s">
        <v>617</v>
      </c>
    </row>
    <row r="70" spans="1:13" ht="21" x14ac:dyDescent="0.25">
      <c r="A70" s="36" t="s">
        <v>201</v>
      </c>
      <c r="B70" s="37"/>
      <c r="C70" s="218" t="s">
        <v>48</v>
      </c>
      <c r="D70" s="242" t="s">
        <v>818</v>
      </c>
      <c r="E70" s="39">
        <v>4</v>
      </c>
      <c r="F70" s="40">
        <v>3</v>
      </c>
      <c r="G70" s="41">
        <v>30</v>
      </c>
      <c r="H70" s="41">
        <v>12</v>
      </c>
      <c r="I70" s="41">
        <v>12</v>
      </c>
      <c r="J70" s="222">
        <v>380</v>
      </c>
      <c r="K70" s="3">
        <f>Inventory_List_Table3[[#This Row],[Q]]*Inventory_List_Table3[[#This Row],[Per piece MXN$]]</f>
        <v>1520</v>
      </c>
      <c r="L70" s="42" t="s">
        <v>597</v>
      </c>
      <c r="M70" s="42" t="s">
        <v>645</v>
      </c>
    </row>
    <row r="71" spans="1:13" ht="21" x14ac:dyDescent="0.25">
      <c r="A71" s="36" t="s">
        <v>202</v>
      </c>
      <c r="B71" s="37"/>
      <c r="C71" s="218" t="s">
        <v>44</v>
      </c>
      <c r="D71" s="242" t="s">
        <v>819</v>
      </c>
      <c r="E71" s="39">
        <v>1</v>
      </c>
      <c r="F71" s="40">
        <v>30</v>
      </c>
      <c r="G71" s="41">
        <v>150</v>
      </c>
      <c r="H71" s="41">
        <v>80</v>
      </c>
      <c r="I71" s="41">
        <v>10</v>
      </c>
      <c r="J71" s="222">
        <v>5100</v>
      </c>
      <c r="K71" s="3">
        <f>Inventory_List_Table3[[#This Row],[Q]]*Inventory_List_Table3[[#This Row],[Per piece MXN$]]</f>
        <v>5100</v>
      </c>
      <c r="L71" s="42" t="s">
        <v>475</v>
      </c>
      <c r="M71" s="42" t="s">
        <v>474</v>
      </c>
    </row>
    <row r="72" spans="1:13" ht="21" x14ac:dyDescent="0.25">
      <c r="A72" s="36" t="s">
        <v>203</v>
      </c>
      <c r="B72" s="37"/>
      <c r="C72" s="218" t="s">
        <v>49</v>
      </c>
      <c r="D72" s="242" t="s">
        <v>820</v>
      </c>
      <c r="E72" s="39">
        <v>6</v>
      </c>
      <c r="F72" s="40">
        <v>13</v>
      </c>
      <c r="G72" s="41">
        <v>80</v>
      </c>
      <c r="H72" s="41">
        <v>80</v>
      </c>
      <c r="I72" s="41">
        <v>10</v>
      </c>
      <c r="J72" s="222">
        <v>4200</v>
      </c>
      <c r="K72" s="3">
        <f>Inventory_List_Table3[[#This Row],[Q]]*Inventory_List_Table3[[#This Row],[Per piece MXN$]]</f>
        <v>25200</v>
      </c>
      <c r="L72" s="42" t="s">
        <v>479</v>
      </c>
      <c r="M72" s="42" t="s">
        <v>478</v>
      </c>
    </row>
    <row r="73" spans="1:13" ht="21" x14ac:dyDescent="0.25">
      <c r="A73" s="36" t="s">
        <v>204</v>
      </c>
      <c r="B73" s="37"/>
      <c r="C73" s="218" t="s">
        <v>44</v>
      </c>
      <c r="D73" s="242" t="s">
        <v>821</v>
      </c>
      <c r="E73" s="39">
        <v>5</v>
      </c>
      <c r="F73" s="40">
        <v>19</v>
      </c>
      <c r="G73" s="41">
        <v>110</v>
      </c>
      <c r="H73" s="41">
        <v>60</v>
      </c>
      <c r="I73" s="41">
        <v>10</v>
      </c>
      <c r="J73" s="222">
        <v>3400</v>
      </c>
      <c r="K73" s="3">
        <f>Inventory_List_Table3[[#This Row],[Q]]*Inventory_List_Table3[[#This Row],[Per piece MXN$]]</f>
        <v>17000</v>
      </c>
      <c r="L73" s="42" t="s">
        <v>481</v>
      </c>
      <c r="M73" s="42" t="s">
        <v>34</v>
      </c>
    </row>
    <row r="74" spans="1:13" ht="21" x14ac:dyDescent="0.25">
      <c r="A74" s="36" t="s">
        <v>205</v>
      </c>
      <c r="B74" s="37"/>
      <c r="C74" s="218" t="s">
        <v>50</v>
      </c>
      <c r="D74" s="242" t="s">
        <v>822</v>
      </c>
      <c r="E74" s="39">
        <v>1</v>
      </c>
      <c r="F74" s="40">
        <v>52</v>
      </c>
      <c r="G74" s="41">
        <v>86</v>
      </c>
      <c r="H74" s="41">
        <v>86</v>
      </c>
      <c r="I74" s="41">
        <v>50</v>
      </c>
      <c r="J74" s="222">
        <v>8000</v>
      </c>
      <c r="K74" s="3">
        <f>Inventory_List_Table3[[#This Row],[Q]]*Inventory_List_Table3[[#This Row],[Per piece MXN$]]</f>
        <v>8000</v>
      </c>
      <c r="L74" s="42" t="s">
        <v>493</v>
      </c>
      <c r="M74" s="42" t="s">
        <v>492</v>
      </c>
    </row>
    <row r="75" spans="1:13" ht="21" x14ac:dyDescent="0.25">
      <c r="A75" s="36" t="s">
        <v>206</v>
      </c>
      <c r="B75" s="37">
        <v>45954</v>
      </c>
      <c r="C75" s="220" t="s">
        <v>260</v>
      </c>
      <c r="D75" s="241" t="s">
        <v>851</v>
      </c>
      <c r="E75" s="39">
        <v>2</v>
      </c>
      <c r="F75" s="40">
        <v>30</v>
      </c>
      <c r="G75" s="41">
        <v>150</v>
      </c>
      <c r="H75" s="41">
        <v>80</v>
      </c>
      <c r="I75" s="41">
        <v>10</v>
      </c>
      <c r="J75" s="5">
        <v>5100</v>
      </c>
      <c r="K75" s="221">
        <f>Inventory_List_Table3[[#This Row],[Q]]*Inventory_List_Table3[[#This Row],[Per piece MXN$]]</f>
        <v>10200</v>
      </c>
      <c r="L75" s="42" t="s">
        <v>475</v>
      </c>
      <c r="M75" s="42" t="s">
        <v>474</v>
      </c>
    </row>
    <row r="76" spans="1:13" ht="21" x14ac:dyDescent="0.25">
      <c r="A76" s="36" t="s">
        <v>207</v>
      </c>
      <c r="B76" s="37">
        <v>45954</v>
      </c>
      <c r="C76" s="220" t="s">
        <v>261</v>
      </c>
      <c r="D76" s="241" t="s">
        <v>852</v>
      </c>
      <c r="E76" s="39">
        <v>4</v>
      </c>
      <c r="F76" s="40">
        <v>30</v>
      </c>
      <c r="G76" s="41">
        <v>150</v>
      </c>
      <c r="H76" s="41">
        <v>80</v>
      </c>
      <c r="I76" s="41">
        <v>10</v>
      </c>
      <c r="J76" s="5">
        <v>5100</v>
      </c>
      <c r="K76" s="221">
        <f>Inventory_List_Table3[[#This Row],[Q]]*Inventory_List_Table3[[#This Row],[Per piece MXN$]]</f>
        <v>20400</v>
      </c>
      <c r="L76" s="42" t="s">
        <v>475</v>
      </c>
      <c r="M76" s="42" t="s">
        <v>474</v>
      </c>
    </row>
    <row r="77" spans="1:13" ht="21" x14ac:dyDescent="0.25">
      <c r="A77" s="36" t="s">
        <v>208</v>
      </c>
      <c r="B77" s="37">
        <v>45954</v>
      </c>
      <c r="C77" s="220" t="s">
        <v>262</v>
      </c>
      <c r="D77" s="241" t="s">
        <v>853</v>
      </c>
      <c r="E77" s="39">
        <v>1</v>
      </c>
      <c r="F77" s="40">
        <v>40</v>
      </c>
      <c r="G77" s="41">
        <v>183</v>
      </c>
      <c r="H77" s="41">
        <v>102</v>
      </c>
      <c r="I77" s="41">
        <v>10</v>
      </c>
      <c r="J77" s="5">
        <v>7600</v>
      </c>
      <c r="K77" s="221">
        <f>Inventory_List_Table3[[#This Row],[Q]]*Inventory_List_Table3[[#This Row],[Per piece MXN$]]</f>
        <v>7600</v>
      </c>
      <c r="L77" s="42" t="s">
        <v>854</v>
      </c>
      <c r="M77" s="42" t="s">
        <v>855</v>
      </c>
    </row>
    <row r="78" spans="1:13" ht="21" x14ac:dyDescent="0.25">
      <c r="A78" s="36" t="s">
        <v>209</v>
      </c>
      <c r="B78" s="37">
        <v>45954</v>
      </c>
      <c r="C78" s="220" t="s">
        <v>45</v>
      </c>
      <c r="D78" s="241" t="s">
        <v>856</v>
      </c>
      <c r="E78" s="39">
        <v>3</v>
      </c>
      <c r="F78" s="40">
        <v>27</v>
      </c>
      <c r="G78" s="41">
        <v>100</v>
      </c>
      <c r="H78" s="41">
        <v>100</v>
      </c>
      <c r="I78" s="41">
        <v>10</v>
      </c>
      <c r="J78" s="5">
        <v>4200</v>
      </c>
      <c r="K78" s="221">
        <f>Inventory_List_Table3[[#This Row],[Q]]*Inventory_List_Table3[[#This Row],[Per piece MXN$]]</f>
        <v>12600</v>
      </c>
      <c r="L78" s="42" t="s">
        <v>479</v>
      </c>
      <c r="M78" s="42" t="s">
        <v>478</v>
      </c>
    </row>
    <row r="79" spans="1:13" ht="21" x14ac:dyDescent="0.25">
      <c r="A79" s="36" t="s">
        <v>210</v>
      </c>
      <c r="B79" s="37">
        <v>45954</v>
      </c>
      <c r="C79" s="220" t="s">
        <v>261</v>
      </c>
      <c r="D79" s="241" t="s">
        <v>857</v>
      </c>
      <c r="E79" s="39">
        <v>2</v>
      </c>
      <c r="F79" s="40">
        <v>19</v>
      </c>
      <c r="G79" s="41">
        <v>110</v>
      </c>
      <c r="H79" s="41">
        <v>60</v>
      </c>
      <c r="I79" s="41">
        <v>10</v>
      </c>
      <c r="J79" s="5">
        <v>3400</v>
      </c>
      <c r="K79" s="221">
        <f>Inventory_List_Table3[[#This Row],[Q]]*Inventory_List_Table3[[#This Row],[Per piece MXN$]]</f>
        <v>6800</v>
      </c>
      <c r="L79" s="42" t="s">
        <v>481</v>
      </c>
      <c r="M79" s="42" t="s">
        <v>34</v>
      </c>
    </row>
    <row r="80" spans="1:13" ht="21" x14ac:dyDescent="0.25">
      <c r="A80" s="36" t="s">
        <v>211</v>
      </c>
      <c r="B80" s="37">
        <v>45954</v>
      </c>
      <c r="C80" s="220" t="s">
        <v>263</v>
      </c>
      <c r="D80" s="241" t="s">
        <v>858</v>
      </c>
      <c r="E80" s="39">
        <v>1</v>
      </c>
      <c r="F80" s="40"/>
      <c r="G80" s="41">
        <v>120</v>
      </c>
      <c r="H80" s="41">
        <v>22</v>
      </c>
      <c r="I80" s="41">
        <v>11</v>
      </c>
      <c r="J80" s="5">
        <v>3484</v>
      </c>
      <c r="K80" s="221">
        <f>Inventory_List_Table3[[#This Row],[Q]]*Inventory_List_Table3[[#This Row],[Per piece MXN$]]</f>
        <v>3484</v>
      </c>
      <c r="L80" s="42" t="s">
        <v>859</v>
      </c>
      <c r="M80" s="42" t="s">
        <v>860</v>
      </c>
    </row>
    <row r="81" spans="1:13" ht="21" x14ac:dyDescent="0.25">
      <c r="A81" s="36" t="s">
        <v>212</v>
      </c>
      <c r="B81" s="37">
        <v>45954</v>
      </c>
      <c r="C81" s="220" t="s">
        <v>263</v>
      </c>
      <c r="D81" s="241" t="s">
        <v>861</v>
      </c>
      <c r="E81" s="39">
        <v>1</v>
      </c>
      <c r="F81" s="40"/>
      <c r="G81" s="41">
        <v>115</v>
      </c>
      <c r="H81" s="41">
        <v>22</v>
      </c>
      <c r="I81" s="41">
        <v>11</v>
      </c>
      <c r="J81" s="5">
        <v>3339</v>
      </c>
      <c r="K81" s="221">
        <f>Inventory_List_Table3[[#This Row],[Q]]*Inventory_List_Table3[[#This Row],[Per piece MXN$]]</f>
        <v>3339</v>
      </c>
      <c r="L81" s="42" t="s">
        <v>862</v>
      </c>
      <c r="M81" s="42" t="s">
        <v>863</v>
      </c>
    </row>
    <row r="82" spans="1:13" ht="21" x14ac:dyDescent="0.25">
      <c r="A82" s="36" t="s">
        <v>213</v>
      </c>
      <c r="B82" s="37">
        <v>45954</v>
      </c>
      <c r="C82" s="220" t="s">
        <v>264</v>
      </c>
      <c r="D82" s="241" t="s">
        <v>864</v>
      </c>
      <c r="E82" s="39">
        <v>3</v>
      </c>
      <c r="F82" s="40"/>
      <c r="G82" s="41">
        <v>110</v>
      </c>
      <c r="H82" s="41">
        <v>22</v>
      </c>
      <c r="I82" s="41">
        <v>11</v>
      </c>
      <c r="J82" s="5">
        <v>3194</v>
      </c>
      <c r="K82" s="221">
        <f>Inventory_List_Table3[[#This Row],[Q]]*Inventory_List_Table3[[#This Row],[Per piece MXN$]]</f>
        <v>9582</v>
      </c>
      <c r="L82" s="42" t="s">
        <v>835</v>
      </c>
      <c r="M82" s="42" t="s">
        <v>865</v>
      </c>
    </row>
    <row r="83" spans="1:13" ht="21" x14ac:dyDescent="0.25">
      <c r="A83" s="36" t="s">
        <v>214</v>
      </c>
      <c r="B83" s="37">
        <v>45954</v>
      </c>
      <c r="C83" s="220" t="s">
        <v>263</v>
      </c>
      <c r="D83" s="241" t="s">
        <v>866</v>
      </c>
      <c r="E83" s="39">
        <v>2</v>
      </c>
      <c r="F83" s="40"/>
      <c r="G83" s="41">
        <v>110</v>
      </c>
      <c r="H83" s="41">
        <v>22</v>
      </c>
      <c r="I83" s="41">
        <v>11</v>
      </c>
      <c r="J83" s="5">
        <v>2904</v>
      </c>
      <c r="K83" s="221">
        <f>Inventory_List_Table3[[#This Row],[Q]]*Inventory_List_Table3[[#This Row],[Per piece MXN$]]</f>
        <v>5808</v>
      </c>
      <c r="L83" s="42" t="s">
        <v>867</v>
      </c>
      <c r="M83" s="42" t="s">
        <v>868</v>
      </c>
    </row>
    <row r="84" spans="1:13" ht="21" x14ac:dyDescent="0.25">
      <c r="A84" s="36" t="s">
        <v>215</v>
      </c>
      <c r="B84" s="37">
        <v>45954</v>
      </c>
      <c r="C84" s="220" t="s">
        <v>265</v>
      </c>
      <c r="D84" s="241" t="s">
        <v>869</v>
      </c>
      <c r="E84" s="39">
        <v>2</v>
      </c>
      <c r="F84" s="40"/>
      <c r="G84" s="41">
        <v>70</v>
      </c>
      <c r="H84" s="41">
        <v>22</v>
      </c>
      <c r="I84" s="41">
        <v>11</v>
      </c>
      <c r="J84" s="5">
        <v>2032</v>
      </c>
      <c r="K84" s="221">
        <f>Inventory_List_Table3[[#This Row],[Q]]*Inventory_List_Table3[[#This Row],[Per piece MXN$]]</f>
        <v>4064</v>
      </c>
      <c r="L84" s="42" t="s">
        <v>501</v>
      </c>
      <c r="M84" s="42" t="s">
        <v>500</v>
      </c>
    </row>
    <row r="85" spans="1:13" ht="21" x14ac:dyDescent="0.25">
      <c r="A85" s="36" t="s">
        <v>216</v>
      </c>
      <c r="B85" s="37">
        <v>45954</v>
      </c>
      <c r="C85" s="220" t="s">
        <v>266</v>
      </c>
      <c r="D85" s="241" t="s">
        <v>870</v>
      </c>
      <c r="E85" s="39">
        <v>18</v>
      </c>
      <c r="F85" s="40">
        <v>7</v>
      </c>
      <c r="G85" s="41">
        <v>45</v>
      </c>
      <c r="H85" s="41">
        <v>15</v>
      </c>
      <c r="I85" s="41">
        <v>15</v>
      </c>
      <c r="J85" s="5">
        <v>750</v>
      </c>
      <c r="K85" s="221">
        <f>Inventory_List_Table3[[#This Row],[Q]]*Inventory_List_Table3[[#This Row],[Per piece MXN$]]</f>
        <v>13500</v>
      </c>
      <c r="L85" s="42" t="s">
        <v>525</v>
      </c>
      <c r="M85" s="42" t="s">
        <v>524</v>
      </c>
    </row>
    <row r="86" spans="1:13" ht="21" x14ac:dyDescent="0.25">
      <c r="A86" s="36" t="s">
        <v>217</v>
      </c>
      <c r="B86" s="37">
        <v>45954</v>
      </c>
      <c r="C86" s="220" t="s">
        <v>267</v>
      </c>
      <c r="D86" s="241" t="s">
        <v>871</v>
      </c>
      <c r="E86" s="39">
        <v>12</v>
      </c>
      <c r="F86" s="40">
        <v>4</v>
      </c>
      <c r="G86" s="41">
        <v>40</v>
      </c>
      <c r="H86" s="41">
        <v>12</v>
      </c>
      <c r="I86" s="41">
        <v>12</v>
      </c>
      <c r="J86" s="5">
        <v>500</v>
      </c>
      <c r="K86" s="221">
        <f>Inventory_List_Table3[[#This Row],[Q]]*Inventory_List_Table3[[#This Row],[Per piece MXN$]]</f>
        <v>6000</v>
      </c>
      <c r="L86" s="42" t="s">
        <v>551</v>
      </c>
      <c r="M86" s="42" t="s">
        <v>550</v>
      </c>
    </row>
    <row r="87" spans="1:13" ht="21" x14ac:dyDescent="0.25">
      <c r="A87" s="36" t="s">
        <v>218</v>
      </c>
      <c r="B87" s="37">
        <v>45954</v>
      </c>
      <c r="C87" s="220" t="s">
        <v>267</v>
      </c>
      <c r="D87" s="241" t="s">
        <v>872</v>
      </c>
      <c r="E87" s="39">
        <v>18</v>
      </c>
      <c r="F87" s="40">
        <v>3</v>
      </c>
      <c r="G87" s="41">
        <v>35</v>
      </c>
      <c r="H87" s="41">
        <v>10</v>
      </c>
      <c r="I87" s="41">
        <v>10</v>
      </c>
      <c r="J87" s="5">
        <v>380</v>
      </c>
      <c r="K87" s="221">
        <f>Inventory_List_Table3[[#This Row],[Q]]*Inventory_List_Table3[[#This Row],[Per piece MXN$]]</f>
        <v>6840</v>
      </c>
      <c r="L87" s="42" t="s">
        <v>597</v>
      </c>
      <c r="M87" s="42" t="s">
        <v>645</v>
      </c>
    </row>
    <row r="88" spans="1:13" ht="21" x14ac:dyDescent="0.25">
      <c r="A88" s="36" t="s">
        <v>219</v>
      </c>
      <c r="B88" s="37">
        <v>45954</v>
      </c>
      <c r="C88" s="220" t="s">
        <v>42</v>
      </c>
      <c r="D88" s="241" t="s">
        <v>873</v>
      </c>
      <c r="E88" s="39">
        <v>13</v>
      </c>
      <c r="F88" s="40">
        <v>3</v>
      </c>
      <c r="G88" s="41">
        <v>35</v>
      </c>
      <c r="H88" s="41">
        <v>10</v>
      </c>
      <c r="I88" s="41">
        <v>10</v>
      </c>
      <c r="J88" s="5">
        <v>380</v>
      </c>
      <c r="K88" s="221">
        <f>Inventory_List_Table3[[#This Row],[Q]]*Inventory_List_Table3[[#This Row],[Per piece MXN$]]</f>
        <v>4940</v>
      </c>
      <c r="L88" s="42" t="s">
        <v>597</v>
      </c>
      <c r="M88" s="42" t="s">
        <v>645</v>
      </c>
    </row>
    <row r="89" spans="1:13" ht="21" x14ac:dyDescent="0.25">
      <c r="A89" s="36" t="s">
        <v>220</v>
      </c>
      <c r="B89" s="37">
        <v>45954</v>
      </c>
      <c r="C89" s="220" t="s">
        <v>268</v>
      </c>
      <c r="D89" s="241" t="s">
        <v>874</v>
      </c>
      <c r="E89" s="39">
        <v>23</v>
      </c>
      <c r="F89" s="40">
        <v>3</v>
      </c>
      <c r="G89" s="41">
        <v>35</v>
      </c>
      <c r="H89" s="41">
        <v>10</v>
      </c>
      <c r="I89" s="41">
        <v>10</v>
      </c>
      <c r="J89" s="5">
        <v>380</v>
      </c>
      <c r="K89" s="221">
        <f>Inventory_List_Table3[[#This Row],[Q]]*Inventory_List_Table3[[#This Row],[Per piece MXN$]]</f>
        <v>8740</v>
      </c>
      <c r="L89" s="42" t="s">
        <v>597</v>
      </c>
      <c r="M89" s="42" t="s">
        <v>645</v>
      </c>
    </row>
    <row r="90" spans="1:13" ht="21" x14ac:dyDescent="0.25">
      <c r="A90" s="36" t="s">
        <v>221</v>
      </c>
      <c r="B90" s="37">
        <v>45954</v>
      </c>
      <c r="C90" s="220" t="s">
        <v>267</v>
      </c>
      <c r="D90" s="241" t="s">
        <v>875</v>
      </c>
      <c r="E90" s="39">
        <v>14</v>
      </c>
      <c r="F90" s="40">
        <v>3</v>
      </c>
      <c r="G90" s="41">
        <v>35</v>
      </c>
      <c r="H90" s="41">
        <v>12</v>
      </c>
      <c r="I90" s="41">
        <v>12</v>
      </c>
      <c r="J90" s="5">
        <v>440</v>
      </c>
      <c r="K90" s="221">
        <f>Inventory_List_Table3[[#This Row],[Q]]*Inventory_List_Table3[[#This Row],[Per piece MXN$]]</f>
        <v>6160</v>
      </c>
      <c r="L90" s="42" t="s">
        <v>601</v>
      </c>
      <c r="M90" s="42" t="s">
        <v>617</v>
      </c>
    </row>
    <row r="91" spans="1:13" ht="21" x14ac:dyDescent="0.25">
      <c r="A91" s="36" t="s">
        <v>222</v>
      </c>
      <c r="B91" s="37">
        <v>45996</v>
      </c>
      <c r="C91" s="218" t="s">
        <v>292</v>
      </c>
      <c r="D91" s="50" t="s">
        <v>473</v>
      </c>
      <c r="E91" s="223">
        <v>9</v>
      </c>
      <c r="F91" s="224">
        <v>30</v>
      </c>
      <c r="G91" s="225">
        <v>150</v>
      </c>
      <c r="H91" s="225">
        <v>80</v>
      </c>
      <c r="I91" s="225">
        <v>10</v>
      </c>
      <c r="J91" s="222">
        <v>5100</v>
      </c>
      <c r="K91" s="3">
        <f>Inventory_List_Table3[[#This Row],[Q]]*Inventory_List_Table3[[#This Row],[Per piece MXN$]]</f>
        <v>45900</v>
      </c>
      <c r="L91" s="42" t="s">
        <v>475</v>
      </c>
      <c r="M91" s="42" t="s">
        <v>474</v>
      </c>
    </row>
    <row r="92" spans="1:13" ht="21" x14ac:dyDescent="0.25">
      <c r="A92" s="36" t="s">
        <v>223</v>
      </c>
      <c r="B92" s="37">
        <v>45996</v>
      </c>
      <c r="C92" s="218" t="s">
        <v>293</v>
      </c>
      <c r="D92" s="50" t="s">
        <v>476</v>
      </c>
      <c r="E92" s="223">
        <v>6</v>
      </c>
      <c r="F92" s="224">
        <v>30</v>
      </c>
      <c r="G92" s="225">
        <v>150</v>
      </c>
      <c r="H92" s="225">
        <v>80</v>
      </c>
      <c r="I92" s="225">
        <v>10</v>
      </c>
      <c r="J92" s="222">
        <v>5100</v>
      </c>
      <c r="K92" s="3">
        <f>Inventory_List_Table3[[#This Row],[Q]]*Inventory_List_Table3[[#This Row],[Per piece MXN$]]</f>
        <v>30600</v>
      </c>
      <c r="L92" s="42" t="s">
        <v>475</v>
      </c>
      <c r="M92" s="42" t="s">
        <v>474</v>
      </c>
    </row>
    <row r="93" spans="1:13" ht="21" x14ac:dyDescent="0.25">
      <c r="A93" s="36" t="s">
        <v>224</v>
      </c>
      <c r="B93" s="37">
        <v>45996</v>
      </c>
      <c r="C93" s="218" t="s">
        <v>45</v>
      </c>
      <c r="D93" s="50" t="s">
        <v>477</v>
      </c>
      <c r="E93" s="223">
        <v>6</v>
      </c>
      <c r="F93" s="224">
        <v>23</v>
      </c>
      <c r="G93" s="225">
        <v>100</v>
      </c>
      <c r="H93" s="225">
        <v>100</v>
      </c>
      <c r="I93" s="225">
        <v>10</v>
      </c>
      <c r="J93" s="222">
        <v>4200</v>
      </c>
      <c r="K93" s="3">
        <f>Inventory_List_Table3[[#This Row],[Q]]*Inventory_List_Table3[[#This Row],[Per piece MXN$]]</f>
        <v>25200</v>
      </c>
      <c r="L93" s="42" t="s">
        <v>479</v>
      </c>
      <c r="M93" s="42" t="s">
        <v>478</v>
      </c>
    </row>
    <row r="94" spans="1:13" ht="21" x14ac:dyDescent="0.25">
      <c r="A94" s="36" t="s">
        <v>225</v>
      </c>
      <c r="B94" s="37">
        <v>45996</v>
      </c>
      <c r="C94" s="218" t="s">
        <v>294</v>
      </c>
      <c r="D94" s="50" t="s">
        <v>480</v>
      </c>
      <c r="E94" s="223">
        <v>7</v>
      </c>
      <c r="F94" s="224">
        <v>19</v>
      </c>
      <c r="G94" s="225">
        <v>110</v>
      </c>
      <c r="H94" s="225">
        <v>60</v>
      </c>
      <c r="I94" s="225">
        <v>10</v>
      </c>
      <c r="J94" s="222">
        <v>3400</v>
      </c>
      <c r="K94" s="3">
        <f>Inventory_List_Table3[[#This Row],[Q]]*Inventory_List_Table3[[#This Row],[Per piece MXN$]]</f>
        <v>23800</v>
      </c>
      <c r="L94" s="42" t="s">
        <v>481</v>
      </c>
      <c r="M94" s="42" t="s">
        <v>34</v>
      </c>
    </row>
    <row r="95" spans="1:13" ht="21" x14ac:dyDescent="0.25">
      <c r="A95" s="36" t="s">
        <v>226</v>
      </c>
      <c r="B95" s="37">
        <v>45996</v>
      </c>
      <c r="C95" s="218" t="s">
        <v>295</v>
      </c>
      <c r="D95" s="50" t="s">
        <v>482</v>
      </c>
      <c r="E95" s="223">
        <v>5</v>
      </c>
      <c r="F95" s="224">
        <v>16</v>
      </c>
      <c r="G95" s="225">
        <v>100</v>
      </c>
      <c r="H95" s="225">
        <v>60</v>
      </c>
      <c r="I95" s="225">
        <v>10</v>
      </c>
      <c r="J95" s="222">
        <v>2800</v>
      </c>
      <c r="K95" s="3">
        <f>Inventory_List_Table3[[#This Row],[Q]]*Inventory_List_Table3[[#This Row],[Per piece MXN$]]</f>
        <v>14000</v>
      </c>
      <c r="L95" s="42" t="s">
        <v>483</v>
      </c>
      <c r="M95" s="42" t="s">
        <v>5</v>
      </c>
    </row>
    <row r="96" spans="1:13" ht="21" x14ac:dyDescent="0.25">
      <c r="A96" s="36" t="s">
        <v>227</v>
      </c>
      <c r="B96" s="37">
        <v>45996</v>
      </c>
      <c r="C96" s="218" t="s">
        <v>296</v>
      </c>
      <c r="D96" s="50" t="s">
        <v>484</v>
      </c>
      <c r="E96" s="223">
        <v>1</v>
      </c>
      <c r="F96" s="224">
        <v>30</v>
      </c>
      <c r="G96" s="225">
        <v>155</v>
      </c>
      <c r="H96" s="225">
        <v>100</v>
      </c>
      <c r="I96" s="225">
        <v>10</v>
      </c>
      <c r="J96" s="222">
        <v>6300</v>
      </c>
      <c r="K96" s="3">
        <f>Inventory_List_Table3[[#This Row],[Q]]*Inventory_List_Table3[[#This Row],[Per piece MXN$]]</f>
        <v>6300</v>
      </c>
      <c r="L96" s="42" t="s">
        <v>486</v>
      </c>
      <c r="M96" s="42" t="s">
        <v>485</v>
      </c>
    </row>
    <row r="97" spans="1:13" ht="21" x14ac:dyDescent="0.25">
      <c r="A97" s="36" t="s">
        <v>228</v>
      </c>
      <c r="B97" s="37">
        <v>45996</v>
      </c>
      <c r="C97" s="218" t="s">
        <v>297</v>
      </c>
      <c r="D97" s="50" t="s">
        <v>487</v>
      </c>
      <c r="E97" s="223">
        <v>3</v>
      </c>
      <c r="F97" s="224">
        <v>23</v>
      </c>
      <c r="G97" s="225">
        <v>100</v>
      </c>
      <c r="H97" s="225">
        <v>100</v>
      </c>
      <c r="I97" s="225">
        <v>10</v>
      </c>
      <c r="J97" s="222">
        <v>5300</v>
      </c>
      <c r="K97" s="3">
        <f>Inventory_List_Table3[[#This Row],[Q]]*Inventory_List_Table3[[#This Row],[Per piece MXN$]]</f>
        <v>15900</v>
      </c>
      <c r="L97" s="42" t="s">
        <v>489</v>
      </c>
      <c r="M97" s="42" t="s">
        <v>488</v>
      </c>
    </row>
    <row r="98" spans="1:13" ht="21" x14ac:dyDescent="0.25">
      <c r="A98" s="36" t="s">
        <v>229</v>
      </c>
      <c r="B98" s="37">
        <v>45996</v>
      </c>
      <c r="C98" s="218" t="s">
        <v>298</v>
      </c>
      <c r="D98" s="50" t="s">
        <v>490</v>
      </c>
      <c r="E98" s="223">
        <v>3</v>
      </c>
      <c r="F98" s="224">
        <v>16</v>
      </c>
      <c r="G98" s="225">
        <v>80</v>
      </c>
      <c r="H98" s="225">
        <v>100</v>
      </c>
      <c r="I98" s="225">
        <v>10</v>
      </c>
      <c r="J98" s="222">
        <v>4200</v>
      </c>
      <c r="K98" s="3">
        <f>Inventory_List_Table3[[#This Row],[Q]]*Inventory_List_Table3[[#This Row],[Per piece MXN$]]</f>
        <v>12600</v>
      </c>
      <c r="L98" s="42" t="s">
        <v>479</v>
      </c>
      <c r="M98" s="42" t="s">
        <v>478</v>
      </c>
    </row>
    <row r="99" spans="1:13" ht="21" x14ac:dyDescent="0.25">
      <c r="A99" s="36" t="s">
        <v>230</v>
      </c>
      <c r="B99" s="37">
        <v>45996</v>
      </c>
      <c r="C99" s="218" t="s">
        <v>299</v>
      </c>
      <c r="D99" s="50" t="s">
        <v>491</v>
      </c>
      <c r="E99" s="39">
        <v>1</v>
      </c>
      <c r="F99" s="40">
        <v>52</v>
      </c>
      <c r="G99" s="41">
        <v>96</v>
      </c>
      <c r="H99" s="41">
        <v>96</v>
      </c>
      <c r="I99" s="41">
        <v>50</v>
      </c>
      <c r="J99" s="222">
        <v>8000</v>
      </c>
      <c r="K99" s="3">
        <f>Inventory_List_Table3[[#This Row],[Q]]*Inventory_List_Table3[[#This Row],[Per piece MXN$]]</f>
        <v>8000</v>
      </c>
      <c r="L99" s="42" t="s">
        <v>493</v>
      </c>
      <c r="M99" s="42" t="s">
        <v>492</v>
      </c>
    </row>
    <row r="100" spans="1:13" ht="21" x14ac:dyDescent="0.25">
      <c r="A100" s="36" t="s">
        <v>231</v>
      </c>
      <c r="B100" s="37">
        <v>45996</v>
      </c>
      <c r="C100" s="218" t="s">
        <v>299</v>
      </c>
      <c r="D100" s="50" t="s">
        <v>494</v>
      </c>
      <c r="E100" s="39">
        <v>1</v>
      </c>
      <c r="F100" s="40">
        <v>38</v>
      </c>
      <c r="G100" s="41">
        <v>77</v>
      </c>
      <c r="H100" s="41">
        <v>77</v>
      </c>
      <c r="I100" s="41">
        <v>46</v>
      </c>
      <c r="J100" s="222">
        <v>7000</v>
      </c>
      <c r="K100" s="3">
        <f>Inventory_List_Table3[[#This Row],[Q]]*Inventory_List_Table3[[#This Row],[Per piece MXN$]]</f>
        <v>7000</v>
      </c>
      <c r="L100" s="42" t="s">
        <v>496</v>
      </c>
      <c r="M100" s="42" t="s">
        <v>495</v>
      </c>
    </row>
    <row r="101" spans="1:13" ht="21" x14ac:dyDescent="0.25">
      <c r="A101" s="36" t="s">
        <v>232</v>
      </c>
      <c r="B101" s="37">
        <v>45996</v>
      </c>
      <c r="C101" s="218" t="s">
        <v>300</v>
      </c>
      <c r="D101" s="50" t="s">
        <v>497</v>
      </c>
      <c r="E101" s="39">
        <v>4</v>
      </c>
      <c r="F101" s="40">
        <v>36</v>
      </c>
      <c r="G101" s="41">
        <v>90</v>
      </c>
      <c r="H101" s="41">
        <v>59</v>
      </c>
      <c r="I101" s="41">
        <v>10</v>
      </c>
      <c r="J101" s="222">
        <v>4500</v>
      </c>
      <c r="K101" s="3">
        <f>Inventory_List_Table3[[#This Row],[Q]]*Inventory_List_Table3[[#This Row],[Per piece MXN$]]</f>
        <v>18000</v>
      </c>
      <c r="L101" s="42" t="s">
        <v>498</v>
      </c>
      <c r="M101" s="42" t="s">
        <v>486</v>
      </c>
    </row>
    <row r="102" spans="1:13" ht="21" x14ac:dyDescent="0.25">
      <c r="A102" s="36" t="s">
        <v>233</v>
      </c>
      <c r="B102" s="37">
        <v>45996</v>
      </c>
      <c r="C102" s="218" t="s">
        <v>301</v>
      </c>
      <c r="D102" s="50" t="s">
        <v>499</v>
      </c>
      <c r="E102" s="39">
        <v>2</v>
      </c>
      <c r="F102" s="40">
        <v>4.8</v>
      </c>
      <c r="G102" s="41">
        <v>70</v>
      </c>
      <c r="H102" s="41">
        <v>22</v>
      </c>
      <c r="I102" s="41">
        <v>11</v>
      </c>
      <c r="J102" s="222">
        <v>2032</v>
      </c>
      <c r="K102" s="3">
        <f>Inventory_List_Table3[[#This Row],[Q]]*Inventory_List_Table3[[#This Row],[Per piece MXN$]]</f>
        <v>4064</v>
      </c>
      <c r="L102" s="42" t="s">
        <v>501</v>
      </c>
      <c r="M102" s="42" t="s">
        <v>500</v>
      </c>
    </row>
    <row r="103" spans="1:13" ht="21" x14ac:dyDescent="0.25">
      <c r="A103" s="36" t="s">
        <v>234</v>
      </c>
      <c r="B103" s="37">
        <v>45996</v>
      </c>
      <c r="C103" s="218" t="s">
        <v>314</v>
      </c>
      <c r="D103" s="50" t="s">
        <v>502</v>
      </c>
      <c r="E103" s="39">
        <v>2</v>
      </c>
      <c r="F103" s="40">
        <v>30</v>
      </c>
      <c r="G103" s="41">
        <v>180</v>
      </c>
      <c r="H103" s="41">
        <v>80</v>
      </c>
      <c r="I103" s="41">
        <v>10</v>
      </c>
      <c r="J103" s="222">
        <v>7200</v>
      </c>
      <c r="K103" s="3">
        <f>Inventory_List_Table3[[#This Row],[Q]]*Inventory_List_Table3[[#This Row],[Per piece MXN$]]</f>
        <v>14400</v>
      </c>
      <c r="L103" s="42" t="s">
        <v>503</v>
      </c>
      <c r="M103" s="42" t="s">
        <v>432</v>
      </c>
    </row>
    <row r="104" spans="1:13" ht="21" x14ac:dyDescent="0.25">
      <c r="A104" s="36" t="s">
        <v>235</v>
      </c>
      <c r="B104" s="37">
        <v>46031</v>
      </c>
      <c r="C104" s="218" t="s">
        <v>322</v>
      </c>
      <c r="D104" s="50" t="s">
        <v>504</v>
      </c>
      <c r="E104" s="39">
        <v>3</v>
      </c>
      <c r="F104" s="40">
        <v>32</v>
      </c>
      <c r="G104" s="41">
        <v>170</v>
      </c>
      <c r="H104" s="41">
        <v>30</v>
      </c>
      <c r="I104" s="41">
        <v>30</v>
      </c>
      <c r="J104" s="222">
        <v>5712</v>
      </c>
      <c r="K104" s="3">
        <f>Inventory_List_Table3[[#This Row],[Q]]*Inventory_List_Table3[[#This Row],[Per piece MXN$]]</f>
        <v>17136</v>
      </c>
      <c r="L104" s="42" t="s">
        <v>506</v>
      </c>
      <c r="M104" s="42" t="s">
        <v>505</v>
      </c>
    </row>
    <row r="105" spans="1:13" ht="21" x14ac:dyDescent="0.25">
      <c r="A105" s="36" t="s">
        <v>236</v>
      </c>
      <c r="B105" s="37">
        <v>46031</v>
      </c>
      <c r="C105" s="218" t="s">
        <v>322</v>
      </c>
      <c r="D105" s="50" t="s">
        <v>507</v>
      </c>
      <c r="E105" s="39">
        <v>1</v>
      </c>
      <c r="F105" s="40">
        <v>30</v>
      </c>
      <c r="G105" s="41">
        <v>160</v>
      </c>
      <c r="H105" s="41">
        <v>30</v>
      </c>
      <c r="I105" s="41">
        <v>30</v>
      </c>
      <c r="J105" s="222">
        <v>5376</v>
      </c>
      <c r="K105" s="3">
        <f>Inventory_List_Table3[[#This Row],[Q]]*Inventory_List_Table3[[#This Row],[Per piece MXN$]]</f>
        <v>5376</v>
      </c>
      <c r="L105" s="42" t="s">
        <v>509</v>
      </c>
      <c r="M105" s="42" t="s">
        <v>508</v>
      </c>
    </row>
    <row r="106" spans="1:13" ht="21" x14ac:dyDescent="0.25">
      <c r="A106" s="36" t="s">
        <v>237</v>
      </c>
      <c r="B106" s="37">
        <v>46031</v>
      </c>
      <c r="C106" s="218" t="s">
        <v>322</v>
      </c>
      <c r="D106" s="50" t="s">
        <v>510</v>
      </c>
      <c r="E106" s="39">
        <v>1</v>
      </c>
      <c r="F106" s="40">
        <v>26</v>
      </c>
      <c r="G106" s="41">
        <v>155</v>
      </c>
      <c r="H106" s="41">
        <v>30</v>
      </c>
      <c r="I106" s="41">
        <v>30</v>
      </c>
      <c r="J106" s="222">
        <v>5208</v>
      </c>
      <c r="K106" s="3">
        <f>Inventory_List_Table3[[#This Row],[Q]]*Inventory_List_Table3[[#This Row],[Per piece MXN$]]</f>
        <v>5208</v>
      </c>
      <c r="L106" s="42" t="s">
        <v>512</v>
      </c>
      <c r="M106" s="42" t="s">
        <v>511</v>
      </c>
    </row>
    <row r="107" spans="1:13" ht="21" x14ac:dyDescent="0.25">
      <c r="A107" s="36" t="s">
        <v>404</v>
      </c>
      <c r="B107" s="37">
        <v>46031</v>
      </c>
      <c r="C107" s="218" t="s">
        <v>322</v>
      </c>
      <c r="D107" s="50" t="s">
        <v>513</v>
      </c>
      <c r="E107" s="39">
        <v>3</v>
      </c>
      <c r="F107" s="40">
        <v>25</v>
      </c>
      <c r="G107" s="41">
        <v>150</v>
      </c>
      <c r="H107" s="41">
        <v>30</v>
      </c>
      <c r="I107" s="41">
        <v>30</v>
      </c>
      <c r="J107" s="222">
        <v>5040</v>
      </c>
      <c r="K107" s="3">
        <f>Inventory_List_Table3[[#This Row],[Q]]*Inventory_List_Table3[[#This Row],[Per piece MXN$]]</f>
        <v>15120</v>
      </c>
      <c r="L107" s="42" t="s">
        <v>515</v>
      </c>
      <c r="M107" s="42" t="s">
        <v>514</v>
      </c>
    </row>
    <row r="108" spans="1:13" ht="21" x14ac:dyDescent="0.25">
      <c r="A108" s="36" t="s">
        <v>405</v>
      </c>
      <c r="B108" s="37">
        <v>46031</v>
      </c>
      <c r="C108" s="218" t="s">
        <v>322</v>
      </c>
      <c r="D108" s="50" t="s">
        <v>516</v>
      </c>
      <c r="E108" s="39">
        <v>1</v>
      </c>
      <c r="F108" s="40">
        <v>23</v>
      </c>
      <c r="G108" s="41">
        <v>135</v>
      </c>
      <c r="H108" s="41">
        <v>30</v>
      </c>
      <c r="I108" s="41">
        <v>30</v>
      </c>
      <c r="J108" s="222">
        <v>4536</v>
      </c>
      <c r="K108" s="3">
        <f>Inventory_List_Table3[[#This Row],[Q]]*Inventory_List_Table3[[#This Row],[Per piece MXN$]]</f>
        <v>4536</v>
      </c>
      <c r="L108" s="42" t="s">
        <v>518</v>
      </c>
      <c r="M108" s="42" t="s">
        <v>517</v>
      </c>
    </row>
    <row r="109" spans="1:13" ht="21" x14ac:dyDescent="0.25">
      <c r="A109" s="36" t="s">
        <v>406</v>
      </c>
      <c r="B109" s="37">
        <v>46031</v>
      </c>
      <c r="C109" s="218" t="s">
        <v>322</v>
      </c>
      <c r="D109" s="50" t="s">
        <v>519</v>
      </c>
      <c r="E109" s="39">
        <v>1</v>
      </c>
      <c r="F109" s="40">
        <v>22</v>
      </c>
      <c r="G109" s="41">
        <v>130</v>
      </c>
      <c r="H109" s="41">
        <v>30</v>
      </c>
      <c r="I109" s="41">
        <v>30</v>
      </c>
      <c r="J109" s="222">
        <v>4368</v>
      </c>
      <c r="K109" s="3">
        <f>Inventory_List_Table3[[#This Row],[Q]]*Inventory_List_Table3[[#This Row],[Per piece MXN$]]</f>
        <v>4368</v>
      </c>
      <c r="L109" s="42" t="s">
        <v>521</v>
      </c>
      <c r="M109" s="42" t="s">
        <v>520</v>
      </c>
    </row>
    <row r="110" spans="1:13" ht="21" x14ac:dyDescent="0.25">
      <c r="A110" s="36" t="s">
        <v>407</v>
      </c>
      <c r="B110" s="37">
        <v>46031</v>
      </c>
      <c r="C110" s="218" t="s">
        <v>322</v>
      </c>
      <c r="D110" s="50" t="s">
        <v>522</v>
      </c>
      <c r="E110" s="39">
        <v>1</v>
      </c>
      <c r="F110" s="40">
        <v>20</v>
      </c>
      <c r="G110" s="41">
        <v>120</v>
      </c>
      <c r="H110" s="41">
        <v>30</v>
      </c>
      <c r="I110" s="41">
        <v>30</v>
      </c>
      <c r="J110" s="222">
        <v>4032</v>
      </c>
      <c r="K110" s="3">
        <f>Inventory_List_Table3[[#This Row],[Q]]*Inventory_List_Table3[[#This Row],[Per piece MXN$]]</f>
        <v>4032</v>
      </c>
      <c r="L110" s="42" t="s">
        <v>467</v>
      </c>
      <c r="M110" s="42" t="s">
        <v>466</v>
      </c>
    </row>
    <row r="111" spans="1:13" ht="21" x14ac:dyDescent="0.25">
      <c r="A111" s="36" t="s">
        <v>408</v>
      </c>
      <c r="B111" s="37">
        <v>46031</v>
      </c>
      <c r="C111" s="218" t="s">
        <v>323</v>
      </c>
      <c r="D111" s="50" t="s">
        <v>523</v>
      </c>
      <c r="E111" s="39">
        <v>16</v>
      </c>
      <c r="F111" s="40">
        <v>6</v>
      </c>
      <c r="G111" s="41">
        <v>45</v>
      </c>
      <c r="H111" s="41">
        <v>15</v>
      </c>
      <c r="I111" s="41">
        <v>15</v>
      </c>
      <c r="J111" s="222">
        <v>750</v>
      </c>
      <c r="K111" s="3">
        <f>Inventory_List_Table3[[#This Row],[Q]]*Inventory_List_Table3[[#This Row],[Per piece MXN$]]</f>
        <v>12000</v>
      </c>
      <c r="L111" s="42" t="s">
        <v>525</v>
      </c>
      <c r="M111" s="42" t="s">
        <v>524</v>
      </c>
    </row>
    <row r="112" spans="1:13" ht="21" x14ac:dyDescent="0.25">
      <c r="A112" s="36" t="s">
        <v>409</v>
      </c>
      <c r="B112" s="37">
        <v>46031</v>
      </c>
      <c r="C112" s="218" t="s">
        <v>324</v>
      </c>
      <c r="D112" s="50" t="s">
        <v>526</v>
      </c>
      <c r="E112" s="39">
        <v>1</v>
      </c>
      <c r="F112" s="40">
        <v>5</v>
      </c>
      <c r="G112" s="41">
        <v>35</v>
      </c>
      <c r="H112" s="41">
        <v>15</v>
      </c>
      <c r="I112" s="41">
        <v>15</v>
      </c>
      <c r="J112" s="222">
        <v>420</v>
      </c>
      <c r="K112" s="3">
        <f>Inventory_List_Table3[[#This Row],[Q]]*Inventory_List_Table3[[#This Row],[Per piece MXN$]]</f>
        <v>420</v>
      </c>
      <c r="L112" s="42" t="s">
        <v>528</v>
      </c>
      <c r="M112" s="42" t="s">
        <v>527</v>
      </c>
    </row>
    <row r="113" spans="1:13" ht="21" x14ac:dyDescent="0.25">
      <c r="A113" s="36" t="s">
        <v>410</v>
      </c>
      <c r="B113" s="37">
        <v>46031</v>
      </c>
      <c r="C113" s="218" t="s">
        <v>325</v>
      </c>
      <c r="D113" s="50" t="s">
        <v>529</v>
      </c>
      <c r="E113" s="39">
        <v>14</v>
      </c>
      <c r="F113" s="40">
        <v>4</v>
      </c>
      <c r="G113" s="41">
        <v>40</v>
      </c>
      <c r="H113" s="41">
        <v>10</v>
      </c>
      <c r="I113" s="41">
        <v>10</v>
      </c>
      <c r="J113" s="222">
        <v>430</v>
      </c>
      <c r="K113" s="3">
        <f>Inventory_List_Table3[[#This Row],[Q]]*Inventory_List_Table3[[#This Row],[Per piece MXN$]]</f>
        <v>6020</v>
      </c>
      <c r="L113" s="42" t="s">
        <v>531</v>
      </c>
      <c r="M113" s="42" t="s">
        <v>530</v>
      </c>
    </row>
    <row r="114" spans="1:13" ht="21" x14ac:dyDescent="0.25">
      <c r="A114" s="36" t="s">
        <v>411</v>
      </c>
      <c r="B114" s="37">
        <v>46031</v>
      </c>
      <c r="C114" s="218" t="s">
        <v>262</v>
      </c>
      <c r="D114" s="50" t="s">
        <v>532</v>
      </c>
      <c r="E114" s="39">
        <v>2</v>
      </c>
      <c r="F114" s="40">
        <v>30</v>
      </c>
      <c r="G114" s="41">
        <v>150</v>
      </c>
      <c r="H114" s="41">
        <v>80</v>
      </c>
      <c r="I114" s="41">
        <v>10</v>
      </c>
      <c r="J114" s="222">
        <v>5100</v>
      </c>
      <c r="K114" s="3">
        <f>Inventory_List_Table3[[#This Row],[Q]]*Inventory_List_Table3[[#This Row],[Per piece MXN$]]</f>
        <v>10200</v>
      </c>
      <c r="L114" s="42" t="s">
        <v>475</v>
      </c>
      <c r="M114" s="42" t="s">
        <v>474</v>
      </c>
    </row>
    <row r="115" spans="1:13" ht="21" x14ac:dyDescent="0.25">
      <c r="A115" s="36" t="s">
        <v>412</v>
      </c>
      <c r="B115" s="37">
        <v>46031</v>
      </c>
      <c r="C115" s="218" t="s">
        <v>326</v>
      </c>
      <c r="D115" s="50" t="s">
        <v>533</v>
      </c>
      <c r="E115" s="39">
        <v>1</v>
      </c>
      <c r="F115" s="40">
        <v>16</v>
      </c>
      <c r="G115" s="41">
        <v>80</v>
      </c>
      <c r="H115" s="41">
        <v>80</v>
      </c>
      <c r="I115" s="41">
        <v>10</v>
      </c>
      <c r="J115" s="222">
        <v>4200</v>
      </c>
      <c r="K115" s="3">
        <f>Inventory_List_Table3[[#This Row],[Q]]*Inventory_List_Table3[[#This Row],[Per piece MXN$]]</f>
        <v>4200</v>
      </c>
      <c r="L115" s="42" t="s">
        <v>479</v>
      </c>
      <c r="M115" s="42" t="s">
        <v>478</v>
      </c>
    </row>
    <row r="116" spans="1:13" ht="21" x14ac:dyDescent="0.25">
      <c r="A116" s="36" t="s">
        <v>413</v>
      </c>
      <c r="B116" s="37">
        <v>46031</v>
      </c>
      <c r="C116" s="218" t="s">
        <v>327</v>
      </c>
      <c r="D116" s="50" t="s">
        <v>534</v>
      </c>
      <c r="E116" s="39">
        <v>2</v>
      </c>
      <c r="F116" s="40">
        <v>38</v>
      </c>
      <c r="G116" s="41">
        <v>180</v>
      </c>
      <c r="H116" s="41">
        <v>49</v>
      </c>
      <c r="I116" s="41">
        <v>10</v>
      </c>
      <c r="J116" s="222">
        <v>5520</v>
      </c>
      <c r="K116" s="3">
        <f>Inventory_List_Table3[[#This Row],[Q]]*Inventory_List_Table3[[#This Row],[Per piece MXN$]]</f>
        <v>11040</v>
      </c>
      <c r="L116" s="42" t="s">
        <v>536</v>
      </c>
      <c r="M116" s="42" t="s">
        <v>535</v>
      </c>
    </row>
  </sheetData>
  <phoneticPr fontId="2" type="noConversion"/>
  <dataValidations count="9">
    <dataValidation allowBlank="1" showInputMessage="1" showErrorMessage="1" prompt="Enter a description of the item in this column" sqref="E1" xr:uid="{BEB3E199-E622-4CB3-8480-0F6E31919F22}"/>
    <dataValidation allowBlank="1" showInputMessage="1" showErrorMessage="1" prompt="Enter the unit price of each item in this column" sqref="F1" xr:uid="{B7587413-793C-452B-B891-58DF34DC406E}"/>
    <dataValidation allowBlank="1" showInputMessage="1" showErrorMessage="1" prompt="Enter the quantity in stock for each item in this column" sqref="G1" xr:uid="{5C752E99-9CFC-4486-92BB-BD169088DD4D}"/>
    <dataValidation allowBlank="1" showInputMessage="1" showErrorMessage="1" prompt="This is an automated column._x000a__x000a_The inventory value for each item is automatically calculated in this column." sqref="H1" xr:uid="{7C642793-B4D5-4D1C-BAA3-7C7244197949}"/>
    <dataValidation allowBlank="1" showInputMessage="1" showErrorMessage="1" prompt="Enter the reorder level for each item in this column" sqref="I1" xr:uid="{9501F303-B812-40F1-96E4-2D6F0E7037F4}"/>
    <dataValidation allowBlank="1" showInputMessage="1" showErrorMessage="1" prompt="Enter the number of days it takes to reorder each item in this column" sqref="J1:K1" xr:uid="{37335470-2C0A-4D78-B601-78A7D32FB5FE}"/>
    <dataValidation allowBlank="1" showInputMessage="1" showErrorMessage="1" prompt="Enter the name of the item in this column" sqref="D1" xr:uid="{B2059F30-EBC5-4D49-B9DA-C56BFFD849A3}"/>
    <dataValidation allowBlank="1" showInputMessage="1" showErrorMessage="1" prompt="Enter the item inventory ID in this column" sqref="C1" xr:uid="{04B6852E-7CF7-478D-9D76-83DA62E860D4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A82F982D-488D-4E0E-A553-85BF6C98F9D7}"/>
  </dataValidations>
  <printOptions horizontalCentered="1"/>
  <pageMargins left="0.25" right="0.25" top="0.75" bottom="0.75" header="0.3" footer="0.3"/>
  <pageSetup scale="2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E777-D8AB-41B7-B248-6A600BF71B38}">
  <sheetPr>
    <tabColor rgb="FFA0CEB2"/>
    <pageSetUpPr fitToPage="1"/>
  </sheetPr>
  <dimension ref="A1:M31"/>
  <sheetViews>
    <sheetView showGridLines="0" topLeftCell="B1" zoomScale="68" zoomScaleNormal="68" workbookViewId="0">
      <selection activeCell="N1" sqref="N1:O1048576"/>
    </sheetView>
  </sheetViews>
  <sheetFormatPr defaultColWidth="8.625" defaultRowHeight="24" customHeight="1" x14ac:dyDescent="0.25"/>
  <cols>
    <col min="1" max="1" width="19.75" style="23" bestFit="1" customWidth="1"/>
    <col min="2" max="2" width="15.5" style="24" customWidth="1"/>
    <col min="3" max="3" width="29.375" style="25" customWidth="1"/>
    <col min="4" max="4" width="23.75" style="25" bestFit="1" customWidth="1"/>
    <col min="5" max="5" width="6.375" style="25" customWidth="1"/>
    <col min="6" max="6" width="9.25" style="26" bestFit="1" customWidth="1"/>
    <col min="7" max="7" width="8.625" style="26" bestFit="1" customWidth="1"/>
    <col min="8" max="8" width="8.75" style="26" bestFit="1" customWidth="1"/>
    <col min="9" max="9" width="8.125" style="26" bestFit="1" customWidth="1"/>
    <col min="10" max="10" width="19.625" style="26" bestFit="1" customWidth="1"/>
    <col min="11" max="11" width="28.125" style="26" bestFit="1" customWidth="1"/>
    <col min="12" max="12" width="7.5" style="7" bestFit="1" customWidth="1"/>
    <col min="13" max="13" width="9.625" style="7" customWidth="1"/>
    <col min="14" max="16384" width="8.625" style="7"/>
  </cols>
  <sheetData>
    <row r="1" spans="1:13" s="15" customFormat="1" ht="40.9" customHeight="1" x14ac:dyDescent="0.25">
      <c r="A1" s="196" t="s">
        <v>111</v>
      </c>
      <c r="B1" s="197" t="s">
        <v>102</v>
      </c>
      <c r="C1" s="197" t="s">
        <v>112</v>
      </c>
      <c r="D1" s="198" t="s">
        <v>113</v>
      </c>
      <c r="E1" s="199" t="s">
        <v>103</v>
      </c>
      <c r="F1" s="200" t="s">
        <v>104</v>
      </c>
      <c r="G1" s="200" t="s">
        <v>109</v>
      </c>
      <c r="H1" s="200" t="s">
        <v>105</v>
      </c>
      <c r="I1" s="200" t="s">
        <v>106</v>
      </c>
      <c r="J1" s="200" t="s">
        <v>114</v>
      </c>
      <c r="K1" s="197" t="s">
        <v>115</v>
      </c>
      <c r="L1" s="201" t="s">
        <v>110</v>
      </c>
      <c r="M1" s="202" t="s">
        <v>0</v>
      </c>
    </row>
    <row r="2" spans="1:13" ht="30" customHeight="1" x14ac:dyDescent="0.25">
      <c r="A2" s="203">
        <v>4491</v>
      </c>
      <c r="B2" s="17"/>
      <c r="C2" s="18" t="s">
        <v>286</v>
      </c>
      <c r="D2" s="143" t="s">
        <v>876</v>
      </c>
      <c r="E2" s="205">
        <v>1</v>
      </c>
      <c r="F2" s="206"/>
      <c r="G2" s="206">
        <v>130</v>
      </c>
      <c r="H2" s="206">
        <v>24</v>
      </c>
      <c r="I2" s="206">
        <v>10</v>
      </c>
      <c r="J2" s="207">
        <v>5180</v>
      </c>
      <c r="K2" s="1">
        <f>Inventory_List_Table341115[[#This Row],[Q]]*Inventory_List_Table341115[[#This Row],[Per piece MXN$]]</f>
        <v>5180</v>
      </c>
      <c r="L2" s="22" t="s">
        <v>877</v>
      </c>
      <c r="M2" s="22" t="s">
        <v>878</v>
      </c>
    </row>
    <row r="3" spans="1:13" ht="30" customHeight="1" x14ac:dyDescent="0.25">
      <c r="A3" s="203">
        <v>4546</v>
      </c>
      <c r="B3" s="17"/>
      <c r="C3" s="18" t="s">
        <v>286</v>
      </c>
      <c r="D3" s="143" t="s">
        <v>879</v>
      </c>
      <c r="E3" s="204">
        <v>1</v>
      </c>
      <c r="F3" s="206"/>
      <c r="G3" s="206">
        <v>150</v>
      </c>
      <c r="H3" s="206">
        <v>24</v>
      </c>
      <c r="I3" s="206">
        <v>10</v>
      </c>
      <c r="J3" s="207">
        <v>6720</v>
      </c>
      <c r="K3" s="1">
        <f>Inventory_List_Table341115[[#This Row],[Q]]*Inventory_List_Table341115[[#This Row],[Per piece MXN$]]</f>
        <v>6720</v>
      </c>
      <c r="L3" s="22" t="s">
        <v>880</v>
      </c>
      <c r="M3" s="22" t="s">
        <v>881</v>
      </c>
    </row>
    <row r="4" spans="1:13" ht="30" customHeight="1" x14ac:dyDescent="0.25">
      <c r="A4" s="203">
        <v>4574</v>
      </c>
      <c r="B4" s="17"/>
      <c r="C4" s="18" t="s">
        <v>286</v>
      </c>
      <c r="D4" s="143" t="s">
        <v>882</v>
      </c>
      <c r="E4" s="204">
        <v>1</v>
      </c>
      <c r="F4" s="206"/>
      <c r="G4" s="206">
        <v>130</v>
      </c>
      <c r="H4" s="206">
        <v>24</v>
      </c>
      <c r="I4" s="206">
        <v>10</v>
      </c>
      <c r="J4" s="207">
        <v>979.99999999999989</v>
      </c>
      <c r="K4" s="1">
        <f>Inventory_List_Table341115[[#This Row],[Q]]*Inventory_List_Table341115[[#This Row],[Per piece MXN$]]</f>
        <v>979.99999999999989</v>
      </c>
      <c r="L4" s="22" t="s">
        <v>838</v>
      </c>
      <c r="M4" s="22" t="s">
        <v>883</v>
      </c>
    </row>
    <row r="5" spans="1:13" ht="30" customHeight="1" x14ac:dyDescent="0.25">
      <c r="A5" s="203">
        <v>4418</v>
      </c>
      <c r="B5" s="17"/>
      <c r="C5" s="18" t="s">
        <v>286</v>
      </c>
      <c r="D5" s="143" t="s">
        <v>884</v>
      </c>
      <c r="E5" s="204">
        <v>1</v>
      </c>
      <c r="F5" s="206"/>
      <c r="G5" s="206">
        <v>150</v>
      </c>
      <c r="H5" s="206">
        <v>24</v>
      </c>
      <c r="I5" s="206">
        <v>10</v>
      </c>
      <c r="J5" s="207">
        <v>6720</v>
      </c>
      <c r="K5" s="1">
        <f>Inventory_List_Table341115[[#This Row],[Q]]*Inventory_List_Table341115[[#This Row],[Per piece MXN$]]</f>
        <v>6720</v>
      </c>
      <c r="L5" s="22" t="s">
        <v>880</v>
      </c>
      <c r="M5" s="22" t="s">
        <v>881</v>
      </c>
    </row>
    <row r="6" spans="1:13" ht="30" customHeight="1" x14ac:dyDescent="0.25">
      <c r="A6" s="203">
        <v>4494</v>
      </c>
      <c r="B6" s="17"/>
      <c r="C6" s="18" t="s">
        <v>286</v>
      </c>
      <c r="D6" s="143" t="s">
        <v>885</v>
      </c>
      <c r="E6" s="204">
        <v>1</v>
      </c>
      <c r="F6" s="206"/>
      <c r="G6" s="206">
        <v>140</v>
      </c>
      <c r="H6" s="206">
        <v>24</v>
      </c>
      <c r="I6" s="206">
        <v>10</v>
      </c>
      <c r="J6" s="207">
        <v>5880</v>
      </c>
      <c r="K6" s="1">
        <f>Inventory_List_Table341115[[#This Row],[Q]]*Inventory_List_Table341115[[#This Row],[Per piece MXN$]]</f>
        <v>5880</v>
      </c>
      <c r="L6" s="22" t="s">
        <v>886</v>
      </c>
      <c r="M6" s="22" t="s">
        <v>887</v>
      </c>
    </row>
    <row r="7" spans="1:13" ht="30" customHeight="1" x14ac:dyDescent="0.25">
      <c r="A7" s="203">
        <v>4542</v>
      </c>
      <c r="B7" s="17"/>
      <c r="C7" s="18" t="s">
        <v>286</v>
      </c>
      <c r="D7" s="143" t="s">
        <v>888</v>
      </c>
      <c r="E7" s="204">
        <v>1</v>
      </c>
      <c r="F7" s="206"/>
      <c r="G7" s="206">
        <v>95</v>
      </c>
      <c r="H7" s="206">
        <v>24</v>
      </c>
      <c r="I7" s="206">
        <v>10</v>
      </c>
      <c r="J7" s="207">
        <v>3500</v>
      </c>
      <c r="K7" s="1">
        <f>Inventory_List_Table341115[[#This Row],[Q]]*Inventory_List_Table341115[[#This Row],[Per piece MXN$]]</f>
        <v>3500</v>
      </c>
      <c r="L7" s="22" t="s">
        <v>289</v>
      </c>
      <c r="M7" s="22" t="s">
        <v>290</v>
      </c>
    </row>
    <row r="8" spans="1:13" ht="30" customHeight="1" x14ac:dyDescent="0.25">
      <c r="A8" s="203">
        <v>3649</v>
      </c>
      <c r="B8" s="17"/>
      <c r="C8" s="18" t="s">
        <v>287</v>
      </c>
      <c r="D8" s="143" t="s">
        <v>889</v>
      </c>
      <c r="E8" s="204">
        <v>1</v>
      </c>
      <c r="F8" s="206"/>
      <c r="G8" s="206">
        <v>60</v>
      </c>
      <c r="H8" s="206">
        <v>60</v>
      </c>
      <c r="I8" s="206">
        <v>9</v>
      </c>
      <c r="J8" s="207">
        <v>7000</v>
      </c>
      <c r="K8" s="1">
        <f>Inventory_List_Table341115[[#This Row],[Q]]*Inventory_List_Table341115[[#This Row],[Per piece MXN$]]</f>
        <v>7000</v>
      </c>
      <c r="L8" s="22" t="s">
        <v>496</v>
      </c>
      <c r="M8" s="22" t="s">
        <v>495</v>
      </c>
    </row>
    <row r="9" spans="1:13" ht="30" customHeight="1" x14ac:dyDescent="0.25">
      <c r="A9" s="203">
        <v>4932</v>
      </c>
      <c r="B9" s="17"/>
      <c r="C9" s="18" t="s">
        <v>286</v>
      </c>
      <c r="D9" s="143" t="s">
        <v>890</v>
      </c>
      <c r="E9" s="204">
        <v>1</v>
      </c>
      <c r="F9" s="206"/>
      <c r="G9" s="206">
        <v>130</v>
      </c>
      <c r="H9" s="206">
        <v>23</v>
      </c>
      <c r="I9" s="206">
        <v>10</v>
      </c>
      <c r="J9" s="207">
        <v>5180</v>
      </c>
      <c r="K9" s="1">
        <f>Inventory_List_Table341115[[#This Row],[Q]]*Inventory_List_Table341115[[#This Row],[Per piece MXN$]]</f>
        <v>5180</v>
      </c>
      <c r="L9" s="22" t="s">
        <v>877</v>
      </c>
      <c r="M9" s="22" t="s">
        <v>878</v>
      </c>
    </row>
    <row r="10" spans="1:13" ht="30" customHeight="1" x14ac:dyDescent="0.25">
      <c r="A10" s="203">
        <v>4933</v>
      </c>
      <c r="B10" s="17"/>
      <c r="C10" s="18" t="s">
        <v>286</v>
      </c>
      <c r="D10" s="143" t="s">
        <v>891</v>
      </c>
      <c r="E10" s="204">
        <v>1</v>
      </c>
      <c r="F10" s="206"/>
      <c r="G10" s="206">
        <v>140</v>
      </c>
      <c r="H10" s="206">
        <v>23</v>
      </c>
      <c r="I10" s="206">
        <v>10</v>
      </c>
      <c r="J10" s="207">
        <v>5880</v>
      </c>
      <c r="K10" s="1">
        <f>Inventory_List_Table341115[[#This Row],[Q]]*Inventory_List_Table341115[[#This Row],[Per piece MXN$]]</f>
        <v>5880</v>
      </c>
      <c r="L10" s="22" t="s">
        <v>886</v>
      </c>
      <c r="M10" s="22" t="s">
        <v>887</v>
      </c>
    </row>
    <row r="11" spans="1:13" ht="30" customHeight="1" x14ac:dyDescent="0.25">
      <c r="A11" s="203">
        <v>4970</v>
      </c>
      <c r="B11" s="17"/>
      <c r="C11" s="18" t="s">
        <v>286</v>
      </c>
      <c r="D11" s="143" t="s">
        <v>892</v>
      </c>
      <c r="E11" s="204">
        <v>1</v>
      </c>
      <c r="F11" s="206">
        <v>11</v>
      </c>
      <c r="G11" s="206">
        <v>130</v>
      </c>
      <c r="H11" s="206">
        <v>23</v>
      </c>
      <c r="I11" s="206">
        <v>10</v>
      </c>
      <c r="J11" s="207">
        <v>5180</v>
      </c>
      <c r="K11" s="1">
        <f>Inventory_List_Table341115[[#This Row],[Q]]*Inventory_List_Table341115[[#This Row],[Per piece MXN$]]</f>
        <v>5180</v>
      </c>
      <c r="L11" s="22" t="s">
        <v>877</v>
      </c>
      <c r="M11" s="22" t="s">
        <v>878</v>
      </c>
    </row>
    <row r="12" spans="1:13" ht="30" customHeight="1" x14ac:dyDescent="0.25">
      <c r="A12" s="203">
        <v>4972</v>
      </c>
      <c r="B12" s="17"/>
      <c r="C12" s="18" t="s">
        <v>286</v>
      </c>
      <c r="D12" s="143" t="s">
        <v>893</v>
      </c>
      <c r="E12" s="204">
        <v>1</v>
      </c>
      <c r="F12" s="206">
        <v>11</v>
      </c>
      <c r="G12" s="206">
        <v>130</v>
      </c>
      <c r="H12" s="206">
        <v>23</v>
      </c>
      <c r="I12" s="206">
        <v>10</v>
      </c>
      <c r="J12" s="207">
        <v>5180</v>
      </c>
      <c r="K12" s="1">
        <f>Inventory_List_Table341115[[#This Row],[Q]]*Inventory_List_Table341115[[#This Row],[Per piece MXN$]]</f>
        <v>5180</v>
      </c>
      <c r="L12" s="22" t="s">
        <v>877</v>
      </c>
      <c r="M12" s="22" t="s">
        <v>878</v>
      </c>
    </row>
    <row r="13" spans="1:13" ht="30" customHeight="1" x14ac:dyDescent="0.25">
      <c r="A13" s="203">
        <v>5114</v>
      </c>
      <c r="B13" s="17"/>
      <c r="C13" s="18" t="s">
        <v>287</v>
      </c>
      <c r="D13" s="143" t="s">
        <v>894</v>
      </c>
      <c r="E13" s="204">
        <v>1</v>
      </c>
      <c r="F13" s="206"/>
      <c r="G13" s="206">
        <v>86</v>
      </c>
      <c r="H13" s="206">
        <v>23</v>
      </c>
      <c r="I13" s="206">
        <v>24</v>
      </c>
      <c r="J13" s="207">
        <v>17500</v>
      </c>
      <c r="K13" s="1">
        <f>Inventory_List_Table341115[[#This Row],[Q]]*Inventory_List_Table341115[[#This Row],[Per piece MXN$]]</f>
        <v>17500</v>
      </c>
      <c r="L13" s="22" t="s">
        <v>895</v>
      </c>
      <c r="M13" s="22" t="s">
        <v>896</v>
      </c>
    </row>
    <row r="14" spans="1:13" ht="30" customHeight="1" x14ac:dyDescent="0.25">
      <c r="A14" s="203">
        <v>5074</v>
      </c>
      <c r="B14" s="17">
        <v>46038</v>
      </c>
      <c r="C14" s="18" t="s">
        <v>286</v>
      </c>
      <c r="D14" s="51" t="s">
        <v>748</v>
      </c>
      <c r="E14" s="204">
        <v>1</v>
      </c>
      <c r="F14" s="206">
        <v>7</v>
      </c>
      <c r="G14" s="206">
        <v>90</v>
      </c>
      <c r="H14" s="206">
        <v>23</v>
      </c>
      <c r="I14" s="206">
        <v>10</v>
      </c>
      <c r="J14" s="207">
        <v>3500</v>
      </c>
      <c r="K14" s="1">
        <f>Inventory_List_Table341115[[#This Row],[Q]]*Inventory_List_Table341115[[#This Row],[Per piece MXN$]]</f>
        <v>3500</v>
      </c>
      <c r="L14" s="22" t="s">
        <v>289</v>
      </c>
      <c r="M14" s="22" t="s">
        <v>290</v>
      </c>
    </row>
    <row r="15" spans="1:13" ht="30" customHeight="1" x14ac:dyDescent="0.25">
      <c r="A15" s="203">
        <v>5072</v>
      </c>
      <c r="B15" s="17">
        <v>46038</v>
      </c>
      <c r="C15" s="18" t="s">
        <v>286</v>
      </c>
      <c r="D15" s="51" t="s">
        <v>749</v>
      </c>
      <c r="E15" s="204">
        <v>1</v>
      </c>
      <c r="F15" s="206">
        <v>7</v>
      </c>
      <c r="G15" s="206">
        <v>80</v>
      </c>
      <c r="H15" s="206">
        <v>23</v>
      </c>
      <c r="I15" s="206">
        <v>10</v>
      </c>
      <c r="J15" s="207">
        <v>3080</v>
      </c>
      <c r="K15" s="1">
        <f>Inventory_List_Table341115[[#This Row],[Q]]*Inventory_List_Table341115[[#This Row],[Per piece MXN$]]</f>
        <v>3080</v>
      </c>
      <c r="L15" s="22" t="s">
        <v>382</v>
      </c>
      <c r="M15" s="22" t="s">
        <v>383</v>
      </c>
    </row>
    <row r="16" spans="1:13" ht="30" customHeight="1" x14ac:dyDescent="0.25">
      <c r="A16" s="203">
        <v>5205</v>
      </c>
      <c r="B16" s="17">
        <v>46038</v>
      </c>
      <c r="C16" s="18" t="s">
        <v>286</v>
      </c>
      <c r="D16" s="51" t="s">
        <v>750</v>
      </c>
      <c r="E16" s="204">
        <v>1</v>
      </c>
      <c r="F16" s="206"/>
      <c r="G16" s="206">
        <v>100</v>
      </c>
      <c r="H16" s="206">
        <v>23</v>
      </c>
      <c r="I16" s="206">
        <v>10</v>
      </c>
      <c r="J16" s="207">
        <v>3919.9999999999995</v>
      </c>
      <c r="K16" s="1">
        <f>Inventory_List_Table341115[[#This Row],[Q]]*Inventory_List_Table341115[[#This Row],[Per piece MXN$]]</f>
        <v>3919.9999999999995</v>
      </c>
      <c r="L16" s="22" t="s">
        <v>5</v>
      </c>
      <c r="M16" s="22" t="s">
        <v>306</v>
      </c>
    </row>
    <row r="17" spans="1:13" ht="30" customHeight="1" x14ac:dyDescent="0.25">
      <c r="A17" s="203">
        <v>101</v>
      </c>
      <c r="B17" s="17">
        <v>46038</v>
      </c>
      <c r="C17" s="18" t="s">
        <v>381</v>
      </c>
      <c r="D17" s="51" t="s">
        <v>537</v>
      </c>
      <c r="E17" s="204">
        <v>1</v>
      </c>
      <c r="F17" s="206">
        <v>9</v>
      </c>
      <c r="G17" s="206">
        <v>90</v>
      </c>
      <c r="H17" s="206">
        <v>23</v>
      </c>
      <c r="I17" s="206">
        <v>10</v>
      </c>
      <c r="J17" s="207">
        <v>3500</v>
      </c>
      <c r="K17" s="1">
        <v>3500</v>
      </c>
      <c r="L17" s="22" t="s">
        <v>289</v>
      </c>
      <c r="M17" s="22" t="s">
        <v>290</v>
      </c>
    </row>
    <row r="18" spans="1:13" ht="30" customHeight="1" x14ac:dyDescent="0.25">
      <c r="A18" s="203">
        <v>102</v>
      </c>
      <c r="B18" s="17">
        <v>46038</v>
      </c>
      <c r="C18" s="18" t="s">
        <v>381</v>
      </c>
      <c r="D18" s="51" t="s">
        <v>538</v>
      </c>
      <c r="E18" s="204">
        <v>1</v>
      </c>
      <c r="F18" s="206">
        <v>7</v>
      </c>
      <c r="G18" s="206">
        <v>80</v>
      </c>
      <c r="H18" s="206">
        <v>23</v>
      </c>
      <c r="I18" s="206">
        <v>10</v>
      </c>
      <c r="J18" s="207">
        <v>3080</v>
      </c>
      <c r="K18" s="1">
        <v>3080</v>
      </c>
      <c r="L18" s="22" t="s">
        <v>382</v>
      </c>
      <c r="M18" s="22" t="s">
        <v>383</v>
      </c>
    </row>
    <row r="19" spans="1:13" ht="30" customHeight="1" x14ac:dyDescent="0.25">
      <c r="A19" s="203">
        <v>103</v>
      </c>
      <c r="B19" s="17">
        <v>46038</v>
      </c>
      <c r="C19" s="18" t="s">
        <v>381</v>
      </c>
      <c r="D19" s="51" t="s">
        <v>539</v>
      </c>
      <c r="E19" s="204">
        <v>1</v>
      </c>
      <c r="F19" s="206">
        <v>10</v>
      </c>
      <c r="G19" s="206">
        <v>100</v>
      </c>
      <c r="H19" s="206">
        <v>23</v>
      </c>
      <c r="I19" s="206">
        <v>10</v>
      </c>
      <c r="J19" s="207">
        <v>3919.9999999999995</v>
      </c>
      <c r="K19" s="1">
        <v>3919.9999999999995</v>
      </c>
      <c r="L19" s="22" t="s">
        <v>5</v>
      </c>
      <c r="M19" s="22" t="s">
        <v>306</v>
      </c>
    </row>
    <row r="20" spans="1:13" ht="30" customHeight="1" x14ac:dyDescent="0.25">
      <c r="A20" s="203">
        <v>104</v>
      </c>
      <c r="B20" s="17">
        <v>46038</v>
      </c>
      <c r="C20" s="18" t="s">
        <v>381</v>
      </c>
      <c r="D20" s="51" t="s">
        <v>540</v>
      </c>
      <c r="E20" s="204">
        <v>1</v>
      </c>
      <c r="F20" s="206">
        <v>7</v>
      </c>
      <c r="G20" s="206">
        <v>80</v>
      </c>
      <c r="H20" s="206">
        <v>23</v>
      </c>
      <c r="I20" s="206">
        <v>10</v>
      </c>
      <c r="J20" s="207">
        <v>3080</v>
      </c>
      <c r="K20" s="1">
        <v>3080</v>
      </c>
      <c r="L20" s="22" t="s">
        <v>382</v>
      </c>
      <c r="M20" s="22" t="s">
        <v>383</v>
      </c>
    </row>
    <row r="21" spans="1:13" ht="30" customHeight="1" x14ac:dyDescent="0.25">
      <c r="A21" s="203">
        <v>105</v>
      </c>
      <c r="B21" s="17">
        <v>46038</v>
      </c>
      <c r="C21" s="18" t="s">
        <v>384</v>
      </c>
      <c r="D21" s="51" t="s">
        <v>541</v>
      </c>
      <c r="E21" s="204">
        <v>2</v>
      </c>
      <c r="F21" s="206">
        <v>55</v>
      </c>
      <c r="G21" s="206">
        <v>170</v>
      </c>
      <c r="H21" s="206">
        <v>58</v>
      </c>
      <c r="I21" s="206">
        <v>10</v>
      </c>
      <c r="J21" s="207">
        <v>16800</v>
      </c>
      <c r="K21" s="1">
        <v>33600</v>
      </c>
      <c r="L21" s="22" t="s">
        <v>385</v>
      </c>
      <c r="M21" s="22" t="s">
        <v>386</v>
      </c>
    </row>
    <row r="22" spans="1:13" ht="30" customHeight="1" x14ac:dyDescent="0.25">
      <c r="A22" s="203">
        <v>106</v>
      </c>
      <c r="B22" s="17">
        <v>46038</v>
      </c>
      <c r="C22" s="18" t="s">
        <v>381</v>
      </c>
      <c r="D22" s="51" t="s">
        <v>542</v>
      </c>
      <c r="E22" s="204">
        <v>1</v>
      </c>
      <c r="F22" s="206">
        <v>11</v>
      </c>
      <c r="G22" s="206">
        <v>120</v>
      </c>
      <c r="H22" s="206">
        <v>23</v>
      </c>
      <c r="I22" s="206">
        <v>10</v>
      </c>
      <c r="J22" s="207">
        <v>4760</v>
      </c>
      <c r="K22" s="1">
        <v>4760</v>
      </c>
      <c r="L22" s="22" t="s">
        <v>34</v>
      </c>
      <c r="M22" s="22" t="s">
        <v>387</v>
      </c>
    </row>
    <row r="23" spans="1:13" ht="30" customHeight="1" x14ac:dyDescent="0.25">
      <c r="A23" s="203">
        <v>107</v>
      </c>
      <c r="B23" s="17">
        <v>46038</v>
      </c>
      <c r="C23" s="18" t="s">
        <v>381</v>
      </c>
      <c r="D23" s="51" t="s">
        <v>543</v>
      </c>
      <c r="E23" s="204">
        <v>1</v>
      </c>
      <c r="F23" s="206">
        <v>7</v>
      </c>
      <c r="G23" s="206">
        <v>70</v>
      </c>
      <c r="H23" s="206">
        <v>24</v>
      </c>
      <c r="I23" s="206">
        <v>11</v>
      </c>
      <c r="J23" s="207">
        <v>2660</v>
      </c>
      <c r="K23" s="1">
        <v>2660</v>
      </c>
      <c r="L23" s="22" t="s">
        <v>388</v>
      </c>
      <c r="M23" s="22" t="s">
        <v>389</v>
      </c>
    </row>
    <row r="24" spans="1:13" ht="30" customHeight="1" x14ac:dyDescent="0.25">
      <c r="A24" s="203">
        <v>108</v>
      </c>
      <c r="B24" s="17">
        <v>46038</v>
      </c>
      <c r="C24" s="18" t="s">
        <v>390</v>
      </c>
      <c r="D24" s="51" t="s">
        <v>544</v>
      </c>
      <c r="E24" s="204">
        <v>1</v>
      </c>
      <c r="F24" s="206">
        <v>12</v>
      </c>
      <c r="G24" s="206">
        <v>50</v>
      </c>
      <c r="H24" s="206">
        <v>30</v>
      </c>
      <c r="I24" s="206">
        <v>20</v>
      </c>
      <c r="J24" s="207">
        <v>13300</v>
      </c>
      <c r="K24" s="1">
        <v>13300</v>
      </c>
      <c r="L24" s="22" t="s">
        <v>391</v>
      </c>
      <c r="M24" s="22" t="s">
        <v>392</v>
      </c>
    </row>
    <row r="25" spans="1:13" ht="30" customHeight="1" x14ac:dyDescent="0.25">
      <c r="A25" s="203">
        <v>109</v>
      </c>
      <c r="B25" s="17">
        <v>46038</v>
      </c>
      <c r="C25" s="18" t="s">
        <v>390</v>
      </c>
      <c r="D25" s="51" t="s">
        <v>545</v>
      </c>
      <c r="E25" s="204">
        <v>1</v>
      </c>
      <c r="F25" s="206">
        <v>12</v>
      </c>
      <c r="G25" s="206">
        <v>55</v>
      </c>
      <c r="H25" s="206">
        <v>49</v>
      </c>
      <c r="I25" s="206">
        <v>35</v>
      </c>
      <c r="J25" s="207">
        <v>7979.9999999999991</v>
      </c>
      <c r="K25" s="1">
        <v>7979.9999999999991</v>
      </c>
      <c r="L25" s="22" t="s">
        <v>393</v>
      </c>
      <c r="M25" s="22" t="s">
        <v>394</v>
      </c>
    </row>
    <row r="26" spans="1:13" ht="30" customHeight="1" x14ac:dyDescent="0.25">
      <c r="A26" s="203">
        <v>110</v>
      </c>
      <c r="B26" s="17">
        <v>46038</v>
      </c>
      <c r="C26" s="18" t="s">
        <v>384</v>
      </c>
      <c r="D26" s="51" t="s">
        <v>546</v>
      </c>
      <c r="E26" s="204">
        <v>2</v>
      </c>
      <c r="F26" s="206">
        <v>65</v>
      </c>
      <c r="G26" s="206">
        <v>200</v>
      </c>
      <c r="H26" s="206">
        <v>40</v>
      </c>
      <c r="I26" s="206">
        <v>10</v>
      </c>
      <c r="J26" s="208">
        <v>35700</v>
      </c>
      <c r="K26" s="80">
        <v>71400</v>
      </c>
      <c r="L26" s="22" t="s">
        <v>395</v>
      </c>
      <c r="M26" s="22" t="s">
        <v>396</v>
      </c>
    </row>
    <row r="27" spans="1:13" ht="30" customHeight="1" x14ac:dyDescent="0.25">
      <c r="A27" s="203">
        <v>111</v>
      </c>
      <c r="B27" s="17">
        <v>46038</v>
      </c>
      <c r="C27" s="18" t="s">
        <v>384</v>
      </c>
      <c r="D27" s="51" t="s">
        <v>547</v>
      </c>
      <c r="E27" s="204">
        <v>6</v>
      </c>
      <c r="F27" s="206">
        <v>85</v>
      </c>
      <c r="G27" s="206">
        <v>300</v>
      </c>
      <c r="H27" s="206">
        <v>50</v>
      </c>
      <c r="I27" s="206">
        <v>10</v>
      </c>
      <c r="J27" s="208">
        <v>28000</v>
      </c>
      <c r="K27" s="80">
        <v>168000</v>
      </c>
      <c r="L27" s="22" t="s">
        <v>397</v>
      </c>
      <c r="M27" s="22" t="s">
        <v>398</v>
      </c>
    </row>
    <row r="28" spans="1:13" ht="30" customHeight="1" x14ac:dyDescent="0.25">
      <c r="A28" s="203">
        <v>112</v>
      </c>
      <c r="B28" s="17">
        <v>46038</v>
      </c>
      <c r="C28" s="18" t="s">
        <v>384</v>
      </c>
      <c r="D28" s="51" t="s">
        <v>548</v>
      </c>
      <c r="E28" s="204">
        <v>2</v>
      </c>
      <c r="F28" s="206">
        <v>80</v>
      </c>
      <c r="G28" s="206">
        <v>290</v>
      </c>
      <c r="H28" s="206">
        <v>50</v>
      </c>
      <c r="I28" s="206">
        <v>10</v>
      </c>
      <c r="J28" s="208">
        <v>28000</v>
      </c>
      <c r="K28" s="80">
        <v>56000</v>
      </c>
      <c r="L28" s="22" t="s">
        <v>397</v>
      </c>
      <c r="M28" s="22" t="s">
        <v>398</v>
      </c>
    </row>
    <row r="29" spans="1:13" ht="24" customHeight="1" x14ac:dyDescent="0.25">
      <c r="B29" s="17">
        <f>IFERROR((Inventory_List_Table341115[[#This Row],[H CM]]&lt;=Inventory_List_Table341115[[#This Row],[D CM ]])*(#REF!="")*valHighlight,0)</f>
        <v>0</v>
      </c>
      <c r="C29" s="18"/>
      <c r="D29" s="18"/>
      <c r="E29" s="204">
        <v>1</v>
      </c>
      <c r="F29" s="206"/>
      <c r="G29" s="206">
        <v>300</v>
      </c>
      <c r="H29" s="206">
        <v>50</v>
      </c>
      <c r="I29" s="206"/>
      <c r="J29" s="208">
        <v>20000</v>
      </c>
      <c r="K29" s="80">
        <f>Inventory_List_Table341115[[#This Row],[Q]]*Inventory_List_Table341115[[#This Row],[Per piece MXN$]]</f>
        <v>20000</v>
      </c>
      <c r="L29" s="22"/>
      <c r="M29" s="22"/>
    </row>
    <row r="30" spans="1:13" ht="27" customHeight="1" x14ac:dyDescent="0.25">
      <c r="B30" s="17">
        <f>IFERROR((Inventory_List_Table341115[[#This Row],[H CM]]&lt;=Inventory_List_Table341115[[#This Row],[D CM ]])*(#REF!="")*valHighlight,0)</f>
        <v>0</v>
      </c>
      <c r="C30" s="18"/>
      <c r="D30" s="18"/>
      <c r="E30" s="204"/>
      <c r="F30" s="206"/>
      <c r="G30" s="206">
        <v>300</v>
      </c>
      <c r="H30" s="206">
        <v>50</v>
      </c>
      <c r="I30" s="206"/>
      <c r="J30" s="208">
        <v>32000</v>
      </c>
      <c r="K30" s="80">
        <f>Inventory_List_Table341115[[#This Row],[Q]]*Inventory_List_Table341115[[#This Row],[Per piece MXN$]]</f>
        <v>0</v>
      </c>
      <c r="L30" s="22"/>
      <c r="M30" s="22"/>
    </row>
    <row r="31" spans="1:13" ht="24" customHeight="1" x14ac:dyDescent="0.25">
      <c r="J31" s="253" t="e">
        <f>#REF!*18181/10000</f>
        <v>#REF!</v>
      </c>
    </row>
  </sheetData>
  <dataValidations count="9">
    <dataValidation allowBlank="1" showInputMessage="1" showErrorMessage="1" prompt="Enter a description of the item in this column" sqref="E1" xr:uid="{9BF8E637-1FD2-4E30-889D-1B223AF339E5}"/>
    <dataValidation allowBlank="1" showInputMessage="1" showErrorMessage="1" prompt="Enter the unit price of each item in this column" sqref="F1" xr:uid="{AE7D61EA-4513-404B-AD08-A75F54E44F04}"/>
    <dataValidation allowBlank="1" showInputMessage="1" showErrorMessage="1" prompt="Enter the quantity in stock for each item in this column" sqref="G1" xr:uid="{FEE624D2-2200-48F2-95E7-DBDFEA155124}"/>
    <dataValidation allowBlank="1" showInputMessage="1" showErrorMessage="1" prompt="This is an automated column._x000a__x000a_The inventory value for each item is automatically calculated in this column." sqref="H1" xr:uid="{E3650C98-3AF7-4A47-A4BF-B2C326E30CE0}"/>
    <dataValidation allowBlank="1" showInputMessage="1" showErrorMessage="1" prompt="Enter the reorder level for each item in this column" sqref="I1" xr:uid="{25457053-4B54-48B2-84F2-2661EB46A1F3}"/>
    <dataValidation allowBlank="1" showInputMessage="1" showErrorMessage="1" prompt="Enter the number of days it takes to reorder each item in this column" sqref="J1:K1" xr:uid="{EDBBDE64-0978-4ACD-B8AB-DFEC6A2ECE11}"/>
    <dataValidation allowBlank="1" showInputMessage="1" showErrorMessage="1" prompt="Enter the name of the item in this column" sqref="D1" xr:uid="{B1A3A962-F76C-42A6-A60A-E7F5B9137160}"/>
    <dataValidation allowBlank="1" showInputMessage="1" showErrorMessage="1" prompt="Enter the item inventory ID in this column" sqref="C1" xr:uid="{E83737FC-4915-40A8-8615-B1AC3DFF0F80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0ED8D15B-B99B-40B7-B643-7D38D6B4CE31}"/>
  </dataValidations>
  <printOptions horizontalCentered="1"/>
  <pageMargins left="0.25" right="0.25" top="0.75" bottom="0.75" header="0.3" footer="0.3"/>
  <pageSetup scale="24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FA21-1B67-4BF9-81F0-FEE4F6B8F68F}">
  <sheetPr codeName="Sheet5">
    <tabColor rgb="FFF5DEB3"/>
    <pageSetUpPr fitToPage="1"/>
  </sheetPr>
  <dimension ref="A1:K39"/>
  <sheetViews>
    <sheetView showGridLines="0" topLeftCell="D1" zoomScale="70" zoomScaleNormal="70" workbookViewId="0">
      <selection activeCell="L1" sqref="L1:M1048576"/>
    </sheetView>
  </sheetViews>
  <sheetFormatPr defaultColWidth="8.625" defaultRowHeight="25.15" customHeight="1" x14ac:dyDescent="0.25"/>
  <cols>
    <col min="1" max="1" width="5.5" style="137" customWidth="1"/>
    <col min="2" max="2" width="13.625" style="138" customWidth="1"/>
    <col min="3" max="3" width="43.875" style="139" bestFit="1" customWidth="1"/>
    <col min="4" max="4" width="23" style="139" customWidth="1"/>
    <col min="5" max="5" width="6.5" style="139" customWidth="1"/>
    <col min="6" max="6" width="9" style="140" bestFit="1" customWidth="1"/>
    <col min="7" max="7" width="28.5" style="140" bestFit="1" customWidth="1"/>
    <col min="8" max="8" width="9" style="140" bestFit="1" customWidth="1"/>
    <col min="9" max="9" width="11.25" style="140" customWidth="1"/>
    <col min="10" max="10" width="18.75" style="140" bestFit="1" customWidth="1"/>
    <col min="11" max="11" width="29.75" style="140" bestFit="1" customWidth="1"/>
    <col min="12" max="16384" width="8.625" style="76"/>
  </cols>
  <sheetData>
    <row r="1" spans="1:11" s="116" customFormat="1" ht="27" x14ac:dyDescent="0.25">
      <c r="A1" s="111" t="s">
        <v>108</v>
      </c>
      <c r="B1" s="112" t="s">
        <v>102</v>
      </c>
      <c r="C1" s="112" t="s">
        <v>112</v>
      </c>
      <c r="D1" s="113" t="s">
        <v>113</v>
      </c>
      <c r="E1" s="114" t="s">
        <v>103</v>
      </c>
      <c r="F1" s="115" t="s">
        <v>104</v>
      </c>
      <c r="G1" s="115" t="s">
        <v>109</v>
      </c>
      <c r="H1" s="115" t="s">
        <v>105</v>
      </c>
      <c r="I1" s="115" t="s">
        <v>106</v>
      </c>
      <c r="J1" s="115" t="s">
        <v>114</v>
      </c>
      <c r="K1" s="112" t="s">
        <v>115</v>
      </c>
    </row>
    <row r="2" spans="1:11" ht="25.15" customHeight="1" x14ac:dyDescent="0.25">
      <c r="A2" s="117" t="s">
        <v>120</v>
      </c>
      <c r="B2" s="118"/>
      <c r="C2" s="119" t="s">
        <v>51</v>
      </c>
      <c r="D2" s="244" t="s">
        <v>823</v>
      </c>
      <c r="E2" s="120">
        <v>1</v>
      </c>
      <c r="F2" s="121">
        <v>155</v>
      </c>
      <c r="G2" s="121">
        <v>210</v>
      </c>
      <c r="H2" s="121">
        <v>40</v>
      </c>
      <c r="I2" s="121">
        <v>10</v>
      </c>
      <c r="J2" s="4" t="e">
        <f>25900*#REF!</f>
        <v>#REF!</v>
      </c>
      <c r="K2" s="4" t="e">
        <f>Inventory_List_Table346[[#This Row],[Q]]*Inventory_List_Table346[[#This Row],[Per piece MXN$]]</f>
        <v>#REF!</v>
      </c>
    </row>
    <row r="3" spans="1:11" ht="25.15" customHeight="1" x14ac:dyDescent="0.25">
      <c r="A3" s="117" t="s">
        <v>121</v>
      </c>
      <c r="B3" s="118"/>
      <c r="C3" s="119" t="s">
        <v>52</v>
      </c>
      <c r="D3" s="244" t="s">
        <v>824</v>
      </c>
      <c r="E3" s="120">
        <v>1</v>
      </c>
      <c r="F3" s="121">
        <v>250</v>
      </c>
      <c r="G3" s="121">
        <v>170</v>
      </c>
      <c r="H3" s="121"/>
      <c r="I3" s="121"/>
      <c r="J3" s="4" t="e">
        <f>28900*#REF!</f>
        <v>#REF!</v>
      </c>
      <c r="K3" s="4" t="e">
        <f>Inventory_List_Table346[[#This Row],[Q]]*Inventory_List_Table346[[#This Row],[Per piece MXN$]]</f>
        <v>#REF!</v>
      </c>
    </row>
    <row r="4" spans="1:11" ht="25.15" customHeight="1" x14ac:dyDescent="0.25">
      <c r="A4" s="117" t="s">
        <v>122</v>
      </c>
      <c r="B4" s="118"/>
      <c r="C4" s="119" t="s">
        <v>53</v>
      </c>
      <c r="D4" s="244" t="s">
        <v>825</v>
      </c>
      <c r="E4" s="120">
        <v>1</v>
      </c>
      <c r="F4" s="121">
        <v>120</v>
      </c>
      <c r="G4" s="121">
        <v>190</v>
      </c>
      <c r="H4" s="121">
        <v>60</v>
      </c>
      <c r="I4" s="121">
        <v>10</v>
      </c>
      <c r="J4" s="4" t="e">
        <f>23450*#REF!</f>
        <v>#REF!</v>
      </c>
      <c r="K4" s="4" t="e">
        <f>Inventory_List_Table346[[#This Row],[Q]]*Inventory_List_Table346[[#This Row],[Per piece MXN$]]</f>
        <v>#REF!</v>
      </c>
    </row>
    <row r="5" spans="1:11" ht="25.15" customHeight="1" x14ac:dyDescent="0.25">
      <c r="A5" s="117" t="s">
        <v>123</v>
      </c>
      <c r="B5" s="118"/>
      <c r="C5" s="119" t="s">
        <v>54</v>
      </c>
      <c r="D5" s="244" t="s">
        <v>826</v>
      </c>
      <c r="E5" s="120">
        <v>1</v>
      </c>
      <c r="F5" s="121">
        <v>50</v>
      </c>
      <c r="G5" s="121">
        <v>160</v>
      </c>
      <c r="H5" s="121">
        <v>30</v>
      </c>
      <c r="I5" s="121">
        <v>30</v>
      </c>
      <c r="J5" s="4" t="e">
        <f>27800*#REF!</f>
        <v>#REF!</v>
      </c>
      <c r="K5" s="4" t="e">
        <f>Inventory_List_Table346[[#This Row],[Q]]*Inventory_List_Table346[[#This Row],[Per piece MXN$]]</f>
        <v>#REF!</v>
      </c>
    </row>
    <row r="6" spans="1:11" ht="25.15" customHeight="1" x14ac:dyDescent="0.25">
      <c r="A6" s="117" t="s">
        <v>124</v>
      </c>
      <c r="B6" s="118"/>
      <c r="C6" s="119" t="s">
        <v>54</v>
      </c>
      <c r="D6" s="244" t="s">
        <v>827</v>
      </c>
      <c r="E6" s="120">
        <v>1</v>
      </c>
      <c r="F6" s="121">
        <v>45</v>
      </c>
      <c r="G6" s="121">
        <v>145</v>
      </c>
      <c r="H6" s="121">
        <v>30</v>
      </c>
      <c r="I6" s="121">
        <v>30</v>
      </c>
      <c r="J6" s="4" t="e">
        <f>25250*#REF!</f>
        <v>#REF!</v>
      </c>
      <c r="K6" s="4" t="e">
        <f>Inventory_List_Table346[[#This Row],[Q]]*Inventory_List_Table346[[#This Row],[Per piece MXN$]]</f>
        <v>#REF!</v>
      </c>
    </row>
    <row r="7" spans="1:11" ht="25.15" customHeight="1" x14ac:dyDescent="0.25">
      <c r="A7" s="117" t="s">
        <v>125</v>
      </c>
      <c r="B7" s="118"/>
      <c r="C7" s="119" t="s">
        <v>54</v>
      </c>
      <c r="D7" s="244" t="s">
        <v>828</v>
      </c>
      <c r="E7" s="120">
        <v>1</v>
      </c>
      <c r="F7" s="121">
        <v>40</v>
      </c>
      <c r="G7" s="121">
        <v>130</v>
      </c>
      <c r="H7" s="121">
        <v>30</v>
      </c>
      <c r="I7" s="121">
        <v>30</v>
      </c>
      <c r="J7" s="4" t="e">
        <f>22780*#REF!</f>
        <v>#REF!</v>
      </c>
      <c r="K7" s="4" t="e">
        <f>Inventory_List_Table346[[#This Row],[Q]]*Inventory_List_Table346[[#This Row],[Per piece MXN$]]</f>
        <v>#REF!</v>
      </c>
    </row>
    <row r="8" spans="1:11" ht="25.15" customHeight="1" x14ac:dyDescent="0.25">
      <c r="A8" s="117" t="s">
        <v>126</v>
      </c>
      <c r="B8" s="118"/>
      <c r="C8" s="119" t="s">
        <v>55</v>
      </c>
      <c r="D8" s="244" t="s">
        <v>829</v>
      </c>
      <c r="E8" s="120">
        <v>1</v>
      </c>
      <c r="F8" s="121">
        <v>52</v>
      </c>
      <c r="G8" s="121">
        <v>100</v>
      </c>
      <c r="H8" s="121"/>
      <c r="I8" s="121"/>
      <c r="J8" s="4" t="e">
        <f>10900*#REF!</f>
        <v>#REF!</v>
      </c>
      <c r="K8" s="4" t="e">
        <f>Inventory_List_Table346[[#This Row],[Q]]*Inventory_List_Table346[[#This Row],[Per piece MXN$]]</f>
        <v>#REF!</v>
      </c>
    </row>
    <row r="9" spans="1:11" ht="25.15" customHeight="1" x14ac:dyDescent="0.25">
      <c r="A9" s="117" t="s">
        <v>127</v>
      </c>
      <c r="B9" s="118"/>
      <c r="C9" s="119" t="s">
        <v>56</v>
      </c>
      <c r="D9" s="244" t="s">
        <v>830</v>
      </c>
      <c r="E9" s="120">
        <v>3</v>
      </c>
      <c r="F9" s="121">
        <v>8</v>
      </c>
      <c r="G9" s="121">
        <v>60</v>
      </c>
      <c r="H9" s="121">
        <v>20</v>
      </c>
      <c r="I9" s="121">
        <v>20</v>
      </c>
      <c r="J9" s="4" t="e">
        <f>2490*#REF!</f>
        <v>#REF!</v>
      </c>
      <c r="K9" s="4" t="e">
        <f>Inventory_List_Table346[[#This Row],[Q]]*Inventory_List_Table346[[#This Row],[Per piece MXN$]]</f>
        <v>#REF!</v>
      </c>
    </row>
    <row r="10" spans="1:11" ht="25.15" customHeight="1" x14ac:dyDescent="0.25">
      <c r="A10" s="117" t="s">
        <v>128</v>
      </c>
      <c r="B10" s="118"/>
      <c r="C10" s="119" t="s">
        <v>56</v>
      </c>
      <c r="D10" s="244" t="s">
        <v>831</v>
      </c>
      <c r="E10" s="120">
        <v>2</v>
      </c>
      <c r="F10" s="121">
        <v>7</v>
      </c>
      <c r="G10" s="121">
        <v>50</v>
      </c>
      <c r="H10" s="121">
        <v>20</v>
      </c>
      <c r="I10" s="121">
        <v>20</v>
      </c>
      <c r="J10" s="4" t="e">
        <f>1690*#REF!</f>
        <v>#REF!</v>
      </c>
      <c r="K10" s="4" t="e">
        <f>Inventory_List_Table346[[#This Row],[Q]]*Inventory_List_Table346[[#This Row],[Per piece MXN$]]</f>
        <v>#REF!</v>
      </c>
    </row>
    <row r="11" spans="1:11" ht="25.15" customHeight="1" x14ac:dyDescent="0.25">
      <c r="A11" s="117" t="s">
        <v>129</v>
      </c>
      <c r="B11" s="118"/>
      <c r="C11" s="119" t="s">
        <v>56</v>
      </c>
      <c r="D11" s="244" t="s">
        <v>832</v>
      </c>
      <c r="E11" s="120">
        <v>1</v>
      </c>
      <c r="F11" s="121">
        <v>5</v>
      </c>
      <c r="G11" s="121">
        <v>30</v>
      </c>
      <c r="H11" s="121">
        <v>20</v>
      </c>
      <c r="I11" s="121">
        <v>20</v>
      </c>
      <c r="J11" s="4" t="e">
        <f>1100*#REF!</f>
        <v>#REF!</v>
      </c>
      <c r="K11" s="4" t="e">
        <f>Inventory_List_Table346[[#This Row],[Q]]*Inventory_List_Table346[[#This Row],[Per piece MXN$]]</f>
        <v>#REF!</v>
      </c>
    </row>
    <row r="12" spans="1:11" ht="25.15" customHeight="1" x14ac:dyDescent="0.25">
      <c r="A12" s="117" t="s">
        <v>130</v>
      </c>
      <c r="B12" s="118"/>
      <c r="C12" s="119" t="s">
        <v>238</v>
      </c>
      <c r="D12" s="244"/>
      <c r="E12" s="120"/>
      <c r="F12" s="121"/>
      <c r="G12" s="121">
        <v>250</v>
      </c>
      <c r="H12" s="121">
        <v>150</v>
      </c>
      <c r="I12" s="121">
        <v>10</v>
      </c>
      <c r="J12" s="4" t="e">
        <f>24900*#REF!</f>
        <v>#REF!</v>
      </c>
      <c r="K12" s="4" t="e">
        <f>Inventory_List_Table346[[#This Row],[Q]]*Inventory_List_Table346[[#This Row],[Per piece MXN$]]</f>
        <v>#REF!</v>
      </c>
    </row>
    <row r="13" spans="1:11" ht="25.15" customHeight="1" x14ac:dyDescent="0.25">
      <c r="A13" s="117" t="s">
        <v>131</v>
      </c>
      <c r="B13" s="118"/>
      <c r="C13" s="119" t="s">
        <v>239</v>
      </c>
      <c r="D13" s="244"/>
      <c r="E13" s="120"/>
      <c r="F13" s="121"/>
      <c r="G13" s="121"/>
      <c r="H13" s="121"/>
      <c r="I13" s="121"/>
      <c r="J13" s="4">
        <v>15200</v>
      </c>
      <c r="K13" s="4">
        <f>Inventory_List_Table346[[#This Row],[Q]]*Inventory_List_Table346[[#This Row],[Per piece MXN$]]</f>
        <v>0</v>
      </c>
    </row>
    <row r="14" spans="1:11" ht="25.15" customHeight="1" x14ac:dyDescent="0.25">
      <c r="A14" s="117" t="s">
        <v>132</v>
      </c>
      <c r="B14" s="118"/>
      <c r="C14" s="119" t="s">
        <v>57</v>
      </c>
      <c r="D14" s="244" t="s">
        <v>833</v>
      </c>
      <c r="E14" s="120">
        <v>1</v>
      </c>
      <c r="F14" s="121">
        <v>320</v>
      </c>
      <c r="G14" s="121"/>
      <c r="H14" s="121"/>
      <c r="I14" s="121"/>
      <c r="J14" s="4" t="e">
        <f>J12+J13</f>
        <v>#REF!</v>
      </c>
      <c r="K14" s="4" t="e">
        <f>Inventory_List_Table346[[#This Row],[Q]]*Inventory_List_Table346[[#This Row],[Per piece MXN$]]</f>
        <v>#REF!</v>
      </c>
    </row>
    <row r="15" spans="1:11" ht="25.15" customHeight="1" x14ac:dyDescent="0.25">
      <c r="A15" s="117" t="s">
        <v>133</v>
      </c>
      <c r="B15" s="122"/>
      <c r="C15" s="123" t="s">
        <v>240</v>
      </c>
      <c r="D15" s="124" t="s">
        <v>991</v>
      </c>
      <c r="E15" s="120">
        <v>1</v>
      </c>
      <c r="F15" s="121">
        <v>265</v>
      </c>
      <c r="G15" s="121"/>
      <c r="H15" s="121"/>
      <c r="I15" s="121"/>
      <c r="J15" s="4">
        <v>2758</v>
      </c>
      <c r="K15" s="4">
        <f>Inventory_List_Table346[[#This Row],[Q]]*Inventory_List_Table346[[#This Row],[Per piece MXN$]]</f>
        <v>2758</v>
      </c>
    </row>
    <row r="16" spans="1:11" ht="25.15" customHeight="1" x14ac:dyDescent="0.25">
      <c r="A16" s="117" t="s">
        <v>134</v>
      </c>
      <c r="B16" s="122"/>
      <c r="C16" s="123" t="s">
        <v>328</v>
      </c>
      <c r="D16" s="124" t="s">
        <v>992</v>
      </c>
      <c r="E16" s="120">
        <v>1</v>
      </c>
      <c r="F16" s="121">
        <v>362</v>
      </c>
      <c r="G16" s="121"/>
      <c r="H16" s="121"/>
      <c r="I16" s="121"/>
      <c r="J16" s="4">
        <v>2950</v>
      </c>
      <c r="K16" s="4">
        <f>Inventory_List_Table346[[#This Row],[Q]]*Inventory_List_Table346[[#This Row],[Per piece MXN$]]</f>
        <v>2950</v>
      </c>
    </row>
    <row r="17" spans="1:11" s="131" customFormat="1" ht="25.15" customHeight="1" x14ac:dyDescent="0.25">
      <c r="A17" s="125" t="s">
        <v>135</v>
      </c>
      <c r="B17" s="126"/>
      <c r="C17" s="127" t="s">
        <v>329</v>
      </c>
      <c r="D17" s="128" t="s">
        <v>964</v>
      </c>
      <c r="E17" s="129">
        <v>1</v>
      </c>
      <c r="F17" s="130">
        <v>720</v>
      </c>
      <c r="G17" s="130"/>
      <c r="H17" s="130"/>
      <c r="I17" s="130"/>
      <c r="J17" s="6">
        <v>7658</v>
      </c>
      <c r="K17" s="6">
        <f>Inventory_List_Table346[[#This Row],[Q]]*Inventory_List_Table346[[#This Row],[Per piece MXN$]]</f>
        <v>7658</v>
      </c>
    </row>
    <row r="18" spans="1:11" ht="25.15" customHeight="1" x14ac:dyDescent="0.25">
      <c r="A18" s="117" t="s">
        <v>136</v>
      </c>
      <c r="B18" s="122"/>
      <c r="C18" s="119" t="s">
        <v>241</v>
      </c>
      <c r="D18" s="124" t="s">
        <v>993</v>
      </c>
      <c r="E18" s="120">
        <v>1</v>
      </c>
      <c r="F18" s="121">
        <v>450</v>
      </c>
      <c r="G18" s="121"/>
      <c r="H18" s="121"/>
      <c r="I18" s="121"/>
      <c r="J18" s="4">
        <v>4921</v>
      </c>
      <c r="K18" s="4">
        <f>Inventory_List_Table346[[#This Row],[Q]]*Inventory_List_Table346[[#This Row],[Per piece MXN$]]</f>
        <v>4921</v>
      </c>
    </row>
    <row r="19" spans="1:11" ht="25.15" customHeight="1" x14ac:dyDescent="0.25">
      <c r="A19" s="117" t="s">
        <v>137</v>
      </c>
      <c r="B19" s="122"/>
      <c r="C19" s="119" t="s">
        <v>241</v>
      </c>
      <c r="D19" s="124" t="s">
        <v>994</v>
      </c>
      <c r="E19" s="120">
        <v>1</v>
      </c>
      <c r="F19" s="121">
        <v>466</v>
      </c>
      <c r="G19" s="121"/>
      <c r="H19" s="121"/>
      <c r="I19" s="121"/>
      <c r="J19" s="4">
        <v>4920</v>
      </c>
      <c r="K19" s="4">
        <f>Inventory_List_Table346[[#This Row],[Q]]*Inventory_List_Table346[[#This Row],[Per piece MXN$]]</f>
        <v>4920</v>
      </c>
    </row>
    <row r="20" spans="1:11" ht="25.15" customHeight="1" x14ac:dyDescent="0.25">
      <c r="A20" s="117" t="s">
        <v>138</v>
      </c>
      <c r="B20" s="122"/>
      <c r="C20" s="123" t="s">
        <v>241</v>
      </c>
      <c r="D20" s="124" t="s">
        <v>995</v>
      </c>
      <c r="E20" s="123">
        <v>1</v>
      </c>
      <c r="F20" s="121">
        <v>928</v>
      </c>
      <c r="G20" s="121"/>
      <c r="H20" s="121"/>
      <c r="I20" s="121"/>
      <c r="J20" s="4">
        <v>10088</v>
      </c>
      <c r="K20" s="4">
        <f>Inventory_List_Table346[[#This Row],[Q]]*Inventory_List_Table346[[#This Row],[Per piece MXN$]]</f>
        <v>10088</v>
      </c>
    </row>
    <row r="21" spans="1:11" ht="25.15" customHeight="1" x14ac:dyDescent="0.25">
      <c r="A21" s="117" t="s">
        <v>139</v>
      </c>
      <c r="B21" s="122"/>
      <c r="C21" s="123" t="s">
        <v>241</v>
      </c>
      <c r="D21" s="124" t="s">
        <v>996</v>
      </c>
      <c r="E21" s="123">
        <v>1</v>
      </c>
      <c r="F21" s="121">
        <v>334</v>
      </c>
      <c r="G21" s="121"/>
      <c r="H21" s="121"/>
      <c r="I21" s="121"/>
      <c r="J21" s="4">
        <v>3664</v>
      </c>
      <c r="K21" s="4">
        <f>Inventory_List_Table346[[#This Row],[Q]]*Inventory_List_Table346[[#This Row],[Per piece MXN$]]</f>
        <v>3664</v>
      </c>
    </row>
    <row r="22" spans="1:11" ht="25.15" customHeight="1" x14ac:dyDescent="0.25">
      <c r="A22" s="117" t="s">
        <v>140</v>
      </c>
      <c r="B22" s="122"/>
      <c r="C22" s="119" t="s">
        <v>241</v>
      </c>
      <c r="D22" s="124" t="s">
        <v>997</v>
      </c>
      <c r="E22" s="120">
        <v>1</v>
      </c>
      <c r="F22" s="121">
        <v>426</v>
      </c>
      <c r="G22" s="121"/>
      <c r="H22" s="121"/>
      <c r="I22" s="121"/>
      <c r="J22" s="4">
        <v>4618</v>
      </c>
      <c r="K22" s="4">
        <f>Inventory_List_Table346[[#This Row],[Q]]*Inventory_List_Table346[[#This Row],[Per piece MXN$]]</f>
        <v>4618</v>
      </c>
    </row>
    <row r="23" spans="1:11" s="131" customFormat="1" ht="25.15" customHeight="1" x14ac:dyDescent="0.25">
      <c r="A23" s="125" t="s">
        <v>141</v>
      </c>
      <c r="B23" s="126"/>
      <c r="C23" s="127" t="s">
        <v>241</v>
      </c>
      <c r="D23" s="128" t="s">
        <v>965</v>
      </c>
      <c r="E23" s="132">
        <v>1</v>
      </c>
      <c r="F23" s="130">
        <v>432</v>
      </c>
      <c r="G23" s="130"/>
      <c r="H23" s="130"/>
      <c r="I23" s="130"/>
      <c r="J23" s="6">
        <v>5336</v>
      </c>
      <c r="K23" s="6">
        <f>Inventory_List_Table346[[#This Row],[Q]]*Inventory_List_Table346[[#This Row],[Per piece MXN$]]</f>
        <v>5336</v>
      </c>
    </row>
    <row r="24" spans="1:11" ht="25.15" customHeight="1" x14ac:dyDescent="0.25">
      <c r="A24" s="117" t="s">
        <v>142</v>
      </c>
      <c r="B24" s="122"/>
      <c r="C24" s="123" t="s">
        <v>242</v>
      </c>
      <c r="D24" s="124" t="s">
        <v>998</v>
      </c>
      <c r="E24" s="120">
        <v>1</v>
      </c>
      <c r="F24" s="121">
        <v>441</v>
      </c>
      <c r="G24" s="121"/>
      <c r="H24" s="121"/>
      <c r="I24" s="121">
        <f>Inventory_List_Table346[[#This Row],[KG]]*13</f>
        <v>5733</v>
      </c>
      <c r="J24" s="4">
        <v>4455</v>
      </c>
      <c r="K24" s="4">
        <f>Inventory_List_Table346[[#This Row],[Q]]*Inventory_List_Table346[[#This Row],[Per piece MXN$]]</f>
        <v>4455</v>
      </c>
    </row>
    <row r="25" spans="1:11" ht="25.15" customHeight="1" x14ac:dyDescent="0.25">
      <c r="A25" s="117" t="s">
        <v>143</v>
      </c>
      <c r="B25" s="133"/>
      <c r="C25" s="123" t="s">
        <v>241</v>
      </c>
      <c r="D25" s="124" t="s">
        <v>999</v>
      </c>
      <c r="E25" s="120">
        <v>1</v>
      </c>
      <c r="F25" s="121">
        <v>235</v>
      </c>
      <c r="G25" s="121"/>
      <c r="H25" s="121"/>
      <c r="I25" s="134">
        <f>Inventory_List_Table346[[#This Row],[KG]]*13</f>
        <v>3055</v>
      </c>
      <c r="J25" s="4">
        <v>4017</v>
      </c>
      <c r="K25" s="4">
        <f>Inventory_List_Table346[[#This Row],[Q]]*Inventory_List_Table346[[#This Row],[Per piece MXN$]]</f>
        <v>4017</v>
      </c>
    </row>
    <row r="26" spans="1:11" ht="25.15" customHeight="1" x14ac:dyDescent="0.25">
      <c r="A26" s="117" t="s">
        <v>144</v>
      </c>
      <c r="B26" s="133"/>
      <c r="C26" s="123" t="s">
        <v>243</v>
      </c>
      <c r="D26" s="124" t="s">
        <v>1000</v>
      </c>
      <c r="E26" s="120">
        <v>1</v>
      </c>
      <c r="F26" s="121">
        <v>352</v>
      </c>
      <c r="G26" s="121"/>
      <c r="H26" s="121"/>
      <c r="I26" s="134">
        <f>352*13</f>
        <v>4576</v>
      </c>
      <c r="J26" s="4">
        <v>5070</v>
      </c>
      <c r="K26" s="4">
        <f>Inventory_List_Table346[[#This Row],[Q]]*Inventory_List_Table346[[#This Row],[Per piece MXN$]]</f>
        <v>5070</v>
      </c>
    </row>
    <row r="27" spans="1:11" ht="25.15" customHeight="1" x14ac:dyDescent="0.25">
      <c r="A27" s="117" t="s">
        <v>156</v>
      </c>
      <c r="B27" s="118" t="s">
        <v>269</v>
      </c>
      <c r="C27" s="119" t="s">
        <v>270</v>
      </c>
      <c r="D27" s="243" t="s">
        <v>276</v>
      </c>
      <c r="E27" s="120">
        <v>2</v>
      </c>
      <c r="F27" s="121">
        <v>110</v>
      </c>
      <c r="G27" s="121">
        <v>105</v>
      </c>
      <c r="H27" s="121"/>
      <c r="I27" s="121">
        <v>80</v>
      </c>
      <c r="J27" s="135">
        <v>26900</v>
      </c>
      <c r="K27" s="4">
        <f>Inventory_List_Table346[[#This Row],[Q]]*Inventory_List_Table346[[#This Row],[Per piece MXN$]]</f>
        <v>53800</v>
      </c>
    </row>
    <row r="28" spans="1:11" ht="25.15" customHeight="1" x14ac:dyDescent="0.25">
      <c r="A28" s="117" t="s">
        <v>157</v>
      </c>
      <c r="B28" s="118">
        <v>46026</v>
      </c>
      <c r="C28" s="119" t="s">
        <v>335</v>
      </c>
      <c r="D28" s="136" t="s">
        <v>630</v>
      </c>
      <c r="E28" s="120">
        <v>1</v>
      </c>
      <c r="F28" s="121">
        <v>65</v>
      </c>
      <c r="G28" s="121">
        <v>160</v>
      </c>
      <c r="H28" s="121">
        <v>60</v>
      </c>
      <c r="I28" s="121">
        <v>10</v>
      </c>
      <c r="J28" s="4" t="e">
        <f>17200*#REF!</f>
        <v>#REF!</v>
      </c>
      <c r="K28" s="4" t="e">
        <f>Inventory_List_Table346[[#This Row],[Q]]*Inventory_List_Table346[[#This Row],[Per piece MXN$]]</f>
        <v>#REF!</v>
      </c>
    </row>
    <row r="29" spans="1:11" ht="25.15" customHeight="1" x14ac:dyDescent="0.25">
      <c r="A29" s="117" t="s">
        <v>158</v>
      </c>
      <c r="B29" s="118">
        <v>46026</v>
      </c>
      <c r="C29" s="119" t="s">
        <v>318</v>
      </c>
      <c r="D29" s="136" t="s">
        <v>631</v>
      </c>
      <c r="E29" s="120">
        <v>1</v>
      </c>
      <c r="F29" s="121">
        <v>65</v>
      </c>
      <c r="G29" s="121">
        <v>160</v>
      </c>
      <c r="H29" s="121">
        <v>50</v>
      </c>
      <c r="I29" s="121">
        <v>10</v>
      </c>
      <c r="J29" s="4" t="e">
        <f>37600*#REF!</f>
        <v>#REF!</v>
      </c>
      <c r="K29" s="4" t="e">
        <f>Inventory_List_Table346[[#This Row],[Q]]*Inventory_List_Table346[[#This Row],[Per piece MXN$]]</f>
        <v>#REF!</v>
      </c>
    </row>
    <row r="30" spans="1:11" ht="25.15" customHeight="1" x14ac:dyDescent="0.25">
      <c r="A30" s="117" t="s">
        <v>159</v>
      </c>
      <c r="B30" s="118">
        <v>46026</v>
      </c>
      <c r="C30" s="119" t="s">
        <v>330</v>
      </c>
      <c r="D30" s="136" t="s">
        <v>632</v>
      </c>
      <c r="E30" s="120">
        <v>1</v>
      </c>
      <c r="F30" s="121">
        <v>30</v>
      </c>
      <c r="G30" s="121">
        <v>65</v>
      </c>
      <c r="H30" s="121">
        <v>30</v>
      </c>
      <c r="I30" s="121">
        <v>10</v>
      </c>
      <c r="J30" s="4" t="e">
        <f>6900*#REF!</f>
        <v>#REF!</v>
      </c>
      <c r="K30" s="4" t="e">
        <f>Inventory_List_Table346[[#This Row],[Q]]*Inventory_List_Table346[[#This Row],[Per piece MXN$]]</f>
        <v>#REF!</v>
      </c>
    </row>
    <row r="31" spans="1:11" ht="25.15" customHeight="1" x14ac:dyDescent="0.25">
      <c r="A31" s="117" t="s">
        <v>160</v>
      </c>
      <c r="B31" s="118">
        <v>46026</v>
      </c>
      <c r="C31" s="119" t="s">
        <v>319</v>
      </c>
      <c r="D31" s="136" t="s">
        <v>633</v>
      </c>
      <c r="E31" s="120">
        <v>1</v>
      </c>
      <c r="F31" s="121">
        <v>100</v>
      </c>
      <c r="G31" s="121">
        <v>79</v>
      </c>
      <c r="H31" s="121">
        <v>180</v>
      </c>
      <c r="I31" s="121">
        <v>100</v>
      </c>
      <c r="J31" s="4" t="e">
        <f>31900*#REF!</f>
        <v>#REF!</v>
      </c>
      <c r="K31" s="4" t="e">
        <f>Inventory_List_Table346[[#This Row],[Q]]*Inventory_List_Table346[[#This Row],[Per piece MXN$]]</f>
        <v>#REF!</v>
      </c>
    </row>
    <row r="32" spans="1:11" ht="25.15" customHeight="1" x14ac:dyDescent="0.25">
      <c r="A32" s="117" t="s">
        <v>161</v>
      </c>
      <c r="B32" s="118">
        <v>46026</v>
      </c>
      <c r="C32" s="119" t="s">
        <v>331</v>
      </c>
      <c r="D32" s="136" t="s">
        <v>634</v>
      </c>
      <c r="E32" s="120">
        <v>4</v>
      </c>
      <c r="F32" s="121"/>
      <c r="G32" s="121">
        <v>50</v>
      </c>
      <c r="H32" s="121"/>
      <c r="I32" s="121"/>
      <c r="J32" s="4" t="e">
        <f>2900*#REF!</f>
        <v>#REF!</v>
      </c>
      <c r="K32" s="4" t="e">
        <f>Inventory_List_Table346[[#This Row],[Q]]*Inventory_List_Table346[[#This Row],[Per piece MXN$]]</f>
        <v>#REF!</v>
      </c>
    </row>
    <row r="33" spans="1:11" ht="25.15" customHeight="1" x14ac:dyDescent="0.25">
      <c r="A33" s="117" t="s">
        <v>162</v>
      </c>
      <c r="B33" s="118">
        <v>46026</v>
      </c>
      <c r="C33" s="119" t="s">
        <v>332</v>
      </c>
      <c r="D33" s="136" t="s">
        <v>635</v>
      </c>
      <c r="E33" s="120">
        <v>1</v>
      </c>
      <c r="F33" s="121"/>
      <c r="G33" s="121">
        <v>50</v>
      </c>
      <c r="H33" s="121"/>
      <c r="I33" s="121"/>
      <c r="J33" s="4" t="e">
        <f>2900*#REF!</f>
        <v>#REF!</v>
      </c>
      <c r="K33" s="4" t="e">
        <f>Inventory_List_Table346[[#This Row],[Q]]*Inventory_List_Table346[[#This Row],[Per piece MXN$]]</f>
        <v>#REF!</v>
      </c>
    </row>
    <row r="34" spans="1:11" ht="25.15" customHeight="1" x14ac:dyDescent="0.25">
      <c r="A34" s="117" t="s">
        <v>163</v>
      </c>
      <c r="B34" s="118">
        <v>46026</v>
      </c>
      <c r="C34" s="119" t="s">
        <v>333</v>
      </c>
      <c r="D34" s="136" t="s">
        <v>636</v>
      </c>
      <c r="E34" s="120">
        <v>1</v>
      </c>
      <c r="F34" s="121"/>
      <c r="G34" s="121">
        <v>40</v>
      </c>
      <c r="H34" s="121"/>
      <c r="I34" s="121"/>
      <c r="J34" s="4" t="e">
        <f>2200*#REF!</f>
        <v>#REF!</v>
      </c>
      <c r="K34" s="4" t="e">
        <f>Inventory_List_Table346[[#This Row],[Q]]*Inventory_List_Table346[[#This Row],[Per piece MXN$]]</f>
        <v>#REF!</v>
      </c>
    </row>
    <row r="35" spans="1:11" ht="25.15" customHeight="1" x14ac:dyDescent="0.25">
      <c r="A35" s="117" t="s">
        <v>164</v>
      </c>
      <c r="B35" s="118">
        <v>46026</v>
      </c>
      <c r="C35" s="119" t="s">
        <v>331</v>
      </c>
      <c r="D35" s="136" t="s">
        <v>637</v>
      </c>
      <c r="E35" s="120">
        <v>1</v>
      </c>
      <c r="F35" s="121"/>
      <c r="G35" s="121">
        <v>40</v>
      </c>
      <c r="H35" s="121"/>
      <c r="I35" s="121"/>
      <c r="J35" s="4" t="e">
        <f>2200*#REF!</f>
        <v>#REF!</v>
      </c>
      <c r="K35" s="4" t="e">
        <f>Inventory_List_Table346[[#This Row],[Q]]*Inventory_List_Table346[[#This Row],[Per piece MXN$]]</f>
        <v>#REF!</v>
      </c>
    </row>
    <row r="36" spans="1:11" ht="25.15" customHeight="1" x14ac:dyDescent="0.25">
      <c r="A36" s="117" t="s">
        <v>165</v>
      </c>
      <c r="B36" s="118">
        <v>46026</v>
      </c>
      <c r="C36" s="119" t="s">
        <v>332</v>
      </c>
      <c r="D36" s="136" t="s">
        <v>638</v>
      </c>
      <c r="E36" s="120">
        <v>1</v>
      </c>
      <c r="F36" s="121"/>
      <c r="G36" s="121">
        <v>30</v>
      </c>
      <c r="H36" s="121"/>
      <c r="I36" s="121"/>
      <c r="J36" s="4" t="e">
        <f>1450*#REF!</f>
        <v>#REF!</v>
      </c>
      <c r="K36" s="4" t="e">
        <f>Inventory_List_Table346[[#This Row],[Q]]*Inventory_List_Table346[[#This Row],[Per piece MXN$]]</f>
        <v>#REF!</v>
      </c>
    </row>
    <row r="37" spans="1:11" ht="25.15" customHeight="1" x14ac:dyDescent="0.25">
      <c r="A37" s="117" t="s">
        <v>166</v>
      </c>
      <c r="B37" s="118">
        <v>46026</v>
      </c>
      <c r="C37" s="119" t="s">
        <v>334</v>
      </c>
      <c r="D37" s="136" t="s">
        <v>640</v>
      </c>
      <c r="E37" s="120">
        <v>1</v>
      </c>
      <c r="F37" s="121"/>
      <c r="G37" s="121">
        <v>80</v>
      </c>
      <c r="H37" s="121"/>
      <c r="I37" s="121"/>
      <c r="J37" s="4" t="e">
        <f>9900*#REF!</f>
        <v>#REF!</v>
      </c>
      <c r="K37" s="4" t="e">
        <f>Inventory_List_Table346[[#This Row],[Q]]*Inventory_List_Table346[[#This Row],[Per piece MXN$]]</f>
        <v>#REF!</v>
      </c>
    </row>
    <row r="38" spans="1:11" ht="25.15" customHeight="1" x14ac:dyDescent="0.25">
      <c r="A38" s="117" t="s">
        <v>167</v>
      </c>
      <c r="B38" s="118">
        <v>46026</v>
      </c>
      <c r="C38" s="119" t="s">
        <v>336</v>
      </c>
      <c r="D38" s="136" t="s">
        <v>641</v>
      </c>
      <c r="E38" s="120">
        <v>1</v>
      </c>
      <c r="F38" s="121"/>
      <c r="G38" s="121">
        <v>170</v>
      </c>
      <c r="H38" s="121">
        <v>60</v>
      </c>
      <c r="I38" s="121">
        <v>10</v>
      </c>
      <c r="J38" s="4" t="e">
        <f>19900*#REF!</f>
        <v>#REF!</v>
      </c>
      <c r="K38" s="4" t="e">
        <f>Inventory_List_Table346[[#This Row],[Q]]*Inventory_List_Table346[[#This Row],[Per piece MXN$]]</f>
        <v>#REF!</v>
      </c>
    </row>
    <row r="39" spans="1:11" ht="25.15" customHeight="1" x14ac:dyDescent="0.25">
      <c r="A39" s="117" t="s">
        <v>168</v>
      </c>
      <c r="B39" s="118">
        <v>46026</v>
      </c>
      <c r="C39" s="119" t="s">
        <v>318</v>
      </c>
      <c r="D39" s="136" t="s">
        <v>642</v>
      </c>
      <c r="E39" s="120">
        <v>1</v>
      </c>
      <c r="F39" s="121"/>
      <c r="G39" s="121">
        <v>150</v>
      </c>
      <c r="H39" s="121">
        <v>50</v>
      </c>
      <c r="I39" s="121">
        <v>10</v>
      </c>
      <c r="J39" s="4" t="e">
        <f>39800*#REF!</f>
        <v>#REF!</v>
      </c>
      <c r="K39" s="4" t="e">
        <f>Inventory_List_Table346[[#This Row],[Q]]*Inventory_List_Table346[[#This Row],[Per piece MXN$]]</f>
        <v>#REF!</v>
      </c>
    </row>
  </sheetData>
  <phoneticPr fontId="2" type="noConversion"/>
  <dataValidations count="9">
    <dataValidation allowBlank="1" showInputMessage="1" showErrorMessage="1" prompt="Enter a description of the item in this column" sqref="E1" xr:uid="{9D704908-D7B8-452A-B118-DA534053C692}"/>
    <dataValidation allowBlank="1" showInputMessage="1" showErrorMessage="1" prompt="Enter the unit price of each item in this column" sqref="F1" xr:uid="{2669BDC1-5A92-43A3-8BA7-D0CEDBFDA6B1}"/>
    <dataValidation allowBlank="1" showInputMessage="1" showErrorMessage="1" prompt="Enter the quantity in stock for each item in this column" sqref="G1" xr:uid="{E0C2D337-072E-4E98-9AFC-85AE1A49DEA7}"/>
    <dataValidation allowBlank="1" showInputMessage="1" showErrorMessage="1" prompt="This is an automated column._x000a__x000a_The inventory value for each item is automatically calculated in this column." sqref="H1" xr:uid="{911A0005-CA35-4D1A-8AF7-576C92C4671D}"/>
    <dataValidation allowBlank="1" showInputMessage="1" showErrorMessage="1" prompt="Enter the reorder level for each item in this column" sqref="I1" xr:uid="{B9631727-CD44-4738-842A-CC2FB9BC3761}"/>
    <dataValidation allowBlank="1" showInputMessage="1" showErrorMessage="1" prompt="Enter the number of days it takes to reorder each item in this column" sqref="J1:K1" xr:uid="{BD77FED0-54CB-422A-9D90-2916FADCBB22}"/>
    <dataValidation allowBlank="1" showInputMessage="1" showErrorMessage="1" prompt="Enter the name of the item in this column" sqref="D1" xr:uid="{9DE3E174-A9EE-4BEA-B033-C1E13D37953C}"/>
    <dataValidation allowBlank="1" showInputMessage="1" showErrorMessage="1" prompt="Enter the item inventory ID in this column" sqref="C1" xr:uid="{8316F26C-6254-48CB-9DCB-32FD0F0638FB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5188E092-AEF5-4A7A-920F-E060C4BA95AC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91F7-7E2A-4C53-80B1-D035F1711C13}">
  <sheetPr codeName="Sheet4">
    <tabColor rgb="FF00B050"/>
    <pageSetUpPr fitToPage="1"/>
  </sheetPr>
  <dimension ref="A1:K45"/>
  <sheetViews>
    <sheetView showGridLines="0" topLeftCell="E1" zoomScale="72" zoomScaleNormal="57" workbookViewId="0">
      <selection activeCell="L1" sqref="L1:M1048576"/>
    </sheetView>
  </sheetViews>
  <sheetFormatPr defaultColWidth="8.625" defaultRowHeight="24" customHeight="1" x14ac:dyDescent="0.25"/>
  <cols>
    <col min="1" max="1" width="4.125" style="165" customWidth="1"/>
    <col min="2" max="2" width="15.5" style="166" customWidth="1"/>
    <col min="3" max="3" width="32.125" style="167" customWidth="1"/>
    <col min="4" max="4" width="28.625" style="167" bestFit="1" customWidth="1"/>
    <col min="5" max="5" width="6.375" style="167" customWidth="1"/>
    <col min="6" max="6" width="11.75" style="168" bestFit="1" customWidth="1"/>
    <col min="7" max="7" width="8.625" style="168" customWidth="1"/>
    <col min="8" max="8" width="9.75" style="168" bestFit="1" customWidth="1"/>
    <col min="9" max="9" width="8.25" style="168" bestFit="1" customWidth="1"/>
    <col min="10" max="10" width="26.5" style="168" bestFit="1" customWidth="1"/>
    <col min="11" max="11" width="30.25" style="168" customWidth="1"/>
    <col min="12" max="16384" width="8.625" style="150"/>
  </cols>
  <sheetData>
    <row r="1" spans="1:11" s="156" customFormat="1" ht="36" customHeight="1" x14ac:dyDescent="0.25">
      <c r="A1" s="151" t="s">
        <v>111</v>
      </c>
      <c r="B1" s="152" t="s">
        <v>102</v>
      </c>
      <c r="C1" s="152" t="s">
        <v>112</v>
      </c>
      <c r="D1" s="153" t="s">
        <v>113</v>
      </c>
      <c r="E1" s="154" t="s">
        <v>103</v>
      </c>
      <c r="F1" s="155" t="s">
        <v>104</v>
      </c>
      <c r="G1" s="155" t="s">
        <v>109</v>
      </c>
      <c r="H1" s="155" t="s">
        <v>105</v>
      </c>
      <c r="I1" s="155" t="s">
        <v>106</v>
      </c>
      <c r="J1" s="155" t="s">
        <v>114</v>
      </c>
      <c r="K1" s="152" t="s">
        <v>115</v>
      </c>
    </row>
    <row r="2" spans="1:11" ht="30" customHeight="1" x14ac:dyDescent="0.25">
      <c r="A2" s="157" t="s">
        <v>120</v>
      </c>
      <c r="B2" s="158" t="s">
        <v>284</v>
      </c>
      <c r="C2" s="228" t="s">
        <v>145</v>
      </c>
      <c r="D2" s="245" t="s">
        <v>897</v>
      </c>
      <c r="E2" s="159">
        <v>1</v>
      </c>
      <c r="F2" s="160">
        <v>476</v>
      </c>
      <c r="G2" s="160">
        <v>147</v>
      </c>
      <c r="H2" s="160">
        <v>34</v>
      </c>
      <c r="I2" s="160">
        <v>40</v>
      </c>
      <c r="J2" s="161">
        <f>Inventory_List_Table345[[#This Row],[KG]]*13.14</f>
        <v>6254.64</v>
      </c>
      <c r="K2" s="161">
        <f>Inventory_List_Table345[[#This Row],[Q]]*Inventory_List_Table345[[#This Row],[Per piece MXN$]]</f>
        <v>6254.64</v>
      </c>
    </row>
    <row r="3" spans="1:11" ht="30" customHeight="1" x14ac:dyDescent="0.25">
      <c r="A3" s="157" t="s">
        <v>121</v>
      </c>
      <c r="B3" s="158" t="s">
        <v>280</v>
      </c>
      <c r="C3" s="228" t="s">
        <v>145</v>
      </c>
      <c r="D3" s="245" t="s">
        <v>898</v>
      </c>
      <c r="E3" s="159">
        <v>1</v>
      </c>
      <c r="F3" s="160">
        <v>1017</v>
      </c>
      <c r="G3" s="160">
        <v>167</v>
      </c>
      <c r="H3" s="160">
        <v>65</v>
      </c>
      <c r="I3" s="160">
        <v>50</v>
      </c>
      <c r="J3" s="161">
        <f>Inventory_List_Table345[[#This Row],[KG]]*13.14</f>
        <v>13363.380000000001</v>
      </c>
      <c r="K3" s="161">
        <f>Inventory_List_Table345[[#This Row],[Q]]*Inventory_List_Table345[[#This Row],[Per piece MXN$]]</f>
        <v>13363.380000000001</v>
      </c>
    </row>
    <row r="4" spans="1:11" ht="30" customHeight="1" x14ac:dyDescent="0.25">
      <c r="A4" s="157" t="s">
        <v>122</v>
      </c>
      <c r="B4" s="158" t="s">
        <v>280</v>
      </c>
      <c r="C4" s="228" t="s">
        <v>145</v>
      </c>
      <c r="D4" s="245" t="s">
        <v>899</v>
      </c>
      <c r="E4" s="159">
        <v>1</v>
      </c>
      <c r="F4" s="160">
        <v>1047</v>
      </c>
      <c r="G4" s="160">
        <v>155</v>
      </c>
      <c r="H4" s="160">
        <v>80</v>
      </c>
      <c r="I4" s="160">
        <v>56</v>
      </c>
      <c r="J4" s="161">
        <f>Inventory_List_Table345[[#This Row],[KG]]*13.14</f>
        <v>13757.58</v>
      </c>
      <c r="K4" s="161">
        <f>Inventory_List_Table345[[#This Row],[Q]]*Inventory_List_Table345[[#This Row],[Per piece MXN$]]</f>
        <v>13757.58</v>
      </c>
    </row>
    <row r="5" spans="1:11" ht="30" customHeight="1" x14ac:dyDescent="0.25">
      <c r="A5" s="157" t="s">
        <v>123</v>
      </c>
      <c r="B5" s="158" t="s">
        <v>284</v>
      </c>
      <c r="C5" s="228" t="s">
        <v>145</v>
      </c>
      <c r="D5" s="245" t="s">
        <v>900</v>
      </c>
      <c r="E5" s="159">
        <v>1</v>
      </c>
      <c r="F5" s="160">
        <v>545</v>
      </c>
      <c r="G5" s="160">
        <v>171</v>
      </c>
      <c r="H5" s="160">
        <v>35</v>
      </c>
      <c r="I5" s="160">
        <v>38</v>
      </c>
      <c r="J5" s="161">
        <f>Inventory_List_Table345[[#This Row],[KG]]*13.14</f>
        <v>7161.3</v>
      </c>
      <c r="K5" s="161">
        <f>Inventory_List_Table345[[#This Row],[Q]]*Inventory_List_Table345[[#This Row],[Per piece MXN$]]</f>
        <v>7161.3</v>
      </c>
    </row>
    <row r="6" spans="1:11" ht="30" customHeight="1" x14ac:dyDescent="0.25">
      <c r="A6" s="157" t="s">
        <v>124</v>
      </c>
      <c r="B6" s="158" t="s">
        <v>281</v>
      </c>
      <c r="C6" s="228" t="s">
        <v>146</v>
      </c>
      <c r="D6" s="245" t="s">
        <v>901</v>
      </c>
      <c r="E6" s="159">
        <v>1</v>
      </c>
      <c r="F6" s="160">
        <v>507</v>
      </c>
      <c r="G6" s="160">
        <v>140</v>
      </c>
      <c r="H6" s="160">
        <v>52</v>
      </c>
      <c r="I6" s="160">
        <v>50</v>
      </c>
      <c r="J6" s="161">
        <f>Inventory_List_Table345[[#This Row],[KG]]*13.14</f>
        <v>6661.9800000000005</v>
      </c>
      <c r="K6" s="161">
        <f>Inventory_List_Table345[[#This Row],[Q]]*Inventory_List_Table345[[#This Row],[Per piece MXN$]]</f>
        <v>6661.9800000000005</v>
      </c>
    </row>
    <row r="7" spans="1:11" ht="30" customHeight="1" x14ac:dyDescent="0.25">
      <c r="A7" s="157" t="s">
        <v>125</v>
      </c>
      <c r="B7" s="158" t="s">
        <v>281</v>
      </c>
      <c r="C7" s="228" t="s">
        <v>146</v>
      </c>
      <c r="D7" s="245" t="s">
        <v>902</v>
      </c>
      <c r="E7" s="159">
        <v>1</v>
      </c>
      <c r="F7" s="160">
        <v>835</v>
      </c>
      <c r="G7" s="160">
        <v>213</v>
      </c>
      <c r="H7" s="160">
        <v>50</v>
      </c>
      <c r="I7" s="160">
        <v>31</v>
      </c>
      <c r="J7" s="161">
        <f>Inventory_List_Table345[[#This Row],[KG]]*13.14</f>
        <v>10971.9</v>
      </c>
      <c r="K7" s="161">
        <f>Inventory_List_Table345[[#This Row],[Q]]*Inventory_List_Table345[[#This Row],[Per piece MXN$]]</f>
        <v>10971.9</v>
      </c>
    </row>
    <row r="8" spans="1:11" ht="30" customHeight="1" x14ac:dyDescent="0.25">
      <c r="A8" s="157" t="s">
        <v>126</v>
      </c>
      <c r="B8" s="158" t="s">
        <v>280</v>
      </c>
      <c r="C8" s="228" t="s">
        <v>146</v>
      </c>
      <c r="D8" s="245" t="s">
        <v>903</v>
      </c>
      <c r="E8" s="159">
        <v>1</v>
      </c>
      <c r="F8" s="160">
        <v>586</v>
      </c>
      <c r="G8" s="160">
        <v>175</v>
      </c>
      <c r="H8" s="160">
        <v>56</v>
      </c>
      <c r="I8" s="160">
        <v>29</v>
      </c>
      <c r="J8" s="161">
        <f>Inventory_List_Table345[[#This Row],[KG]]*13.14</f>
        <v>7700.04</v>
      </c>
      <c r="K8" s="161">
        <f>Inventory_List_Table345[[#This Row],[Q]]*Inventory_List_Table345[[#This Row],[Per piece MXN$]]</f>
        <v>7700.04</v>
      </c>
    </row>
    <row r="9" spans="1:11" ht="30" customHeight="1" x14ac:dyDescent="0.25">
      <c r="A9" s="157" t="s">
        <v>127</v>
      </c>
      <c r="B9" s="158" t="s">
        <v>282</v>
      </c>
      <c r="C9" s="228" t="s">
        <v>146</v>
      </c>
      <c r="D9" s="245" t="s">
        <v>904</v>
      </c>
      <c r="E9" s="159">
        <v>1</v>
      </c>
      <c r="F9" s="160">
        <v>656</v>
      </c>
      <c r="G9" s="160">
        <v>190</v>
      </c>
      <c r="H9" s="160">
        <v>50</v>
      </c>
      <c r="I9" s="160">
        <v>34</v>
      </c>
      <c r="J9" s="161">
        <f>Inventory_List_Table345[[#This Row],[KG]]*13.14</f>
        <v>8619.84</v>
      </c>
      <c r="K9" s="161">
        <f>Inventory_List_Table345[[#This Row],[Q]]*Inventory_List_Table345[[#This Row],[Per piece MXN$]]</f>
        <v>8619.84</v>
      </c>
    </row>
    <row r="10" spans="1:11" ht="30" customHeight="1" x14ac:dyDescent="0.25">
      <c r="A10" s="157" t="s">
        <v>128</v>
      </c>
      <c r="B10" s="158" t="s">
        <v>283</v>
      </c>
      <c r="C10" s="228" t="s">
        <v>146</v>
      </c>
      <c r="D10" s="245" t="s">
        <v>905</v>
      </c>
      <c r="E10" s="159">
        <v>1</v>
      </c>
      <c r="F10" s="160">
        <v>566</v>
      </c>
      <c r="G10" s="160">
        <v>175</v>
      </c>
      <c r="H10" s="160">
        <v>40</v>
      </c>
      <c r="I10" s="160">
        <v>30</v>
      </c>
      <c r="J10" s="161">
        <f>Inventory_List_Table345[[#This Row],[KG]]*13.14</f>
        <v>7437.2400000000007</v>
      </c>
      <c r="K10" s="161">
        <f>Inventory_List_Table345[[#This Row],[Q]]*Inventory_List_Table345[[#This Row],[Per piece MXN$]]</f>
        <v>7437.2400000000007</v>
      </c>
    </row>
    <row r="11" spans="1:11" ht="30" customHeight="1" x14ac:dyDescent="0.25">
      <c r="A11" s="157" t="s">
        <v>129</v>
      </c>
      <c r="B11" s="158"/>
      <c r="C11" s="227" t="s">
        <v>145</v>
      </c>
      <c r="D11" s="162" t="s">
        <v>1001</v>
      </c>
      <c r="E11" s="159">
        <v>1</v>
      </c>
      <c r="F11" s="160">
        <v>249</v>
      </c>
      <c r="G11" s="160">
        <v>110</v>
      </c>
      <c r="H11" s="160">
        <v>33</v>
      </c>
      <c r="I11" s="160">
        <v>40</v>
      </c>
      <c r="J11" s="161">
        <f>Inventory_List_Table345[[#This Row],[KG]]*13.14</f>
        <v>3271.86</v>
      </c>
      <c r="K11" s="161">
        <f>Inventory_List_Table345[[#This Row],[Q]]*Inventory_List_Table345[[#This Row],[Per piece MXN$]]</f>
        <v>3271.86</v>
      </c>
    </row>
    <row r="12" spans="1:11" ht="30" customHeight="1" x14ac:dyDescent="0.25">
      <c r="A12" s="157" t="s">
        <v>130</v>
      </c>
      <c r="B12" s="158"/>
      <c r="C12" s="227" t="s">
        <v>145</v>
      </c>
      <c r="D12" s="162" t="s">
        <v>1002</v>
      </c>
      <c r="E12" s="159">
        <v>1</v>
      </c>
      <c r="F12" s="160">
        <v>249</v>
      </c>
      <c r="G12" s="160">
        <v>80</v>
      </c>
      <c r="H12" s="160">
        <v>35</v>
      </c>
      <c r="I12" s="160">
        <v>50</v>
      </c>
      <c r="J12" s="161">
        <f>Inventory_List_Table345[[#This Row],[KG]]*13.14</f>
        <v>3271.86</v>
      </c>
      <c r="K12" s="161">
        <f>Inventory_List_Table345[[#This Row],[Q]]*Inventory_List_Table345[[#This Row],[Per piece MXN$]]</f>
        <v>3271.86</v>
      </c>
    </row>
    <row r="13" spans="1:11" ht="30" customHeight="1" x14ac:dyDescent="0.25">
      <c r="A13" s="157" t="s">
        <v>131</v>
      </c>
      <c r="B13" s="158"/>
      <c r="C13" s="227" t="s">
        <v>145</v>
      </c>
      <c r="D13" s="162" t="s">
        <v>1003</v>
      </c>
      <c r="E13" s="159">
        <v>1</v>
      </c>
      <c r="F13" s="160">
        <v>290</v>
      </c>
      <c r="G13" s="160">
        <v>80</v>
      </c>
      <c r="H13" s="160">
        <v>60</v>
      </c>
      <c r="I13" s="160">
        <v>30</v>
      </c>
      <c r="J13" s="161">
        <f>Inventory_List_Table345[[#This Row],[KG]]*13.14</f>
        <v>3810.6000000000004</v>
      </c>
      <c r="K13" s="161">
        <f>Inventory_List_Table345[[#This Row],[Q]]*Inventory_List_Table345[[#This Row],[Per piece MXN$]]</f>
        <v>3810.6000000000004</v>
      </c>
    </row>
    <row r="14" spans="1:11" ht="30" customHeight="1" x14ac:dyDescent="0.25">
      <c r="A14" s="157" t="s">
        <v>132</v>
      </c>
      <c r="B14" s="163" t="s">
        <v>320</v>
      </c>
      <c r="C14" s="227" t="s">
        <v>146</v>
      </c>
      <c r="D14" s="246" t="s">
        <v>1004</v>
      </c>
      <c r="E14" s="159">
        <v>1</v>
      </c>
      <c r="F14" s="160">
        <v>169</v>
      </c>
      <c r="G14" s="160">
        <v>110</v>
      </c>
      <c r="H14" s="160">
        <v>50</v>
      </c>
      <c r="I14" s="160">
        <v>20</v>
      </c>
      <c r="J14" s="161">
        <f>Inventory_List_Table345[[#This Row],[KG]]*13.14</f>
        <v>2220.6600000000003</v>
      </c>
      <c r="K14" s="161">
        <f>Inventory_List_Table345[[#This Row],[Q]]*Inventory_List_Table345[[#This Row],[Per piece MXN$]]</f>
        <v>2220.6600000000003</v>
      </c>
    </row>
    <row r="15" spans="1:11" ht="30" customHeight="1" x14ac:dyDescent="0.25">
      <c r="A15" s="157" t="s">
        <v>133</v>
      </c>
      <c r="B15" s="163" t="s">
        <v>321</v>
      </c>
      <c r="C15" s="227" t="s">
        <v>145</v>
      </c>
      <c r="D15" s="246" t="s">
        <v>1005</v>
      </c>
      <c r="E15" s="159">
        <v>1</v>
      </c>
      <c r="F15" s="160">
        <v>136</v>
      </c>
      <c r="G15" s="160">
        <v>102</v>
      </c>
      <c r="H15" s="160">
        <v>21</v>
      </c>
      <c r="I15" s="160">
        <v>37</v>
      </c>
      <c r="J15" s="161">
        <f>Inventory_List_Table345[[#This Row],[KG]]*13.14</f>
        <v>1787.04</v>
      </c>
      <c r="K15" s="161">
        <f>Inventory_List_Table345[[#This Row],[Q]]*Inventory_List_Table345[[#This Row],[Per piece MXN$]]</f>
        <v>1787.04</v>
      </c>
    </row>
    <row r="16" spans="1:11" ht="30" customHeight="1" x14ac:dyDescent="0.25">
      <c r="A16" s="157" t="s">
        <v>134</v>
      </c>
      <c r="B16" s="163"/>
      <c r="C16" s="227" t="s">
        <v>145</v>
      </c>
      <c r="D16" s="246" t="s">
        <v>1006</v>
      </c>
      <c r="E16" s="159">
        <v>1</v>
      </c>
      <c r="F16" s="160">
        <v>163</v>
      </c>
      <c r="G16" s="160">
        <v>90</v>
      </c>
      <c r="H16" s="160">
        <v>30</v>
      </c>
      <c r="I16" s="160">
        <v>35</v>
      </c>
      <c r="J16" s="161">
        <f>Inventory_List_Table345[[#This Row],[KG]]*13.14</f>
        <v>2141.8200000000002</v>
      </c>
      <c r="K16" s="161">
        <f>Inventory_List_Table345[[#This Row],[Q]]*Inventory_List_Table345[[#This Row],[Per piece MXN$]]</f>
        <v>2141.8200000000002</v>
      </c>
    </row>
    <row r="17" spans="1:11" ht="30" customHeight="1" x14ac:dyDescent="0.25">
      <c r="A17" s="157" t="s">
        <v>135</v>
      </c>
      <c r="B17" s="158"/>
      <c r="C17" s="227" t="s">
        <v>147</v>
      </c>
      <c r="D17" s="162" t="s">
        <v>148</v>
      </c>
      <c r="E17" s="159">
        <v>1</v>
      </c>
      <c r="F17" s="160">
        <v>641</v>
      </c>
      <c r="G17" s="160">
        <v>183</v>
      </c>
      <c r="H17" s="160">
        <v>45</v>
      </c>
      <c r="I17" s="160">
        <v>30</v>
      </c>
      <c r="J17" s="161">
        <f>Inventory_List_Table345[[#This Row],[KG]]*13.14</f>
        <v>8422.74</v>
      </c>
      <c r="K17" s="161">
        <f>Inventory_List_Table345[[#This Row],[Q]]*Inventory_List_Table345[[#This Row],[Per piece MXN$]]</f>
        <v>8422.74</v>
      </c>
    </row>
    <row r="18" spans="1:11" ht="30" customHeight="1" x14ac:dyDescent="0.25">
      <c r="A18" s="157" t="s">
        <v>136</v>
      </c>
      <c r="B18" s="158"/>
      <c r="C18" s="227" t="s">
        <v>147</v>
      </c>
      <c r="D18" s="162" t="s">
        <v>149</v>
      </c>
      <c r="E18" s="159">
        <v>1</v>
      </c>
      <c r="F18" s="160">
        <v>577</v>
      </c>
      <c r="G18" s="160">
        <v>183</v>
      </c>
      <c r="H18" s="160">
        <v>45</v>
      </c>
      <c r="I18" s="160">
        <v>30</v>
      </c>
      <c r="J18" s="161">
        <f>Inventory_List_Table345[[#This Row],[KG]]*13.14</f>
        <v>7581.7800000000007</v>
      </c>
      <c r="K18" s="161">
        <f>Inventory_List_Table345[[#This Row],[Q]]*Inventory_List_Table345[[#This Row],[Per piece MXN$]]</f>
        <v>7581.7800000000007</v>
      </c>
    </row>
    <row r="19" spans="1:11" ht="30" customHeight="1" x14ac:dyDescent="0.25">
      <c r="A19" s="157" t="s">
        <v>137</v>
      </c>
      <c r="B19" s="158"/>
      <c r="C19" s="227" t="s">
        <v>147</v>
      </c>
      <c r="D19" s="162" t="s">
        <v>150</v>
      </c>
      <c r="E19" s="159">
        <v>1</v>
      </c>
      <c r="F19" s="160">
        <v>681</v>
      </c>
      <c r="G19" s="160">
        <v>183</v>
      </c>
      <c r="H19" s="160">
        <v>45</v>
      </c>
      <c r="I19" s="160">
        <v>30</v>
      </c>
      <c r="J19" s="161">
        <f>Inventory_List_Table345[[#This Row],[KG]]*13.14</f>
        <v>8948.34</v>
      </c>
      <c r="K19" s="161">
        <f>Inventory_List_Table345[[#This Row],[Q]]*Inventory_List_Table345[[#This Row],[Per piece MXN$]]</f>
        <v>8948.34</v>
      </c>
    </row>
    <row r="20" spans="1:11" ht="30" customHeight="1" x14ac:dyDescent="0.25">
      <c r="A20" s="157" t="s">
        <v>138</v>
      </c>
      <c r="B20" s="158"/>
      <c r="C20" s="227" t="s">
        <v>147</v>
      </c>
      <c r="D20" s="162" t="s">
        <v>151</v>
      </c>
      <c r="E20" s="159">
        <v>1</v>
      </c>
      <c r="F20" s="160">
        <v>814</v>
      </c>
      <c r="G20" s="160">
        <v>216</v>
      </c>
      <c r="H20" s="160">
        <v>66</v>
      </c>
      <c r="I20" s="160">
        <v>30</v>
      </c>
      <c r="J20" s="161">
        <f>Inventory_List_Table345[[#This Row],[KG]]*13.14</f>
        <v>10695.960000000001</v>
      </c>
      <c r="K20" s="161">
        <f>Inventory_List_Table345[[#This Row],[Q]]*Inventory_List_Table345[[#This Row],[Per piece MXN$]]</f>
        <v>10695.960000000001</v>
      </c>
    </row>
    <row r="21" spans="1:11" ht="30" customHeight="1" x14ac:dyDescent="0.25">
      <c r="A21" s="157" t="s">
        <v>139</v>
      </c>
      <c r="B21" s="158"/>
      <c r="C21" s="227" t="s">
        <v>147</v>
      </c>
      <c r="D21" s="162" t="s">
        <v>152</v>
      </c>
      <c r="E21" s="159">
        <v>1</v>
      </c>
      <c r="F21" s="160">
        <v>987</v>
      </c>
      <c r="G21" s="160">
        <v>206</v>
      </c>
      <c r="H21" s="160">
        <v>54</v>
      </c>
      <c r="I21" s="160">
        <v>50</v>
      </c>
      <c r="J21" s="161">
        <f>Inventory_List_Table345[[#This Row],[KG]]*13.14</f>
        <v>12969.18</v>
      </c>
      <c r="K21" s="161">
        <f>Inventory_List_Table345[[#This Row],[Q]]*Inventory_List_Table345[[#This Row],[Per piece MXN$]]</f>
        <v>12969.18</v>
      </c>
    </row>
    <row r="22" spans="1:11" ht="30" customHeight="1" x14ac:dyDescent="0.25">
      <c r="A22" s="157" t="s">
        <v>140</v>
      </c>
      <c r="B22" s="158"/>
      <c r="C22" s="227" t="s">
        <v>147</v>
      </c>
      <c r="D22" s="162" t="s">
        <v>153</v>
      </c>
      <c r="E22" s="159">
        <v>1</v>
      </c>
      <c r="F22" s="160">
        <v>918</v>
      </c>
      <c r="G22" s="160">
        <v>210</v>
      </c>
      <c r="H22" s="160">
        <v>65</v>
      </c>
      <c r="I22" s="160">
        <v>30</v>
      </c>
      <c r="J22" s="161">
        <f>Inventory_List_Table345[[#This Row],[KG]]*13.14</f>
        <v>12062.52</v>
      </c>
      <c r="K22" s="161">
        <f>Inventory_List_Table345[[#This Row],[Q]]*Inventory_List_Table345[[#This Row],[Per piece MXN$]]</f>
        <v>12062.52</v>
      </c>
    </row>
    <row r="23" spans="1:11" ht="30" customHeight="1" x14ac:dyDescent="0.25">
      <c r="A23" s="226" t="s">
        <v>141</v>
      </c>
      <c r="B23" s="158"/>
      <c r="C23" s="227" t="s">
        <v>154</v>
      </c>
      <c r="D23" s="246" t="s">
        <v>155</v>
      </c>
      <c r="E23" s="159">
        <v>1</v>
      </c>
      <c r="F23" s="160">
        <v>563</v>
      </c>
      <c r="G23" s="160">
        <v>55</v>
      </c>
      <c r="H23" s="160">
        <v>53</v>
      </c>
      <c r="I23" s="160">
        <v>30</v>
      </c>
      <c r="J23" s="161">
        <f>Inventory_List_Table345[[#This Row],[KG]]*13.14</f>
        <v>7397.8200000000006</v>
      </c>
      <c r="K23" s="161">
        <f>Inventory_List_Table345[[#This Row],[Q]]*Inventory_List_Table345[[#This Row],[Per piece MXN$]]</f>
        <v>7397.8200000000006</v>
      </c>
    </row>
    <row r="24" spans="1:11" ht="30" customHeight="1" x14ac:dyDescent="0.25">
      <c r="A24" s="157" t="s">
        <v>142</v>
      </c>
      <c r="B24" s="158" t="s">
        <v>278</v>
      </c>
      <c r="C24" s="228" t="s">
        <v>277</v>
      </c>
      <c r="D24" s="247" t="s">
        <v>906</v>
      </c>
      <c r="E24" s="159">
        <v>1</v>
      </c>
      <c r="F24" s="160">
        <v>456</v>
      </c>
      <c r="G24" s="160">
        <v>183</v>
      </c>
      <c r="H24" s="160">
        <v>40</v>
      </c>
      <c r="I24" s="160">
        <v>20</v>
      </c>
      <c r="J24" s="161">
        <f>Inventory_List_Table345[[#This Row],[KG]]*13.14</f>
        <v>5991.84</v>
      </c>
      <c r="K24" s="161">
        <f>Inventory_List_Table345[[#This Row],[Q]]*Inventory_List_Table345[[#This Row],[Per piece MXN$]]</f>
        <v>5991.84</v>
      </c>
    </row>
    <row r="25" spans="1:11" ht="30" customHeight="1" x14ac:dyDescent="0.25">
      <c r="A25" s="157" t="s">
        <v>143</v>
      </c>
      <c r="B25" s="158" t="s">
        <v>278</v>
      </c>
      <c r="C25" s="228" t="s">
        <v>277</v>
      </c>
      <c r="D25" s="247" t="s">
        <v>907</v>
      </c>
      <c r="E25" s="159">
        <v>1</v>
      </c>
      <c r="F25" s="160">
        <v>443</v>
      </c>
      <c r="G25" s="160">
        <v>175</v>
      </c>
      <c r="H25" s="160">
        <v>30</v>
      </c>
      <c r="I25" s="160">
        <v>26</v>
      </c>
      <c r="J25" s="161">
        <f>Inventory_List_Table345[[#This Row],[KG]]*13.14</f>
        <v>5821.02</v>
      </c>
      <c r="K25" s="161">
        <f>Inventory_List_Table345[[#This Row],[Q]]*Inventory_List_Table345[[#This Row],[Per piece MXN$]]</f>
        <v>5821.02</v>
      </c>
    </row>
    <row r="26" spans="1:11" ht="30" customHeight="1" x14ac:dyDescent="0.25">
      <c r="A26" s="157" t="s">
        <v>144</v>
      </c>
      <c r="B26" s="158" t="s">
        <v>278</v>
      </c>
      <c r="C26" s="228" t="s">
        <v>277</v>
      </c>
      <c r="D26" s="247" t="s">
        <v>910</v>
      </c>
      <c r="E26" s="159">
        <v>1</v>
      </c>
      <c r="F26" s="160">
        <v>485</v>
      </c>
      <c r="G26" s="160">
        <v>180</v>
      </c>
      <c r="H26" s="160">
        <v>40</v>
      </c>
      <c r="I26" s="160">
        <v>38</v>
      </c>
      <c r="J26" s="161">
        <f>Inventory_List_Table345[[#This Row],[KG]]*13.14</f>
        <v>6372.9000000000005</v>
      </c>
      <c r="K26" s="161">
        <f>Inventory_List_Table345[[#This Row],[Q]]*Inventory_List_Table345[[#This Row],[Per piece MXN$]]</f>
        <v>6372.9000000000005</v>
      </c>
    </row>
    <row r="27" spans="1:11" ht="30" customHeight="1" x14ac:dyDescent="0.25">
      <c r="A27" s="157" t="s">
        <v>156</v>
      </c>
      <c r="B27" s="158" t="s">
        <v>278</v>
      </c>
      <c r="C27" s="228" t="s">
        <v>277</v>
      </c>
      <c r="D27" s="247" t="s">
        <v>911</v>
      </c>
      <c r="E27" s="159">
        <v>1</v>
      </c>
      <c r="F27" s="160">
        <v>422</v>
      </c>
      <c r="G27" s="160">
        <v>190</v>
      </c>
      <c r="H27" s="160">
        <v>45</v>
      </c>
      <c r="I27" s="160">
        <v>25</v>
      </c>
      <c r="J27" s="161">
        <f>Inventory_List_Table345[[#This Row],[KG]]*13.14</f>
        <v>5545.08</v>
      </c>
      <c r="K27" s="161">
        <f>Inventory_List_Table345[[#This Row],[Q]]*Inventory_List_Table345[[#This Row],[Per piece MXN$]]</f>
        <v>5545.08</v>
      </c>
    </row>
    <row r="28" spans="1:11" ht="30" customHeight="1" x14ac:dyDescent="0.25">
      <c r="A28" s="157" t="s">
        <v>157</v>
      </c>
      <c r="B28" s="158" t="s">
        <v>285</v>
      </c>
      <c r="C28" s="228" t="s">
        <v>277</v>
      </c>
      <c r="D28" s="247" t="s">
        <v>912</v>
      </c>
      <c r="E28" s="159">
        <v>1</v>
      </c>
      <c r="F28" s="160">
        <v>434</v>
      </c>
      <c r="G28" s="160">
        <v>142</v>
      </c>
      <c r="H28" s="160">
        <v>37</v>
      </c>
      <c r="I28" s="160">
        <v>18</v>
      </c>
      <c r="J28" s="161">
        <f>Inventory_List_Table345[[#This Row],[KG]]*13.14</f>
        <v>5702.76</v>
      </c>
      <c r="K28" s="161">
        <f>Inventory_List_Table345[[#This Row],[Q]]*Inventory_List_Table345[[#This Row],[Per piece MXN$]]</f>
        <v>5702.76</v>
      </c>
    </row>
    <row r="29" spans="1:11" ht="30" customHeight="1" x14ac:dyDescent="0.25">
      <c r="A29" s="157" t="s">
        <v>158</v>
      </c>
      <c r="B29" s="158" t="s">
        <v>278</v>
      </c>
      <c r="C29" s="228" t="s">
        <v>277</v>
      </c>
      <c r="D29" s="247" t="s">
        <v>913</v>
      </c>
      <c r="E29" s="159">
        <v>1</v>
      </c>
      <c r="F29" s="160">
        <v>511</v>
      </c>
      <c r="G29" s="160">
        <v>192</v>
      </c>
      <c r="H29" s="160">
        <v>36</v>
      </c>
      <c r="I29" s="160">
        <v>33</v>
      </c>
      <c r="J29" s="161">
        <f>Inventory_List_Table345[[#This Row],[KG]]*13.14</f>
        <v>6714.54</v>
      </c>
      <c r="K29" s="161">
        <f>Inventory_List_Table345[[#This Row],[Q]]*Inventory_List_Table345[[#This Row],[Per piece MXN$]]</f>
        <v>6714.54</v>
      </c>
    </row>
    <row r="30" spans="1:11" ht="30" customHeight="1" x14ac:dyDescent="0.25">
      <c r="A30" s="226" t="s">
        <v>159</v>
      </c>
      <c r="B30" s="158"/>
      <c r="C30" s="227" t="s">
        <v>277</v>
      </c>
      <c r="D30" s="164" t="s">
        <v>939</v>
      </c>
      <c r="E30" s="159">
        <v>1</v>
      </c>
      <c r="F30" s="160">
        <v>672</v>
      </c>
      <c r="G30" s="160"/>
      <c r="H30" s="160"/>
      <c r="I30" s="160"/>
      <c r="J30" s="161">
        <f>Inventory_List_Table345[[#This Row],[KG]]*13.14</f>
        <v>8830.08</v>
      </c>
      <c r="K30" s="161">
        <f>Inventory_List_Table345[[#This Row],[Q]]*Inventory_List_Table345[[#This Row],[Per piece MXN$]]</f>
        <v>8830.08</v>
      </c>
    </row>
    <row r="31" spans="1:11" ht="30" customHeight="1" x14ac:dyDescent="0.25">
      <c r="A31" s="226" t="s">
        <v>160</v>
      </c>
      <c r="B31" s="158"/>
      <c r="C31" s="227" t="s">
        <v>277</v>
      </c>
      <c r="D31" s="164" t="s">
        <v>940</v>
      </c>
      <c r="E31" s="159">
        <v>1</v>
      </c>
      <c r="F31" s="160">
        <v>551</v>
      </c>
      <c r="G31" s="160"/>
      <c r="H31" s="160"/>
      <c r="I31" s="160"/>
      <c r="J31" s="161">
        <f>Inventory_List_Table345[[#This Row],[KG]]*13.14</f>
        <v>7240.14</v>
      </c>
      <c r="K31" s="161">
        <f>Inventory_List_Table345[[#This Row],[Q]]*Inventory_List_Table345[[#This Row],[Per piece MXN$]]</f>
        <v>7240.14</v>
      </c>
    </row>
    <row r="32" spans="1:11" ht="30" customHeight="1" x14ac:dyDescent="0.25">
      <c r="A32" s="226" t="s">
        <v>161</v>
      </c>
      <c r="B32" s="158"/>
      <c r="C32" s="227" t="s">
        <v>277</v>
      </c>
      <c r="D32" s="164" t="s">
        <v>941</v>
      </c>
      <c r="E32" s="159">
        <v>1</v>
      </c>
      <c r="F32" s="160">
        <v>725</v>
      </c>
      <c r="G32" s="160"/>
      <c r="H32" s="160"/>
      <c r="I32" s="160"/>
      <c r="J32" s="161">
        <f>Inventory_List_Table345[[#This Row],[KG]]*13.14</f>
        <v>9526.5</v>
      </c>
      <c r="K32" s="161">
        <f>Inventory_List_Table345[[#This Row],[Q]]*Inventory_List_Table345[[#This Row],[Per piece MXN$]]</f>
        <v>9526.5</v>
      </c>
    </row>
    <row r="33" spans="1:11" ht="30" customHeight="1" x14ac:dyDescent="0.25">
      <c r="A33" s="157" t="s">
        <v>162</v>
      </c>
      <c r="B33" s="158"/>
      <c r="C33" s="227"/>
      <c r="D33" s="162" t="s">
        <v>1007</v>
      </c>
      <c r="E33" s="159">
        <v>1</v>
      </c>
      <c r="F33" s="160">
        <v>405</v>
      </c>
      <c r="G33" s="160"/>
      <c r="H33" s="160"/>
      <c r="I33" s="160"/>
      <c r="J33" s="161">
        <f>Inventory_List_Table345[[#This Row],[KG]]*13.14</f>
        <v>5321.7</v>
      </c>
      <c r="K33" s="161">
        <f>Inventory_List_Table345[[#This Row],[Q]]*Inventory_List_Table345[[#This Row],[Per piece MXN$]]</f>
        <v>5321.7</v>
      </c>
    </row>
    <row r="34" spans="1:11" ht="30" customHeight="1" x14ac:dyDescent="0.25">
      <c r="A34" s="157" t="s">
        <v>163</v>
      </c>
      <c r="B34" s="158"/>
      <c r="C34" s="227"/>
      <c r="D34" s="162" t="s">
        <v>1008</v>
      </c>
      <c r="E34" s="159">
        <v>1</v>
      </c>
      <c r="F34" s="160">
        <v>235</v>
      </c>
      <c r="G34" s="160"/>
      <c r="H34" s="160"/>
      <c r="I34" s="160"/>
      <c r="J34" s="161">
        <f>Inventory_List_Table345[[#This Row],[KG]]*13.14</f>
        <v>3087.9</v>
      </c>
      <c r="K34" s="161">
        <f>Inventory_List_Table345[[#This Row],[Q]]*Inventory_List_Table345[[#This Row],[Per piece MXN$]]</f>
        <v>3087.9</v>
      </c>
    </row>
    <row r="35" spans="1:11" ht="30" customHeight="1" x14ac:dyDescent="0.25">
      <c r="A35" s="226" t="s">
        <v>164</v>
      </c>
      <c r="B35" s="158"/>
      <c r="C35" s="227" t="s">
        <v>277</v>
      </c>
      <c r="D35" s="164" t="s">
        <v>942</v>
      </c>
      <c r="E35" s="159">
        <v>1</v>
      </c>
      <c r="F35" s="160">
        <v>793</v>
      </c>
      <c r="G35" s="160"/>
      <c r="H35" s="160"/>
      <c r="I35" s="160"/>
      <c r="J35" s="161">
        <f>Inventory_List_Table345[[#This Row],[KG]]*13.14</f>
        <v>10420.02</v>
      </c>
      <c r="K35" s="161">
        <f>Inventory_List_Table345[[#This Row],[Q]]*Inventory_List_Table345[[#This Row],[Per piece MXN$]]</f>
        <v>10420.02</v>
      </c>
    </row>
    <row r="36" spans="1:11" ht="30" customHeight="1" x14ac:dyDescent="0.25">
      <c r="A36" s="226" t="s">
        <v>165</v>
      </c>
      <c r="B36" s="158"/>
      <c r="C36" s="227" t="s">
        <v>277</v>
      </c>
      <c r="D36" s="164" t="s">
        <v>943</v>
      </c>
      <c r="E36" s="159">
        <v>1</v>
      </c>
      <c r="F36" s="160">
        <v>518</v>
      </c>
      <c r="G36" s="160"/>
      <c r="H36" s="160"/>
      <c r="I36" s="160"/>
      <c r="J36" s="161">
        <f>Inventory_List_Table345[[#This Row],[KG]]*13.14</f>
        <v>6806.52</v>
      </c>
      <c r="K36" s="161">
        <f>Inventory_List_Table345[[#This Row],[Q]]*Inventory_List_Table345[[#This Row],[Per piece MXN$]]</f>
        <v>6806.52</v>
      </c>
    </row>
    <row r="37" spans="1:11" ht="30" customHeight="1" x14ac:dyDescent="0.25">
      <c r="A37" s="157" t="s">
        <v>166</v>
      </c>
      <c r="B37" s="158"/>
      <c r="C37" s="227"/>
      <c r="D37" s="162" t="s">
        <v>1009</v>
      </c>
      <c r="E37" s="159">
        <v>1</v>
      </c>
      <c r="F37" s="160">
        <v>533</v>
      </c>
      <c r="G37" s="160"/>
      <c r="H37" s="160"/>
      <c r="I37" s="160"/>
      <c r="J37" s="161">
        <f>Inventory_List_Table345[[#This Row],[KG]]*13.14</f>
        <v>7003.62</v>
      </c>
      <c r="K37" s="161">
        <f>Inventory_List_Table345[[#This Row],[Q]]*Inventory_List_Table345[[#This Row],[Per piece MXN$]]</f>
        <v>7003.62</v>
      </c>
    </row>
    <row r="38" spans="1:11" ht="30" customHeight="1" x14ac:dyDescent="0.25">
      <c r="A38" s="157" t="s">
        <v>167</v>
      </c>
      <c r="B38" s="158"/>
      <c r="C38" s="227"/>
      <c r="D38" s="162" t="s">
        <v>1010</v>
      </c>
      <c r="E38" s="159">
        <v>1</v>
      </c>
      <c r="F38" s="160">
        <v>463</v>
      </c>
      <c r="G38" s="160"/>
      <c r="H38" s="160"/>
      <c r="I38" s="160"/>
      <c r="J38" s="161">
        <f>Inventory_List_Table345[[#This Row],[KG]]*13.14</f>
        <v>6083.8200000000006</v>
      </c>
      <c r="K38" s="161">
        <f>Inventory_List_Table345[[#This Row],[Q]]*Inventory_List_Table345[[#This Row],[Per piece MXN$]]</f>
        <v>6083.8200000000006</v>
      </c>
    </row>
    <row r="39" spans="1:11" ht="30" customHeight="1" x14ac:dyDescent="0.25">
      <c r="A39" s="226" t="s">
        <v>168</v>
      </c>
      <c r="B39" s="158"/>
      <c r="C39" s="227" t="s">
        <v>277</v>
      </c>
      <c r="D39" s="164" t="s">
        <v>944</v>
      </c>
      <c r="E39" s="159">
        <v>1</v>
      </c>
      <c r="F39" s="160">
        <v>741</v>
      </c>
      <c r="G39" s="160"/>
      <c r="H39" s="160"/>
      <c r="I39" s="160"/>
      <c r="J39" s="161">
        <f>Inventory_List_Table345[[#This Row],[KG]]*13.14</f>
        <v>9736.74</v>
      </c>
      <c r="K39" s="161">
        <f>Inventory_List_Table345[[#This Row],[Q]]*Inventory_List_Table345[[#This Row],[Per piece MXN$]]</f>
        <v>9736.74</v>
      </c>
    </row>
    <row r="40" spans="1:11" ht="30" customHeight="1" x14ac:dyDescent="0.25">
      <c r="A40" s="226" t="s">
        <v>169</v>
      </c>
      <c r="B40" s="158"/>
      <c r="C40" s="227" t="s">
        <v>277</v>
      </c>
      <c r="D40" s="164" t="s">
        <v>945</v>
      </c>
      <c r="E40" s="159">
        <v>1</v>
      </c>
      <c r="F40" s="160">
        <v>690</v>
      </c>
      <c r="G40" s="160"/>
      <c r="H40" s="160"/>
      <c r="I40" s="160"/>
      <c r="J40" s="161">
        <f>Inventory_List_Table345[[#This Row],[KG]]*13.14</f>
        <v>9066.6</v>
      </c>
      <c r="K40" s="161">
        <f>Inventory_List_Table345[[#This Row],[Q]]*Inventory_List_Table345[[#This Row],[Per piece MXN$]]</f>
        <v>9066.6</v>
      </c>
    </row>
    <row r="41" spans="1:11" ht="30" customHeight="1" x14ac:dyDescent="0.25">
      <c r="A41" s="226" t="s">
        <v>170</v>
      </c>
      <c r="B41" s="158"/>
      <c r="C41" s="227" t="s">
        <v>277</v>
      </c>
      <c r="D41" s="164" t="s">
        <v>946</v>
      </c>
      <c r="E41" s="159">
        <v>1</v>
      </c>
      <c r="F41" s="160">
        <v>822</v>
      </c>
      <c r="G41" s="160"/>
      <c r="H41" s="160"/>
      <c r="I41" s="160"/>
      <c r="J41" s="161">
        <f>Inventory_List_Table345[[#This Row],[KG]]*13.14</f>
        <v>10801.08</v>
      </c>
      <c r="K41" s="161">
        <f>Inventory_List_Table345[[#This Row],[Q]]*Inventory_List_Table345[[#This Row],[Per piece MXN$]]</f>
        <v>10801.08</v>
      </c>
    </row>
    <row r="42" spans="1:11" ht="30" customHeight="1" x14ac:dyDescent="0.25">
      <c r="A42" s="226" t="s">
        <v>171</v>
      </c>
      <c r="B42" s="158"/>
      <c r="C42" s="227" t="s">
        <v>277</v>
      </c>
      <c r="D42" s="164" t="s">
        <v>947</v>
      </c>
      <c r="E42" s="159">
        <v>1</v>
      </c>
      <c r="F42" s="160">
        <v>603</v>
      </c>
      <c r="G42" s="160"/>
      <c r="H42" s="160"/>
      <c r="I42" s="160"/>
      <c r="J42" s="161">
        <f>Inventory_List_Table345[[#This Row],[KG]]*13.14</f>
        <v>7923.42</v>
      </c>
      <c r="K42" s="161">
        <f>Inventory_List_Table345[[#This Row],[Q]]*Inventory_List_Table345[[#This Row],[Per piece MXN$]]</f>
        <v>7923.42</v>
      </c>
    </row>
    <row r="43" spans="1:11" ht="30" customHeight="1" x14ac:dyDescent="0.25">
      <c r="A43" s="226" t="s">
        <v>172</v>
      </c>
      <c r="B43" s="158"/>
      <c r="C43" s="227" t="s">
        <v>145</v>
      </c>
      <c r="D43" s="164" t="s">
        <v>948</v>
      </c>
      <c r="E43" s="159">
        <v>1</v>
      </c>
      <c r="F43" s="160">
        <v>463</v>
      </c>
      <c r="G43" s="160"/>
      <c r="H43" s="160"/>
      <c r="I43" s="160"/>
      <c r="J43" s="161">
        <f>Inventory_List_Table345[[#This Row],[KG]]*13.14</f>
        <v>6083.8200000000006</v>
      </c>
      <c r="K43" s="161">
        <f>Inventory_List_Table345[[#This Row],[Q]]*Inventory_List_Table345[[#This Row],[Per piece MXN$]]</f>
        <v>6083.8200000000006</v>
      </c>
    </row>
    <row r="44" spans="1:11" ht="30" customHeight="1" x14ac:dyDescent="0.25">
      <c r="A44" s="226" t="s">
        <v>173</v>
      </c>
      <c r="B44" s="158"/>
      <c r="C44" s="227" t="s">
        <v>145</v>
      </c>
      <c r="D44" s="164" t="s">
        <v>949</v>
      </c>
      <c r="E44" s="159">
        <v>1</v>
      </c>
      <c r="F44" s="160">
        <v>533</v>
      </c>
      <c r="G44" s="160"/>
      <c r="H44" s="160"/>
      <c r="I44" s="160"/>
      <c r="J44" s="161">
        <f>Inventory_List_Table345[[#This Row],[KG]]*13.14</f>
        <v>7003.62</v>
      </c>
      <c r="K44" s="161">
        <f>Inventory_List_Table345[[#This Row],[Q]]*Inventory_List_Table345[[#This Row],[Per piece MXN$]]</f>
        <v>7003.62</v>
      </c>
    </row>
    <row r="45" spans="1:11" ht="30" customHeight="1" x14ac:dyDescent="0.25">
      <c r="A45" s="157" t="s">
        <v>174</v>
      </c>
      <c r="B45" s="158"/>
      <c r="C45" s="227" t="s">
        <v>344</v>
      </c>
      <c r="D45" s="162" t="s">
        <v>1011</v>
      </c>
      <c r="E45" s="159">
        <v>1</v>
      </c>
      <c r="F45" s="160">
        <v>2350</v>
      </c>
      <c r="G45" s="160"/>
      <c r="H45" s="160"/>
      <c r="I45" s="160"/>
      <c r="J45" s="161">
        <f>Inventory_List_Table345[[#This Row],[KG]]*13.14</f>
        <v>30879</v>
      </c>
      <c r="K45" s="161">
        <f>Inventory_List_Table345[[#This Row],[Q]]*Inventory_List_Table345[[#This Row],[Per piece MXN$]]</f>
        <v>30879</v>
      </c>
    </row>
  </sheetData>
  <phoneticPr fontId="2" type="noConversion"/>
  <dataValidations count="9">
    <dataValidation allowBlank="1" showInputMessage="1" showErrorMessage="1" prompt="Enter a description of the item in this column" sqref="E1" xr:uid="{FEC1A34E-059C-4D14-8EA9-0983B04096C0}"/>
    <dataValidation allowBlank="1" showInputMessage="1" showErrorMessage="1" prompt="Enter the unit price of each item in this column" sqref="F1" xr:uid="{E5C9C8AF-885E-43CA-96C7-37C4491B161D}"/>
    <dataValidation allowBlank="1" showInputMessage="1" showErrorMessage="1" prompt="Enter the quantity in stock for each item in this column" sqref="G1" xr:uid="{836CB418-1731-45DE-961E-906173BF55A4}"/>
    <dataValidation allowBlank="1" showInputMessage="1" showErrorMessage="1" prompt="This is an automated column._x000a__x000a_The inventory value for each item is automatically calculated in this column." sqref="H1" xr:uid="{0EC6B7A4-3924-4E57-A73E-7A5EC49EDF37}"/>
    <dataValidation allowBlank="1" showInputMessage="1" showErrorMessage="1" prompt="Enter the reorder level for each item in this column" sqref="I1" xr:uid="{48A7E3D7-EB7C-4A60-A730-310A631B4246}"/>
    <dataValidation allowBlank="1" showInputMessage="1" showErrorMessage="1" prompt="Enter the number of days it takes to reorder each item in this column" sqref="J1:K1" xr:uid="{307428C9-E9FD-493F-900C-43C0D695CB78}"/>
    <dataValidation allowBlank="1" showInputMessage="1" showErrorMessage="1" prompt="Enter the name of the item in this column" sqref="D1" xr:uid="{840FDE6C-AF22-4B12-BF87-A07346ADA734}"/>
    <dataValidation allowBlank="1" showInputMessage="1" showErrorMessage="1" prompt="Enter the item inventory ID in this column" sqref="C1" xr:uid="{B790540E-95B6-4178-89C4-3282BC5734E3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482348D6-4776-4648-ACAC-E1E492FD99F1}"/>
  </dataValidations>
  <printOptions horizontalCentered="1"/>
  <pageMargins left="0.25" right="0.25" top="0.75" bottom="0.75" header="0.3" footer="0.3"/>
  <pageSetup scale="24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459D-930F-4360-9594-8DE327965B1A}">
  <sheetPr>
    <tabColor rgb="FFEAA7CA"/>
    <pageSetUpPr fitToPage="1"/>
  </sheetPr>
  <dimension ref="A1:M56"/>
  <sheetViews>
    <sheetView showGridLines="0" topLeftCell="C1" zoomScale="70" zoomScaleNormal="70" workbookViewId="0">
      <selection activeCell="N1" sqref="N1:R1048576"/>
    </sheetView>
  </sheetViews>
  <sheetFormatPr defaultColWidth="8.625" defaultRowHeight="24" customHeight="1" x14ac:dyDescent="0.25"/>
  <cols>
    <col min="1" max="1" width="4.125" style="23" customWidth="1"/>
    <col min="2" max="2" width="15.5" style="24" customWidth="1"/>
    <col min="3" max="3" width="29.375" style="25" customWidth="1"/>
    <col min="4" max="4" width="22" style="25" bestFit="1" customWidth="1"/>
    <col min="5" max="5" width="9.875" style="25" bestFit="1" customWidth="1"/>
    <col min="6" max="6" width="9.25" style="26" bestFit="1" customWidth="1"/>
    <col min="7" max="7" width="8.125" style="26" bestFit="1" customWidth="1"/>
    <col min="8" max="8" width="8.75" style="26" bestFit="1" customWidth="1"/>
    <col min="9" max="9" width="8.125" style="26" bestFit="1" customWidth="1"/>
    <col min="10" max="10" width="19.5" style="26" bestFit="1" customWidth="1"/>
    <col min="11" max="11" width="27.125" style="26" bestFit="1" customWidth="1"/>
    <col min="12" max="12" width="7.5" style="7" bestFit="1" customWidth="1"/>
    <col min="13" max="13" width="8.125" style="7" bestFit="1" customWidth="1"/>
    <col min="14" max="16384" width="8.625" style="7"/>
  </cols>
  <sheetData>
    <row r="1" spans="1:13" s="15" customFormat="1" ht="40.9" customHeight="1" x14ac:dyDescent="0.25">
      <c r="A1" s="169" t="s">
        <v>111</v>
      </c>
      <c r="B1" s="170" t="s">
        <v>102</v>
      </c>
      <c r="C1" s="170" t="s">
        <v>112</v>
      </c>
      <c r="D1" s="171" t="s">
        <v>113</v>
      </c>
      <c r="E1" s="172" t="s">
        <v>103</v>
      </c>
      <c r="F1" s="173" t="s">
        <v>104</v>
      </c>
      <c r="G1" s="173" t="s">
        <v>109</v>
      </c>
      <c r="H1" s="173" t="s">
        <v>105</v>
      </c>
      <c r="I1" s="173" t="s">
        <v>106</v>
      </c>
      <c r="J1" s="173" t="s">
        <v>114</v>
      </c>
      <c r="K1" s="170" t="s">
        <v>115</v>
      </c>
      <c r="L1" s="174" t="s">
        <v>110</v>
      </c>
      <c r="M1" s="175" t="s">
        <v>0</v>
      </c>
    </row>
    <row r="2" spans="1:13" ht="30" customHeight="1" x14ac:dyDescent="0.25">
      <c r="A2" s="176" t="s">
        <v>120</v>
      </c>
      <c r="B2" s="17"/>
      <c r="C2" s="18" t="s">
        <v>288</v>
      </c>
      <c r="D2" s="248" t="s">
        <v>845</v>
      </c>
      <c r="E2" s="178">
        <v>12</v>
      </c>
      <c r="F2" s="179">
        <v>5.9855999999999998</v>
      </c>
      <c r="G2" s="179">
        <v>40</v>
      </c>
      <c r="H2" s="179">
        <v>12</v>
      </c>
      <c r="I2" s="179">
        <v>12</v>
      </c>
      <c r="J2" s="180">
        <v>420</v>
      </c>
      <c r="K2" s="1">
        <f>Inventory_List_Table341116[[#This Row],[Q]]*Inventory_List_Table341116[[#This Row],[Per piece MXN$]]</f>
        <v>5040</v>
      </c>
      <c r="L2" s="22" t="s">
        <v>528</v>
      </c>
      <c r="M2" s="22" t="s">
        <v>527</v>
      </c>
    </row>
    <row r="3" spans="1:13" ht="30" customHeight="1" x14ac:dyDescent="0.25">
      <c r="A3" s="176" t="s">
        <v>121</v>
      </c>
      <c r="B3" s="17"/>
      <c r="C3" s="18" t="s">
        <v>288</v>
      </c>
      <c r="D3" s="248" t="s">
        <v>846</v>
      </c>
      <c r="E3" s="177">
        <v>5</v>
      </c>
      <c r="F3" s="179">
        <v>8.1664000000000012</v>
      </c>
      <c r="G3" s="179">
        <v>40</v>
      </c>
      <c r="H3" s="179">
        <v>16</v>
      </c>
      <c r="I3" s="179">
        <v>16</v>
      </c>
      <c r="J3" s="180">
        <v>605</v>
      </c>
      <c r="K3" s="1">
        <f>Inventory_List_Table341116[[#This Row],[Q]]*Inventory_List_Table341116[[#This Row],[Per piece MXN$]]</f>
        <v>3025</v>
      </c>
      <c r="L3" s="22" t="s">
        <v>530</v>
      </c>
      <c r="M3" s="22" t="s">
        <v>610</v>
      </c>
    </row>
    <row r="4" spans="1:13" ht="30" customHeight="1" x14ac:dyDescent="0.25">
      <c r="A4" s="176" t="s">
        <v>122</v>
      </c>
      <c r="B4" s="17"/>
      <c r="C4" s="18" t="s">
        <v>288</v>
      </c>
      <c r="D4" s="248" t="s">
        <v>847</v>
      </c>
      <c r="E4" s="177">
        <v>10</v>
      </c>
      <c r="F4" s="179">
        <v>5.2896000000000001</v>
      </c>
      <c r="G4" s="179">
        <v>35</v>
      </c>
      <c r="H4" s="179">
        <v>12</v>
      </c>
      <c r="I4" s="179">
        <v>12</v>
      </c>
      <c r="J4" s="180">
        <v>410</v>
      </c>
      <c r="K4" s="1">
        <f>Inventory_List_Table341116[[#This Row],[Q]]*Inventory_List_Table341116[[#This Row],[Per piece MXN$]]</f>
        <v>4100</v>
      </c>
      <c r="L4" s="22" t="s">
        <v>528</v>
      </c>
      <c r="M4" s="22" t="s">
        <v>527</v>
      </c>
    </row>
    <row r="5" spans="1:13" ht="30" customHeight="1" x14ac:dyDescent="0.25">
      <c r="A5" s="176" t="s">
        <v>123</v>
      </c>
      <c r="B5" s="17"/>
      <c r="C5" s="18" t="s">
        <v>288</v>
      </c>
      <c r="D5" s="248" t="s">
        <v>848</v>
      </c>
      <c r="E5" s="177">
        <v>23</v>
      </c>
      <c r="F5" s="179">
        <v>4.5936000000000003</v>
      </c>
      <c r="G5" s="179">
        <v>30</v>
      </c>
      <c r="H5" s="179">
        <v>12</v>
      </c>
      <c r="I5" s="179">
        <v>12</v>
      </c>
      <c r="J5" s="180">
        <v>350</v>
      </c>
      <c r="K5" s="1">
        <f>Inventory_List_Table341116[[#This Row],[Q]]*Inventory_List_Table341116[[#This Row],[Per piece MXN$]]</f>
        <v>8050</v>
      </c>
      <c r="L5" s="22" t="s">
        <v>625</v>
      </c>
      <c r="M5" s="22" t="s">
        <v>551</v>
      </c>
    </row>
    <row r="6" spans="1:13" ht="30" customHeight="1" x14ac:dyDescent="0.25">
      <c r="A6" s="176" t="s">
        <v>124</v>
      </c>
      <c r="B6" s="17"/>
      <c r="C6" s="18" t="s">
        <v>288</v>
      </c>
      <c r="D6" s="248" t="s">
        <v>849</v>
      </c>
      <c r="E6" s="177">
        <v>7</v>
      </c>
      <c r="F6" s="179">
        <v>6.3103999999999996</v>
      </c>
      <c r="G6" s="179">
        <v>30</v>
      </c>
      <c r="H6" s="179">
        <v>16</v>
      </c>
      <c r="I6" s="179">
        <v>16</v>
      </c>
      <c r="J6" s="180">
        <v>460</v>
      </c>
      <c r="K6" s="1">
        <f>Inventory_List_Table341116[[#This Row],[Q]]*Inventory_List_Table341116[[#This Row],[Per piece MXN$]]</f>
        <v>3220</v>
      </c>
      <c r="L6" s="22" t="s">
        <v>555</v>
      </c>
      <c r="M6" s="22" t="s">
        <v>554</v>
      </c>
    </row>
    <row r="7" spans="1:13" ht="30" customHeight="1" x14ac:dyDescent="0.25">
      <c r="A7" s="176" t="s">
        <v>125</v>
      </c>
      <c r="B7" s="17"/>
      <c r="C7" s="18" t="s">
        <v>414</v>
      </c>
      <c r="D7" s="248" t="s">
        <v>850</v>
      </c>
      <c r="E7" s="177">
        <v>5</v>
      </c>
      <c r="F7" s="179">
        <v>2.5056000000000003</v>
      </c>
      <c r="G7" s="179">
        <v>25</v>
      </c>
      <c r="H7" s="179">
        <v>8</v>
      </c>
      <c r="I7" s="179">
        <v>8</v>
      </c>
      <c r="J7" s="180">
        <v>180</v>
      </c>
      <c r="K7" s="1">
        <f>Inventory_List_Table341116[[#This Row],[Q]]*Inventory_List_Table341116[[#This Row],[Per piece MXN$]]</f>
        <v>900</v>
      </c>
      <c r="L7" s="22" t="s">
        <v>591</v>
      </c>
      <c r="M7" s="22" t="s">
        <v>590</v>
      </c>
    </row>
    <row r="8" spans="1:13" ht="30" customHeight="1" x14ac:dyDescent="0.25">
      <c r="A8" s="229" t="s">
        <v>126</v>
      </c>
      <c r="B8" s="17">
        <v>46009</v>
      </c>
      <c r="C8" s="18" t="s">
        <v>288</v>
      </c>
      <c r="D8" s="94" t="s">
        <v>935</v>
      </c>
      <c r="E8" s="177">
        <v>6</v>
      </c>
      <c r="F8" s="179">
        <v>8.1664000000000012</v>
      </c>
      <c r="G8" s="179">
        <v>40</v>
      </c>
      <c r="H8" s="179">
        <v>16</v>
      </c>
      <c r="I8" s="179">
        <v>16</v>
      </c>
      <c r="J8" s="180">
        <v>605</v>
      </c>
      <c r="K8" s="1">
        <f>Inventory_List_Table341116[[#This Row],[Q]]*Inventory_List_Table341116[[#This Row],[Per piece MXN$]]</f>
        <v>3630</v>
      </c>
      <c r="L8" s="22" t="s">
        <v>530</v>
      </c>
      <c r="M8" s="22" t="s">
        <v>610</v>
      </c>
    </row>
    <row r="9" spans="1:13" ht="30" customHeight="1" x14ac:dyDescent="0.25">
      <c r="A9" s="176" t="s">
        <v>127</v>
      </c>
      <c r="B9" s="17">
        <v>46037</v>
      </c>
      <c r="C9" s="18" t="s">
        <v>313</v>
      </c>
      <c r="D9" s="51" t="s">
        <v>549</v>
      </c>
      <c r="E9" s="177">
        <v>10</v>
      </c>
      <c r="F9" s="179">
        <v>4</v>
      </c>
      <c r="G9" s="179">
        <v>40</v>
      </c>
      <c r="H9" s="179">
        <v>12</v>
      </c>
      <c r="I9" s="179">
        <v>12</v>
      </c>
      <c r="J9" s="180">
        <v>510</v>
      </c>
      <c r="K9" s="1">
        <f>Inventory_List_Table341116[[#This Row],[Q]]*Inventory_List_Table341116[[#This Row],[Per piece MXN$]]</f>
        <v>5100</v>
      </c>
      <c r="L9" s="22" t="s">
        <v>551</v>
      </c>
      <c r="M9" s="22" t="s">
        <v>550</v>
      </c>
    </row>
    <row r="10" spans="1:13" ht="30" customHeight="1" x14ac:dyDescent="0.25">
      <c r="A10" s="176" t="s">
        <v>128</v>
      </c>
      <c r="B10" s="17">
        <v>46037</v>
      </c>
      <c r="C10" s="18" t="s">
        <v>313</v>
      </c>
      <c r="D10" s="51" t="s">
        <v>552</v>
      </c>
      <c r="E10" s="177">
        <v>9</v>
      </c>
      <c r="F10" s="179">
        <v>6</v>
      </c>
      <c r="G10" s="179">
        <v>40</v>
      </c>
      <c r="H10" s="179">
        <v>16</v>
      </c>
      <c r="I10" s="179">
        <v>16</v>
      </c>
      <c r="J10" s="180">
        <v>755</v>
      </c>
      <c r="K10" s="1">
        <f>Inventory_List_Table341116[[#This Row],[Q]]*Inventory_List_Table341116[[#This Row],[Per piece MXN$]]</f>
        <v>6795</v>
      </c>
      <c r="L10" s="22" t="s">
        <v>525</v>
      </c>
      <c r="M10" s="22" t="s">
        <v>524</v>
      </c>
    </row>
    <row r="11" spans="1:13" ht="30" customHeight="1" x14ac:dyDescent="0.25">
      <c r="A11" s="176" t="s">
        <v>129</v>
      </c>
      <c r="B11" s="17">
        <v>46037</v>
      </c>
      <c r="C11" s="18" t="s">
        <v>313</v>
      </c>
      <c r="D11" s="51" t="s">
        <v>553</v>
      </c>
      <c r="E11" s="177">
        <v>2</v>
      </c>
      <c r="F11" s="179">
        <v>3</v>
      </c>
      <c r="G11" s="179">
        <v>30</v>
      </c>
      <c r="H11" s="179">
        <v>12</v>
      </c>
      <c r="I11" s="179">
        <v>12</v>
      </c>
      <c r="J11" s="180">
        <v>475</v>
      </c>
      <c r="K11" s="1">
        <f>Inventory_List_Table341116[[#This Row],[Q]]*Inventory_List_Table341116[[#This Row],[Per piece MXN$]]</f>
        <v>950</v>
      </c>
      <c r="L11" s="22" t="s">
        <v>555</v>
      </c>
      <c r="M11" s="22" t="s">
        <v>554</v>
      </c>
    </row>
    <row r="12" spans="1:13" ht="30" customHeight="1" x14ac:dyDescent="0.25">
      <c r="A12" s="176" t="s">
        <v>130</v>
      </c>
      <c r="B12" s="17">
        <v>46037</v>
      </c>
      <c r="C12" s="18" t="s">
        <v>313</v>
      </c>
      <c r="D12" s="51" t="s">
        <v>556</v>
      </c>
      <c r="E12" s="177">
        <v>2</v>
      </c>
      <c r="F12" s="179">
        <v>4</v>
      </c>
      <c r="G12" s="179">
        <v>30</v>
      </c>
      <c r="H12" s="179">
        <v>16</v>
      </c>
      <c r="I12" s="179">
        <v>16</v>
      </c>
      <c r="J12" s="180">
        <v>460</v>
      </c>
      <c r="K12" s="1">
        <f>Inventory_List_Table341116[[#This Row],[Q]]*Inventory_List_Table341116[[#This Row],[Per piece MXN$]]</f>
        <v>920</v>
      </c>
      <c r="L12" s="22" t="s">
        <v>555</v>
      </c>
      <c r="M12" s="22" t="s">
        <v>554</v>
      </c>
    </row>
    <row r="13" spans="1:13" ht="30" customHeight="1" x14ac:dyDescent="0.25">
      <c r="A13" s="176" t="s">
        <v>131</v>
      </c>
      <c r="B13" s="17">
        <v>46037</v>
      </c>
      <c r="C13" s="18" t="s">
        <v>313</v>
      </c>
      <c r="D13" s="51" t="s">
        <v>557</v>
      </c>
      <c r="E13" s="177">
        <v>17</v>
      </c>
      <c r="F13" s="179">
        <v>3</v>
      </c>
      <c r="G13" s="179">
        <v>35</v>
      </c>
      <c r="H13" s="179">
        <v>8</v>
      </c>
      <c r="I13" s="179">
        <v>8</v>
      </c>
      <c r="J13" s="180">
        <v>280</v>
      </c>
      <c r="K13" s="1">
        <f>Inventory_List_Table341116[[#This Row],[Q]]*Inventory_List_Table341116[[#This Row],[Per piece MXN$]]</f>
        <v>4760</v>
      </c>
      <c r="L13" s="22" t="s">
        <v>101</v>
      </c>
      <c r="M13" s="22" t="s">
        <v>558</v>
      </c>
    </row>
    <row r="14" spans="1:13" ht="30" customHeight="1" x14ac:dyDescent="0.25">
      <c r="A14" s="176" t="s">
        <v>132</v>
      </c>
      <c r="B14" s="17">
        <v>46037</v>
      </c>
      <c r="C14" s="18" t="s">
        <v>345</v>
      </c>
      <c r="D14" s="51" t="s">
        <v>559</v>
      </c>
      <c r="E14" s="177">
        <v>2</v>
      </c>
      <c r="F14" s="179">
        <v>8</v>
      </c>
      <c r="G14" s="179">
        <v>50</v>
      </c>
      <c r="H14" s="179">
        <v>20</v>
      </c>
      <c r="I14" s="179">
        <v>20</v>
      </c>
      <c r="J14" s="180">
        <v>1075</v>
      </c>
      <c r="K14" s="1">
        <f>Inventory_List_Table341116[[#This Row],[Q]]*Inventory_List_Table341116[[#This Row],[Per piece MXN$]]</f>
        <v>2150</v>
      </c>
      <c r="L14" s="22" t="s">
        <v>561</v>
      </c>
      <c r="M14" s="22" t="s">
        <v>560</v>
      </c>
    </row>
    <row r="15" spans="1:13" ht="30" customHeight="1" x14ac:dyDescent="0.25">
      <c r="A15" s="176" t="s">
        <v>133</v>
      </c>
      <c r="B15" s="17">
        <v>46037</v>
      </c>
      <c r="C15" s="18" t="s">
        <v>346</v>
      </c>
      <c r="D15" s="51" t="s">
        <v>562</v>
      </c>
      <c r="E15" s="177">
        <v>10</v>
      </c>
      <c r="F15" s="179">
        <v>7</v>
      </c>
      <c r="G15" s="179">
        <v>50</v>
      </c>
      <c r="H15" s="179">
        <v>16</v>
      </c>
      <c r="I15" s="179">
        <v>16</v>
      </c>
      <c r="J15" s="180">
        <v>795</v>
      </c>
      <c r="K15" s="1">
        <f>Inventory_List_Table341116[[#This Row],[Q]]*Inventory_List_Table341116[[#This Row],[Per piece MXN$]]</f>
        <v>7950</v>
      </c>
      <c r="L15" s="22" t="s">
        <v>564</v>
      </c>
      <c r="M15" s="22" t="s">
        <v>563</v>
      </c>
    </row>
    <row r="16" spans="1:13" ht="30" customHeight="1" x14ac:dyDescent="0.25">
      <c r="A16" s="176" t="s">
        <v>134</v>
      </c>
      <c r="B16" s="17">
        <v>46037</v>
      </c>
      <c r="C16" s="18" t="s">
        <v>313</v>
      </c>
      <c r="D16" s="51" t="s">
        <v>565</v>
      </c>
      <c r="E16" s="177">
        <v>2</v>
      </c>
      <c r="F16" s="179">
        <v>8</v>
      </c>
      <c r="G16" s="179">
        <v>60</v>
      </c>
      <c r="H16" s="179">
        <v>16</v>
      </c>
      <c r="I16" s="179">
        <v>16</v>
      </c>
      <c r="J16" s="180">
        <v>1015</v>
      </c>
      <c r="K16" s="1">
        <f>Inventory_List_Table341116[[#This Row],[Q]]*Inventory_List_Table341116[[#This Row],[Per piece MXN$]]</f>
        <v>2030</v>
      </c>
      <c r="L16" s="22" t="s">
        <v>567</v>
      </c>
      <c r="M16" s="22" t="s">
        <v>566</v>
      </c>
    </row>
    <row r="17" spans="1:13" ht="30" customHeight="1" x14ac:dyDescent="0.25">
      <c r="A17" s="176" t="s">
        <v>135</v>
      </c>
      <c r="B17" s="17">
        <v>46037</v>
      </c>
      <c r="C17" s="18" t="s">
        <v>313</v>
      </c>
      <c r="D17" s="51" t="s">
        <v>568</v>
      </c>
      <c r="E17" s="177">
        <v>2</v>
      </c>
      <c r="F17" s="179">
        <v>10</v>
      </c>
      <c r="G17" s="179">
        <v>60</v>
      </c>
      <c r="H17" s="179">
        <v>20</v>
      </c>
      <c r="I17" s="179">
        <v>20</v>
      </c>
      <c r="J17" s="180">
        <v>1295</v>
      </c>
      <c r="K17" s="1">
        <f>Inventory_List_Table341116[[#This Row],[Q]]*Inventory_List_Table341116[[#This Row],[Per piece MXN$]]</f>
        <v>2590</v>
      </c>
      <c r="L17" s="22" t="s">
        <v>570</v>
      </c>
      <c r="M17" s="22" t="s">
        <v>569</v>
      </c>
    </row>
    <row r="18" spans="1:13" ht="30" customHeight="1" x14ac:dyDescent="0.25">
      <c r="A18" s="176" t="s">
        <v>136</v>
      </c>
      <c r="B18" s="17">
        <v>46037</v>
      </c>
      <c r="C18" s="18" t="s">
        <v>313</v>
      </c>
      <c r="D18" s="51" t="s">
        <v>571</v>
      </c>
      <c r="E18" s="177">
        <v>1</v>
      </c>
      <c r="F18" s="179">
        <v>8</v>
      </c>
      <c r="G18" s="179">
        <v>50</v>
      </c>
      <c r="H18" s="179">
        <v>20</v>
      </c>
      <c r="I18" s="179">
        <v>20</v>
      </c>
      <c r="J18" s="180">
        <v>1075</v>
      </c>
      <c r="K18" s="1">
        <f>Inventory_List_Table341116[[#This Row],[Q]]*Inventory_List_Table341116[[#This Row],[Per piece MXN$]]</f>
        <v>1075</v>
      </c>
      <c r="L18" s="22" t="s">
        <v>561</v>
      </c>
      <c r="M18" s="22" t="s">
        <v>560</v>
      </c>
    </row>
    <row r="19" spans="1:13" ht="30" customHeight="1" x14ac:dyDescent="0.25">
      <c r="A19" s="176" t="s">
        <v>137</v>
      </c>
      <c r="B19" s="17">
        <v>46037</v>
      </c>
      <c r="C19" s="18" t="s">
        <v>313</v>
      </c>
      <c r="D19" s="51" t="s">
        <v>572</v>
      </c>
      <c r="E19" s="177">
        <v>6</v>
      </c>
      <c r="F19" s="179">
        <v>6</v>
      </c>
      <c r="G19" s="179">
        <v>40</v>
      </c>
      <c r="H19" s="179">
        <v>16</v>
      </c>
      <c r="I19" s="179">
        <v>16</v>
      </c>
      <c r="J19" s="180">
        <v>755</v>
      </c>
      <c r="K19" s="1">
        <f>Inventory_List_Table341116[[#This Row],[Q]]*Inventory_List_Table341116[[#This Row],[Per piece MXN$]]</f>
        <v>4530</v>
      </c>
      <c r="L19" s="22" t="s">
        <v>525</v>
      </c>
      <c r="M19" s="22" t="s">
        <v>524</v>
      </c>
    </row>
    <row r="20" spans="1:13" ht="30" customHeight="1" x14ac:dyDescent="0.25">
      <c r="A20" s="176" t="s">
        <v>138</v>
      </c>
      <c r="B20" s="17">
        <v>46037</v>
      </c>
      <c r="C20" s="18" t="s">
        <v>313</v>
      </c>
      <c r="D20" s="51" t="s">
        <v>573</v>
      </c>
      <c r="E20" s="177">
        <v>2</v>
      </c>
      <c r="F20" s="179">
        <v>7</v>
      </c>
      <c r="G20" s="179">
        <v>50</v>
      </c>
      <c r="H20" s="179">
        <v>16</v>
      </c>
      <c r="I20" s="179">
        <v>16</v>
      </c>
      <c r="J20" s="180">
        <v>795</v>
      </c>
      <c r="K20" s="1">
        <f>Inventory_List_Table341116[[#This Row],[Q]]*Inventory_List_Table341116[[#This Row],[Per piece MXN$]]</f>
        <v>1590</v>
      </c>
      <c r="L20" s="22" t="s">
        <v>564</v>
      </c>
      <c r="M20" s="22" t="s">
        <v>563</v>
      </c>
    </row>
    <row r="21" spans="1:13" ht="30" customHeight="1" x14ac:dyDescent="0.25">
      <c r="A21" s="176" t="s">
        <v>139</v>
      </c>
      <c r="B21" s="17">
        <v>46037</v>
      </c>
      <c r="C21" s="18" t="s">
        <v>345</v>
      </c>
      <c r="D21" s="51" t="s">
        <v>574</v>
      </c>
      <c r="E21" s="177">
        <v>6</v>
      </c>
      <c r="F21" s="179">
        <v>4</v>
      </c>
      <c r="G21" s="179">
        <v>40</v>
      </c>
      <c r="H21" s="179">
        <v>12</v>
      </c>
      <c r="I21" s="179">
        <v>12</v>
      </c>
      <c r="J21" s="180">
        <v>510</v>
      </c>
      <c r="K21" s="1">
        <f>Inventory_List_Table341116[[#This Row],[Q]]*Inventory_List_Table341116[[#This Row],[Per piece MXN$]]</f>
        <v>3060</v>
      </c>
      <c r="L21" s="22" t="s">
        <v>551</v>
      </c>
      <c r="M21" s="22" t="s">
        <v>550</v>
      </c>
    </row>
    <row r="22" spans="1:13" ht="30" customHeight="1" x14ac:dyDescent="0.25">
      <c r="A22" s="176" t="s">
        <v>140</v>
      </c>
      <c r="B22" s="17">
        <v>46037</v>
      </c>
      <c r="C22" s="18" t="s">
        <v>353</v>
      </c>
      <c r="D22" s="51" t="s">
        <v>575</v>
      </c>
      <c r="E22" s="177">
        <v>4</v>
      </c>
      <c r="F22" s="179">
        <v>5</v>
      </c>
      <c r="G22" s="179">
        <v>50</v>
      </c>
      <c r="H22" s="179">
        <v>12</v>
      </c>
      <c r="I22" s="179">
        <v>12</v>
      </c>
      <c r="J22" s="180">
        <v>655</v>
      </c>
      <c r="K22" s="1">
        <f>Inventory_List_Table341116[[#This Row],[Q]]*Inventory_List_Table341116[[#This Row],[Per piece MXN$]]</f>
        <v>2620</v>
      </c>
      <c r="L22" s="22" t="s">
        <v>554</v>
      </c>
      <c r="M22" s="22" t="s">
        <v>576</v>
      </c>
    </row>
    <row r="23" spans="1:13" ht="30" customHeight="1" x14ac:dyDescent="0.25">
      <c r="A23" s="176" t="s">
        <v>141</v>
      </c>
      <c r="B23" s="17">
        <v>46037</v>
      </c>
      <c r="C23" s="18" t="s">
        <v>353</v>
      </c>
      <c r="D23" s="51" t="s">
        <v>577</v>
      </c>
      <c r="E23" s="177">
        <v>25</v>
      </c>
      <c r="F23" s="179">
        <v>6</v>
      </c>
      <c r="G23" s="179">
        <v>40</v>
      </c>
      <c r="H23" s="179">
        <v>16</v>
      </c>
      <c r="I23" s="179">
        <v>16</v>
      </c>
      <c r="J23" s="180">
        <v>755</v>
      </c>
      <c r="K23" s="1">
        <f>Inventory_List_Table341116[[#This Row],[Q]]*Inventory_List_Table341116[[#This Row],[Per piece MXN$]]</f>
        <v>18875</v>
      </c>
      <c r="L23" s="22" t="s">
        <v>525</v>
      </c>
      <c r="M23" s="22" t="s">
        <v>524</v>
      </c>
    </row>
    <row r="24" spans="1:13" ht="30" customHeight="1" x14ac:dyDescent="0.25">
      <c r="A24" s="176" t="s">
        <v>142</v>
      </c>
      <c r="B24" s="17">
        <v>46037</v>
      </c>
      <c r="C24" s="18" t="s">
        <v>353</v>
      </c>
      <c r="D24" s="51" t="s">
        <v>578</v>
      </c>
      <c r="E24" s="177">
        <v>3</v>
      </c>
      <c r="F24" s="179">
        <v>5</v>
      </c>
      <c r="G24" s="179">
        <v>35</v>
      </c>
      <c r="H24" s="179">
        <v>16</v>
      </c>
      <c r="I24" s="179">
        <v>16</v>
      </c>
      <c r="J24" s="180">
        <v>740</v>
      </c>
      <c r="K24" s="1">
        <f>Inventory_List_Table341116[[#This Row],[Q]]*Inventory_List_Table341116[[#This Row],[Per piece MXN$]]</f>
        <v>2220</v>
      </c>
      <c r="L24" s="22" t="s">
        <v>580</v>
      </c>
      <c r="M24" s="22" t="s">
        <v>579</v>
      </c>
    </row>
    <row r="25" spans="1:13" ht="30" customHeight="1" x14ac:dyDescent="0.25">
      <c r="A25" s="176" t="s">
        <v>143</v>
      </c>
      <c r="B25" s="17">
        <v>46037</v>
      </c>
      <c r="C25" s="18" t="s">
        <v>353</v>
      </c>
      <c r="D25" s="51" t="s">
        <v>581</v>
      </c>
      <c r="E25" s="177">
        <v>21</v>
      </c>
      <c r="F25" s="179">
        <v>4</v>
      </c>
      <c r="G25" s="179">
        <v>40</v>
      </c>
      <c r="H25" s="179">
        <v>12</v>
      </c>
      <c r="I25" s="179">
        <v>12</v>
      </c>
      <c r="J25" s="180">
        <v>552</v>
      </c>
      <c r="K25" s="1">
        <f>Inventory_List_Table341116[[#This Row],[Q]]*Inventory_List_Table341116[[#This Row],[Per piece MXN$]]</f>
        <v>11592</v>
      </c>
      <c r="L25" s="22" t="s">
        <v>583</v>
      </c>
      <c r="M25" s="22" t="s">
        <v>582</v>
      </c>
    </row>
    <row r="26" spans="1:13" ht="30" customHeight="1" x14ac:dyDescent="0.25">
      <c r="A26" s="176" t="s">
        <v>144</v>
      </c>
      <c r="B26" s="17">
        <v>46037</v>
      </c>
      <c r="C26" s="18" t="s">
        <v>347</v>
      </c>
      <c r="D26" s="51" t="s">
        <v>584</v>
      </c>
      <c r="E26" s="177">
        <v>8</v>
      </c>
      <c r="F26" s="179">
        <v>6</v>
      </c>
      <c r="G26" s="179">
        <v>40</v>
      </c>
      <c r="H26" s="179">
        <v>16</v>
      </c>
      <c r="I26" s="179">
        <v>16</v>
      </c>
      <c r="J26" s="180">
        <v>755</v>
      </c>
      <c r="K26" s="1">
        <f>Inventory_List_Table341116[[#This Row],[Q]]*Inventory_List_Table341116[[#This Row],[Per piece MXN$]]</f>
        <v>6040</v>
      </c>
      <c r="L26" s="22" t="s">
        <v>525</v>
      </c>
      <c r="M26" s="22" t="s">
        <v>524</v>
      </c>
    </row>
    <row r="27" spans="1:13" ht="30" customHeight="1" x14ac:dyDescent="0.25">
      <c r="A27" s="176" t="s">
        <v>156</v>
      </c>
      <c r="B27" s="17">
        <v>46037</v>
      </c>
      <c r="C27" s="18" t="s">
        <v>347</v>
      </c>
      <c r="D27" s="51" t="s">
        <v>585</v>
      </c>
      <c r="E27" s="177">
        <v>4</v>
      </c>
      <c r="F27" s="179">
        <v>4</v>
      </c>
      <c r="G27" s="179">
        <v>40</v>
      </c>
      <c r="H27" s="179">
        <v>12</v>
      </c>
      <c r="I27" s="179">
        <v>12</v>
      </c>
      <c r="J27" s="219">
        <v>510</v>
      </c>
      <c r="K27" s="80">
        <f>Inventory_List_Table341116[[#This Row],[Q]]*Inventory_List_Table341116[[#This Row],[Per piece MXN$]]</f>
        <v>2040</v>
      </c>
      <c r="L27" s="22" t="s">
        <v>551</v>
      </c>
      <c r="M27" s="22" t="s">
        <v>550</v>
      </c>
    </row>
    <row r="28" spans="1:13" ht="30" customHeight="1" x14ac:dyDescent="0.25">
      <c r="A28" s="176" t="s">
        <v>157</v>
      </c>
      <c r="B28" s="17">
        <v>46037</v>
      </c>
      <c r="C28" s="18" t="s">
        <v>347</v>
      </c>
      <c r="D28" s="51" t="s">
        <v>586</v>
      </c>
      <c r="E28" s="177">
        <v>1</v>
      </c>
      <c r="F28" s="179">
        <v>4</v>
      </c>
      <c r="G28" s="179">
        <v>35</v>
      </c>
      <c r="H28" s="179">
        <v>12</v>
      </c>
      <c r="I28" s="179">
        <v>12</v>
      </c>
      <c r="J28" s="219">
        <v>500</v>
      </c>
      <c r="K28" s="80">
        <f>Inventory_List_Table341116[[#This Row],[Q]]*Inventory_List_Table341116[[#This Row],[Per piece MXN$]]</f>
        <v>500</v>
      </c>
      <c r="L28" s="22" t="s">
        <v>551</v>
      </c>
      <c r="M28" s="22" t="s">
        <v>550</v>
      </c>
    </row>
    <row r="29" spans="1:13" ht="30" customHeight="1" x14ac:dyDescent="0.25">
      <c r="A29" s="176" t="s">
        <v>158</v>
      </c>
      <c r="B29" s="17">
        <v>46037</v>
      </c>
      <c r="C29" s="18" t="s">
        <v>348</v>
      </c>
      <c r="D29" s="51" t="s">
        <v>587</v>
      </c>
      <c r="E29" s="177">
        <v>8</v>
      </c>
      <c r="F29" s="179">
        <v>3</v>
      </c>
      <c r="G29" s="179">
        <v>35</v>
      </c>
      <c r="H29" s="179">
        <v>8</v>
      </c>
      <c r="I29" s="179">
        <v>8</v>
      </c>
      <c r="J29" s="219">
        <v>190</v>
      </c>
      <c r="K29" s="80">
        <f>Inventory_List_Table341116[[#This Row],[Q]]*Inventory_List_Table341116[[#This Row],[Per piece MXN$]]</f>
        <v>1520</v>
      </c>
      <c r="L29" s="22" t="s">
        <v>84</v>
      </c>
      <c r="M29" s="22" t="s">
        <v>588</v>
      </c>
    </row>
    <row r="30" spans="1:13" ht="30" customHeight="1" x14ac:dyDescent="0.25">
      <c r="A30" s="176" t="s">
        <v>159</v>
      </c>
      <c r="B30" s="17">
        <v>46037</v>
      </c>
      <c r="C30" s="18" t="s">
        <v>348</v>
      </c>
      <c r="D30" s="51" t="s">
        <v>589</v>
      </c>
      <c r="E30" s="177">
        <v>20</v>
      </c>
      <c r="F30" s="179">
        <v>2</v>
      </c>
      <c r="G30" s="179">
        <v>30</v>
      </c>
      <c r="H30" s="179">
        <v>8</v>
      </c>
      <c r="I30" s="179">
        <v>8</v>
      </c>
      <c r="J30" s="219">
        <v>180</v>
      </c>
      <c r="K30" s="80">
        <f>Inventory_List_Table341116[[#This Row],[Q]]*Inventory_List_Table341116[[#This Row],[Per piece MXN$]]</f>
        <v>3600</v>
      </c>
      <c r="L30" s="22" t="s">
        <v>591</v>
      </c>
      <c r="M30" s="22" t="s">
        <v>590</v>
      </c>
    </row>
    <row r="31" spans="1:13" ht="30" customHeight="1" x14ac:dyDescent="0.25">
      <c r="A31" s="176" t="s">
        <v>160</v>
      </c>
      <c r="B31" s="17">
        <v>46037</v>
      </c>
      <c r="C31" s="18" t="s">
        <v>348</v>
      </c>
      <c r="D31" s="51" t="s">
        <v>592</v>
      </c>
      <c r="E31" s="177">
        <v>2</v>
      </c>
      <c r="F31" s="179">
        <v>2</v>
      </c>
      <c r="G31" s="179">
        <v>25</v>
      </c>
      <c r="H31" s="179">
        <v>8</v>
      </c>
      <c r="I31" s="179">
        <v>8</v>
      </c>
      <c r="J31" s="219">
        <v>180</v>
      </c>
      <c r="K31" s="80">
        <f>Inventory_List_Table341116[[#This Row],[Q]]*Inventory_List_Table341116[[#This Row],[Per piece MXN$]]</f>
        <v>360</v>
      </c>
      <c r="L31" s="22" t="s">
        <v>591</v>
      </c>
      <c r="M31" s="22" t="s">
        <v>590</v>
      </c>
    </row>
    <row r="32" spans="1:13" ht="30" customHeight="1" x14ac:dyDescent="0.25">
      <c r="A32" s="176" t="s">
        <v>161</v>
      </c>
      <c r="B32" s="17">
        <v>46037</v>
      </c>
      <c r="C32" s="18" t="s">
        <v>348</v>
      </c>
      <c r="D32" s="51" t="s">
        <v>593</v>
      </c>
      <c r="E32" s="177">
        <v>6</v>
      </c>
      <c r="F32" s="179">
        <v>4</v>
      </c>
      <c r="G32" s="179">
        <v>35</v>
      </c>
      <c r="H32" s="179">
        <v>12</v>
      </c>
      <c r="I32" s="179">
        <v>12</v>
      </c>
      <c r="J32" s="219">
        <v>400</v>
      </c>
      <c r="K32" s="80">
        <f>Inventory_List_Table341116[[#This Row],[Q]]*Inventory_List_Table341116[[#This Row],[Per piece MXN$]]</f>
        <v>2400</v>
      </c>
      <c r="L32" s="22" t="s">
        <v>558</v>
      </c>
      <c r="M32" s="22" t="s">
        <v>583</v>
      </c>
    </row>
    <row r="33" spans="1:13" ht="30" customHeight="1" x14ac:dyDescent="0.25">
      <c r="A33" s="176" t="s">
        <v>162</v>
      </c>
      <c r="B33" s="17">
        <v>46037</v>
      </c>
      <c r="C33" s="18" t="s">
        <v>352</v>
      </c>
      <c r="D33" s="51" t="s">
        <v>594</v>
      </c>
      <c r="E33" s="177">
        <v>15</v>
      </c>
      <c r="F33" s="179">
        <v>5</v>
      </c>
      <c r="G33" s="179">
        <v>35</v>
      </c>
      <c r="H33" s="179">
        <v>10</v>
      </c>
      <c r="I33" s="179">
        <v>10</v>
      </c>
      <c r="J33" s="219">
        <v>310</v>
      </c>
      <c r="K33" s="80">
        <f>Inventory_List_Table341116[[#This Row],[Q]]*Inventory_List_Table341116[[#This Row],[Per piece MXN$]]</f>
        <v>4650</v>
      </c>
      <c r="L33" s="22" t="s">
        <v>595</v>
      </c>
      <c r="M33" s="22" t="s">
        <v>531</v>
      </c>
    </row>
    <row r="34" spans="1:13" ht="30" customHeight="1" x14ac:dyDescent="0.25">
      <c r="A34" s="176" t="s">
        <v>163</v>
      </c>
      <c r="B34" s="17">
        <v>46037</v>
      </c>
      <c r="C34" s="18" t="s">
        <v>352</v>
      </c>
      <c r="D34" s="51" t="s">
        <v>596</v>
      </c>
      <c r="E34" s="177">
        <v>6</v>
      </c>
      <c r="F34" s="179">
        <v>4</v>
      </c>
      <c r="G34" s="179">
        <v>30</v>
      </c>
      <c r="H34" s="179">
        <v>10</v>
      </c>
      <c r="I34" s="179">
        <v>10</v>
      </c>
      <c r="J34" s="219">
        <v>270</v>
      </c>
      <c r="K34" s="80">
        <f>Inventory_List_Table341116[[#This Row],[Q]]*Inventory_List_Table341116[[#This Row],[Per piece MXN$]]</f>
        <v>1620</v>
      </c>
      <c r="L34" s="22" t="s">
        <v>588</v>
      </c>
      <c r="M34" s="22" t="s">
        <v>597</v>
      </c>
    </row>
    <row r="35" spans="1:13" ht="30" customHeight="1" x14ac:dyDescent="0.25">
      <c r="A35" s="176" t="s">
        <v>164</v>
      </c>
      <c r="B35" s="17">
        <v>46037</v>
      </c>
      <c r="C35" s="18" t="s">
        <v>352</v>
      </c>
      <c r="D35" s="51" t="s">
        <v>598</v>
      </c>
      <c r="E35" s="177">
        <v>3</v>
      </c>
      <c r="F35" s="179">
        <v>4</v>
      </c>
      <c r="G35" s="179">
        <v>25</v>
      </c>
      <c r="H35" s="179">
        <v>10</v>
      </c>
      <c r="I35" s="179">
        <v>10</v>
      </c>
      <c r="J35" s="219">
        <v>220</v>
      </c>
      <c r="K35" s="80">
        <f>Inventory_List_Table341116[[#This Row],[Q]]*Inventory_List_Table341116[[#This Row],[Per piece MXN$]]</f>
        <v>660</v>
      </c>
      <c r="L35" s="22" t="s">
        <v>599</v>
      </c>
      <c r="M35" s="22" t="s">
        <v>595</v>
      </c>
    </row>
    <row r="36" spans="1:13" ht="30" customHeight="1" x14ac:dyDescent="0.25">
      <c r="A36" s="176" t="s">
        <v>165</v>
      </c>
      <c r="B36" s="17">
        <v>46037</v>
      </c>
      <c r="C36" s="18" t="s">
        <v>351</v>
      </c>
      <c r="D36" s="51" t="s">
        <v>600</v>
      </c>
      <c r="E36" s="177">
        <v>3</v>
      </c>
      <c r="F36" s="179">
        <v>3</v>
      </c>
      <c r="G36" s="179">
        <v>30</v>
      </c>
      <c r="H36" s="179">
        <v>12</v>
      </c>
      <c r="I36" s="179">
        <v>12</v>
      </c>
      <c r="J36" s="219">
        <v>320</v>
      </c>
      <c r="K36" s="80">
        <f>Inventory_List_Table341116[[#This Row],[Q]]*Inventory_List_Table341116[[#This Row],[Per piece MXN$]]</f>
        <v>960</v>
      </c>
      <c r="L36" s="22" t="s">
        <v>602</v>
      </c>
      <c r="M36" s="22" t="s">
        <v>601</v>
      </c>
    </row>
    <row r="37" spans="1:13" ht="30" customHeight="1" x14ac:dyDescent="0.25">
      <c r="A37" s="176" t="s">
        <v>166</v>
      </c>
      <c r="B37" s="17">
        <v>46037</v>
      </c>
      <c r="C37" s="18" t="s">
        <v>349</v>
      </c>
      <c r="D37" s="51" t="s">
        <v>603</v>
      </c>
      <c r="E37" s="177">
        <v>9</v>
      </c>
      <c r="F37" s="179">
        <v>4</v>
      </c>
      <c r="G37" s="179">
        <v>40</v>
      </c>
      <c r="H37" s="179">
        <v>12</v>
      </c>
      <c r="I37" s="179">
        <v>12</v>
      </c>
      <c r="J37" s="219">
        <v>460</v>
      </c>
      <c r="K37" s="80">
        <f>Inventory_List_Table341116[[#This Row],[Q]]*Inventory_List_Table341116[[#This Row],[Per piece MXN$]]</f>
        <v>4140</v>
      </c>
      <c r="L37" s="22" t="s">
        <v>555</v>
      </c>
      <c r="M37" s="22" t="s">
        <v>554</v>
      </c>
    </row>
    <row r="38" spans="1:13" ht="30" customHeight="1" x14ac:dyDescent="0.25">
      <c r="A38" s="176" t="s">
        <v>167</v>
      </c>
      <c r="B38" s="17">
        <v>46037</v>
      </c>
      <c r="C38" s="18" t="s">
        <v>350</v>
      </c>
      <c r="D38" s="51" t="s">
        <v>604</v>
      </c>
      <c r="E38" s="177">
        <v>3</v>
      </c>
      <c r="F38" s="179">
        <v>4</v>
      </c>
      <c r="G38" s="179">
        <v>40</v>
      </c>
      <c r="H38" s="179">
        <v>12</v>
      </c>
      <c r="I38" s="179">
        <v>12</v>
      </c>
      <c r="J38" s="219">
        <v>420</v>
      </c>
      <c r="K38" s="80">
        <f>Inventory_List_Table341116[[#This Row],[Q]]*Inventory_List_Table341116[[#This Row],[Per piece MXN$]]</f>
        <v>1260</v>
      </c>
      <c r="L38" s="22" t="s">
        <v>528</v>
      </c>
      <c r="M38" s="22" t="s">
        <v>527</v>
      </c>
    </row>
    <row r="39" spans="1:13" ht="30" customHeight="1" x14ac:dyDescent="0.25">
      <c r="A39" s="176" t="s">
        <v>168</v>
      </c>
      <c r="B39" s="17">
        <v>46037</v>
      </c>
      <c r="C39" s="18" t="s">
        <v>350</v>
      </c>
      <c r="D39" s="51" t="s">
        <v>605</v>
      </c>
      <c r="E39" s="177">
        <v>6</v>
      </c>
      <c r="F39" s="179">
        <v>3</v>
      </c>
      <c r="G39" s="179">
        <v>35</v>
      </c>
      <c r="H39" s="179">
        <v>8</v>
      </c>
      <c r="I39" s="179">
        <v>8</v>
      </c>
      <c r="J39" s="219">
        <v>190</v>
      </c>
      <c r="K39" s="80">
        <f>Inventory_List_Table341116[[#This Row],[Q]]*Inventory_List_Table341116[[#This Row],[Per piece MXN$]]</f>
        <v>1140</v>
      </c>
      <c r="L39" s="22" t="s">
        <v>84</v>
      </c>
      <c r="M39" s="22" t="s">
        <v>588</v>
      </c>
    </row>
    <row r="40" spans="1:13" ht="30" customHeight="1" x14ac:dyDescent="0.25">
      <c r="A40" s="176" t="s">
        <v>169</v>
      </c>
      <c r="B40" s="17">
        <v>46037</v>
      </c>
      <c r="C40" s="18" t="s">
        <v>351</v>
      </c>
      <c r="D40" s="51" t="s">
        <v>606</v>
      </c>
      <c r="E40" s="177">
        <v>30</v>
      </c>
      <c r="F40" s="179">
        <v>3</v>
      </c>
      <c r="G40" s="179">
        <v>35</v>
      </c>
      <c r="H40" s="179">
        <v>8</v>
      </c>
      <c r="I40" s="179">
        <v>8</v>
      </c>
      <c r="J40" s="219">
        <v>220</v>
      </c>
      <c r="K40" s="80">
        <f>Inventory_List_Table341116[[#This Row],[Q]]*Inventory_List_Table341116[[#This Row],[Per piece MXN$]]</f>
        <v>6600</v>
      </c>
      <c r="L40" s="22" t="s">
        <v>599</v>
      </c>
      <c r="M40" s="22" t="s">
        <v>595</v>
      </c>
    </row>
    <row r="41" spans="1:13" ht="30" customHeight="1" x14ac:dyDescent="0.25">
      <c r="A41" s="176" t="s">
        <v>170</v>
      </c>
      <c r="B41" s="17">
        <v>46037</v>
      </c>
      <c r="C41" s="18" t="s">
        <v>351</v>
      </c>
      <c r="D41" s="51" t="s">
        <v>607</v>
      </c>
      <c r="E41" s="177">
        <v>4</v>
      </c>
      <c r="F41" s="179">
        <v>2</v>
      </c>
      <c r="G41" s="179">
        <v>30</v>
      </c>
      <c r="H41" s="179">
        <v>8</v>
      </c>
      <c r="I41" s="179">
        <v>8</v>
      </c>
      <c r="J41" s="219">
        <v>210</v>
      </c>
      <c r="K41" s="80">
        <f>Inventory_List_Table341116[[#This Row],[Q]]*Inventory_List_Table341116[[#This Row],[Per piece MXN$]]</f>
        <v>840</v>
      </c>
      <c r="L41" s="22" t="s">
        <v>599</v>
      </c>
      <c r="M41" s="22" t="s">
        <v>595</v>
      </c>
    </row>
    <row r="42" spans="1:13" ht="30" customHeight="1" x14ac:dyDescent="0.25">
      <c r="A42" s="176" t="s">
        <v>171</v>
      </c>
      <c r="B42" s="17">
        <v>46037</v>
      </c>
      <c r="C42" s="18" t="s">
        <v>353</v>
      </c>
      <c r="D42" s="51" t="s">
        <v>608</v>
      </c>
      <c r="E42" s="177">
        <v>2</v>
      </c>
      <c r="F42" s="179">
        <v>7</v>
      </c>
      <c r="G42" s="179">
        <v>50</v>
      </c>
      <c r="H42" s="179">
        <v>16</v>
      </c>
      <c r="I42" s="179">
        <v>16</v>
      </c>
      <c r="J42" s="219">
        <v>860</v>
      </c>
      <c r="K42" s="80">
        <f>Inventory_List_Table341116[[#This Row],[Q]]*Inventory_List_Table341116[[#This Row],[Per piece MXN$]]</f>
        <v>1720</v>
      </c>
      <c r="L42" s="22" t="s">
        <v>610</v>
      </c>
      <c r="M42" s="22" t="s">
        <v>609</v>
      </c>
    </row>
    <row r="43" spans="1:13" ht="30" customHeight="1" x14ac:dyDescent="0.25">
      <c r="A43" s="176" t="s">
        <v>172</v>
      </c>
      <c r="B43" s="17">
        <v>46037</v>
      </c>
      <c r="C43" s="18" t="s">
        <v>353</v>
      </c>
      <c r="D43" s="51" t="s">
        <v>611</v>
      </c>
      <c r="E43" s="177">
        <v>2</v>
      </c>
      <c r="F43" s="179">
        <v>8</v>
      </c>
      <c r="G43" s="179">
        <v>50</v>
      </c>
      <c r="H43" s="179">
        <v>20</v>
      </c>
      <c r="I43" s="179">
        <v>20</v>
      </c>
      <c r="J43" s="219">
        <v>1160</v>
      </c>
      <c r="K43" s="80">
        <f>Inventory_List_Table341116[[#This Row],[Q]]*Inventory_List_Table341116[[#This Row],[Per piece MXN$]]</f>
        <v>2320</v>
      </c>
      <c r="L43" s="22" t="s">
        <v>613</v>
      </c>
      <c r="M43" s="22" t="s">
        <v>612</v>
      </c>
    </row>
    <row r="44" spans="1:13" ht="30" customHeight="1" x14ac:dyDescent="0.25">
      <c r="A44" s="176" t="s">
        <v>173</v>
      </c>
      <c r="B44" s="17">
        <v>46037</v>
      </c>
      <c r="C44" s="18" t="s">
        <v>378</v>
      </c>
      <c r="D44" s="51" t="s">
        <v>614</v>
      </c>
      <c r="E44" s="177">
        <v>9</v>
      </c>
      <c r="F44" s="179">
        <v>7</v>
      </c>
      <c r="G44" s="179">
        <v>50</v>
      </c>
      <c r="H44" s="179">
        <v>16</v>
      </c>
      <c r="I44" s="179">
        <v>16</v>
      </c>
      <c r="J44" s="219">
        <v>795</v>
      </c>
      <c r="K44" s="80">
        <f>Inventory_List_Table341116[[#This Row],[Q]]*Inventory_List_Table341116[[#This Row],[Per piece MXN$]]</f>
        <v>7155</v>
      </c>
      <c r="L44" s="22" t="s">
        <v>564</v>
      </c>
      <c r="M44" s="22" t="s">
        <v>563</v>
      </c>
    </row>
    <row r="45" spans="1:13" ht="30" customHeight="1" x14ac:dyDescent="0.25">
      <c r="A45" s="176" t="s">
        <v>174</v>
      </c>
      <c r="B45" s="17">
        <v>46037</v>
      </c>
      <c r="C45" s="18" t="s">
        <v>378</v>
      </c>
      <c r="D45" s="51" t="s">
        <v>615</v>
      </c>
      <c r="E45" s="177">
        <v>8</v>
      </c>
      <c r="F45" s="179">
        <v>5</v>
      </c>
      <c r="G45" s="179">
        <v>50</v>
      </c>
      <c r="H45" s="179">
        <v>12</v>
      </c>
      <c r="I45" s="179">
        <v>12</v>
      </c>
      <c r="J45" s="219">
        <v>620</v>
      </c>
      <c r="K45" s="80">
        <f>Inventory_List_Table341116[[#This Row],[Q]]*Inventory_List_Table341116[[#This Row],[Per piece MXN$]]</f>
        <v>4960</v>
      </c>
      <c r="L45" s="22" t="s">
        <v>617</v>
      </c>
      <c r="M45" s="22" t="s">
        <v>616</v>
      </c>
    </row>
    <row r="46" spans="1:13" ht="30" customHeight="1" x14ac:dyDescent="0.25">
      <c r="A46" s="176" t="s">
        <v>175</v>
      </c>
      <c r="B46" s="17">
        <v>46037</v>
      </c>
      <c r="C46" s="18" t="s">
        <v>378</v>
      </c>
      <c r="D46" s="51" t="s">
        <v>618</v>
      </c>
      <c r="E46" s="177">
        <v>5</v>
      </c>
      <c r="F46" s="179">
        <v>4</v>
      </c>
      <c r="G46" s="179">
        <v>35</v>
      </c>
      <c r="H46" s="179">
        <v>12</v>
      </c>
      <c r="I46" s="179">
        <v>12</v>
      </c>
      <c r="J46" s="219">
        <v>495</v>
      </c>
      <c r="K46" s="80">
        <f>Inventory_List_Table341116[[#This Row],[Q]]*Inventory_List_Table341116[[#This Row],[Per piece MXN$]]</f>
        <v>2475</v>
      </c>
      <c r="L46" s="22" t="s">
        <v>551</v>
      </c>
      <c r="M46" s="22" t="s">
        <v>550</v>
      </c>
    </row>
    <row r="47" spans="1:13" ht="30" customHeight="1" x14ac:dyDescent="0.25">
      <c r="A47" s="176" t="s">
        <v>176</v>
      </c>
      <c r="B47" s="17">
        <v>46037</v>
      </c>
      <c r="C47" s="18" t="s">
        <v>378</v>
      </c>
      <c r="D47" s="51" t="s">
        <v>619</v>
      </c>
      <c r="E47" s="177">
        <v>6</v>
      </c>
      <c r="F47" s="179">
        <v>4</v>
      </c>
      <c r="G47" s="179">
        <v>40</v>
      </c>
      <c r="H47" s="179">
        <v>12</v>
      </c>
      <c r="I47" s="179">
        <v>12</v>
      </c>
      <c r="J47" s="219">
        <v>510</v>
      </c>
      <c r="K47" s="80">
        <f>Inventory_List_Table341116[[#This Row],[Q]]*Inventory_List_Table341116[[#This Row],[Per piece MXN$]]</f>
        <v>3060</v>
      </c>
      <c r="L47" s="22" t="s">
        <v>551</v>
      </c>
      <c r="M47" s="22" t="s">
        <v>550</v>
      </c>
    </row>
    <row r="48" spans="1:13" ht="30" customHeight="1" x14ac:dyDescent="0.25">
      <c r="A48" s="176" t="s">
        <v>177</v>
      </c>
      <c r="B48" s="17">
        <v>46037</v>
      </c>
      <c r="C48" s="18" t="s">
        <v>378</v>
      </c>
      <c r="D48" s="51" t="s">
        <v>620</v>
      </c>
      <c r="E48" s="177">
        <v>7</v>
      </c>
      <c r="F48" s="179">
        <v>6</v>
      </c>
      <c r="G48" s="179">
        <v>40</v>
      </c>
      <c r="H48" s="179">
        <v>16</v>
      </c>
      <c r="I48" s="179">
        <v>16</v>
      </c>
      <c r="J48" s="219">
        <v>755</v>
      </c>
      <c r="K48" s="80">
        <f>Inventory_List_Table341116[[#This Row],[Q]]*Inventory_List_Table341116[[#This Row],[Per piece MXN$]]</f>
        <v>5285</v>
      </c>
      <c r="L48" s="22" t="s">
        <v>525</v>
      </c>
      <c r="M48" s="22" t="s">
        <v>524</v>
      </c>
    </row>
    <row r="49" spans="1:13" ht="30" customHeight="1" x14ac:dyDescent="0.25">
      <c r="A49" s="176" t="s">
        <v>178</v>
      </c>
      <c r="B49" s="17">
        <v>46037</v>
      </c>
      <c r="C49" s="18" t="s">
        <v>379</v>
      </c>
      <c r="D49" s="51" t="s">
        <v>621</v>
      </c>
      <c r="E49" s="177">
        <v>18</v>
      </c>
      <c r="F49" s="179">
        <v>3</v>
      </c>
      <c r="G49" s="179">
        <v>35</v>
      </c>
      <c r="H49" s="179">
        <v>8</v>
      </c>
      <c r="I49" s="179">
        <v>8</v>
      </c>
      <c r="J49" s="219">
        <v>190</v>
      </c>
      <c r="K49" s="80">
        <f>Inventory_List_Table341116[[#This Row],[Q]]*Inventory_List_Table341116[[#This Row],[Per piece MXN$]]</f>
        <v>3420</v>
      </c>
      <c r="L49" s="22" t="s">
        <v>84</v>
      </c>
      <c r="M49" s="22" t="s">
        <v>588</v>
      </c>
    </row>
    <row r="50" spans="1:13" ht="30" customHeight="1" x14ac:dyDescent="0.25">
      <c r="A50" s="176" t="s">
        <v>179</v>
      </c>
      <c r="B50" s="17">
        <v>46037</v>
      </c>
      <c r="C50" s="18" t="s">
        <v>400</v>
      </c>
      <c r="D50" s="51" t="s">
        <v>622</v>
      </c>
      <c r="E50" s="177">
        <v>12</v>
      </c>
      <c r="F50" s="179">
        <v>4.2</v>
      </c>
      <c r="G50" s="179">
        <v>35</v>
      </c>
      <c r="H50" s="179">
        <v>10</v>
      </c>
      <c r="I50" s="181">
        <v>10</v>
      </c>
      <c r="J50" s="219">
        <v>310</v>
      </c>
      <c r="K50" s="80">
        <f>Inventory_List_Table341116[[#This Row],[Q]]*Inventory_List_Table341116[[#This Row],[Per piece MXN$]]</f>
        <v>3720</v>
      </c>
      <c r="L50" s="22" t="s">
        <v>595</v>
      </c>
      <c r="M50" s="22" t="s">
        <v>531</v>
      </c>
    </row>
    <row r="51" spans="1:13" ht="30" customHeight="1" x14ac:dyDescent="0.25">
      <c r="A51" s="176" t="s">
        <v>180</v>
      </c>
      <c r="B51" s="17">
        <v>46037</v>
      </c>
      <c r="C51" s="18" t="s">
        <v>400</v>
      </c>
      <c r="D51" s="51" t="s">
        <v>623</v>
      </c>
      <c r="E51" s="177">
        <v>12</v>
      </c>
      <c r="F51" s="179">
        <v>3.6</v>
      </c>
      <c r="G51" s="179">
        <v>30</v>
      </c>
      <c r="H51" s="179">
        <v>10</v>
      </c>
      <c r="I51" s="181">
        <v>10</v>
      </c>
      <c r="J51" s="219">
        <v>270</v>
      </c>
      <c r="K51" s="80">
        <f>Inventory_List_Table341116[[#This Row],[Q]]*Inventory_List_Table341116[[#This Row],[Per piece MXN$]]</f>
        <v>3240</v>
      </c>
      <c r="L51" s="22" t="s">
        <v>588</v>
      </c>
      <c r="M51" s="22" t="s">
        <v>597</v>
      </c>
    </row>
    <row r="52" spans="1:13" ht="30" customHeight="1" x14ac:dyDescent="0.25">
      <c r="A52" s="176" t="s">
        <v>181</v>
      </c>
      <c r="B52" s="17">
        <v>46037</v>
      </c>
      <c r="C52" s="18" t="s">
        <v>401</v>
      </c>
      <c r="D52" s="51" t="s">
        <v>624</v>
      </c>
      <c r="E52" s="177">
        <v>15</v>
      </c>
      <c r="F52" s="179">
        <v>4.2</v>
      </c>
      <c r="G52" s="179">
        <v>35</v>
      </c>
      <c r="H52" s="179">
        <v>10</v>
      </c>
      <c r="I52" s="181">
        <v>10</v>
      </c>
      <c r="J52" s="219">
        <v>255</v>
      </c>
      <c r="K52" s="80">
        <f>Inventory_List_Table341116[[#This Row],[Q]]*Inventory_List_Table341116[[#This Row],[Per piece MXN$]]</f>
        <v>3825</v>
      </c>
      <c r="L52" s="22" t="s">
        <v>590</v>
      </c>
      <c r="M52" s="22" t="s">
        <v>625</v>
      </c>
    </row>
    <row r="53" spans="1:13" ht="30" customHeight="1" x14ac:dyDescent="0.25">
      <c r="A53" s="176" t="s">
        <v>182</v>
      </c>
      <c r="B53" s="17">
        <v>46037</v>
      </c>
      <c r="C53" s="18" t="s">
        <v>401</v>
      </c>
      <c r="D53" s="51" t="s">
        <v>626</v>
      </c>
      <c r="E53" s="177">
        <v>4</v>
      </c>
      <c r="F53" s="179">
        <v>4.8</v>
      </c>
      <c r="G53" s="179">
        <v>40</v>
      </c>
      <c r="H53" s="179">
        <v>10</v>
      </c>
      <c r="I53" s="181">
        <v>10</v>
      </c>
      <c r="J53" s="219">
        <v>290</v>
      </c>
      <c r="K53" s="80">
        <f>Inventory_List_Table341116[[#This Row],[Q]]*Inventory_List_Table341116[[#This Row],[Per piece MXN$]]</f>
        <v>1160</v>
      </c>
      <c r="L53" s="22" t="s">
        <v>101</v>
      </c>
      <c r="M53" s="22" t="s">
        <v>558</v>
      </c>
    </row>
    <row r="54" spans="1:13" ht="30" customHeight="1" x14ac:dyDescent="0.25">
      <c r="A54" s="176" t="s">
        <v>183</v>
      </c>
      <c r="B54" s="17">
        <v>46037</v>
      </c>
      <c r="C54" s="18" t="s">
        <v>401</v>
      </c>
      <c r="D54" s="51" t="s">
        <v>627</v>
      </c>
      <c r="E54" s="177">
        <v>3</v>
      </c>
      <c r="F54" s="179">
        <v>3</v>
      </c>
      <c r="G54" s="179">
        <v>25</v>
      </c>
      <c r="H54" s="179">
        <v>10</v>
      </c>
      <c r="I54" s="181">
        <v>10</v>
      </c>
      <c r="J54" s="219">
        <v>180</v>
      </c>
      <c r="K54" s="80">
        <f>Inventory_List_Table341116[[#This Row],[Q]]*Inventory_List_Table341116[[#This Row],[Per piece MXN$]]</f>
        <v>540</v>
      </c>
      <c r="L54" s="22" t="s">
        <v>591</v>
      </c>
      <c r="M54" s="22" t="s">
        <v>590</v>
      </c>
    </row>
    <row r="55" spans="1:13" ht="30" customHeight="1" x14ac:dyDescent="0.25">
      <c r="A55" s="176" t="s">
        <v>184</v>
      </c>
      <c r="B55" s="17">
        <v>46037</v>
      </c>
      <c r="C55" s="18" t="s">
        <v>402</v>
      </c>
      <c r="D55" s="51" t="s">
        <v>628</v>
      </c>
      <c r="E55" s="177">
        <v>12</v>
      </c>
      <c r="F55" s="179">
        <v>4.8</v>
      </c>
      <c r="G55" s="179">
        <v>40</v>
      </c>
      <c r="H55" s="179">
        <v>10</v>
      </c>
      <c r="I55" s="181">
        <v>10</v>
      </c>
      <c r="J55" s="219">
        <v>290</v>
      </c>
      <c r="K55" s="80">
        <f>Inventory_List_Table341116[[#This Row],[Q]]*Inventory_List_Table341116[[#This Row],[Per piece MXN$]]</f>
        <v>3480</v>
      </c>
      <c r="L55" s="22" t="s">
        <v>101</v>
      </c>
      <c r="M55" s="22" t="s">
        <v>558</v>
      </c>
    </row>
    <row r="56" spans="1:13" ht="30" customHeight="1" x14ac:dyDescent="0.25">
      <c r="A56" s="176" t="s">
        <v>185</v>
      </c>
      <c r="B56" s="17">
        <v>46037</v>
      </c>
      <c r="C56" s="18" t="s">
        <v>402</v>
      </c>
      <c r="D56" s="51" t="s">
        <v>629</v>
      </c>
      <c r="E56" s="177">
        <v>4</v>
      </c>
      <c r="F56" s="179">
        <v>4.2</v>
      </c>
      <c r="G56" s="179">
        <v>35</v>
      </c>
      <c r="H56" s="179">
        <v>10</v>
      </c>
      <c r="I56" s="181">
        <v>10</v>
      </c>
      <c r="J56" s="219">
        <v>255</v>
      </c>
      <c r="K56" s="80">
        <f>Inventory_List_Table341116[[#This Row],[Q]]*Inventory_List_Table341116[[#This Row],[Per piece MXN$]]</f>
        <v>1020</v>
      </c>
      <c r="L56" s="22" t="s">
        <v>590</v>
      </c>
      <c r="M56" s="22" t="s">
        <v>625</v>
      </c>
    </row>
  </sheetData>
  <phoneticPr fontId="2" type="noConversion"/>
  <dataValidations count="9">
    <dataValidation allowBlank="1" showInputMessage="1" showErrorMessage="1" prompt="Enter a description of the item in this column" sqref="E1" xr:uid="{600258D6-2E67-451B-B456-852DF755F188}"/>
    <dataValidation allowBlank="1" showInputMessage="1" showErrorMessage="1" prompt="Enter the unit price of each item in this column" sqref="F1" xr:uid="{9F0CC3B2-5D63-42E8-808D-94C77B88A639}"/>
    <dataValidation allowBlank="1" showInputMessage="1" showErrorMessage="1" prompt="Enter the quantity in stock for each item in this column" sqref="G1" xr:uid="{0BCAF80B-5A89-4870-9320-67786B5D878B}"/>
    <dataValidation allowBlank="1" showInputMessage="1" showErrorMessage="1" prompt="This is an automated column._x000a__x000a_The inventory value for each item is automatically calculated in this column." sqref="H1" xr:uid="{CD484CD0-34BA-49A9-AC02-17B6310F27FC}"/>
    <dataValidation allowBlank="1" showInputMessage="1" showErrorMessage="1" prompt="Enter the reorder level for each item in this column" sqref="I1" xr:uid="{764CC2A9-9B39-4C87-9016-113715D4418B}"/>
    <dataValidation allowBlank="1" showInputMessage="1" showErrorMessage="1" prompt="Enter the number of days it takes to reorder each item in this column" sqref="J1:K1" xr:uid="{722AFC56-25AF-407D-86BD-63B42E06B7C0}"/>
    <dataValidation allowBlank="1" showInputMessage="1" showErrorMessage="1" prompt="Enter the name of the item in this column" sqref="D1" xr:uid="{BACE1FF1-AB77-43E4-AA1E-891C6795405C}"/>
    <dataValidation allowBlank="1" showInputMessage="1" showErrorMessage="1" prompt="Enter the item inventory ID in this column" sqref="C1" xr:uid="{42EA182D-7FAC-4680-AC24-1412D18B9F79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3C21CB62-FFC1-48B0-AC22-23FA1163B7B9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1C99-23E4-4B4F-948A-ADD1A6A90828}">
  <sheetPr codeName="Sheet14">
    <tabColor rgb="FFFFE4E1"/>
    <pageSetUpPr fitToPage="1"/>
  </sheetPr>
  <dimension ref="A1:M40"/>
  <sheetViews>
    <sheetView showGridLines="0" zoomScale="70" zoomScaleNormal="70" workbookViewId="0">
      <selection activeCell="N1" sqref="N1:Q1048576"/>
    </sheetView>
  </sheetViews>
  <sheetFormatPr defaultColWidth="8.625" defaultRowHeight="24" customHeight="1" x14ac:dyDescent="0.25"/>
  <cols>
    <col min="1" max="1" width="4.125" style="23" customWidth="1"/>
    <col min="2" max="2" width="15.5" style="24" customWidth="1"/>
    <col min="3" max="3" width="39.375" style="25" customWidth="1"/>
    <col min="4" max="4" width="22" style="25" bestFit="1" customWidth="1"/>
    <col min="5" max="5" width="8.75" style="25" customWidth="1"/>
    <col min="6" max="6" width="9.25" style="26" bestFit="1" customWidth="1"/>
    <col min="7" max="7" width="8.125" style="26" bestFit="1" customWidth="1"/>
    <col min="8" max="8" width="8.75" style="26" bestFit="1" customWidth="1"/>
    <col min="9" max="9" width="8.125" style="26" bestFit="1" customWidth="1"/>
    <col min="10" max="10" width="20.875" style="26" bestFit="1" customWidth="1"/>
    <col min="11" max="11" width="22" style="26" bestFit="1" customWidth="1"/>
    <col min="12" max="12" width="7.5" style="7" bestFit="1" customWidth="1"/>
    <col min="13" max="13" width="8.125" style="7" bestFit="1" customWidth="1"/>
    <col min="14" max="16384" width="8.625" style="7"/>
  </cols>
  <sheetData>
    <row r="1" spans="1:13" s="15" customFormat="1" ht="40.9" customHeight="1" x14ac:dyDescent="0.25">
      <c r="A1" s="52" t="s">
        <v>111</v>
      </c>
      <c r="B1" s="53" t="s">
        <v>102</v>
      </c>
      <c r="C1" s="53" t="s">
        <v>112</v>
      </c>
      <c r="D1" s="54" t="s">
        <v>113</v>
      </c>
      <c r="E1" s="55" t="s">
        <v>103</v>
      </c>
      <c r="F1" s="56" t="s">
        <v>104</v>
      </c>
      <c r="G1" s="56" t="s">
        <v>109</v>
      </c>
      <c r="H1" s="56" t="s">
        <v>105</v>
      </c>
      <c r="I1" s="56" t="s">
        <v>106</v>
      </c>
      <c r="J1" s="56" t="s">
        <v>114</v>
      </c>
      <c r="K1" s="53" t="s">
        <v>115</v>
      </c>
      <c r="L1" s="57" t="s">
        <v>110</v>
      </c>
      <c r="M1" s="58" t="s">
        <v>0</v>
      </c>
    </row>
    <row r="2" spans="1:13" ht="30" customHeight="1" x14ac:dyDescent="0.25">
      <c r="A2" s="59" t="s">
        <v>120</v>
      </c>
      <c r="B2" s="17"/>
      <c r="C2" s="18" t="s">
        <v>58</v>
      </c>
      <c r="D2" s="248" t="s">
        <v>1012</v>
      </c>
      <c r="E2" s="60">
        <v>7</v>
      </c>
      <c r="F2" s="61">
        <v>30</v>
      </c>
      <c r="G2" s="61">
        <v>100</v>
      </c>
      <c r="H2" s="61">
        <v>25</v>
      </c>
      <c r="I2" s="61">
        <v>25</v>
      </c>
      <c r="J2" s="62">
        <v>2125</v>
      </c>
      <c r="K2" s="1">
        <f>Inventory_List_Table34112[[#This Row],[Q]]*Inventory_List_Table34112[[#This Row],[Per piece MXN$]]</f>
        <v>14875</v>
      </c>
      <c r="L2" s="22" t="s">
        <v>667</v>
      </c>
      <c r="M2" s="22" t="s">
        <v>666</v>
      </c>
    </row>
    <row r="3" spans="1:13" ht="30" customHeight="1" x14ac:dyDescent="0.25">
      <c r="A3" s="59" t="s">
        <v>121</v>
      </c>
      <c r="B3" s="17"/>
      <c r="C3" s="18" t="s">
        <v>58</v>
      </c>
      <c r="D3" s="248" t="s">
        <v>1013</v>
      </c>
      <c r="E3" s="60">
        <v>2</v>
      </c>
      <c r="F3" s="61">
        <v>28</v>
      </c>
      <c r="G3" s="61">
        <v>90</v>
      </c>
      <c r="H3" s="61">
        <v>25</v>
      </c>
      <c r="I3" s="61">
        <v>25</v>
      </c>
      <c r="J3" s="62">
        <v>1925</v>
      </c>
      <c r="K3" s="1">
        <f>Inventory_List_Table34112[[#This Row],[Q]]*Inventory_List_Table34112[[#This Row],[Per piece MXN$]]</f>
        <v>3850</v>
      </c>
      <c r="L3" s="22" t="s">
        <v>836</v>
      </c>
      <c r="M3" s="22" t="s">
        <v>758</v>
      </c>
    </row>
    <row r="4" spans="1:13" ht="30" customHeight="1" x14ac:dyDescent="0.25">
      <c r="A4" s="59" t="s">
        <v>122</v>
      </c>
      <c r="B4" s="17"/>
      <c r="C4" s="18" t="s">
        <v>58</v>
      </c>
      <c r="D4" s="248" t="s">
        <v>1014</v>
      </c>
      <c r="E4" s="60">
        <v>2</v>
      </c>
      <c r="F4" s="61">
        <v>26</v>
      </c>
      <c r="G4" s="61">
        <v>80</v>
      </c>
      <c r="H4" s="61">
        <v>25</v>
      </c>
      <c r="I4" s="61">
        <v>25</v>
      </c>
      <c r="J4" s="62">
        <v>1725</v>
      </c>
      <c r="K4" s="1">
        <f>Inventory_List_Table34112[[#This Row],[Q]]*Inventory_List_Table34112[[#This Row],[Per piece MXN$]]</f>
        <v>3450</v>
      </c>
      <c r="L4" s="22" t="s">
        <v>837</v>
      </c>
      <c r="M4" s="22" t="s">
        <v>1048</v>
      </c>
    </row>
    <row r="5" spans="1:13" ht="30" customHeight="1" x14ac:dyDescent="0.25">
      <c r="A5" s="59" t="s">
        <v>123</v>
      </c>
      <c r="B5" s="17"/>
      <c r="C5" s="18" t="s">
        <v>58</v>
      </c>
      <c r="D5" s="248" t="s">
        <v>1015</v>
      </c>
      <c r="E5" s="60">
        <v>1</v>
      </c>
      <c r="F5" s="61">
        <v>24</v>
      </c>
      <c r="G5" s="61">
        <v>70</v>
      </c>
      <c r="H5" s="61">
        <v>25</v>
      </c>
      <c r="I5" s="61">
        <v>25</v>
      </c>
      <c r="J5" s="62">
        <v>1525</v>
      </c>
      <c r="K5" s="1">
        <f>Inventory_List_Table34112[[#This Row],[Q]]*Inventory_List_Table34112[[#This Row],[Per piece MXN$]]</f>
        <v>1525</v>
      </c>
      <c r="L5" s="22" t="s">
        <v>723</v>
      </c>
      <c r="M5" s="22" t="s">
        <v>1047</v>
      </c>
    </row>
    <row r="6" spans="1:13" ht="30" customHeight="1" x14ac:dyDescent="0.25">
      <c r="A6" s="59" t="s">
        <v>124</v>
      </c>
      <c r="B6" s="17"/>
      <c r="C6" s="18" t="s">
        <v>58</v>
      </c>
      <c r="D6" s="248" t="s">
        <v>1016</v>
      </c>
      <c r="E6" s="60">
        <v>1</v>
      </c>
      <c r="F6" s="61">
        <v>18</v>
      </c>
      <c r="G6" s="61">
        <v>70</v>
      </c>
      <c r="H6" s="61">
        <v>20</v>
      </c>
      <c r="I6" s="61">
        <v>20</v>
      </c>
      <c r="J6" s="62">
        <v>1200</v>
      </c>
      <c r="K6" s="1">
        <f>Inventory_List_Table34112[[#This Row],[Q]]*Inventory_List_Table34112[[#This Row],[Per piece MXN$]]</f>
        <v>1200</v>
      </c>
      <c r="L6" s="22" t="s">
        <v>609</v>
      </c>
      <c r="M6" s="22" t="s">
        <v>657</v>
      </c>
    </row>
    <row r="7" spans="1:13" ht="30" customHeight="1" x14ac:dyDescent="0.25">
      <c r="A7" s="59" t="s">
        <v>125</v>
      </c>
      <c r="B7" s="17"/>
      <c r="C7" s="18" t="s">
        <v>59</v>
      </c>
      <c r="D7" s="248" t="s">
        <v>1017</v>
      </c>
      <c r="E7" s="60">
        <v>2</v>
      </c>
      <c r="F7" s="61">
        <v>8</v>
      </c>
      <c r="G7" s="61">
        <v>50</v>
      </c>
      <c r="H7" s="61">
        <v>15</v>
      </c>
      <c r="I7" s="61">
        <v>15</v>
      </c>
      <c r="J7" s="62">
        <v>645</v>
      </c>
      <c r="K7" s="1">
        <f>Inventory_List_Table34112[[#This Row],[Q]]*Inventory_List_Table34112[[#This Row],[Per piece MXN$]]</f>
        <v>1290</v>
      </c>
      <c r="L7" s="22" t="s">
        <v>554</v>
      </c>
      <c r="M7" s="22" t="s">
        <v>576</v>
      </c>
    </row>
    <row r="8" spans="1:13" ht="30" customHeight="1" x14ac:dyDescent="0.25">
      <c r="A8" s="59" t="s">
        <v>126</v>
      </c>
      <c r="B8" s="17"/>
      <c r="C8" s="18" t="s">
        <v>59</v>
      </c>
      <c r="D8" s="248" t="s">
        <v>1018</v>
      </c>
      <c r="E8" s="60">
        <v>3</v>
      </c>
      <c r="F8" s="61">
        <v>7</v>
      </c>
      <c r="G8" s="61">
        <v>40</v>
      </c>
      <c r="H8" s="61">
        <v>15</v>
      </c>
      <c r="I8" s="61">
        <v>15</v>
      </c>
      <c r="J8" s="62">
        <v>525</v>
      </c>
      <c r="K8" s="1">
        <f>Inventory_List_Table34112[[#This Row],[Q]]*Inventory_List_Table34112[[#This Row],[Per piece MXN$]]</f>
        <v>1575</v>
      </c>
      <c r="L8" s="22" t="s">
        <v>645</v>
      </c>
      <c r="M8" s="22" t="s">
        <v>580</v>
      </c>
    </row>
    <row r="9" spans="1:13" ht="30" customHeight="1" x14ac:dyDescent="0.25">
      <c r="A9" s="59" t="s">
        <v>127</v>
      </c>
      <c r="B9" s="17"/>
      <c r="C9" s="18" t="s">
        <v>59</v>
      </c>
      <c r="D9" s="248" t="s">
        <v>1019</v>
      </c>
      <c r="E9" s="60">
        <v>22</v>
      </c>
      <c r="F9" s="61">
        <v>5</v>
      </c>
      <c r="G9" s="61">
        <v>30</v>
      </c>
      <c r="H9" s="61">
        <v>15</v>
      </c>
      <c r="I9" s="61">
        <v>15</v>
      </c>
      <c r="J9" s="62">
        <v>405</v>
      </c>
      <c r="K9" s="1">
        <f>Inventory_List_Table34112[[#This Row],[Q]]*Inventory_List_Table34112[[#This Row],[Per piece MXN$]]</f>
        <v>8910</v>
      </c>
      <c r="L9" s="22" t="s">
        <v>528</v>
      </c>
      <c r="M9" s="22" t="s">
        <v>527</v>
      </c>
    </row>
    <row r="10" spans="1:13" ht="30" customHeight="1" x14ac:dyDescent="0.25">
      <c r="A10" s="59" t="s">
        <v>128</v>
      </c>
      <c r="B10" s="17"/>
      <c r="C10" s="18" t="s">
        <v>60</v>
      </c>
      <c r="D10" s="248" t="s">
        <v>1020</v>
      </c>
      <c r="E10" s="60">
        <v>10</v>
      </c>
      <c r="F10" s="61">
        <v>8</v>
      </c>
      <c r="G10" s="61">
        <v>50</v>
      </c>
      <c r="H10" s="61">
        <v>15</v>
      </c>
      <c r="I10" s="61">
        <v>15</v>
      </c>
      <c r="J10" s="62">
        <v>600</v>
      </c>
      <c r="K10" s="1">
        <f>Inventory_List_Table34112[[#This Row],[Q]]*Inventory_List_Table34112[[#This Row],[Per piece MXN$]]</f>
        <v>6000</v>
      </c>
      <c r="L10" s="22" t="s">
        <v>839</v>
      </c>
      <c r="M10" s="22" t="s">
        <v>1049</v>
      </c>
    </row>
    <row r="11" spans="1:13" ht="30" customHeight="1" x14ac:dyDescent="0.25">
      <c r="A11" s="59" t="s">
        <v>129</v>
      </c>
      <c r="B11" s="17"/>
      <c r="C11" s="18" t="s">
        <v>60</v>
      </c>
      <c r="D11" s="248" t="s">
        <v>1021</v>
      </c>
      <c r="E11" s="60">
        <v>40</v>
      </c>
      <c r="F11" s="61">
        <v>6.5</v>
      </c>
      <c r="G11" s="61">
        <v>40</v>
      </c>
      <c r="H11" s="61">
        <v>15</v>
      </c>
      <c r="I11" s="61">
        <v>15</v>
      </c>
      <c r="J11" s="62">
        <v>480</v>
      </c>
      <c r="K11" s="1">
        <f>Inventory_List_Table34112[[#This Row],[Q]]*Inventory_List_Table34112[[#This Row],[Per piece MXN$]]</f>
        <v>19200</v>
      </c>
      <c r="L11" s="22" t="s">
        <v>650</v>
      </c>
      <c r="M11" s="22" t="s">
        <v>649</v>
      </c>
    </row>
    <row r="12" spans="1:13" ht="30" customHeight="1" x14ac:dyDescent="0.25">
      <c r="A12" s="59" t="s">
        <v>130</v>
      </c>
      <c r="B12" s="17"/>
      <c r="C12" s="18" t="s">
        <v>61</v>
      </c>
      <c r="D12" s="248" t="s">
        <v>1022</v>
      </c>
      <c r="E12" s="60">
        <v>2</v>
      </c>
      <c r="F12" s="61">
        <v>40</v>
      </c>
      <c r="G12" s="61">
        <v>140</v>
      </c>
      <c r="H12" s="61">
        <v>30</v>
      </c>
      <c r="I12" s="61">
        <v>30</v>
      </c>
      <c r="J12" s="62">
        <v>3540</v>
      </c>
      <c r="K12" s="1">
        <f>Inventory_List_Table34112[[#This Row],[Q]]*Inventory_List_Table34112[[#This Row],[Per piece MXN$]]</f>
        <v>7080</v>
      </c>
      <c r="L12" s="22" t="s">
        <v>834</v>
      </c>
      <c r="M12" s="22" t="s">
        <v>989</v>
      </c>
    </row>
    <row r="13" spans="1:13" ht="30" customHeight="1" x14ac:dyDescent="0.25">
      <c r="A13" s="59" t="s">
        <v>131</v>
      </c>
      <c r="B13" s="17"/>
      <c r="C13" s="18" t="s">
        <v>60</v>
      </c>
      <c r="D13" s="248" t="s">
        <v>1023</v>
      </c>
      <c r="E13" s="60">
        <v>4</v>
      </c>
      <c r="F13" s="61">
        <v>5.5</v>
      </c>
      <c r="G13" s="61">
        <v>35</v>
      </c>
      <c r="H13" s="61">
        <v>15</v>
      </c>
      <c r="I13" s="61">
        <v>15</v>
      </c>
      <c r="J13" s="62">
        <v>420</v>
      </c>
      <c r="K13" s="1">
        <f>Inventory_List_Table34112[[#This Row],[Q]]*Inventory_List_Table34112[[#This Row],[Per piece MXN$]]</f>
        <v>1680</v>
      </c>
      <c r="L13" s="22" t="s">
        <v>528</v>
      </c>
      <c r="M13" s="22" t="s">
        <v>527</v>
      </c>
    </row>
    <row r="14" spans="1:13" ht="30" customHeight="1" x14ac:dyDescent="0.25">
      <c r="A14" s="59" t="s">
        <v>132</v>
      </c>
      <c r="B14" s="17"/>
      <c r="C14" s="18" t="s">
        <v>60</v>
      </c>
      <c r="D14" s="248" t="s">
        <v>1024</v>
      </c>
      <c r="E14" s="60">
        <v>12</v>
      </c>
      <c r="F14" s="61">
        <v>5</v>
      </c>
      <c r="G14" s="61">
        <v>30</v>
      </c>
      <c r="H14" s="61">
        <v>15</v>
      </c>
      <c r="I14" s="61">
        <v>15</v>
      </c>
      <c r="J14" s="62">
        <v>360</v>
      </c>
      <c r="K14" s="1">
        <f>Inventory_List_Table34112[[#This Row],[Q]]*Inventory_List_Table34112[[#This Row],[Per piece MXN$]]</f>
        <v>4320</v>
      </c>
      <c r="L14" s="22" t="s">
        <v>625</v>
      </c>
      <c r="M14" s="22" t="s">
        <v>551</v>
      </c>
    </row>
    <row r="15" spans="1:13" ht="30" customHeight="1" x14ac:dyDescent="0.25">
      <c r="A15" s="59" t="s">
        <v>133</v>
      </c>
      <c r="B15" s="17"/>
      <c r="C15" s="18" t="s">
        <v>244</v>
      </c>
      <c r="D15" s="248" t="s">
        <v>1025</v>
      </c>
      <c r="E15" s="60">
        <v>140</v>
      </c>
      <c r="F15" s="61"/>
      <c r="G15" s="61"/>
      <c r="H15" s="61"/>
      <c r="I15" s="61"/>
      <c r="J15" s="62">
        <v>21.5</v>
      </c>
      <c r="K15" s="1">
        <f>Inventory_List_Table34112[[#This Row],[Q]]*Inventory_List_Table34112[[#This Row],[Per piece MXN$]]</f>
        <v>3010</v>
      </c>
      <c r="L15" s="22" t="s">
        <v>930</v>
      </c>
      <c r="M15" s="22" t="s">
        <v>930</v>
      </c>
    </row>
    <row r="16" spans="1:13" ht="30" customHeight="1" x14ac:dyDescent="0.25">
      <c r="A16" s="59" t="s">
        <v>134</v>
      </c>
      <c r="B16" s="17">
        <v>46006</v>
      </c>
      <c r="C16" s="18" t="s">
        <v>307</v>
      </c>
      <c r="D16" s="51" t="s">
        <v>643</v>
      </c>
      <c r="E16" s="60">
        <v>18</v>
      </c>
      <c r="F16" s="61">
        <v>7</v>
      </c>
      <c r="G16" s="61">
        <v>50</v>
      </c>
      <c r="H16" s="61">
        <v>15</v>
      </c>
      <c r="I16" s="61">
        <v>15</v>
      </c>
      <c r="J16" s="62">
        <v>645</v>
      </c>
      <c r="K16" s="1">
        <f>Inventory_List_Table34112[[#This Row],[Q]]*Inventory_List_Table34112[[#This Row],[Per piece MXN$]]</f>
        <v>11610</v>
      </c>
      <c r="L16" s="22" t="s">
        <v>554</v>
      </c>
      <c r="M16" s="22" t="s">
        <v>576</v>
      </c>
    </row>
    <row r="17" spans="1:13" ht="30" customHeight="1" x14ac:dyDescent="0.25">
      <c r="A17" s="59" t="s">
        <v>135</v>
      </c>
      <c r="B17" s="17">
        <v>46006</v>
      </c>
      <c r="C17" s="18" t="s">
        <v>307</v>
      </c>
      <c r="D17" s="51" t="s">
        <v>644</v>
      </c>
      <c r="E17" s="60">
        <v>12</v>
      </c>
      <c r="F17" s="61">
        <v>6</v>
      </c>
      <c r="G17" s="61">
        <v>40</v>
      </c>
      <c r="H17" s="61">
        <v>15</v>
      </c>
      <c r="I17" s="61">
        <v>15</v>
      </c>
      <c r="J17" s="62">
        <v>525</v>
      </c>
      <c r="K17" s="1">
        <f>Inventory_List_Table34112[[#This Row],[Q]]*Inventory_List_Table34112[[#This Row],[Per piece MXN$]]</f>
        <v>6300</v>
      </c>
      <c r="L17" s="22" t="s">
        <v>645</v>
      </c>
      <c r="M17" s="22" t="s">
        <v>580</v>
      </c>
    </row>
    <row r="18" spans="1:13" ht="30" customHeight="1" x14ac:dyDescent="0.25">
      <c r="A18" s="59" t="s">
        <v>136</v>
      </c>
      <c r="B18" s="17">
        <v>46006</v>
      </c>
      <c r="C18" s="18" t="s">
        <v>308</v>
      </c>
      <c r="D18" s="51" t="s">
        <v>646</v>
      </c>
      <c r="E18" s="60">
        <v>4</v>
      </c>
      <c r="F18" s="61">
        <v>6</v>
      </c>
      <c r="G18" s="61">
        <v>45</v>
      </c>
      <c r="H18" s="61">
        <v>15</v>
      </c>
      <c r="I18" s="61">
        <v>15</v>
      </c>
      <c r="J18" s="62">
        <v>540</v>
      </c>
      <c r="K18" s="1">
        <f>Inventory_List_Table34112[[#This Row],[Q]]*Inventory_List_Table34112[[#This Row],[Per piece MXN$]]</f>
        <v>2160</v>
      </c>
      <c r="L18" s="22" t="s">
        <v>647</v>
      </c>
      <c r="M18" s="22" t="s">
        <v>525</v>
      </c>
    </row>
    <row r="19" spans="1:13" ht="30" customHeight="1" x14ac:dyDescent="0.25">
      <c r="A19" s="59" t="s">
        <v>137</v>
      </c>
      <c r="B19" s="17">
        <v>46006</v>
      </c>
      <c r="C19" s="18" t="s">
        <v>309</v>
      </c>
      <c r="D19" s="51" t="s">
        <v>648</v>
      </c>
      <c r="E19" s="60">
        <v>23</v>
      </c>
      <c r="F19" s="61">
        <v>6</v>
      </c>
      <c r="G19" s="61">
        <v>40</v>
      </c>
      <c r="H19" s="61">
        <v>15</v>
      </c>
      <c r="I19" s="61">
        <v>15</v>
      </c>
      <c r="J19" s="62">
        <v>480</v>
      </c>
      <c r="K19" s="1">
        <f>Inventory_List_Table34112[[#This Row],[Q]]*Inventory_List_Table34112[[#This Row],[Per piece MXN$]]</f>
        <v>11040</v>
      </c>
      <c r="L19" s="22" t="s">
        <v>650</v>
      </c>
      <c r="M19" s="22" t="s">
        <v>649</v>
      </c>
    </row>
    <row r="20" spans="1:13" ht="30" customHeight="1" x14ac:dyDescent="0.25">
      <c r="A20" s="59" t="s">
        <v>138</v>
      </c>
      <c r="B20" s="17">
        <v>46006</v>
      </c>
      <c r="C20" s="18" t="s">
        <v>309</v>
      </c>
      <c r="D20" s="51" t="s">
        <v>651</v>
      </c>
      <c r="E20" s="60">
        <v>5</v>
      </c>
      <c r="F20" s="61">
        <v>5</v>
      </c>
      <c r="G20" s="61">
        <v>35</v>
      </c>
      <c r="H20" s="61">
        <v>15</v>
      </c>
      <c r="I20" s="61">
        <v>15</v>
      </c>
      <c r="J20" s="62">
        <v>420</v>
      </c>
      <c r="K20" s="1">
        <f>Inventory_List_Table34112[[#This Row],[Q]]*Inventory_List_Table34112[[#This Row],[Per piece MXN$]]</f>
        <v>2100</v>
      </c>
      <c r="L20" s="22" t="s">
        <v>528</v>
      </c>
      <c r="M20" s="22" t="s">
        <v>527</v>
      </c>
    </row>
    <row r="21" spans="1:13" ht="30" customHeight="1" x14ac:dyDescent="0.25">
      <c r="A21" s="59" t="s">
        <v>139</v>
      </c>
      <c r="B21" s="17">
        <v>46006</v>
      </c>
      <c r="C21" s="18" t="s">
        <v>309</v>
      </c>
      <c r="D21" s="51" t="s">
        <v>652</v>
      </c>
      <c r="E21" s="60">
        <v>5</v>
      </c>
      <c r="F21" s="61">
        <v>5</v>
      </c>
      <c r="G21" s="61">
        <v>30</v>
      </c>
      <c r="H21" s="61">
        <v>15</v>
      </c>
      <c r="I21" s="61">
        <v>15</v>
      </c>
      <c r="J21" s="62">
        <v>360</v>
      </c>
      <c r="K21" s="1">
        <f>Inventory_List_Table34112[[#This Row],[Q]]*Inventory_List_Table34112[[#This Row],[Per piece MXN$]]</f>
        <v>1800</v>
      </c>
      <c r="L21" s="22" t="s">
        <v>625</v>
      </c>
      <c r="M21" s="22" t="s">
        <v>551</v>
      </c>
    </row>
    <row r="22" spans="1:13" ht="30" customHeight="1" x14ac:dyDescent="0.25">
      <c r="A22" s="59" t="s">
        <v>140</v>
      </c>
      <c r="B22" s="17">
        <v>46006</v>
      </c>
      <c r="C22" s="18" t="s">
        <v>310</v>
      </c>
      <c r="D22" s="51" t="s">
        <v>653</v>
      </c>
      <c r="E22" s="60">
        <v>3</v>
      </c>
      <c r="F22" s="61">
        <v>17</v>
      </c>
      <c r="G22" s="61">
        <v>80</v>
      </c>
      <c r="H22" s="61">
        <v>20</v>
      </c>
      <c r="I22" s="61">
        <v>20</v>
      </c>
      <c r="J22" s="62">
        <v>1360</v>
      </c>
      <c r="K22" s="1">
        <f>Inventory_List_Table34112[[#This Row],[Q]]*Inventory_List_Table34112[[#This Row],[Per piece MXN$]]</f>
        <v>4080</v>
      </c>
      <c r="L22" s="22" t="s">
        <v>655</v>
      </c>
      <c r="M22" s="22" t="s">
        <v>654</v>
      </c>
    </row>
    <row r="23" spans="1:13" ht="30" customHeight="1" x14ac:dyDescent="0.25">
      <c r="A23" s="59" t="s">
        <v>141</v>
      </c>
      <c r="B23" s="17">
        <v>46006</v>
      </c>
      <c r="C23" s="18" t="s">
        <v>311</v>
      </c>
      <c r="D23" s="51" t="s">
        <v>656</v>
      </c>
      <c r="E23" s="60">
        <v>1</v>
      </c>
      <c r="F23" s="61">
        <v>15</v>
      </c>
      <c r="G23" s="61">
        <v>70</v>
      </c>
      <c r="H23" s="61">
        <v>20</v>
      </c>
      <c r="I23" s="61">
        <v>20</v>
      </c>
      <c r="J23" s="62">
        <v>1200</v>
      </c>
      <c r="K23" s="1">
        <f>Inventory_List_Table34112[[#This Row],[Q]]*Inventory_List_Table34112[[#This Row],[Per piece MXN$]]</f>
        <v>1200</v>
      </c>
      <c r="L23" s="22" t="s">
        <v>609</v>
      </c>
      <c r="M23" s="22" t="s">
        <v>657</v>
      </c>
    </row>
    <row r="24" spans="1:13" ht="30" customHeight="1" x14ac:dyDescent="0.25">
      <c r="A24" s="59" t="s">
        <v>142</v>
      </c>
      <c r="B24" s="17">
        <v>46006</v>
      </c>
      <c r="C24" s="18" t="s">
        <v>311</v>
      </c>
      <c r="D24" s="51" t="s">
        <v>658</v>
      </c>
      <c r="E24" s="60">
        <v>1</v>
      </c>
      <c r="F24" s="61">
        <v>11</v>
      </c>
      <c r="G24" s="61">
        <v>50</v>
      </c>
      <c r="H24" s="61">
        <v>20</v>
      </c>
      <c r="I24" s="61">
        <v>20</v>
      </c>
      <c r="J24" s="62">
        <v>880</v>
      </c>
      <c r="K24" s="1">
        <f>Inventory_List_Table34112[[#This Row],[Q]]*Inventory_List_Table34112[[#This Row],[Per piece MXN$]]</f>
        <v>880</v>
      </c>
      <c r="L24" s="22" t="s">
        <v>616</v>
      </c>
      <c r="M24" s="22" t="s">
        <v>639</v>
      </c>
    </row>
    <row r="25" spans="1:13" ht="30" customHeight="1" x14ac:dyDescent="0.25">
      <c r="A25" s="59" t="s">
        <v>143</v>
      </c>
      <c r="B25" s="17">
        <v>46006</v>
      </c>
      <c r="C25" s="18" t="s">
        <v>312</v>
      </c>
      <c r="D25" s="51" t="s">
        <v>659</v>
      </c>
      <c r="E25" s="60">
        <v>2</v>
      </c>
      <c r="F25" s="61">
        <v>34</v>
      </c>
      <c r="G25" s="61">
        <v>120</v>
      </c>
      <c r="H25" s="61">
        <v>30</v>
      </c>
      <c r="I25" s="61">
        <v>30</v>
      </c>
      <c r="J25" s="62">
        <v>3060</v>
      </c>
      <c r="K25" s="1">
        <f>Inventory_List_Table34112[[#This Row],[Q]]*Inventory_List_Table34112[[#This Row],[Per piece MXN$]]</f>
        <v>6120</v>
      </c>
      <c r="L25" s="22" t="s">
        <v>661</v>
      </c>
      <c r="M25" s="22" t="s">
        <v>660</v>
      </c>
    </row>
    <row r="26" spans="1:13" ht="30" customHeight="1" x14ac:dyDescent="0.25">
      <c r="A26" s="59" t="s">
        <v>144</v>
      </c>
      <c r="B26" s="17">
        <v>46006</v>
      </c>
      <c r="C26" s="18" t="s">
        <v>312</v>
      </c>
      <c r="D26" s="51" t="s">
        <v>662</v>
      </c>
      <c r="E26" s="60">
        <v>1</v>
      </c>
      <c r="F26" s="61">
        <v>24</v>
      </c>
      <c r="G26" s="61">
        <v>75</v>
      </c>
      <c r="H26" s="61">
        <v>30</v>
      </c>
      <c r="I26" s="61">
        <v>30</v>
      </c>
      <c r="J26" s="62">
        <v>1980</v>
      </c>
      <c r="K26" s="1">
        <f>Inventory_List_Table34112[[#This Row],[Q]]*Inventory_List_Table34112[[#This Row],[Per piece MXN$]]</f>
        <v>1980</v>
      </c>
      <c r="L26" s="22" t="s">
        <v>664</v>
      </c>
      <c r="M26" s="22" t="s">
        <v>663</v>
      </c>
    </row>
    <row r="27" spans="1:13" ht="30" customHeight="1" x14ac:dyDescent="0.25">
      <c r="A27" s="59" t="s">
        <v>156</v>
      </c>
      <c r="B27" s="17">
        <v>46006</v>
      </c>
      <c r="C27" s="18" t="s">
        <v>312</v>
      </c>
      <c r="D27" s="51" t="s">
        <v>665</v>
      </c>
      <c r="E27" s="60">
        <v>1</v>
      </c>
      <c r="F27" s="61">
        <v>26</v>
      </c>
      <c r="G27" s="61">
        <v>100</v>
      </c>
      <c r="H27" s="61">
        <v>25</v>
      </c>
      <c r="I27" s="61">
        <v>25</v>
      </c>
      <c r="J27" s="62">
        <v>2125</v>
      </c>
      <c r="K27" s="1">
        <f>Inventory_List_Table34112[[#This Row],[Q]]*Inventory_List_Table34112[[#This Row],[Per piece MXN$]]</f>
        <v>2125</v>
      </c>
      <c r="L27" s="22" t="s">
        <v>667</v>
      </c>
      <c r="M27" s="22" t="s">
        <v>666</v>
      </c>
    </row>
    <row r="28" spans="1:13" ht="30" customHeight="1" x14ac:dyDescent="0.25">
      <c r="A28" s="59" t="s">
        <v>157</v>
      </c>
      <c r="B28" s="17">
        <v>46006</v>
      </c>
      <c r="C28" s="18" t="s">
        <v>313</v>
      </c>
      <c r="D28" s="51" t="s">
        <v>668</v>
      </c>
      <c r="E28" s="60">
        <v>2</v>
      </c>
      <c r="F28" s="61">
        <v>7</v>
      </c>
      <c r="G28" s="61">
        <v>50</v>
      </c>
      <c r="H28" s="61">
        <v>15</v>
      </c>
      <c r="I28" s="61">
        <v>15</v>
      </c>
      <c r="J28" s="62">
        <v>850</v>
      </c>
      <c r="K28" s="1">
        <f>Inventory_List_Table34112[[#This Row],[Q]]*Inventory_List_Table34112[[#This Row],[Per piece MXN$]]</f>
        <v>1700</v>
      </c>
      <c r="L28" s="22" t="s">
        <v>670</v>
      </c>
      <c r="M28" s="22" t="s">
        <v>669</v>
      </c>
    </row>
    <row r="29" spans="1:13" ht="30" customHeight="1" x14ac:dyDescent="0.25">
      <c r="A29" s="59" t="s">
        <v>158</v>
      </c>
      <c r="B29" s="17">
        <v>46006</v>
      </c>
      <c r="C29" s="18" t="s">
        <v>313</v>
      </c>
      <c r="D29" s="51" t="s">
        <v>671</v>
      </c>
      <c r="E29" s="60">
        <v>1</v>
      </c>
      <c r="F29" s="61">
        <v>6</v>
      </c>
      <c r="G29" s="61">
        <v>45</v>
      </c>
      <c r="H29" s="61">
        <v>15</v>
      </c>
      <c r="I29" s="61">
        <v>15</v>
      </c>
      <c r="J29" s="62">
        <v>800</v>
      </c>
      <c r="K29" s="1">
        <f>Inventory_List_Table34112[[#This Row],[Q]]*Inventory_List_Table34112[[#This Row],[Per piece MXN$]]</f>
        <v>800</v>
      </c>
      <c r="L29" s="22" t="s">
        <v>673</v>
      </c>
      <c r="M29" s="22" t="s">
        <v>672</v>
      </c>
    </row>
    <row r="30" spans="1:13" ht="30" customHeight="1" x14ac:dyDescent="0.25">
      <c r="A30" s="59" t="s">
        <v>159</v>
      </c>
      <c r="B30" s="17">
        <v>46006</v>
      </c>
      <c r="C30" s="18" t="s">
        <v>313</v>
      </c>
      <c r="D30" s="51" t="s">
        <v>674</v>
      </c>
      <c r="E30" s="60">
        <v>2</v>
      </c>
      <c r="F30" s="61">
        <v>7</v>
      </c>
      <c r="G30" s="61">
        <v>50</v>
      </c>
      <c r="H30" s="61">
        <v>12</v>
      </c>
      <c r="I30" s="61">
        <v>15</v>
      </c>
      <c r="J30" s="62">
        <v>650</v>
      </c>
      <c r="K30" s="1">
        <f>Inventory_List_Table34112[[#This Row],[Q]]*Inventory_List_Table34112[[#This Row],[Per piece MXN$]]</f>
        <v>1300</v>
      </c>
      <c r="L30" s="22" t="s">
        <v>554</v>
      </c>
      <c r="M30" s="22" t="s">
        <v>576</v>
      </c>
    </row>
    <row r="31" spans="1:13" ht="30" customHeight="1" x14ac:dyDescent="0.25">
      <c r="A31" s="59" t="s">
        <v>160</v>
      </c>
      <c r="B31" s="17">
        <v>46006</v>
      </c>
      <c r="C31" s="18" t="s">
        <v>315</v>
      </c>
      <c r="D31" s="51" t="s">
        <v>675</v>
      </c>
      <c r="E31" s="60">
        <v>1</v>
      </c>
      <c r="F31" s="61">
        <v>7</v>
      </c>
      <c r="G31" s="61">
        <v>60</v>
      </c>
      <c r="H31" s="61">
        <v>15</v>
      </c>
      <c r="I31" s="61">
        <v>15</v>
      </c>
      <c r="J31" s="63">
        <v>765</v>
      </c>
      <c r="K31" s="1">
        <f>Inventory_List_Table34112[[#This Row],[Q]]*Inventory_List_Table34112[[#This Row],[Per piece MXN$]]</f>
        <v>765</v>
      </c>
      <c r="L31" s="22" t="s">
        <v>582</v>
      </c>
      <c r="M31" s="22" t="s">
        <v>561</v>
      </c>
    </row>
    <row r="32" spans="1:13" ht="30" customHeight="1" x14ac:dyDescent="0.25">
      <c r="A32" s="59" t="s">
        <v>161</v>
      </c>
      <c r="B32" s="17">
        <v>46006</v>
      </c>
      <c r="C32" s="18" t="s">
        <v>315</v>
      </c>
      <c r="D32" s="51" t="s">
        <v>676</v>
      </c>
      <c r="E32" s="60">
        <v>2</v>
      </c>
      <c r="F32" s="61">
        <v>7</v>
      </c>
      <c r="G32" s="61">
        <v>50</v>
      </c>
      <c r="H32" s="61">
        <v>15</v>
      </c>
      <c r="I32" s="61">
        <v>15</v>
      </c>
      <c r="J32" s="62">
        <v>645</v>
      </c>
      <c r="K32" s="1">
        <f>Inventory_List_Table34112[[#This Row],[Q]]*Inventory_List_Table34112[[#This Row],[Per piece MXN$]]</f>
        <v>1290</v>
      </c>
      <c r="L32" s="22" t="s">
        <v>554</v>
      </c>
      <c r="M32" s="22" t="s">
        <v>576</v>
      </c>
    </row>
    <row r="33" spans="1:13" ht="30" customHeight="1" x14ac:dyDescent="0.25">
      <c r="A33" s="59" t="s">
        <v>162</v>
      </c>
      <c r="B33" s="17">
        <v>46006</v>
      </c>
      <c r="C33" s="18" t="s">
        <v>315</v>
      </c>
      <c r="D33" s="51" t="s">
        <v>677</v>
      </c>
      <c r="E33" s="60">
        <v>3</v>
      </c>
      <c r="F33" s="61">
        <v>6</v>
      </c>
      <c r="G33" s="61">
        <v>40</v>
      </c>
      <c r="H33" s="61">
        <v>15</v>
      </c>
      <c r="I33" s="61">
        <v>15</v>
      </c>
      <c r="J33" s="62">
        <v>525</v>
      </c>
      <c r="K33" s="1">
        <f>Inventory_List_Table34112[[#This Row],[Q]]*Inventory_List_Table34112[[#This Row],[Per piece MXN$]]</f>
        <v>1575</v>
      </c>
      <c r="L33" s="22" t="s">
        <v>645</v>
      </c>
      <c r="M33" s="22" t="s">
        <v>580</v>
      </c>
    </row>
    <row r="34" spans="1:13" ht="30" customHeight="1" x14ac:dyDescent="0.25">
      <c r="A34" s="59" t="s">
        <v>163</v>
      </c>
      <c r="B34" s="17">
        <v>46006</v>
      </c>
      <c r="C34" s="18" t="s">
        <v>315</v>
      </c>
      <c r="D34" s="51" t="s">
        <v>678</v>
      </c>
      <c r="E34" s="60">
        <v>4</v>
      </c>
      <c r="F34" s="61">
        <v>5</v>
      </c>
      <c r="G34" s="61">
        <v>30</v>
      </c>
      <c r="H34" s="61">
        <v>15</v>
      </c>
      <c r="I34" s="61">
        <v>15</v>
      </c>
      <c r="J34" s="62">
        <v>405</v>
      </c>
      <c r="K34" s="1">
        <f>Inventory_List_Table34112[[#This Row],[Q]]*Inventory_List_Table34112[[#This Row],[Per piece MXN$]]</f>
        <v>1620</v>
      </c>
      <c r="L34" s="22" t="s">
        <v>528</v>
      </c>
      <c r="M34" s="22" t="s">
        <v>527</v>
      </c>
    </row>
    <row r="35" spans="1:13" ht="30" customHeight="1" x14ac:dyDescent="0.25">
      <c r="A35" s="59" t="s">
        <v>164</v>
      </c>
      <c r="B35" s="17">
        <v>46006</v>
      </c>
      <c r="C35" s="18" t="s">
        <v>316</v>
      </c>
      <c r="D35" s="51" t="s">
        <v>679</v>
      </c>
      <c r="E35" s="60">
        <v>6</v>
      </c>
      <c r="F35" s="61">
        <v>6</v>
      </c>
      <c r="G35" s="61">
        <v>40</v>
      </c>
      <c r="H35" s="61">
        <v>15</v>
      </c>
      <c r="I35" s="61">
        <v>15</v>
      </c>
      <c r="J35" s="62">
        <v>525</v>
      </c>
      <c r="K35" s="1">
        <f>Inventory_List_Table34112[[#This Row],[Q]]*Inventory_List_Table34112[[#This Row],[Per piece MXN$]]</f>
        <v>3150</v>
      </c>
      <c r="L35" s="22" t="s">
        <v>645</v>
      </c>
      <c r="M35" s="22" t="s">
        <v>580</v>
      </c>
    </row>
    <row r="36" spans="1:13" ht="30" customHeight="1" x14ac:dyDescent="0.25">
      <c r="A36" s="59" t="s">
        <v>165</v>
      </c>
      <c r="B36" s="17">
        <v>46006</v>
      </c>
      <c r="C36" s="18" t="s">
        <v>316</v>
      </c>
      <c r="D36" s="51" t="s">
        <v>680</v>
      </c>
      <c r="E36" s="60">
        <v>2</v>
      </c>
      <c r="F36" s="61">
        <v>5</v>
      </c>
      <c r="G36" s="61">
        <v>30</v>
      </c>
      <c r="H36" s="61">
        <v>15</v>
      </c>
      <c r="I36" s="61">
        <v>15</v>
      </c>
      <c r="J36" s="62">
        <v>405</v>
      </c>
      <c r="K36" s="1">
        <f>Inventory_List_Table34112[[#This Row],[Q]]*Inventory_List_Table34112[[#This Row],[Per piece MXN$]]</f>
        <v>810</v>
      </c>
      <c r="L36" s="22" t="s">
        <v>528</v>
      </c>
      <c r="M36" s="22" t="s">
        <v>527</v>
      </c>
    </row>
    <row r="37" spans="1:13" ht="30" customHeight="1" x14ac:dyDescent="0.25">
      <c r="A37" s="59" t="s">
        <v>166</v>
      </c>
      <c r="B37" s="17">
        <v>46006</v>
      </c>
      <c r="C37" s="18" t="s">
        <v>316</v>
      </c>
      <c r="D37" s="51" t="s">
        <v>681</v>
      </c>
      <c r="E37" s="60">
        <v>3</v>
      </c>
      <c r="F37" s="61">
        <v>7</v>
      </c>
      <c r="G37" s="61">
        <v>50</v>
      </c>
      <c r="H37" s="61">
        <v>15</v>
      </c>
      <c r="I37" s="61">
        <v>15</v>
      </c>
      <c r="J37" s="62">
        <v>645</v>
      </c>
      <c r="K37" s="1">
        <f>Inventory_List_Table34112[[#This Row],[Q]]*Inventory_List_Table34112[[#This Row],[Per piece MXN$]]</f>
        <v>1935</v>
      </c>
      <c r="L37" s="22" t="s">
        <v>554</v>
      </c>
      <c r="M37" s="22" t="s">
        <v>576</v>
      </c>
    </row>
    <row r="38" spans="1:13" ht="30" customHeight="1" x14ac:dyDescent="0.25">
      <c r="A38" s="59" t="s">
        <v>167</v>
      </c>
      <c r="B38" s="17">
        <v>46006</v>
      </c>
      <c r="C38" s="18" t="s">
        <v>317</v>
      </c>
      <c r="D38" s="51" t="s">
        <v>682</v>
      </c>
      <c r="E38" s="60">
        <v>4</v>
      </c>
      <c r="F38" s="61">
        <v>6</v>
      </c>
      <c r="G38" s="61">
        <v>40</v>
      </c>
      <c r="H38" s="61">
        <v>15</v>
      </c>
      <c r="I38" s="61">
        <v>15</v>
      </c>
      <c r="J38" s="62">
        <v>525</v>
      </c>
      <c r="K38" s="1">
        <f>Inventory_List_Table34112[[#This Row],[Q]]*Inventory_List_Table34112[[#This Row],[Per piece MXN$]]</f>
        <v>2100</v>
      </c>
      <c r="L38" s="22" t="s">
        <v>645</v>
      </c>
      <c r="M38" s="22" t="s">
        <v>580</v>
      </c>
    </row>
    <row r="39" spans="1:13" ht="30" customHeight="1" x14ac:dyDescent="0.25">
      <c r="A39" s="59" t="s">
        <v>168</v>
      </c>
      <c r="B39" s="17">
        <v>46006</v>
      </c>
      <c r="C39" s="18" t="s">
        <v>317</v>
      </c>
      <c r="D39" s="51" t="s">
        <v>683</v>
      </c>
      <c r="E39" s="60">
        <v>3</v>
      </c>
      <c r="F39" s="61">
        <v>6</v>
      </c>
      <c r="G39" s="61">
        <v>30</v>
      </c>
      <c r="H39" s="61">
        <v>15</v>
      </c>
      <c r="I39" s="61">
        <v>15</v>
      </c>
      <c r="J39" s="62">
        <v>405</v>
      </c>
      <c r="K39" s="1">
        <f>Inventory_List_Table34112[[#This Row],[Q]]*Inventory_List_Table34112[[#This Row],[Per piece MXN$]]</f>
        <v>1215</v>
      </c>
      <c r="L39" s="22" t="s">
        <v>528</v>
      </c>
      <c r="M39" s="22" t="s">
        <v>527</v>
      </c>
    </row>
    <row r="40" spans="1:13" ht="30" customHeight="1" x14ac:dyDescent="0.25">
      <c r="A40" s="59" t="s">
        <v>172</v>
      </c>
      <c r="B40" s="17">
        <v>46006</v>
      </c>
      <c r="C40" s="18" t="s">
        <v>399</v>
      </c>
      <c r="D40" s="51" t="s">
        <v>1026</v>
      </c>
      <c r="E40" s="60">
        <v>1</v>
      </c>
      <c r="F40" s="61"/>
      <c r="G40" s="61"/>
      <c r="H40" s="61"/>
      <c r="I40" s="61"/>
      <c r="J40" s="62">
        <v>2601.5</v>
      </c>
      <c r="K40" s="1">
        <f>Inventory_List_Table34112[[#This Row],[Q]]*Inventory_List_Table34112[[#This Row],[Per piece MXN$]]</f>
        <v>2601.5</v>
      </c>
      <c r="L40" s="22" t="s">
        <v>1050</v>
      </c>
      <c r="M40" s="22" t="s">
        <v>1051</v>
      </c>
    </row>
  </sheetData>
  <phoneticPr fontId="2" type="noConversion"/>
  <dataValidations count="9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C7984F70-579E-4753-9872-FE7DE8087164}"/>
    <dataValidation allowBlank="1" showInputMessage="1" showErrorMessage="1" prompt="Enter the item inventory ID in this column" sqref="C1" xr:uid="{2F1381D0-37E9-4824-BB72-9115F13918AA}"/>
    <dataValidation allowBlank="1" showInputMessage="1" showErrorMessage="1" prompt="Enter the name of the item in this column" sqref="D1" xr:uid="{F79398AF-947A-43A4-892D-394770EEF253}"/>
    <dataValidation allowBlank="1" showInputMessage="1" showErrorMessage="1" prompt="Enter the number of days it takes to reorder each item in this column" sqref="J1:K1" xr:uid="{DCE8CFAF-189F-4A62-9A2B-A4A1F90A842E}"/>
    <dataValidation allowBlank="1" showInputMessage="1" showErrorMessage="1" prompt="Enter the reorder level for each item in this column" sqref="I1" xr:uid="{27FF888B-F82C-4263-A706-7DAD1007B7EC}"/>
    <dataValidation allowBlank="1" showInputMessage="1" showErrorMessage="1" prompt="This is an automated column._x000a__x000a_The inventory value for each item is automatically calculated in this column." sqref="H1" xr:uid="{00508EC1-A81D-45B3-B4F3-61C53D38C0F4}"/>
    <dataValidation allowBlank="1" showInputMessage="1" showErrorMessage="1" prompt="Enter the quantity in stock for each item in this column" sqref="G1" xr:uid="{27E7A1F5-125F-4251-A92D-B29E63CBC51F}"/>
    <dataValidation allowBlank="1" showInputMessage="1" showErrorMessage="1" prompt="Enter the unit price of each item in this column" sqref="F1" xr:uid="{32C2392C-ED7C-4A22-B006-B649C01821BD}"/>
    <dataValidation allowBlank="1" showInputMessage="1" showErrorMessage="1" prompt="Enter a description of the item in this column" sqref="E1" xr:uid="{C35CE3CE-99B0-42FC-8237-3637DF02896D}"/>
  </dataValidations>
  <printOptions horizontalCentered="1"/>
  <pageMargins left="0.25" right="0.25" top="0.75" bottom="0.75" header="0.3" footer="0.3"/>
  <pageSetup scale="26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27DC-AAC6-4588-9350-880AAD76630B}">
  <sheetPr codeName="Sheet15">
    <tabColor theme="9" tint="0.749992370372631"/>
    <pageSetUpPr fitToPage="1"/>
  </sheetPr>
  <dimension ref="A1:M20"/>
  <sheetViews>
    <sheetView showGridLines="0" zoomScale="70" zoomScaleNormal="70" workbookViewId="0">
      <selection activeCell="T7" sqref="T7"/>
    </sheetView>
  </sheetViews>
  <sheetFormatPr defaultColWidth="8.625" defaultRowHeight="24" customHeight="1" x14ac:dyDescent="0.25"/>
  <cols>
    <col min="1" max="1" width="4.125" style="23" customWidth="1"/>
    <col min="2" max="2" width="15.5" style="24" customWidth="1"/>
    <col min="3" max="3" width="29.375" style="25" customWidth="1"/>
    <col min="4" max="4" width="22" style="25" bestFit="1" customWidth="1"/>
    <col min="5" max="5" width="6.375" style="25" customWidth="1"/>
    <col min="6" max="6" width="10.625" style="26" customWidth="1"/>
    <col min="7" max="7" width="9" style="26" customWidth="1"/>
    <col min="8" max="8" width="8.75" style="26" bestFit="1" customWidth="1"/>
    <col min="9" max="9" width="8.25" style="26" bestFit="1" customWidth="1"/>
    <col min="10" max="10" width="19.625" style="26" bestFit="1" customWidth="1"/>
    <col min="11" max="11" width="22.625" style="26" customWidth="1"/>
    <col min="12" max="12" width="7.5" style="7" bestFit="1" customWidth="1"/>
    <col min="13" max="13" width="10.125" style="7" customWidth="1"/>
    <col min="14" max="16384" width="8.625" style="7"/>
  </cols>
  <sheetData>
    <row r="1" spans="1:13" s="15" customFormat="1" ht="40.9" customHeight="1" x14ac:dyDescent="0.25">
      <c r="A1" s="141" t="s">
        <v>111</v>
      </c>
      <c r="B1" s="65" t="s">
        <v>102</v>
      </c>
      <c r="C1" s="65" t="s">
        <v>112</v>
      </c>
      <c r="D1" s="66" t="s">
        <v>113</v>
      </c>
      <c r="E1" s="230" t="s">
        <v>103</v>
      </c>
      <c r="F1" s="231" t="s">
        <v>104</v>
      </c>
      <c r="G1" s="231" t="s">
        <v>109</v>
      </c>
      <c r="H1" s="231" t="s">
        <v>105</v>
      </c>
      <c r="I1" s="231" t="s">
        <v>106</v>
      </c>
      <c r="J1" s="231" t="s">
        <v>114</v>
      </c>
      <c r="K1" s="65" t="s">
        <v>115</v>
      </c>
      <c r="L1" s="69" t="s">
        <v>110</v>
      </c>
      <c r="M1" s="70" t="s">
        <v>0</v>
      </c>
    </row>
    <row r="2" spans="1:13" ht="30" customHeight="1" x14ac:dyDescent="0.25">
      <c r="A2" s="16" t="s">
        <v>120</v>
      </c>
      <c r="B2" s="17">
        <v>45873</v>
      </c>
      <c r="C2" s="18" t="s">
        <v>291</v>
      </c>
      <c r="D2" s="77" t="s">
        <v>914</v>
      </c>
      <c r="E2" s="77">
        <v>1</v>
      </c>
      <c r="F2" s="78">
        <v>327</v>
      </c>
      <c r="G2" s="78">
        <v>60.96</v>
      </c>
      <c r="H2" s="78">
        <v>48.26</v>
      </c>
      <c r="I2" s="78">
        <v>54.61</v>
      </c>
      <c r="J2" s="142">
        <f>Inventory_List_Table341112[[#This Row],[KG]]*12.5</f>
        <v>4087.5</v>
      </c>
      <c r="K2" s="1">
        <f>Inventory_List_Table341112[[#This Row],[Q]]*Inventory_List_Table341112[[#This Row],[Per piece MXN$]]</f>
        <v>4087.5</v>
      </c>
      <c r="L2" s="22" t="s">
        <v>915</v>
      </c>
      <c r="M2" s="22" t="s">
        <v>916</v>
      </c>
    </row>
    <row r="3" spans="1:13" ht="30" customHeight="1" x14ac:dyDescent="0.25">
      <c r="A3" s="16" t="s">
        <v>121</v>
      </c>
      <c r="B3" s="17"/>
      <c r="C3" s="18" t="s">
        <v>291</v>
      </c>
      <c r="D3" s="77" t="s">
        <v>917</v>
      </c>
      <c r="E3" s="77">
        <v>1</v>
      </c>
      <c r="F3" s="78">
        <v>770</v>
      </c>
      <c r="G3" s="78">
        <v>127</v>
      </c>
      <c r="H3" s="78">
        <v>48.26</v>
      </c>
      <c r="I3" s="78">
        <v>44.45</v>
      </c>
      <c r="J3" s="142">
        <f>Inventory_List_Table341112[[#This Row],[KG]]*12</f>
        <v>9240</v>
      </c>
      <c r="K3" s="1">
        <f>Inventory_List_Table341112[[#This Row],[Q]]*Inventory_List_Table341112[[#This Row],[Per piece MXN$]]</f>
        <v>9240</v>
      </c>
      <c r="L3" s="22" t="s">
        <v>918</v>
      </c>
      <c r="M3" s="22" t="s">
        <v>919</v>
      </c>
    </row>
    <row r="4" spans="1:13" ht="30" customHeight="1" x14ac:dyDescent="0.25">
      <c r="A4" s="229" t="s">
        <v>122</v>
      </c>
      <c r="B4" s="17"/>
      <c r="C4" s="18" t="s">
        <v>291</v>
      </c>
      <c r="D4" s="94" t="s">
        <v>950</v>
      </c>
      <c r="E4" s="77">
        <v>1</v>
      </c>
      <c r="F4" s="78">
        <v>739</v>
      </c>
      <c r="G4" s="78">
        <v>134.62</v>
      </c>
      <c r="H4" s="78">
        <v>43.18</v>
      </c>
      <c r="I4" s="78">
        <v>46.99</v>
      </c>
      <c r="J4" s="142">
        <f>Inventory_List_Table341112[[#This Row],[KG]]*12</f>
        <v>8868</v>
      </c>
      <c r="K4" s="1">
        <f>Inventory_List_Table341112[[#This Row],[Q]]*Inventory_List_Table341112[[#This Row],[Per piece MXN$]]</f>
        <v>8868</v>
      </c>
      <c r="L4" s="22" t="s">
        <v>951</v>
      </c>
      <c r="M4" s="22" t="s">
        <v>119</v>
      </c>
    </row>
    <row r="5" spans="1:13" ht="30" customHeight="1" x14ac:dyDescent="0.25">
      <c r="A5" s="229" t="s">
        <v>123</v>
      </c>
      <c r="B5" s="17"/>
      <c r="C5" s="18" t="s">
        <v>291</v>
      </c>
      <c r="D5" s="94" t="s">
        <v>952</v>
      </c>
      <c r="E5" s="77">
        <v>1</v>
      </c>
      <c r="F5" s="78">
        <v>874</v>
      </c>
      <c r="G5" s="78">
        <v>121.92</v>
      </c>
      <c r="H5" s="78">
        <v>59.69</v>
      </c>
      <c r="I5" s="78">
        <v>35.56</v>
      </c>
      <c r="J5" s="142">
        <f>Inventory_List_Table341112[[#This Row],[KG]]*12</f>
        <v>10488</v>
      </c>
      <c r="K5" s="1">
        <f>Inventory_List_Table341112[[#This Row],[Q]]*Inventory_List_Table341112[[#This Row],[Per piece MXN$]]</f>
        <v>10488</v>
      </c>
      <c r="L5" s="22" t="s">
        <v>953</v>
      </c>
      <c r="M5" s="22" t="s">
        <v>954</v>
      </c>
    </row>
    <row r="6" spans="1:13" ht="30" customHeight="1" x14ac:dyDescent="0.25">
      <c r="A6" s="229" t="s">
        <v>124</v>
      </c>
      <c r="B6" s="17"/>
      <c r="C6" s="18" t="s">
        <v>291</v>
      </c>
      <c r="D6" s="94" t="s">
        <v>955</v>
      </c>
      <c r="E6" s="77">
        <v>1</v>
      </c>
      <c r="F6" s="78">
        <v>1228</v>
      </c>
      <c r="G6" s="78">
        <v>144.78</v>
      </c>
      <c r="H6" s="78">
        <v>81.28</v>
      </c>
      <c r="I6" s="78">
        <v>27.94</v>
      </c>
      <c r="J6" s="142">
        <f>Inventory_List_Table341112[[#This Row],[KG]]*12</f>
        <v>14736</v>
      </c>
      <c r="K6" s="1">
        <f>Inventory_List_Table341112[[#This Row],[Q]]*Inventory_List_Table341112[[#This Row],[Per piece MXN$]]</f>
        <v>14736</v>
      </c>
      <c r="L6" s="22" t="s">
        <v>956</v>
      </c>
      <c r="M6" s="22" t="s">
        <v>957</v>
      </c>
    </row>
    <row r="7" spans="1:13" ht="30" customHeight="1" x14ac:dyDescent="0.25">
      <c r="A7" s="16" t="s">
        <v>125</v>
      </c>
      <c r="B7" s="18" t="s">
        <v>279</v>
      </c>
      <c r="C7" s="18" t="s">
        <v>291</v>
      </c>
      <c r="D7" s="77" t="s">
        <v>920</v>
      </c>
      <c r="E7" s="77">
        <v>1</v>
      </c>
      <c r="F7" s="78">
        <v>959</v>
      </c>
      <c r="G7" s="78">
        <v>124.46000000000001</v>
      </c>
      <c r="H7" s="78">
        <v>63.5</v>
      </c>
      <c r="I7" s="78">
        <v>33.020000000000003</v>
      </c>
      <c r="J7" s="142">
        <f>Inventory_List_Table341112[[#This Row],[KG]]*12</f>
        <v>11508</v>
      </c>
      <c r="K7" s="1">
        <f>Inventory_List_Table341112[[#This Row],[Q]]*Inventory_List_Table341112[[#This Row],[Per piece MXN$]]</f>
        <v>11508</v>
      </c>
      <c r="L7" s="22" t="s">
        <v>921</v>
      </c>
      <c r="M7" s="22" t="s">
        <v>922</v>
      </c>
    </row>
    <row r="8" spans="1:13" ht="30" customHeight="1" x14ac:dyDescent="0.25">
      <c r="A8" s="16" t="s">
        <v>126</v>
      </c>
      <c r="B8" s="17"/>
      <c r="C8" s="18" t="s">
        <v>291</v>
      </c>
      <c r="D8" s="77" t="s">
        <v>923</v>
      </c>
      <c r="E8" s="77">
        <v>1</v>
      </c>
      <c r="F8" s="78">
        <v>485</v>
      </c>
      <c r="G8" s="78">
        <v>71.12</v>
      </c>
      <c r="H8" s="78">
        <v>33.020000000000003</v>
      </c>
      <c r="I8" s="78">
        <v>53.34</v>
      </c>
      <c r="J8" s="142">
        <f>Inventory_List_Table341112[[#This Row],[KG]]*12</f>
        <v>5820</v>
      </c>
      <c r="K8" s="1">
        <f>Inventory_List_Table341112[[#This Row],[Q]]*Inventory_List_Table341112[[#This Row],[Per piece MXN$]]</f>
        <v>5820</v>
      </c>
      <c r="L8" s="22" t="s">
        <v>908</v>
      </c>
      <c r="M8" s="22" t="s">
        <v>909</v>
      </c>
    </row>
    <row r="9" spans="1:13" ht="30" customHeight="1" x14ac:dyDescent="0.25">
      <c r="A9" s="229" t="s">
        <v>127</v>
      </c>
      <c r="B9" s="17"/>
      <c r="C9" s="18" t="s">
        <v>291</v>
      </c>
      <c r="D9" s="94" t="s">
        <v>958</v>
      </c>
      <c r="E9" s="77">
        <v>1</v>
      </c>
      <c r="F9" s="78">
        <v>828</v>
      </c>
      <c r="G9" s="78">
        <v>93.98</v>
      </c>
      <c r="H9" s="78">
        <v>50.8</v>
      </c>
      <c r="I9" s="78">
        <v>40.64</v>
      </c>
      <c r="J9" s="142">
        <f>Inventory_List_Table341112[[#This Row],[KG]]*12</f>
        <v>9936</v>
      </c>
      <c r="K9" s="1">
        <f>Inventory_List_Table341112[[#This Row],[Q]]*Inventory_List_Table341112[[#This Row],[Per piece MXN$]]</f>
        <v>9936</v>
      </c>
      <c r="L9" s="22" t="s">
        <v>959</v>
      </c>
      <c r="M9" s="22" t="s">
        <v>960</v>
      </c>
    </row>
    <row r="10" spans="1:13" ht="30" customHeight="1" x14ac:dyDescent="0.25">
      <c r="A10" s="16" t="s">
        <v>128</v>
      </c>
      <c r="B10" s="17"/>
      <c r="C10" s="18" t="s">
        <v>291</v>
      </c>
      <c r="D10" s="77" t="s">
        <v>924</v>
      </c>
      <c r="E10" s="77">
        <v>1</v>
      </c>
      <c r="F10" s="78">
        <v>979</v>
      </c>
      <c r="G10" s="78">
        <v>129.54</v>
      </c>
      <c r="H10" s="78">
        <v>38.1</v>
      </c>
      <c r="I10" s="78">
        <v>66.040000000000006</v>
      </c>
      <c r="J10" s="142">
        <f>Inventory_List_Table341112[[#This Row],[KG]]*12</f>
        <v>11748</v>
      </c>
      <c r="K10" s="1">
        <f>Inventory_List_Table341112[[#This Row],[Q]]*Inventory_List_Table341112[[#This Row],[Per piece MXN$]]</f>
        <v>11748</v>
      </c>
      <c r="L10" s="22" t="s">
        <v>925</v>
      </c>
      <c r="M10" s="22" t="s">
        <v>926</v>
      </c>
    </row>
    <row r="11" spans="1:13" ht="30" customHeight="1" x14ac:dyDescent="0.25">
      <c r="A11" s="16" t="s">
        <v>129</v>
      </c>
      <c r="B11" s="17"/>
      <c r="C11" s="18" t="s">
        <v>291</v>
      </c>
      <c r="D11" s="77" t="s">
        <v>927</v>
      </c>
      <c r="E11" s="77">
        <v>1</v>
      </c>
      <c r="F11" s="78">
        <v>1098</v>
      </c>
      <c r="G11" s="78">
        <v>195.58</v>
      </c>
      <c r="H11" s="78">
        <v>40.64</v>
      </c>
      <c r="I11" s="78">
        <v>60.96</v>
      </c>
      <c r="J11" s="142">
        <f>Inventory_List_Table341112[[#This Row],[KG]]*12</f>
        <v>13176</v>
      </c>
      <c r="K11" s="1">
        <f>Inventory_List_Table341112[[#This Row],[Q]]*Inventory_List_Table341112[[#This Row],[Per piece MXN$]]</f>
        <v>13176</v>
      </c>
      <c r="L11" s="22" t="s">
        <v>928</v>
      </c>
      <c r="M11" s="22" t="s">
        <v>929</v>
      </c>
    </row>
    <row r="12" spans="1:13" ht="30" customHeight="1" x14ac:dyDescent="0.25">
      <c r="A12" s="229" t="s">
        <v>130</v>
      </c>
      <c r="B12" s="17"/>
      <c r="C12" s="18" t="s">
        <v>291</v>
      </c>
      <c r="D12" s="94" t="s">
        <v>961</v>
      </c>
      <c r="E12" s="77">
        <v>1</v>
      </c>
      <c r="F12" s="78">
        <v>891</v>
      </c>
      <c r="G12" s="78">
        <v>195.58</v>
      </c>
      <c r="H12" s="78">
        <v>40.64</v>
      </c>
      <c r="I12" s="78">
        <v>58.42</v>
      </c>
      <c r="J12" s="142">
        <f>Inventory_List_Table341112[[#This Row],[KG]]*12</f>
        <v>10692</v>
      </c>
      <c r="K12" s="1">
        <f>Inventory_List_Table341112[[#This Row],[Q]]*Inventory_List_Table341112[[#This Row],[Per piece MXN$]]</f>
        <v>10692</v>
      </c>
      <c r="L12" s="22" t="s">
        <v>962</v>
      </c>
      <c r="M12" s="22" t="s">
        <v>963</v>
      </c>
    </row>
    <row r="13" spans="1:13" s="149" customFormat="1" ht="30" customHeight="1" x14ac:dyDescent="0.25">
      <c r="A13" s="144" t="s">
        <v>131</v>
      </c>
      <c r="B13" s="145"/>
      <c r="C13" s="146" t="s">
        <v>291</v>
      </c>
      <c r="D13" s="147" t="s">
        <v>1027</v>
      </c>
      <c r="E13" s="77">
        <v>1</v>
      </c>
      <c r="F13" s="78">
        <v>383</v>
      </c>
      <c r="G13" s="78">
        <v>76.2</v>
      </c>
      <c r="H13" s="78">
        <v>63.5</v>
      </c>
      <c r="I13" s="78">
        <v>25.4</v>
      </c>
      <c r="J13" s="142">
        <f>Inventory_List_Table341112[[#This Row],[KG]]*12</f>
        <v>4596</v>
      </c>
      <c r="K13" s="1">
        <f>Inventory_List_Table341112[[#This Row],[Q]]*Inventory_List_Table341112[[#This Row],[Per piece MXN$]]</f>
        <v>4596</v>
      </c>
      <c r="L13" s="148" t="s">
        <v>1046</v>
      </c>
      <c r="M13" s="148" t="s">
        <v>1052</v>
      </c>
    </row>
    <row r="14" spans="1:13" s="149" customFormat="1" ht="30" customHeight="1" x14ac:dyDescent="0.25">
      <c r="A14" s="144" t="s">
        <v>132</v>
      </c>
      <c r="B14" s="145"/>
      <c r="C14" s="146" t="s">
        <v>291</v>
      </c>
      <c r="D14" s="147" t="s">
        <v>1028</v>
      </c>
      <c r="E14" s="77">
        <v>1</v>
      </c>
      <c r="F14" s="78">
        <v>371</v>
      </c>
      <c r="G14" s="78">
        <v>91.44</v>
      </c>
      <c r="H14" s="78">
        <v>45.72</v>
      </c>
      <c r="I14" s="78">
        <v>35.56</v>
      </c>
      <c r="J14" s="142">
        <f>Inventory_List_Table341112[[#This Row],[KG]]*12</f>
        <v>4452</v>
      </c>
      <c r="K14" s="1">
        <f>Inventory_List_Table341112[[#This Row],[Q]]*Inventory_List_Table341112[[#This Row],[Per piece MXN$]]</f>
        <v>4452</v>
      </c>
      <c r="L14" s="148" t="s">
        <v>1053</v>
      </c>
      <c r="M14" s="148" t="s">
        <v>1054</v>
      </c>
    </row>
    <row r="15" spans="1:13" ht="30" customHeight="1" x14ac:dyDescent="0.25">
      <c r="A15" s="16" t="s">
        <v>133</v>
      </c>
      <c r="B15" s="17"/>
      <c r="C15" s="18" t="s">
        <v>291</v>
      </c>
      <c r="D15" s="147" t="s">
        <v>1029</v>
      </c>
      <c r="E15" s="77">
        <v>1</v>
      </c>
      <c r="F15" s="78">
        <v>332</v>
      </c>
      <c r="G15" s="78">
        <v>91.44</v>
      </c>
      <c r="H15" s="78">
        <v>33.020000000000003</v>
      </c>
      <c r="I15" s="78">
        <v>38.1</v>
      </c>
      <c r="J15" s="142">
        <f>Inventory_List_Table341112[[#This Row],[KG]]*12</f>
        <v>3984</v>
      </c>
      <c r="K15" s="1">
        <f>Inventory_List_Table341112[[#This Row],[Q]]*Inventory_List_Table341112[[#This Row],[Per piece MXN$]]</f>
        <v>3984</v>
      </c>
      <c r="L15" s="22" t="s">
        <v>752</v>
      </c>
      <c r="M15" s="22" t="s">
        <v>1055</v>
      </c>
    </row>
    <row r="16" spans="1:13" ht="30" customHeight="1" x14ac:dyDescent="0.25">
      <c r="A16" s="16" t="s">
        <v>134</v>
      </c>
      <c r="B16" s="17"/>
      <c r="C16" s="18" t="s">
        <v>291</v>
      </c>
      <c r="D16" s="147" t="s">
        <v>1030</v>
      </c>
      <c r="E16" s="77">
        <v>1</v>
      </c>
      <c r="F16" s="78">
        <v>189</v>
      </c>
      <c r="G16" s="78">
        <v>86.36</v>
      </c>
      <c r="H16" s="78">
        <v>33.020000000000003</v>
      </c>
      <c r="I16" s="78">
        <v>12.7</v>
      </c>
      <c r="J16" s="142">
        <f>Inventory_List_Table341112[[#This Row],[KG]]*12</f>
        <v>2268</v>
      </c>
      <c r="K16" s="1">
        <f>Inventory_List_Table341112[[#This Row],[Q]]*Inventory_List_Table341112[[#This Row],[Per piece MXN$]]</f>
        <v>2268</v>
      </c>
      <c r="L16" s="22" t="s">
        <v>1056</v>
      </c>
      <c r="M16" s="22" t="s">
        <v>1057</v>
      </c>
    </row>
    <row r="17" spans="1:13" ht="30" customHeight="1" x14ac:dyDescent="0.25">
      <c r="A17" s="16" t="s">
        <v>135</v>
      </c>
      <c r="B17" s="17"/>
      <c r="C17" s="18" t="s">
        <v>291</v>
      </c>
      <c r="D17" s="147" t="s">
        <v>1031</v>
      </c>
      <c r="E17" s="77">
        <v>1</v>
      </c>
      <c r="F17" s="78">
        <v>322</v>
      </c>
      <c r="G17" s="78">
        <v>53.34</v>
      </c>
      <c r="H17" s="78">
        <v>35.56</v>
      </c>
      <c r="I17" s="78">
        <v>45.72</v>
      </c>
      <c r="J17" s="142">
        <f>Inventory_List_Table341112[[#This Row],[KG]]*12</f>
        <v>3864</v>
      </c>
      <c r="K17" s="1">
        <f>Inventory_List_Table341112[[#This Row],[Q]]*Inventory_List_Table341112[[#This Row],[Per piece MXN$]]</f>
        <v>3864</v>
      </c>
      <c r="L17" s="22" t="s">
        <v>1058</v>
      </c>
      <c r="M17" s="22" t="s">
        <v>1059</v>
      </c>
    </row>
    <row r="18" spans="1:13" ht="30" customHeight="1" x14ac:dyDescent="0.25">
      <c r="A18" s="16" t="s">
        <v>136</v>
      </c>
      <c r="B18" s="17"/>
      <c r="C18" s="18" t="s">
        <v>291</v>
      </c>
      <c r="D18" s="147" t="s">
        <v>1032</v>
      </c>
      <c r="E18" s="77">
        <v>1</v>
      </c>
      <c r="F18" s="78">
        <v>158</v>
      </c>
      <c r="G18" s="78">
        <v>0</v>
      </c>
      <c r="H18" s="78">
        <v>0</v>
      </c>
      <c r="I18" s="78">
        <v>0</v>
      </c>
      <c r="J18" s="142">
        <f>Inventory_List_Table341112[[#This Row],[KG]]*12</f>
        <v>1896</v>
      </c>
      <c r="K18" s="1">
        <f>Inventory_List_Table341112[[#This Row],[Q]]*Inventory_List_Table341112[[#This Row],[Per piece MXN$]]</f>
        <v>1896</v>
      </c>
      <c r="L18" s="22" t="s">
        <v>763</v>
      </c>
      <c r="M18" s="22" t="s">
        <v>762</v>
      </c>
    </row>
    <row r="19" spans="1:13" ht="30" customHeight="1" x14ac:dyDescent="0.25">
      <c r="A19" s="16" t="s">
        <v>137</v>
      </c>
      <c r="B19" s="17"/>
      <c r="C19" s="18" t="s">
        <v>291</v>
      </c>
      <c r="D19" s="147" t="s">
        <v>1033</v>
      </c>
      <c r="E19" s="77">
        <v>1</v>
      </c>
      <c r="F19" s="78">
        <v>68</v>
      </c>
      <c r="G19" s="78">
        <v>0</v>
      </c>
      <c r="H19" s="78">
        <v>0</v>
      </c>
      <c r="I19" s="78">
        <v>0</v>
      </c>
      <c r="J19" s="142">
        <f>Inventory_List_Table341112[[#This Row],[KG]]*12</f>
        <v>816</v>
      </c>
      <c r="K19" s="1">
        <f>Inventory_List_Table341112[[#This Row],[Q]]*Inventory_List_Table341112[[#This Row],[Per piece MXN$]]</f>
        <v>816</v>
      </c>
      <c r="L19" s="22" t="s">
        <v>673</v>
      </c>
      <c r="M19" s="22" t="s">
        <v>672</v>
      </c>
    </row>
    <row r="20" spans="1:13" ht="30" customHeight="1" x14ac:dyDescent="0.25">
      <c r="A20" s="16" t="s">
        <v>138</v>
      </c>
      <c r="B20" s="17"/>
      <c r="C20" s="18" t="s">
        <v>305</v>
      </c>
      <c r="D20" s="147" t="s">
        <v>1034</v>
      </c>
      <c r="E20" s="77">
        <v>1</v>
      </c>
      <c r="F20" s="78">
        <v>295</v>
      </c>
      <c r="G20" s="78">
        <v>0</v>
      </c>
      <c r="H20" s="78">
        <v>0</v>
      </c>
      <c r="I20" s="78">
        <v>0</v>
      </c>
      <c r="J20" s="142">
        <f>Inventory_List_Table341112[[#This Row],[KG]]*12</f>
        <v>3540</v>
      </c>
      <c r="K20" s="1">
        <f>Inventory_List_Table341112[[#This Row],[Q]]*Inventory_List_Table341112[[#This Row],[Per piece MXN$]]</f>
        <v>3540</v>
      </c>
      <c r="L20" s="22" t="s">
        <v>834</v>
      </c>
      <c r="M20" s="22" t="s">
        <v>989</v>
      </c>
    </row>
  </sheetData>
  <dataValidations count="9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1ED0C338-210F-4EFB-BD1A-BA1C364CA745}"/>
    <dataValidation allowBlank="1" showInputMessage="1" showErrorMessage="1" prompt="Enter the item inventory ID in this column" sqref="C1" xr:uid="{31A6DAD0-2EB9-46CE-9E0C-4B8B562D72A6}"/>
    <dataValidation allowBlank="1" showInputMessage="1" showErrorMessage="1" prompt="Enter the name of the item in this column" sqref="D1" xr:uid="{027C0C3A-59BC-4C79-96CA-DE2F49F1C902}"/>
    <dataValidation allowBlank="1" showInputMessage="1" showErrorMessage="1" prompt="Enter the number of days it takes to reorder each item in this column" sqref="J1:K1" xr:uid="{B06226D5-AF58-4665-982C-64D0FCBC9CF3}"/>
    <dataValidation allowBlank="1" showInputMessage="1" showErrorMessage="1" prompt="Enter the reorder level for each item in this column" sqref="I1" xr:uid="{BD04443C-4B0F-465D-9BE0-EBF75410EE52}"/>
    <dataValidation allowBlank="1" showInputMessage="1" showErrorMessage="1" prompt="This is an automated column._x000a__x000a_The inventory value for each item is automatically calculated in this column." sqref="H1" xr:uid="{76C0F752-CD93-4B23-A0BA-1E5F316497D3}"/>
    <dataValidation allowBlank="1" showInputMessage="1" showErrorMessage="1" prompt="Enter the quantity in stock for each item in this column" sqref="G1" xr:uid="{AD32DDD2-2832-4F59-8AFF-91B7D832FB25}"/>
    <dataValidation allowBlank="1" showInputMessage="1" showErrorMessage="1" prompt="Enter the unit price of each item in this column" sqref="F1" xr:uid="{56A745F7-2D29-4A1E-BD9C-7A88B341E2AC}"/>
    <dataValidation allowBlank="1" showInputMessage="1" showErrorMessage="1" prompt="Enter a description of the item in this column" sqref="E1" xr:uid="{C376E3AA-0591-4CC2-8845-81B03602472D}"/>
  </dataValidations>
  <printOptions horizontalCentered="1"/>
  <pageMargins left="0.25" right="0.25" top="0.75" bottom="0.75" header="0.3" footer="0.3"/>
  <pageSetup scale="26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6DAE-2162-4C1E-867B-8445EC04F8B5}">
  <sheetPr>
    <tabColor theme="9" tint="0.749992370372631"/>
    <pageSetUpPr fitToPage="1"/>
  </sheetPr>
  <dimension ref="A1:AC53"/>
  <sheetViews>
    <sheetView showGridLines="0" topLeftCell="D1" zoomScale="70" zoomScaleNormal="70" workbookViewId="0">
      <selection activeCell="N1" sqref="N1:O1048576"/>
    </sheetView>
  </sheetViews>
  <sheetFormatPr defaultColWidth="8.625" defaultRowHeight="24" customHeight="1" x14ac:dyDescent="0.25"/>
  <cols>
    <col min="1" max="1" width="9.125" style="23" bestFit="1" customWidth="1"/>
    <col min="2" max="2" width="15.5" style="24" customWidth="1"/>
    <col min="3" max="3" width="33" style="25" bestFit="1" customWidth="1"/>
    <col min="4" max="4" width="22" style="25" bestFit="1" customWidth="1"/>
    <col min="5" max="5" width="9.75" style="25" bestFit="1" customWidth="1"/>
    <col min="6" max="6" width="9.25" style="26" bestFit="1" customWidth="1"/>
    <col min="7" max="7" width="15.25" style="26" bestFit="1" customWidth="1"/>
    <col min="8" max="8" width="8.75" style="26" bestFit="1" customWidth="1"/>
    <col min="9" max="9" width="8.125" style="26" bestFit="1" customWidth="1"/>
    <col min="10" max="10" width="19.5" style="26" bestFit="1" customWidth="1"/>
    <col min="11" max="11" width="23.875" style="26" bestFit="1" customWidth="1"/>
    <col min="12" max="12" width="11.875" style="81" customWidth="1"/>
    <col min="13" max="13" width="10.125" style="81" bestFit="1" customWidth="1"/>
    <col min="14" max="15" width="13.75" style="216" customWidth="1"/>
    <col min="16" max="17" width="15.5" style="216" customWidth="1"/>
    <col min="18" max="18" width="18.125" style="7" bestFit="1" customWidth="1"/>
    <col min="19" max="19" width="15" style="7" customWidth="1"/>
    <col min="20" max="20" width="7.5" style="7" bestFit="1" customWidth="1"/>
    <col min="21" max="21" width="8.125" style="7" bestFit="1" customWidth="1"/>
    <col min="22" max="22" width="8.625" style="7"/>
    <col min="23" max="23" width="16.25" style="82" bestFit="1" customWidth="1"/>
    <col min="30" max="16384" width="8.625" style="7"/>
  </cols>
  <sheetData>
    <row r="1" spans="1:29" s="15" customFormat="1" ht="40.9" customHeight="1" x14ac:dyDescent="0.25">
      <c r="A1" s="64" t="s">
        <v>111</v>
      </c>
      <c r="B1" s="65" t="s">
        <v>102</v>
      </c>
      <c r="C1" s="65" t="s">
        <v>112</v>
      </c>
      <c r="D1" s="66" t="s">
        <v>113</v>
      </c>
      <c r="E1" s="67" t="s">
        <v>103</v>
      </c>
      <c r="F1" s="68" t="s">
        <v>104</v>
      </c>
      <c r="G1" s="68" t="s">
        <v>109</v>
      </c>
      <c r="H1" s="68" t="s">
        <v>105</v>
      </c>
      <c r="I1" s="68" t="s">
        <v>106</v>
      </c>
      <c r="J1" s="68" t="s">
        <v>114</v>
      </c>
      <c r="K1" s="65" t="s">
        <v>115</v>
      </c>
      <c r="L1" s="69" t="s">
        <v>110</v>
      </c>
      <c r="M1" s="70" t="s">
        <v>0</v>
      </c>
    </row>
    <row r="2" spans="1:29" ht="30" customHeight="1" x14ac:dyDescent="0.25">
      <c r="A2" s="71" t="s">
        <v>120</v>
      </c>
      <c r="B2" s="17">
        <v>46039</v>
      </c>
      <c r="C2" s="18" t="s">
        <v>354</v>
      </c>
      <c r="D2" s="51" t="s">
        <v>684</v>
      </c>
      <c r="E2" s="72">
        <v>8</v>
      </c>
      <c r="F2" s="73"/>
      <c r="G2" s="73">
        <v>30</v>
      </c>
      <c r="H2" s="73">
        <v>15</v>
      </c>
      <c r="I2" s="73">
        <v>15</v>
      </c>
      <c r="J2" s="74">
        <v>500</v>
      </c>
      <c r="K2" s="1">
        <f>Inventory_List_Table34112022[[#This Row],[Q]]*Inventory_List_Table34112022[[#This Row],[Per piece MXN$]]</f>
        <v>4000</v>
      </c>
      <c r="L2" s="22" t="s">
        <v>551</v>
      </c>
      <c r="M2" s="22" t="s">
        <v>550</v>
      </c>
      <c r="N2"/>
      <c r="O2"/>
      <c r="P2"/>
      <c r="Q2"/>
      <c r="R2"/>
      <c r="S2"/>
      <c r="W2" s="7"/>
      <c r="X2" s="7"/>
      <c r="Y2" s="7"/>
      <c r="Z2" s="7"/>
      <c r="AA2" s="7"/>
      <c r="AB2" s="7"/>
      <c r="AC2" s="7"/>
    </row>
    <row r="3" spans="1:29" ht="30" customHeight="1" x14ac:dyDescent="0.25">
      <c r="A3" s="71" t="s">
        <v>121</v>
      </c>
      <c r="B3" s="17">
        <v>46039</v>
      </c>
      <c r="C3" s="18" t="s">
        <v>354</v>
      </c>
      <c r="D3" s="51" t="s">
        <v>685</v>
      </c>
      <c r="E3" s="72">
        <v>15</v>
      </c>
      <c r="F3" s="73"/>
      <c r="G3" s="73">
        <v>35</v>
      </c>
      <c r="H3" s="73">
        <v>15</v>
      </c>
      <c r="I3" s="73">
        <v>15</v>
      </c>
      <c r="J3" s="74">
        <v>575</v>
      </c>
      <c r="K3" s="1">
        <f>Inventory_List_Table34112022[[#This Row],[Q]]*Inventory_List_Table34112022[[#This Row],[Per piece MXN$]]</f>
        <v>8625</v>
      </c>
      <c r="L3" s="22" t="s">
        <v>527</v>
      </c>
      <c r="M3" s="22" t="s">
        <v>673</v>
      </c>
      <c r="N3"/>
      <c r="O3"/>
      <c r="P3"/>
      <c r="Q3"/>
      <c r="R3"/>
      <c r="S3"/>
      <c r="W3" s="7"/>
      <c r="X3" s="7"/>
      <c r="Y3" s="7"/>
      <c r="Z3" s="7"/>
      <c r="AA3" s="7"/>
      <c r="AB3" s="7"/>
      <c r="AC3" s="7"/>
    </row>
    <row r="4" spans="1:29" ht="30" customHeight="1" x14ac:dyDescent="0.25">
      <c r="A4" s="71" t="s">
        <v>122</v>
      </c>
      <c r="B4" s="17">
        <v>46039</v>
      </c>
      <c r="C4" s="18" t="s">
        <v>355</v>
      </c>
      <c r="D4" s="51" t="s">
        <v>686</v>
      </c>
      <c r="E4" s="72">
        <v>18</v>
      </c>
      <c r="F4" s="73"/>
      <c r="G4" s="73">
        <v>40</v>
      </c>
      <c r="H4" s="73">
        <v>15</v>
      </c>
      <c r="I4" s="73">
        <v>15</v>
      </c>
      <c r="J4" s="74">
        <v>650</v>
      </c>
      <c r="K4" s="1">
        <f>Inventory_List_Table34112022[[#This Row],[Q]]*Inventory_List_Table34112022[[#This Row],[Per piece MXN$]]</f>
        <v>11700</v>
      </c>
      <c r="L4" s="22" t="s">
        <v>554</v>
      </c>
      <c r="M4" s="22" t="s">
        <v>576</v>
      </c>
      <c r="N4"/>
      <c r="O4"/>
      <c r="P4"/>
      <c r="Q4"/>
      <c r="R4"/>
      <c r="S4"/>
      <c r="W4" s="7"/>
      <c r="X4" s="7"/>
      <c r="Y4" s="7"/>
      <c r="Z4" s="7"/>
      <c r="AA4" s="7"/>
      <c r="AB4" s="7"/>
      <c r="AC4" s="7"/>
    </row>
    <row r="5" spans="1:29" ht="30" customHeight="1" x14ac:dyDescent="0.25">
      <c r="A5" s="71" t="s">
        <v>123</v>
      </c>
      <c r="B5" s="17">
        <v>46039</v>
      </c>
      <c r="C5" s="18" t="s">
        <v>354</v>
      </c>
      <c r="D5" s="51" t="s">
        <v>687</v>
      </c>
      <c r="E5" s="72">
        <v>12</v>
      </c>
      <c r="F5" s="73"/>
      <c r="G5" s="73">
        <v>40</v>
      </c>
      <c r="H5" s="73">
        <v>15</v>
      </c>
      <c r="I5" s="73">
        <v>15</v>
      </c>
      <c r="J5" s="74">
        <v>650</v>
      </c>
      <c r="K5" s="1">
        <f>Inventory_List_Table34112022[[#This Row],[Q]]*Inventory_List_Table34112022[[#This Row],[Per piece MXN$]]</f>
        <v>7800</v>
      </c>
      <c r="L5" s="22" t="s">
        <v>554</v>
      </c>
      <c r="M5" s="22" t="s">
        <v>576</v>
      </c>
      <c r="N5"/>
      <c r="O5"/>
      <c r="P5"/>
      <c r="Q5"/>
      <c r="R5"/>
      <c r="S5"/>
      <c r="W5" s="7"/>
      <c r="X5" s="7"/>
      <c r="Y5" s="7"/>
      <c r="Z5" s="7"/>
      <c r="AA5" s="7"/>
      <c r="AB5" s="7"/>
      <c r="AC5" s="7"/>
    </row>
    <row r="6" spans="1:29" ht="30" customHeight="1" x14ac:dyDescent="0.25">
      <c r="A6" s="71" t="s">
        <v>124</v>
      </c>
      <c r="B6" s="17">
        <v>46039</v>
      </c>
      <c r="C6" s="18" t="s">
        <v>356</v>
      </c>
      <c r="D6" s="51" t="s">
        <v>688</v>
      </c>
      <c r="E6" s="72">
        <v>3</v>
      </c>
      <c r="F6" s="73"/>
      <c r="G6" s="73">
        <v>45</v>
      </c>
      <c r="H6" s="73">
        <v>15</v>
      </c>
      <c r="I6" s="73">
        <v>15</v>
      </c>
      <c r="J6" s="74">
        <v>725</v>
      </c>
      <c r="K6" s="1">
        <f>Inventory_List_Table34112022[[#This Row],[Q]]*Inventory_List_Table34112022[[#This Row],[Per piece MXN$]]</f>
        <v>2175</v>
      </c>
      <c r="L6" s="22" t="s">
        <v>689</v>
      </c>
      <c r="M6" s="22" t="s">
        <v>567</v>
      </c>
      <c r="N6"/>
      <c r="O6"/>
      <c r="P6"/>
      <c r="Q6"/>
      <c r="R6"/>
      <c r="S6"/>
      <c r="W6" s="7"/>
      <c r="X6" s="7"/>
      <c r="Y6" s="7"/>
      <c r="Z6" s="7"/>
      <c r="AA6" s="7"/>
      <c r="AB6" s="7"/>
      <c r="AC6" s="7"/>
    </row>
    <row r="7" spans="1:29" ht="30" customHeight="1" x14ac:dyDescent="0.25">
      <c r="A7" s="71" t="s">
        <v>125</v>
      </c>
      <c r="B7" s="17">
        <v>46039</v>
      </c>
      <c r="C7" s="18" t="s">
        <v>357</v>
      </c>
      <c r="D7" s="51" t="s">
        <v>690</v>
      </c>
      <c r="E7" s="72">
        <v>7</v>
      </c>
      <c r="F7" s="73"/>
      <c r="G7" s="73">
        <v>40</v>
      </c>
      <c r="H7" s="73">
        <v>15</v>
      </c>
      <c r="I7" s="73">
        <v>15</v>
      </c>
      <c r="J7" s="74">
        <v>650</v>
      </c>
      <c r="K7" s="1">
        <f>Inventory_List_Table34112022[[#This Row],[Q]]*Inventory_List_Table34112022[[#This Row],[Per piece MXN$]]</f>
        <v>4550</v>
      </c>
      <c r="L7" s="22" t="s">
        <v>554</v>
      </c>
      <c r="M7" s="22" t="s">
        <v>576</v>
      </c>
      <c r="N7"/>
      <c r="O7"/>
      <c r="P7"/>
      <c r="Q7"/>
      <c r="R7"/>
      <c r="S7"/>
      <c r="W7" s="7"/>
      <c r="X7" s="7"/>
      <c r="Y7" s="7"/>
      <c r="Z7" s="7"/>
      <c r="AA7" s="7"/>
      <c r="AB7" s="7"/>
      <c r="AC7" s="7"/>
    </row>
    <row r="8" spans="1:29" ht="30" customHeight="1" x14ac:dyDescent="0.25">
      <c r="A8" s="71" t="s">
        <v>126</v>
      </c>
      <c r="B8" s="17">
        <v>46039</v>
      </c>
      <c r="C8" s="18" t="s">
        <v>358</v>
      </c>
      <c r="D8" s="51" t="s">
        <v>691</v>
      </c>
      <c r="E8" s="72">
        <v>1</v>
      </c>
      <c r="F8" s="73"/>
      <c r="G8" s="73">
        <v>40</v>
      </c>
      <c r="H8" s="73">
        <v>15</v>
      </c>
      <c r="I8" s="73">
        <v>15</v>
      </c>
      <c r="J8" s="74">
        <v>650</v>
      </c>
      <c r="K8" s="1">
        <f>Inventory_List_Table34112022[[#This Row],[Q]]*Inventory_List_Table34112022[[#This Row],[Per piece MXN$]]</f>
        <v>650</v>
      </c>
      <c r="L8" s="22" t="s">
        <v>554</v>
      </c>
      <c r="M8" s="22" t="s">
        <v>576</v>
      </c>
      <c r="N8"/>
      <c r="O8"/>
      <c r="P8"/>
      <c r="Q8"/>
      <c r="R8"/>
      <c r="S8"/>
      <c r="W8" s="7"/>
      <c r="X8" s="7"/>
      <c r="Y8" s="7"/>
      <c r="Z8" s="7"/>
      <c r="AA8" s="7"/>
      <c r="AB8" s="7"/>
      <c r="AC8" s="7"/>
    </row>
    <row r="9" spans="1:29" ht="30" customHeight="1" x14ac:dyDescent="0.25">
      <c r="A9" s="71" t="s">
        <v>127</v>
      </c>
      <c r="B9" s="17">
        <v>46039</v>
      </c>
      <c r="C9" s="18" t="s">
        <v>355</v>
      </c>
      <c r="D9" s="51" t="s">
        <v>692</v>
      </c>
      <c r="E9" s="72">
        <v>1</v>
      </c>
      <c r="F9" s="73"/>
      <c r="G9" s="73">
        <v>50</v>
      </c>
      <c r="H9" s="73">
        <v>15</v>
      </c>
      <c r="I9" s="73">
        <v>15</v>
      </c>
      <c r="J9" s="74">
        <v>750</v>
      </c>
      <c r="K9" s="1">
        <f>Inventory_List_Table34112022[[#This Row],[Q]]*Inventory_List_Table34112022[[#This Row],[Per piece MXN$]]</f>
        <v>750</v>
      </c>
      <c r="L9" s="22" t="s">
        <v>525</v>
      </c>
      <c r="M9" s="22" t="s">
        <v>524</v>
      </c>
      <c r="N9"/>
      <c r="O9"/>
      <c r="P9"/>
      <c r="Q9"/>
      <c r="R9"/>
      <c r="S9"/>
      <c r="W9" s="7"/>
      <c r="X9" s="7"/>
      <c r="Y9" s="7"/>
      <c r="Z9" s="7"/>
      <c r="AA9" s="7"/>
      <c r="AB9" s="7"/>
      <c r="AC9" s="7"/>
    </row>
    <row r="10" spans="1:29" ht="30" customHeight="1" x14ac:dyDescent="0.25">
      <c r="A10" s="71" t="s">
        <v>128</v>
      </c>
      <c r="B10" s="17">
        <v>46039</v>
      </c>
      <c r="C10" s="18" t="s">
        <v>355</v>
      </c>
      <c r="D10" s="51" t="s">
        <v>693</v>
      </c>
      <c r="E10" s="72">
        <v>3</v>
      </c>
      <c r="F10" s="73"/>
      <c r="G10" s="73">
        <v>30</v>
      </c>
      <c r="H10" s="73">
        <v>15</v>
      </c>
      <c r="I10" s="73">
        <v>15</v>
      </c>
      <c r="J10" s="74">
        <v>500</v>
      </c>
      <c r="K10" s="1">
        <f>Inventory_List_Table34112022[[#This Row],[Q]]*Inventory_List_Table34112022[[#This Row],[Per piece MXN$]]</f>
        <v>1500</v>
      </c>
      <c r="L10" s="22" t="s">
        <v>551</v>
      </c>
      <c r="M10" s="22" t="s">
        <v>550</v>
      </c>
      <c r="N10"/>
      <c r="O10"/>
      <c r="P10"/>
      <c r="Q10"/>
      <c r="R10"/>
      <c r="S10"/>
      <c r="W10" s="7"/>
      <c r="X10" s="7"/>
      <c r="Y10" s="7"/>
      <c r="Z10" s="7"/>
      <c r="AA10" s="7"/>
      <c r="AB10" s="7"/>
      <c r="AC10" s="7"/>
    </row>
    <row r="11" spans="1:29" ht="30" customHeight="1" x14ac:dyDescent="0.25">
      <c r="A11" s="71" t="s">
        <v>129</v>
      </c>
      <c r="B11" s="17">
        <v>46039</v>
      </c>
      <c r="C11" s="18" t="s">
        <v>359</v>
      </c>
      <c r="D11" s="51" t="s">
        <v>694</v>
      </c>
      <c r="E11" s="72">
        <v>2</v>
      </c>
      <c r="F11" s="73"/>
      <c r="G11" s="73">
        <v>30</v>
      </c>
      <c r="H11" s="73">
        <v>15</v>
      </c>
      <c r="I11" s="73">
        <v>15</v>
      </c>
      <c r="J11" s="74">
        <v>500</v>
      </c>
      <c r="K11" s="1">
        <f>Inventory_List_Table34112022[[#This Row],[Q]]*Inventory_List_Table34112022[[#This Row],[Per piece MXN$]]</f>
        <v>1000</v>
      </c>
      <c r="L11" s="22" t="s">
        <v>551</v>
      </c>
      <c r="M11" s="22" t="s">
        <v>550</v>
      </c>
      <c r="N11"/>
      <c r="O11"/>
      <c r="P11"/>
      <c r="Q11"/>
      <c r="R11"/>
      <c r="S11"/>
      <c r="W11" s="7"/>
      <c r="X11" s="7"/>
      <c r="Y11" s="7"/>
      <c r="Z11" s="7"/>
      <c r="AA11" s="7"/>
      <c r="AB11" s="7"/>
      <c r="AC11" s="7"/>
    </row>
    <row r="12" spans="1:29" ht="30" customHeight="1" x14ac:dyDescent="0.25">
      <c r="A12" s="71" t="s">
        <v>130</v>
      </c>
      <c r="B12" s="17">
        <v>46039</v>
      </c>
      <c r="C12" s="18" t="s">
        <v>358</v>
      </c>
      <c r="D12" s="51" t="s">
        <v>695</v>
      </c>
      <c r="E12" s="72">
        <v>1</v>
      </c>
      <c r="F12" s="73"/>
      <c r="G12" s="73">
        <v>50</v>
      </c>
      <c r="H12" s="73">
        <v>15</v>
      </c>
      <c r="I12" s="73">
        <v>15</v>
      </c>
      <c r="J12" s="74">
        <v>750</v>
      </c>
      <c r="K12" s="1">
        <f>Inventory_List_Table34112022[[#This Row],[Q]]*Inventory_List_Table34112022[[#This Row],[Per piece MXN$]]</f>
        <v>750</v>
      </c>
      <c r="L12" s="22" t="s">
        <v>525</v>
      </c>
      <c r="M12" s="22" t="s">
        <v>524</v>
      </c>
      <c r="N12"/>
      <c r="O12"/>
      <c r="P12"/>
      <c r="Q12"/>
      <c r="R12"/>
      <c r="S12"/>
      <c r="W12" s="7"/>
      <c r="X12" s="7"/>
      <c r="Y12" s="7"/>
      <c r="Z12" s="7"/>
      <c r="AA12" s="7"/>
      <c r="AB12" s="7"/>
      <c r="AC12" s="7"/>
    </row>
    <row r="13" spans="1:29" ht="30" customHeight="1" x14ac:dyDescent="0.25">
      <c r="A13" s="71" t="s">
        <v>131</v>
      </c>
      <c r="B13" s="17">
        <v>46039</v>
      </c>
      <c r="C13" s="18" t="s">
        <v>360</v>
      </c>
      <c r="D13" s="51" t="s">
        <v>696</v>
      </c>
      <c r="E13" s="72">
        <v>1</v>
      </c>
      <c r="F13" s="73"/>
      <c r="G13" s="73">
        <v>45</v>
      </c>
      <c r="H13" s="73">
        <v>15</v>
      </c>
      <c r="I13" s="73">
        <v>15</v>
      </c>
      <c r="J13" s="74">
        <v>725</v>
      </c>
      <c r="K13" s="1">
        <f>Inventory_List_Table34112022[[#This Row],[Q]]*Inventory_List_Table34112022[[#This Row],[Per piece MXN$]]</f>
        <v>725</v>
      </c>
      <c r="L13" s="22" t="s">
        <v>689</v>
      </c>
      <c r="M13" s="22" t="s">
        <v>567</v>
      </c>
      <c r="N13"/>
      <c r="O13"/>
      <c r="P13"/>
      <c r="Q13"/>
      <c r="R13"/>
      <c r="S13"/>
      <c r="W13" s="7"/>
      <c r="X13" s="7"/>
      <c r="Y13" s="7"/>
      <c r="Z13" s="7"/>
      <c r="AA13" s="7"/>
      <c r="AB13" s="7"/>
      <c r="AC13" s="7"/>
    </row>
    <row r="14" spans="1:29" ht="30" customHeight="1" x14ac:dyDescent="0.25">
      <c r="A14" s="71" t="s">
        <v>132</v>
      </c>
      <c r="B14" s="17">
        <v>46039</v>
      </c>
      <c r="C14" s="18" t="s">
        <v>355</v>
      </c>
      <c r="D14" s="51" t="s">
        <v>697</v>
      </c>
      <c r="E14" s="72">
        <v>2</v>
      </c>
      <c r="F14" s="73"/>
      <c r="G14" s="73">
        <v>45</v>
      </c>
      <c r="H14" s="73">
        <v>15</v>
      </c>
      <c r="I14" s="73">
        <v>15</v>
      </c>
      <c r="J14" s="74">
        <v>725</v>
      </c>
      <c r="K14" s="1">
        <f>Inventory_List_Table34112022[[#This Row],[Q]]*Inventory_List_Table34112022[[#This Row],[Per piece MXN$]]</f>
        <v>1450</v>
      </c>
      <c r="L14" s="22" t="s">
        <v>689</v>
      </c>
      <c r="M14" s="22" t="s">
        <v>567</v>
      </c>
      <c r="N14"/>
      <c r="O14"/>
      <c r="P14"/>
      <c r="Q14"/>
      <c r="R14"/>
      <c r="S14"/>
      <c r="W14" s="7"/>
      <c r="X14" s="7"/>
      <c r="Y14" s="7"/>
      <c r="Z14" s="7"/>
      <c r="AA14" s="7"/>
      <c r="AB14" s="7"/>
      <c r="AC14" s="7"/>
    </row>
    <row r="15" spans="1:29" ht="30" customHeight="1" x14ac:dyDescent="0.25">
      <c r="A15" s="71" t="s">
        <v>133</v>
      </c>
      <c r="B15" s="17">
        <v>46039</v>
      </c>
      <c r="C15" s="18" t="s">
        <v>359</v>
      </c>
      <c r="D15" s="51" t="s">
        <v>698</v>
      </c>
      <c r="E15" s="72">
        <v>1</v>
      </c>
      <c r="F15" s="73"/>
      <c r="G15" s="73">
        <v>35</v>
      </c>
      <c r="H15" s="73">
        <v>15</v>
      </c>
      <c r="I15" s="73">
        <v>15</v>
      </c>
      <c r="J15" s="74">
        <v>575</v>
      </c>
      <c r="K15" s="1">
        <f>Inventory_List_Table34112022[[#This Row],[Q]]*Inventory_List_Table34112022[[#This Row],[Per piece MXN$]]</f>
        <v>575</v>
      </c>
      <c r="L15" s="22" t="s">
        <v>527</v>
      </c>
      <c r="M15" s="22" t="s">
        <v>673</v>
      </c>
      <c r="N15"/>
      <c r="O15"/>
      <c r="P15"/>
      <c r="Q15"/>
      <c r="R15"/>
      <c r="S15"/>
      <c r="W15" s="7"/>
      <c r="X15" s="7"/>
      <c r="Y15" s="7"/>
      <c r="Z15" s="7"/>
      <c r="AA15" s="7"/>
      <c r="AB15" s="7"/>
      <c r="AC15" s="7"/>
    </row>
    <row r="16" spans="1:29" ht="30" customHeight="1" x14ac:dyDescent="0.25">
      <c r="A16" s="71" t="s">
        <v>134</v>
      </c>
      <c r="B16" s="17">
        <v>46039</v>
      </c>
      <c r="C16" s="18" t="s">
        <v>358</v>
      </c>
      <c r="D16" s="51" t="s">
        <v>699</v>
      </c>
      <c r="E16" s="72">
        <v>1</v>
      </c>
      <c r="F16" s="73"/>
      <c r="G16" s="73">
        <v>35</v>
      </c>
      <c r="H16" s="73">
        <v>15</v>
      </c>
      <c r="I16" s="73">
        <v>15</v>
      </c>
      <c r="J16" s="74">
        <v>575</v>
      </c>
      <c r="K16" s="1">
        <f>Inventory_List_Table34112022[[#This Row],[Q]]*Inventory_List_Table34112022[[#This Row],[Per piece MXN$]]</f>
        <v>575</v>
      </c>
      <c r="L16" s="22" t="s">
        <v>527</v>
      </c>
      <c r="M16" s="22" t="s">
        <v>673</v>
      </c>
      <c r="N16"/>
      <c r="O16"/>
      <c r="P16"/>
      <c r="Q16"/>
      <c r="R16"/>
      <c r="S16"/>
      <c r="W16" s="7"/>
      <c r="X16" s="7"/>
      <c r="Y16" s="7"/>
      <c r="Z16" s="7"/>
      <c r="AA16" s="7"/>
      <c r="AB16" s="7"/>
      <c r="AC16" s="7"/>
    </row>
    <row r="17" spans="1:29" ht="30" customHeight="1" x14ac:dyDescent="0.25">
      <c r="A17" s="71" t="s">
        <v>135</v>
      </c>
      <c r="B17" s="17">
        <v>46039</v>
      </c>
      <c r="C17" s="18" t="s">
        <v>361</v>
      </c>
      <c r="D17" s="51" t="s">
        <v>700</v>
      </c>
      <c r="E17" s="72">
        <v>1</v>
      </c>
      <c r="F17" s="73"/>
      <c r="G17" s="73">
        <v>30</v>
      </c>
      <c r="H17" s="73">
        <v>15</v>
      </c>
      <c r="I17" s="73">
        <v>15</v>
      </c>
      <c r="J17" s="74">
        <v>500</v>
      </c>
      <c r="K17" s="1">
        <f>Inventory_List_Table34112022[[#This Row],[Q]]*Inventory_List_Table34112022[[#This Row],[Per piece MXN$]]</f>
        <v>500</v>
      </c>
      <c r="L17" s="22" t="s">
        <v>551</v>
      </c>
      <c r="M17" s="22" t="s">
        <v>550</v>
      </c>
      <c r="N17"/>
      <c r="O17"/>
      <c r="P17"/>
      <c r="Q17"/>
      <c r="R17"/>
      <c r="S17"/>
      <c r="W17" s="7"/>
      <c r="X17" s="7"/>
      <c r="Y17" s="7"/>
      <c r="Z17" s="7"/>
      <c r="AA17" s="7"/>
      <c r="AB17" s="7"/>
      <c r="AC17" s="7"/>
    </row>
    <row r="18" spans="1:29" ht="30" customHeight="1" x14ac:dyDescent="0.25">
      <c r="A18" s="71" t="s">
        <v>136</v>
      </c>
      <c r="B18" s="17">
        <v>46039</v>
      </c>
      <c r="C18" s="18" t="s">
        <v>354</v>
      </c>
      <c r="D18" s="51" t="s">
        <v>701</v>
      </c>
      <c r="E18" s="72">
        <v>3</v>
      </c>
      <c r="F18" s="73"/>
      <c r="G18" s="73">
        <v>45</v>
      </c>
      <c r="H18" s="73">
        <v>15</v>
      </c>
      <c r="I18" s="73">
        <v>15</v>
      </c>
      <c r="J18" s="74">
        <v>725</v>
      </c>
      <c r="K18" s="1">
        <f>Inventory_List_Table34112022[[#This Row],[Q]]*Inventory_List_Table34112022[[#This Row],[Per piece MXN$]]</f>
        <v>2175</v>
      </c>
      <c r="L18" s="22" t="s">
        <v>689</v>
      </c>
      <c r="M18" s="22" t="s">
        <v>567</v>
      </c>
      <c r="N18"/>
      <c r="O18"/>
      <c r="P18"/>
      <c r="Q18"/>
      <c r="R18"/>
      <c r="S18"/>
      <c r="W18" s="7"/>
      <c r="X18" s="7"/>
      <c r="Y18" s="7"/>
      <c r="Z18" s="7"/>
      <c r="AA18" s="7"/>
      <c r="AB18" s="7"/>
      <c r="AC18" s="7"/>
    </row>
    <row r="19" spans="1:29" ht="30" customHeight="1" x14ac:dyDescent="0.25">
      <c r="A19" s="71" t="s">
        <v>137</v>
      </c>
      <c r="B19" s="17">
        <v>46039</v>
      </c>
      <c r="C19" s="18" t="s">
        <v>362</v>
      </c>
      <c r="D19" s="51" t="s">
        <v>702</v>
      </c>
      <c r="E19" s="72">
        <v>6</v>
      </c>
      <c r="F19" s="73"/>
      <c r="G19" s="73">
        <v>50</v>
      </c>
      <c r="H19" s="73">
        <v>15</v>
      </c>
      <c r="I19" s="73">
        <v>15</v>
      </c>
      <c r="J19" s="74">
        <v>750</v>
      </c>
      <c r="K19" s="1">
        <f>Inventory_List_Table34112022[[#This Row],[Q]]*Inventory_List_Table34112022[[#This Row],[Per piece MXN$]]</f>
        <v>4500</v>
      </c>
      <c r="L19" s="22" t="s">
        <v>525</v>
      </c>
      <c r="M19" s="22" t="s">
        <v>524</v>
      </c>
      <c r="N19"/>
      <c r="O19"/>
      <c r="P19"/>
      <c r="Q19"/>
      <c r="R19"/>
      <c r="S19"/>
      <c r="W19" s="7"/>
      <c r="X19" s="7"/>
      <c r="Y19" s="7"/>
      <c r="Z19" s="7"/>
      <c r="AA19" s="7"/>
      <c r="AB19" s="7"/>
      <c r="AC19" s="7"/>
    </row>
    <row r="20" spans="1:29" ht="30" customHeight="1" x14ac:dyDescent="0.25">
      <c r="A20" s="71" t="s">
        <v>138</v>
      </c>
      <c r="B20" s="17">
        <v>46039</v>
      </c>
      <c r="C20" s="18" t="s">
        <v>362</v>
      </c>
      <c r="D20" s="51" t="s">
        <v>703</v>
      </c>
      <c r="E20" s="72">
        <v>1</v>
      </c>
      <c r="F20" s="73"/>
      <c r="G20" s="73">
        <v>55</v>
      </c>
      <c r="H20" s="73">
        <v>15</v>
      </c>
      <c r="I20" s="73">
        <v>15</v>
      </c>
      <c r="J20" s="74">
        <v>875</v>
      </c>
      <c r="K20" s="1">
        <f>Inventory_List_Table34112022[[#This Row],[Q]]*Inventory_List_Table34112022[[#This Row],[Per piece MXN$]]</f>
        <v>875</v>
      </c>
      <c r="L20" s="22" t="s">
        <v>616</v>
      </c>
      <c r="M20" s="22" t="s">
        <v>639</v>
      </c>
      <c r="N20"/>
      <c r="O20"/>
      <c r="P20"/>
      <c r="Q20"/>
      <c r="R20"/>
      <c r="S20"/>
      <c r="W20" s="7"/>
      <c r="X20" s="7"/>
      <c r="Y20" s="7"/>
      <c r="Z20" s="7"/>
      <c r="AA20" s="7"/>
      <c r="AB20" s="7"/>
      <c r="AC20" s="7"/>
    </row>
    <row r="21" spans="1:29" ht="30" customHeight="1" x14ac:dyDescent="0.25">
      <c r="A21" s="71" t="s">
        <v>139</v>
      </c>
      <c r="B21" s="17">
        <v>46039</v>
      </c>
      <c r="C21" s="18" t="s">
        <v>362</v>
      </c>
      <c r="D21" s="51" t="s">
        <v>704</v>
      </c>
      <c r="E21" s="72">
        <v>7</v>
      </c>
      <c r="F21" s="73"/>
      <c r="G21" s="73">
        <v>60</v>
      </c>
      <c r="H21" s="73">
        <v>15</v>
      </c>
      <c r="I21" s="73">
        <v>15</v>
      </c>
      <c r="J21" s="74">
        <v>950</v>
      </c>
      <c r="K21" s="1">
        <f>Inventory_List_Table34112022[[#This Row],[Q]]*Inventory_List_Table34112022[[#This Row],[Per piece MXN$]]</f>
        <v>6650</v>
      </c>
      <c r="L21" s="22" t="s">
        <v>706</v>
      </c>
      <c r="M21" s="22" t="s">
        <v>705</v>
      </c>
      <c r="N21"/>
      <c r="O21"/>
      <c r="P21"/>
      <c r="Q21"/>
      <c r="R21"/>
      <c r="S21"/>
      <c r="W21" s="7"/>
      <c r="X21" s="7"/>
      <c r="Y21" s="7"/>
      <c r="Z21" s="7"/>
      <c r="AA21" s="7"/>
      <c r="AB21" s="7"/>
      <c r="AC21" s="7"/>
    </row>
    <row r="22" spans="1:29" ht="30" customHeight="1" x14ac:dyDescent="0.25">
      <c r="A22" s="71" t="s">
        <v>140</v>
      </c>
      <c r="B22" s="17">
        <v>46039</v>
      </c>
      <c r="C22" s="18" t="s">
        <v>362</v>
      </c>
      <c r="D22" s="51" t="s">
        <v>707</v>
      </c>
      <c r="E22" s="72">
        <v>2</v>
      </c>
      <c r="F22" s="73"/>
      <c r="G22" s="73">
        <v>65</v>
      </c>
      <c r="H22" s="73">
        <v>15</v>
      </c>
      <c r="I22" s="73">
        <v>15</v>
      </c>
      <c r="J22" s="74">
        <v>1025</v>
      </c>
      <c r="K22" s="1">
        <f>Inventory_List_Table34112022[[#This Row],[Q]]*Inventory_List_Table34112022[[#This Row],[Per piece MXN$]]</f>
        <v>2050</v>
      </c>
      <c r="L22" s="22" t="s">
        <v>579</v>
      </c>
      <c r="M22" s="22" t="s">
        <v>708</v>
      </c>
      <c r="N22"/>
      <c r="O22"/>
      <c r="P22"/>
      <c r="Q22"/>
      <c r="R22"/>
      <c r="S22"/>
      <c r="W22" s="7"/>
      <c r="X22" s="7"/>
      <c r="Y22" s="7"/>
      <c r="Z22" s="7"/>
      <c r="AA22" s="7"/>
      <c r="AB22" s="7"/>
      <c r="AC22" s="7"/>
    </row>
    <row r="23" spans="1:29" ht="30" customHeight="1" x14ac:dyDescent="0.25">
      <c r="A23" s="71" t="s">
        <v>141</v>
      </c>
      <c r="B23" s="17">
        <v>46039</v>
      </c>
      <c r="C23" s="18" t="s">
        <v>357</v>
      </c>
      <c r="D23" s="51" t="s">
        <v>709</v>
      </c>
      <c r="E23" s="72">
        <v>3</v>
      </c>
      <c r="F23" s="73"/>
      <c r="G23" s="73">
        <v>50</v>
      </c>
      <c r="H23" s="73">
        <v>15</v>
      </c>
      <c r="I23" s="73">
        <v>15</v>
      </c>
      <c r="J23" s="74">
        <v>750</v>
      </c>
      <c r="K23" s="1">
        <f>Inventory_List_Table34112022[[#This Row],[Q]]*Inventory_List_Table34112022[[#This Row],[Per piece MXN$]]</f>
        <v>2250</v>
      </c>
      <c r="L23" s="22" t="s">
        <v>525</v>
      </c>
      <c r="M23" s="22" t="s">
        <v>524</v>
      </c>
      <c r="N23"/>
      <c r="O23"/>
      <c r="P23"/>
      <c r="Q23"/>
      <c r="R23"/>
      <c r="S23"/>
      <c r="W23" s="7"/>
      <c r="X23" s="7"/>
      <c r="Y23" s="7"/>
      <c r="Z23" s="7"/>
      <c r="AA23" s="7"/>
      <c r="AB23" s="7"/>
      <c r="AC23" s="7"/>
    </row>
    <row r="24" spans="1:29" ht="30" customHeight="1" x14ac:dyDescent="0.25">
      <c r="A24" s="71" t="s">
        <v>142</v>
      </c>
      <c r="B24" s="17">
        <v>46039</v>
      </c>
      <c r="C24" s="18" t="s">
        <v>357</v>
      </c>
      <c r="D24" s="51" t="s">
        <v>710</v>
      </c>
      <c r="E24" s="72">
        <v>2</v>
      </c>
      <c r="F24" s="73"/>
      <c r="G24" s="73">
        <v>60</v>
      </c>
      <c r="H24" s="73">
        <v>15</v>
      </c>
      <c r="I24" s="73">
        <v>15</v>
      </c>
      <c r="J24" s="74">
        <v>950</v>
      </c>
      <c r="K24" s="1">
        <f>Inventory_List_Table34112022[[#This Row],[Q]]*Inventory_List_Table34112022[[#This Row],[Per piece MXN$]]</f>
        <v>1900</v>
      </c>
      <c r="L24" s="22" t="s">
        <v>706</v>
      </c>
      <c r="M24" s="22" t="s">
        <v>705</v>
      </c>
      <c r="N24"/>
      <c r="O24"/>
      <c r="P24"/>
      <c r="Q24"/>
      <c r="R24"/>
      <c r="S24"/>
      <c r="W24" s="7"/>
      <c r="X24" s="7"/>
      <c r="Y24" s="7"/>
      <c r="Z24" s="7"/>
      <c r="AA24" s="7"/>
      <c r="AB24" s="7"/>
      <c r="AC24" s="7"/>
    </row>
    <row r="25" spans="1:29" s="76" customFormat="1" ht="30" customHeight="1" x14ac:dyDescent="0.25">
      <c r="A25" s="75" t="s">
        <v>143</v>
      </c>
      <c r="B25" s="17">
        <v>46039</v>
      </c>
      <c r="C25" s="18" t="s">
        <v>354</v>
      </c>
      <c r="D25" s="51" t="s">
        <v>711</v>
      </c>
      <c r="E25" s="72">
        <v>3</v>
      </c>
      <c r="F25" s="73"/>
      <c r="G25" s="73">
        <v>60</v>
      </c>
      <c r="H25" s="73">
        <v>15</v>
      </c>
      <c r="I25" s="73">
        <v>15</v>
      </c>
      <c r="J25" s="74">
        <v>950</v>
      </c>
      <c r="K25" s="1">
        <f>Inventory_List_Table34112022[[#This Row],[Q]]*Inventory_List_Table34112022[[#This Row],[Per piece MXN$]]</f>
        <v>2850</v>
      </c>
      <c r="L25" s="22" t="s">
        <v>706</v>
      </c>
      <c r="M25" s="22" t="s">
        <v>705</v>
      </c>
      <c r="N25"/>
      <c r="O25"/>
      <c r="P25"/>
      <c r="Q25"/>
      <c r="R25"/>
      <c r="S25"/>
    </row>
    <row r="26" spans="1:29" s="76" customFormat="1" ht="30" customHeight="1" x14ac:dyDescent="0.25">
      <c r="A26" s="75" t="s">
        <v>144</v>
      </c>
      <c r="B26" s="17">
        <v>46039</v>
      </c>
      <c r="C26" s="18" t="s">
        <v>354</v>
      </c>
      <c r="D26" s="51" t="s">
        <v>712</v>
      </c>
      <c r="E26" s="72">
        <v>3</v>
      </c>
      <c r="F26" s="73"/>
      <c r="G26" s="73">
        <v>65</v>
      </c>
      <c r="H26" s="73">
        <v>15</v>
      </c>
      <c r="I26" s="73">
        <v>15</v>
      </c>
      <c r="J26" s="74">
        <v>1025</v>
      </c>
      <c r="K26" s="1">
        <f>Inventory_List_Table34112022[[#This Row],[Q]]*Inventory_List_Table34112022[[#This Row],[Per piece MXN$]]</f>
        <v>3075</v>
      </c>
      <c r="L26" s="22" t="s">
        <v>579</v>
      </c>
      <c r="M26" s="22" t="s">
        <v>708</v>
      </c>
      <c r="N26"/>
      <c r="O26"/>
      <c r="P26"/>
      <c r="Q26"/>
      <c r="R26"/>
      <c r="S26"/>
    </row>
    <row r="27" spans="1:29" ht="30" customHeight="1" x14ac:dyDescent="0.25">
      <c r="A27" s="75" t="s">
        <v>156</v>
      </c>
      <c r="B27" s="17">
        <v>46039</v>
      </c>
      <c r="C27" s="18" t="s">
        <v>357</v>
      </c>
      <c r="D27" s="51" t="s">
        <v>713</v>
      </c>
      <c r="E27" s="77">
        <v>1</v>
      </c>
      <c r="F27" s="78"/>
      <c r="G27" s="78">
        <v>55</v>
      </c>
      <c r="H27" s="78">
        <v>15</v>
      </c>
      <c r="I27" s="78">
        <v>15</v>
      </c>
      <c r="J27" s="79">
        <v>875</v>
      </c>
      <c r="K27" s="80">
        <f>Inventory_List_Table34112022[[#This Row],[Q]]*Inventory_List_Table34112022[[#This Row],[Per piece MXN$]]</f>
        <v>875</v>
      </c>
      <c r="L27" s="22" t="s">
        <v>616</v>
      </c>
      <c r="M27" s="22" t="s">
        <v>639</v>
      </c>
      <c r="N27"/>
      <c r="O27"/>
      <c r="P27"/>
      <c r="Q27"/>
      <c r="R27"/>
      <c r="S27"/>
      <c r="W27" s="7"/>
      <c r="X27" s="7"/>
      <c r="Y27" s="7"/>
      <c r="Z27" s="7"/>
      <c r="AA27" s="7"/>
      <c r="AB27" s="7"/>
      <c r="AC27" s="7"/>
    </row>
    <row r="28" spans="1:29" ht="30" customHeight="1" x14ac:dyDescent="0.25">
      <c r="A28" s="75" t="s">
        <v>157</v>
      </c>
      <c r="B28" s="17">
        <v>46039</v>
      </c>
      <c r="C28" s="18" t="s">
        <v>358</v>
      </c>
      <c r="D28" s="51" t="s">
        <v>714</v>
      </c>
      <c r="E28" s="77">
        <v>1</v>
      </c>
      <c r="F28" s="78"/>
      <c r="G28" s="78">
        <v>50</v>
      </c>
      <c r="H28" s="78">
        <v>15</v>
      </c>
      <c r="I28" s="78">
        <v>15</v>
      </c>
      <c r="J28" s="79">
        <v>750</v>
      </c>
      <c r="K28" s="80">
        <f>Inventory_List_Table34112022[[#This Row],[Q]]*Inventory_List_Table34112022[[#This Row],[Per piece MXN$]]</f>
        <v>750</v>
      </c>
      <c r="L28" s="22" t="s">
        <v>525</v>
      </c>
      <c r="M28" s="22" t="s">
        <v>524</v>
      </c>
      <c r="N28"/>
      <c r="O28"/>
      <c r="P28"/>
      <c r="Q28"/>
      <c r="R28"/>
      <c r="S28"/>
      <c r="W28" s="7"/>
      <c r="X28" s="7"/>
      <c r="Y28" s="7"/>
      <c r="Z28" s="7"/>
      <c r="AA28" s="7"/>
      <c r="AB28" s="7"/>
      <c r="AC28" s="7"/>
    </row>
    <row r="29" spans="1:29" ht="30" customHeight="1" x14ac:dyDescent="0.25">
      <c r="A29" s="75" t="s">
        <v>158</v>
      </c>
      <c r="B29" s="17">
        <v>46039</v>
      </c>
      <c r="C29" s="18" t="s">
        <v>363</v>
      </c>
      <c r="D29" s="51" t="s">
        <v>715</v>
      </c>
      <c r="E29" s="77">
        <v>1</v>
      </c>
      <c r="F29" s="78"/>
      <c r="G29" s="78">
        <v>50</v>
      </c>
      <c r="H29" s="78">
        <v>15</v>
      </c>
      <c r="I29" s="78">
        <v>15</v>
      </c>
      <c r="J29" s="79">
        <v>750</v>
      </c>
      <c r="K29" s="80">
        <f>Inventory_List_Table34112022[[#This Row],[Q]]*Inventory_List_Table34112022[[#This Row],[Per piece MXN$]]</f>
        <v>750</v>
      </c>
      <c r="L29" s="22" t="s">
        <v>525</v>
      </c>
      <c r="M29" s="22" t="s">
        <v>524</v>
      </c>
      <c r="N29"/>
      <c r="O29"/>
      <c r="P29"/>
      <c r="Q29"/>
      <c r="R29"/>
      <c r="S29"/>
      <c r="W29" s="7"/>
      <c r="X29" s="7"/>
      <c r="Y29" s="7"/>
      <c r="Z29" s="7"/>
      <c r="AA29" s="7"/>
      <c r="AB29" s="7"/>
      <c r="AC29" s="7"/>
    </row>
    <row r="30" spans="1:29" ht="30" customHeight="1" x14ac:dyDescent="0.25">
      <c r="A30" s="75" t="s">
        <v>159</v>
      </c>
      <c r="B30" s="17">
        <v>46039</v>
      </c>
      <c r="C30" s="18" t="s">
        <v>359</v>
      </c>
      <c r="D30" s="51" t="s">
        <v>716</v>
      </c>
      <c r="E30" s="77">
        <v>1</v>
      </c>
      <c r="F30" s="78"/>
      <c r="G30" s="78">
        <v>40</v>
      </c>
      <c r="H30" s="78">
        <v>15</v>
      </c>
      <c r="I30" s="78">
        <v>15</v>
      </c>
      <c r="J30" s="79">
        <v>650</v>
      </c>
      <c r="K30" s="80">
        <f>Inventory_List_Table34112022[[#This Row],[Q]]*Inventory_List_Table34112022[[#This Row],[Per piece MXN$]]</f>
        <v>650</v>
      </c>
      <c r="L30" s="22" t="s">
        <v>554</v>
      </c>
      <c r="M30" s="22" t="s">
        <v>576</v>
      </c>
      <c r="N30"/>
      <c r="O30"/>
      <c r="P30"/>
      <c r="Q30"/>
      <c r="R30"/>
      <c r="S30"/>
      <c r="W30" s="7"/>
      <c r="X30" s="7"/>
      <c r="Y30" s="7"/>
      <c r="Z30" s="7"/>
      <c r="AA30" s="7"/>
      <c r="AB30" s="7"/>
      <c r="AC30" s="7"/>
    </row>
    <row r="31" spans="1:29" ht="30" customHeight="1" x14ac:dyDescent="0.25">
      <c r="A31" s="75" t="s">
        <v>160</v>
      </c>
      <c r="B31" s="17">
        <v>46039</v>
      </c>
      <c r="C31" s="18" t="s">
        <v>366</v>
      </c>
      <c r="D31" s="51" t="s">
        <v>717</v>
      </c>
      <c r="E31" s="77">
        <v>5</v>
      </c>
      <c r="F31" s="78"/>
      <c r="G31" s="78">
        <v>35</v>
      </c>
      <c r="H31" s="78">
        <v>12</v>
      </c>
      <c r="I31" s="78">
        <v>12</v>
      </c>
      <c r="J31" s="79">
        <v>500</v>
      </c>
      <c r="K31" s="80">
        <f>Inventory_List_Table34112022[[#This Row],[Q]]*Inventory_List_Table34112022[[#This Row],[Per piece MXN$]]</f>
        <v>2500</v>
      </c>
      <c r="L31" s="22" t="s">
        <v>551</v>
      </c>
      <c r="M31" s="22" t="s">
        <v>550</v>
      </c>
      <c r="N31"/>
      <c r="O31"/>
      <c r="P31"/>
      <c r="Q31"/>
      <c r="R31"/>
      <c r="S31"/>
      <c r="W31" s="7"/>
      <c r="X31" s="7"/>
      <c r="Y31" s="7"/>
      <c r="Z31" s="7"/>
      <c r="AA31" s="7"/>
      <c r="AB31" s="7"/>
      <c r="AC31" s="7"/>
    </row>
    <row r="32" spans="1:29" ht="30" customHeight="1" x14ac:dyDescent="0.25">
      <c r="A32" s="75" t="s">
        <v>161</v>
      </c>
      <c r="B32" s="17">
        <v>46039</v>
      </c>
      <c r="C32" s="18" t="s">
        <v>364</v>
      </c>
      <c r="D32" s="51" t="s">
        <v>718</v>
      </c>
      <c r="E32" s="77">
        <v>1</v>
      </c>
      <c r="F32" s="78"/>
      <c r="G32" s="78">
        <v>40</v>
      </c>
      <c r="H32" s="78">
        <v>12</v>
      </c>
      <c r="I32" s="78">
        <v>12</v>
      </c>
      <c r="J32" s="79">
        <v>510</v>
      </c>
      <c r="K32" s="80">
        <f>Inventory_List_Table34112022[[#This Row],[Q]]*Inventory_List_Table34112022[[#This Row],[Per piece MXN$]]</f>
        <v>510</v>
      </c>
      <c r="L32" s="22" t="s">
        <v>551</v>
      </c>
      <c r="M32" s="22" t="s">
        <v>550</v>
      </c>
      <c r="N32"/>
      <c r="O32"/>
      <c r="P32"/>
      <c r="Q32"/>
      <c r="R32"/>
      <c r="S32"/>
      <c r="W32" s="7"/>
      <c r="X32" s="7"/>
      <c r="Y32" s="7"/>
      <c r="Z32" s="7"/>
      <c r="AA32" s="7"/>
      <c r="AB32" s="7"/>
      <c r="AC32" s="7"/>
    </row>
    <row r="33" spans="1:29" ht="30" customHeight="1" x14ac:dyDescent="0.25">
      <c r="A33" s="75" t="s">
        <v>162</v>
      </c>
      <c r="B33" s="17">
        <v>46039</v>
      </c>
      <c r="C33" s="18" t="s">
        <v>365</v>
      </c>
      <c r="D33" s="51" t="s">
        <v>719</v>
      </c>
      <c r="E33" s="77">
        <v>1</v>
      </c>
      <c r="F33" s="78"/>
      <c r="G33" s="78">
        <v>40</v>
      </c>
      <c r="H33" s="78">
        <v>12</v>
      </c>
      <c r="I33" s="78">
        <v>12</v>
      </c>
      <c r="J33" s="79">
        <v>510</v>
      </c>
      <c r="K33" s="80">
        <f>Inventory_List_Table34112022[[#This Row],[Q]]*Inventory_List_Table34112022[[#This Row],[Per piece MXN$]]</f>
        <v>510</v>
      </c>
      <c r="L33" s="22" t="s">
        <v>551</v>
      </c>
      <c r="M33" s="22" t="s">
        <v>550</v>
      </c>
      <c r="N33"/>
      <c r="O33"/>
      <c r="P33"/>
      <c r="Q33"/>
      <c r="R33"/>
      <c r="S33"/>
      <c r="W33" s="7"/>
      <c r="X33" s="7"/>
      <c r="Y33" s="7"/>
      <c r="Z33" s="7"/>
      <c r="AA33" s="7"/>
      <c r="AB33" s="7"/>
      <c r="AC33" s="7"/>
    </row>
    <row r="34" spans="1:29" ht="30" customHeight="1" x14ac:dyDescent="0.25">
      <c r="A34" s="75" t="s">
        <v>163</v>
      </c>
      <c r="B34" s="17">
        <v>46039</v>
      </c>
      <c r="C34" s="18" t="s">
        <v>366</v>
      </c>
      <c r="D34" s="51" t="s">
        <v>720</v>
      </c>
      <c r="E34" s="77">
        <v>1</v>
      </c>
      <c r="F34" s="78"/>
      <c r="G34" s="78">
        <v>40</v>
      </c>
      <c r="H34" s="78">
        <v>12</v>
      </c>
      <c r="I34" s="78">
        <v>12</v>
      </c>
      <c r="J34" s="79">
        <v>510</v>
      </c>
      <c r="K34" s="80">
        <f>Inventory_List_Table34112022[[#This Row],[Q]]*Inventory_List_Table34112022[[#This Row],[Per piece MXN$]]</f>
        <v>510</v>
      </c>
      <c r="L34" s="22" t="s">
        <v>551</v>
      </c>
      <c r="M34" s="22" t="s">
        <v>550</v>
      </c>
      <c r="N34"/>
      <c r="O34"/>
      <c r="P34"/>
      <c r="Q34"/>
      <c r="R34"/>
      <c r="S34"/>
      <c r="W34" s="7"/>
      <c r="X34" s="7"/>
      <c r="Y34" s="7"/>
      <c r="Z34" s="7"/>
      <c r="AA34" s="7"/>
      <c r="AB34" s="7"/>
      <c r="AC34" s="7"/>
    </row>
    <row r="35" spans="1:29" ht="30" customHeight="1" x14ac:dyDescent="0.25">
      <c r="A35" s="75" t="s">
        <v>164</v>
      </c>
      <c r="B35" s="17">
        <v>46039</v>
      </c>
      <c r="C35" s="18" t="s">
        <v>367</v>
      </c>
      <c r="D35" s="51" t="s">
        <v>721</v>
      </c>
      <c r="E35" s="77">
        <v>1</v>
      </c>
      <c r="F35" s="78"/>
      <c r="G35" s="78">
        <v>40</v>
      </c>
      <c r="H35" s="78">
        <v>12</v>
      </c>
      <c r="I35" s="78">
        <v>12</v>
      </c>
      <c r="J35" s="79">
        <v>510</v>
      </c>
      <c r="K35" s="80">
        <f>Inventory_List_Table34112022[[#This Row],[Q]]*Inventory_List_Table34112022[[#This Row],[Per piece MXN$]]</f>
        <v>510</v>
      </c>
      <c r="L35" s="22" t="s">
        <v>551</v>
      </c>
      <c r="M35" s="22" t="s">
        <v>550</v>
      </c>
      <c r="N35"/>
      <c r="O35"/>
      <c r="P35"/>
      <c r="Q35"/>
      <c r="R35"/>
      <c r="S35"/>
      <c r="W35" s="7"/>
      <c r="X35" s="7"/>
      <c r="Y35" s="7"/>
      <c r="Z35" s="7"/>
      <c r="AA35" s="7"/>
      <c r="AB35" s="7"/>
      <c r="AC35" s="7"/>
    </row>
    <row r="36" spans="1:29" ht="30" customHeight="1" x14ac:dyDescent="0.25">
      <c r="A36" s="75" t="s">
        <v>165</v>
      </c>
      <c r="B36" s="17">
        <v>46039</v>
      </c>
      <c r="C36" s="18" t="s">
        <v>368</v>
      </c>
      <c r="D36" s="51" t="s">
        <v>722</v>
      </c>
      <c r="E36" s="77">
        <v>3</v>
      </c>
      <c r="F36" s="78"/>
      <c r="G36" s="78">
        <v>20</v>
      </c>
      <c r="H36" s="78">
        <v>20</v>
      </c>
      <c r="I36" s="78">
        <v>20</v>
      </c>
      <c r="J36" s="79">
        <v>1100</v>
      </c>
      <c r="K36" s="80">
        <f>Inventory_List_Table34112022[[#This Row],[Q]]*Inventory_List_Table34112022[[#This Row],[Per piece MXN$]]</f>
        <v>3300</v>
      </c>
      <c r="L36" s="22" t="s">
        <v>724</v>
      </c>
      <c r="M36" s="22" t="s">
        <v>723</v>
      </c>
      <c r="N36"/>
      <c r="O36"/>
      <c r="P36"/>
      <c r="Q36"/>
      <c r="R36"/>
      <c r="S36"/>
      <c r="W36" s="7"/>
      <c r="X36" s="7"/>
      <c r="Y36" s="7"/>
      <c r="Z36" s="7"/>
      <c r="AA36" s="7"/>
      <c r="AB36" s="7"/>
      <c r="AC36" s="7"/>
    </row>
    <row r="37" spans="1:29" ht="30" customHeight="1" x14ac:dyDescent="0.25">
      <c r="A37" s="75" t="s">
        <v>166</v>
      </c>
      <c r="B37" s="17">
        <v>46039</v>
      </c>
      <c r="C37" s="18" t="s">
        <v>369</v>
      </c>
      <c r="D37" s="51" t="s">
        <v>725</v>
      </c>
      <c r="E37" s="77">
        <v>1</v>
      </c>
      <c r="F37" s="78"/>
      <c r="G37" s="78">
        <v>45</v>
      </c>
      <c r="H37" s="78">
        <v>15</v>
      </c>
      <c r="I37" s="78">
        <v>15</v>
      </c>
      <c r="J37" s="79">
        <v>725</v>
      </c>
      <c r="K37" s="80">
        <f>Inventory_List_Table34112022[[#This Row],[Q]]*Inventory_List_Table34112022[[#This Row],[Per piece MXN$]]</f>
        <v>725</v>
      </c>
      <c r="L37" s="22" t="s">
        <v>689</v>
      </c>
      <c r="M37" s="22" t="s">
        <v>567</v>
      </c>
      <c r="N37"/>
      <c r="O37"/>
      <c r="P37"/>
      <c r="Q37"/>
      <c r="R37"/>
      <c r="S37"/>
      <c r="W37" s="7"/>
      <c r="X37" s="7"/>
      <c r="Y37" s="7"/>
      <c r="Z37" s="7"/>
      <c r="AA37" s="7"/>
      <c r="AB37" s="7"/>
      <c r="AC37" s="7"/>
    </row>
    <row r="38" spans="1:29" ht="30" customHeight="1" x14ac:dyDescent="0.25">
      <c r="A38" s="75" t="s">
        <v>167</v>
      </c>
      <c r="B38" s="17">
        <v>46039</v>
      </c>
      <c r="C38" s="18" t="s">
        <v>370</v>
      </c>
      <c r="D38" s="51" t="s">
        <v>726</v>
      </c>
      <c r="E38" s="77">
        <v>1</v>
      </c>
      <c r="F38" s="78"/>
      <c r="G38" s="78">
        <v>30</v>
      </c>
      <c r="H38" s="78">
        <v>15</v>
      </c>
      <c r="I38" s="78">
        <v>15</v>
      </c>
      <c r="J38" s="79">
        <v>500</v>
      </c>
      <c r="K38" s="80">
        <f>Inventory_List_Table34112022[[#This Row],[Q]]*Inventory_List_Table34112022[[#This Row],[Per piece MXN$]]</f>
        <v>500</v>
      </c>
      <c r="L38" s="22" t="s">
        <v>551</v>
      </c>
      <c r="M38" s="22" t="s">
        <v>550</v>
      </c>
      <c r="N38"/>
      <c r="O38"/>
      <c r="P38"/>
      <c r="Q38"/>
      <c r="R38"/>
      <c r="S38"/>
      <c r="W38" s="7"/>
      <c r="X38" s="7"/>
      <c r="Y38" s="7"/>
      <c r="Z38" s="7"/>
      <c r="AA38" s="7"/>
      <c r="AB38" s="7"/>
      <c r="AC38" s="7"/>
    </row>
    <row r="39" spans="1:29" ht="30" customHeight="1" x14ac:dyDescent="0.25">
      <c r="A39" s="75" t="s">
        <v>168</v>
      </c>
      <c r="B39" s="17">
        <v>46039</v>
      </c>
      <c r="C39" s="18" t="s">
        <v>370</v>
      </c>
      <c r="D39" s="51" t="s">
        <v>727</v>
      </c>
      <c r="E39" s="77">
        <v>4</v>
      </c>
      <c r="F39" s="78"/>
      <c r="G39" s="78">
        <v>35</v>
      </c>
      <c r="H39" s="78">
        <v>15</v>
      </c>
      <c r="I39" s="78">
        <v>15</v>
      </c>
      <c r="J39" s="79">
        <v>575</v>
      </c>
      <c r="K39" s="80">
        <f>Inventory_List_Table34112022[[#This Row],[Q]]*Inventory_List_Table34112022[[#This Row],[Per piece MXN$]]</f>
        <v>2300</v>
      </c>
      <c r="L39" s="22" t="s">
        <v>527</v>
      </c>
      <c r="M39" s="22" t="s">
        <v>673</v>
      </c>
      <c r="N39"/>
      <c r="O39"/>
      <c r="P39"/>
      <c r="Q39"/>
      <c r="R39"/>
      <c r="S39"/>
      <c r="W39" s="7"/>
      <c r="X39" s="7"/>
      <c r="Y39" s="7"/>
      <c r="Z39" s="7"/>
      <c r="AA39" s="7"/>
      <c r="AB39" s="7"/>
      <c r="AC39" s="7"/>
    </row>
    <row r="40" spans="1:29" ht="30" customHeight="1" x14ac:dyDescent="0.25">
      <c r="A40" s="75" t="s">
        <v>169</v>
      </c>
      <c r="B40" s="17">
        <v>46039</v>
      </c>
      <c r="C40" s="18" t="s">
        <v>371</v>
      </c>
      <c r="D40" s="51" t="s">
        <v>728</v>
      </c>
      <c r="E40" s="77">
        <v>1</v>
      </c>
      <c r="F40" s="78"/>
      <c r="G40" s="78">
        <v>45</v>
      </c>
      <c r="H40" s="78">
        <v>15</v>
      </c>
      <c r="I40" s="78">
        <v>15</v>
      </c>
      <c r="J40" s="79">
        <v>725</v>
      </c>
      <c r="K40" s="80">
        <f>Inventory_List_Table34112022[[#This Row],[Q]]*Inventory_List_Table34112022[[#This Row],[Per piece MXN$]]</f>
        <v>725</v>
      </c>
      <c r="L40" s="22" t="s">
        <v>689</v>
      </c>
      <c r="M40" s="22" t="s">
        <v>567</v>
      </c>
      <c r="N40"/>
      <c r="O40"/>
      <c r="P40"/>
      <c r="Q40"/>
      <c r="R40"/>
      <c r="S40"/>
      <c r="W40" s="7"/>
      <c r="X40" s="7"/>
      <c r="Y40" s="7"/>
      <c r="Z40" s="7"/>
      <c r="AA40" s="7"/>
      <c r="AB40" s="7"/>
      <c r="AC40" s="7"/>
    </row>
    <row r="41" spans="1:29" ht="30" customHeight="1" x14ac:dyDescent="0.25">
      <c r="A41" s="75" t="s">
        <v>170</v>
      </c>
      <c r="B41" s="17">
        <v>46039</v>
      </c>
      <c r="C41" s="18" t="s">
        <v>372</v>
      </c>
      <c r="D41" s="51" t="s">
        <v>729</v>
      </c>
      <c r="E41" s="77">
        <v>3</v>
      </c>
      <c r="F41" s="78"/>
      <c r="G41" s="78">
        <v>50</v>
      </c>
      <c r="H41" s="78">
        <v>15</v>
      </c>
      <c r="I41" s="78">
        <v>15</v>
      </c>
      <c r="J41" s="79">
        <v>750</v>
      </c>
      <c r="K41" s="80">
        <f>Inventory_List_Table34112022[[#This Row],[Q]]*Inventory_List_Table34112022[[#This Row],[Per piece MXN$]]</f>
        <v>2250</v>
      </c>
      <c r="L41" s="22" t="s">
        <v>525</v>
      </c>
      <c r="M41" s="22" t="s">
        <v>524</v>
      </c>
      <c r="N41"/>
      <c r="O41"/>
      <c r="P41"/>
      <c r="Q41"/>
      <c r="R41"/>
      <c r="S41"/>
      <c r="W41" s="7"/>
      <c r="X41" s="7"/>
      <c r="Y41" s="7"/>
      <c r="Z41" s="7"/>
      <c r="AA41" s="7"/>
      <c r="AB41" s="7"/>
      <c r="AC41" s="7"/>
    </row>
    <row r="42" spans="1:29" ht="30" customHeight="1" x14ac:dyDescent="0.25">
      <c r="A42" s="75" t="s">
        <v>171</v>
      </c>
      <c r="B42" s="17">
        <v>46039</v>
      </c>
      <c r="C42" s="18" t="s">
        <v>372</v>
      </c>
      <c r="D42" s="51" t="s">
        <v>730</v>
      </c>
      <c r="E42" s="77">
        <v>4</v>
      </c>
      <c r="F42" s="78"/>
      <c r="G42" s="78">
        <v>55</v>
      </c>
      <c r="H42" s="78">
        <v>15</v>
      </c>
      <c r="I42" s="78">
        <v>15</v>
      </c>
      <c r="J42" s="79">
        <v>875</v>
      </c>
      <c r="K42" s="80">
        <f>Inventory_List_Table34112022[[#This Row],[Q]]*Inventory_List_Table34112022[[#This Row],[Per piece MXN$]]</f>
        <v>3500</v>
      </c>
      <c r="L42" s="22" t="s">
        <v>616</v>
      </c>
      <c r="M42" s="22" t="s">
        <v>639</v>
      </c>
      <c r="N42"/>
      <c r="O42"/>
      <c r="P42"/>
      <c r="Q42"/>
      <c r="R42"/>
      <c r="S42"/>
      <c r="W42" s="7"/>
      <c r="X42" s="7"/>
      <c r="Y42" s="7"/>
      <c r="Z42" s="7"/>
      <c r="AA42" s="7"/>
      <c r="AB42" s="7"/>
      <c r="AC42" s="7"/>
    </row>
    <row r="43" spans="1:29" ht="30" customHeight="1" x14ac:dyDescent="0.25">
      <c r="A43" s="75" t="s">
        <v>172</v>
      </c>
      <c r="B43" s="17">
        <v>46039</v>
      </c>
      <c r="C43" s="18" t="s">
        <v>373</v>
      </c>
      <c r="D43" s="51" t="s">
        <v>731</v>
      </c>
      <c r="E43" s="77">
        <v>3</v>
      </c>
      <c r="F43" s="78"/>
      <c r="G43" s="78">
        <v>60</v>
      </c>
      <c r="H43" s="78">
        <v>15</v>
      </c>
      <c r="I43" s="78">
        <v>15</v>
      </c>
      <c r="J43" s="79">
        <v>950</v>
      </c>
      <c r="K43" s="80">
        <f>Inventory_List_Table34112022[[#This Row],[Q]]*Inventory_List_Table34112022[[#This Row],[Per piece MXN$]]</f>
        <v>2850</v>
      </c>
      <c r="L43" s="22" t="s">
        <v>706</v>
      </c>
      <c r="M43" s="22" t="s">
        <v>705</v>
      </c>
      <c r="N43"/>
      <c r="O43"/>
      <c r="P43"/>
      <c r="Q43"/>
      <c r="R43"/>
      <c r="S43"/>
      <c r="W43" s="7"/>
      <c r="X43" s="7"/>
      <c r="Y43" s="7"/>
      <c r="Z43" s="7"/>
      <c r="AA43" s="7"/>
      <c r="AB43" s="7"/>
      <c r="AC43" s="7"/>
    </row>
    <row r="44" spans="1:29" ht="30" customHeight="1" x14ac:dyDescent="0.25">
      <c r="A44" s="75" t="s">
        <v>173</v>
      </c>
      <c r="B44" s="17">
        <v>46039</v>
      </c>
      <c r="C44" s="18" t="s">
        <v>374</v>
      </c>
      <c r="D44" s="51" t="s">
        <v>732</v>
      </c>
      <c r="E44" s="77">
        <v>3</v>
      </c>
      <c r="F44" s="78"/>
      <c r="G44" s="78">
        <v>50</v>
      </c>
      <c r="H44" s="78">
        <v>15</v>
      </c>
      <c r="I44" s="78">
        <v>15</v>
      </c>
      <c r="J44" s="79">
        <v>750</v>
      </c>
      <c r="K44" s="80">
        <f>Inventory_List_Table34112022[[#This Row],[Q]]*Inventory_List_Table34112022[[#This Row],[Per piece MXN$]]</f>
        <v>2250</v>
      </c>
      <c r="L44" s="22" t="s">
        <v>525</v>
      </c>
      <c r="M44" s="22" t="s">
        <v>524</v>
      </c>
      <c r="N44"/>
      <c r="O44"/>
      <c r="P44"/>
      <c r="Q44"/>
      <c r="R44"/>
      <c r="S44"/>
      <c r="W44" s="7"/>
      <c r="X44" s="7"/>
      <c r="Y44" s="7"/>
      <c r="Z44" s="7"/>
      <c r="AA44" s="7"/>
      <c r="AB44" s="7"/>
      <c r="AC44" s="7"/>
    </row>
    <row r="45" spans="1:29" ht="30" customHeight="1" x14ac:dyDescent="0.25">
      <c r="A45" s="75" t="s">
        <v>174</v>
      </c>
      <c r="B45" s="17">
        <v>46039</v>
      </c>
      <c r="C45" s="18" t="s">
        <v>375</v>
      </c>
      <c r="D45" s="51" t="s">
        <v>733</v>
      </c>
      <c r="E45" s="77">
        <v>2</v>
      </c>
      <c r="F45" s="78"/>
      <c r="G45" s="78">
        <v>50</v>
      </c>
      <c r="H45" s="78">
        <v>15</v>
      </c>
      <c r="I45" s="78">
        <v>15</v>
      </c>
      <c r="J45" s="79">
        <v>750</v>
      </c>
      <c r="K45" s="80">
        <f>Inventory_List_Table34112022[[#This Row],[Q]]*Inventory_List_Table34112022[[#This Row],[Per piece MXN$]]</f>
        <v>1500</v>
      </c>
      <c r="L45" s="22" t="s">
        <v>525</v>
      </c>
      <c r="M45" s="22" t="s">
        <v>524</v>
      </c>
      <c r="N45"/>
      <c r="O45"/>
      <c r="P45"/>
      <c r="Q45"/>
      <c r="R45"/>
      <c r="S45"/>
      <c r="W45" s="7"/>
      <c r="X45" s="7"/>
      <c r="Y45" s="7"/>
      <c r="Z45" s="7"/>
      <c r="AA45" s="7"/>
      <c r="AB45" s="7"/>
      <c r="AC45" s="7"/>
    </row>
    <row r="46" spans="1:29" ht="30" customHeight="1" x14ac:dyDescent="0.25">
      <c r="A46" s="75" t="s">
        <v>175</v>
      </c>
      <c r="B46" s="17">
        <v>46039</v>
      </c>
      <c r="C46" s="18" t="s">
        <v>376</v>
      </c>
      <c r="D46" s="51" t="s">
        <v>734</v>
      </c>
      <c r="E46" s="77">
        <v>2</v>
      </c>
      <c r="F46" s="78"/>
      <c r="G46" s="78">
        <v>85</v>
      </c>
      <c r="H46" s="78">
        <v>20</v>
      </c>
      <c r="I46" s="78">
        <v>20</v>
      </c>
      <c r="J46" s="79">
        <v>1800</v>
      </c>
      <c r="K46" s="80">
        <f>Inventory_List_Table34112022[[#This Row],[Q]]*Inventory_List_Table34112022[[#This Row],[Per piece MXN$]]</f>
        <v>3600</v>
      </c>
      <c r="L46" s="22" t="s">
        <v>736</v>
      </c>
      <c r="M46" s="22" t="s">
        <v>735</v>
      </c>
      <c r="N46"/>
      <c r="O46"/>
      <c r="P46"/>
      <c r="Q46"/>
      <c r="R46"/>
      <c r="S46"/>
      <c r="W46" s="7"/>
      <c r="X46" s="7"/>
      <c r="Y46" s="7"/>
      <c r="Z46" s="7"/>
      <c r="AA46" s="7"/>
      <c r="AB46" s="7"/>
      <c r="AC46" s="7"/>
    </row>
    <row r="47" spans="1:29" ht="30" customHeight="1" x14ac:dyDescent="0.25">
      <c r="A47" s="75" t="s">
        <v>176</v>
      </c>
      <c r="B47" s="17">
        <v>46039</v>
      </c>
      <c r="C47" s="18" t="s">
        <v>376</v>
      </c>
      <c r="D47" s="51" t="s">
        <v>737</v>
      </c>
      <c r="E47" s="77">
        <v>1</v>
      </c>
      <c r="F47" s="78"/>
      <c r="G47" s="78">
        <v>90</v>
      </c>
      <c r="H47" s="78">
        <v>20</v>
      </c>
      <c r="I47" s="78">
        <v>20</v>
      </c>
      <c r="J47" s="79">
        <v>1900</v>
      </c>
      <c r="K47" s="80">
        <f>Inventory_List_Table34112022[[#This Row],[Q]]*Inventory_List_Table34112022[[#This Row],[Per piece MXN$]]</f>
        <v>1900</v>
      </c>
      <c r="L47" s="22" t="s">
        <v>654</v>
      </c>
      <c r="M47" s="22" t="s">
        <v>388</v>
      </c>
      <c r="N47"/>
      <c r="O47"/>
      <c r="P47"/>
      <c r="Q47"/>
      <c r="R47"/>
      <c r="S47"/>
      <c r="W47" s="7"/>
      <c r="X47" s="7"/>
      <c r="Y47" s="7"/>
      <c r="Z47" s="7"/>
      <c r="AA47" s="7"/>
      <c r="AB47" s="7"/>
      <c r="AC47" s="7"/>
    </row>
    <row r="48" spans="1:29" ht="30" customHeight="1" x14ac:dyDescent="0.25">
      <c r="A48" s="75" t="s">
        <v>177</v>
      </c>
      <c r="B48" s="17">
        <v>46039</v>
      </c>
      <c r="C48" s="18" t="s">
        <v>376</v>
      </c>
      <c r="D48" s="51" t="s">
        <v>738</v>
      </c>
      <c r="E48" s="77">
        <v>1</v>
      </c>
      <c r="F48" s="78"/>
      <c r="G48" s="78">
        <v>75</v>
      </c>
      <c r="H48" s="78">
        <v>20</v>
      </c>
      <c r="I48" s="78">
        <v>20</v>
      </c>
      <c r="J48" s="79">
        <v>1600</v>
      </c>
      <c r="K48" s="80">
        <f>Inventory_List_Table34112022[[#This Row],[Q]]*Inventory_List_Table34112022[[#This Row],[Per piece MXN$]]</f>
        <v>1600</v>
      </c>
      <c r="L48" s="22" t="s">
        <v>302</v>
      </c>
      <c r="M48" s="22" t="s">
        <v>739</v>
      </c>
      <c r="N48"/>
      <c r="O48"/>
      <c r="P48"/>
      <c r="Q48"/>
      <c r="R48"/>
      <c r="S48"/>
      <c r="W48" s="7"/>
      <c r="X48" s="7"/>
      <c r="Y48" s="7"/>
      <c r="Z48" s="7"/>
      <c r="AA48" s="7"/>
      <c r="AB48" s="7"/>
      <c r="AC48" s="7"/>
    </row>
    <row r="49" spans="1:29" ht="30" customHeight="1" x14ac:dyDescent="0.25">
      <c r="A49" s="75" t="s">
        <v>178</v>
      </c>
      <c r="B49" s="17">
        <v>46039</v>
      </c>
      <c r="C49" s="18" t="s">
        <v>376</v>
      </c>
      <c r="D49" s="51" t="s">
        <v>740</v>
      </c>
      <c r="E49" s="77">
        <v>1</v>
      </c>
      <c r="F49" s="78"/>
      <c r="G49" s="78">
        <v>40</v>
      </c>
      <c r="H49" s="78">
        <v>20</v>
      </c>
      <c r="I49" s="78">
        <v>20</v>
      </c>
      <c r="J49" s="79">
        <v>900</v>
      </c>
      <c r="K49" s="80">
        <f>Inventory_List_Table34112022[[#This Row],[Q]]*Inventory_List_Table34112022[[#This Row],[Per piece MXN$]]</f>
        <v>900</v>
      </c>
      <c r="L49" s="22" t="s">
        <v>576</v>
      </c>
      <c r="M49" s="22" t="s">
        <v>741</v>
      </c>
      <c r="N49"/>
      <c r="O49"/>
      <c r="P49"/>
      <c r="Q49"/>
      <c r="R49"/>
      <c r="S49"/>
      <c r="W49" s="7"/>
      <c r="X49" s="7"/>
      <c r="Y49" s="7"/>
      <c r="Z49" s="7"/>
      <c r="AA49" s="7"/>
      <c r="AB49" s="7"/>
      <c r="AC49" s="7"/>
    </row>
    <row r="50" spans="1:29" ht="30" customHeight="1" x14ac:dyDescent="0.25">
      <c r="A50" s="75" t="s">
        <v>179</v>
      </c>
      <c r="B50" s="17">
        <v>46039</v>
      </c>
      <c r="C50" s="18" t="s">
        <v>377</v>
      </c>
      <c r="D50" s="51" t="s">
        <v>742</v>
      </c>
      <c r="E50" s="77">
        <v>3</v>
      </c>
      <c r="F50" s="78"/>
      <c r="G50" s="78">
        <v>75</v>
      </c>
      <c r="H50" s="78">
        <v>20</v>
      </c>
      <c r="I50" s="78">
        <v>20</v>
      </c>
      <c r="J50" s="79">
        <v>1600</v>
      </c>
      <c r="K50" s="80">
        <f>Inventory_List_Table34112022[[#This Row],[Q]]*Inventory_List_Table34112022[[#This Row],[Per piece MXN$]]</f>
        <v>4800</v>
      </c>
      <c r="L50" s="22" t="s">
        <v>302</v>
      </c>
      <c r="M50" s="22" t="s">
        <v>739</v>
      </c>
      <c r="N50"/>
      <c r="O50"/>
      <c r="P50"/>
      <c r="Q50"/>
      <c r="R50"/>
      <c r="S50"/>
      <c r="W50" s="7"/>
      <c r="X50" s="7"/>
      <c r="Y50" s="7"/>
      <c r="Z50" s="7"/>
      <c r="AA50" s="7"/>
      <c r="AB50" s="7"/>
      <c r="AC50" s="7"/>
    </row>
    <row r="51" spans="1:29" ht="30" customHeight="1" x14ac:dyDescent="0.25">
      <c r="A51" s="75" t="s">
        <v>180</v>
      </c>
      <c r="B51" s="17">
        <v>46039</v>
      </c>
      <c r="C51" s="18" t="s">
        <v>377</v>
      </c>
      <c r="D51" s="51" t="s">
        <v>743</v>
      </c>
      <c r="E51" s="77">
        <v>2</v>
      </c>
      <c r="F51" s="78"/>
      <c r="G51" s="78">
        <v>70</v>
      </c>
      <c r="H51" s="78">
        <v>20</v>
      </c>
      <c r="I51" s="78">
        <v>20</v>
      </c>
      <c r="J51" s="79">
        <v>1500</v>
      </c>
      <c r="K51" s="80">
        <f>Inventory_List_Table34112022[[#This Row],[Q]]*Inventory_List_Table34112022[[#This Row],[Per piece MXN$]]</f>
        <v>3000</v>
      </c>
      <c r="L51" s="22" t="s">
        <v>745</v>
      </c>
      <c r="M51" s="22" t="s">
        <v>744</v>
      </c>
      <c r="N51"/>
      <c r="O51"/>
      <c r="P51"/>
      <c r="Q51"/>
      <c r="R51"/>
      <c r="S51"/>
      <c r="W51" s="7"/>
      <c r="X51" s="7"/>
      <c r="Y51" s="7"/>
      <c r="Z51" s="7"/>
      <c r="AA51" s="7"/>
      <c r="AB51" s="7"/>
      <c r="AC51" s="7"/>
    </row>
    <row r="52" spans="1:29" ht="30" customHeight="1" x14ac:dyDescent="0.25">
      <c r="A52" s="75" t="s">
        <v>181</v>
      </c>
      <c r="B52" s="17">
        <v>46039</v>
      </c>
      <c r="C52" s="18" t="s">
        <v>377</v>
      </c>
      <c r="D52" s="51" t="s">
        <v>746</v>
      </c>
      <c r="E52" s="77">
        <v>1</v>
      </c>
      <c r="F52" s="78"/>
      <c r="G52" s="78">
        <v>60</v>
      </c>
      <c r="H52" s="78">
        <v>20</v>
      </c>
      <c r="I52" s="78">
        <v>20</v>
      </c>
      <c r="J52" s="79">
        <v>1300</v>
      </c>
      <c r="K52" s="80">
        <f>Inventory_List_Table34112022[[#This Row],[Q]]*Inventory_List_Table34112022[[#This Row],[Per piece MXN$]]</f>
        <v>1300</v>
      </c>
      <c r="L52" s="22" t="s">
        <v>570</v>
      </c>
      <c r="M52" s="22" t="s">
        <v>569</v>
      </c>
      <c r="N52"/>
      <c r="O52"/>
      <c r="P52"/>
      <c r="Q52"/>
      <c r="R52"/>
      <c r="S52"/>
      <c r="W52" s="7"/>
      <c r="X52" s="7"/>
      <c r="Y52" s="7"/>
      <c r="Z52" s="7"/>
      <c r="AA52" s="7"/>
      <c r="AB52" s="7"/>
      <c r="AC52" s="7"/>
    </row>
    <row r="53" spans="1:29" ht="30" customHeight="1" x14ac:dyDescent="0.25">
      <c r="A53" s="75" t="s">
        <v>182</v>
      </c>
      <c r="B53" s="17">
        <v>46039</v>
      </c>
      <c r="C53" s="18" t="s">
        <v>377</v>
      </c>
      <c r="D53" s="51" t="s">
        <v>747</v>
      </c>
      <c r="E53" s="77">
        <v>1</v>
      </c>
      <c r="F53" s="78"/>
      <c r="G53" s="78">
        <v>50</v>
      </c>
      <c r="H53" s="78">
        <v>20</v>
      </c>
      <c r="I53" s="78">
        <v>20</v>
      </c>
      <c r="J53" s="79">
        <v>1100</v>
      </c>
      <c r="K53" s="80">
        <f>Inventory_List_Table34112022[[#This Row],[Q]]*Inventory_List_Table34112022[[#This Row],[Per piece MXN$]]</f>
        <v>1100</v>
      </c>
      <c r="L53" s="22" t="s">
        <v>724</v>
      </c>
      <c r="M53" s="22" t="s">
        <v>723</v>
      </c>
      <c r="N53"/>
      <c r="O53"/>
      <c r="P53"/>
      <c r="Q53"/>
      <c r="R53"/>
      <c r="S53"/>
      <c r="W53" s="7"/>
      <c r="X53" s="7"/>
      <c r="Y53" s="7"/>
      <c r="Z53" s="7"/>
      <c r="AA53" s="7"/>
      <c r="AB53" s="7"/>
      <c r="AC53" s="7"/>
    </row>
  </sheetData>
  <phoneticPr fontId="2" type="noConversion"/>
  <dataValidations count="9">
    <dataValidation allowBlank="1" showInputMessage="1" showErrorMessage="1" prompt="Enter a description of the item in this column" sqref="E1" xr:uid="{1A1BA5E7-2488-41FE-BC42-DA02202702F7}"/>
    <dataValidation allowBlank="1" showInputMessage="1" showErrorMessage="1" prompt="Enter the unit price of each item in this column" sqref="F1" xr:uid="{14254FED-89BB-4856-ADE0-CBC2B4354698}"/>
    <dataValidation allowBlank="1" showInputMessage="1" showErrorMessage="1" prompt="Enter the quantity in stock for each item in this column" sqref="G1" xr:uid="{C435CDB1-7DCC-4BD8-A9F1-26C3CE43B81C}"/>
    <dataValidation allowBlank="1" showInputMessage="1" showErrorMessage="1" prompt="This is an automated column._x000a__x000a_The inventory value for each item is automatically calculated in this column." sqref="H1" xr:uid="{809F3C4F-53DD-42F0-B112-5F48619BDDE7}"/>
    <dataValidation allowBlank="1" showInputMessage="1" showErrorMessage="1" prompt="Enter the reorder level for each item in this column" sqref="I1" xr:uid="{6A97ADCC-7186-4450-91D3-728BBFF48571}"/>
    <dataValidation allowBlank="1" showInputMessage="1" showErrorMessage="1" prompt="Enter the number of days it takes to reorder each item in this column" sqref="J1:K1" xr:uid="{6CE1B1E7-9C6B-4369-B21B-C1C1334F1267}"/>
    <dataValidation allowBlank="1" showInputMessage="1" showErrorMessage="1" prompt="Enter the name of the item in this column" sqref="D1" xr:uid="{EEC23F17-F6BA-4AC0-BA8B-4FE881830FB1}"/>
    <dataValidation allowBlank="1" showInputMessage="1" showErrorMessage="1" prompt="Enter the item inventory ID in this column" sqref="C1" xr:uid="{18DFB29A-F7A0-440C-BC86-A0E785A8662E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78A7C5B1-E093-40BB-9039-4893F33B1638}"/>
  </dataValidations>
  <printOptions horizontalCentered="1"/>
  <pageMargins left="0.25" right="0.25" top="0.75" bottom="0.75" header="0.3" footer="0.3"/>
  <pageSetup scale="47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B446-3848-4100-98C9-4C607FEF3781}">
  <sheetPr>
    <tabColor theme="8" tint="0.39997558519241921"/>
    <pageSetUpPr fitToPage="1"/>
  </sheetPr>
  <dimension ref="A1:V13"/>
  <sheetViews>
    <sheetView showGridLines="0" topLeftCell="C1" zoomScale="70" zoomScaleNormal="70" workbookViewId="0">
      <selection activeCell="R1" sqref="R1:T1048576"/>
    </sheetView>
  </sheetViews>
  <sheetFormatPr defaultColWidth="8.625" defaultRowHeight="24" customHeight="1" x14ac:dyDescent="0.25"/>
  <cols>
    <col min="1" max="1" width="9.125" style="23" bestFit="1" customWidth="1"/>
    <col min="2" max="2" width="15.5" style="24" customWidth="1"/>
    <col min="3" max="3" width="29.375" style="25" customWidth="1"/>
    <col min="4" max="4" width="22" style="25" bestFit="1" customWidth="1"/>
    <col min="5" max="5" width="7" style="25" bestFit="1" customWidth="1"/>
    <col min="6" max="6" width="9.25" style="26" bestFit="1" customWidth="1"/>
    <col min="7" max="7" width="17" style="26" bestFit="1" customWidth="1"/>
    <col min="8" max="8" width="8.75" style="26" bestFit="1" customWidth="1"/>
    <col min="9" max="9" width="8.125" style="26" bestFit="1" customWidth="1"/>
    <col min="10" max="10" width="23.375" style="26" bestFit="1" customWidth="1"/>
    <col min="11" max="11" width="26.5" style="26" bestFit="1" customWidth="1"/>
    <col min="12" max="12" width="11.875" style="26" customWidth="1"/>
    <col min="13" max="13" width="11.5" style="26" customWidth="1"/>
    <col min="14" max="14" width="11.5" style="25" customWidth="1"/>
    <col min="15" max="15" width="11.375" style="7" customWidth="1"/>
    <col min="16" max="17" width="13.75" style="7" customWidth="1"/>
    <col min="18" max="18" width="15" style="7" customWidth="1"/>
    <col min="19" max="19" width="7.5" style="7" bestFit="1" customWidth="1"/>
    <col min="20" max="20" width="8.125" style="7" bestFit="1" customWidth="1"/>
    <col min="21" max="21" width="10.125" bestFit="1" customWidth="1"/>
    <col min="22" max="22" width="15.125" bestFit="1" customWidth="1"/>
    <col min="23" max="16384" width="8.625" style="7"/>
  </cols>
  <sheetData>
    <row r="1" spans="1:22" s="15" customFormat="1" ht="40.9" customHeight="1" x14ac:dyDescent="0.25">
      <c r="A1" s="209" t="s">
        <v>111</v>
      </c>
      <c r="B1" s="210" t="s">
        <v>102</v>
      </c>
      <c r="C1" s="210" t="s">
        <v>112</v>
      </c>
      <c r="D1" s="211" t="s">
        <v>113</v>
      </c>
      <c r="E1" s="212" t="s">
        <v>103</v>
      </c>
      <c r="F1" s="213" t="s">
        <v>104</v>
      </c>
      <c r="G1" s="213" t="s">
        <v>109</v>
      </c>
      <c r="H1" s="213" t="s">
        <v>105</v>
      </c>
      <c r="I1" s="213" t="s">
        <v>106</v>
      </c>
      <c r="J1" s="213" t="s">
        <v>114</v>
      </c>
      <c r="K1" s="210" t="s">
        <v>115</v>
      </c>
      <c r="L1" s="210" t="s">
        <v>107</v>
      </c>
      <c r="M1" s="210" t="s">
        <v>116</v>
      </c>
      <c r="N1" s="210" t="s">
        <v>117</v>
      </c>
      <c r="O1" s="210" t="s">
        <v>118</v>
      </c>
      <c r="P1" s="214" t="s">
        <v>110</v>
      </c>
      <c r="Q1" s="215" t="s">
        <v>0</v>
      </c>
    </row>
    <row r="2" spans="1:22" ht="30" customHeight="1" x14ac:dyDescent="0.25">
      <c r="A2" s="16" t="s">
        <v>120</v>
      </c>
      <c r="B2" s="17">
        <v>46036</v>
      </c>
      <c r="C2" s="18" t="s">
        <v>337</v>
      </c>
      <c r="D2" s="51" t="s">
        <v>415</v>
      </c>
      <c r="E2" s="19">
        <v>1</v>
      </c>
      <c r="F2" s="20"/>
      <c r="G2" s="20">
        <v>150</v>
      </c>
      <c r="H2" s="20">
        <v>60</v>
      </c>
      <c r="I2" s="20">
        <v>10</v>
      </c>
      <c r="J2" s="21">
        <v>8550</v>
      </c>
      <c r="K2" s="1">
        <f>Inventory_List_Table341120[[#This Row],[Q]]*Inventory_List_Table341120[[#This Row],[Per piece MXN$]]</f>
        <v>8550</v>
      </c>
      <c r="L2" s="1">
        <f>Inventory_List_Table341120[[#This Row],[KG]]*2.20462</f>
        <v>0</v>
      </c>
      <c r="M2" s="2">
        <f>Inventory_List_Table341120[[#This Row],[H CM]]/2.54</f>
        <v>59.055118110236222</v>
      </c>
      <c r="N2" s="2">
        <f>Inventory_List_Table341120[[#This Row],[W CM]]/2.54</f>
        <v>23.622047244094489</v>
      </c>
      <c r="O2" s="2">
        <f>Inventory_List_Table341120[[#This Row],[D CM ]]/2.54</f>
        <v>3.9370078740157481</v>
      </c>
      <c r="P2" s="22" t="s">
        <v>417</v>
      </c>
      <c r="Q2" s="22" t="s">
        <v>416</v>
      </c>
      <c r="U2" s="7"/>
      <c r="V2" s="7"/>
    </row>
    <row r="3" spans="1:22" ht="30" customHeight="1" x14ac:dyDescent="0.25">
      <c r="A3" s="16" t="s">
        <v>121</v>
      </c>
      <c r="B3" s="17">
        <v>46036</v>
      </c>
      <c r="C3" s="18" t="s">
        <v>337</v>
      </c>
      <c r="D3" s="51" t="s">
        <v>418</v>
      </c>
      <c r="E3" s="19">
        <v>1</v>
      </c>
      <c r="F3" s="20"/>
      <c r="G3" s="20">
        <v>173</v>
      </c>
      <c r="H3" s="20">
        <v>60</v>
      </c>
      <c r="I3" s="20">
        <v>10</v>
      </c>
      <c r="J3" s="21">
        <v>9684</v>
      </c>
      <c r="K3" s="1">
        <f>Inventory_List_Table341120[[#This Row],[Q]]*Inventory_List_Table341120[[#This Row],[Per piece MXN$]]</f>
        <v>9684</v>
      </c>
      <c r="L3" s="1">
        <f>Inventory_List_Table341120[[#This Row],[KG]]*2.20462</f>
        <v>0</v>
      </c>
      <c r="M3" s="2">
        <f>Inventory_List_Table341120[[#This Row],[H CM]]/2.54</f>
        <v>68.110236220472444</v>
      </c>
      <c r="N3" s="2">
        <f>Inventory_List_Table341120[[#This Row],[W CM]]/2.54</f>
        <v>23.622047244094489</v>
      </c>
      <c r="O3" s="2">
        <f>Inventory_List_Table341120[[#This Row],[D CM ]]/2.54</f>
        <v>3.9370078740157481</v>
      </c>
      <c r="P3" s="22" t="s">
        <v>420</v>
      </c>
      <c r="Q3" s="22" t="s">
        <v>419</v>
      </c>
      <c r="U3" s="7"/>
      <c r="V3" s="7"/>
    </row>
    <row r="4" spans="1:22" ht="30" customHeight="1" x14ac:dyDescent="0.25">
      <c r="A4" s="16" t="s">
        <v>122</v>
      </c>
      <c r="B4" s="17">
        <v>46036</v>
      </c>
      <c r="C4" s="18" t="s">
        <v>338</v>
      </c>
      <c r="D4" s="51" t="s">
        <v>421</v>
      </c>
      <c r="E4" s="19">
        <v>1</v>
      </c>
      <c r="F4" s="20"/>
      <c r="G4" s="20">
        <v>166</v>
      </c>
      <c r="H4" s="20">
        <v>60</v>
      </c>
      <c r="I4" s="20">
        <v>10</v>
      </c>
      <c r="J4" s="21">
        <v>9250</v>
      </c>
      <c r="K4" s="1">
        <f>Inventory_List_Table341120[[#This Row],[Q]]*Inventory_List_Table341120[[#This Row],[Per piece MXN$]]</f>
        <v>9250</v>
      </c>
      <c r="L4" s="1">
        <f>Inventory_List_Table341120[[#This Row],[KG]]*2.20462</f>
        <v>0</v>
      </c>
      <c r="M4" s="2">
        <f>Inventory_List_Table341120[[#This Row],[H CM]]/2.54</f>
        <v>65.354330708661422</v>
      </c>
      <c r="N4" s="2">
        <f>Inventory_List_Table341120[[#This Row],[W CM]]/2.54</f>
        <v>23.622047244094489</v>
      </c>
      <c r="O4" s="2">
        <f>Inventory_List_Table341120[[#This Row],[D CM ]]/2.54</f>
        <v>3.9370078740157481</v>
      </c>
      <c r="P4" s="22" t="s">
        <v>423</v>
      </c>
      <c r="Q4" s="22" t="s">
        <v>422</v>
      </c>
      <c r="U4" s="7"/>
      <c r="V4" s="7"/>
    </row>
    <row r="5" spans="1:22" ht="30" customHeight="1" x14ac:dyDescent="0.25">
      <c r="A5" s="16" t="s">
        <v>123</v>
      </c>
      <c r="B5" s="17">
        <v>46036</v>
      </c>
      <c r="C5" s="18" t="s">
        <v>339</v>
      </c>
      <c r="D5" s="51" t="s">
        <v>424</v>
      </c>
      <c r="E5" s="19">
        <v>1</v>
      </c>
      <c r="F5" s="20"/>
      <c r="G5" s="20">
        <v>177</v>
      </c>
      <c r="H5" s="20">
        <v>60</v>
      </c>
      <c r="I5" s="20">
        <v>10</v>
      </c>
      <c r="J5" s="21">
        <v>9840</v>
      </c>
      <c r="K5" s="1">
        <f>Inventory_List_Table341120[[#This Row],[Q]]*Inventory_List_Table341120[[#This Row],[Per piece MXN$]]</f>
        <v>9840</v>
      </c>
      <c r="L5" s="1">
        <f>Inventory_List_Table341120[[#This Row],[KG]]*2.20462</f>
        <v>0</v>
      </c>
      <c r="M5" s="2">
        <f>Inventory_List_Table341120[[#This Row],[H CM]]/2.54</f>
        <v>69.685039370078741</v>
      </c>
      <c r="N5" s="2">
        <f>Inventory_List_Table341120[[#This Row],[W CM]]/2.54</f>
        <v>23.622047244094489</v>
      </c>
      <c r="O5" s="2">
        <f>Inventory_List_Table341120[[#This Row],[D CM ]]/2.54</f>
        <v>3.9370078740157481</v>
      </c>
      <c r="P5" s="22" t="s">
        <v>426</v>
      </c>
      <c r="Q5" s="22" t="s">
        <v>425</v>
      </c>
      <c r="U5" s="7"/>
      <c r="V5" s="7"/>
    </row>
    <row r="6" spans="1:22" ht="30" customHeight="1" x14ac:dyDescent="0.25">
      <c r="A6" s="16" t="s">
        <v>124</v>
      </c>
      <c r="B6" s="17">
        <v>46036</v>
      </c>
      <c r="C6" s="18" t="s">
        <v>337</v>
      </c>
      <c r="D6" s="51" t="s">
        <v>427</v>
      </c>
      <c r="E6" s="19">
        <v>1</v>
      </c>
      <c r="F6" s="20"/>
      <c r="G6" s="20">
        <v>175</v>
      </c>
      <c r="H6" s="20">
        <v>60</v>
      </c>
      <c r="I6" s="20">
        <v>10</v>
      </c>
      <c r="J6" s="21">
        <v>9792</v>
      </c>
      <c r="K6" s="1">
        <f>Inventory_List_Table341120[[#This Row],[Q]]*Inventory_List_Table341120[[#This Row],[Per piece MXN$]]</f>
        <v>9792</v>
      </c>
      <c r="L6" s="1">
        <f>Inventory_List_Table341120[[#This Row],[KG]]*2.20462</f>
        <v>0</v>
      </c>
      <c r="M6" s="2">
        <f>Inventory_List_Table341120[[#This Row],[H CM]]/2.54</f>
        <v>68.897637795275585</v>
      </c>
      <c r="N6" s="2">
        <f>Inventory_List_Table341120[[#This Row],[W CM]]/2.54</f>
        <v>23.622047244094489</v>
      </c>
      <c r="O6" s="2">
        <f>Inventory_List_Table341120[[#This Row],[D CM ]]/2.54</f>
        <v>3.9370078740157481</v>
      </c>
      <c r="P6" s="22" t="s">
        <v>429</v>
      </c>
      <c r="Q6" s="22" t="s">
        <v>428</v>
      </c>
      <c r="U6" s="7"/>
      <c r="V6" s="7"/>
    </row>
    <row r="7" spans="1:22" ht="30" customHeight="1" x14ac:dyDescent="0.25">
      <c r="A7" s="16" t="s">
        <v>125</v>
      </c>
      <c r="B7" s="17">
        <v>46036</v>
      </c>
      <c r="C7" s="18" t="s">
        <v>337</v>
      </c>
      <c r="D7" s="51" t="s">
        <v>430</v>
      </c>
      <c r="E7" s="19">
        <v>1</v>
      </c>
      <c r="F7" s="20"/>
      <c r="G7" s="20">
        <v>180</v>
      </c>
      <c r="H7" s="20">
        <v>60</v>
      </c>
      <c r="I7" s="20">
        <v>10</v>
      </c>
      <c r="J7" s="21">
        <v>10073</v>
      </c>
      <c r="K7" s="1">
        <f>Inventory_List_Table341120[[#This Row],[Q]]*Inventory_List_Table341120[[#This Row],[Per piece MXN$]]</f>
        <v>10073</v>
      </c>
      <c r="L7" s="1">
        <f>Inventory_List_Table341120[[#This Row],[KG]]*2.20462</f>
        <v>0</v>
      </c>
      <c r="M7" s="2">
        <f>Inventory_List_Table341120[[#This Row],[H CM]]/2.54</f>
        <v>70.866141732283467</v>
      </c>
      <c r="N7" s="2">
        <f>Inventory_List_Table341120[[#This Row],[W CM]]/2.54</f>
        <v>23.622047244094489</v>
      </c>
      <c r="O7" s="2">
        <f>Inventory_List_Table341120[[#This Row],[D CM ]]/2.54</f>
        <v>3.9370078740157481</v>
      </c>
      <c r="P7" s="22" t="s">
        <v>432</v>
      </c>
      <c r="Q7" s="22" t="s">
        <v>431</v>
      </c>
      <c r="U7" s="7"/>
      <c r="V7" s="7"/>
    </row>
    <row r="8" spans="1:22" ht="30" customHeight="1" x14ac:dyDescent="0.25">
      <c r="A8" s="16" t="s">
        <v>126</v>
      </c>
      <c r="B8" s="17">
        <v>46036</v>
      </c>
      <c r="C8" s="18" t="s">
        <v>337</v>
      </c>
      <c r="D8" s="51" t="s">
        <v>433</v>
      </c>
      <c r="E8" s="19">
        <v>1</v>
      </c>
      <c r="F8" s="20"/>
      <c r="G8" s="20">
        <v>144</v>
      </c>
      <c r="H8" s="20">
        <v>60</v>
      </c>
      <c r="I8" s="20">
        <v>10</v>
      </c>
      <c r="J8" s="21">
        <v>8461</v>
      </c>
      <c r="K8" s="1">
        <f>Inventory_List_Table341120[[#This Row],[Q]]*Inventory_List_Table341120[[#This Row],[Per piece MXN$]]</f>
        <v>8461</v>
      </c>
      <c r="L8" s="1">
        <f>Inventory_List_Table341120[[#This Row],[KG]]*2.20462</f>
        <v>0</v>
      </c>
      <c r="M8" s="2">
        <f>Inventory_List_Table341120[[#This Row],[H CM]]/2.54</f>
        <v>56.69291338582677</v>
      </c>
      <c r="N8" s="2">
        <f>Inventory_List_Table341120[[#This Row],[W CM]]/2.54</f>
        <v>23.622047244094489</v>
      </c>
      <c r="O8" s="2">
        <f>Inventory_List_Table341120[[#This Row],[D CM ]]/2.54</f>
        <v>3.9370078740157481</v>
      </c>
      <c r="P8" s="22" t="s">
        <v>435</v>
      </c>
      <c r="Q8" s="22" t="s">
        <v>434</v>
      </c>
      <c r="U8" s="7"/>
      <c r="V8" s="7"/>
    </row>
    <row r="9" spans="1:22" ht="30" customHeight="1" x14ac:dyDescent="0.25">
      <c r="A9" s="16" t="s">
        <v>127</v>
      </c>
      <c r="B9" s="17">
        <v>46036</v>
      </c>
      <c r="C9" s="18" t="s">
        <v>337</v>
      </c>
      <c r="D9" s="51" t="s">
        <v>436</v>
      </c>
      <c r="E9" s="19">
        <v>1</v>
      </c>
      <c r="F9" s="20"/>
      <c r="G9" s="20">
        <v>162</v>
      </c>
      <c r="H9" s="20">
        <v>60</v>
      </c>
      <c r="I9" s="20">
        <v>10</v>
      </c>
      <c r="J9" s="21">
        <v>9300</v>
      </c>
      <c r="K9" s="1">
        <f>Inventory_List_Table341120[[#This Row],[Q]]*Inventory_List_Table341120[[#This Row],[Per piece MXN$]]</f>
        <v>9300</v>
      </c>
      <c r="L9" s="1">
        <f>Inventory_List_Table341120[[#This Row],[KG]]*2.20462</f>
        <v>0</v>
      </c>
      <c r="M9" s="2">
        <f>Inventory_List_Table341120[[#This Row],[H CM]]/2.54</f>
        <v>63.779527559055119</v>
      </c>
      <c r="N9" s="2">
        <f>Inventory_List_Table341120[[#This Row],[W CM]]/2.54</f>
        <v>23.622047244094489</v>
      </c>
      <c r="O9" s="2">
        <f>Inventory_List_Table341120[[#This Row],[D CM ]]/2.54</f>
        <v>3.9370078740157481</v>
      </c>
      <c r="P9" s="22" t="s">
        <v>438</v>
      </c>
      <c r="Q9" s="22" t="s">
        <v>437</v>
      </c>
      <c r="U9" s="7"/>
      <c r="V9" s="7"/>
    </row>
    <row r="10" spans="1:22" ht="30" customHeight="1" x14ac:dyDescent="0.25">
      <c r="A10" s="16" t="s">
        <v>128</v>
      </c>
      <c r="B10" s="17">
        <v>46036</v>
      </c>
      <c r="C10" s="18" t="s">
        <v>338</v>
      </c>
      <c r="D10" s="51" t="s">
        <v>439</v>
      </c>
      <c r="E10" s="19">
        <v>1</v>
      </c>
      <c r="F10" s="20"/>
      <c r="G10" s="20">
        <v>180</v>
      </c>
      <c r="H10" s="20">
        <v>60</v>
      </c>
      <c r="I10" s="20">
        <v>10</v>
      </c>
      <c r="J10" s="21">
        <v>10073</v>
      </c>
      <c r="K10" s="1">
        <f>Inventory_List_Table341120[[#This Row],[Q]]*Inventory_List_Table341120[[#This Row],[Per piece MXN$]]</f>
        <v>10073</v>
      </c>
      <c r="L10" s="1">
        <f>Inventory_List_Table341120[[#This Row],[KG]]*2.20462</f>
        <v>0</v>
      </c>
      <c r="M10" s="2">
        <f>Inventory_List_Table341120[[#This Row],[H CM]]/2.54</f>
        <v>70.866141732283467</v>
      </c>
      <c r="N10" s="2">
        <f>Inventory_List_Table341120[[#This Row],[W CM]]/2.54</f>
        <v>23.622047244094489</v>
      </c>
      <c r="O10" s="2">
        <f>Inventory_List_Table341120[[#This Row],[D CM ]]/2.54</f>
        <v>3.9370078740157481</v>
      </c>
      <c r="P10" s="22" t="s">
        <v>432</v>
      </c>
      <c r="Q10" s="22" t="s">
        <v>431</v>
      </c>
      <c r="U10" s="7"/>
      <c r="V10" s="7"/>
    </row>
    <row r="11" spans="1:22" ht="30" customHeight="1" x14ac:dyDescent="0.25">
      <c r="A11" s="16" t="s">
        <v>129</v>
      </c>
      <c r="B11" s="17">
        <v>46036</v>
      </c>
      <c r="C11" s="18" t="s">
        <v>337</v>
      </c>
      <c r="D11" s="51" t="s">
        <v>440</v>
      </c>
      <c r="E11" s="19">
        <v>1</v>
      </c>
      <c r="F11" s="20"/>
      <c r="G11" s="20">
        <v>180</v>
      </c>
      <c r="H11" s="20">
        <v>60</v>
      </c>
      <c r="I11" s="20">
        <v>10</v>
      </c>
      <c r="J11" s="21">
        <v>10073</v>
      </c>
      <c r="K11" s="1">
        <f>Inventory_List_Table341120[[#This Row],[Q]]*Inventory_List_Table341120[[#This Row],[Per piece MXN$]]</f>
        <v>10073</v>
      </c>
      <c r="L11" s="1">
        <f>Inventory_List_Table341120[[#This Row],[KG]]*2.20462</f>
        <v>0</v>
      </c>
      <c r="M11" s="2">
        <f>Inventory_List_Table341120[[#This Row],[H CM]]/2.54</f>
        <v>70.866141732283467</v>
      </c>
      <c r="N11" s="2">
        <f>Inventory_List_Table341120[[#This Row],[W CM]]/2.54</f>
        <v>23.622047244094489</v>
      </c>
      <c r="O11" s="2">
        <f>Inventory_List_Table341120[[#This Row],[D CM ]]/2.54</f>
        <v>3.9370078740157481</v>
      </c>
      <c r="P11" s="22" t="s">
        <v>432</v>
      </c>
      <c r="Q11" s="22" t="s">
        <v>431</v>
      </c>
      <c r="U11" s="7"/>
      <c r="V11" s="7"/>
    </row>
    <row r="12" spans="1:22" ht="30" customHeight="1" x14ac:dyDescent="0.25">
      <c r="A12" s="16" t="s">
        <v>130</v>
      </c>
      <c r="B12" s="17">
        <v>46036</v>
      </c>
      <c r="C12" s="18" t="s">
        <v>337</v>
      </c>
      <c r="D12" s="51" t="s">
        <v>441</v>
      </c>
      <c r="E12" s="19">
        <v>1</v>
      </c>
      <c r="F12" s="20"/>
      <c r="G12" s="20">
        <v>172</v>
      </c>
      <c r="H12" s="20">
        <v>60</v>
      </c>
      <c r="I12" s="20">
        <v>10</v>
      </c>
      <c r="J12" s="21">
        <v>9628</v>
      </c>
      <c r="K12" s="1">
        <f>Inventory_List_Table341120[[#This Row],[Q]]*Inventory_List_Table341120[[#This Row],[Per piece MXN$]]</f>
        <v>9628</v>
      </c>
      <c r="L12" s="1">
        <f>Inventory_List_Table341120[[#This Row],[KG]]*2.20462</f>
        <v>0</v>
      </c>
      <c r="M12" s="2">
        <f>Inventory_List_Table341120[[#This Row],[H CM]]/2.54</f>
        <v>67.71653543307086</v>
      </c>
      <c r="N12" s="2">
        <f>Inventory_List_Table341120[[#This Row],[W CM]]/2.54</f>
        <v>23.622047244094489</v>
      </c>
      <c r="O12" s="2">
        <f>Inventory_List_Table341120[[#This Row],[D CM ]]/2.54</f>
        <v>3.9370078740157481</v>
      </c>
      <c r="P12" s="22" t="s">
        <v>443</v>
      </c>
      <c r="Q12" s="22" t="s">
        <v>442</v>
      </c>
      <c r="U12" s="7"/>
      <c r="V12" s="7"/>
    </row>
    <row r="13" spans="1:22" ht="30" customHeight="1" x14ac:dyDescent="0.25">
      <c r="A13" s="16" t="s">
        <v>131</v>
      </c>
      <c r="B13" s="17">
        <v>46036</v>
      </c>
      <c r="C13" s="18" t="s">
        <v>338</v>
      </c>
      <c r="D13" s="51" t="s">
        <v>444</v>
      </c>
      <c r="E13" s="19">
        <v>1</v>
      </c>
      <c r="F13" s="20"/>
      <c r="G13" s="20">
        <v>170</v>
      </c>
      <c r="H13" s="20">
        <v>60</v>
      </c>
      <c r="I13" s="20">
        <v>10</v>
      </c>
      <c r="J13" s="21">
        <v>9516</v>
      </c>
      <c r="K13" s="1">
        <f>Inventory_List_Table341120[[#This Row],[Q]]*Inventory_List_Table341120[[#This Row],[Per piece MXN$]]</f>
        <v>9516</v>
      </c>
      <c r="L13" s="1">
        <f>Inventory_List_Table341120[[#This Row],[KG]]*2.20462</f>
        <v>0</v>
      </c>
      <c r="M13" s="2">
        <f>Inventory_List_Table341120[[#This Row],[H CM]]/2.54</f>
        <v>66.929133858267718</v>
      </c>
      <c r="N13" s="2">
        <f>Inventory_List_Table341120[[#This Row],[W CM]]/2.54</f>
        <v>23.622047244094489</v>
      </c>
      <c r="O13" s="2">
        <f>Inventory_List_Table341120[[#This Row],[D CM ]]/2.54</f>
        <v>3.9370078740157481</v>
      </c>
      <c r="P13" s="22" t="s">
        <v>446</v>
      </c>
      <c r="Q13" s="22" t="s">
        <v>445</v>
      </c>
      <c r="U13" s="7"/>
      <c r="V13" s="7"/>
    </row>
  </sheetData>
  <phoneticPr fontId="2" type="noConversion"/>
  <dataValidations count="11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915F8214-D507-4E23-ACDA-3EF33B1231FD}"/>
    <dataValidation allowBlank="1" showInputMessage="1" showErrorMessage="1" prompt="Enter the item inventory ID in this column" sqref="C1" xr:uid="{0ED5110C-0E7F-4B6E-A2F4-4349D7EA6B2A}"/>
    <dataValidation allowBlank="1" showInputMessage="1" showErrorMessage="1" prompt="Enter the name of the item in this column" sqref="D1" xr:uid="{B4E005B0-D5AE-42AC-87FD-F4A04775DA8F}"/>
    <dataValidation allowBlank="1" showInputMessage="1" showErrorMessage="1" prompt="Enter yes if the item has been discontinued. When a yes is entered, the corresponding row is highlighted a light grey and the font style changed to strikethrough" sqref="N1" xr:uid="{8FCE84C7-18F2-488B-B4CD-CBB86FCCBA29}"/>
    <dataValidation allowBlank="1" showInputMessage="1" showErrorMessage="1" prompt="Enter the quantity in reorder for each item in this column" sqref="M1" xr:uid="{D819965C-67C8-4BFB-8361-33EFA91ACEC8}"/>
    <dataValidation allowBlank="1" showInputMessage="1" showErrorMessage="1" prompt="Enter the number of days it takes to reorder each item in this column" sqref="J1:L1" xr:uid="{6AB58FEB-066F-4BC9-B067-5EEA495C12C1}"/>
    <dataValidation allowBlank="1" showInputMessage="1" showErrorMessage="1" prompt="Enter the reorder level for each item in this column" sqref="I1" xr:uid="{8EF3FDD4-06C1-44B2-8960-44B31681495B}"/>
    <dataValidation allowBlank="1" showInputMessage="1" showErrorMessage="1" prompt="This is an automated column._x000a__x000a_The inventory value for each item is automatically calculated in this column." sqref="H1" xr:uid="{C9494743-AD21-4A33-BB47-05F9887DA1DF}"/>
    <dataValidation allowBlank="1" showInputMessage="1" showErrorMessage="1" prompt="Enter the quantity in stock for each item in this column" sqref="G1" xr:uid="{E1DE6523-F54F-4586-9843-81DA61BF0D0A}"/>
    <dataValidation allowBlank="1" showInputMessage="1" showErrorMessage="1" prompt="Enter the unit price of each item in this column" sqref="F1" xr:uid="{94CB2F66-1172-4D1E-B359-98948CB3C8EE}"/>
    <dataValidation allowBlank="1" showInputMessage="1" showErrorMessage="1" prompt="Enter a description of the item in this column" sqref="E1" xr:uid="{F3E0EDE9-2421-4775-B257-90C946819A73}"/>
  </dataValidations>
  <printOptions horizontalCentered="1"/>
  <pageMargins left="0.25" right="0.25" top="0.75" bottom="0.75" header="0.3" footer="0.3"/>
  <pageSetup scale="47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B7DD-C5EE-4C99-9D5E-D534DD65F519}">
  <sheetPr codeName="Sheet9">
    <tabColor rgb="FFF0E68C"/>
    <pageSetUpPr fitToPage="1"/>
  </sheetPr>
  <dimension ref="A1:M15"/>
  <sheetViews>
    <sheetView showGridLines="0" topLeftCell="H1" zoomScaleNormal="100" workbookViewId="0">
      <selection activeCell="Q4" sqref="Q4"/>
    </sheetView>
  </sheetViews>
  <sheetFormatPr defaultColWidth="8.625" defaultRowHeight="24" customHeight="1" x14ac:dyDescent="0.25"/>
  <cols>
    <col min="1" max="1" width="4.125" style="23" customWidth="1"/>
    <col min="2" max="2" width="15.5" style="24" customWidth="1"/>
    <col min="3" max="3" width="29.375" style="25" customWidth="1"/>
    <col min="4" max="4" width="22" style="25" bestFit="1" customWidth="1"/>
    <col min="5" max="5" width="6.375" style="25" customWidth="1"/>
    <col min="6" max="6" width="9.25" style="26" bestFit="1" customWidth="1"/>
    <col min="7" max="7" width="8.125" style="26" bestFit="1" customWidth="1"/>
    <col min="8" max="8" width="8.75" style="26" bestFit="1" customWidth="1"/>
    <col min="9" max="9" width="8.125" style="26" bestFit="1" customWidth="1"/>
    <col min="10" max="10" width="25.75" style="26" bestFit="1" customWidth="1"/>
    <col min="11" max="11" width="21.625" style="26" bestFit="1" customWidth="1"/>
    <col min="12" max="12" width="7.5" style="7" bestFit="1" customWidth="1"/>
    <col min="13" max="13" width="8.125" style="7" bestFit="1" customWidth="1"/>
    <col min="14" max="16384" width="8.625" style="7"/>
  </cols>
  <sheetData>
    <row r="1" spans="1:13" s="15" customFormat="1" ht="40.9" customHeight="1" x14ac:dyDescent="0.25">
      <c r="A1" s="83" t="s">
        <v>111</v>
      </c>
      <c r="B1" s="84" t="s">
        <v>102</v>
      </c>
      <c r="C1" s="84" t="s">
        <v>112</v>
      </c>
      <c r="D1" s="85" t="s">
        <v>113</v>
      </c>
      <c r="E1" s="86" t="s">
        <v>103</v>
      </c>
      <c r="F1" s="87" t="s">
        <v>104</v>
      </c>
      <c r="G1" s="87" t="s">
        <v>109</v>
      </c>
      <c r="H1" s="87" t="s">
        <v>105</v>
      </c>
      <c r="I1" s="87" t="s">
        <v>106</v>
      </c>
      <c r="J1" s="87" t="s">
        <v>114</v>
      </c>
      <c r="K1" s="84" t="s">
        <v>115</v>
      </c>
      <c r="L1" s="88" t="s">
        <v>110</v>
      </c>
      <c r="M1" s="89" t="s">
        <v>0</v>
      </c>
    </row>
    <row r="2" spans="1:13" ht="30" customHeight="1" x14ac:dyDescent="0.2">
      <c r="A2" s="90" t="s">
        <v>120</v>
      </c>
      <c r="B2" s="17"/>
      <c r="C2" s="91" t="s">
        <v>245</v>
      </c>
      <c r="D2" s="91" t="s">
        <v>246</v>
      </c>
      <c r="E2" s="232">
        <v>5</v>
      </c>
      <c r="F2" s="92">
        <v>7</v>
      </c>
      <c r="G2" s="92">
        <v>40</v>
      </c>
      <c r="H2" s="92">
        <v>12</v>
      </c>
      <c r="I2" s="92"/>
      <c r="J2" s="93">
        <v>1200</v>
      </c>
      <c r="K2" s="1">
        <f>Inventory_List_Table341114[[#This Row],[Q]]*Inventory_List_Table341114[[#This Row],[Per piece MXN$]]</f>
        <v>6000</v>
      </c>
      <c r="L2" s="22" t="s">
        <v>609</v>
      </c>
      <c r="M2" s="22" t="s">
        <v>657</v>
      </c>
    </row>
    <row r="3" spans="1:13" ht="30" customHeight="1" x14ac:dyDescent="0.2">
      <c r="A3" s="90" t="s">
        <v>121</v>
      </c>
      <c r="B3" s="17"/>
      <c r="C3" s="91" t="s">
        <v>247</v>
      </c>
      <c r="D3" s="91" t="s">
        <v>248</v>
      </c>
      <c r="E3" s="232">
        <v>50</v>
      </c>
      <c r="F3" s="92">
        <v>2</v>
      </c>
      <c r="G3" s="92"/>
      <c r="H3" s="92"/>
      <c r="I3" s="92"/>
      <c r="J3" s="93">
        <v>400</v>
      </c>
      <c r="K3" s="1">
        <f>Inventory_List_Table341114[[#This Row],[Q]]*Inventory_List_Table341114[[#This Row],[Per piece MXN$]]</f>
        <v>20000</v>
      </c>
      <c r="L3" s="22" t="s">
        <v>558</v>
      </c>
      <c r="M3" s="22" t="s">
        <v>583</v>
      </c>
    </row>
    <row r="4" spans="1:13" ht="30" customHeight="1" x14ac:dyDescent="0.25">
      <c r="A4" s="90" t="s">
        <v>122</v>
      </c>
      <c r="B4" s="17"/>
      <c r="C4" s="18" t="s">
        <v>100</v>
      </c>
      <c r="D4" s="18" t="s">
        <v>1035</v>
      </c>
      <c r="E4" s="233">
        <v>3</v>
      </c>
      <c r="F4" s="92">
        <v>32</v>
      </c>
      <c r="G4" s="92">
        <v>96</v>
      </c>
      <c r="H4" s="92"/>
      <c r="I4" s="92"/>
      <c r="J4" s="93">
        <v>10000</v>
      </c>
      <c r="K4" s="1">
        <f>Inventory_List_Table341114[[#This Row],[Q]]*Inventory_List_Table341114[[#This Row],[Per piece MXN$]]</f>
        <v>30000</v>
      </c>
      <c r="L4" s="22" t="s">
        <v>844</v>
      </c>
      <c r="M4" s="22" t="s">
        <v>1060</v>
      </c>
    </row>
    <row r="5" spans="1:13" ht="30" customHeight="1" x14ac:dyDescent="0.25">
      <c r="A5" s="229" t="s">
        <v>123</v>
      </c>
      <c r="B5" s="17"/>
      <c r="C5" s="18" t="s">
        <v>249</v>
      </c>
      <c r="D5" s="18" t="s">
        <v>966</v>
      </c>
      <c r="E5" s="233">
        <v>1</v>
      </c>
      <c r="F5" s="92">
        <v>473</v>
      </c>
      <c r="G5" s="92">
        <v>140</v>
      </c>
      <c r="H5" s="92">
        <v>55</v>
      </c>
      <c r="I5" s="92">
        <v>40</v>
      </c>
      <c r="J5" s="93">
        <v>5676</v>
      </c>
      <c r="K5" s="1">
        <f>Inventory_List_Table341114[[#This Row],[Q]]*Inventory_List_Table341114[[#This Row],[Per piece MXN$]]</f>
        <v>5676</v>
      </c>
      <c r="L5" s="22" t="s">
        <v>967</v>
      </c>
      <c r="M5" s="22" t="s">
        <v>968</v>
      </c>
    </row>
    <row r="6" spans="1:13" ht="30" customHeight="1" x14ac:dyDescent="0.25">
      <c r="A6" s="229" t="s">
        <v>124</v>
      </c>
      <c r="B6" s="17"/>
      <c r="C6" s="18" t="s">
        <v>249</v>
      </c>
      <c r="D6" s="18" t="s">
        <v>969</v>
      </c>
      <c r="E6" s="233">
        <v>1</v>
      </c>
      <c r="F6" s="92">
        <v>308</v>
      </c>
      <c r="G6" s="92">
        <v>140</v>
      </c>
      <c r="H6" s="92">
        <v>48</v>
      </c>
      <c r="I6" s="92">
        <v>30</v>
      </c>
      <c r="J6" s="93">
        <v>3696</v>
      </c>
      <c r="K6" s="1">
        <f>Inventory_List_Table341114[[#This Row],[Q]]*Inventory_List_Table341114[[#This Row],[Per piece MXN$]]</f>
        <v>3696</v>
      </c>
      <c r="L6" s="22" t="s">
        <v>970</v>
      </c>
      <c r="M6" s="22" t="s">
        <v>971</v>
      </c>
    </row>
    <row r="7" spans="1:13" ht="30" customHeight="1" x14ac:dyDescent="0.25">
      <c r="A7" s="229" t="s">
        <v>125</v>
      </c>
      <c r="B7" s="17"/>
      <c r="C7" s="18" t="s">
        <v>250</v>
      </c>
      <c r="D7" s="18" t="s">
        <v>972</v>
      </c>
      <c r="E7" s="233">
        <v>1</v>
      </c>
      <c r="F7" s="92">
        <v>185</v>
      </c>
      <c r="G7" s="92">
        <v>70</v>
      </c>
      <c r="H7" s="92">
        <v>42</v>
      </c>
      <c r="I7" s="92">
        <v>30</v>
      </c>
      <c r="J7" s="93">
        <v>2220</v>
      </c>
      <c r="K7" s="1">
        <f>Inventory_List_Table341114[[#This Row],[Q]]*Inventory_List_Table341114[[#This Row],[Per piece MXN$]]</f>
        <v>2220</v>
      </c>
      <c r="L7" s="22" t="s">
        <v>755</v>
      </c>
      <c r="M7" s="22" t="s">
        <v>973</v>
      </c>
    </row>
    <row r="8" spans="1:13" ht="30" customHeight="1" x14ac:dyDescent="0.25">
      <c r="A8" s="229" t="s">
        <v>126</v>
      </c>
      <c r="B8" s="17"/>
      <c r="C8" s="18" t="s">
        <v>251</v>
      </c>
      <c r="D8" s="18" t="s">
        <v>974</v>
      </c>
      <c r="E8" s="233">
        <v>1</v>
      </c>
      <c r="F8" s="92">
        <v>285</v>
      </c>
      <c r="G8" s="92">
        <v>60</v>
      </c>
      <c r="H8" s="92">
        <v>45</v>
      </c>
      <c r="I8" s="92">
        <v>38</v>
      </c>
      <c r="J8" s="93">
        <v>3420</v>
      </c>
      <c r="K8" s="1">
        <f>Inventory_List_Table341114[[#This Row],[Q]]*Inventory_List_Table341114[[#This Row],[Per piece MXN$]]</f>
        <v>3420</v>
      </c>
      <c r="L8" s="22" t="s">
        <v>975</v>
      </c>
      <c r="M8" s="22" t="s">
        <v>976</v>
      </c>
    </row>
    <row r="9" spans="1:13" ht="30" customHeight="1" x14ac:dyDescent="0.25">
      <c r="A9" s="229" t="s">
        <v>127</v>
      </c>
      <c r="B9" s="17"/>
      <c r="C9" s="18" t="s">
        <v>252</v>
      </c>
      <c r="D9" s="18" t="s">
        <v>977</v>
      </c>
      <c r="E9" s="233">
        <v>1</v>
      </c>
      <c r="F9" s="92">
        <v>198</v>
      </c>
      <c r="G9" s="92">
        <v>80</v>
      </c>
      <c r="H9" s="92">
        <v>80</v>
      </c>
      <c r="I9" s="92">
        <v>29</v>
      </c>
      <c r="J9" s="93">
        <v>2376</v>
      </c>
      <c r="K9" s="1">
        <f>Inventory_List_Table341114[[#This Row],[Q]]*Inventory_List_Table341114[[#This Row],[Per piece MXN$]]</f>
        <v>2376</v>
      </c>
      <c r="L9" s="22" t="s">
        <v>978</v>
      </c>
      <c r="M9" s="22" t="s">
        <v>979</v>
      </c>
    </row>
    <row r="10" spans="1:13" ht="30" customHeight="1" x14ac:dyDescent="0.25">
      <c r="A10" s="229" t="s">
        <v>128</v>
      </c>
      <c r="B10" s="17"/>
      <c r="C10" s="18" t="s">
        <v>252</v>
      </c>
      <c r="D10" s="18" t="s">
        <v>980</v>
      </c>
      <c r="E10" s="233">
        <v>1</v>
      </c>
      <c r="F10" s="92">
        <v>247</v>
      </c>
      <c r="G10" s="92">
        <v>66</v>
      </c>
      <c r="H10" s="92">
        <v>45</v>
      </c>
      <c r="I10" s="92">
        <v>36</v>
      </c>
      <c r="J10" s="93">
        <v>2964</v>
      </c>
      <c r="K10" s="1">
        <f>Inventory_List_Table341114[[#This Row],[Q]]*Inventory_List_Table341114[[#This Row],[Per piece MXN$]]</f>
        <v>2964</v>
      </c>
      <c r="L10" s="22" t="s">
        <v>666</v>
      </c>
      <c r="M10" s="22" t="s">
        <v>981</v>
      </c>
    </row>
    <row r="11" spans="1:13" ht="30" customHeight="1" x14ac:dyDescent="0.25">
      <c r="A11" s="229" t="s">
        <v>129</v>
      </c>
      <c r="B11" s="17"/>
      <c r="C11" s="18" t="s">
        <v>253</v>
      </c>
      <c r="D11" s="18" t="s">
        <v>982</v>
      </c>
      <c r="E11" s="233">
        <v>1</v>
      </c>
      <c r="F11" s="92">
        <v>254</v>
      </c>
      <c r="G11" s="92">
        <v>80</v>
      </c>
      <c r="H11" s="92">
        <v>50</v>
      </c>
      <c r="I11" s="92">
        <v>35</v>
      </c>
      <c r="J11" s="93">
        <v>3048</v>
      </c>
      <c r="K11" s="1">
        <f>Inventory_List_Table341114[[#This Row],[Q]]*Inventory_List_Table341114[[#This Row],[Per piece MXN$]]</f>
        <v>3048</v>
      </c>
      <c r="L11" s="22" t="s">
        <v>983</v>
      </c>
      <c r="M11" s="22" t="s">
        <v>984</v>
      </c>
    </row>
    <row r="12" spans="1:13" ht="30" customHeight="1" x14ac:dyDescent="0.25">
      <c r="A12" s="229" t="s">
        <v>130</v>
      </c>
      <c r="B12" s="17"/>
      <c r="C12" s="18" t="s">
        <v>252</v>
      </c>
      <c r="D12" s="18" t="s">
        <v>985</v>
      </c>
      <c r="E12" s="233">
        <v>1</v>
      </c>
      <c r="F12" s="92">
        <v>350</v>
      </c>
      <c r="G12" s="92"/>
      <c r="H12" s="92"/>
      <c r="I12" s="92"/>
      <c r="J12" s="93">
        <v>3850</v>
      </c>
      <c r="K12" s="1">
        <f>Inventory_List_Table341114[[#This Row],[Q]]*Inventory_List_Table341114[[#This Row],[Per piece MXN$]]</f>
        <v>3850</v>
      </c>
      <c r="L12" s="22" t="s">
        <v>986</v>
      </c>
      <c r="M12" s="22" t="s">
        <v>987</v>
      </c>
    </row>
    <row r="13" spans="1:13" ht="30" customHeight="1" x14ac:dyDescent="0.25">
      <c r="A13" s="229" t="s">
        <v>131</v>
      </c>
      <c r="B13" s="17"/>
      <c r="C13" s="18" t="s">
        <v>253</v>
      </c>
      <c r="D13" s="18" t="s">
        <v>988</v>
      </c>
      <c r="E13" s="233">
        <v>1</v>
      </c>
      <c r="F13" s="92">
        <v>350</v>
      </c>
      <c r="G13" s="92"/>
      <c r="H13" s="92"/>
      <c r="I13" s="92"/>
      <c r="J13" s="93">
        <v>3850</v>
      </c>
      <c r="K13" s="1">
        <f>Inventory_List_Table341114[[#This Row],[Q]]*Inventory_List_Table341114[[#This Row],[Per piece MXN$]]</f>
        <v>3850</v>
      </c>
      <c r="L13" s="22" t="s">
        <v>986</v>
      </c>
      <c r="M13" s="22" t="s">
        <v>987</v>
      </c>
    </row>
    <row r="14" spans="1:13" ht="30" customHeight="1" x14ac:dyDescent="0.25">
      <c r="A14" s="90" t="s">
        <v>132</v>
      </c>
      <c r="B14" s="17">
        <v>46039</v>
      </c>
      <c r="C14" s="18" t="s">
        <v>380</v>
      </c>
      <c r="D14" s="51" t="s">
        <v>751</v>
      </c>
      <c r="E14" s="233">
        <v>11</v>
      </c>
      <c r="F14" s="92">
        <v>3</v>
      </c>
      <c r="G14" s="92">
        <v>40</v>
      </c>
      <c r="H14" s="92">
        <v>12</v>
      </c>
      <c r="I14" s="92"/>
      <c r="J14" s="93">
        <v>1100</v>
      </c>
      <c r="K14" s="1">
        <f>Inventory_List_Table341114[[#This Row],[Q]]*Inventory_List_Table341114[[#This Row],[Per piece MXN$]]</f>
        <v>12100</v>
      </c>
      <c r="L14" s="22" t="s">
        <v>724</v>
      </c>
      <c r="M14" s="22" t="s">
        <v>723</v>
      </c>
    </row>
    <row r="15" spans="1:13" ht="24" customHeight="1" x14ac:dyDescent="0.25">
      <c r="B15" s="17">
        <v>46039</v>
      </c>
      <c r="C15" s="18" t="s">
        <v>990</v>
      </c>
      <c r="D15" s="18" t="s">
        <v>1036</v>
      </c>
      <c r="E15" s="233">
        <v>42</v>
      </c>
      <c r="F15" s="92">
        <v>30</v>
      </c>
      <c r="G15" s="92"/>
      <c r="H15" s="92"/>
      <c r="I15" s="92"/>
      <c r="J15" s="252">
        <v>100</v>
      </c>
      <c r="K15" s="80">
        <f>Inventory_List_Table341114[[#This Row],[Q]]*Inventory_List_Table341114[[#This Row],[Per piece MXN$]]</f>
        <v>4200</v>
      </c>
      <c r="L15" s="22" t="s">
        <v>843</v>
      </c>
      <c r="M15" s="22" t="s">
        <v>842</v>
      </c>
    </row>
  </sheetData>
  <dataValidations count="9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A1E17B8D-2B3E-4DAA-BC4E-B19654C3401C}"/>
    <dataValidation allowBlank="1" showInputMessage="1" showErrorMessage="1" prompt="Enter the item inventory ID in this column" sqref="C1" xr:uid="{B7E14A0C-6F7F-496F-A84D-FDD3C59E13D5}"/>
    <dataValidation allowBlank="1" showInputMessage="1" showErrorMessage="1" prompt="Enter the name of the item in this column" sqref="D1" xr:uid="{D9D21098-0E62-4FCA-9002-D79E2CEC4D1B}"/>
    <dataValidation allowBlank="1" showInputMessage="1" showErrorMessage="1" prompt="Enter the number of days it takes to reorder each item in this column" sqref="J1:K1" xr:uid="{E2E252DD-4835-4BC4-AFEB-48D67019B03A}"/>
    <dataValidation allowBlank="1" showInputMessage="1" showErrorMessage="1" prompt="Enter the reorder level for each item in this column" sqref="I1" xr:uid="{5486D7D7-C73F-49F4-942E-577D49BC5F35}"/>
    <dataValidation allowBlank="1" showInputMessage="1" showErrorMessage="1" prompt="This is an automated column._x000a__x000a_The inventory value for each item is automatically calculated in this column." sqref="H1" xr:uid="{AF6E9F37-DA44-42C5-87F0-91DD049BE261}"/>
    <dataValidation allowBlank="1" showInputMessage="1" showErrorMessage="1" prompt="Enter the quantity in stock for each item in this column" sqref="G1" xr:uid="{8C256AEE-83FF-4BFB-B15B-8B04ECB0BBA0}"/>
    <dataValidation allowBlank="1" showInputMessage="1" showErrorMessage="1" prompt="Enter the unit price of each item in this column" sqref="F1" xr:uid="{F7D7D614-43ED-41A6-8D46-6DB9153474C9}"/>
    <dataValidation allowBlank="1" showInputMessage="1" showErrorMessage="1" prompt="Enter a description of the item in this column" sqref="E1" xr:uid="{52577A1E-52F5-48B6-BAF5-DCD6C9A85507}"/>
  </dataValidations>
  <printOptions horizontalCentered="1"/>
  <pageMargins left="0.25" right="0.25" top="0.75" bottom="0.75" header="0.3" footer="0.3"/>
  <pageSetup scale="25" fitToHeight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08D9-4E9F-4751-8D6F-2AE0497F0BA1}">
  <sheetPr>
    <tabColor theme="0" tint="-0.14999847407452621"/>
    <pageSetUpPr fitToPage="1"/>
  </sheetPr>
  <dimension ref="A1:M10"/>
  <sheetViews>
    <sheetView showGridLines="0" zoomScale="70" zoomScaleNormal="70" workbookViewId="0">
      <selection activeCell="N1" sqref="N1:O1048576"/>
    </sheetView>
  </sheetViews>
  <sheetFormatPr defaultColWidth="8.625" defaultRowHeight="24" customHeight="1" x14ac:dyDescent="0.25"/>
  <cols>
    <col min="1" max="1" width="4.125" style="23" customWidth="1"/>
    <col min="2" max="2" width="15.5" style="24" customWidth="1"/>
    <col min="3" max="3" width="29.375" style="25" customWidth="1"/>
    <col min="4" max="4" width="22" style="25" bestFit="1" customWidth="1"/>
    <col min="5" max="5" width="7.375" style="25" bestFit="1" customWidth="1"/>
    <col min="6" max="6" width="9.25" style="26" bestFit="1" customWidth="1"/>
    <col min="7" max="7" width="8.125" style="26" bestFit="1" customWidth="1"/>
    <col min="8" max="8" width="8.75" style="26" bestFit="1" customWidth="1"/>
    <col min="9" max="9" width="8.125" style="26" bestFit="1" customWidth="1"/>
    <col min="10" max="10" width="19.5" style="26" bestFit="1" customWidth="1"/>
    <col min="11" max="11" width="22.625" style="26" customWidth="1"/>
    <col min="12" max="12" width="7.5" style="7" bestFit="1" customWidth="1"/>
    <col min="13" max="13" width="8.125" style="7" bestFit="1" customWidth="1"/>
    <col min="14" max="16384" width="8.625" style="7"/>
  </cols>
  <sheetData>
    <row r="1" spans="1:13" s="15" customFormat="1" ht="40.9" customHeight="1" x14ac:dyDescent="0.25">
      <c r="A1" s="8" t="s">
        <v>111</v>
      </c>
      <c r="B1" s="9" t="s">
        <v>102</v>
      </c>
      <c r="C1" s="9" t="s">
        <v>112</v>
      </c>
      <c r="D1" s="10" t="s">
        <v>113</v>
      </c>
      <c r="E1" s="11" t="s">
        <v>103</v>
      </c>
      <c r="F1" s="12" t="s">
        <v>104</v>
      </c>
      <c r="G1" s="12" t="s">
        <v>109</v>
      </c>
      <c r="H1" s="12" t="s">
        <v>105</v>
      </c>
      <c r="I1" s="12" t="s">
        <v>106</v>
      </c>
      <c r="J1" s="12" t="s">
        <v>114</v>
      </c>
      <c r="K1" s="9" t="s">
        <v>115</v>
      </c>
      <c r="L1" s="13" t="s">
        <v>110</v>
      </c>
      <c r="M1" s="14" t="s">
        <v>0</v>
      </c>
    </row>
    <row r="2" spans="1:13" ht="30" customHeight="1" x14ac:dyDescent="0.25">
      <c r="A2" s="16" t="s">
        <v>120</v>
      </c>
      <c r="B2" s="17">
        <v>46035</v>
      </c>
      <c r="C2" s="18" t="s">
        <v>340</v>
      </c>
      <c r="D2" s="51" t="s">
        <v>447</v>
      </c>
      <c r="E2" s="19">
        <v>10</v>
      </c>
      <c r="F2" s="20"/>
      <c r="G2" s="20">
        <v>30</v>
      </c>
      <c r="H2" s="20">
        <v>15</v>
      </c>
      <c r="I2" s="20">
        <v>15</v>
      </c>
      <c r="J2" s="21">
        <v>2000</v>
      </c>
      <c r="K2" s="1">
        <f>Inventory_List_Table341121[[#This Row],[Q]]*Inventory_List_Table341121[[#This Row],[Per piece MXN$]]</f>
        <v>20000</v>
      </c>
      <c r="L2" s="22" t="s">
        <v>449</v>
      </c>
      <c r="M2" s="22" t="s">
        <v>448</v>
      </c>
    </row>
    <row r="3" spans="1:13" ht="30" customHeight="1" x14ac:dyDescent="0.25">
      <c r="A3" s="16" t="s">
        <v>121</v>
      </c>
      <c r="B3" s="17">
        <v>46035</v>
      </c>
      <c r="C3" s="18" t="s">
        <v>340</v>
      </c>
      <c r="D3" s="51" t="s">
        <v>450</v>
      </c>
      <c r="E3" s="19">
        <v>10</v>
      </c>
      <c r="F3" s="20"/>
      <c r="G3" s="20">
        <v>40</v>
      </c>
      <c r="H3" s="20">
        <v>15</v>
      </c>
      <c r="I3" s="20">
        <v>15</v>
      </c>
      <c r="J3" s="21">
        <v>2570</v>
      </c>
      <c r="K3" s="1">
        <f>Inventory_List_Table341121[[#This Row],[Q]]*Inventory_List_Table341121[[#This Row],[Per piece MXN$]]</f>
        <v>25700</v>
      </c>
      <c r="L3" s="22" t="s">
        <v>452</v>
      </c>
      <c r="M3" s="22" t="s">
        <v>451</v>
      </c>
    </row>
    <row r="4" spans="1:13" ht="30" customHeight="1" x14ac:dyDescent="0.25">
      <c r="A4" s="16" t="s">
        <v>122</v>
      </c>
      <c r="B4" s="17">
        <v>46035</v>
      </c>
      <c r="C4" s="18" t="s">
        <v>341</v>
      </c>
      <c r="D4" s="51" t="s">
        <v>453</v>
      </c>
      <c r="E4" s="19">
        <v>2</v>
      </c>
      <c r="F4" s="20"/>
      <c r="G4" s="20">
        <v>20</v>
      </c>
      <c r="H4" s="20">
        <v>20</v>
      </c>
      <c r="I4" s="20">
        <v>20</v>
      </c>
      <c r="J4" s="21">
        <v>2630</v>
      </c>
      <c r="K4" s="1">
        <f>Inventory_List_Table341121[[#This Row],[Q]]*Inventory_List_Table341121[[#This Row],[Per piece MXN$]]</f>
        <v>5260</v>
      </c>
      <c r="L4" s="22" t="s">
        <v>455</v>
      </c>
      <c r="M4" s="22" t="s">
        <v>454</v>
      </c>
    </row>
    <row r="5" spans="1:13" ht="30" customHeight="1" x14ac:dyDescent="0.25">
      <c r="A5" s="16" t="s">
        <v>123</v>
      </c>
      <c r="B5" s="17">
        <v>46035</v>
      </c>
      <c r="C5" s="18" t="s">
        <v>342</v>
      </c>
      <c r="D5" s="51" t="s">
        <v>456</v>
      </c>
      <c r="E5" s="19">
        <v>1</v>
      </c>
      <c r="F5" s="20"/>
      <c r="G5" s="20">
        <v>130</v>
      </c>
      <c r="H5" s="20">
        <v>30</v>
      </c>
      <c r="I5" s="20">
        <v>30</v>
      </c>
      <c r="J5" s="21">
        <v>4625</v>
      </c>
      <c r="K5" s="1">
        <f>Inventory_List_Table341121[[#This Row],[Q]]*Inventory_List_Table341121[[#This Row],[Per piece MXN$]]</f>
        <v>4625</v>
      </c>
      <c r="L5" s="22" t="s">
        <v>458</v>
      </c>
      <c r="M5" s="22" t="s">
        <v>457</v>
      </c>
    </row>
    <row r="6" spans="1:13" ht="30" customHeight="1" x14ac:dyDescent="0.25">
      <c r="A6" s="16" t="s">
        <v>124</v>
      </c>
      <c r="B6" s="17">
        <v>46035</v>
      </c>
      <c r="C6" s="18" t="s">
        <v>342</v>
      </c>
      <c r="D6" s="51" t="s">
        <v>459</v>
      </c>
      <c r="E6" s="19">
        <v>1</v>
      </c>
      <c r="F6" s="20"/>
      <c r="G6" s="20">
        <v>140</v>
      </c>
      <c r="H6" s="20">
        <v>30</v>
      </c>
      <c r="I6" s="20">
        <v>30</v>
      </c>
      <c r="J6" s="21">
        <v>4925</v>
      </c>
      <c r="K6" s="1">
        <f>Inventory_List_Table341121[[#This Row],[Q]]*Inventory_List_Table341121[[#This Row],[Per piece MXN$]]</f>
        <v>4925</v>
      </c>
      <c r="L6" s="22" t="s">
        <v>461</v>
      </c>
      <c r="M6" s="22" t="s">
        <v>460</v>
      </c>
    </row>
    <row r="7" spans="1:13" ht="30" customHeight="1" x14ac:dyDescent="0.25">
      <c r="A7" s="16" t="s">
        <v>125</v>
      </c>
      <c r="B7" s="17">
        <v>46035</v>
      </c>
      <c r="C7" s="18" t="s">
        <v>342</v>
      </c>
      <c r="D7" s="51" t="s">
        <v>462</v>
      </c>
      <c r="E7" s="19">
        <v>1</v>
      </c>
      <c r="F7" s="20"/>
      <c r="G7" s="20">
        <v>150</v>
      </c>
      <c r="H7" s="20">
        <v>30</v>
      </c>
      <c r="I7" s="20">
        <v>30</v>
      </c>
      <c r="J7" s="21">
        <v>5225</v>
      </c>
      <c r="K7" s="1">
        <f>Inventory_List_Table341121[[#This Row],[Q]]*Inventory_List_Table341121[[#This Row],[Per piece MXN$]]</f>
        <v>5225</v>
      </c>
      <c r="L7" s="22" t="s">
        <v>464</v>
      </c>
      <c r="M7" s="22" t="s">
        <v>463</v>
      </c>
    </row>
    <row r="8" spans="1:13" ht="30" customHeight="1" x14ac:dyDescent="0.25">
      <c r="A8" s="16" t="s">
        <v>126</v>
      </c>
      <c r="B8" s="17">
        <v>46035</v>
      </c>
      <c r="C8" s="18" t="s">
        <v>343</v>
      </c>
      <c r="D8" s="51" t="s">
        <v>465</v>
      </c>
      <c r="E8" s="19">
        <v>1</v>
      </c>
      <c r="F8" s="20"/>
      <c r="G8" s="20">
        <v>135</v>
      </c>
      <c r="H8" s="20">
        <v>25</v>
      </c>
      <c r="I8" s="20">
        <v>25</v>
      </c>
      <c r="J8" s="21">
        <v>4025</v>
      </c>
      <c r="K8" s="1">
        <f>Inventory_List_Table341121[[#This Row],[Q]]*Inventory_List_Table341121[[#This Row],[Per piece MXN$]]</f>
        <v>4025</v>
      </c>
      <c r="L8" s="22" t="s">
        <v>467</v>
      </c>
      <c r="M8" s="22" t="s">
        <v>466</v>
      </c>
    </row>
    <row r="9" spans="1:13" ht="30" customHeight="1" x14ac:dyDescent="0.25">
      <c r="A9" s="16" t="s">
        <v>127</v>
      </c>
      <c r="B9" s="17">
        <v>46035</v>
      </c>
      <c r="C9" s="18" t="s">
        <v>343</v>
      </c>
      <c r="D9" s="51" t="s">
        <v>468</v>
      </c>
      <c r="E9" s="19">
        <v>1</v>
      </c>
      <c r="F9" s="20"/>
      <c r="G9" s="20">
        <v>130</v>
      </c>
      <c r="H9" s="20">
        <v>25</v>
      </c>
      <c r="I9" s="20">
        <v>25</v>
      </c>
      <c r="J9" s="21">
        <v>3900</v>
      </c>
      <c r="K9" s="1">
        <f>Inventory_List_Table341121[[#This Row],[Q]]*Inventory_List_Table341121[[#This Row],[Per piece MXN$]]</f>
        <v>3900</v>
      </c>
      <c r="L9" s="22" t="s">
        <v>470</v>
      </c>
      <c r="M9" s="22" t="s">
        <v>469</v>
      </c>
    </row>
    <row r="10" spans="1:13" ht="30" customHeight="1" x14ac:dyDescent="0.25">
      <c r="A10" s="16" t="s">
        <v>128</v>
      </c>
      <c r="B10" s="17">
        <v>46035</v>
      </c>
      <c r="C10" s="18" t="s">
        <v>343</v>
      </c>
      <c r="D10" s="51" t="s">
        <v>471</v>
      </c>
      <c r="E10" s="19">
        <v>1</v>
      </c>
      <c r="F10" s="20"/>
      <c r="G10" s="20">
        <v>115</v>
      </c>
      <c r="H10" s="20">
        <v>25</v>
      </c>
      <c r="I10" s="20">
        <v>25</v>
      </c>
      <c r="J10" s="21">
        <v>3525</v>
      </c>
      <c r="K10" s="1">
        <f>Inventory_List_Table341121[[#This Row],[Q]]*Inventory_List_Table341121[[#This Row],[Per piece MXN$]]</f>
        <v>3525</v>
      </c>
      <c r="L10" s="22" t="s">
        <v>472</v>
      </c>
      <c r="M10" s="22" t="s">
        <v>461</v>
      </c>
    </row>
  </sheetData>
  <dataValidations count="9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B101CA64-F1EB-4801-8C70-3CBE06B28B80}"/>
    <dataValidation allowBlank="1" showInputMessage="1" showErrorMessage="1" prompt="Enter the item inventory ID in this column" sqref="C1" xr:uid="{952A0344-7EC0-4F74-A226-BABFA1CF1D19}"/>
    <dataValidation allowBlank="1" showInputMessage="1" showErrorMessage="1" prompt="Enter the name of the item in this column" sqref="D1" xr:uid="{26E6B73F-F31A-4D96-8D35-DF4AB2139E71}"/>
    <dataValidation allowBlank="1" showInputMessage="1" showErrorMessage="1" prompt="Enter the number of days it takes to reorder each item in this column" sqref="J1:K1" xr:uid="{888E3E42-6482-473C-B1DA-8081CB9E6FD5}"/>
    <dataValidation allowBlank="1" showInputMessage="1" showErrorMessage="1" prompt="Enter the reorder level for each item in this column" sqref="I1" xr:uid="{B3AC7AC0-2261-476C-8BD2-BA2DE4C6A326}"/>
    <dataValidation allowBlank="1" showInputMessage="1" showErrorMessage="1" prompt="This is an automated column._x000a__x000a_The inventory value for each item is automatically calculated in this column." sqref="H1" xr:uid="{27391546-67C7-46C5-931C-09BD4FCB4B5C}"/>
    <dataValidation allowBlank="1" showInputMessage="1" showErrorMessage="1" prompt="Enter the quantity in stock for each item in this column" sqref="G1" xr:uid="{E7B95C78-09B9-46CE-A9FE-560A90322796}"/>
    <dataValidation allowBlank="1" showInputMessage="1" showErrorMessage="1" prompt="Enter the unit price of each item in this column" sqref="F1" xr:uid="{7D4DC07A-8C37-4FFB-AB6B-E2BE584ACC97}"/>
    <dataValidation allowBlank="1" showInputMessage="1" showErrorMessage="1" prompt="Enter a description of the item in this column" sqref="E1" xr:uid="{78A81D45-E796-4D43-A205-C92264ADB6DD}"/>
  </dataValidations>
  <printOptions horizontalCentered="1"/>
  <pageMargins left="0.25" right="0.25" top="0.75" bottom="0.75" header="0.3" footer="0.3"/>
  <pageSetup scale="47" fitToHeight="0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021F-C783-49C3-8490-01D4CAD82A3D}">
  <sheetPr codeName="Sheet3">
    <tabColor rgb="FFB0E0E6"/>
    <pageSetUpPr fitToPage="1"/>
  </sheetPr>
  <dimension ref="A1:M30"/>
  <sheetViews>
    <sheetView showGridLines="0" topLeftCell="C1" zoomScale="70" zoomScaleNormal="70" workbookViewId="0">
      <selection activeCell="P3" sqref="P3"/>
    </sheetView>
  </sheetViews>
  <sheetFormatPr defaultColWidth="8.625" defaultRowHeight="24" customHeight="1" x14ac:dyDescent="0.25"/>
  <cols>
    <col min="1" max="1" width="4.125" style="23" customWidth="1"/>
    <col min="2" max="2" width="15.5" style="24" customWidth="1"/>
    <col min="3" max="3" width="41" style="110" bestFit="1" customWidth="1"/>
    <col min="4" max="4" width="26" style="25" customWidth="1"/>
    <col min="5" max="5" width="9.75" style="25" customWidth="1"/>
    <col min="6" max="6" width="9.25" style="26" bestFit="1" customWidth="1"/>
    <col min="7" max="7" width="8.125" style="26" bestFit="1" customWidth="1"/>
    <col min="8" max="8" width="8.75" style="26" bestFit="1" customWidth="1"/>
    <col min="9" max="9" width="8.125" style="26" bestFit="1" customWidth="1"/>
    <col min="10" max="10" width="19.5" style="26" bestFit="1" customWidth="1"/>
    <col min="11" max="11" width="25" style="26" bestFit="1" customWidth="1"/>
    <col min="12" max="12" width="7.5" style="7" bestFit="1" customWidth="1"/>
    <col min="13" max="13" width="8.125" style="7" bestFit="1" customWidth="1"/>
    <col min="14" max="16384" width="8.625" style="7"/>
  </cols>
  <sheetData>
    <row r="1" spans="1:13" s="15" customFormat="1" ht="40.9" customHeight="1" x14ac:dyDescent="0.25">
      <c r="A1" s="95" t="s">
        <v>111</v>
      </c>
      <c r="B1" s="96" t="s">
        <v>102</v>
      </c>
      <c r="C1" s="97" t="s">
        <v>112</v>
      </c>
      <c r="D1" s="97" t="s">
        <v>113</v>
      </c>
      <c r="E1" s="98" t="s">
        <v>103</v>
      </c>
      <c r="F1" s="99" t="s">
        <v>104</v>
      </c>
      <c r="G1" s="99" t="s">
        <v>109</v>
      </c>
      <c r="H1" s="99" t="s">
        <v>105</v>
      </c>
      <c r="I1" s="99" t="s">
        <v>106</v>
      </c>
      <c r="J1" s="99" t="s">
        <v>114</v>
      </c>
      <c r="K1" s="96" t="s">
        <v>115</v>
      </c>
      <c r="L1" s="100" t="s">
        <v>110</v>
      </c>
      <c r="M1" s="101" t="s">
        <v>0</v>
      </c>
    </row>
    <row r="2" spans="1:13" ht="30" customHeight="1" x14ac:dyDescent="0.35">
      <c r="A2" s="102" t="s">
        <v>120</v>
      </c>
      <c r="B2" s="17"/>
      <c r="C2" s="103" t="s">
        <v>62</v>
      </c>
      <c r="D2" s="249" t="s">
        <v>63</v>
      </c>
      <c r="E2" s="104">
        <v>100</v>
      </c>
      <c r="F2" s="105">
        <v>0.5</v>
      </c>
      <c r="G2" s="104">
        <v>8</v>
      </c>
      <c r="H2" s="105"/>
      <c r="I2" s="105"/>
      <c r="J2" s="106">
        <v>58</v>
      </c>
      <c r="K2" s="1">
        <f>Inventory_List_Table34[[#This Row],[Q]]*Inventory_List_Table34[[#This Row],[Per piece MXN$]]</f>
        <v>5800</v>
      </c>
      <c r="L2" s="22" t="s">
        <v>841</v>
      </c>
      <c r="M2" s="22" t="s">
        <v>1061</v>
      </c>
    </row>
    <row r="3" spans="1:13" ht="30" customHeight="1" x14ac:dyDescent="0.35">
      <c r="A3" s="102" t="s">
        <v>121</v>
      </c>
      <c r="B3" s="17"/>
      <c r="C3" s="103" t="s">
        <v>64</v>
      </c>
      <c r="D3" s="249" t="s">
        <v>65</v>
      </c>
      <c r="E3" s="104">
        <v>50</v>
      </c>
      <c r="F3" s="105">
        <v>0.5</v>
      </c>
      <c r="G3" s="104">
        <v>8</v>
      </c>
      <c r="H3" s="105"/>
      <c r="I3" s="105"/>
      <c r="J3" s="106">
        <v>58</v>
      </c>
      <c r="K3" s="1">
        <f>Inventory_List_Table34[[#This Row],[Q]]*Inventory_List_Table34[[#This Row],[Per piece MXN$]]</f>
        <v>2900</v>
      </c>
      <c r="L3" s="22" t="s">
        <v>841</v>
      </c>
      <c r="M3" s="22" t="s">
        <v>1061</v>
      </c>
    </row>
    <row r="4" spans="1:13" ht="30" customHeight="1" x14ac:dyDescent="0.35">
      <c r="A4" s="102" t="s">
        <v>122</v>
      </c>
      <c r="B4" s="17"/>
      <c r="C4" s="103" t="s">
        <v>66</v>
      </c>
      <c r="D4" s="249" t="s">
        <v>67</v>
      </c>
      <c r="E4" s="104">
        <v>50</v>
      </c>
      <c r="F4" s="105">
        <v>0.5</v>
      </c>
      <c r="G4" s="104">
        <v>8</v>
      </c>
      <c r="H4" s="105"/>
      <c r="I4" s="105"/>
      <c r="J4" s="106">
        <v>58</v>
      </c>
      <c r="K4" s="1">
        <f>Inventory_List_Table34[[#This Row],[Q]]*Inventory_List_Table34[[#This Row],[Per piece MXN$]]</f>
        <v>2900</v>
      </c>
      <c r="L4" s="22" t="s">
        <v>841</v>
      </c>
      <c r="M4" s="22" t="s">
        <v>1061</v>
      </c>
    </row>
    <row r="5" spans="1:13" ht="30" customHeight="1" x14ac:dyDescent="0.35">
      <c r="A5" s="102" t="s">
        <v>123</v>
      </c>
      <c r="B5" s="17"/>
      <c r="C5" s="103" t="s">
        <v>68</v>
      </c>
      <c r="D5" s="249" t="s">
        <v>69</v>
      </c>
      <c r="E5" s="104">
        <v>30</v>
      </c>
      <c r="F5" s="105">
        <v>2.5</v>
      </c>
      <c r="G5" s="104">
        <v>14</v>
      </c>
      <c r="H5" s="105">
        <v>16</v>
      </c>
      <c r="I5" s="105"/>
      <c r="J5" s="106">
        <v>260</v>
      </c>
      <c r="K5" s="1">
        <f>Inventory_List_Table34[[#This Row],[Q]]*Inventory_List_Table34[[#This Row],[Per piece MXN$]]</f>
        <v>7800</v>
      </c>
      <c r="L5" s="22" t="s">
        <v>588</v>
      </c>
      <c r="M5" s="22" t="s">
        <v>597</v>
      </c>
    </row>
    <row r="6" spans="1:13" ht="30" customHeight="1" x14ac:dyDescent="0.35">
      <c r="A6" s="102" t="s">
        <v>124</v>
      </c>
      <c r="B6" s="17"/>
      <c r="C6" s="103" t="s">
        <v>70</v>
      </c>
      <c r="D6" s="249" t="s">
        <v>71</v>
      </c>
      <c r="E6" s="104">
        <v>3</v>
      </c>
      <c r="F6" s="105">
        <v>5</v>
      </c>
      <c r="G6" s="104">
        <v>25</v>
      </c>
      <c r="H6" s="105"/>
      <c r="I6" s="105"/>
      <c r="J6" s="106">
        <v>380</v>
      </c>
      <c r="K6" s="1">
        <f>Inventory_List_Table34[[#This Row],[Q]]*Inventory_List_Table34[[#This Row],[Per piece MXN$]]</f>
        <v>1140</v>
      </c>
      <c r="L6" s="22" t="s">
        <v>597</v>
      </c>
      <c r="M6" s="22" t="s">
        <v>645</v>
      </c>
    </row>
    <row r="7" spans="1:13" ht="30" customHeight="1" x14ac:dyDescent="0.35">
      <c r="A7" s="102" t="s">
        <v>125</v>
      </c>
      <c r="B7" s="17"/>
      <c r="C7" s="103" t="s">
        <v>72</v>
      </c>
      <c r="D7" s="249" t="s">
        <v>73</v>
      </c>
      <c r="E7" s="104">
        <v>3</v>
      </c>
      <c r="F7" s="105">
        <v>5</v>
      </c>
      <c r="G7" s="104">
        <v>25</v>
      </c>
      <c r="H7" s="105"/>
      <c r="I7" s="105"/>
      <c r="J7" s="106">
        <v>380</v>
      </c>
      <c r="K7" s="1">
        <f>Inventory_List_Table34[[#This Row],[Q]]*Inventory_List_Table34[[#This Row],[Per piece MXN$]]</f>
        <v>1140</v>
      </c>
      <c r="L7" s="22" t="s">
        <v>597</v>
      </c>
      <c r="M7" s="22" t="s">
        <v>645</v>
      </c>
    </row>
    <row r="8" spans="1:13" ht="30" customHeight="1" x14ac:dyDescent="0.35">
      <c r="A8" s="102" t="s">
        <v>126</v>
      </c>
      <c r="B8" s="17"/>
      <c r="C8" s="103" t="s">
        <v>74</v>
      </c>
      <c r="D8" s="249" t="s">
        <v>75</v>
      </c>
      <c r="E8" s="104">
        <v>3</v>
      </c>
      <c r="F8" s="105">
        <v>5</v>
      </c>
      <c r="G8" s="104">
        <v>25</v>
      </c>
      <c r="H8" s="105"/>
      <c r="I8" s="105"/>
      <c r="J8" s="106">
        <v>380</v>
      </c>
      <c r="K8" s="1">
        <f>Inventory_List_Table34[[#This Row],[Q]]*Inventory_List_Table34[[#This Row],[Per piece MXN$]]</f>
        <v>1140</v>
      </c>
      <c r="L8" s="22" t="s">
        <v>597</v>
      </c>
      <c r="M8" s="22" t="s">
        <v>645</v>
      </c>
    </row>
    <row r="9" spans="1:13" ht="30" customHeight="1" x14ac:dyDescent="0.35">
      <c r="A9" s="102" t="s">
        <v>127</v>
      </c>
      <c r="B9" s="17"/>
      <c r="C9" s="103" t="s">
        <v>76</v>
      </c>
      <c r="D9" s="249" t="s">
        <v>77</v>
      </c>
      <c r="E9" s="104">
        <v>3</v>
      </c>
      <c r="F9" s="105">
        <v>5</v>
      </c>
      <c r="G9" s="104">
        <v>25</v>
      </c>
      <c r="H9" s="105"/>
      <c r="I9" s="105"/>
      <c r="J9" s="106">
        <v>380</v>
      </c>
      <c r="K9" s="1">
        <f>Inventory_List_Table34[[#This Row],[Q]]*Inventory_List_Table34[[#This Row],[Per piece MXN$]]</f>
        <v>1140</v>
      </c>
      <c r="L9" s="22" t="s">
        <v>597</v>
      </c>
      <c r="M9" s="22" t="s">
        <v>645</v>
      </c>
    </row>
    <row r="10" spans="1:13" ht="30" customHeight="1" x14ac:dyDescent="0.35">
      <c r="A10" s="102" t="s">
        <v>128</v>
      </c>
      <c r="B10" s="17"/>
      <c r="C10" s="103" t="s">
        <v>78</v>
      </c>
      <c r="D10" s="249" t="s">
        <v>79</v>
      </c>
      <c r="E10" s="104">
        <v>8</v>
      </c>
      <c r="F10" s="105">
        <v>5</v>
      </c>
      <c r="G10" s="104">
        <v>25</v>
      </c>
      <c r="H10" s="105"/>
      <c r="I10" s="105"/>
      <c r="J10" s="106">
        <v>380</v>
      </c>
      <c r="K10" s="1">
        <f>Inventory_List_Table34[[#This Row],[Q]]*Inventory_List_Table34[[#This Row],[Per piece MXN$]]</f>
        <v>3040</v>
      </c>
      <c r="L10" s="22" t="s">
        <v>597</v>
      </c>
      <c r="M10" s="22" t="s">
        <v>645</v>
      </c>
    </row>
    <row r="11" spans="1:13" ht="30" customHeight="1" x14ac:dyDescent="0.25">
      <c r="A11" s="102" t="s">
        <v>120</v>
      </c>
      <c r="B11" s="17">
        <v>45860</v>
      </c>
      <c r="C11" s="103" t="s">
        <v>80</v>
      </c>
      <c r="D11" s="250" t="s">
        <v>81</v>
      </c>
      <c r="E11" s="107">
        <v>10</v>
      </c>
      <c r="F11" s="105">
        <v>5</v>
      </c>
      <c r="G11" s="105">
        <v>4</v>
      </c>
      <c r="H11" s="105">
        <v>4</v>
      </c>
      <c r="I11" s="105"/>
      <c r="J11" s="108">
        <v>360</v>
      </c>
      <c r="K11" s="1">
        <f>Inventory_List_Table34[[#This Row],[Q]]*Inventory_List_Table34[[#This Row],[Per piece MXN$]]</f>
        <v>3600</v>
      </c>
      <c r="L11" s="22" t="s">
        <v>625</v>
      </c>
      <c r="M11" s="22" t="s">
        <v>551</v>
      </c>
    </row>
    <row r="12" spans="1:13" ht="30" customHeight="1" x14ac:dyDescent="0.25">
      <c r="A12" s="102" t="s">
        <v>121</v>
      </c>
      <c r="B12" s="17"/>
      <c r="C12" s="109" t="s">
        <v>82</v>
      </c>
      <c r="D12" s="251" t="s">
        <v>83</v>
      </c>
      <c r="E12" s="107">
        <v>10</v>
      </c>
      <c r="F12" s="105">
        <v>4</v>
      </c>
      <c r="G12" s="105">
        <v>2</v>
      </c>
      <c r="H12" s="105">
        <v>2</v>
      </c>
      <c r="I12" s="105"/>
      <c r="J12" s="108">
        <v>190</v>
      </c>
      <c r="K12" s="1">
        <f>Inventory_List_Table34[[#This Row],[Q]]*Inventory_List_Table34[[#This Row],[Per piece MXN$]]</f>
        <v>1900</v>
      </c>
      <c r="L12" s="22" t="s">
        <v>84</v>
      </c>
      <c r="M12" s="22" t="s">
        <v>588</v>
      </c>
    </row>
    <row r="13" spans="1:13" ht="30" customHeight="1" x14ac:dyDescent="0.25">
      <c r="A13" s="102" t="s">
        <v>122</v>
      </c>
      <c r="B13" s="17"/>
      <c r="C13" s="109" t="s">
        <v>85</v>
      </c>
      <c r="D13" s="251" t="s">
        <v>86</v>
      </c>
      <c r="E13" s="107">
        <v>10</v>
      </c>
      <c r="F13" s="105">
        <v>4</v>
      </c>
      <c r="G13" s="105">
        <v>3</v>
      </c>
      <c r="H13" s="105">
        <v>3</v>
      </c>
      <c r="I13" s="105"/>
      <c r="J13" s="108">
        <v>500</v>
      </c>
      <c r="K13" s="1">
        <f>Inventory_List_Table34[[#This Row],[Q]]*Inventory_List_Table34[[#This Row],[Per piece MXN$]]</f>
        <v>5000</v>
      </c>
      <c r="L13" s="22" t="s">
        <v>551</v>
      </c>
      <c r="M13" s="22" t="s">
        <v>550</v>
      </c>
    </row>
    <row r="14" spans="1:13" ht="30" customHeight="1" x14ac:dyDescent="0.25">
      <c r="A14" s="102" t="s">
        <v>123</v>
      </c>
      <c r="B14" s="17"/>
      <c r="C14" s="109" t="s">
        <v>87</v>
      </c>
      <c r="D14" s="251" t="s">
        <v>88</v>
      </c>
      <c r="E14" s="107">
        <v>10</v>
      </c>
      <c r="F14" s="105">
        <v>4</v>
      </c>
      <c r="G14" s="105">
        <v>2</v>
      </c>
      <c r="H14" s="105">
        <v>2</v>
      </c>
      <c r="I14" s="105"/>
      <c r="J14" s="108">
        <v>250</v>
      </c>
      <c r="K14" s="1">
        <f>Inventory_List_Table34[[#This Row],[Q]]*Inventory_List_Table34[[#This Row],[Per piece MXN$]]</f>
        <v>2500</v>
      </c>
      <c r="L14" s="22" t="s">
        <v>590</v>
      </c>
      <c r="M14" s="22" t="s">
        <v>625</v>
      </c>
    </row>
    <row r="15" spans="1:13" ht="30" customHeight="1" x14ac:dyDescent="0.25">
      <c r="A15" s="102" t="s">
        <v>124</v>
      </c>
      <c r="B15" s="17"/>
      <c r="C15" s="109" t="s">
        <v>89</v>
      </c>
      <c r="D15" s="251" t="s">
        <v>90</v>
      </c>
      <c r="E15" s="107">
        <v>10</v>
      </c>
      <c r="F15" s="105">
        <v>4</v>
      </c>
      <c r="G15" s="105">
        <v>2</v>
      </c>
      <c r="H15" s="105">
        <v>2</v>
      </c>
      <c r="I15" s="105"/>
      <c r="J15" s="108">
        <v>250</v>
      </c>
      <c r="K15" s="1">
        <f>Inventory_List_Table34[[#This Row],[Q]]*Inventory_List_Table34[[#This Row],[Per piece MXN$]]</f>
        <v>2500</v>
      </c>
      <c r="L15" s="22" t="s">
        <v>590</v>
      </c>
      <c r="M15" s="22" t="s">
        <v>625</v>
      </c>
    </row>
    <row r="16" spans="1:13" ht="30" customHeight="1" x14ac:dyDescent="0.25">
      <c r="A16" s="102" t="s">
        <v>125</v>
      </c>
      <c r="B16" s="17"/>
      <c r="C16" s="109" t="s">
        <v>91</v>
      </c>
      <c r="D16" s="251" t="s">
        <v>92</v>
      </c>
      <c r="E16" s="107">
        <v>10</v>
      </c>
      <c r="F16" s="105">
        <v>4</v>
      </c>
      <c r="G16" s="105">
        <v>2</v>
      </c>
      <c r="H16" s="105">
        <v>2</v>
      </c>
      <c r="I16" s="105"/>
      <c r="J16" s="108">
        <v>250</v>
      </c>
      <c r="K16" s="1">
        <f>Inventory_List_Table34[[#This Row],[Q]]*Inventory_List_Table34[[#This Row],[Per piece MXN$]]</f>
        <v>2500</v>
      </c>
      <c r="L16" s="22" t="s">
        <v>590</v>
      </c>
      <c r="M16" s="22" t="s">
        <v>625</v>
      </c>
    </row>
    <row r="17" spans="1:13" ht="30" customHeight="1" x14ac:dyDescent="0.25">
      <c r="A17" s="102" t="s">
        <v>135</v>
      </c>
      <c r="B17" s="17"/>
      <c r="C17" s="109" t="s">
        <v>93</v>
      </c>
      <c r="D17" s="251" t="s">
        <v>1037</v>
      </c>
      <c r="E17" s="107">
        <v>15</v>
      </c>
      <c r="F17" s="105">
        <v>1</v>
      </c>
      <c r="G17" s="105">
        <v>8</v>
      </c>
      <c r="H17" s="105"/>
      <c r="I17" s="105"/>
      <c r="J17" s="108">
        <v>85</v>
      </c>
      <c r="K17" s="1">
        <f>Inventory_List_Table34[[#This Row],[Q]]*Inventory_List_Table34[[#This Row],[Per piece MXN$]]</f>
        <v>1275</v>
      </c>
      <c r="L17" s="22" t="s">
        <v>840</v>
      </c>
      <c r="M17" s="22" t="s">
        <v>931</v>
      </c>
    </row>
    <row r="18" spans="1:13" ht="30" customHeight="1" x14ac:dyDescent="0.25">
      <c r="A18" s="102" t="s">
        <v>136</v>
      </c>
      <c r="B18" s="17"/>
      <c r="C18" s="109" t="s">
        <v>257</v>
      </c>
      <c r="D18" s="251" t="s">
        <v>1038</v>
      </c>
      <c r="E18" s="107">
        <v>20</v>
      </c>
      <c r="F18" s="105">
        <v>1</v>
      </c>
      <c r="G18" s="105">
        <v>8</v>
      </c>
      <c r="H18" s="105"/>
      <c r="I18" s="105"/>
      <c r="J18" s="108">
        <v>85</v>
      </c>
      <c r="K18" s="1">
        <f>Inventory_List_Table34[[#This Row],[Q]]*Inventory_List_Table34[[#This Row],[Per piece MXN$]]</f>
        <v>1700</v>
      </c>
      <c r="L18" s="22" t="s">
        <v>840</v>
      </c>
      <c r="M18" s="22" t="s">
        <v>931</v>
      </c>
    </row>
    <row r="19" spans="1:13" ht="30" customHeight="1" x14ac:dyDescent="0.25">
      <c r="A19" s="102" t="s">
        <v>137</v>
      </c>
      <c r="B19" s="17"/>
      <c r="C19" s="109" t="s">
        <v>94</v>
      </c>
      <c r="D19" s="251" t="s">
        <v>1039</v>
      </c>
      <c r="E19" s="107">
        <v>10</v>
      </c>
      <c r="F19" s="105">
        <v>1</v>
      </c>
      <c r="G19" s="105">
        <v>8</v>
      </c>
      <c r="H19" s="105"/>
      <c r="I19" s="105"/>
      <c r="J19" s="108">
        <v>85</v>
      </c>
      <c r="K19" s="1">
        <f>Inventory_List_Table34[[#This Row],[Q]]*Inventory_List_Table34[[#This Row],[Per piece MXN$]]</f>
        <v>850</v>
      </c>
      <c r="L19" s="22" t="s">
        <v>840</v>
      </c>
      <c r="M19" s="22" t="s">
        <v>931</v>
      </c>
    </row>
    <row r="20" spans="1:13" ht="30" customHeight="1" x14ac:dyDescent="0.25">
      <c r="A20" s="102" t="s">
        <v>138</v>
      </c>
      <c r="B20" s="17"/>
      <c r="C20" s="109" t="s">
        <v>95</v>
      </c>
      <c r="D20" s="251" t="s">
        <v>1040</v>
      </c>
      <c r="E20" s="107">
        <v>15</v>
      </c>
      <c r="F20" s="105">
        <v>2</v>
      </c>
      <c r="G20" s="105">
        <v>10</v>
      </c>
      <c r="H20" s="105"/>
      <c r="I20" s="105"/>
      <c r="J20" s="108">
        <v>110</v>
      </c>
      <c r="K20" s="1">
        <f>Inventory_List_Table34[[#This Row],[Q]]*Inventory_List_Table34[[#This Row],[Per piece MXN$]]</f>
        <v>1650</v>
      </c>
      <c r="L20" s="22" t="s">
        <v>843</v>
      </c>
      <c r="M20" s="22" t="s">
        <v>842</v>
      </c>
    </row>
    <row r="21" spans="1:13" ht="30" customHeight="1" x14ac:dyDescent="0.25">
      <c r="A21" s="102" t="s">
        <v>139</v>
      </c>
      <c r="B21" s="17"/>
      <c r="C21" s="109" t="s">
        <v>96</v>
      </c>
      <c r="D21" s="251" t="s">
        <v>1041</v>
      </c>
      <c r="E21" s="107">
        <v>15</v>
      </c>
      <c r="F21" s="105">
        <v>1.5</v>
      </c>
      <c r="G21" s="105">
        <v>10</v>
      </c>
      <c r="H21" s="105"/>
      <c r="I21" s="105"/>
      <c r="J21" s="108">
        <v>100</v>
      </c>
      <c r="K21" s="1">
        <f>Inventory_List_Table34[[#This Row],[Q]]*Inventory_List_Table34[[#This Row],[Per piece MXN$]]</f>
        <v>1500</v>
      </c>
      <c r="L21" s="22" t="s">
        <v>843</v>
      </c>
      <c r="M21" s="22" t="s">
        <v>842</v>
      </c>
    </row>
    <row r="22" spans="1:13" ht="30" customHeight="1" x14ac:dyDescent="0.25">
      <c r="A22" s="102" t="s">
        <v>140</v>
      </c>
      <c r="B22" s="17"/>
      <c r="C22" s="109" t="s">
        <v>97</v>
      </c>
      <c r="D22" s="251" t="s">
        <v>1042</v>
      </c>
      <c r="E22" s="107">
        <v>4</v>
      </c>
      <c r="F22" s="105"/>
      <c r="G22" s="105">
        <v>26</v>
      </c>
      <c r="H22" s="105">
        <v>14</v>
      </c>
      <c r="I22" s="105"/>
      <c r="J22" s="108">
        <v>300</v>
      </c>
      <c r="K22" s="1">
        <f>Inventory_List_Table34[[#This Row],[Q]]*Inventory_List_Table34[[#This Row],[Per piece MXN$]]</f>
        <v>1200</v>
      </c>
      <c r="L22" s="22" t="s">
        <v>595</v>
      </c>
      <c r="M22" s="22" t="s">
        <v>531</v>
      </c>
    </row>
    <row r="23" spans="1:13" ht="30" customHeight="1" x14ac:dyDescent="0.25">
      <c r="A23" s="102" t="s">
        <v>141</v>
      </c>
      <c r="B23" s="17"/>
      <c r="C23" s="109" t="s">
        <v>98</v>
      </c>
      <c r="D23" s="251" t="s">
        <v>1043</v>
      </c>
      <c r="E23" s="107">
        <v>2</v>
      </c>
      <c r="F23" s="105"/>
      <c r="G23" s="105">
        <v>30</v>
      </c>
      <c r="H23" s="105">
        <v>20</v>
      </c>
      <c r="I23" s="105"/>
      <c r="J23" s="108">
        <v>350</v>
      </c>
      <c r="K23" s="1">
        <f>Inventory_List_Table34[[#This Row],[Q]]*Inventory_List_Table34[[#This Row],[Per piece MXN$]]</f>
        <v>700</v>
      </c>
      <c r="L23" s="22" t="s">
        <v>625</v>
      </c>
      <c r="M23" s="22" t="s">
        <v>551</v>
      </c>
    </row>
    <row r="24" spans="1:13" ht="30" customHeight="1" x14ac:dyDescent="0.25">
      <c r="A24" s="102" t="s">
        <v>142</v>
      </c>
      <c r="B24" s="17"/>
      <c r="C24" s="109" t="s">
        <v>99</v>
      </c>
      <c r="D24" s="251" t="s">
        <v>1044</v>
      </c>
      <c r="E24" s="107">
        <v>4</v>
      </c>
      <c r="F24" s="105"/>
      <c r="G24" s="105">
        <v>40</v>
      </c>
      <c r="H24" s="105">
        <v>20</v>
      </c>
      <c r="I24" s="105"/>
      <c r="J24" s="108">
        <v>400</v>
      </c>
      <c r="K24" s="1">
        <f>Inventory_List_Table34[[#This Row],[Q]]*Inventory_List_Table34[[#This Row],[Per piece MXN$]]</f>
        <v>1600</v>
      </c>
      <c r="L24" s="22" t="s">
        <v>558</v>
      </c>
      <c r="M24" s="22" t="s">
        <v>583</v>
      </c>
    </row>
    <row r="25" spans="1:13" ht="30" customHeight="1" x14ac:dyDescent="0.25">
      <c r="A25" s="102" t="s">
        <v>143</v>
      </c>
      <c r="B25" s="17"/>
      <c r="C25" s="109" t="s">
        <v>99</v>
      </c>
      <c r="D25" s="251" t="s">
        <v>1045</v>
      </c>
      <c r="E25" s="107">
        <v>2</v>
      </c>
      <c r="F25" s="105"/>
      <c r="G25" s="105">
        <v>35</v>
      </c>
      <c r="H25" s="105">
        <v>20</v>
      </c>
      <c r="I25" s="105"/>
      <c r="J25" s="108">
        <v>350</v>
      </c>
      <c r="K25" s="1">
        <f>Inventory_List_Table34[[#This Row],[Q]]*Inventory_List_Table34[[#This Row],[Per piece MXN$]]</f>
        <v>700</v>
      </c>
      <c r="L25" s="22" t="s">
        <v>625</v>
      </c>
      <c r="M25" s="22" t="s">
        <v>551</v>
      </c>
    </row>
    <row r="26" spans="1:13" ht="30" customHeight="1" x14ac:dyDescent="0.25">
      <c r="A26" s="102" t="s">
        <v>144</v>
      </c>
      <c r="B26" s="17">
        <v>45902</v>
      </c>
      <c r="C26" s="109" t="s">
        <v>255</v>
      </c>
      <c r="D26" s="251" t="s">
        <v>271</v>
      </c>
      <c r="E26" s="107">
        <v>60</v>
      </c>
      <c r="F26" s="105"/>
      <c r="G26" s="105">
        <v>8</v>
      </c>
      <c r="H26" s="105"/>
      <c r="I26" s="105"/>
      <c r="J26" s="108">
        <v>10</v>
      </c>
      <c r="K26" s="1">
        <f>Inventory_List_Table34[[#This Row],[Q]]*Inventory_List_Table34[[#This Row],[Per piece MXN$]]</f>
        <v>600</v>
      </c>
      <c r="L26" s="22" t="s">
        <v>930</v>
      </c>
      <c r="M26" s="22" t="s">
        <v>930</v>
      </c>
    </row>
    <row r="27" spans="1:13" ht="30" customHeight="1" x14ac:dyDescent="0.25">
      <c r="A27" s="102" t="s">
        <v>156</v>
      </c>
      <c r="B27" s="17"/>
      <c r="C27" s="109" t="s">
        <v>256</v>
      </c>
      <c r="D27" s="251" t="s">
        <v>272</v>
      </c>
      <c r="E27" s="107">
        <v>120</v>
      </c>
      <c r="F27" s="105"/>
      <c r="G27" s="105">
        <v>8</v>
      </c>
      <c r="H27" s="105"/>
      <c r="I27" s="105"/>
      <c r="J27" s="108">
        <v>10</v>
      </c>
      <c r="K27" s="1">
        <f>Inventory_List_Table34[[#This Row],[Q]]*Inventory_List_Table34[[#This Row],[Per piece MXN$]]</f>
        <v>1200</v>
      </c>
      <c r="L27" s="22" t="s">
        <v>930</v>
      </c>
      <c r="M27" s="22" t="s">
        <v>930</v>
      </c>
    </row>
    <row r="28" spans="1:13" ht="30" customHeight="1" x14ac:dyDescent="0.25">
      <c r="A28" s="102" t="s">
        <v>157</v>
      </c>
      <c r="B28" s="17"/>
      <c r="C28" s="109" t="s">
        <v>254</v>
      </c>
      <c r="D28" s="251" t="s">
        <v>273</v>
      </c>
      <c r="E28" s="107">
        <v>13</v>
      </c>
      <c r="F28" s="105"/>
      <c r="G28" s="105">
        <v>8</v>
      </c>
      <c r="H28" s="105"/>
      <c r="I28" s="105"/>
      <c r="J28" s="108">
        <v>85</v>
      </c>
      <c r="K28" s="1">
        <f>Inventory_List_Table34[[#This Row],[Q]]*Inventory_List_Table34[[#This Row],[Per piece MXN$]]</f>
        <v>1105</v>
      </c>
      <c r="L28" s="22" t="s">
        <v>840</v>
      </c>
      <c r="M28" s="22" t="s">
        <v>931</v>
      </c>
    </row>
    <row r="29" spans="1:13" ht="30" customHeight="1" x14ac:dyDescent="0.25">
      <c r="A29" s="102" t="s">
        <v>158</v>
      </c>
      <c r="B29" s="17"/>
      <c r="C29" s="109" t="s">
        <v>258</v>
      </c>
      <c r="D29" s="251" t="s">
        <v>274</v>
      </c>
      <c r="E29" s="107">
        <v>13</v>
      </c>
      <c r="F29" s="105"/>
      <c r="G29" s="105">
        <v>8</v>
      </c>
      <c r="H29" s="105"/>
      <c r="I29" s="105"/>
      <c r="J29" s="108">
        <v>85</v>
      </c>
      <c r="K29" s="1">
        <f>Inventory_List_Table34[[#This Row],[Q]]*Inventory_List_Table34[[#This Row],[Per piece MXN$]]</f>
        <v>1105</v>
      </c>
      <c r="L29" s="22" t="s">
        <v>840</v>
      </c>
      <c r="M29" s="22" t="s">
        <v>931</v>
      </c>
    </row>
    <row r="30" spans="1:13" ht="30" customHeight="1" x14ac:dyDescent="0.25">
      <c r="A30" s="102" t="s">
        <v>159</v>
      </c>
      <c r="B30" s="17"/>
      <c r="C30" s="109" t="s">
        <v>259</v>
      </c>
      <c r="D30" s="251" t="s">
        <v>275</v>
      </c>
      <c r="E30" s="107">
        <v>13</v>
      </c>
      <c r="F30" s="105"/>
      <c r="G30" s="105">
        <v>8</v>
      </c>
      <c r="H30" s="105"/>
      <c r="I30" s="105"/>
      <c r="J30" s="108">
        <v>85</v>
      </c>
      <c r="K30" s="108">
        <f>Inventory_List_Table34[[#This Row],[Q]]*Inventory_List_Table34[[#This Row],[Per piece MXN$]]</f>
        <v>1105</v>
      </c>
      <c r="L30" s="22" t="s">
        <v>840</v>
      </c>
      <c r="M30" s="22" t="s">
        <v>931</v>
      </c>
    </row>
  </sheetData>
  <phoneticPr fontId="2" type="noConversion"/>
  <dataValidations count="9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CA491B03-F48D-4DA5-A6D9-49F56440BE05}"/>
    <dataValidation allowBlank="1" showInputMessage="1" showErrorMessage="1" prompt="Enter the item inventory ID in this column" sqref="C1" xr:uid="{17DF84DD-B59B-4E88-A948-05E4BECE2368}"/>
    <dataValidation allowBlank="1" showInputMessage="1" showErrorMessage="1" prompt="Enter the name of the item in this column" sqref="D1" xr:uid="{D3C0A899-90BC-46A2-BC37-0AD08C59D244}"/>
    <dataValidation allowBlank="1" showInputMessage="1" showErrorMessage="1" prompt="Enter the number of days it takes to reorder each item in this column" sqref="J1:K1" xr:uid="{4CD14A85-8748-4C41-BD16-9615E3B61B5E}"/>
    <dataValidation allowBlank="1" showInputMessage="1" showErrorMessage="1" prompt="Enter the reorder level for each item in this column" sqref="I1" xr:uid="{D7C368A4-E9BE-4643-8B69-DF3165A334AF}"/>
    <dataValidation allowBlank="1" showInputMessage="1" showErrorMessage="1" prompt="This is an automated column._x000a__x000a_The inventory value for each item is automatically calculated in this column." sqref="H1" xr:uid="{ED8FAF78-F0DC-4164-8B4A-810FE56D69E8}"/>
    <dataValidation allowBlank="1" showInputMessage="1" showErrorMessage="1" prompt="Enter the quantity in stock for each item in this column" sqref="G1" xr:uid="{CB2D6481-5685-49FC-9A3B-BA281697B870}"/>
    <dataValidation allowBlank="1" showInputMessage="1" showErrorMessage="1" prompt="Enter the unit price of each item in this column" sqref="F1" xr:uid="{4437D14A-3BAC-47FC-A4B2-E2C731F82DC9}"/>
    <dataValidation allowBlank="1" showInputMessage="1" showErrorMessage="1" prompt="Enter a description of the item in this column" sqref="E1" xr:uid="{EF3C7447-ED9C-477A-B5CA-AACF3CD2A6CB}"/>
  </dataValidations>
  <printOptions horizontalCentered="1"/>
  <pageMargins left="0.25" right="0.25" top="0.75" bottom="0.75" header="0.3" footer="0.3"/>
  <pageSetup scale="24" fitToHeight="0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13D3-17AC-40C0-886C-D0C6B12ECCEF}">
  <sheetPr>
    <tabColor rgb="FFF5DEB3"/>
    <pageSetUpPr fitToPage="1"/>
  </sheetPr>
  <dimension ref="A1:M2"/>
  <sheetViews>
    <sheetView showGridLines="0" topLeftCell="D1" zoomScale="85" zoomScaleNormal="85" workbookViewId="0">
      <selection activeCell="Q5" sqref="Q5"/>
    </sheetView>
  </sheetViews>
  <sheetFormatPr defaultColWidth="8.625" defaultRowHeight="24" customHeight="1" x14ac:dyDescent="0.25"/>
  <cols>
    <col min="1" max="1" width="4.125" style="23" customWidth="1"/>
    <col min="2" max="2" width="15.5" style="24" customWidth="1"/>
    <col min="3" max="3" width="29.375" style="25" customWidth="1"/>
    <col min="4" max="4" width="22" style="25" bestFit="1" customWidth="1"/>
    <col min="5" max="5" width="7.625" style="25" bestFit="1" customWidth="1"/>
    <col min="6" max="6" width="9.25" style="26" bestFit="1" customWidth="1"/>
    <col min="7" max="7" width="8.25" style="26" bestFit="1" customWidth="1"/>
    <col min="8" max="8" width="8.75" style="26" bestFit="1" customWidth="1"/>
    <col min="9" max="9" width="8.125" style="26" bestFit="1" customWidth="1"/>
    <col min="10" max="10" width="19.625" style="26" bestFit="1" customWidth="1"/>
    <col min="11" max="11" width="26.375" style="26" bestFit="1" customWidth="1"/>
    <col min="12" max="12" width="7.5" style="7" bestFit="1" customWidth="1"/>
    <col min="13" max="13" width="8.125" style="7" bestFit="1" customWidth="1"/>
    <col min="14" max="16384" width="8.625" style="7"/>
  </cols>
  <sheetData>
    <row r="1" spans="1:13" s="15" customFormat="1" ht="40.9" customHeight="1" x14ac:dyDescent="0.25">
      <c r="A1" s="182" t="s">
        <v>403</v>
      </c>
      <c r="B1" s="183" t="s">
        <v>102</v>
      </c>
      <c r="C1" s="183" t="s">
        <v>112</v>
      </c>
      <c r="D1" s="184" t="s">
        <v>113</v>
      </c>
      <c r="E1" s="185" t="s">
        <v>103</v>
      </c>
      <c r="F1" s="186" t="s">
        <v>104</v>
      </c>
      <c r="G1" s="186" t="s">
        <v>109</v>
      </c>
      <c r="H1" s="186" t="s">
        <v>105</v>
      </c>
      <c r="I1" s="186" t="s">
        <v>106</v>
      </c>
      <c r="J1" s="186" t="s">
        <v>114</v>
      </c>
      <c r="K1" s="183" t="s">
        <v>115</v>
      </c>
      <c r="L1" s="187" t="s">
        <v>110</v>
      </c>
      <c r="M1" s="188" t="s">
        <v>0</v>
      </c>
    </row>
    <row r="2" spans="1:13" ht="30" customHeight="1" x14ac:dyDescent="0.25">
      <c r="A2" s="240" t="s">
        <v>120</v>
      </c>
      <c r="B2" s="17">
        <v>46003</v>
      </c>
      <c r="C2" s="18" t="s">
        <v>303</v>
      </c>
      <c r="D2" s="94" t="s">
        <v>936</v>
      </c>
      <c r="E2" s="237">
        <v>2</v>
      </c>
      <c r="F2" s="238">
        <v>480</v>
      </c>
      <c r="G2" s="238">
        <v>70</v>
      </c>
      <c r="H2" s="238"/>
      <c r="I2" s="238"/>
      <c r="J2" s="239">
        <v>15000</v>
      </c>
      <c r="K2" s="1">
        <f>Inventory_List_Table3411161819[[#This Row],[Q]]*Inventory_List_Table3411161819[[#This Row],[Per piece MXN$]]</f>
        <v>30000</v>
      </c>
      <c r="L2" s="22" t="s">
        <v>937</v>
      </c>
      <c r="M2" s="22" t="s">
        <v>938</v>
      </c>
    </row>
  </sheetData>
  <dataValidations count="9">
    <dataValidation allowBlank="1" showInputMessage="1" showErrorMessage="1" prompt="Enter a description of the item in this column" sqref="E1" xr:uid="{115D42C4-34B0-4F19-AD04-58D98D810FA4}"/>
    <dataValidation allowBlank="1" showInputMessage="1" showErrorMessage="1" prompt="Enter the unit price of each item in this column" sqref="F1" xr:uid="{D3368D93-5FB7-42D0-B48F-ED5174F9C92E}"/>
    <dataValidation allowBlank="1" showInputMessage="1" showErrorMessage="1" prompt="Enter the quantity in stock for each item in this column" sqref="G1" xr:uid="{4DC934BA-49F7-4462-8F26-09AD22B5FEFE}"/>
    <dataValidation allowBlank="1" showInputMessage="1" showErrorMessage="1" prompt="This is an automated column._x000a__x000a_The inventory value for each item is automatically calculated in this column." sqref="H1" xr:uid="{9EA83894-EE84-4882-87DC-1A623FF603CC}"/>
    <dataValidation allowBlank="1" showInputMessage="1" showErrorMessage="1" prompt="Enter the reorder level for each item in this column" sqref="I1" xr:uid="{0E1F1730-7867-4148-A39D-B43BC696BA4C}"/>
    <dataValidation allowBlank="1" showInputMessage="1" showErrorMessage="1" prompt="Enter the number of days it takes to reorder each item in this column" sqref="J1:K1" xr:uid="{B4A056D0-B5F0-4216-B608-B8A4A7D913CB}"/>
    <dataValidation allowBlank="1" showInputMessage="1" showErrorMessage="1" prompt="Enter the name of the item in this column" sqref="D1" xr:uid="{438DA3C2-C2C8-433C-A45E-C2709B88214A}"/>
    <dataValidation allowBlank="1" showInputMessage="1" showErrorMessage="1" prompt="Enter the item inventory ID in this column" sqref="C1" xr:uid="{E1128381-6206-4A90-A9C5-DC483B78376B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7F533623-60E6-4EF9-98E3-47552EDF2B3E}"/>
  </dataValidations>
  <printOptions horizontalCentered="1"/>
  <pageMargins left="0.25" right="0.25" top="0.75" bottom="0.75" header="0.3" footer="0.3"/>
  <pageSetup scale="25" fitToHeight="0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2F96-F5B4-414F-BE32-C0DA81533B75}">
  <sheetPr>
    <tabColor rgb="FFF08080"/>
    <pageSetUpPr fitToPage="1"/>
  </sheetPr>
  <dimension ref="A1:N2"/>
  <sheetViews>
    <sheetView showGridLines="0" topLeftCell="D1" zoomScale="85" zoomScaleNormal="85" workbookViewId="0">
      <selection activeCell="K8" sqref="K8"/>
    </sheetView>
  </sheetViews>
  <sheetFormatPr defaultColWidth="8.625" defaultRowHeight="24" customHeight="1" x14ac:dyDescent="0.25"/>
  <cols>
    <col min="1" max="1" width="4.125" style="23" customWidth="1"/>
    <col min="2" max="2" width="15.5" style="24" customWidth="1"/>
    <col min="3" max="3" width="29.375" style="25" customWidth="1"/>
    <col min="4" max="4" width="22" style="25" bestFit="1" customWidth="1"/>
    <col min="5" max="5" width="7.625" style="25" bestFit="1" customWidth="1"/>
    <col min="6" max="6" width="9.25" style="26" bestFit="1" customWidth="1"/>
    <col min="7" max="7" width="8.25" style="26" bestFit="1" customWidth="1"/>
    <col min="8" max="8" width="8.75" style="26" bestFit="1" customWidth="1"/>
    <col min="9" max="9" width="8.125" style="26" bestFit="1" customWidth="1"/>
    <col min="10" max="10" width="19.5" style="26" bestFit="1" customWidth="1"/>
    <col min="11" max="11" width="25" style="26" bestFit="1" customWidth="1"/>
    <col min="12" max="12" width="14.625" style="26" bestFit="1" customWidth="1"/>
    <col min="13" max="13" width="11.5" style="26" customWidth="1"/>
    <col min="14" max="14" width="11.5" style="25" customWidth="1"/>
    <col min="15" max="15" width="11.375" style="7" customWidth="1"/>
    <col min="16" max="17" width="13.75" style="7" customWidth="1"/>
    <col min="18" max="19" width="15.5" style="7" customWidth="1"/>
    <col min="20" max="20" width="18.25" style="7" bestFit="1" customWidth="1"/>
    <col min="21" max="21" width="15" style="7" customWidth="1"/>
    <col min="22" max="22" width="7.5" style="7" bestFit="1" customWidth="1"/>
    <col min="23" max="23" width="8.125" style="7" bestFit="1" customWidth="1"/>
    <col min="24" max="16384" width="8.625" style="7"/>
  </cols>
  <sheetData>
    <row r="1" spans="1:14" s="15" customFormat="1" ht="40.9" customHeight="1" x14ac:dyDescent="0.25">
      <c r="A1" s="189" t="s">
        <v>111</v>
      </c>
      <c r="B1" s="190" t="s">
        <v>102</v>
      </c>
      <c r="C1" s="190" t="s">
        <v>112</v>
      </c>
      <c r="D1" s="191" t="s">
        <v>113</v>
      </c>
      <c r="E1" s="192" t="s">
        <v>103</v>
      </c>
      <c r="F1" s="193" t="s">
        <v>104</v>
      </c>
      <c r="G1" s="193" t="s">
        <v>109</v>
      </c>
      <c r="H1" s="193" t="s">
        <v>105</v>
      </c>
      <c r="I1" s="193" t="s">
        <v>106</v>
      </c>
      <c r="J1" s="193" t="s">
        <v>114</v>
      </c>
      <c r="K1" s="190" t="s">
        <v>115</v>
      </c>
      <c r="L1" s="194" t="s">
        <v>110</v>
      </c>
      <c r="M1" s="195" t="s">
        <v>0</v>
      </c>
    </row>
    <row r="2" spans="1:14" ht="30" customHeight="1" x14ac:dyDescent="0.25">
      <c r="A2" s="229" t="s">
        <v>120</v>
      </c>
      <c r="B2" s="17">
        <v>46003</v>
      </c>
      <c r="C2" s="18" t="s">
        <v>304</v>
      </c>
      <c r="D2" s="94" t="s">
        <v>932</v>
      </c>
      <c r="E2" s="234">
        <v>1</v>
      </c>
      <c r="F2" s="235">
        <v>385</v>
      </c>
      <c r="G2" s="235">
        <v>60</v>
      </c>
      <c r="H2" s="235">
        <v>32</v>
      </c>
      <c r="I2" s="235"/>
      <c r="J2" s="236">
        <v>12000</v>
      </c>
      <c r="K2" s="1">
        <f>Inventory_List_Table34111618[[#This Row],[Q]]*Inventory_List_Table34111618[[#This Row],[Per piece MXN$]]</f>
        <v>12000</v>
      </c>
      <c r="L2" s="22" t="s">
        <v>933</v>
      </c>
      <c r="M2" s="22" t="s">
        <v>934</v>
      </c>
      <c r="N2" s="7"/>
    </row>
  </sheetData>
  <dataValidations count="9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D2C9DA62-1611-41A1-A511-FC07B07F5C29}"/>
    <dataValidation allowBlank="1" showInputMessage="1" showErrorMessage="1" prompt="Enter the item inventory ID in this column" sqref="C1" xr:uid="{4CE0AC5E-4E97-4AFB-BBCA-42DCFB9CF3AA}"/>
    <dataValidation allowBlank="1" showInputMessage="1" showErrorMessage="1" prompt="Enter the name of the item in this column" sqref="D1" xr:uid="{E7E0412B-E9A4-40D0-96C6-27AD1B983104}"/>
    <dataValidation allowBlank="1" showInputMessage="1" showErrorMessage="1" prompt="Enter the number of days it takes to reorder each item in this column" sqref="J1:K1" xr:uid="{D577DA0B-8468-4CA3-844C-D5B6A007D194}"/>
    <dataValidation allowBlank="1" showInputMessage="1" showErrorMessage="1" prompt="Enter the reorder level for each item in this column" sqref="I1" xr:uid="{A7FD8911-BB69-456F-BABF-6E33D52839F3}"/>
    <dataValidation allowBlank="1" showInputMessage="1" showErrorMessage="1" prompt="This is an automated column._x000a__x000a_The inventory value for each item is automatically calculated in this column." sqref="H1" xr:uid="{BA08AA40-1335-4095-822D-17405423050B}"/>
    <dataValidation allowBlank="1" showInputMessage="1" showErrorMessage="1" prompt="Enter the quantity in stock for each item in this column" sqref="G1" xr:uid="{68B524FA-38C4-4901-90C8-799A724AD964}"/>
    <dataValidation allowBlank="1" showInputMessage="1" showErrorMessage="1" prompt="Enter the unit price of each item in this column" sqref="F1" xr:uid="{F2ED1FDE-F0DF-4BB2-89D3-5AD5352EE102}"/>
    <dataValidation allowBlank="1" showInputMessage="1" showErrorMessage="1" prompt="Enter a description of the item in this column" sqref="E1" xr:uid="{627FF614-0793-4D8D-8B37-7C5CD77862EA}"/>
  </dataValidations>
  <printOptions horizontalCentered="1"/>
  <pageMargins left="0.25" right="0.25" top="0.75" bottom="0.75" header="0.3" footer="0.3"/>
  <pageSetup scale="25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138EE-2E2E-4C4B-9EFC-B08AA63A1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E39826-E5C2-4497-9DAB-26E51B5E5AD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651663D-B88E-4AD7-9DE9-C58C987430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4.xml><?xml version="1.0" encoding="utf-8"?>
<ds:datastoreItem xmlns:ds="http://schemas.openxmlformats.org/officeDocument/2006/customXml" ds:itemID="{99D1F540-32A9-4ED6-9336-A9BD181B306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EM</vt:lpstr>
      <vt:lpstr>JM</vt:lpstr>
      <vt:lpstr>TE</vt:lpstr>
      <vt:lpstr>DH</vt:lpstr>
      <vt:lpstr>ML</vt:lpstr>
      <vt:lpstr>GE</vt:lpstr>
      <vt:lpstr>FR</vt:lpstr>
      <vt:lpstr>ET</vt:lpstr>
      <vt:lpstr>AM</vt:lpstr>
      <vt:lpstr>BT</vt:lpstr>
      <vt:lpstr>RF</vt:lpstr>
      <vt:lpstr>GS</vt:lpstr>
      <vt:lpstr>CP</vt:lpstr>
      <vt:lpstr>AN</vt:lpstr>
      <vt:lpstr>AM!Print_Titles</vt:lpstr>
      <vt:lpstr>AN!Print_Titles</vt:lpstr>
      <vt:lpstr>BT!Print_Titles</vt:lpstr>
      <vt:lpstr>CP!Print_Titles</vt:lpstr>
      <vt:lpstr>DH!Print_Titles</vt:lpstr>
      <vt:lpstr>EM!Print_Titles</vt:lpstr>
      <vt:lpstr>ET!Print_Titles</vt:lpstr>
      <vt:lpstr>FR!Print_Titles</vt:lpstr>
      <vt:lpstr>GE!Print_Titles</vt:lpstr>
      <vt:lpstr>GS!Print_Titles</vt:lpstr>
      <vt:lpstr>JM!Print_Titles</vt:lpstr>
      <vt:lpstr>ML!Print_Titles</vt:lpstr>
      <vt:lpstr>RF!Print_Titles</vt:lpstr>
      <vt:lpstr>TE!Print_Titles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Jouhayeerk</dc:creator>
  <cp:keywords/>
  <dc:description/>
  <cp:lastModifiedBy>Ramses L. Jouhayerk</cp:lastModifiedBy>
  <cp:revision/>
  <dcterms:created xsi:type="dcterms:W3CDTF">2023-10-19T18:19:29Z</dcterms:created>
  <dcterms:modified xsi:type="dcterms:W3CDTF">2026-02-24T22:39:45Z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